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ampus.enst-bretagne.fr\partages\SG-DFIN-Marches\DOC-ADM-21\21IMT066M-070M MATINFO 5\"/>
    </mc:Choice>
  </mc:AlternateContent>
  <bookViews>
    <workbookView xWindow="0" yWindow="0" windowWidth="18705" windowHeight="8880"/>
  </bookViews>
  <sheets>
    <sheet name="Résumé" sheetId="1" r:id="rId1"/>
    <sheet name="BPU Lot 3" sheetId="2" r:id="rId2"/>
    <sheet name="Extensions Lot 3" sheetId="3" r:id="rId3"/>
    <sheet name="Maintien parc existant Dell"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5" i="2" l="1"/>
  <c r="E384" i="2"/>
  <c r="E310" i="2"/>
  <c r="E305" i="2"/>
  <c r="E306" i="2" s="1"/>
</calcChain>
</file>

<file path=xl/sharedStrings.xml><?xml version="1.0" encoding="utf-8"?>
<sst xmlns="http://schemas.openxmlformats.org/spreadsheetml/2006/main" count="3000" uniqueCount="2001">
  <si>
    <t>Date</t>
  </si>
  <si>
    <t>Version</t>
  </si>
  <si>
    <t>Mise à jour des Tarifs Matinfo 5</t>
  </si>
  <si>
    <t>Code couleur</t>
  </si>
  <si>
    <t>V1</t>
  </si>
  <si>
    <t>Démarrage Matinfo 5</t>
  </si>
  <si>
    <t>Texte</t>
  </si>
  <si>
    <t>Option non disponible dans les DROM COM</t>
  </si>
  <si>
    <t>Intégration onglet maintien parc existant Dell</t>
  </si>
  <si>
    <t>Option spécifique aux DROM COM</t>
  </si>
  <si>
    <t>Transition sur les nouveaux modèles / options</t>
  </si>
  <si>
    <t>Retrait des produits / options en fin de vie</t>
  </si>
  <si>
    <t>Modifications mineures de certains libellés</t>
  </si>
  <si>
    <t>V2</t>
  </si>
  <si>
    <t xml:space="preserve">Retrait de la configuration Cat1Conf5a </t>
  </si>
  <si>
    <t>Retrait WYSE 3040 et 5030 PCoIP et Ajout WYSE 5470 Mobile en versions Win10 IOT et ThinOS</t>
  </si>
  <si>
    <t>Révision des prix à hauteur de 2.5% sur l’ensemble des lignes (hors options service)</t>
  </si>
  <si>
    <t>V3</t>
  </si>
  <si>
    <t>Ajout du Precision 5560 en Catégorie 1 Configuration 5</t>
  </si>
  <si>
    <t>Ajout des options spécifiques aux DROM COM et mise en place du code couleur ci-contre</t>
  </si>
  <si>
    <t>Modification des GPU au niveau des configurations de base des Precision Tour et Rack</t>
  </si>
  <si>
    <t xml:space="preserve">Passage sur une dalle FHD 500 nits sur les configurations de base des Precision 7560 et 7760 </t>
  </si>
  <si>
    <t>Catégorie 2 Configuration 1 : Passage temporaire de la configuration de base sous Windows en attendant le support de la carte T1000 (8Go) sous Ubuntu</t>
  </si>
  <si>
    <t>Bordereau de prix</t>
  </si>
  <si>
    <t>CATEGORIE 1 : Modélisation</t>
  </si>
  <si>
    <t>Désignation/Description des matériels</t>
  </si>
  <si>
    <t>Référence constructeur
(le cas échéant)</t>
  </si>
  <si>
    <t>Numéro 
de référence</t>
  </si>
  <si>
    <t>TARIFS
 en € HT</t>
  </si>
  <si>
    <t>PRECISION 3240 Compact</t>
  </si>
  <si>
    <t>3-1-1-1a</t>
  </si>
  <si>
    <t>PRECISION 3450 SFF</t>
  </si>
  <si>
    <t>3-1-2-1a</t>
  </si>
  <si>
    <t>PRECISION 3650 MT</t>
  </si>
  <si>
    <t>3-1-3-1a</t>
  </si>
  <si>
    <t>3-1-4-1a</t>
  </si>
  <si>
    <t>3-1-5-1a</t>
  </si>
  <si>
    <t>PRECISION 7760</t>
  </si>
  <si>
    <t>3-1-6-1a</t>
  </si>
  <si>
    <t>CATEGORIE 1 : extensions et périphériques associés, extensions de garantie, installation, etc.</t>
  </si>
  <si>
    <t>CAT1_Configuration n°1 - PRECISION 3240 format Compact</t>
  </si>
  <si>
    <t>Passages de processeur</t>
  </si>
  <si>
    <t>Intel Core i5-10600 (6 cœurs HT, 3.3-4.8 Ghz Turbo, 12 Mo cache, 65W)</t>
  </si>
  <si>
    <t>3-1-1-2</t>
  </si>
  <si>
    <t>Intel Core i7-10700 (8 cœurs HT, 2.9-4.8 Ghz Turbo, 16 Mo cache, 65W)</t>
  </si>
  <si>
    <t>3-1-1-3</t>
  </si>
  <si>
    <t>Intel Core i9-10900 (10 cœurs HT, 2.8-5.2 Ghz Turbo, 20 Mo cache, 65W)</t>
  </si>
  <si>
    <t>3-1-1-4</t>
  </si>
  <si>
    <t>Intel Xeon W-1250 (6 cœurs HT, 3.3-4.7 Ghz Turbo, 12 Mo cache, 80W)</t>
  </si>
  <si>
    <t>3-1-1-5</t>
  </si>
  <si>
    <t>Intel Xeon W-1270 (8 cœurs HT, 3.4-4.9 Ghz Turbo, 16 Mo cache, 80W)</t>
  </si>
  <si>
    <t>3-1-1-6</t>
  </si>
  <si>
    <t>Intel Xeon W-1290 (10 cœurs HT, 3.2-5.2 Ghz Turbo, 20 Mo cache, 80W)</t>
  </si>
  <si>
    <t>3-1-1-7</t>
  </si>
  <si>
    <t>Passages de mémoire</t>
  </si>
  <si>
    <t>32Go 3200MHz DDR4 - 2x16Go</t>
  </si>
  <si>
    <t>3-1-1-8</t>
  </si>
  <si>
    <t xml:space="preserve">64Go 3200MHz DDR4 - 2x32Go </t>
  </si>
  <si>
    <t>3-1-1-9</t>
  </si>
  <si>
    <t>Passages de mémoire ECC - Compatible Xéon uniquement</t>
  </si>
  <si>
    <r>
      <t xml:space="preserve">16Go 2666MHz DDR4 (2x8Go) ECC </t>
    </r>
    <r>
      <rPr>
        <sz val="10"/>
        <color indexed="2"/>
        <rFont val="Calibri"/>
        <family val="2"/>
        <scheme val="minor"/>
      </rPr>
      <t>- Compatible Xéon uniquement</t>
    </r>
  </si>
  <si>
    <t>3-1-1-10</t>
  </si>
  <si>
    <r>
      <t xml:space="preserve">32Go 2666MHz DDR4 (2x16Go) ECC </t>
    </r>
    <r>
      <rPr>
        <sz val="10"/>
        <color indexed="2"/>
        <rFont val="Calibri"/>
        <family val="2"/>
        <scheme val="minor"/>
      </rPr>
      <t>- Compatible Xéon uniquement</t>
    </r>
  </si>
  <si>
    <t>3-1-1-11</t>
  </si>
  <si>
    <r>
      <t xml:space="preserve">64Go 2666MHz DDR4 (2x32Go) ECC </t>
    </r>
    <r>
      <rPr>
        <sz val="10"/>
        <color indexed="2"/>
        <rFont val="Calibri"/>
        <family val="2"/>
        <scheme val="minor"/>
      </rPr>
      <t>- Compatible Xéon uniquement</t>
    </r>
  </si>
  <si>
    <t>3-1-1-12</t>
  </si>
  <si>
    <t>1er disque dur (passage)</t>
  </si>
  <si>
    <t>SSD 512GoM.2 PCIe NVMe Classe 40</t>
  </si>
  <si>
    <t>3-1-1-13</t>
  </si>
  <si>
    <t>SSD 1To M.2 PCIe NVMe Classe 40</t>
  </si>
  <si>
    <t>3-1-1-14</t>
  </si>
  <si>
    <t>SSD 2To M.2 PCIe NVMe Classe 40</t>
  </si>
  <si>
    <t>3-1-1-15</t>
  </si>
  <si>
    <t>Ajout 2nd disque dur</t>
  </si>
  <si>
    <t>SSD 256Go M.2 PCIe NVMe Classe 40</t>
  </si>
  <si>
    <t>3-1-1-16</t>
  </si>
  <si>
    <t>3-1-1-17</t>
  </si>
  <si>
    <t>3-1-1-18</t>
  </si>
  <si>
    <t>3-1-1-19</t>
  </si>
  <si>
    <t xml:space="preserve">Configurez votre RAID (RAID Logiciel Intel) – 2 disques M.2 identiques requis – Incompatible Ubuntu </t>
  </si>
  <si>
    <r>
      <t>RAID 1</t>
    </r>
    <r>
      <rPr>
        <sz val="10"/>
        <color indexed="2"/>
        <rFont val="Calibri"/>
        <family val="2"/>
        <scheme val="minor"/>
      </rPr>
      <t xml:space="preserve"> - Uniquement compatible avec 2 disques identiques M.2 PCIe (aucun disque additionnel ne pourra être sélectionné) – Incompatible Ubuntu </t>
    </r>
  </si>
  <si>
    <t>3-1-1-20</t>
  </si>
  <si>
    <r>
      <t>RAID 0 -</t>
    </r>
    <r>
      <rPr>
        <sz val="10"/>
        <color indexed="2"/>
        <rFont val="Calibri"/>
        <family val="2"/>
        <scheme val="minor"/>
      </rPr>
      <t xml:space="preserve"> Uniquement compatible avec 2 disques identiques M.2 PCIe (aucun disque additionnel ne pourra être sélectionné) – Incompatible Ubuntu </t>
    </r>
  </si>
  <si>
    <t>3-1-1-21</t>
  </si>
  <si>
    <t>Carte graphique (passsage)</t>
  </si>
  <si>
    <t>3-1-1-24</t>
  </si>
  <si>
    <t xml:space="preserve">NVIDIA T600 4Go (640 cœurs CUDA, 4x mDP) </t>
  </si>
  <si>
    <t>3-1-1-26</t>
  </si>
  <si>
    <t xml:space="preserve">NVIDIA T1000 4Go (896 cœurs CUDA, 4x mDP) </t>
  </si>
  <si>
    <t xml:space="preserve">NVIDIA Quadro RTX3000 (6Go GDDR6, 1920 coeurs CUDA, 240 cœurs Tensor, 30 cœurs RT, 3x mDP, certifiée VR) </t>
  </si>
  <si>
    <t>3-1-1-27</t>
  </si>
  <si>
    <t>Cartes d'interface aditionnelles</t>
  </si>
  <si>
    <r>
      <t xml:space="preserve">Port VGA intégré </t>
    </r>
    <r>
      <rPr>
        <sz val="10"/>
        <color indexed="2"/>
        <rFont val="Calibri"/>
        <family val="2"/>
        <scheme val="minor"/>
      </rPr>
      <t>- Un seul choix possible</t>
    </r>
  </si>
  <si>
    <t>3-1-1-28</t>
  </si>
  <si>
    <r>
      <t xml:space="preserve">Port HDMI intégré </t>
    </r>
    <r>
      <rPr>
        <sz val="10"/>
        <color indexed="2"/>
        <rFont val="Calibri"/>
        <family val="2"/>
        <scheme val="minor"/>
      </rPr>
      <t>- Un seul choix possible</t>
    </r>
  </si>
  <si>
    <t>3-1-1-29</t>
  </si>
  <si>
    <r>
      <t xml:space="preserve">Port DP intégré </t>
    </r>
    <r>
      <rPr>
        <sz val="10"/>
        <color indexed="2"/>
        <rFont val="Calibri"/>
        <family val="2"/>
        <scheme val="minor"/>
      </rPr>
      <t>- Un seul choix possible</t>
    </r>
  </si>
  <si>
    <t>3-1-1-30</t>
  </si>
  <si>
    <t>Carte sans fil additionnelle (Ajout)</t>
  </si>
  <si>
    <t>Carte bibande Intel® Wireless WIFI6 AX201 802.11ax (2x2) + Bluetooth 5.0</t>
  </si>
  <si>
    <t>3-1-1-31</t>
  </si>
  <si>
    <t>Gestion avancée</t>
  </si>
  <si>
    <t>Activation ISM (Intel Standard Management)</t>
  </si>
  <si>
    <t>3-1-1-32</t>
  </si>
  <si>
    <t xml:space="preserve">Activation des fonctionnalités de gestion avancées Intel® vPro en Usine </t>
  </si>
  <si>
    <t>3-1-1-33</t>
  </si>
  <si>
    <t>Passage au clavier QWERTY US</t>
  </si>
  <si>
    <t>Passage au clavier Multimédia QWERTY US</t>
  </si>
  <si>
    <t>3-1-1-34</t>
  </si>
  <si>
    <t>Accessoires pour Precision 3240</t>
  </si>
  <si>
    <r>
      <t xml:space="preserve">Socle Dell tout-en un pour Precision 3240 Compact - compatible avec écrans inférieur ou égal 27'' d'ancienne génération </t>
    </r>
    <r>
      <rPr>
        <sz val="10"/>
        <color indexed="2"/>
        <rFont val="Calibri"/>
        <family val="2"/>
        <scheme val="minor"/>
      </rPr>
      <t>(incompatible avec gamme lancée en 2021)</t>
    </r>
  </si>
  <si>
    <t xml:space="preserve">575-BCHH </t>
  </si>
  <si>
    <t>3-0-1-154</t>
  </si>
  <si>
    <t>Support de montage VESA (installation sous le bureau) pour Precision 3240 Compact</t>
  </si>
  <si>
    <t>575-BCHG</t>
  </si>
  <si>
    <t>3-0-1-155</t>
  </si>
  <si>
    <t>Support de montage VESA double (recommandé avec support double écran) pour Precision 3240 Compact</t>
  </si>
  <si>
    <t>452-BDQI</t>
  </si>
  <si>
    <t>3-0-1-156</t>
  </si>
  <si>
    <t>Support bloc alimentation pour Precision 3240 Compact - rangement sous bureau</t>
  </si>
  <si>
    <t>575-BCHI</t>
  </si>
  <si>
    <t>3-0-1-157</t>
  </si>
  <si>
    <t>Cache câbles pour Precision 3240 Compact</t>
  </si>
  <si>
    <t>321-BFZR</t>
  </si>
  <si>
    <t>3-0-1-158</t>
  </si>
  <si>
    <t>Filtre anti-poussière Precision 3240 Compact</t>
  </si>
  <si>
    <t>321-BFZS</t>
  </si>
  <si>
    <t>3-0-1-159</t>
  </si>
  <si>
    <t>Extensions de garantie acquises lors de l'achat initial</t>
  </si>
  <si>
    <t>Extension de garantie ProSupport 6 ans J+1 (heures ouvrés, jours ouvrés) + SAM Matinfo 5</t>
  </si>
  <si>
    <t>3-0-3-1</t>
  </si>
  <si>
    <t>Extension de garantie ProSupport 7 ans J+1 (heures ouvrés, jours ouvrés) + SAM Matinfo 5</t>
  </si>
  <si>
    <t>3-0-3-2</t>
  </si>
  <si>
    <t>3-0-3-3</t>
  </si>
  <si>
    <r>
      <t>Extension Pack Maintenance ProActive 5 ans J+1 (ProSupport Plus - Inclut la garantie casse et Keep Your Hard Drive)</t>
    </r>
    <r>
      <rPr>
        <sz val="10"/>
        <color indexed="2"/>
        <rFont val="Calibri"/>
        <family val="2"/>
        <scheme val="minor"/>
      </rPr>
      <t xml:space="preserve"> - Non disponible dans les DROM COM</t>
    </r>
  </si>
  <si>
    <t>3-0-3-4</t>
  </si>
  <si>
    <r>
      <t>Extension Pack Maintenance ProActive 5 ans H+4 avec service sur site 24x7 (ProSupport Plus - Inclut la garantie casse et Keep Your Hard Drive)</t>
    </r>
    <r>
      <rPr>
        <sz val="10"/>
        <color indexed="2"/>
        <rFont val="Calibri"/>
        <family val="2"/>
        <scheme val="minor"/>
      </rPr>
      <t xml:space="preserve"> - Non disponible dans les DROM COM </t>
    </r>
  </si>
  <si>
    <t>Livraison DDP &amp; Garantie DROM COM - Sélection obligatoire</t>
  </si>
  <si>
    <t>3-0-3-100</t>
  </si>
  <si>
    <t>3-0-3-101</t>
  </si>
  <si>
    <t>3-0-3-102</t>
  </si>
  <si>
    <t>3-0-3-103</t>
  </si>
  <si>
    <t>3-0-3-104</t>
  </si>
  <si>
    <t>Extensions de garantie complémentaires</t>
  </si>
  <si>
    <t>5 ans de protection des données - Conservez votre disque dur (Keep Your Hard Drive)</t>
  </si>
  <si>
    <t>3-0-3-13</t>
  </si>
  <si>
    <r>
      <t>5 ans de protection des données - Conservez votre disque dur (Keep Your Hard Drive)</t>
    </r>
    <r>
      <rPr>
        <sz val="10"/>
        <color indexed="2"/>
        <rFont val="Calibri"/>
        <family val="2"/>
        <scheme val="minor"/>
      </rPr>
      <t xml:space="preserve"> - Non disponible dans les DROM COM</t>
    </r>
  </si>
  <si>
    <t>3-0-3-14</t>
  </si>
  <si>
    <r>
      <t>5 ans de garantie contre les Dommages Accidentels (Garantie casse)</t>
    </r>
    <r>
      <rPr>
        <sz val="10"/>
        <color indexed="2"/>
        <rFont val="Calibri"/>
        <family val="2"/>
        <scheme val="minor"/>
      </rPr>
      <t xml:space="preserve"> - Non disponible dans les DROM COM</t>
    </r>
  </si>
  <si>
    <t>CAT1_Configuration n°2 - PRECISION 3450 format SFF</t>
  </si>
  <si>
    <t>Processeur (Passage)</t>
  </si>
  <si>
    <t>3-1-2-2</t>
  </si>
  <si>
    <t xml:space="preserve">64Go 3200MHz DDR4 - 4x16Go </t>
  </si>
  <si>
    <t>3-1-2-3</t>
  </si>
  <si>
    <t xml:space="preserve">128Go 3200MHz DDR4 - 4x32Go </t>
  </si>
  <si>
    <t>3-1-2-4</t>
  </si>
  <si>
    <r>
      <t>16Go 3200MHz DDR4 ECC - 2x8Go</t>
    </r>
    <r>
      <rPr>
        <sz val="10"/>
        <color indexed="2"/>
        <rFont val="Calibri"/>
        <family val="2"/>
        <scheme val="minor"/>
      </rPr>
      <t xml:space="preserve"> - Compatible Xeon uniquement</t>
    </r>
  </si>
  <si>
    <t>3-1-2-5</t>
  </si>
  <si>
    <r>
      <t>32Go 3200MHz DDR4 ECC - 2x16Go</t>
    </r>
    <r>
      <rPr>
        <sz val="10"/>
        <color indexed="2"/>
        <rFont val="Calibri"/>
        <family val="2"/>
        <scheme val="minor"/>
      </rPr>
      <t xml:space="preserve"> - Compatible Xeon uniquement</t>
    </r>
  </si>
  <si>
    <t>3-1-2-6</t>
  </si>
  <si>
    <r>
      <t>64Go 3200MHz DDR4 ECC - 4x16Go</t>
    </r>
    <r>
      <rPr>
        <sz val="10"/>
        <color indexed="2"/>
        <rFont val="Calibri"/>
        <family val="2"/>
        <scheme val="minor"/>
      </rPr>
      <t xml:space="preserve"> - Compatible Xeon uniquement</t>
    </r>
  </si>
  <si>
    <t>3-1-2-7</t>
  </si>
  <si>
    <r>
      <t xml:space="preserve">128Go 3200MHz DDR4 ECC - 4x32Go </t>
    </r>
    <r>
      <rPr>
        <sz val="10"/>
        <color indexed="2"/>
        <rFont val="Calibri"/>
        <family val="2"/>
        <scheme val="minor"/>
      </rPr>
      <t>- Compatible Xeon uniquement</t>
    </r>
  </si>
  <si>
    <t>3-1-2-8</t>
  </si>
  <si>
    <t>SSD 512Go M.2 PCIe NVMe Classe 40</t>
  </si>
  <si>
    <t xml:space="preserve">DD 500Go 7200 tr/min 2"5 </t>
  </si>
  <si>
    <t>3-1-2-9</t>
  </si>
  <si>
    <t>DD 1To 7200 tr/min 2"5</t>
  </si>
  <si>
    <t>3-1-2-10</t>
  </si>
  <si>
    <t xml:space="preserve">DD 2To 7200 tr/min 3"5 </t>
  </si>
  <si>
    <t>3-1-2-11</t>
  </si>
  <si>
    <t xml:space="preserve">DD 4To 7200 Tr/min 3,5" Enterprise </t>
  </si>
  <si>
    <t>3-1-2-12</t>
  </si>
  <si>
    <t>3-1-2-14</t>
  </si>
  <si>
    <r>
      <t xml:space="preserve">Dual NVIDIA T400 2Go (384 cœurs CUDA, 3x mDP) - </t>
    </r>
    <r>
      <rPr>
        <sz val="10"/>
        <color indexed="2"/>
        <rFont val="Calibri"/>
        <family val="2"/>
        <scheme val="minor"/>
      </rPr>
      <t>incompatible Ubuntu</t>
    </r>
  </si>
  <si>
    <t>Lecteur optique et/ou de cartes mémoire Aditionnel</t>
  </si>
  <si>
    <t>Lecteur de carte micro SD</t>
  </si>
  <si>
    <t>3-1-2-15</t>
  </si>
  <si>
    <r>
      <t xml:space="preserve">Lecteur de carte à puce intégré avec prise en charge des cartes à contact et sans contact (CAC/PIV) </t>
    </r>
    <r>
      <rPr>
        <sz val="10"/>
        <color indexed="2"/>
        <rFont val="Calibri"/>
        <family val="2"/>
        <scheme val="minor"/>
      </rPr>
      <t>- Non sélectionnable avec graveur DVD+/-RW</t>
    </r>
  </si>
  <si>
    <t>3-1-2-16</t>
  </si>
  <si>
    <r>
      <t xml:space="preserve">Graveur DVD+/-RW ultraplat 8x </t>
    </r>
    <r>
      <rPr>
        <sz val="10"/>
        <color indexed="2"/>
        <rFont val="Calibri"/>
        <family val="2"/>
        <scheme val="minor"/>
      </rPr>
      <t>- Non sélectionnable avec lecteur de carte à puce intégré (CAC/PIV)</t>
    </r>
  </si>
  <si>
    <t>3-1-2-17</t>
  </si>
  <si>
    <t>Port additionnel - 1 seul choix possible</t>
  </si>
  <si>
    <t>Cartes d'interface additionnelles - 1 seule carte possible</t>
  </si>
  <si>
    <t>Seconde carte PCIe d‘interface réseau Intel I210 1 Gb (1x1 GbE)</t>
  </si>
  <si>
    <t>3-1-2-18</t>
  </si>
  <si>
    <t xml:space="preserve">Seconde carte PCIe d‘interface réseau AQuantia AQtion AQN-108 5/2,5 GoE </t>
  </si>
  <si>
    <t>3-1-2-19</t>
  </si>
  <si>
    <t>Carte bibande Intel® Wireless WIFI6 AX201 802.11ax (2x2) + Bluetooth 5.2 - Antenne interne</t>
  </si>
  <si>
    <t>3-1-2-20</t>
  </si>
  <si>
    <t>Carte PCIe avec port USB-C supplémentaire</t>
  </si>
  <si>
    <t>3-1-2-21</t>
  </si>
  <si>
    <t>Carte PCIe avec port série mi-hauteur</t>
  </si>
  <si>
    <t>3-1-2-22</t>
  </si>
  <si>
    <t>Carte PCIe avec port parallèle mi-hauteur</t>
  </si>
  <si>
    <t>3-1-2-23</t>
  </si>
  <si>
    <t xml:space="preserve"> </t>
  </si>
  <si>
    <t>Accessoires pour Precision 34X0</t>
  </si>
  <si>
    <t xml:space="preserve">Cache câbles pour Precision SFF </t>
  </si>
  <si>
    <t>325-BDSW</t>
  </si>
  <si>
    <t>3-0-1-151</t>
  </si>
  <si>
    <t>Filtre anti-poussière Precision SFF</t>
  </si>
  <si>
    <t>325-BDTT</t>
  </si>
  <si>
    <t>3-0-1-152</t>
  </si>
  <si>
    <t>Socle Dell tout-en-un au format SFF | OSS21</t>
  </si>
  <si>
    <t>482-BBDY</t>
  </si>
  <si>
    <t>3-0-1-153</t>
  </si>
  <si>
    <t>CAT1_Configuration n°3 - PRECISION 3650  format MT</t>
  </si>
  <si>
    <t>Intel Core i5-10600K (6 cœurs HT, 4.1-4.8 Ghz Turbo, 12 Mo cache, 125W)</t>
  </si>
  <si>
    <t>3-1-3-2</t>
  </si>
  <si>
    <t>Intel Core i7-10700K (8 cœurs HT, 3.8-5.1 Ghz Turbo, 16 Mo cache, 125W)</t>
  </si>
  <si>
    <t>3-1-3-3</t>
  </si>
  <si>
    <t>Intel Core i9-10900K (10 cœurs HT, 3.7-5.3 Ghz Turbo, 20 Mo cache, 125W)</t>
  </si>
  <si>
    <t>3-1-3-4</t>
  </si>
  <si>
    <t>Intel Xeon W-1250P (6 cœurs HT, 4.1-4.8 Ghz Turbo, 12 Mo cache, 125W)</t>
  </si>
  <si>
    <t>3-1-3-5</t>
  </si>
  <si>
    <t>Intel Xeon W-1270P (8 cœurs HT, 3.8-5.1 Ghz Turbo, 16 Mo cache, 125W)</t>
  </si>
  <si>
    <t>3-1-3-6</t>
  </si>
  <si>
    <t>Intel Xeon W-1290P (10 cœurs HT, 3.7-5.3 Ghz Turbo, 20 Mo cache, 125W)</t>
  </si>
  <si>
    <t>3-1-3-7</t>
  </si>
  <si>
    <t>3-1-3-8</t>
  </si>
  <si>
    <t>Passages de mémoire ECC - compatible Xeon uniquement</t>
  </si>
  <si>
    <r>
      <t xml:space="preserve">16Go 3200MHz DDR4 ECC - 2x8Go - </t>
    </r>
    <r>
      <rPr>
        <sz val="10"/>
        <color indexed="2"/>
        <rFont val="Calibri"/>
        <family val="2"/>
        <scheme val="minor"/>
      </rPr>
      <t>Compatible Xeon uniquement</t>
    </r>
  </si>
  <si>
    <r>
      <t xml:space="preserve">32Go 3200MHz DDR4 ECC - 2x16Go - </t>
    </r>
    <r>
      <rPr>
        <sz val="10"/>
        <color indexed="2"/>
        <rFont val="Calibri"/>
        <family val="2"/>
        <scheme val="minor"/>
      </rPr>
      <t>Compatible Xeon uniquement</t>
    </r>
  </si>
  <si>
    <r>
      <t xml:space="preserve">64Go 3200MHz DDR4 ECC - 2x32Go - </t>
    </r>
    <r>
      <rPr>
        <sz val="10"/>
        <color indexed="2"/>
        <rFont val="Calibri"/>
        <family val="2"/>
        <scheme val="minor"/>
      </rPr>
      <t>Compatible Xeon uniquement</t>
    </r>
  </si>
  <si>
    <t>3-1-3-9</t>
  </si>
  <si>
    <r>
      <t xml:space="preserve">128Go 3200MHz DDR4 ECC - 4x32Go - </t>
    </r>
    <r>
      <rPr>
        <sz val="10"/>
        <color indexed="2"/>
        <rFont val="Calibri"/>
        <family val="2"/>
        <scheme val="minor"/>
      </rPr>
      <t>Compatible Xeon uniquement</t>
    </r>
  </si>
  <si>
    <t>3-1-3-10</t>
  </si>
  <si>
    <t>Ajout 2nd disque dur M.2 SSD et HDD</t>
  </si>
  <si>
    <r>
      <t>DD 500Go 7200 tr/min 2"5</t>
    </r>
    <r>
      <rPr>
        <sz val="10"/>
        <color indexed="2"/>
        <rFont val="Calibri"/>
        <family val="2"/>
        <scheme val="minor"/>
      </rPr>
      <t xml:space="preserve"> </t>
    </r>
  </si>
  <si>
    <r>
      <t>DD 2To 7200 tr/min 3"5</t>
    </r>
    <r>
      <rPr>
        <sz val="10"/>
        <color indexed="2"/>
        <rFont val="Calibri"/>
        <family val="2"/>
        <scheme val="minor"/>
      </rPr>
      <t xml:space="preserve"> </t>
    </r>
  </si>
  <si>
    <t>DD 4To 7200 Tr/min 3,5" Enterprise</t>
  </si>
  <si>
    <t>RAID - 2 disques identiques SSD M.2  requis - incomaptible Ubuntu</t>
  </si>
  <si>
    <t>Alimentation (passage) - Pas de mise à jour possible après achat</t>
  </si>
  <si>
    <t>Alimentation 80Plus Gold 550W jusqu'à 90% d'efficacité PSU (inclus carte SD) - requis avec Cartes RTX 3070</t>
  </si>
  <si>
    <t>3-1-3-11</t>
  </si>
  <si>
    <t>Alimentation 80Plus Gold 1000W jusqu'à 90% d'efficacité PSU (inclus carte SD) - requis avec cartes RTX 3080 et 3090</t>
  </si>
  <si>
    <t>3-1-3-12</t>
  </si>
  <si>
    <t>Cartes graphiques Professionnelles</t>
  </si>
  <si>
    <r>
      <t xml:space="preserve">NVIDIA T400 4Go (384 cœurs CUDA, 3x mDP) </t>
    </r>
    <r>
      <rPr>
        <b/>
        <sz val="10"/>
        <color indexed="2"/>
        <rFont val="Calibri"/>
        <family val="2"/>
        <scheme val="minor"/>
      </rPr>
      <t xml:space="preserve">- </t>
    </r>
    <r>
      <rPr>
        <sz val="10"/>
        <color indexed="2"/>
        <rFont val="Calibri"/>
        <family val="2"/>
        <scheme val="minor"/>
      </rPr>
      <t>Incompatible Ubuntu</t>
    </r>
  </si>
  <si>
    <t>3-1-3-24</t>
  </si>
  <si>
    <r>
      <t xml:space="preserve">NVIDIA T1000 8Go (896 cœurs CUDA, 4x mDP) - </t>
    </r>
    <r>
      <rPr>
        <sz val="10"/>
        <color indexed="2"/>
        <rFont val="Calibri"/>
        <family val="2"/>
        <scheme val="minor"/>
      </rPr>
      <t>Incompatible Ubuntu</t>
    </r>
  </si>
  <si>
    <t>3-1-3-25</t>
  </si>
  <si>
    <r>
      <t>NVIDIA RTX A2000 6Go (3228 cœurs CUDA, 4x mDP) -</t>
    </r>
    <r>
      <rPr>
        <sz val="10"/>
        <color indexed="2"/>
        <rFont val="Calibri"/>
        <family val="2"/>
        <scheme val="minor"/>
      </rPr>
      <t xml:space="preserve"> Incompatible Ubuntu</t>
    </r>
  </si>
  <si>
    <t>3-1-3-26</t>
  </si>
  <si>
    <t>3-1-3-27</t>
  </si>
  <si>
    <t>3-1-1-36</t>
  </si>
  <si>
    <t>NVIDIA  RTX A4000 16Go(6144 cœurs CUDA, 192 cœurs Tensor, 48 cœurs RT, 4xDP)</t>
  </si>
  <si>
    <r>
      <t xml:space="preserve">NVIDIA  RTX A4500 20Go (7168 cœurs CUDA, 224 cœurs Tensor, 56 cœurs RT, 4xDP) </t>
    </r>
    <r>
      <rPr>
        <sz val="10"/>
        <color indexed="2"/>
        <rFont val="Calibri"/>
        <family val="2"/>
        <scheme val="minor"/>
      </rPr>
      <t xml:space="preserve">- Passage nécessaire sur alimentation 550W minimum </t>
    </r>
  </si>
  <si>
    <t>3-1-3-28</t>
  </si>
  <si>
    <r>
      <t>NVIDIA RTX A5000 (24Go, 8192 cœurs CUDA, 256 cœurs Tensor gen3, 64 cœurs RT 2ème gen,  4xDP)</t>
    </r>
    <r>
      <rPr>
        <sz val="10"/>
        <color indexed="2"/>
        <rFont val="Calibri"/>
        <family val="2"/>
        <scheme val="minor"/>
      </rPr>
      <t xml:space="preserve"> - Passage nécessaire sur alimentation 550W minimum</t>
    </r>
    <r>
      <rPr>
        <sz val="10"/>
        <rFont val="Calibri"/>
        <family val="2"/>
        <scheme val="minor"/>
      </rPr>
      <t xml:space="preserve"> </t>
    </r>
  </si>
  <si>
    <t>3-1-3-16</t>
  </si>
  <si>
    <t>Cartes graphiques Grand Public</t>
  </si>
  <si>
    <r>
      <t xml:space="preserve">NVIDIA Geforce RTX3060 (12Go, 3584 cœurs CUDA, 28 cœurs Tensor gen3, 112 cœurs RTGen 2, 3xDP + 1xHDMI) - </t>
    </r>
    <r>
      <rPr>
        <sz val="10"/>
        <color indexed="2"/>
        <rFont val="Calibri"/>
        <family val="2"/>
        <scheme val="minor"/>
      </rPr>
      <t>Support uniquement Win10</t>
    </r>
  </si>
  <si>
    <t>3-1-3-17</t>
  </si>
  <si>
    <r>
      <t xml:space="preserve">NVIDIA Geforce RTX3070 (8Go, 5888 cœurs CUDA, 184 cœurs Tensor gen3, 46 cœurs RTGen 2, 3xDP + 1xHDMI) - </t>
    </r>
    <r>
      <rPr>
        <sz val="10"/>
        <color indexed="2"/>
        <rFont val="Calibri"/>
        <family val="2"/>
        <scheme val="minor"/>
      </rPr>
      <t xml:space="preserve">Support uniquement Win10 - Passage nécessaire sur alimentation 550W minimum </t>
    </r>
  </si>
  <si>
    <t>3-1-3-18</t>
  </si>
  <si>
    <r>
      <t>NVIDIA Geforce RTX3080 (10Go, 8704 cœurs CUDA, 272 cœurs Tensor gen3, 68 cœurs RTGen 2,  3xDP + 1xHDMI) -</t>
    </r>
    <r>
      <rPr>
        <sz val="10"/>
        <color indexed="2"/>
        <rFont val="Calibri"/>
        <family val="2"/>
        <scheme val="minor"/>
      </rPr>
      <t xml:space="preserve"> Support uniquement Win10 - Necessite Core i7, 32 Go et alimentation 1000W  - Incompatible avec autres cartes d'extension</t>
    </r>
  </si>
  <si>
    <t>3-1-3-19</t>
  </si>
  <si>
    <r>
      <t>NVIDIA Geforce RTX3090 (24Go, 10496 cœurs CUDA, 328 cœurs Tensor gen3, 82 cœurs RTGen 2, 3xDP + 1xHDMI)</t>
    </r>
    <r>
      <rPr>
        <sz val="10"/>
        <color indexed="2"/>
        <rFont val="Calibri"/>
        <family val="2"/>
        <scheme val="minor"/>
      </rPr>
      <t xml:space="preserve"> - Support uniquement Win10 - Necessite Core i7, 32 Go et alimentation 1000W  - Incompatible avec autres cartes d'extension</t>
    </r>
  </si>
  <si>
    <t>3-1-3-20</t>
  </si>
  <si>
    <t>Lecteur optique et/ou de cartes mémoire (ajout)</t>
  </si>
  <si>
    <r>
      <t>Lecteur de carte SD</t>
    </r>
    <r>
      <rPr>
        <sz val="10"/>
        <color indexed="2"/>
        <rFont val="Calibri"/>
        <family val="2"/>
        <scheme val="minor"/>
      </rPr>
      <t xml:space="preserve"> - Non nécessaire si option 550W ou 1000W</t>
    </r>
  </si>
  <si>
    <r>
      <t xml:space="preserve">Lecteur de carte à puce intégré avec prise en charge des cartes à contact et sans contact (CAC/PIV) - </t>
    </r>
    <r>
      <rPr>
        <sz val="10"/>
        <color indexed="2"/>
        <rFont val="Calibri"/>
        <family val="2"/>
        <scheme val="minor"/>
      </rPr>
      <t>au choix</t>
    </r>
  </si>
  <si>
    <r>
      <t xml:space="preserve">Graveur DVD+/-RW ultraplat 8x -  </t>
    </r>
    <r>
      <rPr>
        <sz val="10"/>
        <color indexed="2"/>
        <rFont val="Calibri"/>
        <family val="2"/>
        <scheme val="minor"/>
      </rPr>
      <t>au choix</t>
    </r>
  </si>
  <si>
    <t xml:space="preserve">Port VGA intégré </t>
  </si>
  <si>
    <t>Port HDMI intégré</t>
  </si>
  <si>
    <t>Port USB Type C supplémentaire avec connectivité Display Port</t>
  </si>
  <si>
    <t>Carte d'interface additionnelle - 1 seul choix parmi Carte réseau aditionnelle, carte sans fil aditionnelle et carte PCIe aditionnelle</t>
  </si>
  <si>
    <t xml:space="preserve">Seconde carte PCIe d'interface réseau Intel® X550-t à deux ports 10 GbE </t>
  </si>
  <si>
    <t>Carte bibande Intel® Wireless WIFI6 AX210 802.11ax (2x2) + Bluetooth 5.2</t>
  </si>
  <si>
    <t>Carte PCIe avec port série - Pleine hauteur</t>
  </si>
  <si>
    <t>3-1-3-22</t>
  </si>
  <si>
    <t>Carte PCIe avec ports série et parallèle - Pleine hauteur</t>
  </si>
  <si>
    <t>3-1-3-23</t>
  </si>
  <si>
    <t>Accessoires pour Precision 36X0</t>
  </si>
  <si>
    <t>Cache de câbles pour Precision 3650 MT</t>
  </si>
  <si>
    <t>325-BEBW</t>
  </si>
  <si>
    <t>3-0-1-149</t>
  </si>
  <si>
    <t>Filtre anti-poussière Precision 3650 MT</t>
  </si>
  <si>
    <t>750-ABFW</t>
  </si>
  <si>
    <t>3-0-1-150</t>
  </si>
  <si>
    <t>Passages de processeur et carte graphique</t>
  </si>
  <si>
    <t>3-1-4-2</t>
  </si>
  <si>
    <t>3-1-4-37</t>
  </si>
  <si>
    <t>3-1-4-3</t>
  </si>
  <si>
    <t>3-1-4-38</t>
  </si>
  <si>
    <t>3-1-4-6</t>
  </si>
  <si>
    <t>3-1-4-7</t>
  </si>
  <si>
    <t>3-1-4-8</t>
  </si>
  <si>
    <t>3-1-4-9</t>
  </si>
  <si>
    <t>3-1-4-10</t>
  </si>
  <si>
    <t>3-1-4-11</t>
  </si>
  <si>
    <t>3-1-4-12</t>
  </si>
  <si>
    <t>3-1-4-13</t>
  </si>
  <si>
    <t>SSD 1 To M.2 PCIe NVMe Classe 40</t>
  </si>
  <si>
    <t>3-1-4-14</t>
  </si>
  <si>
    <t>SSD 2 To M.2 PCIe NVMe Classe 40</t>
  </si>
  <si>
    <t>3-1-4-15</t>
  </si>
  <si>
    <t xml:space="preserve">Ajout 2nd disque dur </t>
  </si>
  <si>
    <t>3-1-4-16</t>
  </si>
  <si>
    <t>3-1-4-17</t>
  </si>
  <si>
    <t>SSD 512 Go M.2 PCIe NVMe classe 40</t>
  </si>
  <si>
    <t>3-1-4-18</t>
  </si>
  <si>
    <t>SSD 1 To M.2 PCIe NVMe classe 40</t>
  </si>
  <si>
    <t>3-1-4-19</t>
  </si>
  <si>
    <t>RAID - necessite 2 disques identiques et uniquement windows</t>
  </si>
  <si>
    <t xml:space="preserve">RAID 0 </t>
  </si>
  <si>
    <t>3-1-4-20</t>
  </si>
  <si>
    <t>RAID 1</t>
  </si>
  <si>
    <t>3-1-4-21</t>
  </si>
  <si>
    <t>Options écran (passage)</t>
  </si>
  <si>
    <t>3-1-4-23</t>
  </si>
  <si>
    <t>3-1-4-24</t>
  </si>
  <si>
    <t>3-1-4-26</t>
  </si>
  <si>
    <t>3-1-4-27</t>
  </si>
  <si>
    <t>Passage au clavier QWERTY</t>
  </si>
  <si>
    <t>Clavier intégré rétroéclairé - Anglais  internationnal (QWERTY)</t>
  </si>
  <si>
    <t>3-1-4-28</t>
  </si>
  <si>
    <t>Clavier intégré rétroéclairé - Allemand (QWERTZ)</t>
  </si>
  <si>
    <t>3-1-4-29</t>
  </si>
  <si>
    <t>Passage de batterie</t>
  </si>
  <si>
    <t>Batterie 4 cellules (64Wh) compatible Express charge</t>
  </si>
  <si>
    <t>3-1-4-30</t>
  </si>
  <si>
    <t>3-1-4-31</t>
  </si>
  <si>
    <t>Module de sécurité (biométrique …) - Uniquement Windows</t>
  </si>
  <si>
    <t>3-1-4-32</t>
  </si>
  <si>
    <t>3-1-4-33</t>
  </si>
  <si>
    <t>3-1-4-34</t>
  </si>
  <si>
    <t>3-1-4-35</t>
  </si>
  <si>
    <t>3-1-4-36</t>
  </si>
  <si>
    <t>3-0-3-5</t>
  </si>
  <si>
    <t>3-0-3-6</t>
  </si>
  <si>
    <t>3-0-3-7</t>
  </si>
  <si>
    <t>WD19S - Dock USB-C 180W - 2 x DP 1.4 / 1 x HDMI / 1 x USB-C / Ethernet &amp; USB - Garantie 5 ans</t>
  </si>
  <si>
    <t>210-AZBU</t>
  </si>
  <si>
    <t>3-0-2-4</t>
  </si>
  <si>
    <t>WD19TBS - Dock Thunderbolt 180W - 2 x DP 1.4 / 1 x HDMI / 1 x Thunderbolt / 1 x USB-C / Ethernet &amp; USB - Garantie 5 ans</t>
  </si>
  <si>
    <t>210-AZBV</t>
  </si>
  <si>
    <t>3-0-2-5</t>
  </si>
  <si>
    <t>3-1-5-2</t>
  </si>
  <si>
    <t>3-1-5-3</t>
  </si>
  <si>
    <t>3-1-5-4</t>
  </si>
  <si>
    <t>3-1-5-5</t>
  </si>
  <si>
    <t>SSD 2 To M.2 PCIe NVMe classe 40</t>
  </si>
  <si>
    <t>3-1-6-10</t>
  </si>
  <si>
    <t>3-1-5-6</t>
  </si>
  <si>
    <t xml:space="preserve">Batterie 6 cellules 86Wh Express charge (5 ans de garantie, 300 cycles, charge rapide) </t>
  </si>
  <si>
    <t>3-1-5-7</t>
  </si>
  <si>
    <t>CAT1_Configuration n°6- PRECISION Mobile 7760</t>
  </si>
  <si>
    <t>Intel Core i9-11950H (8 Cœurs HT, 2.6Ghz, 5.0GHz Turbo, 24 Mo cache)</t>
  </si>
  <si>
    <t>3-1-6-24</t>
  </si>
  <si>
    <t xml:space="preserve">Intel Xeon W-11855M (6 Cœurs HT, 3.2Ghz, 4.9GHz Turbo, 18Mo cache) </t>
  </si>
  <si>
    <t>3-1-6-25</t>
  </si>
  <si>
    <t xml:space="preserve">Intel Xeon W-11955M (8 Cœurs HT, 2.6Ghz, 5.0GHz Turbo, 24Mo cache) </t>
  </si>
  <si>
    <t>3-1-6-2</t>
  </si>
  <si>
    <t>32Go 3200MHz DDR4 - 4x8Go non ECC</t>
  </si>
  <si>
    <t>3-1-6-3</t>
  </si>
  <si>
    <t>32Go 3200MHz DDR4 - 2x16Go non ECC</t>
  </si>
  <si>
    <t>3-1-6-4</t>
  </si>
  <si>
    <t>64Go 3200MHz DDR4 - 2x32Go non ECC</t>
  </si>
  <si>
    <t>3-1-6-5</t>
  </si>
  <si>
    <t>128Go 3200MHz DDR4 - 4x32Go non ECC</t>
  </si>
  <si>
    <t>3-1-6-6</t>
  </si>
  <si>
    <t>16Go 3200MHz DDR4 - 2x8Go ECC</t>
  </si>
  <si>
    <t>3-1-6-7</t>
  </si>
  <si>
    <t>32Go 3200MHz DDR4 - 2x16Go ECC</t>
  </si>
  <si>
    <t>3-1-6-8</t>
  </si>
  <si>
    <t>64Go 3200MHz DDR4 - 4x16Go ECC</t>
  </si>
  <si>
    <t>3-1-6-9</t>
  </si>
  <si>
    <t>Passages de cartes graphiques</t>
  </si>
  <si>
    <t xml:space="preserve">NVIDIA RTX A4000 (8Go, 5120 cœurs CUDA, 160 cœurs Tensor, 40 cœurs RT) </t>
  </si>
  <si>
    <t>3-1-6-11</t>
  </si>
  <si>
    <t>NVIDIA RTX A5000 (16Go, 6144 cœurs CUDA, 192 cœurs Tensor, 48 cœurs RT,  4xDP)</t>
  </si>
  <si>
    <t>3-1-6-12</t>
  </si>
  <si>
    <t>NVIDIA GeForce RTX 3080 (16Go  GDDR6, 6144 cœurs CUDA, certifiée VR)</t>
  </si>
  <si>
    <t>3-1-6-13</t>
  </si>
  <si>
    <t>Passages d'écran</t>
  </si>
  <si>
    <r>
      <t>Écran 17,3" non tactile antireflet FHD (1920 x 1080), 500 nits, 100% DCI-P3, webcam infrarouge et microphone</t>
    </r>
    <r>
      <rPr>
        <sz val="10"/>
        <color indexed="2"/>
        <rFont val="Calibri"/>
        <family val="2"/>
        <scheme val="minor"/>
      </rPr>
      <t xml:space="preserve"> - Incompatible 5G</t>
    </r>
  </si>
  <si>
    <t>3-1-6-16</t>
  </si>
  <si>
    <r>
      <t>Écran 17,3" non tactile antireflet UHD HDR400 (3840 x 2160), 500 nits, 100% Adobe, webcam infrarouge et microphone</t>
    </r>
    <r>
      <rPr>
        <sz val="10"/>
        <color indexed="2"/>
        <rFont val="Calibri"/>
        <family val="2"/>
        <scheme val="minor"/>
      </rPr>
      <t xml:space="preserve"> - Incompatible 5G</t>
    </r>
  </si>
  <si>
    <t>3-1-6-17</t>
  </si>
  <si>
    <t xml:space="preserve">Écran 17,3" non tactile antireflet UHD HDR400 (3840 x 2160), 500 nits,  100% Adobe, webcam et microphone </t>
  </si>
  <si>
    <t>3-1-6-18</t>
  </si>
  <si>
    <t>Clavier intégré rétroéclairé - Américain international (QWERTY)</t>
  </si>
  <si>
    <t>Batterie 6 cellules (95Wh) compatible ExpressCharge™</t>
  </si>
  <si>
    <t>3-1-6-19</t>
  </si>
  <si>
    <r>
      <t xml:space="preserve">Lecteur de cartes à puce - </t>
    </r>
    <r>
      <rPr>
        <sz val="10"/>
        <color indexed="2"/>
        <rFont val="Calibri"/>
        <family val="2"/>
        <scheme val="minor"/>
      </rPr>
      <t>Uniquement Windows</t>
    </r>
  </si>
  <si>
    <t>3-1-6-20</t>
  </si>
  <si>
    <r>
      <t>Lecteur d‘empreintes digitales, lecteur de cartes à puce et NFC</t>
    </r>
    <r>
      <rPr>
        <sz val="10"/>
        <color indexed="2"/>
        <rFont val="Calibri"/>
        <family val="2"/>
        <scheme val="minor"/>
      </rPr>
      <t xml:space="preserve"> - Uniquement Windows</t>
    </r>
  </si>
  <si>
    <t>3-1-6-21</t>
  </si>
  <si>
    <r>
      <t>Lecteur d‘empreintes digitales FIPS, lecteur de cartes à puce et NFC</t>
    </r>
    <r>
      <rPr>
        <sz val="10"/>
        <color indexed="2"/>
        <rFont val="Calibri"/>
        <family val="2"/>
        <scheme val="minor"/>
      </rPr>
      <t xml:space="preserve"> - Uniquement Windows</t>
    </r>
  </si>
  <si>
    <t>3-1-6-22</t>
  </si>
  <si>
    <t>Communication (wifi, 4G ...)</t>
  </si>
  <si>
    <t>3-1-6-23</t>
  </si>
  <si>
    <r>
      <t xml:space="preserve">Modem 5G intégré Qualcomm Snapdragon X55 LTE (DW5930e) - </t>
    </r>
    <r>
      <rPr>
        <sz val="10"/>
        <color indexed="2"/>
        <rFont val="Calibri"/>
        <family val="2"/>
        <scheme val="minor"/>
      </rPr>
      <t>incompatible  écrans avec caméra infrarouge et avec Ubuntu</t>
    </r>
  </si>
  <si>
    <t>Stations d'accueil</t>
  </si>
  <si>
    <t xml:space="preserve">210-AZBW </t>
  </si>
  <si>
    <t>3-0-2-6</t>
  </si>
  <si>
    <t>CATEGORIE 2 : VR avancée</t>
  </si>
  <si>
    <t>3-2-1-1a</t>
  </si>
  <si>
    <t>3-2-2-1a</t>
  </si>
  <si>
    <t>PRECISION 7560</t>
  </si>
  <si>
    <t>3-2-3-1a</t>
  </si>
  <si>
    <t>CATEGORIE 2 : extensions et périphériques associés, extensions de garantie, installation, etc.</t>
  </si>
  <si>
    <t>CAT2_Configuration n°1 - PRECISION 3650  format MT</t>
  </si>
  <si>
    <t>3-2-1-2</t>
  </si>
  <si>
    <t>3-2-1-3</t>
  </si>
  <si>
    <t>3-2-1-4</t>
  </si>
  <si>
    <t>3-2-1-5</t>
  </si>
  <si>
    <t>3-2-1-6</t>
  </si>
  <si>
    <t>3-2-1-7</t>
  </si>
  <si>
    <t>3-2-1-8</t>
  </si>
  <si>
    <t>3-2-1-9</t>
  </si>
  <si>
    <t>3-2-1-10</t>
  </si>
  <si>
    <t>3-2-1-11</t>
  </si>
  <si>
    <t>3-2-1-12</t>
  </si>
  <si>
    <t>3-2-1-13</t>
  </si>
  <si>
    <t>3-2-1-14</t>
  </si>
  <si>
    <t>3-2-1-15</t>
  </si>
  <si>
    <t>3-2-1-16</t>
  </si>
  <si>
    <t>16Go 3200MHz DDR4 ECC - 2x8Go</t>
  </si>
  <si>
    <t>3-2-1-17</t>
  </si>
  <si>
    <t xml:space="preserve">32Go 3200MHz DDR4 ECC - 2x16Go </t>
  </si>
  <si>
    <t>3-2-1-18</t>
  </si>
  <si>
    <t>64Go 3200MHz DDR4 ECC - 2x32Go</t>
  </si>
  <si>
    <t>3-2-1-19</t>
  </si>
  <si>
    <t>128Go 3200MHz DDR4 ECC - 4x32Go</t>
  </si>
  <si>
    <t>3-2-1-20</t>
  </si>
  <si>
    <t>3-2-1-21</t>
  </si>
  <si>
    <t>3-2-1-22</t>
  </si>
  <si>
    <t>3-2-1-27</t>
  </si>
  <si>
    <t>3-2-1-28</t>
  </si>
  <si>
    <t>3-2-1-29</t>
  </si>
  <si>
    <t>3-2-1-30</t>
  </si>
  <si>
    <t>3-2-1-23</t>
  </si>
  <si>
    <t>3-2-1-24</t>
  </si>
  <si>
    <t>3-2-1-25</t>
  </si>
  <si>
    <t>3-2-1-26</t>
  </si>
  <si>
    <t>3-2-1-31</t>
  </si>
  <si>
    <t>3-2-1-32</t>
  </si>
  <si>
    <t>3-2-1-33</t>
  </si>
  <si>
    <t>3-2-1-34</t>
  </si>
  <si>
    <t xml:space="preserve">AMD FirePro W6600 8Go (1792 cœurs, 4xDP ) </t>
  </si>
  <si>
    <t>3-2-1-35</t>
  </si>
  <si>
    <r>
      <t xml:space="preserve">NVIDIA RTX A2000 12Go (3228 cœurs CUDA, 4x mDP) </t>
    </r>
    <r>
      <rPr>
        <sz val="10"/>
        <color indexed="2"/>
        <rFont val="Calibri"/>
        <family val="2"/>
        <scheme val="minor"/>
      </rPr>
      <t>-</t>
    </r>
    <r>
      <rPr>
        <sz val="10"/>
        <rFont val="Calibri"/>
        <family val="2"/>
        <scheme val="minor"/>
      </rPr>
      <t xml:space="preserve"> </t>
    </r>
    <r>
      <rPr>
        <sz val="10"/>
        <color indexed="2"/>
        <rFont val="Calibri"/>
        <family val="2"/>
        <scheme val="minor"/>
      </rPr>
      <t>Incompatible Ubuntu</t>
    </r>
    <r>
      <rPr>
        <sz val="10"/>
        <rFont val="Calibri"/>
        <family val="2"/>
        <scheme val="minor"/>
      </rPr>
      <t xml:space="preserve"> </t>
    </r>
    <r>
      <rPr>
        <sz val="10"/>
        <color indexed="2"/>
        <rFont val="Calibri"/>
        <family val="2"/>
        <scheme val="minor"/>
      </rPr>
      <t>- Disponible à partir d'avril 2022</t>
    </r>
  </si>
  <si>
    <t>3-2-1-36</t>
  </si>
  <si>
    <t>3-2-1-56</t>
  </si>
  <si>
    <t>NVIDIA  RTX A4000 16Go (6144 cœurs CUDA, 192 cœurs Tensor, 48 cœurs RT, 3xDP + 1xVirtual Link)</t>
  </si>
  <si>
    <t>3-2-1-37</t>
  </si>
  <si>
    <t>3-2-1-38</t>
  </si>
  <si>
    <r>
      <t>NVIDIA RTX A5000 24Go (8192 cœurs CUDA, 256 cœurs Tensor gen3, 64 cœurs RT 2ème gen,  4xDP)</t>
    </r>
    <r>
      <rPr>
        <sz val="10"/>
        <color indexed="2"/>
        <rFont val="Calibri"/>
        <family val="2"/>
        <scheme val="minor"/>
      </rPr>
      <t xml:space="preserve"> - Passage nécessaire sur alimentation 550W  minimum</t>
    </r>
    <r>
      <rPr>
        <sz val="10"/>
        <rFont val="Calibri"/>
        <family val="2"/>
        <scheme val="minor"/>
      </rPr>
      <t xml:space="preserve"> - Incompatible Ubuntu</t>
    </r>
  </si>
  <si>
    <t>3-2-1-39</t>
  </si>
  <si>
    <r>
      <t xml:space="preserve">NVIDIA Geforce RTX3070 (8Go, 5888 cœurs CUDA, 184 cœurs Tensor gen3, 46 cœurs RTGen 2, 3xDP + 1xHDMI) - </t>
    </r>
    <r>
      <rPr>
        <sz val="10"/>
        <color indexed="2"/>
        <rFont val="Calibri"/>
        <family val="2"/>
        <scheme val="minor"/>
      </rPr>
      <t>Support uniquement Win10 - Passage nécessaire sur alimentation 550W  minimum</t>
    </r>
  </si>
  <si>
    <t>3-2-1-40</t>
  </si>
  <si>
    <r>
      <t xml:space="preserve">NVIDIA Geforce RTX3080 (10Go, 8704 cœurs CUDA, 272 cœurs Tensor gen3, 68 cœurs RTGen 2,  3xDP + 1xHDMI) - </t>
    </r>
    <r>
      <rPr>
        <sz val="10"/>
        <color indexed="2"/>
        <rFont val="Calibri"/>
        <family val="2"/>
        <scheme val="minor"/>
      </rPr>
      <t>Support uniquement Win10 - Necessite Core i7, 32 Go et alimentation 1000W  - Incompatible avec autres cartes d'extension</t>
    </r>
  </si>
  <si>
    <t>3-2-1-41</t>
  </si>
  <si>
    <r>
      <t xml:space="preserve">NVIDIA Geforce RTX3090 (24Go, 10496 cœurs CUDA, 328 cœurs Tensor gen3, 82 cœurs RTGen 2, 3xDP + 1xHDMI) - </t>
    </r>
    <r>
      <rPr>
        <sz val="10"/>
        <color indexed="2"/>
        <rFont val="Calibri"/>
        <family val="2"/>
        <scheme val="minor"/>
      </rPr>
      <t>Support uniquement Win10 - Necessite Core i7, 32 Go et alimentation 1000W  - Incompatible avec autres cartes d'extension</t>
    </r>
  </si>
  <si>
    <t>3-2-1-42</t>
  </si>
  <si>
    <t>3-2-1-43</t>
  </si>
  <si>
    <t>3-2-1-44</t>
  </si>
  <si>
    <t>3-2-1-45</t>
  </si>
  <si>
    <t>3-2-1-46</t>
  </si>
  <si>
    <t>3-2-1-47</t>
  </si>
  <si>
    <t>3-2-1-48</t>
  </si>
  <si>
    <t>3-2-1-49</t>
  </si>
  <si>
    <t>3-2-1-50</t>
  </si>
  <si>
    <t>3-2-1-53</t>
  </si>
  <si>
    <t>3-2-1-54</t>
  </si>
  <si>
    <t>3-2-1-55</t>
  </si>
  <si>
    <t>CAT2_Configuration n°2 - PRECISION 3650  format MT</t>
  </si>
  <si>
    <t>3-2-2-2</t>
  </si>
  <si>
    <t>3-2-2-3</t>
  </si>
  <si>
    <t>3-2-2-4</t>
  </si>
  <si>
    <t>3-2-2-5</t>
  </si>
  <si>
    <t>3-2-2-6</t>
  </si>
  <si>
    <t>3-2-2-7</t>
  </si>
  <si>
    <t>3-2-2-8</t>
  </si>
  <si>
    <t>3-2-2-9</t>
  </si>
  <si>
    <t>3-2-2-10</t>
  </si>
  <si>
    <t>3-2-2-11</t>
  </si>
  <si>
    <t>3-2-2-12</t>
  </si>
  <si>
    <t>3-2-2-13</t>
  </si>
  <si>
    <t>3-2-2-14</t>
  </si>
  <si>
    <t>3-2-2-15</t>
  </si>
  <si>
    <r>
      <t xml:space="preserve">NVIDIA Geforce RTX3070 (8Go, 5888 cœurs CUDA, 184 cœurs Tensor gen3, 46 cœurs RTGen 2, 3xDP + 1xHDMI) - </t>
    </r>
    <r>
      <rPr>
        <sz val="10"/>
        <color indexed="2"/>
        <rFont val="Calibri"/>
        <family val="2"/>
        <scheme val="minor"/>
      </rPr>
      <t xml:space="preserve">Support uniquement Win10 </t>
    </r>
  </si>
  <si>
    <t>3-2-2-17</t>
  </si>
  <si>
    <r>
      <t>NVIDIA Geforce RTX3080 (10Go, 8704 cœurs CUDA, 272 cœurs Tensor gen3, 68 cœurs RTGen 2,  3xDP + 1xHDMI) -</t>
    </r>
    <r>
      <rPr>
        <sz val="10"/>
        <color indexed="2"/>
        <rFont val="Calibri"/>
        <family val="2"/>
        <scheme val="minor"/>
      </rPr>
      <t xml:space="preserve"> Support uniquement Win10 - Passage nécessaire sur alimentation 1000W et incompatible avec autres cartes d'extension</t>
    </r>
  </si>
  <si>
    <t>3-2-2-18</t>
  </si>
  <si>
    <r>
      <t>NVIDIA Geforce RTX3090 (24Go, 10496 cœurs CUDA, 328 cœurs Tensor gen3, 82 cœurs RTGen 2, 3xDP + 1xHDMI)</t>
    </r>
    <r>
      <rPr>
        <sz val="10"/>
        <color indexed="2"/>
        <rFont val="Calibri"/>
        <family val="2"/>
        <scheme val="minor"/>
      </rPr>
      <t xml:space="preserve"> - Support uniquement Win10 - Passage nécessaire sur alimentation 1000W et incompatible avec autres cartes d'extension</t>
    </r>
  </si>
  <si>
    <t>3-2-2-19</t>
  </si>
  <si>
    <t>CAT2_Configuration n°3- PRECISION Mobile 7560</t>
  </si>
  <si>
    <t>Intel Core i9-11950H (8 Cœurs HT, 2.6-5.0GHz Turbo, 24 Mo cache)</t>
  </si>
  <si>
    <t>3-2-3-2</t>
  </si>
  <si>
    <t xml:space="preserve">Intel Xeon W-11855M (6 Cœurs HT, 3.2-4.9GHz Turbo, 18Mo cache) </t>
  </si>
  <si>
    <t>3-2-3-3</t>
  </si>
  <si>
    <t>3-2-3-4</t>
  </si>
  <si>
    <t>3-2-3-5</t>
  </si>
  <si>
    <t>3-2-3-6</t>
  </si>
  <si>
    <t>3-2-3-7</t>
  </si>
  <si>
    <t>3-2-3-8</t>
  </si>
  <si>
    <t>3-2-3-9</t>
  </si>
  <si>
    <t>3-2-3-10</t>
  </si>
  <si>
    <t>3-2-3-11</t>
  </si>
  <si>
    <t>3-2-3-12</t>
  </si>
  <si>
    <t>3-2-3-13</t>
  </si>
  <si>
    <t>3-2-3-15</t>
  </si>
  <si>
    <t>3-2-3-16</t>
  </si>
  <si>
    <t>3-2-3-17</t>
  </si>
  <si>
    <t>3-2-3-18</t>
  </si>
  <si>
    <t>3-2-3-19</t>
  </si>
  <si>
    <t>3-2-3-20</t>
  </si>
  <si>
    <t>3-2-3-21</t>
  </si>
  <si>
    <t>3-2-3-22</t>
  </si>
  <si>
    <r>
      <t>Écran 15,6" non tactile antireflet  FHD (1920 x 1080), 500 nits, 100% DCI-P3,  webcam infrarouge et microphone</t>
    </r>
    <r>
      <rPr>
        <sz val="10"/>
        <color indexed="2"/>
        <rFont val="Calibri"/>
        <family val="2"/>
        <scheme val="minor"/>
      </rPr>
      <t xml:space="preserve"> - Incompatible 5G</t>
    </r>
  </si>
  <si>
    <t>3-2-3-25</t>
  </si>
  <si>
    <r>
      <t>Écran 15,6" tactile antireflet  FHD (1920 x 1080), 500 nits, 100% DCI-P3,  webcam infrarouge et microphone</t>
    </r>
    <r>
      <rPr>
        <sz val="10"/>
        <color indexed="2"/>
        <rFont val="Calibri"/>
        <family val="2"/>
        <scheme val="minor"/>
      </rPr>
      <t xml:space="preserve"> - Incompatible 5G</t>
    </r>
  </si>
  <si>
    <t>3-2-3-26</t>
  </si>
  <si>
    <t>3-2-0-34</t>
  </si>
  <si>
    <t>3-2-0-35</t>
  </si>
  <si>
    <t xml:space="preserve">Option Batterie garantie 3 ans (passage) </t>
  </si>
  <si>
    <t>Batterie 6 cellules 95Wh compatible ExpressCharge™</t>
  </si>
  <si>
    <t>3-2-0-36</t>
  </si>
  <si>
    <t>Module de sécurité (biométrique …) - Uniuement Windows</t>
  </si>
  <si>
    <t>3-2-0-37</t>
  </si>
  <si>
    <t>3-2-0-38</t>
  </si>
  <si>
    <t>3-2-0-39</t>
  </si>
  <si>
    <t>3-2-0-40</t>
  </si>
  <si>
    <r>
      <t xml:space="preserve">Modem 5G intégré Qualcomm Snapdragon X55 LTE (DW5930e) </t>
    </r>
    <r>
      <rPr>
        <sz val="10"/>
        <color indexed="2"/>
        <rFont val="Calibri"/>
        <family val="2"/>
        <scheme val="minor"/>
      </rPr>
      <t xml:space="preserve">- Uniquement écran de base et Windows  </t>
    </r>
  </si>
  <si>
    <t>CATEGORIE 3 : Calcul</t>
  </si>
  <si>
    <t>PRECISION 5820 Tower</t>
  </si>
  <si>
    <t>3-3-1-1a</t>
  </si>
  <si>
    <t>PRECISION 7920 Tower</t>
  </si>
  <si>
    <t>3-3-2-1a</t>
  </si>
  <si>
    <t>PRECISION 7920 Rack</t>
  </si>
  <si>
    <t>3-3-3-1a</t>
  </si>
  <si>
    <t>CATEGORIE 3 : extensions et périphériques associés, extensions de garantie, installation, etc.</t>
  </si>
  <si>
    <t>CAT3_Configuration n°1 - Precision T5820 Tour</t>
  </si>
  <si>
    <t>Intel Xeon W-2225 (4 cœurs HT, 4.1Ghz, 4.6Ghz Turbo, 8.25M cache, 105W)</t>
  </si>
  <si>
    <t>3-3-1-2</t>
  </si>
  <si>
    <t>Intel Xeon W-2235 (6 cœurs HT, 3.8Ghz, 4.6GHzTurbo, 8.25M Cache, 130W)</t>
  </si>
  <si>
    <t>3-3-1-3</t>
  </si>
  <si>
    <t>Intel Xeon W-2245 (8 cœurs HT, 3.9Ghz , 4.7Ghz Turbo, 16.5M cache, 155W)</t>
  </si>
  <si>
    <t>3-3-1-4</t>
  </si>
  <si>
    <t>Intel Xeon W-2255 (10 cœurs HT, 3.7Ghz, 4.7Ghz Turbo, 19.25M cache, 165W)</t>
  </si>
  <si>
    <t>3-3-1-5</t>
  </si>
  <si>
    <t>Intel Xeon W-2265 (12 cœurs HT, 3.5Ghz, 4.8Ghz Turbo, 19.25M cache, 165W)</t>
  </si>
  <si>
    <t>3-3-1-6</t>
  </si>
  <si>
    <t>Intel Xeon W-2275 (14 cœurs HT, 3.3GHz, 4.8 GHz Turbo, 19.25M cache, 165W)</t>
  </si>
  <si>
    <t>3-3-1-7</t>
  </si>
  <si>
    <t>Intel Xeon W-2295 (18 cœurs HT, 3.0GHz, 4.6 GHz Turbo, 24.75M cache, 165W)</t>
  </si>
  <si>
    <t>3-3-1-8</t>
  </si>
  <si>
    <t>64Go 3200 MHz DDR4 - 4x16Go ECC</t>
  </si>
  <si>
    <t>3-3-1-9</t>
  </si>
  <si>
    <r>
      <t xml:space="preserve">128Go 3200 MHz DDR4 - 2x64Go ECC </t>
    </r>
    <r>
      <rPr>
        <sz val="10"/>
        <color indexed="2"/>
        <rFont val="Calibri"/>
        <family val="2"/>
        <scheme val="minor"/>
      </rPr>
      <t>- Nécessite disque de demarage de 512Go avec Windows 10</t>
    </r>
  </si>
  <si>
    <t>3-3-1-10</t>
  </si>
  <si>
    <r>
      <t xml:space="preserve">128Go 3200 MHz DDR4 - 4x32Go ECC </t>
    </r>
    <r>
      <rPr>
        <sz val="10"/>
        <color indexed="2"/>
        <rFont val="Calibri"/>
        <family val="2"/>
        <scheme val="minor"/>
      </rPr>
      <t>- Nécessite disque de demarage de 512Go avec Windows 10</t>
    </r>
  </si>
  <si>
    <t>3-3-1-11</t>
  </si>
  <si>
    <r>
      <t xml:space="preserve">256Go 3200 MHz DDR4 - 4x64Go ECC </t>
    </r>
    <r>
      <rPr>
        <sz val="10"/>
        <color indexed="2"/>
        <rFont val="Calibri"/>
        <family val="2"/>
        <scheme val="minor"/>
      </rPr>
      <t>- Nécessite disque de demarage de 512Go avec Windows 10</t>
    </r>
  </si>
  <si>
    <t>3-3-1-12</t>
  </si>
  <si>
    <r>
      <t xml:space="preserve">256Go 3200 MHz DDR4 - 8x32Go ECC </t>
    </r>
    <r>
      <rPr>
        <sz val="10"/>
        <color indexed="2"/>
        <rFont val="Calibri"/>
        <family val="2"/>
        <scheme val="minor"/>
      </rPr>
      <t>- Nécessite disque de demarage de 512Go avec Windows 10</t>
    </r>
  </si>
  <si>
    <t>3-3-1-13</t>
  </si>
  <si>
    <r>
      <t xml:space="preserve">512Go 3200 MHz DDR4 - 8x64Go ECC </t>
    </r>
    <r>
      <rPr>
        <sz val="10"/>
        <color indexed="2"/>
        <rFont val="Calibri"/>
        <family val="2"/>
        <scheme val="minor"/>
      </rPr>
      <t>- Nécessite disque de demarage de 1To avec Windows 10</t>
    </r>
  </si>
  <si>
    <t>3-3-1-14</t>
  </si>
  <si>
    <t>Passages de disque dur - M2, SSD,HD, …</t>
  </si>
  <si>
    <t>Carte Duo PCIe X8 avec 1 disque</t>
  </si>
  <si>
    <t>Dell ultra Speed drive Duo Pcie X8 avec 1 disque SSD 1To M.2 PCIe NVMe Classe 40</t>
  </si>
  <si>
    <t>3-3-1-15</t>
  </si>
  <si>
    <t>Dell ultra Speed drive Duo Pcie X8 avec 1 disque SSD 2 To M.2 PCIe NVMe Classe 40</t>
  </si>
  <si>
    <t>3-3-1-16</t>
  </si>
  <si>
    <t>Carte Duo PCIe X8 avec 2 disques</t>
  </si>
  <si>
    <t>Dell ultra Speed drive Duo Pcie X8 avec 2 disques SSD 512 Go M.2 PCIe NVMe Classe 40</t>
  </si>
  <si>
    <t>3-3-1-17</t>
  </si>
  <si>
    <t>Dell ultra Speed drive Duo Pcie X8 avec 2 disques SSD 1 To M.2 PCIe NVMe Classe 40</t>
  </si>
  <si>
    <t>3-3-1-18</t>
  </si>
  <si>
    <t>Dell ultra Speed drive Duo Pcie X8 avec 2 disques SSD 2 To M.2 PCIe NVMe Classe 40</t>
  </si>
  <si>
    <t>3-3-1-19</t>
  </si>
  <si>
    <t>Carte Quad PCIe X16 avec 1 disque</t>
  </si>
  <si>
    <t>Dell ultra Speed drive Quad  Pcie X16 avec 1 disque SSD 512Go M.2 PCIe NVMe Classe 40</t>
  </si>
  <si>
    <t>3-3-1-20</t>
  </si>
  <si>
    <t>Dell ultra Speed drive Quad  Pcie X16 avec 1 disque SSD 1To M.2 PCIe NVMe Classe 40</t>
  </si>
  <si>
    <t>3-3-1-21</t>
  </si>
  <si>
    <t>Dell ultra Speed drive Quad Pcie X16 avec 1 disque SSD 2 To M.2 PCIe NVMe Classe 40</t>
  </si>
  <si>
    <t>3-3-1-22</t>
  </si>
  <si>
    <t>Carte Quad PCIe X16 avec 2 disques</t>
  </si>
  <si>
    <t>Dell ultra Speed drive Quad  Pcie X16 avec 2 disques SSD 512Go M.2 PCIe NVMe Classe 40</t>
  </si>
  <si>
    <t>3-3-1-23</t>
  </si>
  <si>
    <t>Dell ultra Speed drive Quad Pcie X16 avec 2 disques SSD 1To M.2 PCIe NVMe Classe 40</t>
  </si>
  <si>
    <t>3-3-1-24</t>
  </si>
  <si>
    <t>Dell ultra Speed drive Quad Pcie X16 avec 2 disque SSD 2 To M.2 PCIe NVMe Classe 40</t>
  </si>
  <si>
    <t>3-3-1-25</t>
  </si>
  <si>
    <t>Carte Quad PCIe X16 avec 3 disques</t>
  </si>
  <si>
    <t>Dell ultra Speed drive Quad Pcie X16 avec 3 disques SSD 512 Go M.2 PCIe NVMe Classe 40</t>
  </si>
  <si>
    <t>3-3-1-26</t>
  </si>
  <si>
    <t>Dell ultra Speed drive Quad Pcie X16 avec 3 disques SSD 1 To M.2 PCIe NVMe Classe 40</t>
  </si>
  <si>
    <t>3-3-1-27</t>
  </si>
  <si>
    <t xml:space="preserve">Dell ultra Speed drive Quad Pcie X16 avec 3 disques SSD 2 To M.2 PCIe NVMe Class 40 </t>
  </si>
  <si>
    <t>3-3-1-28</t>
  </si>
  <si>
    <t>Carte Quad PCIe X16 avec 4 disques</t>
  </si>
  <si>
    <t>Dell ultra Speed drive Quad Pcie X16 avec 4 disques SSD 512 Go M.2 PCIe NVMe Classe 40</t>
  </si>
  <si>
    <t>3-3-1-29</t>
  </si>
  <si>
    <t>Dell ultra Speed drive Quad Pcie X16 avec 4 disques SSD 1 To M.2 PCIe NVMe Classe 40</t>
  </si>
  <si>
    <t>3-3-1-30</t>
  </si>
  <si>
    <t xml:space="preserve">Dell ultra Speed drive Quad Pcie X16 avec 4 disques SSD 2 To M.2 PCIe NVMe Class 40 </t>
  </si>
  <si>
    <t>3-3-1-31</t>
  </si>
  <si>
    <t xml:space="preserve">Configuration RAID Ultraspeed - Non compatible Ubuntu </t>
  </si>
  <si>
    <t>Demarrage et RAID 0 (3 à 4 disques requis) - Inclus le passage sur contrôleur AHCI avec clé vROC</t>
  </si>
  <si>
    <t>3-3-1-33</t>
  </si>
  <si>
    <t>RAID 0 (2 à 4 disques identiques) - Inclus le passage sur contrôleur AHCI avec clé vROC</t>
  </si>
  <si>
    <t>3-3-1-34</t>
  </si>
  <si>
    <t>Demarrage et RAID 1 (3 disques) - Inclus le passage sur contrôleur AHCI avec clé vROC</t>
  </si>
  <si>
    <t>3-3-1-35</t>
  </si>
  <si>
    <t>RAID 1 (2  disques identiques) - Inclus le passage sur contrôleur AHCI avec clé vROC</t>
  </si>
  <si>
    <t>3-3-1-36</t>
  </si>
  <si>
    <t>RAID 10 (4 disques identiques) - Inclus le passage sur contrôleur AHCI avec clé vROC</t>
  </si>
  <si>
    <t>3-3-1-37</t>
  </si>
  <si>
    <t>Ajout disques supplémentaires SATA 3,5'' (jusqu'à 4 disques)</t>
  </si>
  <si>
    <t>DD 1To 7200 tr/min 3"5</t>
  </si>
  <si>
    <t>3-3-1-38</t>
  </si>
  <si>
    <t>DD 2To 7200 tr/min 3"5</t>
  </si>
  <si>
    <t>3-3-1-39</t>
  </si>
  <si>
    <t>3-3-1-40</t>
  </si>
  <si>
    <t>DD 8To 7200 Tr/min 3,5" Enterprise</t>
  </si>
  <si>
    <t>3-3-1-41</t>
  </si>
  <si>
    <t>DD 12To 7200 Tr/min 3,5" Enterprise</t>
  </si>
  <si>
    <t>3-3-1-42</t>
  </si>
  <si>
    <t>Contrôleur disque (Passage) - Non compatible avec Ubuntu</t>
  </si>
  <si>
    <t>Contrôleur additionnel RAID logiciel PCIe SATA/SAS 12 Gbit/s MegaRAID® SAS 9440-8i, RAID logiciel 0/1/5/10</t>
  </si>
  <si>
    <t>3-3-1-43</t>
  </si>
  <si>
    <t xml:space="preserve">Contrôleur additionnel RAID matériel PCIe SATA/SAS 12 Gbit/s MegaRAID® SAS 9460-16i (4Go de mémoire cache), RAID matériel 0/1/5/10 </t>
  </si>
  <si>
    <t>3-3-1-44</t>
  </si>
  <si>
    <t>Configuration RAID SATA 3,5'' - Non compatible avec Ubuntu</t>
  </si>
  <si>
    <t xml:space="preserve">RAID 1 - Uniquement compatible avec 2 disques identiques 3,5’’ </t>
  </si>
  <si>
    <t>3-3-1-45</t>
  </si>
  <si>
    <t xml:space="preserve">RAID 0 - Uniquement compatible avec 2 à 4 disques identiques 3,5’’ </t>
  </si>
  <si>
    <t>3-3-1-46</t>
  </si>
  <si>
    <t xml:space="preserve">RAID 5 - Uniquement compatible avec 3 à 4 disques identiques 3,5’’ </t>
  </si>
  <si>
    <t>3-3-1-47</t>
  </si>
  <si>
    <t xml:space="preserve">RAID 10 - Uniquement compatible avec 4 disques identiques 3,5’’ </t>
  </si>
  <si>
    <t>3-3-1-48</t>
  </si>
  <si>
    <t>Cartes graphiques Professionnelles AMD</t>
  </si>
  <si>
    <t>3-3-1-49</t>
  </si>
  <si>
    <t>3-3-1-50</t>
  </si>
  <si>
    <t>AMD FirePro W6600 8Go (1792 cœurs, 4xDP )</t>
  </si>
  <si>
    <t xml:space="preserve">AMD FirePro W6800 32Go (3840 cœurs, 6xmDP ) </t>
  </si>
  <si>
    <t>Cartes graphiques Professionnelles NVIDIA</t>
  </si>
  <si>
    <t xml:space="preserve">NVIDIA T1000 8Go (896 cœurs CUDA, 4x mDP) </t>
  </si>
  <si>
    <t xml:space="preserve">NVIDIA RTX A2000 6Go (3228 cœurs CUDA, 4x mDP) </t>
  </si>
  <si>
    <r>
      <t xml:space="preserve">NVIDIA  RTX A4000 16Go (6144 cœurs CUDA, 192 cœurs Tensor, 48 cœurs RT, 4xDP) - </t>
    </r>
    <r>
      <rPr>
        <sz val="10"/>
        <color indexed="2"/>
        <rFont val="Calibri"/>
        <family val="2"/>
        <scheme val="minor"/>
      </rPr>
      <t>Incompatible Ubuntu</t>
    </r>
  </si>
  <si>
    <t>3-3-1-60</t>
  </si>
  <si>
    <t>NVIDIA RTX A5000 24Go (8192 cœurs CUDA, 256 cœurs Tensor gen3, 64 cœurs RT 2ème gen,  4xDP)</t>
  </si>
  <si>
    <t>3-3-1-62</t>
  </si>
  <si>
    <t>NVIDIA RTX A6000 48Go (10752 cœurs CUDA, 336 cœurs Tenosr Gen3, 84 cœurs RT Gen2, 4xDP)</t>
  </si>
  <si>
    <t xml:space="preserve">NVIDIA Quadro GV100 (32 Go, 5120 cœurs CUDA, 640 cœurs Tensor, 4xDP, optimisée Deep Learning)  </t>
  </si>
  <si>
    <t>3-3-1-64</t>
  </si>
  <si>
    <t xml:space="preserve">NVIDIA Quadro GV100 32 Go (5120 cœurs CUDA, 640 cœurs Tensor, 4xDP, optimisée Deep Learning)  </t>
  </si>
  <si>
    <r>
      <t xml:space="preserve">NVIDIA Geforce RTX3080 (10Go, 3xDP + 1xHDMI) </t>
    </r>
    <r>
      <rPr>
        <sz val="10"/>
        <color indexed="2"/>
        <rFont val="Calibri"/>
        <family val="2"/>
        <scheme val="minor"/>
      </rPr>
      <t>- Incompatible Ubuntu et ne permet ne permet de sélectionner qu'une seule carte PCIe additionnelle  - Incompatible avec carte MegaRAID</t>
    </r>
  </si>
  <si>
    <t>3-3-1-65</t>
  </si>
  <si>
    <r>
      <t xml:space="preserve">NVIDIA Geforce RTX3090 (24Go, 3xDP + 1xHDMI) </t>
    </r>
    <r>
      <rPr>
        <sz val="10"/>
        <color indexed="2"/>
        <rFont val="Calibri"/>
        <family val="2"/>
        <scheme val="minor"/>
      </rPr>
      <t>- Incompatible Ubuntu et ne permet ne permet de sélectionner qu'une seule carte PCIe additionnelle - Incompatible avec carte MegaRAID</t>
    </r>
  </si>
  <si>
    <t>3-3-1-66</t>
  </si>
  <si>
    <t>Doubles cartes graphiques Professionnelles NVIDIA</t>
  </si>
  <si>
    <t xml:space="preserve">Doubles cartes graphiques Professionnelles NVIDIA </t>
  </si>
  <si>
    <r>
      <t xml:space="preserve">2x NVIDIA  RTX A4500 20Go (7168 cœurs CUDA, 224 cœurs Tensor, 56 cœurs RT, 4xDP) </t>
    </r>
    <r>
      <rPr>
        <sz val="10"/>
        <color indexed="2"/>
        <rFont val="Calibri"/>
        <family val="2"/>
        <scheme val="minor"/>
      </rPr>
      <t>- Uniquement Windows</t>
    </r>
  </si>
  <si>
    <t>3-3-1-83</t>
  </si>
  <si>
    <r>
      <t xml:space="preserve">2x NVIDIA  RTX A4500 20Go NV Link (7168 cœurs CUDA, 224 cœurs Tensor, 56 cœurs RT, 4xDP) </t>
    </r>
    <r>
      <rPr>
        <sz val="10"/>
        <color indexed="2"/>
        <rFont val="Calibri"/>
        <family val="2"/>
        <scheme val="minor"/>
      </rPr>
      <t>- Uniquement Windows</t>
    </r>
  </si>
  <si>
    <t>3-3-1-84</t>
  </si>
  <si>
    <r>
      <t xml:space="preserve">2 x NVIDIA RTX A5000 (24Go, 8192 cœurs CUDA, 256 cœurs Tensor gen3, 64 cœurs RT 2ème gen,  4xDP) </t>
    </r>
    <r>
      <rPr>
        <sz val="10"/>
        <color indexed="2"/>
        <rFont val="Calibri"/>
        <family val="2"/>
        <scheme val="minor"/>
      </rPr>
      <t>- Multi Display non supporté sous Ubuntu : usage uniquement pour calcul GPU (DataScience ou DL/ML/AI)</t>
    </r>
  </si>
  <si>
    <t>3-3-1-68</t>
  </si>
  <si>
    <r>
      <t xml:space="preserve">2 x NVIDIA RTX A5000 NV Link (24Go, 8192 cœurs CUDA, 256 cœurs Tensor gen3, 64 cœurs RT 2ème gen,  4xDP) </t>
    </r>
    <r>
      <rPr>
        <sz val="10"/>
        <color indexed="2"/>
        <rFont val="Calibri"/>
        <family val="2"/>
        <scheme val="minor"/>
      </rPr>
      <t>- Multi Display non supporté sous Ubuntu : usage uniquement pour calcul GPU (DataScience ou DL/ML/AI)</t>
    </r>
  </si>
  <si>
    <t>3-3-1-85</t>
  </si>
  <si>
    <t>Graveur DVD+/-RW 8x ultraplat</t>
  </si>
  <si>
    <t>3-3-1-72</t>
  </si>
  <si>
    <t>Graveur DVD+/-RW demi-hauteur 16x sur FlexBay 5,25"</t>
  </si>
  <si>
    <t>3-3-1-73</t>
  </si>
  <si>
    <t>Graveur Blu-Ray 8x demi-hauteur sur FlexBay 5,25"</t>
  </si>
  <si>
    <t>3-3-1-74</t>
  </si>
  <si>
    <t>Cartes d'interface aditionnelles (hors unités de stockage de masse)</t>
  </si>
  <si>
    <t>3-3-1-76</t>
  </si>
  <si>
    <t>3-3-1-77</t>
  </si>
  <si>
    <t xml:space="preserve">Seconde carte PCIe d'interface réseau Intel® X550-T2 à deux ports 10 GbE </t>
  </si>
  <si>
    <t>3-3-1-78</t>
  </si>
  <si>
    <t>Carte Intel Dual Band Wireless AC 8265 (802.11ac) 2x2 + module Bluetooth</t>
  </si>
  <si>
    <t>3-3-1-79</t>
  </si>
  <si>
    <t>3-3-1-80</t>
  </si>
  <si>
    <t>Carte PCIe Thunderbolt 3</t>
  </si>
  <si>
    <t>3-3-1-81</t>
  </si>
  <si>
    <t>3-3-1-75</t>
  </si>
  <si>
    <t>Kit de mise en rack</t>
  </si>
  <si>
    <t xml:space="preserve">Kit de mise en rack (4U) avec Rails coulissants </t>
  </si>
  <si>
    <t>770-BBJJ et 770-BDFB</t>
  </si>
  <si>
    <t>3-3-1-82</t>
  </si>
  <si>
    <t>3-0-3-8</t>
  </si>
  <si>
    <t>3-0-3-9</t>
  </si>
  <si>
    <t>3-0-3-10</t>
  </si>
  <si>
    <t>3-0-3-11</t>
  </si>
  <si>
    <t>CAT3_Configuration n°2 - Precision T7920 Tour</t>
  </si>
  <si>
    <t>2 x Intel Xeon Silver</t>
  </si>
  <si>
    <t>2x Intel Xeon Silver 4210R (10 Coeurs, 2.4-3.2GHz Turbo, 13.75Mo cache, 100W)</t>
  </si>
  <si>
    <t>3-3-2-2</t>
  </si>
  <si>
    <t>2x Intel Xeon Silver 4214R (12 Coeurs, 2.4-3.5GHz Turbo, 16.5Mo cache, 100W)</t>
  </si>
  <si>
    <t>3-3-2-3</t>
  </si>
  <si>
    <t>2x Intel Xeon Silver 4215R (8 Coeurs, 3.2-4.0GHz Turbo, 11Mo cache, 130W)</t>
  </si>
  <si>
    <t>3-3-2-4</t>
  </si>
  <si>
    <t>2x Intel Xeon Silver 4216 (16 Coeurs, 2.1-3.2GHz Turbo, 22Mo cache, 100W)</t>
  </si>
  <si>
    <t>3-3-2-5</t>
  </si>
  <si>
    <t>2 x Intel Xeon Gold</t>
  </si>
  <si>
    <t>2x Intel Xeon Gold 5218R (20 Coeurs, 2.1-4.0GHz Turbo, 22Mo cache, 125W)</t>
  </si>
  <si>
    <t>3-3-2-6</t>
  </si>
  <si>
    <t>2x Intel Xeon Gold 5220R (24 Coeurs, 2.2-4.0GHz Turbo, 35,75Mo cache, 150W)</t>
  </si>
  <si>
    <t>3-3-2-7</t>
  </si>
  <si>
    <t>2x Intel Xeon Gold 6226R (16 Cœurs, 2.9-3.9GHz Turbo, 22Mo Cache, 150W)</t>
  </si>
  <si>
    <t>3-3-2-8</t>
  </si>
  <si>
    <t>2x Intel Xeon Gold 6230R (26 Cœurs, 2.1-4.0GHz Turbo, 35.75Mo Cache, 150W)</t>
  </si>
  <si>
    <t>3-3-2-9</t>
  </si>
  <si>
    <t>2x Intel Xeon Gold 6240R (24 Coeurs, 2.4-4.0GHz Turbo, 35.75Mo cache, 165W)</t>
  </si>
  <si>
    <t>3-3-2-10</t>
  </si>
  <si>
    <t>2x Intel Xeon Gold 6246R (16 Coeurs, 3.4-4.1GHz Turbo, 35.75Mo cache, 205W)</t>
  </si>
  <si>
    <t>3-3-2-11</t>
  </si>
  <si>
    <t>2x Intel Xeon Gold 6248R (24 Coeurs, 3.0-4.0GHz Turbo, 35.75Mo cache, 205W)</t>
  </si>
  <si>
    <t>3-3-2-12</t>
  </si>
  <si>
    <t>2x Intel Xeon Gold 6254 (18 Coeurs, 3.1-4.0GHz Turbo, 24.75Mo cache, 200W)</t>
  </si>
  <si>
    <t>3-3-2-13</t>
  </si>
  <si>
    <t>2x Intel Xeon Gold 6258R (28 Coeurs, 2.7-4.0GHz Turbo, 38.5Mo cache, 205W)</t>
  </si>
  <si>
    <t>3-3-2-14</t>
  </si>
  <si>
    <t>2 x Intel Xeon Platinum</t>
  </si>
  <si>
    <t>2x Intel Xeon Platinum 8253 (16 Coeurs, 2.2-3.0GHz Turbo, 22Mo cache, 125W)</t>
  </si>
  <si>
    <t>3-3-2-15</t>
  </si>
  <si>
    <t>2x Intel Xeon Platinum  8260 (24 Coeurs, 2.4-3.9GHz Turbo, 35.75Mo cache, 165W)</t>
  </si>
  <si>
    <t>3-3-2-16</t>
  </si>
  <si>
    <r>
      <t>2x Intel Xeon Platinum 8260L (24 Coeurs, 2.4-3.9GHz Turbo, 35.75Mo cache, 165W)</t>
    </r>
    <r>
      <rPr>
        <sz val="10"/>
        <color indexed="2"/>
        <rFont val="Calibri"/>
        <family val="2"/>
        <scheme val="minor"/>
      </rPr>
      <t xml:space="preserve"> - Supporte Mémoire 1To par CPU</t>
    </r>
  </si>
  <si>
    <t>3-3-2-17</t>
  </si>
  <si>
    <t xml:space="preserve">2x Intel Xeon Platinum 8276 (28 Coeurs, 2.2-4.0GHz Turbo, 38.5Mo cache, 165W) </t>
  </si>
  <si>
    <t>3-3-2-18</t>
  </si>
  <si>
    <r>
      <t>2x Intel XeonPlatinum 8276L (28 Coeurs, 2.2-4.0GHz Turbo, 38.5Mo cache, 165W)</t>
    </r>
    <r>
      <rPr>
        <sz val="10"/>
        <color indexed="2"/>
        <rFont val="Calibri"/>
        <family val="2"/>
        <scheme val="minor"/>
      </rPr>
      <t xml:space="preserve"> - Supporte Mémoire 1To par CPU</t>
    </r>
  </si>
  <si>
    <t>3-3-2-19</t>
  </si>
  <si>
    <t xml:space="preserve">2x Intel Xeon Platinum 8280 (28 Coeurs, 2.7-4.0GHz Turbo, 38.5Mo cache, 205W) </t>
  </si>
  <si>
    <t>3-3-2-20</t>
  </si>
  <si>
    <r>
      <t>2x Intel Xeon Platinum 8280L (28 Coeurs, 2.7-4.0GHz Turbo, 38.5Mo cache, 205W)</t>
    </r>
    <r>
      <rPr>
        <sz val="10"/>
        <color indexed="2"/>
        <rFont val="Calibri"/>
        <family val="2"/>
        <scheme val="minor"/>
      </rPr>
      <t xml:space="preserve"> - Supporte Mémoire 1To par CPU</t>
    </r>
  </si>
  <si>
    <t>3-3-2-21</t>
  </si>
  <si>
    <t>128Go 3200 MHz DDR4 - 2x64Go ECC</t>
  </si>
  <si>
    <t>3-3-2-22</t>
  </si>
  <si>
    <t>370-AESG</t>
  </si>
  <si>
    <t>128Go 3200 MHz DDR4 - 8x16Go ECC</t>
  </si>
  <si>
    <t>3-3-2-23</t>
  </si>
  <si>
    <t>370-AESV</t>
  </si>
  <si>
    <t>192Go 3200 MHz DDR4 - 12x16Go ECC</t>
  </si>
  <si>
    <t>3-3-2-24</t>
  </si>
  <si>
    <t>370-AESS</t>
  </si>
  <si>
    <r>
      <t xml:space="preserve">256Go 3200 MHz DDR4 - 4x64Go ECC - </t>
    </r>
    <r>
      <rPr>
        <sz val="10"/>
        <color indexed="2"/>
        <rFont val="Calibri"/>
        <family val="2"/>
        <scheme val="minor"/>
      </rPr>
      <t>Nécessite disque de demarage de 512Go avec Windows 10</t>
    </r>
  </si>
  <si>
    <t>3-3-2-25</t>
  </si>
  <si>
    <t>370-AESO</t>
  </si>
  <si>
    <r>
      <t xml:space="preserve">384Go 3200 MHz DDR4 - 12x32Go ECC - </t>
    </r>
    <r>
      <rPr>
        <sz val="10"/>
        <color indexed="2"/>
        <rFont val="Calibri"/>
        <family val="2"/>
        <scheme val="minor"/>
      </rPr>
      <t>Nécessite disque de demarage de 1To avec Windows 10</t>
    </r>
  </si>
  <si>
    <t>3-3-2-26</t>
  </si>
  <si>
    <t>370-AESK</t>
  </si>
  <si>
    <r>
      <t xml:space="preserve">512Go 3200 MHz DDR4 - 8x64Go ECC - </t>
    </r>
    <r>
      <rPr>
        <sz val="10"/>
        <color indexed="2"/>
        <rFont val="Calibri"/>
        <family val="2"/>
        <scheme val="minor"/>
      </rPr>
      <t>Nécessite disque de demarage de 1To avec Windows 10</t>
    </r>
  </si>
  <si>
    <t>3-3-2-27</t>
  </si>
  <si>
    <t>370-AESU</t>
  </si>
  <si>
    <r>
      <t>768Go 3200 MHz DDR4  - 12x64Go ECC</t>
    </r>
    <r>
      <rPr>
        <sz val="10"/>
        <color indexed="2"/>
        <rFont val="Calibri"/>
        <family val="2"/>
        <scheme val="minor"/>
      </rPr>
      <t xml:space="preserve"> - Nécessite disque de demarage de 2To avec Windows 10</t>
    </r>
  </si>
  <si>
    <t>3-3-2-28</t>
  </si>
  <si>
    <t>370-AESE</t>
  </si>
  <si>
    <r>
      <t>1 To 3200 MHz DDR4 - 8x128Go ECC</t>
    </r>
    <r>
      <rPr>
        <sz val="10"/>
        <color indexed="2"/>
        <rFont val="Calibri"/>
        <family val="2"/>
        <scheme val="minor"/>
      </rPr>
      <t xml:space="preserve"> - Nécessite disque de demarage de 2To avec Windows 10</t>
    </r>
  </si>
  <si>
    <t>370-ADTH</t>
  </si>
  <si>
    <t>3-3-2-69</t>
  </si>
  <si>
    <r>
      <t>1.5To 3200 MHz DDR4 - 12x128Go ECC</t>
    </r>
    <r>
      <rPr>
        <sz val="10"/>
        <color indexed="2"/>
        <rFont val="Calibri"/>
        <family val="2"/>
        <scheme val="minor"/>
      </rPr>
      <t xml:space="preserve"> - Nécessite disque de demarage de 4To avec Windows 10</t>
    </r>
  </si>
  <si>
    <t>370-AGGQ</t>
  </si>
  <si>
    <t>3-3-2-70</t>
  </si>
  <si>
    <r>
      <t xml:space="preserve">2To 3200 MHz DDR4 - 16x128Go ECC </t>
    </r>
    <r>
      <rPr>
        <sz val="10"/>
        <color indexed="2"/>
        <rFont val="Calibri"/>
        <family val="2"/>
        <scheme val="minor"/>
      </rPr>
      <t>- Nécessite disque de demarage de 4To avec Windows 10</t>
    </r>
  </si>
  <si>
    <t>3-3-2-31</t>
  </si>
  <si>
    <t>370-AGGT</t>
  </si>
  <si>
    <r>
      <t>3To 3200 MHz DDR4 - 24x128Go ECC</t>
    </r>
    <r>
      <rPr>
        <sz val="10"/>
        <color indexed="2"/>
        <rFont val="Calibri"/>
        <family val="2"/>
        <scheme val="minor"/>
      </rPr>
      <t>- Nécessite disque de demarage de 8To avec Windows 10</t>
    </r>
  </si>
  <si>
    <t>3-3-2-32</t>
  </si>
  <si>
    <t>370-AGGV</t>
  </si>
  <si>
    <t>Passages de disque dur - M2, SSD,HD, ...</t>
  </si>
  <si>
    <t>3-3-2-33</t>
  </si>
  <si>
    <t>3-3-2-34</t>
  </si>
  <si>
    <t>3-3-2-35</t>
  </si>
  <si>
    <t>Dell ultra Speed drive Quad Pcie X16 avec 1 disque SSD 1To M.2 PCIe NVMe Classe 40</t>
  </si>
  <si>
    <t>3-3-2-36</t>
  </si>
  <si>
    <t>3-3-2-37</t>
  </si>
  <si>
    <t>3-3-2-38</t>
  </si>
  <si>
    <t>3-3-2-39</t>
  </si>
  <si>
    <t>3-3-2-40</t>
  </si>
  <si>
    <t>3-3-2-41</t>
  </si>
  <si>
    <t>3-3-2-42</t>
  </si>
  <si>
    <t>3-3-2-43</t>
  </si>
  <si>
    <t>3-3-2-44</t>
  </si>
  <si>
    <t>3-3-2-45</t>
  </si>
  <si>
    <t>Double carte Quad PCIe X16 avec 4 disques</t>
  </si>
  <si>
    <t>2 xDell ultra Speed drive Quad Pcie X16 avec 4 disques SSD 512 Go M.2 PCIe NVMe Classe 40</t>
  </si>
  <si>
    <t>3-3-2-46</t>
  </si>
  <si>
    <t>2 xDell ultra Speed drive Quad Pcie X16 avec 4 disques SSD 1To M.2 PCIe NVMe Classe 40</t>
  </si>
  <si>
    <t>3-3-2-47</t>
  </si>
  <si>
    <t>Ajout disques supplémentaires SATA 3,5'' (jusqu'à 8 disques)</t>
  </si>
  <si>
    <t xml:space="preserve">Contrôleur additionnel RAID logiciel PCIe SATA/SAS 12 Gbit/s MegaRAID® SAS 9440-8i, RAID logiciel 0/1/5/10 </t>
  </si>
  <si>
    <t xml:space="preserve">RAID 5 - Uniquement compatible avec 3 à 8 disques identiques 3,5’’ </t>
  </si>
  <si>
    <t xml:space="preserve">RAID 10 - Uniquement compatible avec 4/6/8 disques identiques 3,5’’ </t>
  </si>
  <si>
    <t>3-3-2-71</t>
  </si>
  <si>
    <t>3-3-2-72</t>
  </si>
  <si>
    <t>3-3-2-73</t>
  </si>
  <si>
    <t>3-3-2-74</t>
  </si>
  <si>
    <t>3-3-2-75</t>
  </si>
  <si>
    <t>3-3-2-68</t>
  </si>
  <si>
    <r>
      <t>NVIDIA  RTX A4000 16Go (6144 cœurs CUDA, 192 cœurs Tensor, 48 cœurs RT, 4xDP)  -</t>
    </r>
    <r>
      <rPr>
        <sz val="10"/>
        <color indexed="2"/>
        <rFont val="Calibri"/>
        <family val="2"/>
        <scheme val="minor"/>
      </rPr>
      <t xml:space="preserve"> Uniquement Windows</t>
    </r>
  </si>
  <si>
    <t>3-3-2-76</t>
  </si>
  <si>
    <t>3-3-2-55</t>
  </si>
  <si>
    <t>3-3-2-57</t>
  </si>
  <si>
    <t>3-3-2-59</t>
  </si>
  <si>
    <r>
      <t xml:space="preserve">NVIDIA Geforce RTX3080 (10Go, 3xDP + 1xHDMI) </t>
    </r>
    <r>
      <rPr>
        <sz val="10"/>
        <color indexed="2"/>
        <rFont val="Calibri"/>
        <family val="2"/>
        <scheme val="minor"/>
      </rPr>
      <t>- Incompatible Ubuntu - Incompatible avec carte MegaRAID</t>
    </r>
  </si>
  <si>
    <t>3-3-2-60</t>
  </si>
  <si>
    <r>
      <t xml:space="preserve">NVIDIA Geforce RTX3090 (24Go, 3xDP + 1xHDMI) </t>
    </r>
    <r>
      <rPr>
        <sz val="10"/>
        <color indexed="2"/>
        <rFont val="Calibri"/>
        <family val="2"/>
        <scheme val="minor"/>
      </rPr>
      <t>- Incompatible Ubuntu - Incompatible avec carte MegaRAID</t>
    </r>
  </si>
  <si>
    <t>3-3-2-61</t>
  </si>
  <si>
    <t>3-3-2-77</t>
  </si>
  <si>
    <t>3-3-2-78</t>
  </si>
  <si>
    <r>
      <t xml:space="preserve">3x NVIDIA  RTX A4500 20Go (7168 cœurs CUDA, 224 cœurs Tensor, 56 cœurs RT, 4xDP) </t>
    </r>
    <r>
      <rPr>
        <sz val="10"/>
        <color indexed="2"/>
        <rFont val="Calibri"/>
        <family val="2"/>
        <scheme val="minor"/>
      </rPr>
      <t>- Uniquement Windows</t>
    </r>
  </si>
  <si>
    <t>3-3-2-79</t>
  </si>
  <si>
    <t>3-3-2-63</t>
  </si>
  <si>
    <r>
      <t xml:space="preserve">2 x NVIDIA RTX A5000 24Go (8192 cœurs CUDA, 256 cœurs Tensor gen3, 64 cœurs RT 2ème gen,  4xDP) - </t>
    </r>
    <r>
      <rPr>
        <sz val="10"/>
        <color indexed="2"/>
        <rFont val="Calibri"/>
        <family val="2"/>
        <scheme val="minor"/>
      </rPr>
      <t>Multi Display non supporté sous Ubuntu : usage uniquement pour calcul GPU (DataScience ou DL/ML/AI)</t>
    </r>
  </si>
  <si>
    <t>3-3-2-80</t>
  </si>
  <si>
    <t>3-3-2-66</t>
  </si>
  <si>
    <r>
      <t xml:space="preserve">2 x NVIDIA RTX A6000 48Go (10752 cœurs CUDA, 336 cœurs Tenosr Gen3, 84 cœurs RT Gen2, 4xDP) </t>
    </r>
    <r>
      <rPr>
        <sz val="10"/>
        <color indexed="2"/>
        <rFont val="Calibri"/>
        <family val="2"/>
        <scheme val="minor"/>
      </rPr>
      <t>- Multi Display non supporté sous Ubuntu : usage uniquement pour calcul GPU (DataScience ou DL/ML/AI)</t>
    </r>
  </si>
  <si>
    <r>
      <t xml:space="preserve">2 x NVIDIA RTX A6000 48Go NVLink (10752 cœurs CUDA, 336 cœurs Tenosr Gen3, 84 cœurs RT Gen2, 4xDP) </t>
    </r>
    <r>
      <rPr>
        <sz val="10"/>
        <color indexed="2"/>
        <rFont val="Calibri"/>
        <family val="2"/>
        <scheme val="minor"/>
      </rPr>
      <t>- Multi Display non supporté sous Ubuntu : usage uniquement pour calcul GPU (DataScience ou DL/ML/AI)</t>
    </r>
  </si>
  <si>
    <t>3-3-2-81</t>
  </si>
  <si>
    <t xml:space="preserve">Kit de mise en rack (5U) avec Rails coulissants </t>
  </si>
  <si>
    <t>770-BBJJ et 770-BDGI</t>
  </si>
  <si>
    <t>3-0-3-12</t>
  </si>
  <si>
    <t>CAT3_Configuration n°3 - Precision R7920 Rack</t>
  </si>
  <si>
    <t>2x Intel Xeon Gold 5220R (24 Coeurs, 2.2-4.0GHz Turbo, 35.75Mo cache, 150W)</t>
  </si>
  <si>
    <t>3-3-3-2</t>
  </si>
  <si>
    <t>3-3-3-3</t>
  </si>
  <si>
    <t>3-3-3-4</t>
  </si>
  <si>
    <t>3-3-3-5</t>
  </si>
  <si>
    <t>3-3-3-6</t>
  </si>
  <si>
    <t>3-3-3-7</t>
  </si>
  <si>
    <t>3-3-3-8</t>
  </si>
  <si>
    <t>3-3-3-9</t>
  </si>
  <si>
    <t>3-3-3-10</t>
  </si>
  <si>
    <t>3-3-3-11</t>
  </si>
  <si>
    <t>3-3-3-12</t>
  </si>
  <si>
    <t>3-3-3-13</t>
  </si>
  <si>
    <r>
      <t xml:space="preserve">2x Intel XeonPlatinum 8276L (28 Coeurs, 2.2-4.0GHz Turbo, 38.5Mo cache, 165W) </t>
    </r>
    <r>
      <rPr>
        <sz val="10"/>
        <color indexed="2"/>
        <rFont val="Calibri"/>
        <family val="2"/>
        <scheme val="minor"/>
      </rPr>
      <t>- Supporte Mémoire 1To par CPU</t>
    </r>
  </si>
  <si>
    <t>3-3-3-14</t>
  </si>
  <si>
    <t>3-3-3-15</t>
  </si>
  <si>
    <t>3-3-3-16</t>
  </si>
  <si>
    <t>96Go 3200MHz DDR4 (12x8Go) ECC</t>
  </si>
  <si>
    <t>3-3-3-17</t>
  </si>
  <si>
    <t>192Go  3200MHz DDR4 (12x16Go) ECC</t>
  </si>
  <si>
    <t>3-3-3-18</t>
  </si>
  <si>
    <t>3-3-3-19</t>
  </si>
  <si>
    <t>3-3-3-20</t>
  </si>
  <si>
    <t>3-3-3-21</t>
  </si>
  <si>
    <r>
      <t xml:space="preserve">768 Go  3200MHz DDR4 (12x64Go) ECC </t>
    </r>
    <r>
      <rPr>
        <sz val="10"/>
        <color indexed="2"/>
        <rFont val="Calibri"/>
        <family val="2"/>
        <scheme val="minor"/>
      </rPr>
      <t>- Nécessite disque de demarage de 2To avec Windows 10</t>
    </r>
  </si>
  <si>
    <t>3-3-3-22</t>
  </si>
  <si>
    <r>
      <t>1To  3200MHz DDR4 (8x128Go) ECC</t>
    </r>
    <r>
      <rPr>
        <sz val="10"/>
        <color indexed="2"/>
        <rFont val="Calibri"/>
        <family val="2"/>
        <scheme val="minor"/>
      </rPr>
      <t xml:space="preserve"> - Nécessite disque de demarage de 2To avec Windows 10</t>
    </r>
  </si>
  <si>
    <t>3-3-3-23</t>
  </si>
  <si>
    <r>
      <t xml:space="preserve">1.5To  3200MHz DDR4 (12x128Go) ECC </t>
    </r>
    <r>
      <rPr>
        <sz val="10"/>
        <color indexed="2"/>
        <rFont val="Calibri"/>
        <family val="2"/>
        <scheme val="minor"/>
      </rPr>
      <t>- Nécessite disque de demarage de 3To avec Windows 10</t>
    </r>
  </si>
  <si>
    <t>3-3-3-24</t>
  </si>
  <si>
    <r>
      <t>2To  3200MHz DDR4 (16x128Go) ECC</t>
    </r>
    <r>
      <rPr>
        <sz val="10"/>
        <color indexed="2"/>
        <rFont val="Calibri"/>
        <family val="2"/>
        <scheme val="minor"/>
      </rPr>
      <t xml:space="preserve"> - Nécessite disque de demarage de 4To avec Windows 10</t>
    </r>
  </si>
  <si>
    <t>3-3-3-25</t>
  </si>
  <si>
    <r>
      <t xml:space="preserve">3To  3200MHz DDR4 (24x128Go) ECC </t>
    </r>
    <r>
      <rPr>
        <sz val="10"/>
        <color indexed="2"/>
        <rFont val="Calibri"/>
        <family val="2"/>
        <scheme val="minor"/>
      </rPr>
      <t>- Nécessite disque de demarage de 8To avec Windows 10</t>
    </r>
  </si>
  <si>
    <t>3-3-3-26</t>
  </si>
  <si>
    <t xml:space="preserve">Contrôleur disque (Passage) </t>
  </si>
  <si>
    <t>3-3-3-27</t>
  </si>
  <si>
    <t xml:space="preserve">Contrôleur PERC H330 (RAID logiciel 0/1/5/10) </t>
  </si>
  <si>
    <t>3-3-3-28</t>
  </si>
  <si>
    <t>Contrôleur PERC H740P (RAID hardware 0/1/5/10, 8Mo cache)</t>
  </si>
  <si>
    <t xml:space="preserve">Configuration RAID SATA 3,5'' </t>
  </si>
  <si>
    <t>NVIDIA  RTX A4000 16Go (6144 cœurs CUDA, 192 cœurs Tensor, 48 cœurs RT, 4xDP)</t>
  </si>
  <si>
    <t>Lecteur DVD+/- RW SATA ultra plat</t>
  </si>
  <si>
    <t>3-3-3-29</t>
  </si>
  <si>
    <t>Carte réseau Intel X550 4 ports (2x10GbE + 2x1 Gbit/s) (Passage)</t>
  </si>
  <si>
    <t>3-3-3-30</t>
  </si>
  <si>
    <t>3-3-3-31</t>
  </si>
  <si>
    <t>Carte réseau Intel® X710-t à deux ports 10 GbE DA/SFP+ et Intel i350 double port 1 GbE (Passage)</t>
  </si>
  <si>
    <t>Alimentation (Passage)</t>
  </si>
  <si>
    <t>Un bloc d'alimentation simple hot swapp 1600W</t>
  </si>
  <si>
    <t>3-3-3-32</t>
  </si>
  <si>
    <t>Deux blocs d'alimentation redondants hot swapp 1100W</t>
  </si>
  <si>
    <t>3-3-3-33</t>
  </si>
  <si>
    <t>Deux blocs d'alimentation redondants hot swapp 1600W</t>
  </si>
  <si>
    <t>3-3-3-34</t>
  </si>
  <si>
    <t>3-3-3-35</t>
  </si>
  <si>
    <t>Carte d'administration à distance</t>
  </si>
  <si>
    <t xml:space="preserve">Passage à carte iDRAC 9 Entreprise </t>
  </si>
  <si>
    <t>3-3-3-41</t>
  </si>
  <si>
    <t>Rails coulissant Ready rails sans bras de management de cables</t>
  </si>
  <si>
    <t>3-3-3-36</t>
  </si>
  <si>
    <t>Rails coulissant Ready rails avec bras de management de cables</t>
  </si>
  <si>
    <t>3-3-3-37</t>
  </si>
  <si>
    <t xml:space="preserve">Cadre et Quick Sync (option) </t>
  </si>
  <si>
    <t>Quick Sync sans cadre</t>
  </si>
  <si>
    <t>3-3-3-38</t>
  </si>
  <si>
    <t>Cadre avant sans Quick Sync</t>
  </si>
  <si>
    <t>3-3-3-39</t>
  </si>
  <si>
    <t>Cadre avant avec Quick Sync</t>
  </si>
  <si>
    <t>3-3-3-40</t>
  </si>
  <si>
    <t>Extensions Communes Hors Configurations pour le Lot 3</t>
  </si>
  <si>
    <t>Tarif révisé final 
en € HT</t>
  </si>
  <si>
    <t>Cartes graphiques additionnelles - Ajoutées postérieurement à l'achat de la machine (Nécessite de valider en amont compatibilité station, disponibilité slot PCIe, puissance alimentation et support OS, etc.)</t>
  </si>
  <si>
    <t>NVIDIA Quadro</t>
  </si>
  <si>
    <r>
      <t>NVIDIA Quadro T400 (2Go, 3xmDP)</t>
    </r>
    <r>
      <rPr>
        <sz val="10"/>
        <color indexed="2"/>
        <rFont val="Calibri"/>
        <family val="2"/>
        <scheme val="minor"/>
      </rPr>
      <t xml:space="preserve"> - Nécessite de valider en amont compatibilité station, disponibilité slot PCIe, puissance alimentation et support OS, etc.</t>
    </r>
  </si>
  <si>
    <t xml:space="preserve">490-BGZT ou 490-BGZZ </t>
  </si>
  <si>
    <t>3-0-1-2</t>
  </si>
  <si>
    <r>
      <t>NVIDIA Quadro T600 (4GB, 4xmDP)</t>
    </r>
    <r>
      <rPr>
        <sz val="10"/>
        <color indexed="2"/>
        <rFont val="Calibri"/>
        <family val="2"/>
        <scheme val="minor"/>
      </rPr>
      <t xml:space="preserve"> - Nécessite de valider en amont compatibilité station, disponibilité slot PCIe, puissance alimentation et support OS, etc.</t>
    </r>
  </si>
  <si>
    <t>3-0-1-3</t>
  </si>
  <si>
    <t>490-BGXX (si slot FH) ou 490-BGXW (Low Profile)</t>
  </si>
  <si>
    <r>
      <t xml:space="preserve">NVIDIA Quadro T1000 (4Go, 4xmDP) </t>
    </r>
    <r>
      <rPr>
        <sz val="10"/>
        <color indexed="2"/>
        <rFont val="Calibri"/>
        <family val="2"/>
        <scheme val="minor"/>
      </rPr>
      <t>- Nécessite de valider en amont compatibilité station, disponibilité slot PCIe, puissance alimentation et support OS, etc.</t>
    </r>
  </si>
  <si>
    <t>490-BGXU ou 490-BGXY</t>
  </si>
  <si>
    <t>3-0-1-4</t>
  </si>
  <si>
    <r>
      <t xml:space="preserve">NVIDIA RTX A2000 6Go (3228 cœurs CUDA, 4x mDP)  - </t>
    </r>
    <r>
      <rPr>
        <sz val="10"/>
        <color indexed="2"/>
        <rFont val="Calibri"/>
        <family val="2"/>
        <scheme val="minor"/>
      </rPr>
      <t>Nécessite de valider en amont compatibilité station, disponibilité slot PCIe, puissance alimentation et support OS, etc.</t>
    </r>
  </si>
  <si>
    <t>490-BHQD</t>
  </si>
  <si>
    <t>3-0-1-6</t>
  </si>
  <si>
    <r>
      <t>NVIDIA RTX A4000 (16Go, 4xDP)</t>
    </r>
    <r>
      <rPr>
        <sz val="10"/>
        <color indexed="2"/>
        <rFont val="Calibri"/>
        <family val="2"/>
        <scheme val="minor"/>
      </rPr>
      <t xml:space="preserve"> - Nécessite de valider en amont compatibilité station, disponibilité slot PCIe, puissance alimentation et support OS, etc.</t>
    </r>
  </si>
  <si>
    <t>490-BHCK</t>
  </si>
  <si>
    <t>3-0-1-5</t>
  </si>
  <si>
    <r>
      <t xml:space="preserve">NVIDIA RTX A5000 (24Go, 8192 cœurs CUDA, 256 cœurs Tensor gen3, 64 cœurs RT 2ème gen,  4xDP) - </t>
    </r>
    <r>
      <rPr>
        <sz val="10"/>
        <color indexed="2"/>
        <rFont val="Calibri"/>
        <family val="2"/>
        <scheme val="minor"/>
      </rPr>
      <t>Nécessite de valider en amont compatibilité station, disponibilité slot PCIe, puissance alimentation et support OS, etc.</t>
    </r>
  </si>
  <si>
    <t>490-BGYC</t>
  </si>
  <si>
    <t>3-0-1-8</t>
  </si>
  <si>
    <r>
      <t>NVIDIA Quadro RTX A6000 (48Go, 4xDP)</t>
    </r>
    <r>
      <rPr>
        <sz val="10"/>
        <color indexed="2"/>
        <rFont val="Calibri"/>
        <family val="2"/>
        <scheme val="minor"/>
      </rPr>
      <t xml:space="preserve"> - Nécessite de valider en amont compatibilité station, disponibilité slot PCIe, puissance alimentation et support OS, etc.</t>
    </r>
  </si>
  <si>
    <t>490-BGSR</t>
  </si>
  <si>
    <t>3-0-1-7</t>
  </si>
  <si>
    <t xml:space="preserve">Unités de stockage additionnelles avec support de fixation et cablage, ajoutées postérieurement à l'achat de la machine </t>
  </si>
  <si>
    <t xml:space="preserve">SSD 256Go M.2 PCIe NVMe Classe 40 </t>
  </si>
  <si>
    <t>AA615519</t>
  </si>
  <si>
    <t>3-0-1-14</t>
  </si>
  <si>
    <t xml:space="preserve">SSD 512Go M.2 PCIe NVMe Classe 40 </t>
  </si>
  <si>
    <t>AA618641</t>
  </si>
  <si>
    <t>3-0-1-15</t>
  </si>
  <si>
    <t>AA615520</t>
  </si>
  <si>
    <t>3-0-1-16</t>
  </si>
  <si>
    <t>AB400209</t>
  </si>
  <si>
    <t>3-0-1-17</t>
  </si>
  <si>
    <t>Unités de stockage de masse et graveur externes</t>
  </si>
  <si>
    <t>Clés USB-A &amp; C</t>
  </si>
  <si>
    <t>Dell 64GB USB A/C Combo Flash Drive - Bleu</t>
  </si>
  <si>
    <t>AB135418</t>
  </si>
  <si>
    <t>3-0-1-18</t>
  </si>
  <si>
    <t>Dell 128GB USB A/C Combo Flash Drive - Bleu</t>
  </si>
  <si>
    <t>AB135396</t>
  </si>
  <si>
    <t>3-0-1-19</t>
  </si>
  <si>
    <t>Disques dur externes</t>
  </si>
  <si>
    <t>Seagate - Disque Dur Portable externe - One Touch HDD externe 1To USB 3.0 (STKB1000400) - Noir</t>
  </si>
  <si>
    <t xml:space="preserve">AB771140 </t>
  </si>
  <si>
    <t>3-0-1-20</t>
  </si>
  <si>
    <t>Seagate - Disque Dur Portable externe - Backup Plus Ultra Touch 1To USB3.0/2.0 USB-C - Protection par mot de passe avec chiffrement matériel (STHH1000400) - Noir</t>
  </si>
  <si>
    <t xml:space="preserve">AB771147 </t>
  </si>
  <si>
    <t>3-0-1-21</t>
  </si>
  <si>
    <t>Seagate - Disque Dur Portable externe - One Touch HDD externe 2To USB 3.0 (STKB2000400) - Noir</t>
  </si>
  <si>
    <t xml:space="preserve">AB771145 </t>
  </si>
  <si>
    <t>3-0-1-22</t>
  </si>
  <si>
    <t>Seagate - Disque Dur Portable externe - Backup Plus Ultra Touch 2To USB3.0/2.0 USB-C - Protection par mot de passe avec chiffrement matériel (STHH2000400) - Noir</t>
  </si>
  <si>
    <t xml:space="preserve">AB771149 </t>
  </si>
  <si>
    <t>3-0-1-23</t>
  </si>
  <si>
    <t>Seagate - Disque Dur pour PC Bureau - Expansion Desk 6To 3.5 USB 3.0 (STEB6000403) - Noir</t>
  </si>
  <si>
    <t xml:space="preserve">AB771150 </t>
  </si>
  <si>
    <t>3-0-1-24</t>
  </si>
  <si>
    <t>Seagate - Disque Dur pour PC Bureau - Expansion Desk 8To 3.5 USB 3.0 (STEB8000402) - Noir</t>
  </si>
  <si>
    <t xml:space="preserve">AB771942 </t>
  </si>
  <si>
    <t>3-0-1-25</t>
  </si>
  <si>
    <t>Seagate - Disque Dur Bureau avec Hub - Backup Plus Hub 3.5 6To USB3 BLK (STEL6000200) - Noir</t>
  </si>
  <si>
    <t xml:space="preserve">AB771951 </t>
  </si>
  <si>
    <t>3-0-1-27</t>
  </si>
  <si>
    <t>Graveur externe</t>
  </si>
  <si>
    <t>Graveur Externe Ultramince DVD+/-RW Dell DW316 USB</t>
  </si>
  <si>
    <t>784-BBBI</t>
  </si>
  <si>
    <t>3-0-1-30</t>
  </si>
  <si>
    <t>Claviers et combos</t>
  </si>
  <si>
    <t>Claviers et combos AZERTY</t>
  </si>
  <si>
    <t>Dell KB216 - Clavier Multimedia - Noir - AZERTY</t>
  </si>
  <si>
    <t>580-ADGU</t>
  </si>
  <si>
    <t>3-0-1-31</t>
  </si>
  <si>
    <t xml:space="preserve">Dell KB522 -  Clavier Professionnel Multimedia - Noir - AZERTY </t>
  </si>
  <si>
    <t>580-17671</t>
  </si>
  <si>
    <t>3-0-1-32</t>
  </si>
  <si>
    <t>Dell KB813 - Clavier Smartcard - Noir - AZERTY</t>
  </si>
  <si>
    <t>580-18354</t>
  </si>
  <si>
    <t>3-0-1-33</t>
  </si>
  <si>
    <t>Dell - Combo Clavier et souris filaires (KB216 + MS116) - AZERTY</t>
  </si>
  <si>
    <t>580-ADGU+570-AAIS</t>
  </si>
  <si>
    <t>3-0-1-34</t>
  </si>
  <si>
    <t>Dell KM5221W - Combo Clavier et souris sans fil - Noir - AZERTY</t>
  </si>
  <si>
    <t>580-AJRL</t>
  </si>
  <si>
    <t>3-0-1-35</t>
  </si>
  <si>
    <t>Dell KM7321W - Combo Clavier et souris sans fil Dell Premier - Gris - AZERTY</t>
  </si>
  <si>
    <t>580-AJQM</t>
  </si>
  <si>
    <t>3-0-1-36</t>
  </si>
  <si>
    <t xml:space="preserve">Cherry KC 6000 SLIM - Clavier filaire ultra plat et compact (design et robuste) (JK-1600FR-2) - AZERTY -  Noir et rouge </t>
  </si>
  <si>
    <t>AB766549</t>
  </si>
  <si>
    <t>3-0-1-37</t>
  </si>
  <si>
    <t xml:space="preserve">Cherry KC 6000 SLIM - Clavier filaire ultra plat et compact  (design et robuste) (JK-1600FR-1) - AZERTY - Argent et blanc </t>
  </si>
  <si>
    <t>AB766550</t>
  </si>
  <si>
    <t>3-0-1-38</t>
  </si>
  <si>
    <t>Claviers étanches AZERTY</t>
  </si>
  <si>
    <t xml:space="preserve">Cherry KC 1068 - Clavier filaire étanche désinfectable, dans enveloppe de protection soudée, IP 68 (JK-1068FR-0) - AZERTY - Blanc </t>
  </si>
  <si>
    <t>AB766551</t>
  </si>
  <si>
    <t>3-0-1-39</t>
  </si>
  <si>
    <t>Cherry KC 1068 - Clavier filaire étanche désinfectable, dans enveloppe de protection soudée, IP 68  (JK-1068FR-2) - AZERTY - Noir</t>
  </si>
  <si>
    <t>AB766552</t>
  </si>
  <si>
    <t>3-0-1-40</t>
  </si>
  <si>
    <t>Claviers et combos QWERTY</t>
  </si>
  <si>
    <t xml:space="preserve">Dell KB216 - Clavier Multimedia - Noir - Américain/international QWERTY </t>
  </si>
  <si>
    <t>580-ADHK</t>
  </si>
  <si>
    <t>3-0-1-41</t>
  </si>
  <si>
    <t xml:space="preserve">Dell KB522 -  Clavier Professionnel Multimedia - Noir - Américain/international QWERTY </t>
  </si>
  <si>
    <t>580-17667</t>
  </si>
  <si>
    <t>3-0-1-42</t>
  </si>
  <si>
    <t>Dell KB813 - Clavier Smartcard - Noir - QWERTY</t>
  </si>
  <si>
    <t>580-18366</t>
  </si>
  <si>
    <t>3-0-1-43</t>
  </si>
  <si>
    <t>Dell - Combo Clavier et souris filaires (KB216 + MS116) - QWERTY</t>
  </si>
  <si>
    <t>580-ADHK+570-AAIS</t>
  </si>
  <si>
    <t>3-0-1-44</t>
  </si>
  <si>
    <t>Dell KM5221W - Combo Clavier et souris sans fil - Noir - QWERTY</t>
  </si>
  <si>
    <t>580-AJRP</t>
  </si>
  <si>
    <t>3-0-1-45</t>
  </si>
  <si>
    <t>Dell KM7321W - Combo Clavier et souris sans fil Dell Premier - QWERTY</t>
  </si>
  <si>
    <t>580-AJQJ</t>
  </si>
  <si>
    <t>3-0-1-46</t>
  </si>
  <si>
    <t xml:space="preserve">Cherry KC 6000 SLIM - Clavier filaire ultra plat et compact (design et robuste) (JK-1600EU-2) - QWERTY -  Noir et rouge </t>
  </si>
  <si>
    <t>AB766553</t>
  </si>
  <si>
    <t>3-0-1-47</t>
  </si>
  <si>
    <t xml:space="preserve">Cherry KC 6000 SLIM - Clavier filaire ultra plat et compact (design et robuste) (JK-1600EU-1) - QWERTY -  Argent et blanc </t>
  </si>
  <si>
    <t>AB766554</t>
  </si>
  <si>
    <t>3-0-1-48</t>
  </si>
  <si>
    <t>Claviers étanches QWERTY</t>
  </si>
  <si>
    <t xml:space="preserve">Cherry KC 1068 - Clavier filaire étanche désinfectable, dans enveloppe de protection soudée, IP 68 (JK-1068EU-0) - QWERTY - Blanc </t>
  </si>
  <si>
    <t>AB766555</t>
  </si>
  <si>
    <t>3-0-1-49</t>
  </si>
  <si>
    <t xml:space="preserve">Cherry KC 1068 - Clavier filaire étanche désinfectable, dans enveloppe de protection soudée, IP 68 (JK-1068EU-2) - QWERTY - Noir </t>
  </si>
  <si>
    <t>AB766556</t>
  </si>
  <si>
    <t>3-0-1-50</t>
  </si>
  <si>
    <t>Accessoire pour clavier</t>
  </si>
  <si>
    <t>Port Designs - Pavé numérique USB-C et USB-A filaire (900801) - Noir</t>
  </si>
  <si>
    <t>AB776810</t>
  </si>
  <si>
    <t>3-0-1-51</t>
  </si>
  <si>
    <t>Périphérique de pointage 2D/3D et dispositif complémentaire associés (tapis, repose main, ...)</t>
  </si>
  <si>
    <t>Souris</t>
  </si>
  <si>
    <t>Dell MS116 - Souris optique - Noir</t>
  </si>
  <si>
    <t xml:space="preserve">570-AAIS </t>
  </si>
  <si>
    <t>3-0-1-52</t>
  </si>
  <si>
    <t>Dell MS3220 - Souris laser filaire (3200 DPI) - Noir - Garantie 3 ans incluse</t>
  </si>
  <si>
    <t>570-ABHN</t>
  </si>
  <si>
    <t>3-0-1-53</t>
  </si>
  <si>
    <t>Dell MS3320W - Souris sans fil - RF 2.4GHz Dongle &amp; Bluetooth - Noir - Garantie 3 ans incluse</t>
  </si>
  <si>
    <t>570-ABHK</t>
  </si>
  <si>
    <t>3-0-1-54</t>
  </si>
  <si>
    <t>Dell MS7421W- Souris sans fil rechargeable (via USB-C) - Grise - Garantie 3 ans</t>
  </si>
  <si>
    <t>570-ABLO</t>
  </si>
  <si>
    <t>3-0-1-55</t>
  </si>
  <si>
    <t>Port Designs - Souris PRO sans fil  et silencieuse (900713) - Noir</t>
  </si>
  <si>
    <t xml:space="preserve">AB788779 </t>
  </si>
  <si>
    <t>3-0-1-56</t>
  </si>
  <si>
    <t>Port Designs - Souris PRO sans fil  et silencieuse (900714) - Blanc</t>
  </si>
  <si>
    <t xml:space="preserve">AB788790 </t>
  </si>
  <si>
    <t>3-0-1-57</t>
  </si>
  <si>
    <t>Souris ergonomiques</t>
  </si>
  <si>
    <t>Port Designs - Souris ergonomique sans fil rechargeable pour Droitier (900706-BT) - Noir</t>
  </si>
  <si>
    <t>AB839200</t>
  </si>
  <si>
    <t>3-0-1-58</t>
  </si>
  <si>
    <t>Cherry MW 4500 LEFT - Souris ergonomique sans fil - Pour les gauchers - Plus d'ergonomie et moins de fatigue (JW-4550) - Noir</t>
  </si>
  <si>
    <t>AB766557</t>
  </si>
  <si>
    <t>3-0-1-59</t>
  </si>
  <si>
    <t>Cherry MW 4500  - Souris ergonomique sans fil - Pour les droitiers - Plus d'ergonomie et moins de fatigue (JW-4500) - Noir</t>
  </si>
  <si>
    <t>AB766558</t>
  </si>
  <si>
    <t>3-0-1-60</t>
  </si>
  <si>
    <t>3-0-1-61</t>
  </si>
  <si>
    <t>Souris 3D</t>
  </si>
  <si>
    <t>3D Connexion - CadMouse Compact - Souris filaire Haute performance pour ingénierie (3DX-700081) - Noir</t>
  </si>
  <si>
    <t>AB779271</t>
  </si>
  <si>
    <t>3-0-1-62</t>
  </si>
  <si>
    <t>3D Connexion - CadMouse Compact Wireless - Souris sans fil Hauter Performance pour spécialistes CAO (3DX-700082) - Noir</t>
  </si>
  <si>
    <t>AB779272</t>
  </si>
  <si>
    <t>3-0-1-63</t>
  </si>
  <si>
    <t>3D Connexion - SpaceMouse Compact -  Souris 3D filaire USB (3DX-700059) - Noir</t>
  </si>
  <si>
    <t>AB779273</t>
  </si>
  <si>
    <t>3-0-1-64</t>
  </si>
  <si>
    <t>3D Connexion - SpaceMouse Wireless - Souris 3D sans fil / filaire - 2 boutons - récepteur sans fil USB 2.4 GHz + éti de transport (3DX-700066) - Noir</t>
  </si>
  <si>
    <t>AB779274</t>
  </si>
  <si>
    <t>3-0-1-65</t>
  </si>
  <si>
    <t>3D Connexion - Kit Sans fil SpaceMouse 2 avec étui de transport, CadMouse Pad Compact, récepteur universel 3Dconnexion, câble micro-USB de 1,5m (3DX-700084) - Noir</t>
  </si>
  <si>
    <t>AB779275</t>
  </si>
  <si>
    <t>3-0-1-66</t>
  </si>
  <si>
    <t xml:space="preserve">3D Connexion - Souris 3D sans fil 15 boutons - Technologie 6DoF - sans fil - RF 2.4GHz (3DX-700075) - Noir </t>
  </si>
  <si>
    <t>AB779276</t>
  </si>
  <si>
    <t>3-0-1-67</t>
  </si>
  <si>
    <t>Repose poignets</t>
  </si>
  <si>
    <t>Port Designs - Repose-poignets ergonomique pour clavier (900718) - Noir</t>
  </si>
  <si>
    <t xml:space="preserve">AB788741 </t>
  </si>
  <si>
    <t>3-0-1-68</t>
  </si>
  <si>
    <t>Tapis de souris</t>
  </si>
  <si>
    <t>Port Designs - Tapis de souris ergonomique (900717) - Noir</t>
  </si>
  <si>
    <t xml:space="preserve">AB788740 </t>
  </si>
  <si>
    <t>3-0-1-69</t>
  </si>
  <si>
    <t>3D Connexion - CadMouse Pad Compact (3DX-700068) - Noir</t>
  </si>
  <si>
    <t>3-0-1-70</t>
  </si>
  <si>
    <t>Télécommande de présentation</t>
  </si>
  <si>
    <t>Kensington Si600 - Télécommande de présentation sans fil avec pointeur laser rouge 4 boutons - Récepteur USB - RF (33374EU) - Noir</t>
  </si>
  <si>
    <t>A7280192</t>
  </si>
  <si>
    <t>3-0-1-71</t>
  </si>
  <si>
    <t>Webcams et solution de visioconférence</t>
  </si>
  <si>
    <t>Webcams</t>
  </si>
  <si>
    <t>Port Designs - Webcam FHD (1920x1080) pour vidéoconférence - Connectivité USB-A et USB-C (900078) - Noir</t>
  </si>
  <si>
    <t>AB777415</t>
  </si>
  <si>
    <t>3-0-1-72</t>
  </si>
  <si>
    <t>Logitech C505E Business Webcam - Couleur - 720p (1280x720) - Grand angle et micro longue portée - Connectivité USB (960-001372) - Noir</t>
  </si>
  <si>
    <t>AB420720</t>
  </si>
  <si>
    <t>3-0-1-73</t>
  </si>
  <si>
    <t>Logitech C930E Business Webcam - Couleur - Enregistrement vidéo FHD (1920x1080) - Grand angle et micro longue portée - Connectivité USB - Certifié Skype (960-000972) - Noir</t>
  </si>
  <si>
    <t>A6943703</t>
  </si>
  <si>
    <t>3-0-1-74</t>
  </si>
  <si>
    <t>Logitech BRIO 4K Ultra HD (4096x2160) PRO Webcam - Couleur - Compatible Windows Hello - Grand angle et micro longue portée - Connectivité USB (960-001106) - Noir</t>
  </si>
  <si>
    <t>A9580031</t>
  </si>
  <si>
    <t>3-0-1-75</t>
  </si>
  <si>
    <t>Dell Webcam Ultrasharp - 4K Ultra HD (3840 x 2160) - Couleur - Compatible Windows Hello - Cadrage automatique – Certifié Teams et Zoom - Noir</t>
  </si>
  <si>
    <t>722-BBBI</t>
  </si>
  <si>
    <t>3-0-1-76</t>
  </si>
  <si>
    <t>Solution de visioconférence</t>
  </si>
  <si>
    <t>Jabra - PanaCast MS Global - Caméra de visioconférence - Solution Vidéo Plug-and-Play panoramique 4K à 180° avec câble de 80 cm (8100-119) - Noir</t>
  </si>
  <si>
    <t>AB740777</t>
  </si>
  <si>
    <t>3-0-1-77</t>
  </si>
  <si>
    <t>Jabra - Hub USB-C - Unité permettant de connecter la Panacast et le speaker à l'ordinateur d'un simple câble (14207-58) - Option</t>
  </si>
  <si>
    <t>AB740778</t>
  </si>
  <si>
    <t>3-0-1-78</t>
  </si>
  <si>
    <t>Jabra - Wall Mount - Système de montage conçu pour fixer la Panacast à un mur (14207-57) - Option</t>
  </si>
  <si>
    <t>AB740779</t>
  </si>
  <si>
    <t>3-0-1-79</t>
  </si>
  <si>
    <t>Jabra - Table Stand - Support permettant d'utiliser la Panacast comme unité autonome (14207-56) - Option</t>
  </si>
  <si>
    <t>AB740780</t>
  </si>
  <si>
    <t>3-0-1-80</t>
  </si>
  <si>
    <t>Jabra - USB Cable de 1.8 mètre pour connecter la Panacast à l'ordinateur (14202-09) - Option</t>
  </si>
  <si>
    <t>AB740781</t>
  </si>
  <si>
    <t>3-0-1-81</t>
  </si>
  <si>
    <t>Hauts-parleurs, Microphones et Casques audio</t>
  </si>
  <si>
    <t xml:space="preserve">Barres son </t>
  </si>
  <si>
    <t>520-AASI</t>
  </si>
  <si>
    <t>3-0-1-82</t>
  </si>
  <si>
    <r>
      <t xml:space="preserve">Barre son externe slim Dell SB521A (fixation magnétique, HP 3.6 Watts) </t>
    </r>
    <r>
      <rPr>
        <sz val="10"/>
        <color indexed="2"/>
        <rFont val="Calibri"/>
        <family val="2"/>
        <scheme val="minor"/>
      </rPr>
      <t>- Compatible avec moniteurs Dell de dernière génération PRO 2 ID design (Pxx21x / Pxx22Xx / Pxx23Xx / Uxx21x / Uxx22x / Uxx23x)</t>
    </r>
  </si>
  <si>
    <r>
      <t xml:space="preserve">Barre son externe slim Dell SB522A (fixation magnétique, HP 3.6 Watts, certifié MS Teams) </t>
    </r>
    <r>
      <rPr>
        <sz val="10"/>
        <color indexed="2"/>
        <rFont val="Calibri"/>
        <family val="2"/>
        <scheme val="minor"/>
      </rPr>
      <t>- Compatible avec moniteurs Dell de dernière génération PRO 2 ID design (Pxx21x / Pxx22Xx / Pxx23Xx / Uxx21x / Uxx22x / Uxx23x)</t>
    </r>
  </si>
  <si>
    <t>520-AAVR</t>
  </si>
  <si>
    <t>3-0-1-9</t>
  </si>
  <si>
    <t>Haut-parleurs</t>
  </si>
  <si>
    <t xml:space="preserve">Dell MH3021P - Combo Haut-Parleur/adaptateur mobile - USB-C / 2 x USB-A / HDMI / microphone et Haut-parleur / Power Delivery 90W </t>
  </si>
  <si>
    <t>470-AELP</t>
  </si>
  <si>
    <t>3-0-1-83</t>
  </si>
  <si>
    <t>EPOS/Sennheiser EXPAND SP 20 - Speaker filaire portable jusqu'à 4 personnes (1000226)</t>
  </si>
  <si>
    <t>AB740782</t>
  </si>
  <si>
    <t>3-0-1-84</t>
  </si>
  <si>
    <t>EPOS/Sennheiser EXPAND SP 30 - Speaker sans fil jusqu'à 8 personnes (1000223)</t>
  </si>
  <si>
    <t>AB740783</t>
  </si>
  <si>
    <t>3-0-1-85</t>
  </si>
  <si>
    <t>EPOS/Sennheiser EXPAND 80T - Speaker évolutif, supérieur - jusqu'à 7 personnes (1000203)</t>
  </si>
  <si>
    <t>AB740784</t>
  </si>
  <si>
    <t>3-0-1-86</t>
  </si>
  <si>
    <t>EPOS/Sennheiser EXPAND 80 - Microphone d'extension (1000229)</t>
  </si>
  <si>
    <t>AB740785</t>
  </si>
  <si>
    <t>3-0-1-87</t>
  </si>
  <si>
    <t>Casques filaires</t>
  </si>
  <si>
    <t>EPOS/Sennheiser Impact SC 60 USB ML - Casque binaural filaire USB (1000551)</t>
  </si>
  <si>
    <t>AB740786</t>
  </si>
  <si>
    <t>3-0-1-88</t>
  </si>
  <si>
    <t>EPOS/Sennheiser ADAPT 160T USB II Casque binaural filaire USB (1000901)</t>
  </si>
  <si>
    <t>AB740787</t>
  </si>
  <si>
    <t>3-0-1-89</t>
  </si>
  <si>
    <t>EPOS/Sennheiser SC 75 - Casque binaural filaire Jack 3,5 &amp; USB - MS Optimised (1000635)</t>
  </si>
  <si>
    <t>AB740788</t>
  </si>
  <si>
    <t>3-0-1-90</t>
  </si>
  <si>
    <t>Jabra EVOLVE 20 MS Stereo USB (4999-823-109)</t>
  </si>
  <si>
    <t>AB740760</t>
  </si>
  <si>
    <t>3-0-1-91</t>
  </si>
  <si>
    <t>Jabra EVOLVE 30 II MS Duo USB (5399-823-309)</t>
  </si>
  <si>
    <t>AB740761</t>
  </si>
  <si>
    <t>3-0-1-92</t>
  </si>
  <si>
    <t>Jabra EVOLVE 40 MS Duo USB (6399-823-109)</t>
  </si>
  <si>
    <t>AB740762</t>
  </si>
  <si>
    <t>3-0-1-93</t>
  </si>
  <si>
    <t>Jabra EVOLVE2 40 - Casque Binaural filaire USB-C - Coussinets isolants /écouteurs révolutionnaires/Voyant Busylight (24089-999-899)</t>
  </si>
  <si>
    <t>AB740763</t>
  </si>
  <si>
    <t>3-0-1-94</t>
  </si>
  <si>
    <t>Casques sans fil</t>
  </si>
  <si>
    <t>EPOS/Sennheiser ADAPT 260 T - Casque Binaural sans fil Bluetooth - Branche rétractable (1000882)</t>
  </si>
  <si>
    <t>AB740789</t>
  </si>
  <si>
    <t>3-0-1-95</t>
  </si>
  <si>
    <t>EPOS/Sennheiser MB Pro 2 UC ML - Casque Binaural sans fil Bluetooth (1000567)</t>
  </si>
  <si>
    <t>AB740790</t>
  </si>
  <si>
    <t>3-0-1-96</t>
  </si>
  <si>
    <t>EPOS/Sennheiser ADAPT 360 Blanc - Micro-casque ANC BT avec Dongle -  Design contemporain - Ecouteurs ergonomiques - son stéréo Haute Qualité (1000210)</t>
  </si>
  <si>
    <t>AB740791</t>
  </si>
  <si>
    <t>3-0-1-97</t>
  </si>
  <si>
    <t>EPOS/Sennheiser ADAPT 360 Noir - Micro-casque ANC BT avec Dongle -  Design contemporain - Ecouteurs ergonomiques - son stéréo Haute Qualité (1000209)</t>
  </si>
  <si>
    <t>AB740792</t>
  </si>
  <si>
    <t>3-0-1-98</t>
  </si>
  <si>
    <t>Jabra EVOLVE 65 MS Duo USB/BT (6599-823-309)</t>
  </si>
  <si>
    <t>AB740764</t>
  </si>
  <si>
    <t>3-0-1-99</t>
  </si>
  <si>
    <t>Jabra EVOLVE2 65 - Casque Binaural sans fil Bluetooth MS Stereo USB-C Optimisé Teams (26599-999-899)</t>
  </si>
  <si>
    <t>AB740765</t>
  </si>
  <si>
    <t>3-0-1-100</t>
  </si>
  <si>
    <t>Onduleurs et autres dispostifs de protection électrique</t>
  </si>
  <si>
    <t>Parasurtenseurs</t>
  </si>
  <si>
    <t>APC Schneider - SurgeArrest - Parasurtenseur - 5 prises 10A - 2 prises USB - 230V France (PM5U-FR)</t>
  </si>
  <si>
    <t xml:space="preserve">AB741425 </t>
  </si>
  <si>
    <t>3-0-1-102</t>
  </si>
  <si>
    <t>APC Schneider - SurgeArrest - Parasurtenseur - 6 prises 10A - 2 prises USB - 230V France (PM6U-FR)</t>
  </si>
  <si>
    <t xml:space="preserve">AB741430 </t>
  </si>
  <si>
    <t>3-0-1-103</t>
  </si>
  <si>
    <t xml:space="preserve">Onduleur </t>
  </si>
  <si>
    <t>APC Schneider - Back-UPS - Onduleurs monophasés Off-Line - 650VA - 230V - 1USB - 6+2 Prises - France (BE650G2-FR)</t>
  </si>
  <si>
    <t xml:space="preserve">AB741497 </t>
  </si>
  <si>
    <t>3-0-1-104</t>
  </si>
  <si>
    <t>Câble de sécurité pour station de travail Tour</t>
  </si>
  <si>
    <t>Dell Kensington (T-BAR Lock Slot) Desktop &amp; Peripheral Locking kit (PC + écran + accessoires)</t>
  </si>
  <si>
    <t>461-10185</t>
  </si>
  <si>
    <t>3-0-1-105</t>
  </si>
  <si>
    <t xml:space="preserve">Dell Kensington (T-BAR Lock Slot) câble simple tête à clé </t>
  </si>
  <si>
    <t>461-10054</t>
  </si>
  <si>
    <t>3-0-1-106</t>
  </si>
  <si>
    <t>Dell Kensignton (T-BAR Lock Slot) câble double tête (PC + écran) à clé</t>
  </si>
  <si>
    <t>461-10053</t>
  </si>
  <si>
    <t>3-0-1-107</t>
  </si>
  <si>
    <t>Dell Kensington (T-BAR Lock Slot) câble simple tête Masterkey solution (25 câbles + 2 Masterkeys)</t>
  </si>
  <si>
    <t>461-10072</t>
  </si>
  <si>
    <t>3-0-1-108</t>
  </si>
  <si>
    <t>Dell Kensintgon (T-BAR Lock Slot) câble double tête (PC + écran) Masterkey solution (25 câbles + 2 Masterkeys)</t>
  </si>
  <si>
    <t>461-10214</t>
  </si>
  <si>
    <t>3-0-1-109</t>
  </si>
  <si>
    <t>Moniteurs avec 5 ans de garantie de base</t>
  </si>
  <si>
    <t>Moniteurs P (Professionnel)</t>
  </si>
  <si>
    <t>Moniteur 22" - Dell P2222H - 1920x1080 - Connecteurs VGA/DP/HDMI - Câble: DP</t>
  </si>
  <si>
    <t>3-0-1-178</t>
  </si>
  <si>
    <t>Moniteur 24" - Dell P2422HE - 1920x1080 - Hub USB-C (PD65W) avec RJ45/DP/HDMI - Câbles : USB-C/DP</t>
  </si>
  <si>
    <t>3-0-1-112</t>
  </si>
  <si>
    <t>Moniteur 24" - Dell P2422HE Sans Pied - 1920x1080 - Hub USB-C (PD65W) avec RJ45/DP/HDMI - Câbles : USB-C/DP</t>
  </si>
  <si>
    <t>3-0-1-113</t>
  </si>
  <si>
    <t>3-0-1-175</t>
  </si>
  <si>
    <t>Moniteur 24" - Dell P2423 - 1920x1200 - Format 16/10 - Connecteurs DP/HDMI/VGA/DVI - Câble : DP</t>
  </si>
  <si>
    <t>Moniteur 24" - Dell P2423D - QHD (2560x1440) - Connecteurs DP/HDMI - Câble :DP</t>
  </si>
  <si>
    <t>3-0-1-179</t>
  </si>
  <si>
    <t>Moniteur 24" - Dell P2423DE - QHD (2560x1440) - hub USB-C (90W) avec RJ45/DP/HDMI - Câble :USB-C/DP</t>
  </si>
  <si>
    <t>3-0-1-180</t>
  </si>
  <si>
    <t>Moniteur 24'' - Dell P2418HT - 1920x1080 - Tactile - Socle articulé - Connecteurs VGA/DP/HDMI - Câbles: VGA/DP</t>
  </si>
  <si>
    <t>3-0-1-115</t>
  </si>
  <si>
    <t>Moniteur 27" - Dell P2722H - 1920x1080 - Connecteurs VGA/DP/HDMI - Câble: DP</t>
  </si>
  <si>
    <t>3-0-1-116</t>
  </si>
  <si>
    <t>Moniteur 27" - Dell P2722HE - 1920x1080 - Connecteurs USB-C (PD 65W) avec RJ-45/DP/HDMI - Câbles : USB-C/DP</t>
  </si>
  <si>
    <t>3-0-1-117</t>
  </si>
  <si>
    <t>Moniteur 27" - Dell P2723D - QHD (2560x1440) - Connecteurs DP/HDMI - Câble :DP</t>
  </si>
  <si>
    <t>3-0-1-181</t>
  </si>
  <si>
    <t>Moniteur 27" - Dell P2723DE - QHD (2560x1440) - hub USB-C (90W) avec RJ45/DP/HDMI - Câble :USB-C/DP</t>
  </si>
  <si>
    <t>3-0-1-182</t>
  </si>
  <si>
    <t>Moniteur 27" - Dell P2723QE - UHD(3840x2160) - Hub USB-C(90W) avec RJ45/DP/HDMI - Câble :USB-C/DP</t>
  </si>
  <si>
    <t>3-0-1-183</t>
  </si>
  <si>
    <t>Moniteur 34'' - Dell P3421Wm - 3440x1440 - Format 21/9 incurvé - Connecteurs USB-C (65W)/DP/HDMI - Câbles: USB-C/DP/HDMI</t>
  </si>
  <si>
    <t>3-0-1-119</t>
  </si>
  <si>
    <t>Moniteurs U (Ultrasharp)</t>
  </si>
  <si>
    <t>Moniteur 24" - Dell U2422H - 1920x1080 - Ultrasharp - Connecteurs HDMI/DP - Câble fourni : DP</t>
  </si>
  <si>
    <t>3-0-1-120</t>
  </si>
  <si>
    <t>Moniteur 24" - Dell U2422H Sans Pied - 1920x1080 - Ultrasharp - Connecteurs HDMI/DP - Câble : DP</t>
  </si>
  <si>
    <t>3-0-1-121</t>
  </si>
  <si>
    <t>Moniteur 24" - Dell U2422HE - 1920x1080 - Ultrasharp avec Hub USB-C/RJ45 - Connecteurs USB-C (PD 65W)/RJ45/HDMI/DP - Câble fourni : USB-C/DP</t>
  </si>
  <si>
    <t>3-0-1-122</t>
  </si>
  <si>
    <t>Moniteur 24" - Dell U2421E - 1920x1200 - Format 16/10 - Ultrasharp avec Hub USB-C/RJ45 et Low Blue Light - Connecteurs USB-C/RJ45/HDMI/DP - Câbles : USB-C/DP</t>
  </si>
  <si>
    <t>3-0-1-123</t>
  </si>
  <si>
    <t>Moniteur 25" - Dell U2520D - 2560x1440 - Ultrasharp HDR 400 - Connecteurs USB-C/HDMI/DP/DP-out - Câbles fournis : USB-C/DP</t>
  </si>
  <si>
    <t>3-0-1-124</t>
  </si>
  <si>
    <t>Moniteur 27" - Dell U2722D - QHD (2560x1440) - Ultrasharp - Connecteurs DP/HDMI - Câble fourni : DP</t>
  </si>
  <si>
    <t>3-0-1-184</t>
  </si>
  <si>
    <t>Moniteur 27" - Dell U2722DE - 2560x1440 - Ultrasharp avec Hub USB-C/RJ45 - Connecteurs USB-C (PD 90W)/RJ45/HDMI/DP - Câble fourni : USB-C/DP</t>
  </si>
  <si>
    <t>3-0-1-125</t>
  </si>
  <si>
    <t>Moniteur 27'' - Dell U2723QE - 4K (3840x2160) - Ultrasharp HDR 400 avec Hub USB-C(90W) et RJ45- Connecteurs USB-C/RJ45/DP/HDMI -Câbles: USB-C/DP</t>
  </si>
  <si>
    <t>3-0-1-185</t>
  </si>
  <si>
    <t>Moniteur 27'' - Dell UP2720Q - 3840x2160 - Ultrasharp Premier Color avec sonde calibration CalMAN intégrée - Connecteurs USB-C /DP/2xHDMI - Câbles : USB-C/HDMI/DP</t>
  </si>
  <si>
    <t>3-0-1-127</t>
  </si>
  <si>
    <t>Moniteur 30'' - Dell U3023E - WQXGA (2560x1600) - Format 16:10 - Ultrasharp - Connecteurs USB-C (90W)/DP/HDMI -Câbles: USB-C/DP</t>
  </si>
  <si>
    <t>3-0-1-186</t>
  </si>
  <si>
    <t>Moniteur 32'' - Dell U3223QE - 4K (3840x2160) - Ultrasharp HDR 400 avec Hub USB-C(90W) et RJ45- Connecteurs USB-C/RJ45/DP/HDMI -Câbles: USB-C/DP</t>
  </si>
  <si>
    <t>3-0-1-187</t>
  </si>
  <si>
    <t>Moniteur 34'' - Dell U3421WE - 3440x1440 - Ultrasharp Format 21:9 incurvé - Connecteurs 2xUSB-C/RJ45/2xHDMI/2xDP/Speakers 2x5W - Câbles : USB-C/HDMI/DP</t>
  </si>
  <si>
    <t>3-0-1-129</t>
  </si>
  <si>
    <t>Moniteur 38" - Dell U3821DW - 3840x1600 - Format 21/9 - Ultrasharp incurvé - Connecteurs: USB-C/RJ45/2xHDMI/DP - Câbles: USB-C/HDMI/DP</t>
  </si>
  <si>
    <t>3-0-1-130</t>
  </si>
  <si>
    <t>Moniteur 43" - Dell U4320Q - 3840x2160 - Ultrasharp - Connecteurs: USB-C (PD 90W)/2xHDMI/2xDP - Câbles : USB-C/DP/HDMI</t>
  </si>
  <si>
    <t>3-0-1-131</t>
  </si>
  <si>
    <t>Moniteur 49" - Dell U4919DW - 5120x1440 - Format 32/9 - Ultrasharp incurvé - Connecteurs: USB-C/2xHDMI/DP - Câbles: USB-C/DP/HDMI</t>
  </si>
  <si>
    <t>3-0-1-132</t>
  </si>
  <si>
    <t>Moniteurs C (Multimedia)</t>
  </si>
  <si>
    <t>Moniteur 24'' Multimedia - Dell C2423H - FHD (1920x1080) -  Webcam 5MP FHD &amp; Camera IR (Windows Hello), micro + 2x 5W HP, Low Blue Light - Connecteurs : DP/HDMI - Câbles : DP/HDMI</t>
  </si>
  <si>
    <t>3-0-1-188</t>
  </si>
  <si>
    <t>Moniteur 24'' Multimedia (certifié Teams) - Dell C2422HE - 1920x1080 -  Webcam 5MP FHD &amp; Camera IR (Windows Hello), 2xHP, RJ45, Low Blue Light, KVM - Connecteurs : USB-C(90W)/DP/HDMI - Câbles : USB-C/DP</t>
  </si>
  <si>
    <t>3-0-1-133</t>
  </si>
  <si>
    <t>Moniteur 24'' Multimedia (certifié Teams) - Dell C2422HE Sans Pied - 1920x1080 - Webcam 5MP FHD &amp; Camera IR (Windows Hello), 2xHP, RJ45, Low Blue Light, KVM - Connecteurs : USB-C (PD 90W)/DP/HDMI - Câbles : USB-C/DP</t>
  </si>
  <si>
    <t>3-0-1-134</t>
  </si>
  <si>
    <t>Moniteur 24'' Multimedia - Dell C2723H -FHD (1920x1080) -  Webcam 5MP FHD &amp; Camera IR (Windows Hello), micro + 2x 5W HP, Low Blue Light - Connecteurs : DP/HDMI - Câbles : DP/HDMI</t>
  </si>
  <si>
    <t>3-0-1-189</t>
  </si>
  <si>
    <t>Moniteur 27'' Multimedia (certifié Teams) - Dell C2722DE - 2560x1400 - Webcam 5MP FHD &amp; Camera IR (Windows Hello), 2xHP, RJ45, Low Blue Light, KVM - Connecteurs : USB-C(90W)/DP/HDMI - Câbles : USB-C/DP</t>
  </si>
  <si>
    <t>3-0-1-135</t>
  </si>
  <si>
    <t>Moniteur 34'' Multimedia (certifié Teams) - Dell C3422WE - 3440x1440 - Webcam 5MP FHD &amp; Camera IR (Windows Hello), 2xHP, RJ45, Low Blue Light, KVM - Connecteurs : USB-C(90W)/DP/HDMI - Câbles : USB-C/DP</t>
  </si>
  <si>
    <t>3-0-1-136</t>
  </si>
  <si>
    <t>Extensions de garantie acquises lors de l'achat initial - Non disponible dans les DROM COM</t>
  </si>
  <si>
    <t>Extension de garantie 6 ans - Moniteur inférieur à 32 pouces</t>
  </si>
  <si>
    <t>3-0-1-137</t>
  </si>
  <si>
    <t>Extension de garantie 6 ans - Moniteur supérieur ou égal à 32 pouces</t>
  </si>
  <si>
    <t>3-0-1-138</t>
  </si>
  <si>
    <t>Extension de garantie 7 ans - Moniteur inférieur à 32 pouces</t>
  </si>
  <si>
    <t>3-0-1-139</t>
  </si>
  <si>
    <t>Extension de garantie 7 ans - Moniteur supérieur ou égal à 32 pouces</t>
  </si>
  <si>
    <t>3-0-1-140</t>
  </si>
  <si>
    <t>Extensions de garantie en cours de garantie déjà acquise initialement - Non disponible dans les DROM COM</t>
  </si>
  <si>
    <r>
      <t>Extension de garantie 6ème année - Moniteur inférieur à 32 pouces</t>
    </r>
    <r>
      <rPr>
        <sz val="10"/>
        <color indexed="2"/>
        <rFont val="Calibri"/>
        <family val="2"/>
        <scheme val="minor"/>
      </rPr>
      <t xml:space="preserve"> - Après l'achat</t>
    </r>
  </si>
  <si>
    <t>3-0-1-141</t>
  </si>
  <si>
    <r>
      <t>Extension de garantie 6ème année - Moniteur supérieur ou égal à 32 pouces</t>
    </r>
    <r>
      <rPr>
        <sz val="10"/>
        <color indexed="2"/>
        <rFont val="Calibri"/>
        <family val="2"/>
        <scheme val="minor"/>
      </rPr>
      <t xml:space="preserve"> - Après l'achat</t>
    </r>
  </si>
  <si>
    <t>3-0-1-142</t>
  </si>
  <si>
    <r>
      <t>Extension de garantie 6ème et 7ème année - Moniteur inférieur à 32 pouces</t>
    </r>
    <r>
      <rPr>
        <sz val="10"/>
        <color indexed="2"/>
        <rFont val="Calibri"/>
        <family val="2"/>
        <scheme val="minor"/>
      </rPr>
      <t xml:space="preserve"> - Après l'achat</t>
    </r>
  </si>
  <si>
    <t>3-0-1-143</t>
  </si>
  <si>
    <r>
      <t>Extension de garantie 6ème et 7ème année - Moniteur supérieur ou égal à 32 pouces</t>
    </r>
    <r>
      <rPr>
        <sz val="10"/>
        <color indexed="2"/>
        <rFont val="Calibri"/>
        <family val="2"/>
        <scheme val="minor"/>
      </rPr>
      <t xml:space="preserve"> - Après l'achat</t>
    </r>
  </si>
  <si>
    <t>3-0-1-144</t>
  </si>
  <si>
    <t>Livraison DDP &amp; Garantie DROM COM pour moniteurs - Sélection obligatoire</t>
  </si>
  <si>
    <t>Diagonale ≤ 22"</t>
  </si>
  <si>
    <t>3-0-3-200</t>
  </si>
  <si>
    <t>3-0-3-201</t>
  </si>
  <si>
    <t>3-0-3-202</t>
  </si>
  <si>
    <t>Diagonale ≥ 24" et &lt; 27"</t>
  </si>
  <si>
    <t>3-0-3-203</t>
  </si>
  <si>
    <t>3-0-3-204</t>
  </si>
  <si>
    <t>3-0-3-205</t>
  </si>
  <si>
    <t>Diagonale = 27"</t>
  </si>
  <si>
    <t>3-0-3-206</t>
  </si>
  <si>
    <t>3-0-3-207</t>
  </si>
  <si>
    <t>3-0-3-208</t>
  </si>
  <si>
    <t>Diagonale &gt; 27"</t>
  </si>
  <si>
    <t>3-0-3-209</t>
  </si>
  <si>
    <t>3-0-3-210</t>
  </si>
  <si>
    <t>3-0-3-211</t>
  </si>
  <si>
    <t>Supports de fixation, multi-écrans et bras articulés</t>
  </si>
  <si>
    <t>Dell - Bras articulé MSA20 monoécran, noir - Supporte jusqu'à 10Kg (écran 38'' Maximum)</t>
  </si>
  <si>
    <t>482-BBDJ</t>
  </si>
  <si>
    <t>3-0-1-145</t>
  </si>
  <si>
    <t>Dell - Bras MDA20 pour écran double, noir - Supporte jusqu'à 10Kg (deux écrans 27'' maximum)</t>
  </si>
  <si>
    <t>482-BBDL</t>
  </si>
  <si>
    <t>3-0-1-146</t>
  </si>
  <si>
    <t>Dell - Socle MDS19 pour écran double, noir - Supporte jusqu'à 2 écrans 27''</t>
  </si>
  <si>
    <t>482-BBCY</t>
  </si>
  <si>
    <t>3-0-1-147</t>
  </si>
  <si>
    <t>Ergotron - Bras LX bi-écrans superposés colonne haute, fixation bureau, blanc - supporte jusque 2 écrans 40"</t>
  </si>
  <si>
    <t>A9893921</t>
  </si>
  <si>
    <t>3-0-1-148</t>
  </si>
  <si>
    <t>Accessoires pour stations de travail Tour</t>
  </si>
  <si>
    <t>Cache de câbles pour Precision 36X0 MT</t>
  </si>
  <si>
    <t>Filtre anti-poussière Precision 36X0 MT</t>
  </si>
  <si>
    <t xml:space="preserve">Cache câbles pour Precision 34X0 SFF </t>
  </si>
  <si>
    <t>Filtre anti-poussière Precision 34X0 SFF</t>
  </si>
  <si>
    <t>Dispositifs de productivité Realité Virtuelle</t>
  </si>
  <si>
    <t>3-0-1-160</t>
  </si>
  <si>
    <t>KIT HTC Vive Pro 2 - Solution VR premium/professionnel recommandé pour usage intensif et developpeur - inclus 1x casque VIVE Pro 2 + 2x bases + 2xcontrôleurs - garantie VIVE Business 2 ans incluse</t>
  </si>
  <si>
    <t>642-BBCP+642-BBBL</t>
  </si>
  <si>
    <t>KIT HTC Vive Pro EYE - Solution VR premium/professionnel avec tracking oculaire recommandé pour usage intensif et développeur - inclus 1x caque VIVE Pro + 2x bases + 2xcontrôleurs - garantie VIVE Business 2 ans incluse</t>
  </si>
  <si>
    <t>642-BBCJ+642-BBBL</t>
  </si>
  <si>
    <t>3-0-1-161</t>
  </si>
  <si>
    <t>HTC - Adaptateur sans fil VIVE</t>
  </si>
  <si>
    <t>642-BBCC</t>
  </si>
  <si>
    <t>3-0-1-162</t>
  </si>
  <si>
    <t>Clients légers</t>
  </si>
  <si>
    <r>
      <rPr>
        <b/>
        <sz val="10"/>
        <color indexed="64"/>
        <rFont val="Calibri"/>
        <family val="2"/>
        <scheme val="minor"/>
      </rPr>
      <t>Wyse 5470 AIO Win10 IOT</t>
    </r>
    <r>
      <rPr>
        <sz val="10"/>
        <rFont val="Calibri"/>
        <family val="2"/>
        <scheme val="minor"/>
      </rPr>
      <t xml:space="preserve">
Sans WIFI - Socle AIO réglable en hauteur - Ecran 24’’ FHD (1920x1080) - Processeur J4105 (Quad Core) - 8GB (1x8GB) 2400MHz DDR4 Memory - 128GB PCIe M.2 - Dell Optical Mouse MS116 - Clavier AZERTY KB216 
5 ans Pro Support J+1 - Wyse Management Suite version Standard compris </t>
    </r>
  </si>
  <si>
    <t>3-0-1-163</t>
  </si>
  <si>
    <t>3-0-1-164</t>
  </si>
  <si>
    <r>
      <rPr>
        <b/>
        <sz val="10"/>
        <color indexed="64"/>
        <rFont val="Calibri"/>
        <family val="2"/>
        <scheme val="minor"/>
      </rPr>
      <t>Wyse 5070 Win10 IOT</t>
    </r>
    <r>
      <rPr>
        <sz val="10"/>
        <rFont val="Calibri"/>
        <family val="2"/>
        <scheme val="minor"/>
      </rPr>
      <t xml:space="preserve">
8 Go (2 x 4 Go) de mémoire DDR4 à 2 400 MHz -  64 Go de mémoire SSD - Clavier AZERTY KB216 - Adaptateur secteur 65 watts - Windows 10 iOT Enterprise
5 ans de service d‘enlèvement et de retour - Wyse Management Suite - version Standard</t>
    </r>
  </si>
  <si>
    <t>3-0-1-167</t>
  </si>
  <si>
    <t>3-0-1-168</t>
  </si>
  <si>
    <r>
      <rPr>
        <b/>
        <sz val="10"/>
        <color indexed="64"/>
        <rFont val="Calibri"/>
        <family val="2"/>
        <scheme val="minor"/>
      </rPr>
      <t>Wyse 5070 ThinOS PCoIP</t>
    </r>
    <r>
      <rPr>
        <sz val="10"/>
        <rFont val="Calibri"/>
        <family val="2"/>
        <scheme val="minor"/>
      </rPr>
      <t xml:space="preserve">
4 Go (1 x 4 Go) de mémoire DDR4 à 2 400 MHz -  Intel Pentium Silver J5005 - 32 Go de mémoire Flash - Clavier AZERTY KB216 - Adaptateur secteur 65 watts
5 ans de service d‘enlèvement et de retour - Wyse Management Suite - version Standard</t>
    </r>
  </si>
  <si>
    <r>
      <rPr>
        <b/>
        <sz val="10"/>
        <color indexed="64"/>
        <rFont val="Calibri"/>
        <family val="2"/>
        <scheme val="minor"/>
      </rPr>
      <t>Wyse 5470 Mobile Win10 IOT</t>
    </r>
    <r>
      <rPr>
        <sz val="10"/>
        <rFont val="Calibri"/>
        <family val="2"/>
        <scheme val="minor"/>
      </rPr>
      <t xml:space="preserve">
Client léger portable 14'' FHD (1920x1080) Win 10 IOT
Intel Celeron N4100 (4 cœurs) – 8Go (1x8Go) DDR4 - SSD 32 Go – WIFI 9560 (802.11AC et Bluetooth5.0) – Batterie 3 cellules 42Whr Express charge - Clavier AZERTY - 5 ans Pro support - Wyse Management Suite - version Standard</t>
    </r>
  </si>
  <si>
    <t>3-0-1-176</t>
  </si>
  <si>
    <t>3-0-1-177</t>
  </si>
  <si>
    <r>
      <t>Carte WIFI pour Wyse 5470 AIO et 5070</t>
    </r>
    <r>
      <rPr>
        <sz val="10"/>
        <color indexed="2"/>
        <rFont val="Calibri"/>
        <family val="2"/>
        <scheme val="minor"/>
      </rPr>
      <t xml:space="preserve"> - Uniquement commandable avec le système</t>
    </r>
  </si>
  <si>
    <t>3-0-1-169</t>
  </si>
  <si>
    <r>
      <t>Fixation de montage Dell Wyse pour les écrans de série P modèle 5070</t>
    </r>
    <r>
      <rPr>
        <sz val="10"/>
        <color indexed="2"/>
        <rFont val="Calibri"/>
        <family val="2"/>
        <scheme val="minor"/>
      </rPr>
      <t xml:space="preserve"> - Uniquement compatible avec P2219H/P2219HC/P2319H/P2419H/P2419HC</t>
    </r>
  </si>
  <si>
    <t>482-BBDC</t>
  </si>
  <si>
    <t>3-0-1-173</t>
  </si>
  <si>
    <t>Licence et maintenance pour WMS Wyse Management Suite version Pro pour 1 an (par poste)</t>
  </si>
  <si>
    <t>210-ALWZ</t>
  </si>
  <si>
    <t>3-0-1-174</t>
  </si>
  <si>
    <t xml:space="preserve">Extensions spécifiques à la Mobilité </t>
  </si>
  <si>
    <t>Alimentations et stations d'accueil</t>
  </si>
  <si>
    <t>Blocs d'alimentation (chargeurs)</t>
  </si>
  <si>
    <t>Alimentation 130W - USB-C (Precision 3561)</t>
  </si>
  <si>
    <t>450-AHRG</t>
  </si>
  <si>
    <t>3-0-2-1</t>
  </si>
  <si>
    <t>Alimentation 180W - Barrel 7.4mm (Precision 7560 et stations d'accueil WD19X 180W)</t>
  </si>
  <si>
    <t>450-ABJQ</t>
  </si>
  <si>
    <t>3-0-2-2</t>
  </si>
  <si>
    <t>Alimentation 240W - Barrel 7.4mm (Precision 7760 et stations d'accueil WD19X 240W)</t>
  </si>
  <si>
    <t>450-ABIT</t>
  </si>
  <si>
    <t>3-0-2-3</t>
  </si>
  <si>
    <t>WD19DCS - Dock Dual USB-C 240W -  x DP 1.4 / 1 x HDMI / 1 x USB-C / Ethernet &amp; USB - Uniquement compatible avec Precision 7560/7760 - Garantie 5 ans</t>
  </si>
  <si>
    <t>Adaptateurs et câbles</t>
  </si>
  <si>
    <t>Adaptateurs mobilité</t>
  </si>
  <si>
    <t>Adaptateur 7en1 DA310 (HDMI, DP, VGA, Ethernet, USB-C et 2xUSB-A)</t>
  </si>
  <si>
    <t>470-AEUP</t>
  </si>
  <si>
    <t>3-0-2-7</t>
  </si>
  <si>
    <t>3-0-2-54</t>
  </si>
  <si>
    <t>Adaptateur USB-C vers HDMI/DP avec Power Delivery</t>
  </si>
  <si>
    <t>470-AEGY</t>
  </si>
  <si>
    <t>3-0-2-8</t>
  </si>
  <si>
    <t>Adaptateurs et câbles vidéo</t>
  </si>
  <si>
    <t>Adaptateur DisplayPort vers DVI (resolution max 1920x1200)</t>
  </si>
  <si>
    <t>470-ABEO</t>
  </si>
  <si>
    <t>3-0-2-9</t>
  </si>
  <si>
    <t>Adaptateur DisplayPort vers HDMI 2.0</t>
  </si>
  <si>
    <t>3-0-2-10</t>
  </si>
  <si>
    <t>Adaptateur DisplayPort vers VGA (resolution max 1920x1200)</t>
  </si>
  <si>
    <t>470-ABEL</t>
  </si>
  <si>
    <t>3-0-2-11</t>
  </si>
  <si>
    <t>Adaptateur mini DP vers DP</t>
  </si>
  <si>
    <t>470-13627</t>
  </si>
  <si>
    <t>3-0-2-12</t>
  </si>
  <si>
    <t>Adaptateur USB-C vers DP</t>
  </si>
  <si>
    <t>470-ACFC</t>
  </si>
  <si>
    <t>3-0-2-13</t>
  </si>
  <si>
    <t>Adaptateur USB-C vers VGA</t>
  </si>
  <si>
    <t>470-ADFQ</t>
  </si>
  <si>
    <t>3-0-2-14</t>
  </si>
  <si>
    <t>Adaptateur USB-C vers HDMI</t>
  </si>
  <si>
    <t>470-ABMZ</t>
  </si>
  <si>
    <t>3-0-2-15</t>
  </si>
  <si>
    <t>Adaptateur USB-C vers USB-A 3.0</t>
  </si>
  <si>
    <t>470-ABNE</t>
  </si>
  <si>
    <t>3-0-2-16</t>
  </si>
  <si>
    <t xml:space="preserve">Câble mini DP vers DP 2 mètres </t>
  </si>
  <si>
    <t>A7724407</t>
  </si>
  <si>
    <t>3-0-2-17</t>
  </si>
  <si>
    <t>Câble DisplayPort (M) vers DisplayPort (M) 1 mètre</t>
  </si>
  <si>
    <t>A7724400</t>
  </si>
  <si>
    <t>3-0-2-18</t>
  </si>
  <si>
    <t>Câble DisplayPort (M) vers DisplayPort (M) 3 mètres</t>
  </si>
  <si>
    <t>A7724402</t>
  </si>
  <si>
    <t>3-0-2-19</t>
  </si>
  <si>
    <t>Câble HDMI 2.0 (Mâle)/(Mâle) - Noir - 2m</t>
  </si>
  <si>
    <t>A7292667</t>
  </si>
  <si>
    <t>3-0-2-20</t>
  </si>
  <si>
    <t>Adaptateurs et câbles réseau</t>
  </si>
  <si>
    <t>Câble réseau RJ45 Cat 6 3 m</t>
  </si>
  <si>
    <t>A6927658</t>
  </si>
  <si>
    <t>3-0-2-21</t>
  </si>
  <si>
    <t>Câble réseau RJ45 Cat 6 5 m</t>
  </si>
  <si>
    <t xml:space="preserve">A6927659 </t>
  </si>
  <si>
    <t>3-0-2-22</t>
  </si>
  <si>
    <t>Adaptateur Dell USB-C vers RJ45 (PXE Boot)</t>
  </si>
  <si>
    <t>470-ABND</t>
  </si>
  <si>
    <t>3-0-2-23</t>
  </si>
  <si>
    <t>Adaptateur ACCELL USB 3.0 vers RJ45 - Fontionnalités WOL, MAC Address Pass-through, PXE Boot (J141B-005B-2)</t>
  </si>
  <si>
    <t>A9833510</t>
  </si>
  <si>
    <t>3-0-2-24</t>
  </si>
  <si>
    <t>Câbles de sécurité pour station de travail Mobile</t>
  </si>
  <si>
    <t>Dell Kensignton (Wedge Lock Slot) câble simple tête à clé</t>
  </si>
  <si>
    <t> 461-AAFD</t>
  </si>
  <si>
    <t>3-0-2-25</t>
  </si>
  <si>
    <t>Dell Kensington (Wedge + T-BAR Lock Slot) câble double tête (Portable + station d'accueil) à clé</t>
  </si>
  <si>
    <t> 461-AAFE</t>
  </si>
  <si>
    <t>3-0-2-26</t>
  </si>
  <si>
    <t>Dell Kensignton (Wedge Lock Slot) câble simple tête à clé Masterkey solution (25 câbles + 2 Masterkeys)</t>
  </si>
  <si>
    <t> 461-AAFB</t>
  </si>
  <si>
    <t>3-0-2-27</t>
  </si>
  <si>
    <t>Dell Kensington (Wedge + T-BAR Lock Slot) câble double tête (Portable + station d'accueil) à clé Masterkey solution (25 câbles + 2 Masterkeys)</t>
  </si>
  <si>
    <t> 461-AAFC</t>
  </si>
  <si>
    <t>3-0-2-28</t>
  </si>
  <si>
    <t>Sacs de transport</t>
  </si>
  <si>
    <t>Housses (uniquement pour Precision 3561)</t>
  </si>
  <si>
    <t>3-0-2-29</t>
  </si>
  <si>
    <t>Housse Dell Ecoloop Pro 15-16'' (CV5623)</t>
  </si>
  <si>
    <t>460-BDLH</t>
  </si>
  <si>
    <t>Housse Port Designs YOSEMITE ECO 15" - Gris - Garantie à vie (400705)</t>
  </si>
  <si>
    <t xml:space="preserve">AB776808 </t>
  </si>
  <si>
    <t>3-0-2-30</t>
  </si>
  <si>
    <t>Sacoches</t>
  </si>
  <si>
    <t>3-0-2-31</t>
  </si>
  <si>
    <t>Sacoche Dell Ecoloop Pro 14-15'' (CC5623)</t>
  </si>
  <si>
    <t>460-BDLI</t>
  </si>
  <si>
    <t xml:space="preserve">Sacoche Dell Premier 15'' </t>
  </si>
  <si>
    <t>460-BCQL</t>
  </si>
  <si>
    <t>3-0-2-32</t>
  </si>
  <si>
    <t xml:space="preserve">Sacoche Targus CitySmart Advanced 15" - Noir/Gris - Garantie à vie (TBT914EU) </t>
  </si>
  <si>
    <t>AB744806</t>
  </si>
  <si>
    <t>3-0-2-33</t>
  </si>
  <si>
    <t>Sacoche Port Designs YOSEMITE ECO 15" - Gris - Garantie à vie (400701)</t>
  </si>
  <si>
    <t xml:space="preserve">AB776811 </t>
  </si>
  <si>
    <t>3-0-2-35</t>
  </si>
  <si>
    <t xml:space="preserve">Sacoche Targus Classic+ 17'' &amp; 18" - Noir/Rouge - Garantie à vie (CN418EU) </t>
  </si>
  <si>
    <t>AB744808</t>
  </si>
  <si>
    <t>3-0-2-36</t>
  </si>
  <si>
    <t>Sac à dos</t>
  </si>
  <si>
    <t>3-0-2-38</t>
  </si>
  <si>
    <t>Sac à dos Dell Ecoloop Pro 15-17'' (CP5723)</t>
  </si>
  <si>
    <t>460-BDLE</t>
  </si>
  <si>
    <t xml:space="preserve">Sac à dos Dell Premier Slim 14 &amp; 15'’  </t>
  </si>
  <si>
    <t>460-BCQM</t>
  </si>
  <si>
    <t>3-0-2-39</t>
  </si>
  <si>
    <t>Sac à dos Dell Premier 15''</t>
  </si>
  <si>
    <t>460-BCQK</t>
  </si>
  <si>
    <t>3-0-2-40</t>
  </si>
  <si>
    <t>Sac à dos Targus Intellect 15" - Noir/Gris - Garantie à vie (TBB565GL)</t>
  </si>
  <si>
    <t>AB744809</t>
  </si>
  <si>
    <t>3-0-2-41</t>
  </si>
  <si>
    <t>Sac à dos Targus Cypress Convertible Ecosmart 15" - Noir - Garantie à vie (TBB587GL)</t>
  </si>
  <si>
    <t>AB744810</t>
  </si>
  <si>
    <t>3-0-2-42</t>
  </si>
  <si>
    <t>Sac à dos Targus Cypress Ecosmart 15" - Gris - Garantie à vie (TBB58602GL)</t>
  </si>
  <si>
    <t>AB744811</t>
  </si>
  <si>
    <t>3-0-2-43</t>
  </si>
  <si>
    <t>Sac à dos fourre-tout Targus Newport Convertible 15" - Garantie à vie (TBB600GL)</t>
  </si>
  <si>
    <t>AB839182</t>
  </si>
  <si>
    <t>3-0-2-44</t>
  </si>
  <si>
    <t>Sac à dos Targus Newport 15'' - Noir - Garantie à vie (TBB599GL)</t>
  </si>
  <si>
    <t>AB744813</t>
  </si>
  <si>
    <t>3-0-2-45</t>
  </si>
  <si>
    <t>Sac à dos Port Designs YOSEMITE ECO XL 15" - Gris - Garantie à vie (400703)</t>
  </si>
  <si>
    <t xml:space="preserve">AB776812 </t>
  </si>
  <si>
    <t>3-0-2-46</t>
  </si>
  <si>
    <t>Trolleys</t>
  </si>
  <si>
    <t>Trolley Targus Executive 15 &amp; 16" - Noir - Garantie à vie (TBR003EU)</t>
  </si>
  <si>
    <t>AB744814</t>
  </si>
  <si>
    <t>3-0-2-47</t>
  </si>
  <si>
    <t>Trolley Targus City Gear XL 17" - Noir - Garantie à vie (TCG717GL)</t>
  </si>
  <si>
    <t>AB744815</t>
  </si>
  <si>
    <t>3-0-2-48</t>
  </si>
  <si>
    <t>Support pour ordinateur portable</t>
  </si>
  <si>
    <t>Kensington Easy Riser - support pour ordinateur portable - Gris</t>
  </si>
  <si>
    <t>A7166515</t>
  </si>
  <si>
    <t>3-0-2-49</t>
  </si>
  <si>
    <t>Port Designs - Support Ergonomique pour Notebook (901103)</t>
  </si>
  <si>
    <t>AB809409</t>
  </si>
  <si>
    <t>3-0-2-50</t>
  </si>
  <si>
    <t xml:space="preserve">Filtres de confidentialité </t>
  </si>
  <si>
    <t>3M Filtre de confidentialité 15''6 (PF156W9B) - Compatible Precision 3561 et 7560</t>
  </si>
  <si>
    <t xml:space="preserve">AB771954 </t>
  </si>
  <si>
    <t>3-0-2-51</t>
  </si>
  <si>
    <t>3M Filtre de confidentialité pour écran tactile 15"6 (TF156W9B) - Compatible Precision 3561 et 7560</t>
  </si>
  <si>
    <t xml:space="preserve">AB771955 </t>
  </si>
  <si>
    <t>3-0-2-52</t>
  </si>
  <si>
    <t>3M Filtre de confidentialité 15.6'' 16:10 (PFNDE015) - Compatible Precision 5560</t>
  </si>
  <si>
    <t xml:space="preserve">AB983450 </t>
  </si>
  <si>
    <t>3-0-2-55</t>
  </si>
  <si>
    <t>3M Filtre de confidentialité 17'3 (PF173W9B) - Compatible Precision 7760</t>
  </si>
  <si>
    <t xml:space="preserve">AB771956 </t>
  </si>
  <si>
    <t>3-0-2-53</t>
  </si>
  <si>
    <t>Extensions de garantie et prestations de services</t>
  </si>
  <si>
    <t>Precision 3240 / 3450 et 3650</t>
  </si>
  <si>
    <t>Precision 3561 / 7560 et 7760</t>
  </si>
  <si>
    <t>Precision 5820 / 7920 Tour et Rack</t>
  </si>
  <si>
    <t>Garanties complémentaires acquises lors de l'achat initial - Non disponible dans les DROM COM</t>
  </si>
  <si>
    <r>
      <t>5 ans de garantie contre les Dommages Accidentels (Garantie casse)</t>
    </r>
    <r>
      <rPr>
        <sz val="10"/>
        <color indexed="2"/>
        <rFont val="Calibri"/>
        <family val="2"/>
        <scheme val="minor"/>
      </rPr>
      <t xml:space="preserve"> </t>
    </r>
  </si>
  <si>
    <t>Extensions de garantie en cours après achat matériel (dans la limite de 7 ans à partir de la date d'achat du matériel) - Non disponible dans les DROM COM</t>
  </si>
  <si>
    <t>Extension de garantie ProSupport 6 ans J+1 (heures ouvrés, jours ouvrés) + SAM Matinfo 5 (après achat)</t>
  </si>
  <si>
    <t>3-0-3-18</t>
  </si>
  <si>
    <t>Extension de garantie ProSupport 7 ans J+1 (heures ouvrés, jours ouvrés) + SAM Matinfo 5 (après achat)</t>
  </si>
  <si>
    <t>3-0-3-19</t>
  </si>
  <si>
    <t>3-0-3-20</t>
  </si>
  <si>
    <t>3-0-3-21</t>
  </si>
  <si>
    <t>3-0-3-22</t>
  </si>
  <si>
    <t>3-0-3-23</t>
  </si>
  <si>
    <t>Frais d'expédition DROM COM - Obligatoire pour les commandes de moins de 20 produits (configurations et/ou périphériques)</t>
  </si>
  <si>
    <t>Forfait pour chaque commande DROM COM de moins de 20 produits</t>
  </si>
  <si>
    <t>3-0-3-105</t>
  </si>
  <si>
    <t>Prestations de marquage et étiquetage (Gravure, Etiquetage, Rapports, Marquage Antivol, etc.)</t>
  </si>
  <si>
    <t>3-0-3-24</t>
  </si>
  <si>
    <t>Etiquette sur la machine (Informations système : modèle, adresse MAC, numero de commande)</t>
  </si>
  <si>
    <t>3-0-3-25</t>
  </si>
  <si>
    <r>
      <t xml:space="preserve">Etiquette Couleur pour poste de travail (informations spécifiques au choix parmi 25 champs de données différents, possibilité de QR Code et de système de couleur RVB) </t>
    </r>
    <r>
      <rPr>
        <sz val="10"/>
        <color indexed="2"/>
        <rFont val="Calibri"/>
        <family val="2"/>
        <scheme val="minor"/>
      </rPr>
      <t>- Nécessite création projet en amont</t>
    </r>
  </si>
  <si>
    <t>Etiquette sur le carton d'emballage (Service Tag, modèle, processeur, mémoire, taille disque dur, numéro de commande)</t>
  </si>
  <si>
    <t xml:space="preserve">293-10026    </t>
  </si>
  <si>
    <t>3-0-3-26</t>
  </si>
  <si>
    <r>
      <t xml:space="preserve">Marquage antivol personnalisable STOPTRACK ANTI-THEFT LABEL </t>
    </r>
    <r>
      <rPr>
        <sz val="10"/>
        <color indexed="2"/>
        <rFont val="Calibri"/>
        <family val="2"/>
        <scheme val="minor"/>
      </rPr>
      <t>- Hors Precision 7920 Rack</t>
    </r>
  </si>
  <si>
    <t xml:space="preserve">293-10000    </t>
  </si>
  <si>
    <t>3-0-3-27</t>
  </si>
  <si>
    <t>Gravure laser permettant l'identification de votre entité (logo ou informations succintes)</t>
  </si>
  <si>
    <t>3-0-3-28</t>
  </si>
  <si>
    <t>Rapport de Production au format Excel envoyé par email (détails commandes, informations techniques, etc.)</t>
  </si>
  <si>
    <t xml:space="preserve">708-10080    </t>
  </si>
  <si>
    <t>3-0-3-29</t>
  </si>
  <si>
    <t>Prestations de préparation des matériels en usine (bios, partitionnement, gestion des images d'OS, etc.)</t>
  </si>
  <si>
    <t>Paramétrage du Bios en usine (nombre de paramètres illimité) - Prix par poste</t>
  </si>
  <si>
    <t>3-0-3-30</t>
  </si>
  <si>
    <t>Descente d'un master statique (format Wim, Clonezilla, etc.) en usine - Prix par poste</t>
  </si>
  <si>
    <t>3-0-3-31</t>
  </si>
  <si>
    <t>Descente d'un master dynamique Dell Image Assist en usine - Prix par poste</t>
  </si>
  <si>
    <t>3-0-3-32</t>
  </si>
  <si>
    <t>Descente d'un master dynamique via le process Dell Connected Configuration - Prix par poste</t>
  </si>
  <si>
    <t>3-0-3-33</t>
  </si>
  <si>
    <t>Enregistrement en usine d'un poste de travail dans l'Azure AD Client - Prix par poste</t>
  </si>
  <si>
    <t>3-0-3-34</t>
  </si>
  <si>
    <t>Enregistrement en usine d'un poste de travail dans la console Workspace One VMWare du client - Prix par poste</t>
  </si>
  <si>
    <t>3-0-3-35</t>
  </si>
  <si>
    <t>Prestations d'installation - Non disponible dans les DROM COM</t>
  </si>
  <si>
    <t>Installation physique (vérification de l'état des composants, déballage, installation, connexion réseau, contrôle du bon démarrage, etc.)</t>
  </si>
  <si>
    <t>Installation physique et configuration d'un système - Prix unitaire par lot de 2 à 20 unités / Visite</t>
  </si>
  <si>
    <t>3-0-3-36</t>
  </si>
  <si>
    <t xml:space="preserve">Option installation d'un périphérique par lot de 2 à 20 systèmes - Prestation optionnelle réalisée en complément de la prestation d'installation physique d'un poste </t>
  </si>
  <si>
    <t>3-0-3-37</t>
  </si>
  <si>
    <t>Installation physique et configuration d'un système - Prix unitaire par lot de 21 à 250 unités / Visite</t>
  </si>
  <si>
    <t>3-0-3-38</t>
  </si>
  <si>
    <t xml:space="preserve">Option installation d'un périphérique par lot de 21 à 250 systèmes - Prestation optionnelle réalisée en complément de la prestation d'installation physique d'un poste </t>
  </si>
  <si>
    <t>3-0-3-39</t>
  </si>
  <si>
    <t>Installation logicielle (préparation du support, installation système exploitations, vérification clé, pilotes, tests des fonctionnalités, etc.)</t>
  </si>
  <si>
    <t>Installation logicielle - Prix unitaire par lot de 2 à 20 unités / Visite</t>
  </si>
  <si>
    <t>3-0-3-40</t>
  </si>
  <si>
    <t>Option masterisation d’un poste sur site (remasterisation) par lot de 2 à 20 systèmes - Prestation réalisée en complément de la prestation d'installation physique d'un poste</t>
  </si>
  <si>
    <t>3-0-3-41</t>
  </si>
  <si>
    <t>Installation logicielle - Prix unitaire par lot de 21 à 250 unités / Visite</t>
  </si>
  <si>
    <t>3-0-3-42</t>
  </si>
  <si>
    <t>Option masterisation d’un poste sur site (remasterisation) par lot de 21 à 250 systèmes - Prestation réalisée en complément de la prestation d'installation physique d'un poste</t>
  </si>
  <si>
    <t>3-0-3-43</t>
  </si>
  <si>
    <t>Prestations transfert de données utilisateurs (transfert de données, destruction des disques dur, etc.) - Non disponible dans les DROM COM</t>
  </si>
  <si>
    <r>
      <t xml:space="preserve">Prestation de transfert de données (jusqu'à 100Go) sur site de 2 à 20 systèmes </t>
    </r>
    <r>
      <rPr>
        <sz val="10"/>
        <color indexed="2"/>
        <rFont val="Calibri"/>
        <family val="2"/>
        <scheme val="minor"/>
      </rPr>
      <t>- Prestation réalisée en complément de la prestation d'installation physique d'un poste</t>
    </r>
  </si>
  <si>
    <t>3-0-3-44</t>
  </si>
  <si>
    <r>
      <t>Prestation de transfert de données (jusqu'à 100Go) sur site de 21 à 250 systèmes</t>
    </r>
    <r>
      <rPr>
        <sz val="10"/>
        <color indexed="2"/>
        <rFont val="Calibri"/>
        <family val="2"/>
        <scheme val="minor"/>
      </rPr>
      <t xml:space="preserve"> - Prestation réalisée en complément de la prestation d'installation physique d'un poste</t>
    </r>
  </si>
  <si>
    <t>3-0-3-45</t>
  </si>
  <si>
    <r>
      <t xml:space="preserve">Prestation d'effacement des données sur site </t>
    </r>
    <r>
      <rPr>
        <sz val="10"/>
        <color indexed="2"/>
        <rFont val="Calibri"/>
        <family val="2"/>
        <scheme val="minor"/>
      </rPr>
      <t>- Prestation réalisée en complément de la prestation d'installation physique d'un poste</t>
    </r>
  </si>
  <si>
    <t>3-0-3-46</t>
  </si>
  <si>
    <r>
      <t xml:space="preserve">Prestation d'effacement des données hors site </t>
    </r>
    <r>
      <rPr>
        <sz val="10"/>
        <color indexed="2"/>
        <rFont val="Calibri"/>
        <family val="2"/>
        <scheme val="minor"/>
      </rPr>
      <t>- Prestation réalisée en complément de la prestation d'installation physique d'un poste</t>
    </r>
  </si>
  <si>
    <t>3-0-3-47</t>
  </si>
  <si>
    <t>Prestation de destruction de disque dur sur site (moins de 20 disques) - Prix par disque détruit</t>
  </si>
  <si>
    <t>3-0-3-48</t>
  </si>
  <si>
    <t>Prestation de destruction de disque dur sur site (plus de 20 disques) - Prix par disque détruit</t>
  </si>
  <si>
    <t>3-0-3-49</t>
  </si>
  <si>
    <t>Prestation de destruction de disque dur hors site - Prix par disque détruit</t>
  </si>
  <si>
    <t>3-0-3-50</t>
  </si>
  <si>
    <t>Prestations de gestion des emballages (évacuation et recyclage hors site de l'établissement, etc.) - Non disponible dans les DROM COM</t>
  </si>
  <si>
    <t>Récupération des emballages lors de la livraison - Prix par carton</t>
  </si>
  <si>
    <t>3-0-3-51</t>
  </si>
  <si>
    <t>Récupération des emballages dans le cadre d'une prestation d'installation - Prix par carton</t>
  </si>
  <si>
    <t>3-0-3-52</t>
  </si>
  <si>
    <t>Autres prestations de services spécifiques (Coût journée : Chef de projet, Technicien de déploiement, etc.) - Non disponible dans les DROM COM</t>
  </si>
  <si>
    <t>Offres packagées de déploiement</t>
  </si>
  <si>
    <t>Offre Packagée de déploiement Basique (Basic Deploy) - Prix par poste</t>
  </si>
  <si>
    <t>3-0-3-53</t>
  </si>
  <si>
    <t>Offre Packagée de déploiement Standard (ProDeploy) - Prix par poste</t>
  </si>
  <si>
    <t>3-0-3-54</t>
  </si>
  <si>
    <t>Offre Packagée de déploiement Avancé (ProDeploy Plus) - Prix par poste</t>
  </si>
  <si>
    <t>3-0-3-55</t>
  </si>
  <si>
    <t>Stockage</t>
  </si>
  <si>
    <t>Stockage courte durée - Prix par poste</t>
  </si>
  <si>
    <t>3-0-3-56</t>
  </si>
  <si>
    <t>Prestations à la journée</t>
  </si>
  <si>
    <t>Journée Manutentionnaire - Prix par jour</t>
  </si>
  <si>
    <t>3-0-3-57</t>
  </si>
  <si>
    <t>Journée Technicien Déploiement - Prix par jour</t>
  </si>
  <si>
    <t>3-0-3-58</t>
  </si>
  <si>
    <t>Journée Chef de Projet - Prix par jour</t>
  </si>
  <si>
    <t>3-0-3-59</t>
  </si>
  <si>
    <t>Journée Coordinateur - Prix par jour</t>
  </si>
  <si>
    <t>3-0-3-60</t>
  </si>
  <si>
    <t>Recyclage</t>
  </si>
  <si>
    <t>Recyclage  des postes de travail - Solution gratuite - Prix par poste</t>
  </si>
  <si>
    <t>3-0-3-61</t>
  </si>
  <si>
    <t>Recyclage  des postes de travail - Récupération et recyclage du poste avec effacement des données hors site - Prix par poste</t>
  </si>
  <si>
    <t>3-0-3-62</t>
  </si>
  <si>
    <t>Recyclage  des postes de travail - Récupération et recyclage du poste avec effacement des données sur site - Prix par poste</t>
  </si>
  <si>
    <t>3-0-3-63</t>
  </si>
  <si>
    <t>Extensions Proposées avec Configuration</t>
  </si>
  <si>
    <t>3-0-4-1</t>
  </si>
  <si>
    <r>
      <t xml:space="preserve">Licence Microsoft Windows 10 Pro (avec licence Windows 11 Pro) , 64 bits multilingue (anglais, néerlandais, français, allemand, italien) - </t>
    </r>
    <r>
      <rPr>
        <sz val="10"/>
        <color indexed="2"/>
        <rFont val="Calibri"/>
        <family val="2"/>
        <scheme val="minor"/>
      </rPr>
      <t>Pour processeurs Intel Core i5 &amp; i7 uniquement</t>
    </r>
  </si>
  <si>
    <t>Licence Microsoft Windows 10 Pro (avec licence Windows 11 Pro), 64 bits multilingue (anglais, néerlandais, français, allemand, italien) - Pour processeurs Intel Core i9 uniquement</t>
  </si>
  <si>
    <t>3-0-4-2</t>
  </si>
  <si>
    <r>
      <t xml:space="preserve">Licence Microsoft Windows 10 Pro (avec licence Windows 11 Pro), 64 bits multilingue (anglais, néerlandais, français, allemand, italien) - </t>
    </r>
    <r>
      <rPr>
        <sz val="10"/>
        <color indexed="2"/>
        <rFont val="Calibri"/>
        <family val="2"/>
        <scheme val="minor"/>
      </rPr>
      <t>Pour processeurs Intel Core i9 uniquement</t>
    </r>
  </si>
  <si>
    <t>Licence Microsoft Windows 10 Pro (avec licence Windows 11 Pro), 64 bits multilingue (anglais, néerlandais, français, allemand, italien) - Pour processeurs Intel Xeon uniquement</t>
  </si>
  <si>
    <t>3-0-4-3</t>
  </si>
  <si>
    <r>
      <t xml:space="preserve">Licence Microsoft Windows 10 Pro (avec licence Windows 11 Pro), 64 bits multilingue (anglais, néerlandais, français, allemand, italien) - </t>
    </r>
    <r>
      <rPr>
        <sz val="10"/>
        <color indexed="2"/>
        <rFont val="Calibri"/>
        <family val="2"/>
        <scheme val="minor"/>
      </rPr>
      <t>Pour processeurs Intel Xeon uniquement</t>
    </r>
  </si>
  <si>
    <t>Maintien du parc existant Dell</t>
  </si>
  <si>
    <t>Extensions pour postes fixes Optiplex</t>
  </si>
  <si>
    <t>Accessoires Optiplex - Non disponible dans les DROM COM</t>
  </si>
  <si>
    <t>Accessoires pour Optiplex format Micro</t>
  </si>
  <si>
    <t>Cache câbles pour Optiplex Micro 5080 et 7080</t>
  </si>
  <si>
    <t>325-BDXB</t>
  </si>
  <si>
    <t>3-0-5-1</t>
  </si>
  <si>
    <t xml:space="preserve">Filtre anti-poussière Optiplex Micro 5080 et 7080 </t>
  </si>
  <si>
    <t>750-ACWO</t>
  </si>
  <si>
    <t>3-0-5-2</t>
  </si>
  <si>
    <t>Console Dell OptiPlex Micro + Graveur Externe Ultramince DVD+/-RW Dell DW316 USB</t>
  </si>
  <si>
    <t>452-BDJY</t>
  </si>
  <si>
    <t>3-0-5-3</t>
  </si>
  <si>
    <t xml:space="preserve">Support de montage VESA pour Optiplex Micro </t>
  </si>
  <si>
    <t>452-BDEQ</t>
  </si>
  <si>
    <t>3-0-5-4</t>
  </si>
  <si>
    <t xml:space="preserve">Support de montage double-VESA pour Optiplex Micro </t>
  </si>
  <si>
    <t>452-BDER</t>
  </si>
  <si>
    <t>3-0-5-5</t>
  </si>
  <si>
    <t>Socle Dell tout-en-un au format micro | MFS18</t>
  </si>
  <si>
    <t>452-BCQC</t>
  </si>
  <si>
    <t>3-0-5-6</t>
  </si>
  <si>
    <t xml:space="preserve">Alimentation pour Optiplex Micro </t>
  </si>
  <si>
    <t>450-AGNS</t>
  </si>
  <si>
    <t>3-0-5-7</t>
  </si>
  <si>
    <t>Accessoires pour Optiplex format SFF</t>
  </si>
  <si>
    <t xml:space="preserve">Cache câbles pour Optiplex SFF 5080 et 7080 </t>
  </si>
  <si>
    <t>325-BDWY</t>
  </si>
  <si>
    <t>3-0-5-8</t>
  </si>
  <si>
    <t>Filtre anti-poussière Optiplex SFF 5080 et 7080</t>
  </si>
  <si>
    <t>750-ACWP</t>
  </si>
  <si>
    <t>3-0-5-9</t>
  </si>
  <si>
    <t>Socle Dell tout-en-un pour format SFF | OSS21</t>
  </si>
  <si>
    <t>3-0-5-10</t>
  </si>
  <si>
    <t>Accessoires pour Optiplex format MT</t>
  </si>
  <si>
    <t>Cache câbles pour Optiplex 5080 MT</t>
  </si>
  <si>
    <t>325-BDWZ</t>
  </si>
  <si>
    <t>3-0-5-11</t>
  </si>
  <si>
    <t>Cache câbles pour Optiplex 7080 MT</t>
  </si>
  <si>
    <t>325-BDOI</t>
  </si>
  <si>
    <t>3-0-5-12</t>
  </si>
  <si>
    <t>Filtre anti-poussière Optiplex 5080 MT</t>
  </si>
  <si>
    <t>750-ACWN</t>
  </si>
  <si>
    <t>3-0-5-13</t>
  </si>
  <si>
    <t xml:space="preserve">Filtre anti-poussière Optiplex 7080 MT </t>
  </si>
  <si>
    <t>750-ABOR</t>
  </si>
  <si>
    <t>3-0-5-14</t>
  </si>
  <si>
    <t>Accessoires pour Optiplex Ultra</t>
  </si>
  <si>
    <t xml:space="preserve">Adpatateur secteur 65W, Européen </t>
  </si>
  <si>
    <t>450-AECL</t>
  </si>
  <si>
    <t>3-0-5-15</t>
  </si>
  <si>
    <t>Câble USB-C vers DP - 0.6m</t>
  </si>
  <si>
    <t>470-AEDR</t>
  </si>
  <si>
    <t>3-0-5-17</t>
  </si>
  <si>
    <r>
      <t xml:space="preserve">Câble USB-A vers USB-B 3.0 - 0.6m </t>
    </r>
    <r>
      <rPr>
        <sz val="10"/>
        <color indexed="2"/>
        <rFont val="Calibri"/>
        <family val="2"/>
        <scheme val="minor"/>
      </rPr>
      <t>- Nécessaire si le moniteur utilisé dispose d’un hub USB intégré (ports USB, webcam, micro, etc…)</t>
    </r>
  </si>
  <si>
    <t>470-AEDP</t>
  </si>
  <si>
    <t>3-0-5-18</t>
  </si>
  <si>
    <t>Support de montage VESA pour Optiplex Ultra</t>
  </si>
  <si>
    <t>3-0-5-19</t>
  </si>
  <si>
    <t>Extensions de garantie en cours après achat matériel Optiplex (dans la limite de 5 ans à partir de la date d'achat du matériel) - Non disponible dans les DROM COM</t>
  </si>
  <si>
    <r>
      <t xml:space="preserve">Extension de garantie pour 1 an supplémentaire ProSupport J+1 (heures ouvrées, jours ouvrés) + TAM Matinfo </t>
    </r>
    <r>
      <rPr>
        <sz val="10"/>
        <color indexed="2"/>
        <rFont val="Calibri"/>
        <family val="2"/>
        <scheme val="minor"/>
      </rPr>
      <t>- Ne peut être acquis via le portail dell-matinfo. Merci de contacter votre commercial</t>
    </r>
  </si>
  <si>
    <t>3-0-5-21</t>
  </si>
  <si>
    <r>
      <t xml:space="preserve">Extension de garantie pour 2 ans supplémentaire ProSupport J+1 (heures ouvrées, jours ouvrés) + TAM Matinfo </t>
    </r>
    <r>
      <rPr>
        <sz val="10"/>
        <color indexed="2"/>
        <rFont val="Calibri"/>
        <family val="2"/>
        <scheme val="minor"/>
      </rPr>
      <t>- Ne peut être acquis via le portail dell-matinfo. Merci de contacter votre commercial</t>
    </r>
  </si>
  <si>
    <t>3-0-5-22</t>
  </si>
  <si>
    <t>Batterie de remplacement pour station de travail Precision Mobile (garantie 1 an) - Non disponible dans les DROM COM</t>
  </si>
  <si>
    <t>Batterie pour Precision 7530/7540/7730/7740 - 4 Cellules 64Whr</t>
  </si>
  <si>
    <t>451-BCJE</t>
  </si>
  <si>
    <t>3-0-5-24</t>
  </si>
  <si>
    <t>Batterie pour Precision 7530/7540/7730/7740 - 6 Cellules 97Whr</t>
  </si>
  <si>
    <t>451-BCGI</t>
  </si>
  <si>
    <t>3-0-5-25</t>
  </si>
  <si>
    <t>Batterie pour Precision 3520 - 4 Cellules 68Whr</t>
  </si>
  <si>
    <t>451-BBZG</t>
  </si>
  <si>
    <t>3-0-5-26</t>
  </si>
  <si>
    <t>Batterie pour Precision 3541 - 4 Cellules 68Whr</t>
  </si>
  <si>
    <t>451-BCNS</t>
  </si>
  <si>
    <t>3-0-5-27</t>
  </si>
  <si>
    <t>Batterie pour Precision 3541 - 6 Cellules 97Whr</t>
  </si>
  <si>
    <t>451-BCNU ou 451-BCNV</t>
  </si>
  <si>
    <t>3-0-5-28</t>
  </si>
  <si>
    <r>
      <t xml:space="preserve">Batterie pour Precision 5530 et 5520 - 6 Cellules 72Whr via intervention sur site par technicien </t>
    </r>
    <r>
      <rPr>
        <sz val="10"/>
        <color indexed="2"/>
        <rFont val="Calibri"/>
        <family val="2"/>
        <scheme val="minor"/>
      </rPr>
      <t>- Ne peut être acquis via le portail dell-matinfo. Merci de contacter votre commercial.</t>
    </r>
  </si>
  <si>
    <t>3-0-5-29</t>
  </si>
  <si>
    <t>Adptateurs secteurs pour station de travail Precision Mobile - Non disponible dans les DROM COM</t>
  </si>
  <si>
    <t>Adaptateur secteur 130W 7,4mm - Precision 35XX</t>
  </si>
  <si>
    <t>450-19221</t>
  </si>
  <si>
    <t>3-0-5-30</t>
  </si>
  <si>
    <t>Adaptateur secteur 130W 4,5mm - Precision 5520/5530/5540</t>
  </si>
  <si>
    <t>3-0-5-31</t>
  </si>
  <si>
    <t>Adaptateur secteur 180W 7,4mm - Precision 75X0 et stations d'accueil WD19X 180W</t>
  </si>
  <si>
    <t>3-0-5-32</t>
  </si>
  <si>
    <t>Adaptateur secteur 240W 7,4mm - Precision 77X0 et stations d'accueil WD19X 180W</t>
  </si>
  <si>
    <t>3-0-5-33</t>
  </si>
  <si>
    <t>Batteries de remplacement Latitude et XPS (garantie 1 an) - Non disponible dans les DROM COM</t>
  </si>
  <si>
    <t>Batterie pour Latitude 5400/5500 - 4 cellules 68Wh</t>
  </si>
  <si>
    <t xml:space="preserve">451-BCNX </t>
  </si>
  <si>
    <t>3-0-5-34</t>
  </si>
  <si>
    <t>Batterie pour Latitude 5410/5510 - 4 cellules 68Wh</t>
  </si>
  <si>
    <t xml:space="preserve">451-BCNS </t>
  </si>
  <si>
    <t>3-0-5-35</t>
  </si>
  <si>
    <t>Batterie pour Latitude 5280/5480/5580 &amp; 5290/5490/5590 - 4 cellules 68Wh</t>
  </si>
  <si>
    <t>3-0-5-36</t>
  </si>
  <si>
    <t>Batterie pour Latitude 5280/5480/5580 &amp; 5290/5490/5590 - 3 cellules 51Wh</t>
  </si>
  <si>
    <t>451-BBZT</t>
  </si>
  <si>
    <t>3-0-5-37</t>
  </si>
  <si>
    <t>Batterie pour Latitude 5280/5480/5580 &amp; 5290/5490/5590 - 3 cellules 42Wh</t>
  </si>
  <si>
    <t>451-BBZP</t>
  </si>
  <si>
    <t>3-0-5-38</t>
  </si>
  <si>
    <r>
      <t>Batterie pour Latitude 5285 - 4 Cellules 42Whr via intervention sur site par technicien</t>
    </r>
    <r>
      <rPr>
        <sz val="10"/>
        <color indexed="2"/>
        <rFont val="Calibri"/>
        <family val="2"/>
        <scheme val="minor"/>
      </rPr>
      <t xml:space="preserve"> - Ne peut être acquis via le portail dell-matinfo. Merci de contacter votre commercial</t>
    </r>
  </si>
  <si>
    <t>3-0-5-39</t>
  </si>
  <si>
    <r>
      <t xml:space="preserve">Batterie pour Latitude 5290 2en1 - 4 Cellules 42Whr via intervention sur site par technicien </t>
    </r>
    <r>
      <rPr>
        <sz val="10"/>
        <color indexed="2"/>
        <rFont val="Calibri"/>
        <family val="2"/>
        <scheme val="minor"/>
      </rPr>
      <t>- Ne peut être acquis via le portail dell-matinfo. Merci de contacter votre commercial</t>
    </r>
  </si>
  <si>
    <t>3-0-5-40</t>
  </si>
  <si>
    <r>
      <t>Batterie pour Latitude 3390 2en1 - 3 Cellules 42Whr via intervention sur site par technicien</t>
    </r>
    <r>
      <rPr>
        <sz val="10"/>
        <color indexed="2"/>
        <rFont val="Calibri"/>
        <family val="2"/>
        <scheme val="minor"/>
      </rPr>
      <t xml:space="preserve"> - Ne peut être acquis via le portail dell-matinfo. Merci de contacter votre commercial</t>
    </r>
  </si>
  <si>
    <t>3-0-5-41</t>
  </si>
  <si>
    <t>Adaptateurs mobilité et chargeurs - Non disponible dans les DROM COM</t>
  </si>
  <si>
    <t>Adaptateur secteur 65W Européen - Barrel 4.5mm</t>
  </si>
  <si>
    <t>3-0-5-44</t>
  </si>
  <si>
    <t>Adaptateur secteur 65W UK - Barrel 4.5mm</t>
  </si>
  <si>
    <t>450-AECO</t>
  </si>
  <si>
    <t>3-0-5-45</t>
  </si>
  <si>
    <t>Adaptateur secteur 65W Européen - Barrel 7.4mm</t>
  </si>
  <si>
    <t>450-ABFS</t>
  </si>
  <si>
    <t>3-0-5-46</t>
  </si>
  <si>
    <t>450-ALJI</t>
  </si>
  <si>
    <r>
      <t xml:space="preserve">Adaptateur secteur 65W </t>
    </r>
    <r>
      <rPr>
        <sz val="10"/>
        <color indexed="64"/>
        <rFont val="Calibri"/>
        <family val="2"/>
        <scheme val="minor"/>
      </rPr>
      <t xml:space="preserve">USB-C </t>
    </r>
    <r>
      <rPr>
        <sz val="10"/>
        <rFont val="Calibri"/>
        <family val="2"/>
        <scheme val="minor"/>
      </rPr>
      <t>Européen</t>
    </r>
  </si>
  <si>
    <t>3-0-5-47</t>
  </si>
  <si>
    <t>450-ALJL</t>
  </si>
  <si>
    <t>Adaptateur secteur 65W UK - Barrel 7.4mm</t>
  </si>
  <si>
    <t>450-ABFO</t>
  </si>
  <si>
    <t>3-0-5-48</t>
  </si>
  <si>
    <t>Adaptateur secteur 65W USB-C UK</t>
  </si>
  <si>
    <t>3-0-5-49</t>
  </si>
  <si>
    <t>Adaptateur secteur 90W USB-C Européen</t>
  </si>
  <si>
    <t>450-AGOQ</t>
  </si>
  <si>
    <t>3-0-5-51</t>
  </si>
  <si>
    <t xml:space="preserve">Adaptateur secteur 130W USB-C - Européen </t>
  </si>
  <si>
    <t>3-0-5-54</t>
  </si>
  <si>
    <t>Adaptateur secteur 130W USB-C - UK</t>
  </si>
  <si>
    <t>450-AHRK</t>
  </si>
  <si>
    <t>3-0-5-55</t>
  </si>
  <si>
    <t>Adaptateur alume-cigare Auto / Avion - 90W</t>
  </si>
  <si>
    <t>450-15098</t>
  </si>
  <si>
    <t>3-0-5-57</t>
  </si>
  <si>
    <t>Batterie externe Dell Power Bank Plus 18000mAh, barrel standard, nécessite un bloc d'alimentation pour la recharge (Compatible Latitude / Precision 35XX &amp; 55X0) - PW7015L</t>
  </si>
  <si>
    <t>451-BBMV</t>
  </si>
  <si>
    <t>3-0-5-58</t>
  </si>
  <si>
    <t>Batterie externe Dell Power Bank Plus 18000mAh, USB-C, nécessite un bloc alimentation USB-C pour la recharge (Compatible Latitude / XPS 13 / Precision 35XX &amp; 55X0) - PW7018LC</t>
  </si>
  <si>
    <t>3-0-5-59</t>
  </si>
  <si>
    <t>451-BCDV</t>
  </si>
  <si>
    <t>Stylets - Non disponible dans les DROM COM</t>
  </si>
  <si>
    <t>3-0-5-60</t>
  </si>
  <si>
    <r>
      <t xml:space="preserve">Stylet actif DELL premium PN579X </t>
    </r>
    <r>
      <rPr>
        <sz val="10"/>
        <color indexed="2"/>
        <rFont val="Calibri"/>
        <family val="2"/>
        <scheme val="minor"/>
      </rPr>
      <t>- Recommandé pour tous les systèmes hybrides avec clavier détachable et écran 360°</t>
    </r>
  </si>
  <si>
    <t>750-ABDZ</t>
  </si>
  <si>
    <t>3-0-5-61</t>
  </si>
  <si>
    <t>Stations d'accueil et Réplicateur de ports - Non disponible dans les DROM COM</t>
  </si>
  <si>
    <r>
      <t xml:space="preserve">Kit de montage Dell VESA pour station d‘accueil Dell WD19X </t>
    </r>
    <r>
      <rPr>
        <sz val="10"/>
        <color indexed="2"/>
        <rFont val="Calibri"/>
        <family val="2"/>
        <scheme val="minor"/>
      </rPr>
      <t>– Incompatible avec les écrans Dell nouvelle génération (PXX21X / PXX22XX / UXX21XX / UXX22XX)</t>
    </r>
  </si>
  <si>
    <t>575-BBIV</t>
  </si>
  <si>
    <t>3-0-5-62</t>
  </si>
  <si>
    <t>Réplicateur de ports Dell D3100 USB 3.0 à trois sorties vidéo UHD</t>
  </si>
  <si>
    <t>452-BBOT</t>
  </si>
  <si>
    <t>3-0-5-63</t>
  </si>
  <si>
    <t>Dell Dock D6000S - Replicateur de ports universel USB-C ou USB 3.0 Hdmi et DP</t>
  </si>
  <si>
    <t xml:space="preserve">452-BDTD           </t>
  </si>
  <si>
    <t>3-0-5-64</t>
  </si>
  <si>
    <t>Accessoires pour modèles durcis et Latitude 7320 Detachable - Non disponible dans les DROM COM</t>
  </si>
  <si>
    <t>Batterie 2 cellules 34Wh pour Latitude Rugged 7212 et 7220</t>
  </si>
  <si>
    <t>451-BCDH</t>
  </si>
  <si>
    <t>3-0-5-65</t>
  </si>
  <si>
    <t>Clavier rétroéclairé certifié IP65 avec béquille pour tablette latitude Rugged 7212/7220 (avec support vertical), français</t>
  </si>
  <si>
    <t>580-AGQB</t>
  </si>
  <si>
    <t>3-0-5-66</t>
  </si>
  <si>
    <t>Clavier rétroéclairé certifié IP65 avec béquille pour tablette latitude Rugged 7212/7220 (avec support vertical), américain/international</t>
  </si>
  <si>
    <t>580-AGLP</t>
  </si>
  <si>
    <t>3-0-5-67</t>
  </si>
  <si>
    <t>Dell sacoche pour Latitude Rugged 7212/7220</t>
  </si>
  <si>
    <t>460-BBSZ</t>
  </si>
  <si>
    <t>3-0-5-68</t>
  </si>
  <si>
    <t>Bandoulière pour Latitude Rugged 7212/7220 / 7424</t>
  </si>
  <si>
    <t>460-BCHN</t>
  </si>
  <si>
    <t>3-0-5-69</t>
  </si>
  <si>
    <t>Stylet actif Dell PN720R pour Latitude Rugged 7220 uniquement</t>
  </si>
  <si>
    <t>750-ACHI</t>
  </si>
  <si>
    <t>3-0-5-75</t>
  </si>
  <si>
    <t>5 pointes de rechange pour stylet actif PN720R</t>
  </si>
  <si>
    <t>750-ACHK</t>
  </si>
  <si>
    <t>3-0-5-76</t>
  </si>
  <si>
    <t>Béquille de support pour Latitude Rugged 7212/7220</t>
  </si>
  <si>
    <t>452-BCZQ</t>
  </si>
  <si>
    <t>3-0-5-77</t>
  </si>
  <si>
    <t>Station d‘accueil de bureau de 2e génération pour portable Latitude Rugged (7414/7424)</t>
  </si>
  <si>
    <t>452-BCKD</t>
  </si>
  <si>
    <t>3-0-5-78</t>
  </si>
  <si>
    <t>Poignée en caoutchouc rigide pour Latitude Rugged 7424</t>
  </si>
  <si>
    <t>750-ABJR</t>
  </si>
  <si>
    <t>3-0-5-79</t>
  </si>
  <si>
    <r>
      <t xml:space="preserve">Coque renforcée pour Latitude 7320 2en1 Detachable </t>
    </r>
    <r>
      <rPr>
        <sz val="10"/>
        <color indexed="2"/>
        <rFont val="Calibri"/>
        <family val="2"/>
        <scheme val="minor"/>
      </rPr>
      <t>- Non compatible avec modèles précédents</t>
    </r>
  </si>
  <si>
    <t>460-BDEP</t>
  </si>
  <si>
    <t>3-0-5-94</t>
  </si>
  <si>
    <t>Filtres de confidencialité - Non disponible dans les DROM COM</t>
  </si>
  <si>
    <t>3M Filtre de confidentialité 13''3 (PF133W9B) - Compatible Latitude 53XX / 73X0 &amp; XPS 13 9380</t>
  </si>
  <si>
    <t xml:space="preserve">AB774926 </t>
  </si>
  <si>
    <t>3-0-5-85</t>
  </si>
  <si>
    <t>3M Filtre de confidentialité pour écran tactile 13''3 (TF133W9B) - Compatible Latitude 53X0 / 73X0 &amp; XPS 13 9380</t>
  </si>
  <si>
    <t xml:space="preserve">AB775210 </t>
  </si>
  <si>
    <t>3-0-5-86</t>
  </si>
  <si>
    <t>3M Filtre de confidentialité 13''3 (PFNDE008) - Compatible Latitude 5310 2-en-1 &amp; 7310 2-en-1</t>
  </si>
  <si>
    <t xml:space="preserve">AB775223 </t>
  </si>
  <si>
    <t>3-0-5-87</t>
  </si>
  <si>
    <t>3M Filtre de confidentialité 14'' (PF140W9B) - Compatible Latitude 34X0 / 54XX / 74X0 &amp; Rugged 7424</t>
  </si>
  <si>
    <t xml:space="preserve">AB774973 </t>
  </si>
  <si>
    <t>3-0-5-88</t>
  </si>
  <si>
    <t>3M Filtre de confidentialité pour écran tactile 14'' (TF140W9B) - Compatible Latitude 34X0 / 54XX / 74X0 &amp; Rugged 7424</t>
  </si>
  <si>
    <t xml:space="preserve">AB775224 </t>
  </si>
  <si>
    <t>3-0-5-89</t>
  </si>
  <si>
    <t>Extensions de garantie en cours après achat matériel Latitude ou XPS  (dans la limite de 5 ans à partir de la date d'achat du matériel) - Non disponible dans les DROM COM</t>
  </si>
  <si>
    <t>Latitude 3XX0 / 5XX0 / 5495 &amp; 3390 2-en-1</t>
  </si>
  <si>
    <r>
      <t xml:space="preserve">Extension de garantie pour 1 an supplémentaire ProSupport J+1 (heures ouvrés, jours ouvrés) + TAM Matinfo </t>
    </r>
    <r>
      <rPr>
        <sz val="10"/>
        <color indexed="2"/>
        <rFont val="Calibri"/>
        <family val="2"/>
        <scheme val="minor"/>
      </rPr>
      <t xml:space="preserve"> - Ne peut être acquis via le portail dell-matinfo. Merci de contacter votre commercial</t>
    </r>
  </si>
  <si>
    <t>3-0-5-90</t>
  </si>
  <si>
    <t>Latitude 7XX0 / 5XX0 2-en-1 / 7XX0 2-en-1 &amp; 9XX0</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</si>
  <si>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</si>
  <si>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3-0-5-91</t>
  </si>
  <si>
    <t>Latitude Rugged 7414 / 7424 / 7212 &amp; 7220</t>
  </si>
  <si>
    <r>
      <t>Extension de garantie pour 1 an supplémentaire ProSupport J+1 (heures ouvrés, jours ouvrés) + TAM Matinfo</t>
    </r>
    <r>
      <rPr>
        <sz val="10"/>
        <color indexed="2"/>
        <rFont val="Calibri"/>
        <family val="2"/>
        <scheme val="minor"/>
      </rPr>
      <t xml:space="preserve"> - Ne peut être acquis via le portail dell-matinfo. Merci de contacter votre commercial</t>
    </r>
  </si>
  <si>
    <t>3-0-5-92</t>
  </si>
  <si>
    <t>XPS (dans la limite de 4 ans à partir de la date d'achat)</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</si>
  <si>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</si>
  <si>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3-0-5-93</t>
  </si>
  <si>
    <t>64Go 3200MHz DDR4 - 4x16Go non ECC</t>
  </si>
  <si>
    <t>3-1-6-26</t>
  </si>
  <si>
    <t xml:space="preserve">64Go 3200MHz DDR4  ECC- 4x16Go </t>
  </si>
  <si>
    <t xml:space="preserve">NVIDIA  RTX A4500 20Go (7168 cœurs CUDA, 224 cœurs Tensor, 56 cœurs RT, 4xDP) </t>
  </si>
  <si>
    <t>Livraison DDP &amp; Garantie DROM COM 3 ans GTI J+1 (sauf J+2 pour Tahiti &amp; presqu'île et Wallis &amp; Futuna)</t>
  </si>
  <si>
    <r>
      <rPr>
        <b/>
        <sz val="10"/>
        <color rgb="FF000000"/>
        <rFont val="Calibri"/>
        <family val="2"/>
        <scheme val="minor"/>
      </rPr>
      <t>Wyse 5470 AIO ThinOS</t>
    </r>
    <r>
      <rPr>
        <sz val="10"/>
        <color indexed="64"/>
        <rFont val="Calibri"/>
        <family val="2"/>
        <scheme val="minor"/>
      </rPr>
      <t xml:space="preserve">
Sans WIFI - Socle AIO réglable en hauteur - Ecran 24’’ FHD (1920x1080) - Processeur J4105 (QuadCore) - 4GB (1x4GB) 2400MHz DDR4 Memory - 32GB eMMC - Dell Optical Mouse MS116 - Clavier AZERTY KB216
5 ans Pro Support J+1 et maintenance logicielle 5 ans -  Wyse Management Suite - version Standard compris </t>
    </r>
  </si>
  <si>
    <r>
      <rPr>
        <b/>
        <sz val="10"/>
        <color rgb="FF000000"/>
        <rFont val="Calibri"/>
        <family val="2"/>
        <scheme val="minor"/>
      </rPr>
      <t>Wyse 5470 Mobile ThinOS PCoIP</t>
    </r>
    <r>
      <rPr>
        <sz val="10"/>
        <color indexed="64"/>
        <rFont val="Calibri"/>
        <family val="2"/>
        <scheme val="minor"/>
      </rPr>
      <t xml:space="preserve">
Client léger portable 14'' FHD (1920x1080) - Thin OS 9.X avec prise en charge PCoIP
Intel Celeron N4000 (2 cœurs) – 4Go (1x4Go) DDR4 - Stockage eMMC 32Go – WIFI 9560 (802.11AC et Bluetooth5.0) – Batterie 3 cellules 42Whr Express charge - Clavier AZERTY - 5 ans Pro support - Wyse Management Suite - version Standard</t>
    </r>
  </si>
  <si>
    <t>Passage Licence Windows (Temporaire)</t>
  </si>
  <si>
    <t>3-0-4-4</t>
  </si>
  <si>
    <t>3-0-4-5</t>
  </si>
  <si>
    <t>AC007424</t>
  </si>
  <si>
    <t>3-0-1-190</t>
  </si>
  <si>
    <t>Jabra EVOLVE 65e, MS Link 370 MS Ecouteurs sans fil PRO (1099-823-309)</t>
  </si>
  <si>
    <t>3-1-3-21</t>
  </si>
  <si>
    <t>3-1-3-29</t>
  </si>
  <si>
    <t>Livraison DDP &amp; Garantie DROM COM 4 ans GTI J+1 (sauf J+2 pour Tahiti &amp; presqu'île et Wallis &amp; Futuna)</t>
  </si>
  <si>
    <t>Livraison DDP &amp; Garantie DROM COM 5 ans GTI J+1 (sauf J+2 pour Tahiti &amp; presqu'île et Wallis &amp; Futuna)</t>
  </si>
  <si>
    <t>Livraison DDP &amp; Garantie DROM COM 6 ans GTI J+1 (sauf J+2 pour Tahiti &amp; presqu'île et Wallis &amp; Futuna)</t>
  </si>
  <si>
    <t>Livraison DDP &amp; Garantie DROM COM 7 ans GTI J+1 (sauf J+2 pour Tahiti &amp; presqu'île et Wallis &amp; Futuna)</t>
  </si>
  <si>
    <t>Tarif en € HT</t>
  </si>
  <si>
    <t>Carte graphique (passage) Grand Public</t>
  </si>
  <si>
    <t xml:space="preserve">Deux blocs d'alimentation non redondants 1600W </t>
  </si>
  <si>
    <t>Révision tarifaire temporaire, liée à la conjoncture du Marché IT et à la crise sanitaire, sur certaines bases (augmentation de 10% sur les Precision 3650 et 3561) et extensions communes (hausses tarifaires sur les moniteurs 24 pouces)</t>
  </si>
  <si>
    <t>Hausse de 5% sur l'ensemble des machines et composants (application de la paritié €/$)</t>
  </si>
  <si>
    <t>Promotion sur le portail Dell Matinfo jusqu'à la prochaine mise à jours des barrettes 128Go de Cat3Conf2&amp;3</t>
  </si>
  <si>
    <t>AC033268</t>
  </si>
  <si>
    <r>
      <t xml:space="preserve">Stylet actif DELL PN5122W </t>
    </r>
    <r>
      <rPr>
        <sz val="10"/>
        <color indexed="2"/>
        <rFont val="Calibri"/>
        <family val="2"/>
        <scheme val="minor"/>
      </rPr>
      <t>- Compatible avec tous les systèmes hybrides avec clavier détachable et écran 360° (hors 3390 2en1)</t>
    </r>
  </si>
  <si>
    <t>750-ADRD</t>
  </si>
  <si>
    <t>575--BCIG</t>
  </si>
  <si>
    <t>AC051772</t>
  </si>
  <si>
    <t>Cherry MW 8C ERGO - Souris sans fil USB &amp; Bluetooth - rechargeable USB-C- parfaite pour grandes mains- confort et qualité (JW-8600) - Noir &amp; Argent</t>
  </si>
  <si>
    <t>AA252246</t>
  </si>
  <si>
    <t>470-AFKL</t>
  </si>
  <si>
    <t>V4</t>
  </si>
  <si>
    <t xml:space="preserve">Adaptateur 6en1 DA305 (HDMI, DP, Ethernet, USB-C et 2xUSB-A) </t>
  </si>
  <si>
    <t>Extensions : Modification de certains libellés, Retrait des produits / options en fin de vie</t>
  </si>
  <si>
    <t>Maintien Parc existant : Modification de certains libellés, Retrait des produits / options en fin de vie</t>
  </si>
  <si>
    <t>NVIDIA RTX A2000 12Go (3228 cœurs CUDA, 4x mDP)</t>
  </si>
  <si>
    <t xml:space="preserve">NVIDIA T400 4Go (384 cœurs CUDA, 3x mDP) </t>
  </si>
  <si>
    <t xml:space="preserve">NVIDIA RTX A2000 12Go (3228 cœurs CUDA, 4x mDP) </t>
  </si>
  <si>
    <r>
      <rPr>
        <b/>
        <sz val="10"/>
        <color theme="1"/>
        <rFont val="Calibri"/>
        <family val="2"/>
        <scheme val="minor"/>
      </rPr>
      <t>CAT1_Configuration n°4 - PRECISION Mobile 3571</t>
    </r>
    <r>
      <rPr>
        <sz val="10"/>
        <color theme="1"/>
        <rFont val="Calibri"/>
        <family val="2"/>
        <scheme val="minor"/>
      </rPr>
      <t xml:space="preserve">
Intel Core i5-12500H (12 Coeurs HT, 2.50-4.5GHz Turbo, 18Mo cache) et NVIDIA T600 (4Go DDR6, 896 coeurs CUDA)
Écran 15,6" non tactile antireflet FHD (1 920 x 1 080), 250 nits, 45% NTSC, caméra HD et microphone - Incompatible 4G/5G
16Go 4800MHz DDR5 - 1x16Go 
SSD 512Go M.2 PCIe NVMe Classe 35
Batterie 4 cellules 64Wh LLC (5 ans de garantie, 1000 cycles, pas de charge rapide) 
Intel Wi-Fi 6 AX211, WIFI-6E(802.11ax)  + Bluetooth 5.2
Repose-poignets simple pointage sans dispositif de sécurité
Bloc d'alimentation Type-C 130W
Ubuntu 20.04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</si>
  <si>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3571</t>
  </si>
  <si>
    <r>
      <rPr>
        <b/>
        <sz val="10"/>
        <color theme="1"/>
        <rFont val="Calibri"/>
        <family val="2"/>
        <scheme val="minor"/>
      </rPr>
      <t>CAT1_Configuration n°5 - PRECISION Mobile 5570</t>
    </r>
    <r>
      <rPr>
        <sz val="10"/>
        <color theme="1"/>
        <rFont val="Calibri"/>
        <family val="2"/>
        <scheme val="minor"/>
      </rPr>
      <t xml:space="preserve">
Intel Core i7-12700H (14 Cœurs HT, 2.3-4.7GHz Turbo, 24Mo cache) et NVIDIA RTX A1000 (4Go GDDR6, 2048 cœurs CUDA) 
Écran 15,6" 16:10 non tactile antireflet FHD+ (1 920 x 1 200), 500 nits,  sRVB 100%, webcam infrarouge et microphone
16Go 4800MHz DDR5 - 2x8Go 
SSD 512Go M.2 PCIe NVMe Classe 40
Batterie 3 cellules 56Wh Express charge (5 ans de garantie, 300 cycles, charge rapide) 
Intel Wi-Fi 6 AX211, WIFI-6E(802.11ax)  + Bluetooth 5.2
Repose-poignets simple pointage avec lecteur d'empreintes
Bloc d'alimentation Type-C 130W
Ubuntu 20.04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</si>
  <si>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5570</t>
  </si>
  <si>
    <t>Cat1Conf4: Transition Precision 3561 vers Precision 3571 (processeurs 12eme Gen, mémoire DDR5, WIFI 6E)</t>
  </si>
  <si>
    <t>Cat1Conf5: Transition Precision 5560 vers Precision 5570 (processeurs 12eme Gen, mémoire DDR5, WIFI 6E)</t>
  </si>
  <si>
    <t>Catégorie 3 : Retraits / ajouts cartes graphiques</t>
  </si>
  <si>
    <r>
      <rPr>
        <b/>
        <sz val="10"/>
        <color theme="1"/>
        <rFont val="Calibri"/>
        <family val="2"/>
        <scheme val="minor"/>
      </rPr>
      <t>CAT2_Configuration n°6 - PRECISION Mobile 7760</t>
    </r>
    <r>
      <rPr>
        <sz val="10"/>
        <color theme="1"/>
        <rFont val="Calibri"/>
        <family val="2"/>
        <scheme val="minor"/>
      </rPr>
      <t xml:space="preserve">
Intel Core i7-11850H (8 Cœurs HT, 2.5-4.8GHz Turbo, 24Mo cache)
NVIDIA RTX A3000 (6Go DDR6, 4096 coeurs CUDA, 128  coeurs Tensor, 32 coeurs RT)
Écran 17,3" non tactile antireflet FHD (1920 x 1080), 500nits, 100% DCI-P3, webcam et microphone 
16Go 3200MHz DDR4 - 2x8Go non ECC
SSD 512 Go M.2 PCIe NVMe classe 40
Batterie 6 cellules 95Wh LLC (5 ans de garantie, 1000 cycles, pas de charge rapide) 
Intel Wi-Fi 6 AX210 2x2 802.11ax  + Bluetooth 5.2
Repose-poignets simple pointage sans dispositif de sécurité
Bloc d'alimentation Barrel 240W
Ubuntu 20.04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</si>
  <si>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CAT1_Configuration n°1 - PRECISION 3240 format Compact
</t>
    </r>
    <r>
      <rPr>
        <sz val="10"/>
        <color theme="1"/>
        <rFont val="Calibri"/>
        <family val="2"/>
        <scheme val="minor"/>
      </rPr>
      <t>Bloc d'alimentation externe 240W - norme ENERGY STAR
Intel Core i5-10500 (6 cœurs HT, 3.1-4.5 Ghz Turbo, 12 Mo cache, 65W)
16Go 3200MHz DDR4 - 1x16Go
SSD 256Go M.2 PCIe NVMe Classe 40
NVIDIA T400 2Go (384 cœurs CUDA, 3x mDP)
Ubuntu 20.04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</si>
  <si>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CAT1_Configuration n°2 - PRECISION 3450 format SFF
</t>
    </r>
    <r>
      <rPr>
        <sz val="10"/>
        <color theme="1"/>
        <rFont val="Calibri"/>
        <family val="2"/>
        <scheme val="minor"/>
      </rPr>
      <t>Alimentation 300W Platinum jusqu'à 92% d'efficacité  - norme ENERGY STAR
Intel Core i5-10505 (6 cœurs HT, 3.2-4.6 Ghz Turbo, 12 Mo cache, 65W)
16Go 3200MHz DDR4 - 2x8Go
SSD 256Go M.2 PCIe NVMe Classe 40
NVIDIA T400 2Go (384 cœurs CUDA, 3x mDP)
Ubuntu 20.04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</si>
  <si>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CAT1_Configuration n°3 - PRECISION 3650 format MT
</t>
    </r>
    <r>
      <rPr>
        <sz val="10"/>
        <color theme="1"/>
        <rFont val="Calibri"/>
        <family val="2"/>
        <scheme val="minor"/>
      </rPr>
      <t>Alimentation 460W Gold jusqu'à 90% d'efficacité  - norme ENERGY STAR
Intel Core i5-10505 (6 cœurs HT, 3.2-4.6 Ghz Turbo, 12 Mo cache, 65W)
16Go 3200MHz DDR4 - 2x8Go
SSD 256Go M.2 PCIe NVMe Classe 40
NVIDIA T400 2Go (384 cœurs CUDA, 3x mDP)
Ubuntu 20.04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</si>
  <si>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CAT1_Configuration n°4- PRECISION Mobile 3571</t>
  </si>
  <si>
    <t>Intel Core i5-12600H (12 Coeurs HT, 2.7-4.5GHz Turbo, 18Mo cache) et NVIDIA T600 (4Go DDR6, 896 coeurs CUDA)</t>
  </si>
  <si>
    <t>3-1-4-1</t>
  </si>
  <si>
    <t>Intel Core i7-12700H (14 Cœurs HT, 2.3-4.7GHz Turbo, 24Mo cache) et NVIDIA T600 (4Go DDR6, 896 coeurs CUDA)</t>
  </si>
  <si>
    <t xml:space="preserve">Intel Core i7-12700H (14 Cœurs HT, 2.3-4.7GHz Turbo, 24Mo cache) et NVIDIA RTX A1000 (4Go GDDR6, 2048 cœurs CUDA) </t>
  </si>
  <si>
    <t>Intel Core i7-12800H (14 Cœurs HT, 2.4-4.8GHz Turbo, 24Mo cache) et NVIDIA T600 (4Go DDR6, 896 coeurs CUDA)</t>
  </si>
  <si>
    <t>3-1-4-4</t>
  </si>
  <si>
    <t xml:space="preserve">Intel Core i7-12800H (14 Cœurs HT, 2.4-4.8GHz Turbo, 24Mo cache) et NVIDIA RTX A1000 (4Go GDDR6, 2048 cœurs CUDA) </t>
  </si>
  <si>
    <t>3-1-4-5</t>
  </si>
  <si>
    <t>Intel Core i9-12900H (14 Cœurs HT, 2.5-5.0GHz Turbo, 24 Mo cache) et NVIDIA T600 (4Go DDR6, 896 coeurs CUDA)</t>
  </si>
  <si>
    <t xml:space="preserve">Intel Core i9-12900H (14 Cœurs HT, 2.5-5.0GHz Turbo, 24 Mo cache) et NVIDIA RTX A1000 (4Go GDDR6, 2048 cœurs CUDA) </t>
  </si>
  <si>
    <t>32Go 4800MHz DDR5 - 2x16Go</t>
  </si>
  <si>
    <t>32Go 4800MHz DDR5 - 1x32Go</t>
  </si>
  <si>
    <r>
      <t>DD 1To 7200tr 2"5</t>
    </r>
    <r>
      <rPr>
        <sz val="10"/>
        <color rgb="FFFF0000"/>
        <rFont val="Calibri"/>
        <family val="2"/>
        <scheme val="minor"/>
      </rPr>
      <t xml:space="preserve"> - Incompatible batterie 6 cellules</t>
    </r>
  </si>
  <si>
    <r>
      <t xml:space="preserve">DD 2To 5400tr 2"5 </t>
    </r>
    <r>
      <rPr>
        <sz val="10"/>
        <color rgb="FFFF0000"/>
        <rFont val="Calibri"/>
        <family val="2"/>
        <scheme val="minor"/>
      </rPr>
      <t>- Incompatible batterie 6 cellules</t>
    </r>
  </si>
  <si>
    <r>
      <t xml:space="preserve">Écran 15,6" non tactile antireflet FHD (1 920 x 1 080), 250 nits, 45% NTSC, Caméra EMZA FHD infrarouge (Intelligent Privacy) et microphone - </t>
    </r>
    <r>
      <rPr>
        <sz val="10"/>
        <color rgb="FFFF0000"/>
        <rFont val="Calibri"/>
        <family val="2"/>
        <scheme val="minor"/>
      </rPr>
      <t>Incompatible 4G/5G</t>
    </r>
  </si>
  <si>
    <r>
      <t xml:space="preserve">Écran 15,6" non tactile antireflet FHD (1 920 x 1 080 ), 400 nits, 100% sRVB, Caméra EMZA FHD infrarouge (Intelligent Privacy) et microphone - </t>
    </r>
    <r>
      <rPr>
        <sz val="10"/>
        <color rgb="FFFF0000"/>
        <rFont val="Calibri"/>
        <family val="2"/>
        <scheme val="minor"/>
      </rPr>
      <t>Incompatible 4G/5G</t>
    </r>
  </si>
  <si>
    <r>
      <t xml:space="preserve">Écran 15,6" non tactile antireflet FHD (1 920 x 1 080 ), 400 nits, 100% sRVB, Caméra HD et microphone - </t>
    </r>
    <r>
      <rPr>
        <sz val="10"/>
        <color rgb="FFFF0000"/>
        <rFont val="Calibri"/>
        <family val="2"/>
        <scheme val="minor"/>
      </rPr>
      <t>Compatible  5G</t>
    </r>
  </si>
  <si>
    <r>
      <t xml:space="preserve">Écran 15,6"  tactile antireflet FHD (1 920 x 1 080), 250 nits, 45% NTSC, Caméra EMZA FHD infrarouge (Intelligent Privacy) et microphone - </t>
    </r>
    <r>
      <rPr>
        <sz val="10"/>
        <color rgb="FFFF0000"/>
        <rFont val="Calibri"/>
        <family val="2"/>
        <scheme val="minor"/>
      </rPr>
      <t>Incompatible 4G/5G</t>
    </r>
  </si>
  <si>
    <r>
      <t xml:space="preserve">Écran 15,6"  non tactile antireflet UHD (3 840 x 2 160), 400 nits, 100% sRVB, Caméra EMZA FHD infrarouge (Intelligent Privacy) et microphone - </t>
    </r>
    <r>
      <rPr>
        <sz val="10"/>
        <color rgb="FFFF0000"/>
        <rFont val="Calibri"/>
        <family val="2"/>
        <scheme val="minor"/>
      </rPr>
      <t>Incompatible 4G/5G</t>
    </r>
  </si>
  <si>
    <r>
      <t xml:space="preserve">Batterie 6 cellules (97Wh) compatible ExpressCharge™ </t>
    </r>
    <r>
      <rPr>
        <sz val="10"/>
        <color rgb="FFFF0000"/>
        <rFont val="Calibri"/>
        <family val="2"/>
        <scheme val="minor"/>
      </rPr>
      <t>- Incompatible avec un second disque dur</t>
    </r>
  </si>
  <si>
    <r>
      <t xml:space="preserve">Lecteur de carte à puce à contact  - </t>
    </r>
    <r>
      <rPr>
        <sz val="10"/>
        <color rgb="FFFF0000"/>
        <rFont val="Calibri"/>
        <family val="2"/>
        <scheme val="minor"/>
      </rPr>
      <t>Uniquement Windows</t>
    </r>
  </si>
  <si>
    <r>
      <t xml:space="preserve">Lecteur d'empreintes digitales - </t>
    </r>
    <r>
      <rPr>
        <sz val="10"/>
        <color rgb="FFFF0000"/>
        <rFont val="Calibri"/>
        <family val="2"/>
        <scheme val="minor"/>
      </rPr>
      <t>Uniquement Windows</t>
    </r>
  </si>
  <si>
    <r>
      <t>Lecteur d‘empreintes digitales, lecteur de carte à puce à contact -</t>
    </r>
    <r>
      <rPr>
        <sz val="10"/>
        <color rgb="FFFF0000"/>
        <rFont val="Calibri"/>
        <family val="2"/>
        <scheme val="minor"/>
      </rPr>
      <t xml:space="preserve"> Uniquement Windows</t>
    </r>
  </si>
  <si>
    <r>
      <t xml:space="preserve">Lecteur d‘empreintes digitales , lecteur de carte à puce à contact et sans contact  - </t>
    </r>
    <r>
      <rPr>
        <sz val="10"/>
        <color rgb="FFFF0000"/>
        <rFont val="Calibri"/>
        <family val="2"/>
        <scheme val="minor"/>
      </rPr>
      <t>Uniquement Windows</t>
    </r>
  </si>
  <si>
    <t xml:space="preserve">Option de communication (ajout) - </t>
  </si>
  <si>
    <r>
      <t>Modem 4G intégré Intel XMM 7360 Global LTE-Advanced -</t>
    </r>
    <r>
      <rPr>
        <sz val="10"/>
        <color rgb="FFFF0000"/>
        <rFont val="Calibri"/>
        <family val="2"/>
        <scheme val="minor"/>
      </rPr>
      <t xml:space="preserve"> voir liste d'écrans compatibles</t>
    </r>
  </si>
  <si>
    <r>
      <t>Extension Pack Maintenance ProActive 5 ans J+1 (ProSupport Plus - Inclut la garantie casse et Keep Your Hard Drive)</t>
    </r>
    <r>
      <rPr>
        <sz val="10"/>
        <color rgb="FFFF0000"/>
        <rFont val="Calibri"/>
        <family val="2"/>
        <scheme val="minor"/>
      </rPr>
      <t xml:space="preserve"> - Non disponible dans les DROM COM</t>
    </r>
  </si>
  <si>
    <r>
      <t>5 ans de protection des données - Conservez votre disque dur (Keep Your Hard Drive)</t>
    </r>
    <r>
      <rPr>
        <sz val="10"/>
        <color rgb="FFFF0000"/>
        <rFont val="Calibri"/>
        <family val="2"/>
        <scheme val="minor"/>
      </rPr>
      <t xml:space="preserve"> - Non disponible dans les DROM COM</t>
    </r>
  </si>
  <si>
    <r>
      <t>5 ans de garantie contre les Dommages Accidentels (Garantie casse)</t>
    </r>
    <r>
      <rPr>
        <sz val="10"/>
        <color rgb="FFFF0000"/>
        <rFont val="Calibri"/>
        <family val="2"/>
        <scheme val="minor"/>
      </rPr>
      <t xml:space="preserve"> - Non disponible dans les DROM COM</t>
    </r>
  </si>
  <si>
    <r>
      <t xml:space="preserve">Intel Core i9-12900H (14 Cœurs HT, 2.5-5.0GHz Turbo, 24 Mo cache) et NVIDIA RTX A2000 (8Go DDR6, 2560 coeurs CUDA) - </t>
    </r>
    <r>
      <rPr>
        <sz val="10"/>
        <color rgb="FFFF0000"/>
        <rFont val="Calibri"/>
        <family val="2"/>
        <scheme val="minor"/>
      </rPr>
      <t>Disponible d'ici juillet</t>
    </r>
  </si>
  <si>
    <t>CAT1_Configuration n°5- PRECISION Mobile 5570</t>
  </si>
  <si>
    <t>Intel Core i7-12700H (14 Cœurs HT, 2.3-4.7GHz Turbo, 24Mo cache) et NVIDIA RTX A2000 (8Go DDR6, 2560 coeurs CUDA)</t>
  </si>
  <si>
    <t>3-1-5-1</t>
  </si>
  <si>
    <t>Intel Core i7-12800H (14 Cœurs HT, 2.4-4.8GHz Turbo, 24Mo cache) et NVIDIA RTX A2000 (8Go DDR6, 2560 coeurs CUDA)</t>
  </si>
  <si>
    <t xml:space="preserve">Intel Core i9-12900H (14 Cœurs HT, 2.5-5.0GHz Turbo, 24 Mo cache) et NVIDIA RTX A2000 (8Go DDR6, 2560 coeurs CUDA) </t>
  </si>
  <si>
    <t xml:space="preserve">64Go 4800MHz DDR5 - 2x32Go </t>
  </si>
  <si>
    <t>Écran 15,6" 16:10 tactile antireflet UHD+ (3840x2400), 500 nits,  DCI-P3 99%, caméra infrarouge et microphone</t>
  </si>
  <si>
    <r>
      <t xml:space="preserve">NVIDIA RTX A2000 12Go (3228 cœurs CUDA, 4x mDP) - </t>
    </r>
    <r>
      <rPr>
        <sz val="10"/>
        <color indexed="2"/>
        <rFont val="Calibri"/>
        <family val="2"/>
        <scheme val="minor"/>
      </rPr>
      <t>Incompatible Ubuntu</t>
    </r>
    <r>
      <rPr>
        <sz val="10"/>
        <rFont val="Calibri"/>
        <family val="2"/>
        <scheme val="minor"/>
      </rPr>
      <t xml:space="preserve"> </t>
    </r>
  </si>
  <si>
    <r>
      <t xml:space="preserve">CAT2_Configuration n°1 - PRECISION 3650 format MT
</t>
    </r>
    <r>
      <rPr>
        <sz val="10"/>
        <color theme="1"/>
        <rFont val="Calibri"/>
        <family val="2"/>
        <scheme val="minor"/>
      </rPr>
      <t>Alimentation 460W Gold jusqu'à 90% d'efficacité  - norme ENERGY STAR
Intel Core i5-10505 (6 cœurs HT, 3.2-4.6 Ghz Turbo, 12 Mo cache, 65W)
16Go 3200MHz DDR4 - 2x8Go
SSD 512Go M.2 PCIe NVMe Classe 40
NVIDIA T1000 8Go (896 cœurs CUDA, 4x mDP) 
Licence Microsoft Windows 10 Pro (avec licence Windows 11 Pro)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</si>
  <si>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CAT2_Configuration n°2 - PRECISION 3650 format MT
</t>
    </r>
    <r>
      <rPr>
        <sz val="10"/>
        <color theme="1"/>
        <rFont val="Calibri"/>
        <family val="2"/>
        <scheme val="minor"/>
      </rPr>
      <t>Alimentation 550 W Gold jusqu'à 90% d'efficacité  - norme ENERGY STAR
Intel Core i7-10700 (8 cœurs HT, 2.9-4.8 Ghz Turbo, 16 Mo cache, 65W)
32Go 3200MHz DDR4 - 2x16Go
SSD 512Go M.2 PCIe NVMe Classe 40
NVIDIA Geforce RTX3060 (12Go, 3584 cœurs CUDA, 28 cœurs Tensor gen3, 112 cœurs RTGen 2, 3xDP + 1xHDMI)
Sans OS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</si>
  <si>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r>
      <rPr>
        <b/>
        <sz val="10"/>
        <color theme="1"/>
        <rFont val="Calibri"/>
        <family val="2"/>
        <scheme val="minor"/>
      </rPr>
      <t>CAT2_Configuration n°3 - PRECISION Mobile 7560</t>
    </r>
    <r>
      <rPr>
        <sz val="10"/>
        <color theme="1"/>
        <rFont val="Calibri"/>
        <family val="2"/>
        <scheme val="minor"/>
      </rPr>
      <t xml:space="preserve">
Intel Core i7-11850H (8 Cœurs HT, 2.5-4.8GHz Turbo, 24Mo cache)
NVIDIA RTX A3000 (6Go DDR6, 4096 coeurs CUDA, 128  coeurs Tensor, 32 coeurs RT)
Écran 15,6" non tactile antireflet FHD (1920 x 1080), 500 nits, 100% DCI-P3, webcam et microphone
16Go 3200MHz DDR4 - 2x8Go non ECC
SSD 512 Go M.2 PCIe NVMe classe 40
Batterie 6 cellules 95Wh LLC (5 ans de garantie, 1000 cycles, pas de charge rapide) 
Intel Wi-Fi 6 AX210 2x2 802.11ax  + Bluetooth 5.2
Repose-poignets simple pointage sans dispositif de sécurité
Bloc d'alimentation Barrel 180W
Ubuntu 20.04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</si>
  <si>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CAT3_Configuration n°1 - PRECISION 5820 format Tour 
</t>
    </r>
    <r>
      <rPr>
        <sz val="10"/>
        <color theme="1"/>
        <rFont val="Calibri"/>
        <family val="2"/>
        <scheme val="minor"/>
      </rPr>
      <t>Alimentation 80Plus Gold 950W jusqu'à 90% d'efficacité - norme ENERGY STAR 
Intel Xeon W-2223 (4 cœurs HT, 3.6Ghz, 3.9Ghz Turbo, 8.25M cache, 120W
32Go DDR4 3200 MHz (2x16Go) - ECC
SSD 512Go M.2 PCIe NVMe Classe 40 (sur carte Dell Ultra-Speed Duo)
Ensemble souris et clavier Multimédia
NVIDIA T400 2Go (384 cœurs CUDA, 3x mDP)
Ubuntu 20.04
ProSupport 5 ans, intervention sur site J+1: support professionnel de niveau 2 comprenant assistance matériel et logiciel, 24H/24, 7j/7 
Disponibilité d'un Technical Account Manager (TAM) dédié exclusivement à MATINFO 5 pour la gestion des escalades et du reporting</t>
    </r>
  </si>
  <si>
    <r>
      <rPr>
        <b/>
        <sz val="10"/>
        <color theme="1"/>
        <rFont val="Calibri"/>
        <family val="2"/>
        <scheme val="minor"/>
      </rPr>
      <t xml:space="preserve">CAT3_Configuration n°2 - PRECISION 7920 format Tour </t>
    </r>
    <r>
      <rPr>
        <sz val="10"/>
        <color theme="1"/>
        <rFont val="Calibri"/>
        <family val="2"/>
        <scheme val="minor"/>
      </rPr>
      <t xml:space="preserve">
Alimentation 80Plus Gold 1400W jusqu'à 90% d'efficacité - norme ENERGY STAR 
2x Intel® Xeon™ Silver 4208 (8 Coeurs, 2.1-3.2Ghz Turbo, 11M Cache, 85W)
64Go DDR4 3200MHz (4x16Go) - ECC
SSD 1To M.2 PCIe NVMe Classe 40  (sur carte Dell Ultra-Speed Duo)
Ensemble souris et clavier Multimédia
NVIDIA T400 4Go (384 cœurs CUDA, 3x mDP) 
Ubuntu 20.04</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</si>
  <si>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r>
      <rPr>
        <b/>
        <sz val="10"/>
        <color theme="1"/>
        <rFont val="Calibri"/>
        <family val="2"/>
        <scheme val="minor"/>
      </rPr>
      <t>CAT3_Configuration n°3 - PRECISION 7920 format Rack</t>
    </r>
    <r>
      <rPr>
        <sz val="10"/>
        <color theme="1"/>
        <rFont val="Calibri"/>
        <family val="2"/>
        <scheme val="minor"/>
      </rPr>
      <t xml:space="preserve">
Alimentation simple hot swapp 80Plus Gold 1100W jusqu'à 90% d'efficacité - norme ENERGY STAR 
2x Intel Xeon Gold 5218R (20 Coeurs, 2.1-4.0GHz Turbo, 22Mo cache, 125W)
64Go DDR4 3200MHz (8x8Go) - ECC
SSD 512Go M.2 PCIe NVMe Classe 40 (sur carte Dell Ultra-Speed Duo)
Carte réseau I350 (4x1Gbit) 
Ensemble souris et clavier Multimédia
NVIDIA T400 4Go (384 cœurs CUDA, 3x mDP)
Ubuntu 20.04
ProSupport 5 ans, intervention sur site J+1: support professionnel de niveau 2 comprenant assistance matériel et logiciel, 24H/24, 7j/7 
Disponibilité d'un Technical Account Manager (TAM) dédié exclusivement à MATINFO 5 pour la gestion des escalades et du reporting</t>
    </r>
  </si>
  <si>
    <r>
      <t xml:space="preserve">Écran 15,6" non tactile antireflet FHD (1 920 x 1 080), 250 nits, 45% NTSC, Caméra HD et microphone - </t>
    </r>
    <r>
      <rPr>
        <sz val="10"/>
        <color rgb="FFFF0000"/>
        <rFont val="Calibri"/>
        <family val="2"/>
        <scheme val="minor"/>
      </rPr>
      <t>Compatible 5G</t>
    </r>
  </si>
  <si>
    <t>391-BGOO</t>
  </si>
  <si>
    <t>391-BGOL</t>
  </si>
  <si>
    <t>391-BGOP</t>
  </si>
  <si>
    <t>391-BGOI</t>
  </si>
  <si>
    <t>391-BGOC</t>
  </si>
  <si>
    <t>391-BGOJ</t>
  </si>
  <si>
    <t>391-BGOH</t>
  </si>
  <si>
    <t>391-BGOG</t>
  </si>
  <si>
    <r>
      <t xml:space="preserve">Écran 15,6" tactile antireflet FHD (1 920 x 1 080), 250 nits, 45% NTSC, Caméra HD et microphone - </t>
    </r>
    <r>
      <rPr>
        <sz val="10"/>
        <color rgb="FFFF0000"/>
        <rFont val="Calibri"/>
        <family val="2"/>
        <scheme val="minor"/>
      </rPr>
      <t>Compatible 5G</t>
    </r>
  </si>
  <si>
    <t>391-BGOB</t>
  </si>
  <si>
    <t>3-1-4-39</t>
  </si>
  <si>
    <t>325-BEIX</t>
  </si>
  <si>
    <r>
      <t xml:space="preserve">Écran 15,6" non tactile antireflet FHD (1 920 x 1 080), 250 nits, 45% NTSC, Caméra FHD infrarouge et microphone - </t>
    </r>
    <r>
      <rPr>
        <sz val="10"/>
        <color rgb="FFFF0000"/>
        <rFont val="Calibri"/>
        <family val="2"/>
        <scheme val="minor"/>
      </rPr>
      <t>compatible  4G</t>
    </r>
  </si>
  <si>
    <r>
      <t xml:space="preserve">Écran 15,6"  tactile antireflet FHD (1 920 x 1 080), 250 nits, 45% NTSC, caméra FHD Infrarouge et microphone - </t>
    </r>
    <r>
      <rPr>
        <sz val="10"/>
        <color rgb="FFFF0000"/>
        <rFont val="Calibri"/>
        <family val="2"/>
        <scheme val="minor"/>
      </rPr>
      <t>Compatible 4G</t>
    </r>
  </si>
  <si>
    <r>
      <t>Modem 5G intégré Intel DW5931E -</t>
    </r>
    <r>
      <rPr>
        <sz val="10"/>
        <color rgb="FFFF0000"/>
        <rFont val="Calibri"/>
        <family val="2"/>
        <scheme val="minor"/>
      </rPr>
      <t xml:space="preserve"> voir liste d'écrans compatibles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</si>
</sst>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quot;$&quot;* #,##0.00_);_(&quot;$&quot;* \(#,##0.00\);_(&quot;$&quot;* &quot;-&quot;??_);_(@_)"/>
    <numFmt numFmtId="165" formatCode="#,##0\ &quot;€&quot;"/>
    <numFmt numFmtId="166" formatCode="_-* #,##0\ [$€-40C]_-;\-* #,##0\ [$€-40C]_-;_-* &quot;-&quot;??\ [$€-40C]_-;_-@_-"/>
    <numFmt numFmtId="167" formatCode="#,##0\ [$€-40C]"/>
  </numFmts>
  <fonts count="38" x14ac:knownFonts="1">
    <font>
      <sz val="11"/>
      <color theme="1"/>
      <name val="Calibri"/>
      <scheme val="minor"/>
    </font>
    <font>
      <sz val="11"/>
      <color theme="1"/>
      <name val="Calibri"/>
      <family val="2"/>
      <scheme val="minor"/>
    </font>
    <font>
      <sz val="10"/>
      <name val="Arial"/>
      <family val="2"/>
    </font>
    <font>
      <sz val="10"/>
      <color theme="1"/>
      <name val="Arial"/>
      <family val="2"/>
    </font>
    <font>
      <i/>
      <sz val="11"/>
      <color rgb="FF7F7F7F"/>
      <name val="Calibri"/>
      <family val="2"/>
      <scheme val="minor"/>
    </font>
    <font>
      <b/>
      <sz val="11"/>
      <name val="Calibri"/>
      <family val="2"/>
      <scheme val="minor"/>
    </font>
    <font>
      <sz val="10"/>
      <color theme="1"/>
      <name val="Calibri"/>
      <family val="2"/>
      <scheme val="minor"/>
    </font>
    <font>
      <sz val="10"/>
      <color theme="0"/>
      <name val="Calibri"/>
      <family val="2"/>
      <scheme val="minor"/>
    </font>
    <font>
      <sz val="10"/>
      <name val="Calibri"/>
      <family val="2"/>
      <scheme val="minor"/>
    </font>
    <font>
      <b/>
      <sz val="16"/>
      <color indexed="4"/>
      <name val="Calibri"/>
      <family val="2"/>
      <scheme val="minor"/>
    </font>
    <font>
      <sz val="16"/>
      <color indexed="4"/>
      <name val="Calibri"/>
      <family val="2"/>
      <scheme val="minor"/>
    </font>
    <font>
      <b/>
      <sz val="16"/>
      <color indexed="2"/>
      <name val="Calibri"/>
      <family val="2"/>
      <scheme val="minor"/>
    </font>
    <font>
      <sz val="16"/>
      <color indexed="2"/>
      <name val="Calibri"/>
      <family val="2"/>
      <scheme val="minor"/>
    </font>
    <font>
      <sz val="10"/>
      <color indexed="2"/>
      <name val="Calibri"/>
      <family val="2"/>
      <scheme val="minor"/>
    </font>
    <font>
      <b/>
      <sz val="10"/>
      <name val="Calibri"/>
      <family val="2"/>
      <scheme val="minor"/>
    </font>
    <font>
      <b/>
      <sz val="10"/>
      <color theme="1"/>
      <name val="Calibri"/>
      <family val="2"/>
      <scheme val="minor"/>
    </font>
    <font>
      <b/>
      <sz val="10"/>
      <color indexed="65"/>
      <name val="Calibri"/>
      <family val="2"/>
      <scheme val="minor"/>
    </font>
    <font>
      <sz val="10"/>
      <color indexed="65"/>
      <name val="Calibri"/>
      <family val="2"/>
      <scheme val="minor"/>
    </font>
    <font>
      <b/>
      <sz val="10"/>
      <color indexed="2"/>
      <name val="Calibri"/>
      <family val="2"/>
      <scheme val="minor"/>
    </font>
    <font>
      <sz val="10"/>
      <color indexed="64"/>
      <name val="Calibri"/>
      <family val="2"/>
      <scheme val="minor"/>
    </font>
    <font>
      <sz val="10"/>
      <color indexed="2"/>
      <name val="Arial"/>
      <family val="2"/>
    </font>
    <font>
      <b/>
      <sz val="16"/>
      <color indexed="4"/>
      <name val="Arial"/>
      <family val="2"/>
    </font>
    <font>
      <b/>
      <sz val="16"/>
      <color indexed="2"/>
      <name val="Arial"/>
      <family val="2"/>
    </font>
    <font>
      <sz val="10"/>
      <color rgb="FF0070C0"/>
      <name val="Calibri"/>
      <family val="2"/>
      <scheme val="minor"/>
    </font>
    <font>
      <b/>
      <sz val="12"/>
      <color theme="0"/>
      <name val="Calibri"/>
      <family val="2"/>
      <scheme val="minor"/>
    </font>
    <font>
      <sz val="10"/>
      <color theme="4"/>
      <name val="Calibri"/>
      <family val="2"/>
      <scheme val="minor"/>
    </font>
    <font>
      <sz val="11"/>
      <color theme="1"/>
      <name val="Calibri"/>
      <family val="2"/>
      <scheme val="minor"/>
    </font>
    <font>
      <b/>
      <sz val="10"/>
      <color indexed="64"/>
      <name val="Calibri"/>
      <family val="2"/>
      <scheme val="minor"/>
    </font>
    <font>
      <sz val="10"/>
      <name val="Calibri"/>
      <family val="2"/>
      <scheme val="minor"/>
    </font>
    <font>
      <b/>
      <sz val="10"/>
      <color indexed="65"/>
      <name val="Calibri"/>
      <family val="2"/>
      <scheme val="minor"/>
    </font>
    <font>
      <sz val="10"/>
      <color rgb="FFFF0000"/>
      <name val="Calibri"/>
      <family val="2"/>
      <scheme val="minor"/>
    </font>
    <font>
      <b/>
      <sz val="10"/>
      <color rgb="FF000000"/>
      <name val="Calibri"/>
      <family val="2"/>
      <scheme val="minor"/>
    </font>
    <font>
      <b/>
      <sz val="10"/>
      <color indexed="9"/>
      <name val="Calibri"/>
      <family val="2"/>
      <scheme val="minor"/>
    </font>
    <font>
      <b/>
      <sz val="10"/>
      <color rgb="FFFF0000"/>
      <name val="Calibri"/>
      <family val="2"/>
      <scheme val="minor"/>
    </font>
    <font>
      <sz val="10"/>
      <color rgb="FF000000"/>
      <name val="Calibri"/>
      <family val="2"/>
      <scheme val="minor"/>
    </font>
    <font>
      <b/>
      <sz val="14"/>
      <name val="Calibri"/>
      <family val="2"/>
      <scheme val="minor"/>
    </font>
    <font>
      <sz val="11"/>
      <color rgb="FFFF0000"/>
      <name val="Calibri"/>
      <family val="2"/>
      <scheme val="minor"/>
    </font>
    <font>
      <sz val="8"/>
      <name val="Calibri"/>
      <family val="2"/>
      <scheme val="minor"/>
    </font>
  </fonts>
  <fills count="20">
    <fill>
      <patternFill patternType="none"/>
    </fill>
    <fill>
      <patternFill patternType="gray125"/>
    </fill>
    <fill>
      <patternFill patternType="solid">
        <fgColor theme="0" tint="-0.14999847407452621"/>
        <bgColor theme="0" tint="-0.14999847407452621"/>
      </patternFill>
    </fill>
    <fill>
      <patternFill patternType="solid">
        <fgColor rgb="FF00B0F0"/>
        <bgColor rgb="FF00B0F0"/>
      </patternFill>
    </fill>
    <fill>
      <patternFill patternType="solid">
        <fgColor indexed="51"/>
        <bgColor indexed="51"/>
      </patternFill>
    </fill>
    <fill>
      <patternFill patternType="solid">
        <fgColor indexed="47"/>
        <bgColor indexed="22"/>
      </patternFill>
    </fill>
    <fill>
      <patternFill patternType="solid">
        <fgColor theme="0"/>
        <bgColor theme="0"/>
      </patternFill>
    </fill>
    <fill>
      <patternFill patternType="solid">
        <fgColor indexed="4"/>
        <bgColor indexed="4"/>
      </patternFill>
    </fill>
    <fill>
      <patternFill patternType="solid">
        <fgColor indexed="65"/>
        <bgColor indexed="26"/>
      </patternFill>
    </fill>
    <fill>
      <patternFill patternType="solid">
        <fgColor indexed="51"/>
        <bgColor indexed="51"/>
      </patternFill>
    </fill>
    <fill>
      <patternFill patternType="solid">
        <fgColor indexed="47"/>
        <bgColor indexed="47"/>
      </patternFill>
    </fill>
    <fill>
      <patternFill patternType="solid">
        <fgColor indexed="4"/>
        <bgColor indexed="4"/>
      </patternFill>
    </fill>
    <fill>
      <patternFill patternType="solid">
        <fgColor rgb="FFFFFF00"/>
        <bgColor indexed="64"/>
      </patternFill>
    </fill>
    <fill>
      <patternFill patternType="solid">
        <fgColor theme="3" tint="0.79998168889431442"/>
        <bgColor indexed="64"/>
      </patternFill>
    </fill>
    <fill>
      <patternFill patternType="solid">
        <fgColor theme="0"/>
        <bgColor indexed="5"/>
      </patternFill>
    </fill>
    <fill>
      <patternFill patternType="solid">
        <fgColor theme="2" tint="-9.9978637043366805E-2"/>
        <bgColor indexed="5"/>
      </patternFill>
    </fill>
    <fill>
      <patternFill patternType="solid">
        <fgColor indexed="12"/>
      </patternFill>
    </fill>
    <fill>
      <patternFill patternType="solid">
        <fgColor theme="0" tint="-0.14999847407452621"/>
        <bgColor indexed="64"/>
      </patternFill>
    </fill>
    <fill>
      <patternFill patternType="solid">
        <fgColor rgb="FF00B0F0"/>
        <bgColor indexed="64"/>
      </patternFill>
    </fill>
    <fill>
      <patternFill patternType="solid">
        <fgColor theme="0" tint="-4.9989318521683403E-2"/>
        <bgColor indexed="64"/>
      </patternFill>
    </fill>
  </fills>
  <borders count="34">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indexed="59"/>
      </right>
      <top/>
      <bottom style="thin">
        <color indexed="59"/>
      </bottom>
      <diagonal/>
    </border>
    <border>
      <left style="thin">
        <color indexed="59"/>
      </left>
      <right style="thin">
        <color indexed="59"/>
      </right>
      <top/>
      <bottom style="thin">
        <color indexed="59"/>
      </bottom>
      <diagonal/>
    </border>
    <border>
      <left style="thin">
        <color auto="1"/>
      </left>
      <right style="thin">
        <color auto="1"/>
      </right>
      <top/>
      <bottom style="thin">
        <color auto="1"/>
      </bottom>
      <diagonal/>
    </border>
    <border>
      <left style="thin">
        <color indexed="59"/>
      </left>
      <right style="thin">
        <color indexed="59"/>
      </right>
      <top/>
      <bottom/>
      <diagonal/>
    </border>
    <border>
      <left style="thin">
        <color auto="1"/>
      </left>
      <right style="thin">
        <color indexed="59"/>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indexed="59"/>
      </right>
      <top style="thin">
        <color auto="1"/>
      </top>
      <bottom style="thin">
        <color indexed="59"/>
      </bottom>
      <diagonal/>
    </border>
    <border>
      <left style="thin">
        <color indexed="59"/>
      </left>
      <right style="thin">
        <color indexed="59"/>
      </right>
      <top style="thin">
        <color auto="1"/>
      </top>
      <bottom style="thin">
        <color auto="1"/>
      </bottom>
      <diagonal/>
    </border>
    <border>
      <left style="medium">
        <color auto="1"/>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7">
    <xf numFmtId="0" fontId="0" fillId="0" borderId="0"/>
    <xf numFmtId="164" fontId="26" fillId="0" borderId="0" applyFont="0" applyFill="0" applyBorder="0"/>
    <xf numFmtId="0" fontId="2" fillId="0" borderId="0"/>
    <xf numFmtId="0" fontId="3" fillId="0" borderId="0"/>
    <xf numFmtId="0" fontId="2" fillId="0" borderId="0"/>
    <xf numFmtId="0" fontId="2" fillId="0" borderId="0"/>
    <xf numFmtId="0" fontId="4" fillId="0" borderId="0" applyNumberFormat="0" applyFill="0" applyBorder="0"/>
  </cellStyleXfs>
  <cellXfs count="348">
    <xf numFmtId="0" fontId="0" fillId="0" borderId="0" xfId="0"/>
    <xf numFmtId="0" fontId="6" fillId="0" borderId="0" xfId="0" applyFont="1"/>
    <xf numFmtId="0" fontId="6" fillId="0" borderId="6" xfId="0" applyFont="1" applyBorder="1"/>
    <xf numFmtId="0" fontId="0" fillId="2" borderId="7" xfId="0" applyFill="1" applyBorder="1"/>
    <xf numFmtId="0" fontId="6" fillId="0" borderId="10" xfId="0" applyFont="1" applyBorder="1"/>
    <xf numFmtId="165" fontId="7" fillId="3" borderId="7" xfId="0" applyNumberFormat="1" applyFont="1" applyFill="1" applyBorder="1" applyAlignment="1">
      <alignment horizontal="left" vertical="center"/>
    </xf>
    <xf numFmtId="0" fontId="6" fillId="0" borderId="13" xfId="0" applyFont="1" applyBorder="1"/>
    <xf numFmtId="0" fontId="6" fillId="0" borderId="10" xfId="0" applyFont="1" applyBorder="1" applyAlignment="1">
      <alignment wrapText="1"/>
    </xf>
    <xf numFmtId="0" fontId="8" fillId="0" borderId="0" xfId="0" applyFont="1"/>
    <xf numFmtId="0" fontId="8" fillId="0" borderId="0" xfId="0" applyFont="1" applyAlignment="1">
      <alignment vertical="center" wrapText="1"/>
    </xf>
    <xf numFmtId="0" fontId="8" fillId="0" borderId="0" xfId="0" applyFont="1" applyAlignment="1">
      <alignment vertical="center"/>
    </xf>
    <xf numFmtId="49" fontId="8" fillId="0" borderId="0" xfId="0" applyNumberFormat="1" applyFont="1" applyAlignment="1">
      <alignment horizontal="center" vertical="center"/>
    </xf>
    <xf numFmtId="165" fontId="8" fillId="0" borderId="0" xfId="0" applyNumberFormat="1" applyFont="1" applyAlignment="1">
      <alignment horizontal="right" vertical="center"/>
    </xf>
    <xf numFmtId="165" fontId="10" fillId="0" borderId="0" xfId="0" applyNumberFormat="1" applyFont="1" applyAlignment="1">
      <alignment horizontal="right" vertical="center" wrapText="1"/>
    </xf>
    <xf numFmtId="0" fontId="8" fillId="0" borderId="0" xfId="0" applyFont="1" applyAlignment="1">
      <alignment horizontal="center" vertical="top"/>
    </xf>
    <xf numFmtId="0" fontId="8" fillId="0" borderId="0" xfId="0" applyFont="1" applyAlignment="1">
      <alignment horizontal="center" vertical="center"/>
    </xf>
    <xf numFmtId="165" fontId="12" fillId="4" borderId="16" xfId="0" applyNumberFormat="1" applyFont="1" applyFill="1" applyBorder="1" applyAlignment="1">
      <alignment horizontal="center" vertical="center" wrapText="1"/>
    </xf>
    <xf numFmtId="0" fontId="13" fillId="5" borderId="17" xfId="5" applyFont="1" applyFill="1" applyBorder="1" applyAlignment="1">
      <alignment horizontal="center" vertical="center" wrapText="1"/>
    </xf>
    <xf numFmtId="0" fontId="13" fillId="5" borderId="18" xfId="5" applyFont="1" applyFill="1" applyBorder="1" applyAlignment="1">
      <alignment horizontal="center" vertical="center" wrapText="1"/>
    </xf>
    <xf numFmtId="49" fontId="13" fillId="5" borderId="18" xfId="5" applyNumberFormat="1" applyFont="1" applyFill="1" applyBorder="1" applyAlignment="1">
      <alignment horizontal="center" vertical="center" wrapText="1"/>
    </xf>
    <xf numFmtId="0" fontId="8" fillId="0" borderId="0" xfId="0" applyFont="1" applyAlignment="1">
      <alignment vertical="top"/>
    </xf>
    <xf numFmtId="165" fontId="8" fillId="0" borderId="0" xfId="0" applyNumberFormat="1" applyFont="1"/>
    <xf numFmtId="165" fontId="12" fillId="4" borderId="16" xfId="0" applyNumberFormat="1" applyFont="1" applyFill="1" applyBorder="1" applyAlignment="1">
      <alignment horizontal="right"/>
    </xf>
    <xf numFmtId="0" fontId="16" fillId="7" borderId="0" xfId="0" applyFont="1" applyFill="1" applyAlignment="1">
      <alignment vertical="center" wrapText="1"/>
    </xf>
    <xf numFmtId="0" fontId="16" fillId="7" borderId="0" xfId="0" applyFont="1" applyFill="1" applyAlignment="1">
      <alignment vertical="center"/>
    </xf>
    <xf numFmtId="49" fontId="16" fillId="7" borderId="0" xfId="0" applyNumberFormat="1" applyFont="1" applyFill="1" applyAlignment="1">
      <alignment horizontal="center" vertical="center"/>
    </xf>
    <xf numFmtId="165" fontId="17" fillId="7" borderId="0" xfId="0" applyNumberFormat="1" applyFont="1" applyFill="1" applyAlignment="1">
      <alignment horizontal="right" vertical="center"/>
    </xf>
    <xf numFmtId="0" fontId="18" fillId="0" borderId="0" xfId="0" applyFont="1" applyAlignment="1">
      <alignment horizontal="left" vertical="center" wrapText="1"/>
    </xf>
    <xf numFmtId="0" fontId="18" fillId="0" borderId="0" xfId="0" applyFont="1" applyAlignment="1">
      <alignment vertical="center"/>
    </xf>
    <xf numFmtId="0" fontId="8" fillId="0" borderId="7" xfId="0" applyFont="1" applyBorder="1" applyAlignment="1">
      <alignment vertical="center"/>
    </xf>
    <xf numFmtId="49" fontId="8" fillId="0" borderId="7" xfId="0" applyNumberFormat="1" applyFont="1" applyBorder="1" applyAlignment="1">
      <alignment horizontal="center" vertical="center"/>
    </xf>
    <xf numFmtId="165" fontId="8" fillId="0" borderId="7" xfId="5" applyNumberFormat="1" applyFont="1" applyBorder="1" applyAlignment="1">
      <alignment horizontal="right" vertical="top"/>
    </xf>
    <xf numFmtId="165" fontId="8" fillId="0" borderId="20" xfId="5" applyNumberFormat="1" applyFont="1" applyBorder="1" applyAlignment="1">
      <alignment horizontal="right" vertical="top"/>
    </xf>
    <xf numFmtId="0" fontId="8" fillId="0" borderId="24" xfId="0" applyFont="1" applyBorder="1" applyAlignment="1">
      <alignment vertical="center"/>
    </xf>
    <xf numFmtId="49" fontId="8" fillId="0" borderId="24" xfId="0" applyNumberFormat="1" applyFont="1" applyBorder="1" applyAlignment="1">
      <alignment horizontal="center" vertical="center"/>
    </xf>
    <xf numFmtId="0" fontId="18" fillId="0" borderId="0" xfId="0" applyFont="1" applyAlignment="1">
      <alignment horizontal="left" vertical="center"/>
    </xf>
    <xf numFmtId="49" fontId="18" fillId="0" borderId="0" xfId="0" applyNumberFormat="1" applyFont="1" applyAlignment="1">
      <alignment horizontal="center" vertical="center"/>
    </xf>
    <xf numFmtId="165" fontId="13" fillId="0" borderId="0" xfId="0" applyNumberFormat="1" applyFont="1" applyAlignment="1">
      <alignment horizontal="right" vertical="center"/>
    </xf>
    <xf numFmtId="0" fontId="6" fillId="0" borderId="7" xfId="0" applyFont="1" applyBorder="1" applyAlignment="1">
      <alignment vertical="center"/>
    </xf>
    <xf numFmtId="0" fontId="18" fillId="0" borderId="0" xfId="0" applyFont="1" applyAlignment="1">
      <alignment vertical="center" wrapText="1"/>
    </xf>
    <xf numFmtId="49" fontId="8" fillId="0" borderId="25" xfId="0" applyNumberFormat="1" applyFont="1" applyBorder="1" applyAlignment="1">
      <alignment horizontal="center" vertical="center"/>
    </xf>
    <xf numFmtId="49" fontId="8" fillId="0" borderId="21" xfId="0" applyNumberFormat="1" applyFont="1" applyBorder="1" applyAlignment="1">
      <alignment horizontal="center" vertical="center"/>
    </xf>
    <xf numFmtId="0" fontId="6" fillId="0" borderId="0" xfId="0" applyFont="1" applyAlignment="1">
      <alignment vertical="center"/>
    </xf>
    <xf numFmtId="0" fontId="19" fillId="0" borderId="0" xfId="0" applyFont="1" applyAlignment="1">
      <alignment horizontal="left" vertical="center"/>
    </xf>
    <xf numFmtId="0" fontId="19" fillId="0" borderId="0" xfId="0" applyFont="1" applyAlignment="1">
      <alignment vertical="center"/>
    </xf>
    <xf numFmtId="49" fontId="19" fillId="0" borderId="0" xfId="0" applyNumberFormat="1" applyFont="1" applyAlignment="1">
      <alignment horizontal="center" vertical="center"/>
    </xf>
    <xf numFmtId="0" fontId="18" fillId="0" borderId="0" xfId="0" applyFont="1" applyAlignment="1">
      <alignment horizontal="left"/>
    </xf>
    <xf numFmtId="0" fontId="2" fillId="0" borderId="0" xfId="5" applyFont="1"/>
    <xf numFmtId="0" fontId="20" fillId="0" borderId="0" xfId="0" applyFont="1" applyAlignment="1">
      <alignment vertical="center"/>
    </xf>
    <xf numFmtId="49" fontId="0" fillId="0" borderId="0" xfId="0" applyNumberFormat="1" applyAlignment="1">
      <alignment horizontal="center" vertical="center"/>
    </xf>
    <xf numFmtId="0" fontId="19" fillId="0" borderId="7" xfId="0" applyFont="1" applyBorder="1" applyAlignment="1">
      <alignment horizontal="left" vertical="center"/>
    </xf>
    <xf numFmtId="0" fontId="8" fillId="0" borderId="0" xfId="5" applyFont="1" applyAlignment="1">
      <alignment vertical="center"/>
    </xf>
    <xf numFmtId="49" fontId="8" fillId="0" borderId="0" xfId="5" applyNumberFormat="1" applyFont="1" applyAlignment="1">
      <alignment horizontal="center" vertical="center"/>
    </xf>
    <xf numFmtId="49" fontId="14" fillId="0" borderId="0" xfId="0" applyNumberFormat="1" applyFont="1" applyAlignment="1">
      <alignment horizontal="center" vertical="center"/>
    </xf>
    <xf numFmtId="49" fontId="8" fillId="0" borderId="0" xfId="6" applyNumberFormat="1" applyFont="1" applyAlignment="1">
      <alignment horizontal="center" vertical="center"/>
    </xf>
    <xf numFmtId="0" fontId="6" fillId="0" borderId="0" xfId="0" applyFont="1" applyAlignment="1">
      <alignment wrapText="1"/>
    </xf>
    <xf numFmtId="0" fontId="0" fillId="0" borderId="0" xfId="0"/>
    <xf numFmtId="0" fontId="19" fillId="0" borderId="7" xfId="0" applyFont="1" applyBorder="1" applyAlignment="1">
      <alignment vertical="center"/>
    </xf>
    <xf numFmtId="165" fontId="8" fillId="0" borderId="7" xfId="0" applyNumberFormat="1" applyFont="1" applyBorder="1" applyAlignment="1">
      <alignment horizontal="right" vertical="center"/>
    </xf>
    <xf numFmtId="49" fontId="6" fillId="0" borderId="7" xfId="5" applyNumberFormat="1" applyFont="1" applyBorder="1" applyAlignment="1">
      <alignment horizontal="center" vertical="center"/>
    </xf>
    <xf numFmtId="0" fontId="8" fillId="2" borderId="7" xfId="0" applyFont="1" applyFill="1" applyBorder="1" applyAlignment="1">
      <alignment vertical="center"/>
    </xf>
    <xf numFmtId="49" fontId="6" fillId="2" borderId="7" xfId="5" applyNumberFormat="1" applyFont="1" applyFill="1" applyBorder="1" applyAlignment="1">
      <alignment horizontal="center" vertical="center"/>
    </xf>
    <xf numFmtId="165" fontId="8" fillId="2" borderId="7" xfId="0" applyNumberFormat="1" applyFont="1" applyFill="1" applyBorder="1" applyAlignment="1">
      <alignment horizontal="right" vertical="center"/>
    </xf>
    <xf numFmtId="0" fontId="7" fillId="3" borderId="7" xfId="0" applyFont="1" applyFill="1" applyBorder="1" applyAlignment="1">
      <alignment vertical="center"/>
    </xf>
    <xf numFmtId="0" fontId="8" fillId="3" borderId="7" xfId="0" applyFont="1" applyFill="1" applyBorder="1" applyAlignment="1">
      <alignment vertical="center"/>
    </xf>
    <xf numFmtId="49" fontId="7" fillId="3" borderId="7" xfId="0" applyNumberFormat="1" applyFont="1" applyFill="1" applyBorder="1" applyAlignment="1">
      <alignment horizontal="center" vertical="center"/>
    </xf>
    <xf numFmtId="165" fontId="7" fillId="3" borderId="7" xfId="0" applyNumberFormat="1" applyFont="1" applyFill="1" applyBorder="1" applyAlignment="1">
      <alignment horizontal="right" vertical="center"/>
    </xf>
    <xf numFmtId="0" fontId="8" fillId="0" borderId="0" xfId="0" applyFont="1" applyAlignment="1">
      <alignment horizontal="left" vertical="center"/>
    </xf>
    <xf numFmtId="0" fontId="0" fillId="0" borderId="0" xfId="0" applyAlignment="1">
      <alignment vertical="center"/>
    </xf>
    <xf numFmtId="0" fontId="8" fillId="0" borderId="7" xfId="0" applyFont="1" applyBorder="1" applyAlignment="1">
      <alignment vertical="center" wrapText="1"/>
    </xf>
    <xf numFmtId="0" fontId="8" fillId="0" borderId="0" xfId="5" applyFont="1"/>
    <xf numFmtId="49" fontId="8" fillId="0" borderId="7" xfId="0" applyNumberFormat="1" applyFont="1" applyBorder="1" applyAlignment="1">
      <alignment horizontal="center" vertical="center" wrapText="1"/>
    </xf>
    <xf numFmtId="0" fontId="13" fillId="0" borderId="0" xfId="0" applyFont="1"/>
    <xf numFmtId="0" fontId="8" fillId="0" borderId="0" xfId="0" applyFont="1" applyAlignment="1">
      <alignment horizontal="left"/>
    </xf>
    <xf numFmtId="49" fontId="6" fillId="0" borderId="0" xfId="0" applyNumberFormat="1" applyFont="1" applyAlignment="1">
      <alignment horizontal="center"/>
    </xf>
    <xf numFmtId="165" fontId="8" fillId="0" borderId="7" xfId="5" applyNumberFormat="1" applyFont="1" applyBorder="1" applyAlignment="1">
      <alignment horizontal="right" vertical="center"/>
    </xf>
    <xf numFmtId="165" fontId="8" fillId="0" borderId="20" xfId="5" applyNumberFormat="1" applyFont="1" applyBorder="1" applyAlignment="1">
      <alignment horizontal="right" vertical="center"/>
    </xf>
    <xf numFmtId="0" fontId="8" fillId="0" borderId="7" xfId="0" applyFont="1" applyBorder="1" applyAlignment="1">
      <alignment horizontal="left" vertical="center"/>
    </xf>
    <xf numFmtId="165" fontId="8" fillId="0" borderId="0" xfId="0" applyNumberFormat="1" applyFont="1" applyAlignment="1">
      <alignment vertical="center"/>
    </xf>
    <xf numFmtId="0" fontId="13" fillId="0" borderId="0" xfId="0" applyFont="1" applyAlignment="1">
      <alignment vertical="center"/>
    </xf>
    <xf numFmtId="49" fontId="6" fillId="0" borderId="0" xfId="0" applyNumberFormat="1" applyFont="1" applyAlignment="1">
      <alignment horizontal="center" vertical="center"/>
    </xf>
    <xf numFmtId="165" fontId="6" fillId="0" borderId="0" xfId="0" applyNumberFormat="1" applyFont="1" applyAlignment="1">
      <alignment horizontal="right" vertical="center"/>
    </xf>
    <xf numFmtId="165" fontId="8" fillId="0" borderId="27" xfId="5" applyNumberFormat="1" applyFont="1" applyBorder="1" applyAlignment="1">
      <alignment horizontal="right" vertical="top"/>
    </xf>
    <xf numFmtId="0" fontId="8" fillId="0" borderId="7" xfId="5" applyFont="1" applyBorder="1" applyAlignment="1">
      <alignment vertical="center"/>
    </xf>
    <xf numFmtId="0" fontId="6" fillId="0" borderId="7" xfId="5" applyFont="1" applyBorder="1" applyAlignment="1">
      <alignment vertical="center"/>
    </xf>
    <xf numFmtId="165" fontId="6" fillId="0" borderId="7" xfId="0" applyNumberFormat="1" applyFont="1" applyBorder="1" applyAlignment="1">
      <alignment horizontal="right" vertical="center"/>
    </xf>
    <xf numFmtId="0" fontId="6" fillId="2" borderId="7" xfId="5" applyFont="1" applyFill="1" applyBorder="1" applyAlignment="1">
      <alignment vertical="center"/>
    </xf>
    <xf numFmtId="165" fontId="6" fillId="2" borderId="7" xfId="0" applyNumberFormat="1" applyFont="1" applyFill="1" applyBorder="1" applyAlignment="1">
      <alignment horizontal="right" vertical="center"/>
    </xf>
    <xf numFmtId="165" fontId="8" fillId="0" borderId="0" xfId="5" applyNumberFormat="1" applyFont="1" applyAlignment="1">
      <alignment horizontal="right" vertical="top"/>
    </xf>
    <xf numFmtId="0" fontId="6" fillId="0" borderId="0" xfId="5" applyFont="1" applyAlignment="1">
      <alignment vertical="center"/>
    </xf>
    <xf numFmtId="49" fontId="6" fillId="0" borderId="0" xfId="5" applyNumberFormat="1" applyFont="1" applyAlignment="1">
      <alignment horizontal="center" vertical="center"/>
    </xf>
    <xf numFmtId="0" fontId="16" fillId="7" borderId="28" xfId="0" applyFont="1" applyFill="1" applyBorder="1" applyAlignment="1">
      <alignment vertical="center" wrapText="1"/>
    </xf>
    <xf numFmtId="0" fontId="16" fillId="7" borderId="24" xfId="0" applyFont="1" applyFill="1" applyBorder="1" applyAlignment="1">
      <alignment vertical="center"/>
    </xf>
    <xf numFmtId="49" fontId="8" fillId="7" borderId="5" xfId="0" applyNumberFormat="1" applyFont="1" applyFill="1" applyBorder="1" applyAlignment="1">
      <alignment horizontal="center" vertical="center"/>
    </xf>
    <xf numFmtId="0" fontId="14" fillId="0" borderId="0" xfId="0" applyFont="1" applyAlignment="1">
      <alignment vertical="center"/>
    </xf>
    <xf numFmtId="166" fontId="8" fillId="0" borderId="0" xfId="0" applyNumberFormat="1" applyFont="1" applyAlignment="1">
      <alignment horizontal="center" vertical="center"/>
    </xf>
    <xf numFmtId="0" fontId="8" fillId="0" borderId="7" xfId="0" applyFont="1" applyBorder="1" applyAlignment="1">
      <alignment vertical="top" wrapText="1"/>
    </xf>
    <xf numFmtId="0" fontId="16" fillId="7" borderId="0" xfId="0" applyFont="1" applyFill="1"/>
    <xf numFmtId="49" fontId="16" fillId="7" borderId="0" xfId="0" applyNumberFormat="1" applyFont="1" applyFill="1"/>
    <xf numFmtId="165" fontId="17" fillId="7" borderId="0" xfId="0" applyNumberFormat="1" applyFont="1" applyFill="1" applyAlignment="1">
      <alignment horizontal="right"/>
    </xf>
    <xf numFmtId="0" fontId="18" fillId="0" borderId="0" xfId="0" applyFont="1"/>
    <xf numFmtId="0" fontId="8" fillId="0" borderId="7" xfId="0" applyFont="1" applyBorder="1"/>
    <xf numFmtId="49" fontId="18" fillId="0" borderId="0" xfId="0" applyNumberFormat="1" applyFont="1" applyAlignment="1">
      <alignment horizontal="left"/>
    </xf>
    <xf numFmtId="0" fontId="6" fillId="0" borderId="7" xfId="0" applyFont="1" applyBorder="1"/>
    <xf numFmtId="0" fontId="18" fillId="0" borderId="0" xfId="0" applyFont="1" applyAlignment="1">
      <alignment vertical="top" wrapText="1"/>
    </xf>
    <xf numFmtId="49" fontId="8" fillId="0" borderId="0" xfId="0" applyNumberFormat="1" applyFont="1"/>
    <xf numFmtId="49" fontId="8" fillId="0" borderId="7" xfId="0" applyNumberFormat="1" applyFont="1" applyBorder="1" applyAlignment="1">
      <alignment horizontal="center" vertical="top" wrapText="1"/>
    </xf>
    <xf numFmtId="0" fontId="19" fillId="0" borderId="0" xfId="0" applyFont="1"/>
    <xf numFmtId="49" fontId="19" fillId="0" borderId="0" xfId="0" applyNumberFormat="1" applyFont="1" applyAlignment="1">
      <alignment horizontal="left"/>
    </xf>
    <xf numFmtId="0" fontId="8" fillId="0" borderId="7" xfId="5" applyFont="1" applyBorder="1"/>
    <xf numFmtId="0" fontId="19" fillId="0" borderId="7" xfId="0" applyFont="1" applyBorder="1"/>
    <xf numFmtId="167" fontId="8" fillId="0" borderId="7" xfId="0" applyNumberFormat="1" applyFont="1" applyBorder="1" applyAlignment="1">
      <alignment horizontal="right" vertical="center"/>
    </xf>
    <xf numFmtId="167" fontId="8" fillId="0" borderId="0" xfId="0" applyNumberFormat="1" applyFont="1" applyAlignment="1">
      <alignment horizontal="right" vertical="center"/>
    </xf>
    <xf numFmtId="167" fontId="8" fillId="2" borderId="7" xfId="0" applyNumberFormat="1" applyFont="1" applyFill="1" applyBorder="1" applyAlignment="1">
      <alignment horizontal="right" vertical="center"/>
    </xf>
    <xf numFmtId="165" fontId="0" fillId="0" borderId="0" xfId="0" applyNumberFormat="1" applyAlignment="1">
      <alignment horizontal="right"/>
    </xf>
    <xf numFmtId="0" fontId="8" fillId="0" borderId="7" xfId="0" applyFont="1" applyBorder="1" applyAlignment="1">
      <alignment wrapText="1"/>
    </xf>
    <xf numFmtId="0" fontId="16" fillId="7" borderId="28" xfId="0" applyFont="1" applyFill="1" applyBorder="1"/>
    <xf numFmtId="0" fontId="16" fillId="7" borderId="24" xfId="0" applyFont="1" applyFill="1" applyBorder="1"/>
    <xf numFmtId="0" fontId="14" fillId="0" borderId="0" xfId="0" applyFont="1"/>
    <xf numFmtId="49" fontId="16" fillId="7" borderId="0" xfId="0" applyNumberFormat="1" applyFont="1" applyFill="1" applyAlignment="1">
      <alignment horizontal="center"/>
    </xf>
    <xf numFmtId="0" fontId="18" fillId="8" borderId="0" xfId="0" applyFont="1" applyFill="1" applyAlignment="1">
      <alignment horizontal="left" vertical="center"/>
    </xf>
    <xf numFmtId="49" fontId="8" fillId="0" borderId="5" xfId="0" applyNumberFormat="1" applyFont="1" applyBorder="1" applyAlignment="1">
      <alignment horizontal="center" vertical="center"/>
    </xf>
    <xf numFmtId="165" fontId="8" fillId="0" borderId="22" xfId="5" applyNumberFormat="1" applyFont="1" applyBorder="1" applyAlignment="1">
      <alignment horizontal="right" vertical="top"/>
    </xf>
    <xf numFmtId="49" fontId="18" fillId="0" borderId="25" xfId="0" applyNumberFormat="1" applyFont="1" applyBorder="1" applyAlignment="1">
      <alignment horizontal="center"/>
    </xf>
    <xf numFmtId="0" fontId="8" fillId="0" borderId="7" xfId="0" applyFont="1" applyBorder="1" applyAlignment="1">
      <alignment vertical="top"/>
    </xf>
    <xf numFmtId="49" fontId="8" fillId="0" borderId="29" xfId="0" applyNumberFormat="1" applyFont="1" applyBorder="1" applyAlignment="1">
      <alignment horizontal="center" vertical="center"/>
    </xf>
    <xf numFmtId="0" fontId="8" fillId="6" borderId="7" xfId="0" applyFont="1" applyFill="1" applyBorder="1"/>
    <xf numFmtId="49" fontId="8" fillId="0" borderId="0" xfId="0" applyNumberFormat="1" applyFont="1" applyAlignment="1">
      <alignment horizontal="center"/>
    </xf>
    <xf numFmtId="0" fontId="8" fillId="0" borderId="7" xfId="0" applyFont="1" applyBorder="1" applyAlignment="1">
      <alignment horizontal="center"/>
    </xf>
    <xf numFmtId="0" fontId="8" fillId="0" borderId="0" xfId="0" applyFont="1" applyAlignment="1">
      <alignment horizontal="center"/>
    </xf>
    <xf numFmtId="49" fontId="8" fillId="7" borderId="0" xfId="0" applyNumberFormat="1" applyFont="1" applyFill="1" applyAlignment="1">
      <alignment horizontal="center" vertical="center"/>
    </xf>
    <xf numFmtId="0" fontId="18" fillId="0" borderId="0" xfId="0" applyFont="1" applyAlignment="1">
      <alignment horizontal="center"/>
    </xf>
    <xf numFmtId="0" fontId="8" fillId="0" borderId="7" xfId="0" applyFont="1" applyBorder="1" applyAlignment="1">
      <alignment horizontal="left"/>
    </xf>
    <xf numFmtId="49" fontId="8" fillId="0" borderId="5" xfId="0" applyNumberFormat="1" applyFont="1" applyBorder="1" applyAlignment="1">
      <alignment horizontal="center" vertical="center" wrapText="1"/>
    </xf>
    <xf numFmtId="0" fontId="8" fillId="0" borderId="24" xfId="0" applyFont="1" applyBorder="1" applyAlignment="1">
      <alignment horizontal="center" vertical="center"/>
    </xf>
    <xf numFmtId="0" fontId="0" fillId="0" borderId="0" xfId="0" applyAlignment="1">
      <alignment wrapText="1"/>
    </xf>
    <xf numFmtId="0" fontId="21" fillId="0" borderId="0" xfId="4" applyFont="1" applyAlignment="1">
      <alignment vertical="center" wrapText="1"/>
    </xf>
    <xf numFmtId="0" fontId="0" fillId="0" borderId="0" xfId="0" applyAlignment="1">
      <alignment vertical="center" wrapText="1"/>
    </xf>
    <xf numFmtId="165" fontId="12" fillId="4" borderId="7" xfId="0" applyNumberFormat="1" applyFont="1" applyFill="1" applyBorder="1" applyAlignment="1">
      <alignment horizontal="center" vertical="center" wrapText="1"/>
    </xf>
    <xf numFmtId="0" fontId="20" fillId="10" borderId="7" xfId="0" applyFont="1" applyFill="1" applyBorder="1" applyAlignment="1">
      <alignment vertical="center" wrapText="1"/>
    </xf>
    <xf numFmtId="0" fontId="20" fillId="10" borderId="7" xfId="0" applyFont="1" applyFill="1" applyBorder="1" applyAlignment="1">
      <alignment horizontal="center" vertical="center" wrapText="1"/>
    </xf>
    <xf numFmtId="49" fontId="20" fillId="10" borderId="7" xfId="0" applyNumberFormat="1" applyFont="1" applyFill="1" applyBorder="1" applyAlignment="1">
      <alignment horizontal="center" vertical="center" wrapText="1"/>
    </xf>
    <xf numFmtId="167" fontId="20" fillId="10" borderId="21" xfId="0" applyNumberFormat="1" applyFont="1" applyFill="1" applyBorder="1" applyAlignment="1">
      <alignment horizontal="center" vertical="center" wrapText="1"/>
    </xf>
    <xf numFmtId="0" fontId="13" fillId="0" borderId="0" xfId="0" applyFont="1" applyAlignment="1">
      <alignment vertical="center" wrapText="1"/>
    </xf>
    <xf numFmtId="0" fontId="8" fillId="0" borderId="7" xfId="4" applyFont="1" applyBorder="1" applyAlignment="1">
      <alignment vertical="center"/>
    </xf>
    <xf numFmtId="49" fontId="6" fillId="0" borderId="7" xfId="4" applyNumberFormat="1" applyFont="1" applyBorder="1" applyAlignment="1">
      <alignment horizontal="center" vertical="center"/>
    </xf>
    <xf numFmtId="167" fontId="6" fillId="0" borderId="7" xfId="0" applyNumberFormat="1" applyFont="1" applyBorder="1" applyAlignment="1">
      <alignment horizontal="right" vertical="center"/>
    </xf>
    <xf numFmtId="0" fontId="23" fillId="0" borderId="7" xfId="4" applyFont="1" applyBorder="1" applyAlignment="1">
      <alignment vertical="center"/>
    </xf>
    <xf numFmtId="0" fontId="6" fillId="0" borderId="7" xfId="4" applyFont="1" applyBorder="1" applyAlignment="1">
      <alignment vertical="center"/>
    </xf>
    <xf numFmtId="0" fontId="6" fillId="0" borderId="0" xfId="0" applyFont="1" applyAlignment="1">
      <alignment vertical="center" wrapText="1"/>
    </xf>
    <xf numFmtId="0" fontId="8" fillId="0" borderId="7" xfId="4" applyFont="1" applyBorder="1" applyAlignment="1">
      <alignment horizontal="left" vertical="top"/>
    </xf>
    <xf numFmtId="167" fontId="6" fillId="0" borderId="0" xfId="0" applyNumberFormat="1" applyFont="1" applyAlignment="1">
      <alignment horizontal="right" vertical="center"/>
    </xf>
    <xf numFmtId="0" fontId="6" fillId="2" borderId="7" xfId="4" applyFont="1" applyFill="1" applyBorder="1" applyAlignment="1">
      <alignment vertical="center"/>
    </xf>
    <xf numFmtId="49" fontId="6" fillId="2" borderId="7" xfId="4" applyNumberFormat="1" applyFont="1" applyFill="1" applyBorder="1" applyAlignment="1">
      <alignment horizontal="center" vertical="center"/>
    </xf>
    <xf numFmtId="167" fontId="6" fillId="2" borderId="7" xfId="0" applyNumberFormat="1" applyFont="1" applyFill="1" applyBorder="1" applyAlignment="1">
      <alignment horizontal="right" vertical="center"/>
    </xf>
    <xf numFmtId="0" fontId="13" fillId="0" borderId="0" xfId="0" applyFont="1" applyAlignment="1">
      <alignment horizontal="left" vertical="center"/>
    </xf>
    <xf numFmtId="0" fontId="6" fillId="0" borderId="0" xfId="4" applyFont="1" applyAlignment="1">
      <alignment vertical="center"/>
    </xf>
    <xf numFmtId="49" fontId="6" fillId="0" borderId="0" xfId="4" applyNumberFormat="1" applyFont="1" applyAlignment="1">
      <alignment horizontal="center" vertical="center"/>
    </xf>
    <xf numFmtId="0" fontId="24" fillId="11" borderId="0" xfId="4" applyFont="1" applyFill="1" applyAlignment="1">
      <alignment vertical="center" wrapText="1"/>
    </xf>
    <xf numFmtId="0" fontId="24" fillId="11" borderId="0" xfId="4" applyFont="1" applyFill="1" applyAlignment="1">
      <alignment vertical="center"/>
    </xf>
    <xf numFmtId="49" fontId="24" fillId="11" borderId="0" xfId="4" applyNumberFormat="1" applyFont="1" applyFill="1" applyAlignment="1">
      <alignment horizontal="center" vertical="center"/>
    </xf>
    <xf numFmtId="167" fontId="24" fillId="11" borderId="0" xfId="4" applyNumberFormat="1" applyFont="1" applyFill="1" applyAlignment="1">
      <alignment horizontal="right" vertical="center"/>
    </xf>
    <xf numFmtId="0" fontId="25" fillId="0" borderId="7" xfId="4" applyFont="1" applyBorder="1" applyAlignment="1">
      <alignment vertical="center"/>
    </xf>
    <xf numFmtId="0" fontId="0" fillId="0" borderId="29" xfId="0" applyBorder="1"/>
    <xf numFmtId="0" fontId="13" fillId="0" borderId="30" xfId="0" applyFont="1" applyBorder="1" applyAlignment="1">
      <alignment vertical="center"/>
    </xf>
    <xf numFmtId="0" fontId="24" fillId="11" borderId="30" xfId="4" applyFont="1" applyFill="1" applyBorder="1" applyAlignment="1">
      <alignment vertical="center" wrapText="1"/>
    </xf>
    <xf numFmtId="0" fontId="24" fillId="11" borderId="29" xfId="4" applyFont="1" applyFill="1" applyBorder="1" applyAlignment="1">
      <alignment vertical="center"/>
    </xf>
    <xf numFmtId="49" fontId="24" fillId="11" borderId="29" xfId="4" applyNumberFormat="1" applyFont="1" applyFill="1" applyBorder="1" applyAlignment="1">
      <alignment horizontal="center" vertical="center"/>
    </xf>
    <xf numFmtId="167" fontId="24" fillId="11" borderId="31" xfId="4" applyNumberFormat="1" applyFont="1" applyFill="1" applyBorder="1" applyAlignment="1">
      <alignment horizontal="right" vertical="center"/>
    </xf>
    <xf numFmtId="165" fontId="12" fillId="4" borderId="31" xfId="0" applyNumberFormat="1" applyFont="1" applyFill="1" applyBorder="1" applyAlignment="1">
      <alignment horizontal="center" vertical="center" wrapText="1"/>
    </xf>
    <xf numFmtId="0" fontId="24" fillId="7" borderId="0" xfId="4" applyFont="1" applyFill="1"/>
    <xf numFmtId="165" fontId="0" fillId="0" borderId="0" xfId="0" applyNumberFormat="1"/>
    <xf numFmtId="165" fontId="24" fillId="7" borderId="0" xfId="4" applyNumberFormat="1" applyFont="1" applyFill="1"/>
    <xf numFmtId="0" fontId="8" fillId="2" borderId="7" xfId="0" applyFont="1" applyFill="1" applyBorder="1" applyAlignment="1">
      <alignment horizontal="left" vertical="center"/>
    </xf>
    <xf numFmtId="0" fontId="6" fillId="2" borderId="7" xfId="0" applyFont="1" applyFill="1" applyBorder="1" applyAlignment="1">
      <alignment vertical="center"/>
    </xf>
    <xf numFmtId="0" fontId="6" fillId="0" borderId="0" xfId="0" applyFont="1" applyAlignment="1">
      <alignment horizontal="center" vertical="center"/>
    </xf>
    <xf numFmtId="0" fontId="19" fillId="2" borderId="7" xfId="2" applyFont="1" applyFill="1" applyBorder="1" applyAlignment="1">
      <alignment horizontal="left"/>
    </xf>
    <xf numFmtId="0" fontId="8" fillId="2" borderId="7" xfId="4" applyFont="1" applyFill="1" applyBorder="1"/>
    <xf numFmtId="0" fontId="6" fillId="2" borderId="0" xfId="0" applyFont="1" applyFill="1" applyAlignment="1">
      <alignment vertical="center"/>
    </xf>
    <xf numFmtId="0" fontId="23" fillId="2" borderId="7" xfId="0" applyFont="1" applyFill="1" applyBorder="1" applyAlignment="1">
      <alignment horizontal="left" vertical="center"/>
    </xf>
    <xf numFmtId="0" fontId="13" fillId="0" borderId="0" xfId="0" applyFont="1" applyAlignment="1">
      <alignment horizontal="center" vertical="center"/>
    </xf>
    <xf numFmtId="49" fontId="13" fillId="0" borderId="0" xfId="1" applyNumberFormat="1" applyFont="1" applyAlignment="1">
      <alignment horizontal="center" vertical="center"/>
    </xf>
    <xf numFmtId="165" fontId="18" fillId="0" borderId="0" xfId="0" applyNumberFormat="1" applyFont="1" applyAlignment="1">
      <alignment horizontal="right" vertical="center"/>
    </xf>
    <xf numFmtId="0" fontId="29" fillId="7" borderId="0" xfId="0" applyFont="1" applyFill="1" applyAlignment="1">
      <alignment vertical="center" wrapText="1"/>
    </xf>
    <xf numFmtId="49" fontId="8" fillId="0" borderId="0" xfId="0" applyNumberFormat="1" applyFont="1" applyFill="1" applyAlignment="1">
      <alignment horizontal="center" vertical="center"/>
    </xf>
    <xf numFmtId="165" fontId="8" fillId="0" borderId="0" xfId="0" applyNumberFormat="1" applyFont="1" applyFill="1"/>
    <xf numFmtId="49" fontId="6" fillId="3" borderId="7" xfId="0" applyNumberFormat="1" applyFont="1" applyFill="1" applyBorder="1" applyAlignment="1">
      <alignment horizontal="center" vertical="center"/>
    </xf>
    <xf numFmtId="0" fontId="18" fillId="0" borderId="0" xfId="0" applyFont="1" applyFill="1" applyAlignment="1">
      <alignment horizontal="left" vertical="center" wrapText="1"/>
    </xf>
    <xf numFmtId="0" fontId="8" fillId="0" borderId="0" xfId="0" applyFont="1" applyFill="1" applyAlignment="1">
      <alignment vertical="center"/>
    </xf>
    <xf numFmtId="0" fontId="8" fillId="0" borderId="0" xfId="0" applyFont="1" applyFill="1" applyAlignment="1">
      <alignment vertical="center" wrapText="1"/>
    </xf>
    <xf numFmtId="0" fontId="8" fillId="0" borderId="0" xfId="0" applyFont="1" applyFill="1"/>
    <xf numFmtId="0" fontId="8" fillId="0" borderId="7" xfId="0" applyFont="1" applyFill="1" applyBorder="1" applyAlignment="1">
      <alignment vertical="center"/>
    </xf>
    <xf numFmtId="0" fontId="6" fillId="0" borderId="7" xfId="4" applyFont="1" applyFill="1" applyBorder="1" applyAlignment="1">
      <alignment vertical="center"/>
    </xf>
    <xf numFmtId="49" fontId="6" fillId="0" borderId="7" xfId="4" applyNumberFormat="1" applyFont="1" applyFill="1" applyBorder="1" applyAlignment="1">
      <alignment horizontal="center" vertical="center"/>
    </xf>
    <xf numFmtId="49" fontId="8" fillId="12" borderId="7" xfId="0" applyNumberFormat="1" applyFont="1" applyFill="1" applyBorder="1" applyAlignment="1">
      <alignment horizontal="center" vertical="top" wrapText="1"/>
    </xf>
    <xf numFmtId="0" fontId="6" fillId="13" borderId="7" xfId="4" applyFont="1" applyFill="1" applyBorder="1" applyAlignment="1">
      <alignment vertical="center"/>
    </xf>
    <xf numFmtId="165" fontId="6" fillId="0" borderId="7" xfId="0" applyNumberFormat="1" applyFont="1" applyFill="1" applyBorder="1" applyAlignment="1">
      <alignment horizontal="right" vertical="center"/>
    </xf>
    <xf numFmtId="0" fontId="8" fillId="0" borderId="7" xfId="0" applyFont="1" applyFill="1" applyBorder="1" applyAlignment="1">
      <alignment vertical="center" wrapText="1"/>
    </xf>
    <xf numFmtId="0" fontId="23" fillId="0" borderId="7" xfId="4" applyFont="1" applyFill="1" applyBorder="1" applyAlignment="1">
      <alignment vertical="center"/>
    </xf>
    <xf numFmtId="167" fontId="6" fillId="0" borderId="7" xfId="0" applyNumberFormat="1" applyFont="1" applyFill="1" applyBorder="1" applyAlignment="1">
      <alignment horizontal="right" vertical="center"/>
    </xf>
    <xf numFmtId="165" fontId="8" fillId="14" borderId="7" xfId="5" applyNumberFormat="1" applyFont="1" applyFill="1" applyBorder="1" applyAlignment="1">
      <alignment horizontal="right" vertical="top"/>
    </xf>
    <xf numFmtId="165" fontId="8" fillId="14" borderId="20" xfId="5" applyNumberFormat="1" applyFont="1" applyFill="1" applyBorder="1" applyAlignment="1">
      <alignment horizontal="right" vertical="top"/>
    </xf>
    <xf numFmtId="0" fontId="14" fillId="0" borderId="19" xfId="5" applyFont="1" applyFill="1" applyBorder="1" applyAlignment="1">
      <alignment horizontal="center" vertical="top" wrapText="1"/>
    </xf>
    <xf numFmtId="49" fontId="14" fillId="0" borderId="20" xfId="5" applyNumberFormat="1" applyFont="1" applyFill="1" applyBorder="1" applyAlignment="1">
      <alignment horizontal="center" vertical="top"/>
    </xf>
    <xf numFmtId="165" fontId="14" fillId="0" borderId="20" xfId="5" applyNumberFormat="1" applyFont="1" applyFill="1" applyBorder="1" applyAlignment="1">
      <alignment horizontal="right" vertical="top"/>
    </xf>
    <xf numFmtId="0" fontId="14" fillId="0" borderId="7" xfId="5" applyFont="1" applyFill="1" applyBorder="1" applyAlignment="1">
      <alignment horizontal="center" vertical="top" wrapText="1"/>
    </xf>
    <xf numFmtId="49" fontId="14" fillId="0" borderId="7" xfId="5" applyNumberFormat="1" applyFont="1" applyFill="1" applyBorder="1" applyAlignment="1">
      <alignment horizontal="center" vertical="top"/>
    </xf>
    <xf numFmtId="0" fontId="15" fillId="0" borderId="21" xfId="0" applyFont="1" applyFill="1" applyBorder="1" applyAlignment="1">
      <alignment vertical="center" wrapText="1"/>
    </xf>
    <xf numFmtId="0" fontId="14" fillId="0" borderId="22" xfId="5" applyFont="1" applyFill="1" applyBorder="1" applyAlignment="1">
      <alignment horizontal="center" vertical="top" wrapText="1"/>
    </xf>
    <xf numFmtId="0" fontId="6" fillId="0" borderId="7" xfId="0" applyFont="1" applyFill="1" applyBorder="1" applyAlignment="1">
      <alignment vertical="top" wrapText="1"/>
    </xf>
    <xf numFmtId="165" fontId="8" fillId="0" borderId="7" xfId="5" applyNumberFormat="1" applyFont="1" applyFill="1" applyBorder="1" applyAlignment="1">
      <alignment horizontal="right" vertical="top"/>
    </xf>
    <xf numFmtId="49" fontId="8" fillId="0" borderId="7" xfId="0" applyNumberFormat="1" applyFont="1" applyFill="1" applyBorder="1" applyAlignment="1">
      <alignment horizontal="center" vertical="center"/>
    </xf>
    <xf numFmtId="165" fontId="8" fillId="0" borderId="20" xfId="5" applyNumberFormat="1" applyFont="1" applyFill="1" applyBorder="1" applyAlignment="1">
      <alignment horizontal="right" vertical="top"/>
    </xf>
    <xf numFmtId="0" fontId="6" fillId="0" borderId="7" xfId="0" applyFont="1" applyFill="1" applyBorder="1" applyAlignment="1">
      <alignment vertical="center"/>
    </xf>
    <xf numFmtId="0" fontId="6" fillId="0" borderId="7" xfId="0" applyFont="1" applyFill="1" applyBorder="1"/>
    <xf numFmtId="0" fontId="18" fillId="0" borderId="0" xfId="0" applyFont="1" applyFill="1" applyAlignment="1">
      <alignment horizontal="left" vertical="center"/>
    </xf>
    <xf numFmtId="0" fontId="18" fillId="0" borderId="0" xfId="0" applyFont="1" applyFill="1" applyAlignment="1">
      <alignment vertical="center" wrapText="1"/>
    </xf>
    <xf numFmtId="49" fontId="8" fillId="0" borderId="25" xfId="0" applyNumberFormat="1" applyFont="1" applyFill="1" applyBorder="1" applyAlignment="1">
      <alignment horizontal="center" vertical="center"/>
    </xf>
    <xf numFmtId="49" fontId="8" fillId="0" borderId="21" xfId="0" applyNumberFormat="1" applyFont="1" applyFill="1" applyBorder="1" applyAlignment="1">
      <alignment horizontal="center" vertical="center"/>
    </xf>
    <xf numFmtId="165" fontId="8" fillId="0" borderId="20" xfId="5" applyNumberFormat="1" applyFont="1" applyFill="1" applyBorder="1" applyAlignment="1">
      <alignment horizontal="right" vertical="center"/>
    </xf>
    <xf numFmtId="0" fontId="8" fillId="0" borderId="7" xfId="0" applyFont="1" applyFill="1" applyBorder="1" applyAlignment="1">
      <alignment horizontal="left" vertical="center"/>
    </xf>
    <xf numFmtId="49" fontId="6" fillId="0" borderId="7" xfId="5" applyNumberFormat="1" applyFont="1" applyFill="1" applyBorder="1" applyAlignment="1">
      <alignment horizontal="center" vertical="center"/>
    </xf>
    <xf numFmtId="0" fontId="18" fillId="0" borderId="0" xfId="0" applyFont="1" applyFill="1" applyAlignment="1">
      <alignment vertical="center"/>
    </xf>
    <xf numFmtId="0" fontId="19" fillId="0" borderId="7" xfId="0" applyFont="1" applyFill="1" applyBorder="1" applyAlignment="1">
      <alignment horizontal="left" vertical="center"/>
    </xf>
    <xf numFmtId="0" fontId="19" fillId="0" borderId="7" xfId="0" applyFont="1" applyFill="1" applyBorder="1" applyAlignment="1">
      <alignment vertical="center"/>
    </xf>
    <xf numFmtId="0" fontId="6" fillId="0" borderId="7" xfId="5" applyFont="1" applyFill="1" applyBorder="1" applyAlignment="1">
      <alignment vertical="center"/>
    </xf>
    <xf numFmtId="165" fontId="8" fillId="0" borderId="7" xfId="5" applyNumberFormat="1" applyFont="1" applyFill="1" applyBorder="1" applyAlignment="1">
      <alignment horizontal="right" vertical="center"/>
    </xf>
    <xf numFmtId="0" fontId="14" fillId="0" borderId="20" xfId="5" applyFont="1" applyFill="1" applyBorder="1" applyAlignment="1">
      <alignment horizontal="center" vertical="top" wrapText="1"/>
    </xf>
    <xf numFmtId="0" fontId="8" fillId="0" borderId="7" xfId="0" applyFont="1" applyFill="1" applyBorder="1"/>
    <xf numFmtId="0" fontId="28" fillId="0" borderId="7" xfId="0" applyFont="1" applyFill="1" applyBorder="1" applyAlignment="1">
      <alignment vertical="center"/>
    </xf>
    <xf numFmtId="49" fontId="8" fillId="0" borderId="7" xfId="0" applyNumberFormat="1" applyFont="1" applyFill="1" applyBorder="1" applyAlignment="1">
      <alignment horizontal="center" vertical="top" wrapText="1"/>
    </xf>
    <xf numFmtId="0" fontId="19" fillId="0" borderId="7" xfId="0" applyFont="1" applyFill="1" applyBorder="1"/>
    <xf numFmtId="0" fontId="18" fillId="0" borderId="0" xfId="0" applyFont="1" applyFill="1" applyAlignment="1">
      <alignment vertical="top" wrapText="1"/>
    </xf>
    <xf numFmtId="49" fontId="8" fillId="0" borderId="0" xfId="0" applyNumberFormat="1" applyFont="1" applyFill="1"/>
    <xf numFmtId="0" fontId="15" fillId="0" borderId="19" xfId="5" applyFont="1" applyFill="1" applyBorder="1" applyAlignment="1">
      <alignment horizontal="center" vertical="top" wrapText="1"/>
    </xf>
    <xf numFmtId="49" fontId="15" fillId="0" borderId="20" xfId="5" applyNumberFormat="1" applyFont="1" applyFill="1" applyBorder="1" applyAlignment="1">
      <alignment horizontal="center" vertical="top"/>
    </xf>
    <xf numFmtId="0" fontId="8" fillId="0" borderId="7" xfId="0" applyFont="1" applyFill="1" applyBorder="1" applyAlignment="1">
      <alignment horizontal="center" vertical="center"/>
    </xf>
    <xf numFmtId="0" fontId="13" fillId="0" borderId="0" xfId="0" applyFont="1" applyFill="1" applyAlignment="1">
      <alignment vertical="center"/>
    </xf>
    <xf numFmtId="49" fontId="18" fillId="0" borderId="25" xfId="0" applyNumberFormat="1" applyFont="1" applyFill="1" applyBorder="1" applyAlignment="1">
      <alignment horizontal="center" vertical="center"/>
    </xf>
    <xf numFmtId="49" fontId="8" fillId="0" borderId="7" xfId="0" applyNumberFormat="1" applyFont="1" applyFill="1" applyBorder="1" applyAlignment="1">
      <alignment horizontal="center" vertical="center" wrapText="1"/>
    </xf>
    <xf numFmtId="0" fontId="8" fillId="0" borderId="5" xfId="0" applyFont="1" applyFill="1" applyBorder="1" applyAlignment="1">
      <alignment vertical="center"/>
    </xf>
    <xf numFmtId="49" fontId="8" fillId="0" borderId="5" xfId="0" applyNumberFormat="1" applyFont="1" applyFill="1" applyBorder="1" applyAlignment="1">
      <alignment horizontal="center" vertical="center"/>
    </xf>
    <xf numFmtId="165" fontId="8" fillId="0" borderId="22" xfId="5" applyNumberFormat="1" applyFont="1" applyFill="1" applyBorder="1" applyAlignment="1">
      <alignment horizontal="right"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49" fontId="8" fillId="0" borderId="29" xfId="0" applyNumberFormat="1" applyFont="1" applyFill="1" applyBorder="1" applyAlignment="1">
      <alignment horizontal="center" vertical="center"/>
    </xf>
    <xf numFmtId="165" fontId="8" fillId="0" borderId="27" xfId="5" applyNumberFormat="1" applyFont="1" applyFill="1" applyBorder="1" applyAlignment="1">
      <alignment horizontal="right" vertical="center"/>
    </xf>
    <xf numFmtId="49" fontId="18" fillId="0" borderId="25" xfId="0" applyNumberFormat="1" applyFont="1" applyFill="1" applyBorder="1" applyAlignment="1">
      <alignment horizontal="center"/>
    </xf>
    <xf numFmtId="0" fontId="8" fillId="0" borderId="7" xfId="0" applyFont="1" applyFill="1" applyBorder="1" applyAlignment="1">
      <alignment horizontal="center"/>
    </xf>
    <xf numFmtId="49" fontId="8" fillId="0" borderId="24" xfId="0" applyNumberFormat="1" applyFont="1" applyFill="1" applyBorder="1" applyAlignment="1">
      <alignment horizontal="center" vertical="center"/>
    </xf>
    <xf numFmtId="0" fontId="8" fillId="0" borderId="5" xfId="0" applyFont="1" applyFill="1" applyBorder="1" applyAlignment="1">
      <alignment horizontal="center"/>
    </xf>
    <xf numFmtId="165" fontId="8" fillId="0" borderId="22" xfId="5" applyNumberFormat="1" applyFont="1" applyFill="1" applyBorder="1" applyAlignment="1">
      <alignment horizontal="right" vertical="top"/>
    </xf>
    <xf numFmtId="0" fontId="18" fillId="0" borderId="29" xfId="0" applyFont="1" applyFill="1" applyBorder="1" applyAlignment="1">
      <alignment vertical="center"/>
    </xf>
    <xf numFmtId="49" fontId="18" fillId="0" borderId="0" xfId="0" applyNumberFormat="1" applyFont="1" applyFill="1" applyAlignment="1">
      <alignment horizontal="center" vertical="center"/>
    </xf>
    <xf numFmtId="0" fontId="8" fillId="0" borderId="7" xfId="4" applyFont="1" applyFill="1" applyBorder="1" applyAlignment="1">
      <alignment vertical="center"/>
    </xf>
    <xf numFmtId="0" fontId="13" fillId="0" borderId="0" xfId="0" applyFont="1" applyFill="1" applyAlignment="1">
      <alignment vertical="center" wrapText="1"/>
    </xf>
    <xf numFmtId="0" fontId="8" fillId="0" borderId="0" xfId="0" applyFont="1" applyFill="1" applyAlignment="1">
      <alignment horizontal="left" vertical="center"/>
    </xf>
    <xf numFmtId="49" fontId="6" fillId="0" borderId="0" xfId="0" applyNumberFormat="1" applyFont="1" applyFill="1" applyAlignment="1">
      <alignment horizontal="center" vertical="center"/>
    </xf>
    <xf numFmtId="167" fontId="6" fillId="0" borderId="0" xfId="0" applyNumberFormat="1" applyFont="1" applyFill="1" applyAlignment="1">
      <alignment horizontal="right" vertical="center"/>
    </xf>
    <xf numFmtId="49" fontId="6" fillId="0" borderId="7" xfId="0" applyNumberFormat="1" applyFont="1" applyFill="1" applyBorder="1" applyAlignment="1">
      <alignment horizontal="center" vertical="center"/>
    </xf>
    <xf numFmtId="0" fontId="6" fillId="0" borderId="0" xfId="4" applyFont="1" applyFill="1" applyAlignment="1">
      <alignment vertical="center"/>
    </xf>
    <xf numFmtId="49" fontId="6" fillId="0" borderId="0" xfId="4" applyNumberFormat="1" applyFont="1" applyFill="1" applyAlignment="1">
      <alignment horizontal="center" vertical="center"/>
    </xf>
    <xf numFmtId="0" fontId="19" fillId="0" borderId="7" xfId="0" applyFont="1" applyFill="1" applyBorder="1" applyAlignment="1">
      <alignment vertical="center" wrapText="1"/>
    </xf>
    <xf numFmtId="0" fontId="0" fillId="0" borderId="0" xfId="0" applyFill="1"/>
    <xf numFmtId="0" fontId="23" fillId="0" borderId="7" xfId="0" applyFont="1" applyFill="1" applyBorder="1" applyAlignment="1">
      <alignment vertical="center"/>
    </xf>
    <xf numFmtId="0" fontId="0" fillId="0" borderId="0" xfId="0" applyFill="1" applyAlignment="1">
      <alignment wrapText="1"/>
    </xf>
    <xf numFmtId="0" fontId="13" fillId="0" borderId="25" xfId="0" applyFont="1" applyFill="1" applyBorder="1" applyAlignment="1">
      <alignment vertical="center" wrapText="1"/>
    </xf>
    <xf numFmtId="0" fontId="25" fillId="0" borderId="7" xfId="4" applyFont="1" applyFill="1" applyBorder="1" applyAlignment="1">
      <alignment vertical="center"/>
    </xf>
    <xf numFmtId="165" fontId="8" fillId="15" borderId="23" xfId="5" applyNumberFormat="1" applyFont="1" applyFill="1" applyBorder="1" applyAlignment="1">
      <alignment horizontal="right" vertical="top"/>
    </xf>
    <xf numFmtId="0" fontId="30" fillId="0" borderId="7" xfId="4" applyFont="1" applyFill="1" applyBorder="1" applyAlignment="1">
      <alignment vertical="center"/>
    </xf>
    <xf numFmtId="165" fontId="8" fillId="0" borderId="26" xfId="5" applyNumberFormat="1" applyFont="1" applyFill="1" applyBorder="1" applyAlignment="1">
      <alignment horizontal="right" vertical="top"/>
    </xf>
    <xf numFmtId="0" fontId="18" fillId="0" borderId="25" xfId="0" applyFont="1" applyFill="1" applyBorder="1" applyAlignment="1">
      <alignment vertical="center"/>
    </xf>
    <xf numFmtId="0" fontId="8" fillId="0" borderId="0" xfId="0" applyFont="1" applyFill="1" applyBorder="1"/>
    <xf numFmtId="49" fontId="8" fillId="0" borderId="0" xfId="0" applyNumberFormat="1" applyFont="1" applyFill="1" applyBorder="1" applyAlignment="1">
      <alignment horizontal="center" vertical="center"/>
    </xf>
    <xf numFmtId="0" fontId="6" fillId="0" borderId="3" xfId="0" applyFont="1" applyBorder="1"/>
    <xf numFmtId="0" fontId="5" fillId="0" borderId="17" xfId="0" applyFont="1" applyBorder="1" applyAlignment="1">
      <alignment horizontal="center"/>
    </xf>
    <xf numFmtId="0" fontId="5" fillId="0" borderId="18" xfId="0" applyFont="1" applyBorder="1" applyAlignment="1">
      <alignment horizontal="center"/>
    </xf>
    <xf numFmtId="0" fontId="5" fillId="0" borderId="32" xfId="0" applyFont="1" applyBorder="1"/>
    <xf numFmtId="0" fontId="15" fillId="0" borderId="7" xfId="5" applyFont="1" applyFill="1" applyBorder="1" applyAlignment="1">
      <alignment vertical="center" wrapText="1"/>
    </xf>
    <xf numFmtId="167" fontId="8" fillId="0" borderId="0" xfId="0" applyNumberFormat="1" applyFont="1" applyAlignment="1">
      <alignment horizontal="center" vertical="center"/>
    </xf>
    <xf numFmtId="0" fontId="32" fillId="16" borderId="7" xfId="0" applyFont="1" applyFill="1" applyBorder="1" applyAlignment="1">
      <alignment vertical="center" wrapText="1"/>
    </xf>
    <xf numFmtId="0" fontId="32" fillId="16" borderId="7" xfId="0" applyFont="1" applyFill="1" applyBorder="1" applyAlignment="1">
      <alignment vertical="center"/>
    </xf>
    <xf numFmtId="49" fontId="32" fillId="16" borderId="7" xfId="0" applyNumberFormat="1" applyFont="1" applyFill="1" applyBorder="1" applyAlignment="1">
      <alignment horizontal="center" vertical="center"/>
    </xf>
    <xf numFmtId="167" fontId="32" fillId="16" borderId="7" xfId="0" applyNumberFormat="1" applyFont="1" applyFill="1" applyBorder="1" applyAlignment="1">
      <alignment vertical="center"/>
    </xf>
    <xf numFmtId="0" fontId="33" fillId="0" borderId="0" xfId="0" applyFont="1" applyAlignment="1">
      <alignment horizontal="left" vertical="center" wrapText="1"/>
    </xf>
    <xf numFmtId="0" fontId="33" fillId="0" borderId="0" xfId="0" applyFont="1" applyAlignment="1">
      <alignment vertical="center"/>
    </xf>
    <xf numFmtId="49" fontId="8" fillId="0" borderId="0" xfId="6" applyNumberFormat="1" applyFont="1" applyFill="1" applyAlignment="1">
      <alignment horizontal="center" vertical="center"/>
    </xf>
    <xf numFmtId="0" fontId="8" fillId="17" borderId="7" xfId="0" applyFont="1" applyFill="1" applyBorder="1" applyAlignment="1">
      <alignment vertical="center"/>
    </xf>
    <xf numFmtId="0" fontId="6" fillId="17" borderId="7" xfId="5" applyFont="1" applyFill="1" applyBorder="1" applyAlignment="1">
      <alignment vertical="center"/>
    </xf>
    <xf numFmtId="49" fontId="6" fillId="17" borderId="7" xfId="5" applyNumberFormat="1" applyFont="1" applyFill="1" applyBorder="1" applyAlignment="1">
      <alignment horizontal="center" vertical="center"/>
    </xf>
    <xf numFmtId="167" fontId="6" fillId="17" borderId="7" xfId="0" applyNumberFormat="1" applyFont="1" applyFill="1" applyBorder="1" applyAlignment="1">
      <alignment horizontal="right" vertical="center"/>
    </xf>
    <xf numFmtId="0" fontId="33" fillId="0" borderId="0" xfId="0" applyFont="1" applyAlignment="1">
      <alignment horizontal="left" vertical="center"/>
    </xf>
    <xf numFmtId="0" fontId="8" fillId="18" borderId="7" xfId="0" applyFont="1" applyFill="1" applyBorder="1" applyAlignment="1">
      <alignment vertical="center"/>
    </xf>
    <xf numFmtId="165" fontId="7" fillId="18" borderId="7" xfId="0" applyNumberFormat="1" applyFont="1" applyFill="1" applyBorder="1" applyAlignment="1">
      <alignment horizontal="right" vertical="center"/>
    </xf>
    <xf numFmtId="165" fontId="8" fillId="17" borderId="7" xfId="0" applyNumberFormat="1" applyFont="1" applyFill="1" applyBorder="1" applyAlignment="1">
      <alignment horizontal="right" vertical="center"/>
    </xf>
    <xf numFmtId="0" fontId="32" fillId="16" borderId="24" xfId="0" applyFont="1" applyFill="1" applyBorder="1" applyAlignment="1">
      <alignment vertical="center"/>
    </xf>
    <xf numFmtId="49" fontId="8" fillId="16" borderId="5" xfId="0" applyNumberFormat="1" applyFont="1" applyFill="1" applyBorder="1" applyAlignment="1">
      <alignment horizontal="center" vertical="center"/>
    </xf>
    <xf numFmtId="167" fontId="8" fillId="16" borderId="5" xfId="0" applyNumberFormat="1" applyFont="1" applyFill="1" applyBorder="1" applyAlignment="1">
      <alignment horizontal="center" vertical="center"/>
    </xf>
    <xf numFmtId="0" fontId="8" fillId="19" borderId="7" xfId="0" applyFont="1" applyFill="1" applyBorder="1" applyAlignment="1">
      <alignment vertical="center"/>
    </xf>
    <xf numFmtId="0" fontId="6" fillId="19" borderId="7" xfId="5" applyFont="1" applyFill="1" applyBorder="1" applyAlignment="1">
      <alignment vertical="center"/>
    </xf>
    <xf numFmtId="49" fontId="6" fillId="19" borderId="7" xfId="5" applyNumberFormat="1" applyFont="1" applyFill="1" applyBorder="1" applyAlignment="1">
      <alignment horizontal="center" vertical="center"/>
    </xf>
    <xf numFmtId="167" fontId="6" fillId="19" borderId="7" xfId="0" applyNumberFormat="1" applyFont="1" applyFill="1" applyBorder="1" applyAlignment="1">
      <alignment horizontal="right" vertical="center"/>
    </xf>
    <xf numFmtId="0" fontId="6" fillId="0" borderId="3" xfId="0" applyFont="1" applyFill="1" applyBorder="1"/>
    <xf numFmtId="0" fontId="6" fillId="0" borderId="10" xfId="0" applyFont="1" applyFill="1" applyBorder="1"/>
    <xf numFmtId="0" fontId="6" fillId="0" borderId="13" xfId="0" applyFont="1" applyFill="1" applyBorder="1"/>
    <xf numFmtId="0" fontId="6" fillId="0" borderId="21" xfId="0" applyFont="1" applyFill="1" applyBorder="1" applyAlignment="1">
      <alignment vertical="top" wrapText="1"/>
    </xf>
    <xf numFmtId="0" fontId="15" fillId="0" borderId="21" xfId="0" applyFont="1" applyFill="1" applyBorder="1" applyAlignment="1">
      <alignment vertical="top" wrapText="1"/>
    </xf>
    <xf numFmtId="0" fontId="1" fillId="0" borderId="0" xfId="0" applyFont="1" applyAlignment="1">
      <alignment wrapText="1"/>
    </xf>
    <xf numFmtId="0" fontId="0" fillId="0" borderId="0" xfId="0" applyFill="1" applyBorder="1"/>
    <xf numFmtId="0" fontId="36" fillId="0" borderId="0" xfId="0" applyFont="1"/>
    <xf numFmtId="0" fontId="35" fillId="0" borderId="0" xfId="0" applyFont="1" applyFill="1" applyAlignment="1">
      <alignment vertical="center" wrapText="1"/>
    </xf>
    <xf numFmtId="165" fontId="8" fillId="0" borderId="0" xfId="0" applyNumberFormat="1" applyFont="1" applyFill="1" applyAlignment="1">
      <alignment horizontal="right" vertical="center"/>
    </xf>
    <xf numFmtId="0" fontId="6" fillId="0" borderId="33" xfId="0" applyFont="1" applyFill="1" applyBorder="1" applyAlignment="1">
      <alignment vertical="center" wrapText="1"/>
    </xf>
    <xf numFmtId="0" fontId="33" fillId="0" borderId="0" xfId="0" applyFont="1" applyFill="1" applyAlignment="1">
      <alignment horizontal="left" vertical="center" wrapText="1"/>
    </xf>
    <xf numFmtId="0" fontId="33" fillId="0" borderId="0" xfId="0" applyFont="1" applyFill="1" applyAlignment="1">
      <alignment vertical="center" wrapText="1"/>
    </xf>
    <xf numFmtId="0" fontId="33" fillId="0" borderId="0" xfId="0" applyFont="1" applyFill="1" applyAlignment="1">
      <alignment vertical="center"/>
    </xf>
    <xf numFmtId="167" fontId="8" fillId="0" borderId="0" xfId="0" applyNumberFormat="1" applyFont="1" applyFill="1" applyAlignment="1">
      <alignment horizontal="center" vertical="center"/>
    </xf>
    <xf numFmtId="167" fontId="8" fillId="0" borderId="7" xfId="0" applyNumberFormat="1" applyFont="1" applyFill="1" applyBorder="1" applyAlignment="1">
      <alignment horizontal="right" vertical="center"/>
    </xf>
    <xf numFmtId="0" fontId="6" fillId="0" borderId="7" xfId="0" applyFont="1" applyFill="1" applyBorder="1" applyAlignment="1">
      <alignment vertical="center" wrapText="1"/>
    </xf>
    <xf numFmtId="167" fontId="8" fillId="0" borderId="0" xfId="5" applyNumberFormat="1" applyFont="1" applyFill="1" applyAlignment="1">
      <alignment vertical="center"/>
    </xf>
    <xf numFmtId="0" fontId="8" fillId="0" borderId="0" xfId="5" applyFont="1" applyFill="1" applyAlignment="1">
      <alignment vertical="center"/>
    </xf>
    <xf numFmtId="0" fontId="34" fillId="0" borderId="7" xfId="0" applyFont="1" applyFill="1" applyBorder="1" applyAlignment="1" applyProtection="1">
      <alignment horizontal="left" vertical="center" wrapText="1"/>
      <protection locked="0"/>
    </xf>
    <xf numFmtId="0" fontId="34" fillId="0" borderId="7" xfId="0" applyFont="1" applyFill="1" applyBorder="1" applyAlignment="1" applyProtection="1">
      <alignment vertical="center"/>
      <protection locked="0"/>
    </xf>
    <xf numFmtId="167" fontId="8" fillId="0" borderId="0" xfId="5" applyNumberFormat="1" applyFont="1" applyFill="1" applyAlignment="1">
      <alignment horizontal="center" vertical="center"/>
    </xf>
    <xf numFmtId="167" fontId="8" fillId="0" borderId="0" xfId="0" applyNumberFormat="1" applyFont="1" applyFill="1" applyAlignment="1">
      <alignment horizontal="right" vertical="center"/>
    </xf>
    <xf numFmtId="0" fontId="33" fillId="0" borderId="0" xfId="0" applyFont="1" applyFill="1" applyAlignment="1">
      <alignment horizontal="left" vertical="center"/>
    </xf>
    <xf numFmtId="0" fontId="34" fillId="0" borderId="7" xfId="0" applyFont="1" applyFill="1" applyBorder="1" applyAlignment="1" applyProtection="1">
      <alignment horizontal="left" vertical="center"/>
      <protection locked="0"/>
    </xf>
    <xf numFmtId="0" fontId="18" fillId="0" borderId="7" xfId="0" applyFont="1" applyFill="1" applyBorder="1" applyAlignment="1">
      <alignment vertical="center"/>
    </xf>
    <xf numFmtId="49" fontId="6" fillId="18" borderId="7" xfId="0" applyNumberFormat="1" applyFont="1" applyFill="1" applyBorder="1" applyAlignment="1">
      <alignment horizontal="center" vertical="center"/>
    </xf>
    <xf numFmtId="0" fontId="6" fillId="0" borderId="0" xfId="0" applyFont="1" applyFill="1"/>
    <xf numFmtId="0" fontId="6" fillId="0" borderId="1"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2" xfId="0" applyFont="1" applyBorder="1" applyAlignment="1">
      <alignment horizontal="center" vertical="center"/>
    </xf>
    <xf numFmtId="0" fontId="6" fillId="0" borderId="9" xfId="0" applyFont="1" applyBorder="1" applyAlignment="1">
      <alignment horizontal="center" vertical="center"/>
    </xf>
    <xf numFmtId="0" fontId="6" fillId="0" borderId="12"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1" fillId="4" borderId="14" xfId="0" applyFont="1" applyFill="1" applyBorder="1" applyAlignment="1">
      <alignment horizontal="center"/>
    </xf>
    <xf numFmtId="0" fontId="11" fillId="4" borderId="15" xfId="0" applyFont="1" applyFill="1" applyBorder="1" applyAlignment="1">
      <alignment horizontal="center"/>
    </xf>
    <xf numFmtId="0" fontId="9" fillId="0" borderId="0" xfId="0" applyFont="1" applyAlignment="1">
      <alignment horizontal="center" vertical="center" wrapText="1"/>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22" fillId="9" borderId="7" xfId="0" applyFont="1" applyFill="1" applyBorder="1" applyAlignment="1">
      <alignment horizontal="center" vertical="center"/>
    </xf>
    <xf numFmtId="0" fontId="22" fillId="9" borderId="30" xfId="0" applyFont="1" applyFill="1" applyBorder="1" applyAlignment="1">
      <alignment horizontal="center" vertical="center"/>
    </xf>
    <xf numFmtId="0" fontId="22" fillId="9" borderId="29" xfId="0" applyFont="1" applyFill="1" applyBorder="1" applyAlignment="1">
      <alignment horizontal="center" vertical="center"/>
    </xf>
  </cellXfs>
  <cellStyles count="7">
    <cellStyle name="Monétaire" xfId="1" builtinId="4"/>
    <cellStyle name="Normal" xfId="0" builtinId="0"/>
    <cellStyle name="Normal 3 2" xfId="2"/>
    <cellStyle name="Normal 4" xfId="3"/>
    <cellStyle name="Normal_Matinfo 2 Lot3macV_3" xfId="4"/>
    <cellStyle name="Normal_Matinfo 2 Lot3macV_3 2" xfId="5"/>
    <cellStyle name="Texte explicatif" xfId="6" builtinId="53"/>
  </cellStyles>
  <dxfs count="52">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7"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3389312" cy="893602"/>
    <xdr:pic>
      <xdr:nvPicPr>
        <xdr:cNvPr id="6" name="Image 1" descr="C:\Users\nma\AppData\Local\Microsoft\Windows\INetCache\Content.Outlook\K4E67URS\matinfo-logo.pn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stretch/>
      </xdr:blipFill>
      <xdr:spPr bwMode="auto">
        <a:xfrm>
          <a:off x="0" y="0"/>
          <a:ext cx="3389312" cy="893602"/>
        </a:xfrm>
        <a:prstGeom prst="rect">
          <a:avLst/>
        </a:prstGeom>
        <a:noFill/>
        <a:ln>
          <a:noFill/>
        </a:ln>
      </xdr:spPr>
    </xdr:pic>
    <xdr:clientData/>
  </xdr:oneCellAnchor>
  <xdr:oneCellAnchor>
    <xdr:from>
      <xdr:col>1</xdr:col>
      <xdr:colOff>0</xdr:colOff>
      <xdr:row>0</xdr:row>
      <xdr:rowOff>0</xdr:rowOff>
    </xdr:from>
    <xdr:ext cx="3389312" cy="897411"/>
    <xdr:pic>
      <xdr:nvPicPr>
        <xdr:cNvPr id="7" name="Image 1" descr="C:\Users\nma\AppData\Local\Microsoft\Windows\INetCache\Content.Outlook\K4E67URS\matinfo-logo.png">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a:stretch/>
      </xdr:blipFill>
      <xdr:spPr bwMode="auto">
        <a:xfrm>
          <a:off x="0" y="0"/>
          <a:ext cx="3389312" cy="897412"/>
        </a:xfrm>
        <a:prstGeom prst="rect">
          <a:avLst/>
        </a:prstGeom>
        <a:noFill/>
        <a:ln>
          <a:noFill/>
        </a:ln>
      </xdr:spPr>
    </xdr:pic>
    <xdr:clientData/>
  </xdr:oneCellAnchor>
  <xdr:oneCellAnchor>
    <xdr:from>
      <xdr:col>1</xdr:col>
      <xdr:colOff>0</xdr:colOff>
      <xdr:row>0</xdr:row>
      <xdr:rowOff>0</xdr:rowOff>
    </xdr:from>
    <xdr:ext cx="3389312" cy="893602"/>
    <xdr:pic>
      <xdr:nvPicPr>
        <xdr:cNvPr id="4" name="Image 1" descr="C:\Users\nma\AppData\Local\Microsoft\Windows\INetCache\Content.Outlook\K4E67URS\matinfo-logo.png">
          <a:extLst>
            <a:ext uri="{FF2B5EF4-FFF2-40B4-BE49-F238E27FC236}">
              <a16:creationId xmlns:a16="http://schemas.microsoft.com/office/drawing/2014/main" id="{AE237FF1-5DAF-4D28-8AC7-45886684E96A}"/>
            </a:ext>
          </a:extLst>
        </xdr:cNvPr>
        <xdr:cNvPicPr>
          <a:picLocks noChangeAspect="1" noChangeArrowheads="1"/>
        </xdr:cNvPicPr>
      </xdr:nvPicPr>
      <xdr:blipFill>
        <a:blip xmlns:r="http://schemas.openxmlformats.org/officeDocument/2006/relationships" r:embed="rId1"/>
        <a:stretch/>
      </xdr:blipFill>
      <xdr:spPr bwMode="auto">
        <a:xfrm>
          <a:off x="772583" y="0"/>
          <a:ext cx="3389312" cy="893602"/>
        </a:xfrm>
        <a:prstGeom prst="rect">
          <a:avLst/>
        </a:prstGeom>
        <a:noFill/>
        <a:ln>
          <a:noFill/>
        </a:ln>
      </xdr:spPr>
    </xdr:pic>
    <xdr:clientData/>
  </xdr:oneCellAnchor>
  <xdr:oneCellAnchor>
    <xdr:from>
      <xdr:col>1</xdr:col>
      <xdr:colOff>0</xdr:colOff>
      <xdr:row>0</xdr:row>
      <xdr:rowOff>0</xdr:rowOff>
    </xdr:from>
    <xdr:ext cx="3389312" cy="897411"/>
    <xdr:pic>
      <xdr:nvPicPr>
        <xdr:cNvPr id="5" name="Image 1" descr="C:\Users\nma\AppData\Local\Microsoft\Windows\INetCache\Content.Outlook\K4E67URS\matinfo-logo.png">
          <a:extLst>
            <a:ext uri="{FF2B5EF4-FFF2-40B4-BE49-F238E27FC236}">
              <a16:creationId xmlns:a16="http://schemas.microsoft.com/office/drawing/2014/main" id="{25AF0D13-6821-4772-B43A-5A328ACF0032}"/>
            </a:ext>
          </a:extLst>
        </xdr:cNvPr>
        <xdr:cNvPicPr>
          <a:picLocks noChangeAspect="1" noChangeArrowheads="1"/>
        </xdr:cNvPicPr>
      </xdr:nvPicPr>
      <xdr:blipFill>
        <a:blip xmlns:r="http://schemas.openxmlformats.org/officeDocument/2006/relationships" r:embed="rId1"/>
        <a:stretch/>
      </xdr:blipFill>
      <xdr:spPr bwMode="auto">
        <a:xfrm>
          <a:off x="772583" y="0"/>
          <a:ext cx="3389312" cy="89741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54428</xdr:colOff>
      <xdr:row>0</xdr:row>
      <xdr:rowOff>65315</xdr:rowOff>
    </xdr:from>
    <xdr:ext cx="3397880" cy="897411"/>
    <xdr:pic>
      <xdr:nvPicPr>
        <xdr:cNvPr id="5" name="Image 1" descr="C:\Users\nma\AppData\Local\Microsoft\Windows\INetCache\Content.Outlook\K4E67URS\matinfo-logo.png">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stretch/>
      </xdr:blipFill>
      <xdr:spPr bwMode="auto">
        <a:xfrm>
          <a:off x="1251857" y="65315"/>
          <a:ext cx="3397880" cy="89741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3389312" cy="897411"/>
    <xdr:pic>
      <xdr:nvPicPr>
        <xdr:cNvPr id="4" name="Image 1" descr="C:\Users\nma\AppData\Local\Microsoft\Windows\INetCache\Content.Outlook\K4E67URS\matinfo-logo.png">
          <a:extLst>
            <a:ext uri="{FF2B5EF4-FFF2-40B4-BE49-F238E27FC236}">
              <a16:creationId xmlns:a16="http://schemas.microsoft.com/office/drawing/2014/main" id="{F570BDF7-9838-47FE-AD8E-CA0F2C9F9A90}"/>
            </a:ext>
          </a:extLst>
        </xdr:cNvPr>
        <xdr:cNvPicPr>
          <a:picLocks noChangeAspect="1" noChangeArrowheads="1"/>
        </xdr:cNvPicPr>
      </xdr:nvPicPr>
      <xdr:blipFill>
        <a:blip xmlns:r="http://schemas.openxmlformats.org/officeDocument/2006/relationships" r:embed="rId1"/>
        <a:stretch/>
      </xdr:blipFill>
      <xdr:spPr bwMode="auto">
        <a:xfrm>
          <a:off x="583406" y="0"/>
          <a:ext cx="3389312" cy="897411"/>
        </a:xfrm>
        <a:prstGeom prst="rect">
          <a:avLst/>
        </a:prstGeom>
        <a:noFill/>
        <a:ln>
          <a:noFill/>
        </a:ln>
      </xdr:spPr>
    </xdr:pic>
    <xdr:clientData/>
  </xdr:oneCellAnchor>
  <xdr:oneCellAnchor>
    <xdr:from>
      <xdr:col>1</xdr:col>
      <xdr:colOff>0</xdr:colOff>
      <xdr:row>0</xdr:row>
      <xdr:rowOff>0</xdr:rowOff>
    </xdr:from>
    <xdr:ext cx="3389312" cy="897411"/>
    <xdr:pic>
      <xdr:nvPicPr>
        <xdr:cNvPr id="5" name="Image 1" descr="C:\Users\nma\AppData\Local\Microsoft\Windows\INetCache\Content.Outlook\K4E67URS\matinfo-logo.png">
          <a:extLst>
            <a:ext uri="{FF2B5EF4-FFF2-40B4-BE49-F238E27FC236}">
              <a16:creationId xmlns:a16="http://schemas.microsoft.com/office/drawing/2014/main" id="{1077935D-CEF3-499B-9D58-4B5B9A475EF0}"/>
            </a:ext>
          </a:extLst>
        </xdr:cNvPr>
        <xdr:cNvPicPr>
          <a:picLocks noChangeAspect="1" noChangeArrowheads="1"/>
        </xdr:cNvPicPr>
      </xdr:nvPicPr>
      <xdr:blipFill>
        <a:blip xmlns:r="http://schemas.openxmlformats.org/officeDocument/2006/relationships" r:embed="rId1"/>
        <a:stretch/>
      </xdr:blipFill>
      <xdr:spPr bwMode="auto">
        <a:xfrm>
          <a:off x="583406" y="0"/>
          <a:ext cx="3389312" cy="897411"/>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abSelected="1" zoomScale="90" workbookViewId="0">
      <selection activeCell="A23" sqref="A23:A27"/>
    </sheetView>
  </sheetViews>
  <sheetFormatPr baseColWidth="10" defaultColWidth="8.7109375" defaultRowHeight="15" x14ac:dyDescent="0.25"/>
  <cols>
    <col min="1" max="1" width="17" bestFit="1" customWidth="1"/>
    <col min="2" max="2" width="16.85546875" customWidth="1"/>
    <col min="3" max="3" width="97" bestFit="1" customWidth="1"/>
    <col min="5" max="5" width="12.7109375" bestFit="1" customWidth="1"/>
    <col min="6" max="6" width="39.7109375" bestFit="1" customWidth="1"/>
  </cols>
  <sheetData>
    <row r="1" spans="1:6" ht="15.75" thickBot="1" x14ac:dyDescent="0.3"/>
    <row r="2" spans="1:6" ht="15.75" thickBot="1" x14ac:dyDescent="0.3">
      <c r="A2" s="275" t="s">
        <v>0</v>
      </c>
      <c r="B2" s="276" t="s">
        <v>1</v>
      </c>
      <c r="C2" s="277" t="s">
        <v>2</v>
      </c>
      <c r="E2" s="1" t="s">
        <v>3</v>
      </c>
    </row>
    <row r="3" spans="1:6" x14ac:dyDescent="0.25">
      <c r="A3" s="336">
        <v>20210901</v>
      </c>
      <c r="B3" s="334" t="s">
        <v>4</v>
      </c>
      <c r="C3" s="4" t="s">
        <v>5</v>
      </c>
      <c r="E3" s="3" t="s">
        <v>6</v>
      </c>
      <c r="F3" s="1" t="s">
        <v>7</v>
      </c>
    </row>
    <row r="4" spans="1:6" x14ac:dyDescent="0.25">
      <c r="A4" s="336"/>
      <c r="B4" s="334"/>
      <c r="C4" s="4" t="s">
        <v>8</v>
      </c>
      <c r="E4" s="5" t="s">
        <v>6</v>
      </c>
      <c r="F4" t="s">
        <v>9</v>
      </c>
    </row>
    <row r="5" spans="1:6" x14ac:dyDescent="0.25">
      <c r="A5" s="336"/>
      <c r="B5" s="334"/>
      <c r="C5" s="4" t="s">
        <v>10</v>
      </c>
    </row>
    <row r="6" spans="1:6" x14ac:dyDescent="0.25">
      <c r="A6" s="336"/>
      <c r="B6" s="334"/>
      <c r="C6" s="4" t="s">
        <v>11</v>
      </c>
    </row>
    <row r="7" spans="1:6" x14ac:dyDescent="0.25">
      <c r="A7" s="337"/>
      <c r="B7" s="335"/>
      <c r="C7" s="6" t="s">
        <v>12</v>
      </c>
    </row>
    <row r="8" spans="1:6" x14ac:dyDescent="0.25">
      <c r="A8" s="338">
        <v>20211116</v>
      </c>
      <c r="B8" s="339" t="s">
        <v>13</v>
      </c>
      <c r="C8" s="2" t="s">
        <v>14</v>
      </c>
    </row>
    <row r="9" spans="1:6" x14ac:dyDescent="0.25">
      <c r="A9" s="336"/>
      <c r="B9" s="334"/>
      <c r="C9" s="4" t="s">
        <v>15</v>
      </c>
    </row>
    <row r="10" spans="1:6" x14ac:dyDescent="0.25">
      <c r="A10" s="336"/>
      <c r="B10" s="334"/>
      <c r="C10" s="4" t="s">
        <v>11</v>
      </c>
    </row>
    <row r="11" spans="1:6" x14ac:dyDescent="0.25">
      <c r="A11" s="336"/>
      <c r="B11" s="334"/>
      <c r="C11" s="4" t="s">
        <v>12</v>
      </c>
    </row>
    <row r="12" spans="1:6" ht="15.75" thickBot="1" x14ac:dyDescent="0.3">
      <c r="A12" s="337"/>
      <c r="B12" s="335"/>
      <c r="C12" s="6" t="s">
        <v>16</v>
      </c>
    </row>
    <row r="13" spans="1:6" x14ac:dyDescent="0.25">
      <c r="A13" s="330">
        <v>20220323</v>
      </c>
      <c r="B13" s="333" t="s">
        <v>17</v>
      </c>
      <c r="C13" s="274" t="s">
        <v>1912</v>
      </c>
    </row>
    <row r="14" spans="1:6" x14ac:dyDescent="0.25">
      <c r="A14" s="331"/>
      <c r="B14" s="334"/>
      <c r="C14" s="4" t="s">
        <v>18</v>
      </c>
    </row>
    <row r="15" spans="1:6" ht="39" x14ac:dyDescent="0.25">
      <c r="A15" s="331"/>
      <c r="B15" s="334"/>
      <c r="C15" s="7" t="s">
        <v>1911</v>
      </c>
    </row>
    <row r="16" spans="1:6" x14ac:dyDescent="0.25">
      <c r="A16" s="331"/>
      <c r="B16" s="334"/>
      <c r="C16" s="4" t="s">
        <v>19</v>
      </c>
    </row>
    <row r="17" spans="1:3" x14ac:dyDescent="0.25">
      <c r="A17" s="331"/>
      <c r="B17" s="334"/>
      <c r="C17" s="4" t="s">
        <v>20</v>
      </c>
    </row>
    <row r="18" spans="1:3" x14ac:dyDescent="0.25">
      <c r="A18" s="331"/>
      <c r="B18" s="334"/>
      <c r="C18" s="4" t="s">
        <v>21</v>
      </c>
    </row>
    <row r="19" spans="1:3" ht="26.25" x14ac:dyDescent="0.25">
      <c r="A19" s="331"/>
      <c r="B19" s="334"/>
      <c r="C19" s="7" t="s">
        <v>22</v>
      </c>
    </row>
    <row r="20" spans="1:3" x14ac:dyDescent="0.25">
      <c r="A20" s="331"/>
      <c r="B20" s="334"/>
      <c r="C20" s="4" t="s">
        <v>11</v>
      </c>
    </row>
    <row r="21" spans="1:3" s="56" customFormat="1" x14ac:dyDescent="0.25">
      <c r="A21" s="331"/>
      <c r="B21" s="334"/>
      <c r="C21" s="4" t="s">
        <v>12</v>
      </c>
    </row>
    <row r="22" spans="1:3" s="56" customFormat="1" ht="15.75" thickBot="1" x14ac:dyDescent="0.3">
      <c r="A22" s="332"/>
      <c r="B22" s="335"/>
      <c r="C22" s="6" t="s">
        <v>1913</v>
      </c>
    </row>
    <row r="23" spans="1:3" x14ac:dyDescent="0.25">
      <c r="A23" s="330">
        <v>20220519</v>
      </c>
      <c r="B23" s="333" t="s">
        <v>1922</v>
      </c>
      <c r="C23" s="302" t="s">
        <v>1933</v>
      </c>
    </row>
    <row r="24" spans="1:3" x14ac:dyDescent="0.25">
      <c r="A24" s="331"/>
      <c r="B24" s="334"/>
      <c r="C24" s="303" t="s">
        <v>1934</v>
      </c>
    </row>
    <row r="25" spans="1:3" x14ac:dyDescent="0.25">
      <c r="A25" s="331"/>
      <c r="B25" s="334"/>
      <c r="C25" s="303" t="s">
        <v>1935</v>
      </c>
    </row>
    <row r="26" spans="1:3" x14ac:dyDescent="0.25">
      <c r="A26" s="331"/>
      <c r="B26" s="334"/>
      <c r="C26" s="303" t="s">
        <v>1924</v>
      </c>
    </row>
    <row r="27" spans="1:3" ht="15.75" thickBot="1" x14ac:dyDescent="0.3">
      <c r="A27" s="332"/>
      <c r="B27" s="335"/>
      <c r="C27" s="304" t="s">
        <v>1925</v>
      </c>
    </row>
    <row r="28" spans="1:3" x14ac:dyDescent="0.25">
      <c r="A28" s="1"/>
      <c r="B28" s="1"/>
      <c r="C28" s="1"/>
    </row>
    <row r="29" spans="1:3" x14ac:dyDescent="0.25">
      <c r="A29" s="1"/>
      <c r="B29" s="1"/>
      <c r="C29" s="1"/>
    </row>
    <row r="30" spans="1:3" x14ac:dyDescent="0.25">
      <c r="A30" s="1"/>
      <c r="B30" s="1"/>
      <c r="C30" s="1"/>
    </row>
    <row r="31" spans="1:3" x14ac:dyDescent="0.25">
      <c r="A31" s="1"/>
      <c r="B31" s="1"/>
      <c r="C31" s="1"/>
    </row>
    <row r="32" spans="1:3" x14ac:dyDescent="0.25">
      <c r="A32" s="1"/>
      <c r="B32" s="1"/>
      <c r="C32" s="1"/>
    </row>
  </sheetData>
  <mergeCells count="8">
    <mergeCell ref="A23:A27"/>
    <mergeCell ref="B23:B27"/>
    <mergeCell ref="A3:A7"/>
    <mergeCell ref="B3:B7"/>
    <mergeCell ref="A8:A12"/>
    <mergeCell ref="B8:B12"/>
    <mergeCell ref="A13:A22"/>
    <mergeCell ref="B13:B22"/>
  </mergeCells>
  <pageMargins left="0.7" right="0.7" top="0.75" bottom="0.75" header="0.3" footer="0.3"/>
  <pageSetup paperSize="9" orientation="portrait" r:id="rId1"/>
  <headerFooter>
    <oddFooter>&amp;L&amp;1#&amp;"Calibri"&amp;7&amp;K7F7F7FInternal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2"/>
  <sheetViews>
    <sheetView zoomScale="80" zoomScaleNormal="80" workbookViewId="0">
      <selection activeCell="B6" sqref="B6"/>
    </sheetView>
  </sheetViews>
  <sheetFormatPr baseColWidth="10" defaultColWidth="11.5703125" defaultRowHeight="12.75" x14ac:dyDescent="0.2"/>
  <cols>
    <col min="1" max="1" width="12.140625" style="8" bestFit="1" customWidth="1"/>
    <col min="2" max="2" width="146" style="9" customWidth="1"/>
    <col min="3" max="3" width="17.85546875" style="10" bestFit="1" customWidth="1"/>
    <col min="4" max="4" width="11" style="11" bestFit="1" customWidth="1"/>
    <col min="5" max="5" width="17" style="12" bestFit="1" customWidth="1"/>
    <col min="6" max="6" width="11.5703125" style="8"/>
    <col min="7" max="7" width="61.7109375" style="8" customWidth="1"/>
    <col min="8" max="16384" width="11.5703125" style="8"/>
  </cols>
  <sheetData>
    <row r="1" spans="1:5" s="190" customFormat="1" ht="79.5" customHeight="1" x14ac:dyDescent="0.2">
      <c r="A1" s="310"/>
      <c r="B1" s="189"/>
      <c r="C1" s="188"/>
      <c r="D1" s="184"/>
      <c r="E1" s="311"/>
    </row>
    <row r="2" spans="1:5" ht="21" x14ac:dyDescent="0.2">
      <c r="B2" s="342" t="s">
        <v>23</v>
      </c>
      <c r="C2" s="342"/>
      <c r="D2" s="342"/>
      <c r="E2" s="13"/>
    </row>
    <row r="3" spans="1:5" s="14" customFormat="1" ht="13.5" thickBot="1" x14ac:dyDescent="0.3">
      <c r="B3" s="9"/>
      <c r="C3" s="9"/>
      <c r="D3" s="11"/>
      <c r="E3" s="12"/>
    </row>
    <row r="4" spans="1:5" s="15" customFormat="1" ht="21.75" thickBot="1" x14ac:dyDescent="0.3">
      <c r="B4" s="343" t="s">
        <v>24</v>
      </c>
      <c r="C4" s="344"/>
      <c r="D4" s="344"/>
      <c r="E4" s="16"/>
    </row>
    <row r="5" spans="1:5" s="14" customFormat="1" ht="52.5" customHeight="1" thickBot="1" x14ac:dyDescent="0.3">
      <c r="B5" s="17" t="s">
        <v>25</v>
      </c>
      <c r="C5" s="18" t="s">
        <v>26</v>
      </c>
      <c r="D5" s="19" t="s">
        <v>27</v>
      </c>
      <c r="E5" s="19" t="s">
        <v>1908</v>
      </c>
    </row>
    <row r="6" spans="1:5" s="14" customFormat="1" ht="127.5" x14ac:dyDescent="0.25">
      <c r="B6" s="278" t="s">
        <v>1937</v>
      </c>
      <c r="C6" s="202" t="s">
        <v>29</v>
      </c>
      <c r="D6" s="203" t="s">
        <v>30</v>
      </c>
      <c r="E6" s="204">
        <v>465</v>
      </c>
    </row>
    <row r="7" spans="1:5" s="14" customFormat="1" ht="127.5" x14ac:dyDescent="0.25">
      <c r="B7" s="278" t="s">
        <v>1938</v>
      </c>
      <c r="C7" s="205" t="s">
        <v>31</v>
      </c>
      <c r="D7" s="206" t="s">
        <v>32</v>
      </c>
      <c r="E7" s="204">
        <v>442</v>
      </c>
    </row>
    <row r="8" spans="1:5" s="14" customFormat="1" ht="127.5" x14ac:dyDescent="0.25">
      <c r="B8" s="207" t="s">
        <v>1939</v>
      </c>
      <c r="C8" s="208" t="s">
        <v>33</v>
      </c>
      <c r="D8" s="203" t="s">
        <v>34</v>
      </c>
      <c r="E8" s="204">
        <v>409</v>
      </c>
    </row>
    <row r="9" spans="1:5" ht="170.25" customHeight="1" x14ac:dyDescent="0.2">
      <c r="B9" s="312" t="s">
        <v>1929</v>
      </c>
      <c r="C9" s="205" t="s">
        <v>1930</v>
      </c>
      <c r="D9" s="206" t="s">
        <v>35</v>
      </c>
      <c r="E9" s="204">
        <v>669</v>
      </c>
    </row>
    <row r="10" spans="1:5" ht="153" x14ac:dyDescent="0.2">
      <c r="B10" s="312" t="s">
        <v>1931</v>
      </c>
      <c r="C10" s="205" t="s">
        <v>1932</v>
      </c>
      <c r="D10" s="206" t="s">
        <v>36</v>
      </c>
      <c r="E10" s="204">
        <v>1315</v>
      </c>
    </row>
    <row r="11" spans="1:5" s="20" customFormat="1" ht="165.75" x14ac:dyDescent="0.2">
      <c r="A11" s="21"/>
      <c r="B11" s="209" t="s">
        <v>1936</v>
      </c>
      <c r="C11" s="205" t="s">
        <v>37</v>
      </c>
      <c r="D11" s="206" t="s">
        <v>38</v>
      </c>
      <c r="E11" s="204">
        <v>1197</v>
      </c>
    </row>
    <row r="12" spans="1:5" s="14" customFormat="1" ht="13.5" collapsed="1" thickBot="1" x14ac:dyDescent="0.25">
      <c r="A12" s="21"/>
      <c r="B12" s="9"/>
      <c r="C12" s="10"/>
      <c r="D12" s="11"/>
      <c r="E12" s="12"/>
    </row>
    <row r="13" spans="1:5" s="14" customFormat="1" ht="21.75" thickBot="1" x14ac:dyDescent="0.4">
      <c r="A13" s="21"/>
      <c r="B13" s="340" t="s">
        <v>39</v>
      </c>
      <c r="C13" s="341"/>
      <c r="D13" s="341"/>
      <c r="E13" s="22"/>
    </row>
    <row r="14" spans="1:5" s="14" customFormat="1" ht="47.25" customHeight="1" thickBot="1" x14ac:dyDescent="0.25">
      <c r="A14" s="21"/>
      <c r="B14" s="17" t="s">
        <v>25</v>
      </c>
      <c r="C14" s="18" t="s">
        <v>26</v>
      </c>
      <c r="D14" s="19" t="s">
        <v>27</v>
      </c>
      <c r="E14" s="19" t="s">
        <v>28</v>
      </c>
    </row>
    <row r="15" spans="1:5" collapsed="1" x14ac:dyDescent="0.2">
      <c r="A15" s="21"/>
      <c r="B15" s="23" t="s">
        <v>40</v>
      </c>
      <c r="C15" s="24"/>
      <c r="D15" s="25"/>
      <c r="E15" s="26"/>
    </row>
    <row r="16" spans="1:5" x14ac:dyDescent="0.2">
      <c r="A16" s="21"/>
      <c r="B16" s="27" t="s">
        <v>41</v>
      </c>
      <c r="C16" s="28"/>
    </row>
    <row r="17" spans="1:5" x14ac:dyDescent="0.2">
      <c r="A17" s="21"/>
      <c r="B17" s="29" t="s">
        <v>42</v>
      </c>
      <c r="C17" s="29"/>
      <c r="D17" s="211" t="s">
        <v>43</v>
      </c>
      <c r="E17" s="31">
        <v>27</v>
      </c>
    </row>
    <row r="18" spans="1:5" x14ac:dyDescent="0.2">
      <c r="A18" s="21"/>
      <c r="B18" s="29" t="s">
        <v>44</v>
      </c>
      <c r="C18" s="29"/>
      <c r="D18" s="211" t="s">
        <v>45</v>
      </c>
      <c r="E18" s="32">
        <v>124</v>
      </c>
    </row>
    <row r="19" spans="1:5" x14ac:dyDescent="0.2">
      <c r="A19" s="21"/>
      <c r="B19" s="29" t="s">
        <v>46</v>
      </c>
      <c r="C19" s="29"/>
      <c r="D19" s="211" t="s">
        <v>47</v>
      </c>
      <c r="E19" s="32">
        <v>269</v>
      </c>
    </row>
    <row r="20" spans="1:5" x14ac:dyDescent="0.2">
      <c r="A20" s="21"/>
      <c r="B20" s="29" t="s">
        <v>48</v>
      </c>
      <c r="C20" s="29"/>
      <c r="D20" s="211" t="s">
        <v>49</v>
      </c>
      <c r="E20" s="32">
        <v>113</v>
      </c>
    </row>
    <row r="21" spans="1:5" x14ac:dyDescent="0.2">
      <c r="A21" s="21"/>
      <c r="B21" s="29" t="s">
        <v>50</v>
      </c>
      <c r="C21" s="29"/>
      <c r="D21" s="211" t="s">
        <v>51</v>
      </c>
      <c r="E21" s="32">
        <v>239</v>
      </c>
    </row>
    <row r="22" spans="1:5" x14ac:dyDescent="0.2">
      <c r="A22" s="21"/>
      <c r="B22" s="29" t="s">
        <v>52</v>
      </c>
      <c r="C22" s="29"/>
      <c r="D22" s="211" t="s">
        <v>53</v>
      </c>
      <c r="E22" s="32">
        <v>443</v>
      </c>
    </row>
    <row r="23" spans="1:5" x14ac:dyDescent="0.2">
      <c r="A23" s="21"/>
      <c r="B23" s="33"/>
      <c r="C23" s="33"/>
      <c r="D23" s="33"/>
      <c r="E23" s="33"/>
    </row>
    <row r="24" spans="1:5" x14ac:dyDescent="0.2">
      <c r="A24" s="21"/>
      <c r="B24" s="35" t="s">
        <v>54</v>
      </c>
      <c r="C24" s="28"/>
      <c r="D24" s="28"/>
      <c r="E24" s="28"/>
    </row>
    <row r="25" spans="1:5" x14ac:dyDescent="0.2">
      <c r="A25" s="21"/>
      <c r="B25" s="29" t="s">
        <v>55</v>
      </c>
      <c r="C25" s="38"/>
      <c r="D25" s="30" t="s">
        <v>56</v>
      </c>
      <c r="E25" s="31">
        <v>91</v>
      </c>
    </row>
    <row r="26" spans="1:5" x14ac:dyDescent="0.2">
      <c r="A26" s="21"/>
      <c r="B26" s="29" t="s">
        <v>57</v>
      </c>
      <c r="C26" s="38"/>
      <c r="D26" s="30" t="s">
        <v>58</v>
      </c>
      <c r="E26" s="210">
        <v>309</v>
      </c>
    </row>
    <row r="27" spans="1:5" x14ac:dyDescent="0.2">
      <c r="A27" s="21"/>
      <c r="B27" s="35" t="s">
        <v>59</v>
      </c>
      <c r="C27" s="39"/>
      <c r="D27" s="40"/>
      <c r="E27" s="33"/>
    </row>
    <row r="28" spans="1:5" x14ac:dyDescent="0.2">
      <c r="A28" s="21"/>
      <c r="B28" s="29" t="s">
        <v>60</v>
      </c>
      <c r="C28" s="38"/>
      <c r="D28" s="41" t="s">
        <v>61</v>
      </c>
      <c r="E28" s="210">
        <v>17</v>
      </c>
    </row>
    <row r="29" spans="1:5" x14ac:dyDescent="0.2">
      <c r="A29" s="21"/>
      <c r="B29" s="29" t="s">
        <v>62</v>
      </c>
      <c r="C29" s="38"/>
      <c r="D29" s="41" t="s">
        <v>63</v>
      </c>
      <c r="E29" s="32">
        <v>135</v>
      </c>
    </row>
    <row r="30" spans="1:5" x14ac:dyDescent="0.2">
      <c r="A30" s="21"/>
      <c r="B30" s="29" t="s">
        <v>64</v>
      </c>
      <c r="C30" s="38"/>
      <c r="D30" s="41" t="s">
        <v>65</v>
      </c>
      <c r="E30" s="32">
        <v>425</v>
      </c>
    </row>
    <row r="31" spans="1:5" x14ac:dyDescent="0.2">
      <c r="A31" s="21"/>
      <c r="B31" s="10"/>
      <c r="C31" s="42"/>
      <c r="E31" s="33"/>
    </row>
    <row r="32" spans="1:5" x14ac:dyDescent="0.2">
      <c r="A32" s="21"/>
      <c r="B32" s="35" t="s">
        <v>66</v>
      </c>
      <c r="C32" s="28"/>
      <c r="D32" s="36"/>
      <c r="E32" s="28"/>
    </row>
    <row r="33" spans="1:5" x14ac:dyDescent="0.2">
      <c r="A33" s="21"/>
      <c r="B33" s="29" t="s">
        <v>67</v>
      </c>
      <c r="C33" s="29"/>
      <c r="D33" s="30" t="s">
        <v>68</v>
      </c>
      <c r="E33" s="31">
        <v>54</v>
      </c>
    </row>
    <row r="34" spans="1:5" x14ac:dyDescent="0.2">
      <c r="A34" s="21"/>
      <c r="B34" s="29" t="s">
        <v>69</v>
      </c>
      <c r="C34" s="29"/>
      <c r="D34" s="30" t="s">
        <v>70</v>
      </c>
      <c r="E34" s="32">
        <v>124</v>
      </c>
    </row>
    <row r="35" spans="1:5" x14ac:dyDescent="0.2">
      <c r="A35" s="21"/>
      <c r="B35" s="29" t="s">
        <v>71</v>
      </c>
      <c r="C35" s="29"/>
      <c r="D35" s="30" t="s">
        <v>72</v>
      </c>
      <c r="E35" s="32">
        <v>355</v>
      </c>
    </row>
    <row r="36" spans="1:5" x14ac:dyDescent="0.2">
      <c r="A36" s="21"/>
      <c r="B36" s="10"/>
      <c r="E36" s="33"/>
    </row>
    <row r="37" spans="1:5" x14ac:dyDescent="0.2">
      <c r="A37" s="21"/>
      <c r="B37" s="35" t="s">
        <v>73</v>
      </c>
      <c r="C37" s="28"/>
      <c r="D37" s="36"/>
      <c r="E37" s="28"/>
    </row>
    <row r="38" spans="1:5" x14ac:dyDescent="0.2">
      <c r="A38" s="21"/>
      <c r="B38" s="29" t="s">
        <v>74</v>
      </c>
      <c r="C38" s="29"/>
      <c r="D38" s="30" t="s">
        <v>75</v>
      </c>
      <c r="E38" s="31">
        <v>70</v>
      </c>
    </row>
    <row r="39" spans="1:5" x14ac:dyDescent="0.2">
      <c r="A39" s="21"/>
      <c r="B39" s="29" t="s">
        <v>67</v>
      </c>
      <c r="C39" s="29"/>
      <c r="D39" s="30" t="s">
        <v>76</v>
      </c>
      <c r="E39" s="32">
        <v>124</v>
      </c>
    </row>
    <row r="40" spans="1:5" x14ac:dyDescent="0.2">
      <c r="A40" s="21"/>
      <c r="B40" s="29" t="s">
        <v>69</v>
      </c>
      <c r="C40" s="29"/>
      <c r="D40" s="30" t="s">
        <v>77</v>
      </c>
      <c r="E40" s="32">
        <v>194</v>
      </c>
    </row>
    <row r="41" spans="1:5" x14ac:dyDescent="0.2">
      <c r="A41" s="21"/>
      <c r="B41" s="29" t="s">
        <v>71</v>
      </c>
      <c r="C41" s="29"/>
      <c r="D41" s="30" t="s">
        <v>78</v>
      </c>
      <c r="E41" s="32">
        <v>425</v>
      </c>
    </row>
    <row r="42" spans="1:5" s="14" customFormat="1" x14ac:dyDescent="0.2">
      <c r="A42" s="21"/>
      <c r="B42" s="10"/>
      <c r="C42" s="10"/>
      <c r="D42" s="11"/>
      <c r="E42" s="33"/>
    </row>
    <row r="43" spans="1:5" s="14" customFormat="1" x14ac:dyDescent="0.2">
      <c r="A43" s="21"/>
      <c r="B43" s="35" t="s">
        <v>79</v>
      </c>
      <c r="C43" s="28"/>
      <c r="D43" s="36"/>
      <c r="E43" s="28"/>
    </row>
    <row r="44" spans="1:5" s="14" customFormat="1" x14ac:dyDescent="0.2">
      <c r="A44" s="21"/>
      <c r="B44" s="29" t="s">
        <v>80</v>
      </c>
      <c r="C44" s="29"/>
      <c r="D44" s="30" t="s">
        <v>81</v>
      </c>
      <c r="E44" s="31">
        <v>5</v>
      </c>
    </row>
    <row r="45" spans="1:5" s="14" customFormat="1" x14ac:dyDescent="0.2">
      <c r="A45" s="21"/>
      <c r="B45" s="29" t="s">
        <v>82</v>
      </c>
      <c r="C45" s="29"/>
      <c r="D45" s="30" t="s">
        <v>83</v>
      </c>
      <c r="E45" s="32">
        <v>5</v>
      </c>
    </row>
    <row r="46" spans="1:5" s="14" customFormat="1" x14ac:dyDescent="0.2">
      <c r="A46" s="21"/>
      <c r="B46" s="43"/>
      <c r="C46" s="44"/>
      <c r="D46" s="45"/>
      <c r="E46" s="33"/>
    </row>
    <row r="47" spans="1:5" s="14" customFormat="1" x14ac:dyDescent="0.2">
      <c r="A47" s="21"/>
      <c r="B47" s="46" t="s">
        <v>84</v>
      </c>
      <c r="C47" s="28"/>
      <c r="D47" s="36"/>
      <c r="E47" s="28"/>
    </row>
    <row r="48" spans="1:5" x14ac:dyDescent="0.2">
      <c r="A48" s="21"/>
      <c r="B48" s="191" t="s">
        <v>86</v>
      </c>
      <c r="C48" s="29"/>
      <c r="D48" s="30" t="s">
        <v>85</v>
      </c>
      <c r="E48" s="32">
        <v>43</v>
      </c>
    </row>
    <row r="49" spans="1:5" x14ac:dyDescent="0.2">
      <c r="A49" s="21"/>
      <c r="B49" s="191" t="s">
        <v>88</v>
      </c>
      <c r="C49" s="29"/>
      <c r="D49" s="30" t="s">
        <v>87</v>
      </c>
      <c r="E49" s="32">
        <v>156</v>
      </c>
    </row>
    <row r="50" spans="1:5" s="14" customFormat="1" x14ac:dyDescent="0.2">
      <c r="A50" s="21"/>
      <c r="B50" s="29" t="s">
        <v>89</v>
      </c>
      <c r="C50" s="29"/>
      <c r="D50" s="30" t="s">
        <v>90</v>
      </c>
      <c r="E50" s="32">
        <v>560</v>
      </c>
    </row>
    <row r="51" spans="1:5" x14ac:dyDescent="0.2">
      <c r="A51" s="21"/>
      <c r="B51" s="10"/>
      <c r="E51" s="33"/>
    </row>
    <row r="52" spans="1:5" s="47" customFormat="1" ht="15" x14ac:dyDescent="0.2">
      <c r="A52" s="21"/>
      <c r="B52" s="35" t="s">
        <v>91</v>
      </c>
      <c r="C52" s="48"/>
      <c r="D52" s="49"/>
      <c r="E52" s="28"/>
    </row>
    <row r="53" spans="1:5" s="47" customFormat="1" x14ac:dyDescent="0.2">
      <c r="A53" s="21"/>
      <c r="B53" s="50" t="s">
        <v>92</v>
      </c>
      <c r="C53" s="29"/>
      <c r="D53" s="30" t="s">
        <v>93</v>
      </c>
      <c r="E53" s="31">
        <v>8</v>
      </c>
    </row>
    <row r="54" spans="1:5" s="47" customFormat="1" x14ac:dyDescent="0.2">
      <c r="A54" s="21"/>
      <c r="B54" s="50" t="s">
        <v>94</v>
      </c>
      <c r="C54" s="29"/>
      <c r="D54" s="30" t="s">
        <v>95</v>
      </c>
      <c r="E54" s="32">
        <v>8</v>
      </c>
    </row>
    <row r="55" spans="1:5" s="47" customFormat="1" x14ac:dyDescent="0.2">
      <c r="A55" s="21"/>
      <c r="B55" s="50" t="s">
        <v>96</v>
      </c>
      <c r="C55" s="29"/>
      <c r="D55" s="30" t="s">
        <v>97</v>
      </c>
      <c r="E55" s="32">
        <v>8</v>
      </c>
    </row>
    <row r="56" spans="1:5" s="47" customFormat="1" x14ac:dyDescent="0.2">
      <c r="A56" s="21"/>
      <c r="B56" s="43"/>
      <c r="C56" s="51"/>
      <c r="D56" s="52"/>
      <c r="E56" s="33"/>
    </row>
    <row r="57" spans="1:5" x14ac:dyDescent="0.2">
      <c r="A57" s="21"/>
      <c r="B57" s="35" t="s">
        <v>98</v>
      </c>
      <c r="C57" s="28"/>
      <c r="D57" s="53"/>
      <c r="E57" s="28"/>
    </row>
    <row r="58" spans="1:5" x14ac:dyDescent="0.2">
      <c r="A58" s="21"/>
      <c r="B58" s="29" t="s">
        <v>99</v>
      </c>
      <c r="C58" s="29"/>
      <c r="D58" s="30" t="s">
        <v>100</v>
      </c>
      <c r="E58" s="31">
        <v>38</v>
      </c>
    </row>
    <row r="59" spans="1:5" x14ac:dyDescent="0.2">
      <c r="A59" s="21"/>
      <c r="B59" s="43"/>
      <c r="E59" s="33"/>
    </row>
    <row r="60" spans="1:5" customFormat="1" ht="16.899999999999999" customHeight="1" x14ac:dyDescent="0.25">
      <c r="A60" s="21"/>
      <c r="B60" s="35" t="s">
        <v>101</v>
      </c>
      <c r="C60" s="28"/>
      <c r="D60" s="54"/>
      <c r="E60" s="28"/>
    </row>
    <row r="61" spans="1:5" s="56" customFormat="1" ht="15" x14ac:dyDescent="0.25">
      <c r="A61" s="21"/>
      <c r="B61" s="50" t="s">
        <v>102</v>
      </c>
      <c r="C61" s="57"/>
      <c r="D61" s="30" t="s">
        <v>103</v>
      </c>
      <c r="E61" s="31">
        <v>7</v>
      </c>
    </row>
    <row r="62" spans="1:5" s="56" customFormat="1" ht="15" x14ac:dyDescent="0.25">
      <c r="A62" s="21"/>
      <c r="B62" s="50" t="s">
        <v>104</v>
      </c>
      <c r="C62" s="57"/>
      <c r="D62" s="30" t="s">
        <v>105</v>
      </c>
      <c r="E62" s="32">
        <v>15</v>
      </c>
    </row>
    <row r="63" spans="1:5" s="14" customFormat="1" x14ac:dyDescent="0.2">
      <c r="A63" s="21"/>
      <c r="B63" s="10"/>
      <c r="C63" s="10"/>
      <c r="D63" s="11"/>
      <c r="E63" s="33"/>
    </row>
    <row r="64" spans="1:5" x14ac:dyDescent="0.2">
      <c r="A64" s="21"/>
      <c r="B64" s="35" t="s">
        <v>106</v>
      </c>
      <c r="C64" s="28"/>
      <c r="D64" s="36"/>
      <c r="E64" s="28"/>
    </row>
    <row r="65" spans="1:5" x14ac:dyDescent="0.2">
      <c r="A65" s="21"/>
      <c r="B65" s="50" t="s">
        <v>107</v>
      </c>
      <c r="C65" s="57"/>
      <c r="D65" s="30" t="s">
        <v>108</v>
      </c>
      <c r="E65" s="31">
        <v>0</v>
      </c>
    </row>
    <row r="66" spans="1:5" x14ac:dyDescent="0.2">
      <c r="A66" s="21"/>
      <c r="B66" s="10"/>
      <c r="E66" s="33"/>
    </row>
    <row r="67" spans="1:5" x14ac:dyDescent="0.2">
      <c r="A67" s="21"/>
      <c r="B67" s="35" t="s">
        <v>109</v>
      </c>
      <c r="C67" s="28"/>
      <c r="E67" s="28"/>
    </row>
    <row r="68" spans="1:5" x14ac:dyDescent="0.2">
      <c r="A68" s="21"/>
      <c r="B68" s="29" t="s">
        <v>110</v>
      </c>
      <c r="C68" s="29" t="s">
        <v>111</v>
      </c>
      <c r="D68" s="59" t="s">
        <v>112</v>
      </c>
      <c r="E68" s="31">
        <v>27</v>
      </c>
    </row>
    <row r="69" spans="1:5" x14ac:dyDescent="0.2">
      <c r="A69" s="21"/>
      <c r="B69" s="29" t="s">
        <v>113</v>
      </c>
      <c r="C69" s="29" t="s">
        <v>114</v>
      </c>
      <c r="D69" s="59" t="s">
        <v>115</v>
      </c>
      <c r="E69" s="32">
        <v>17</v>
      </c>
    </row>
    <row r="70" spans="1:5" x14ac:dyDescent="0.2">
      <c r="A70" s="21"/>
      <c r="B70" s="29" t="s">
        <v>116</v>
      </c>
      <c r="C70" s="29" t="s">
        <v>117</v>
      </c>
      <c r="D70" s="59" t="s">
        <v>118</v>
      </c>
      <c r="E70" s="32">
        <v>23</v>
      </c>
    </row>
    <row r="71" spans="1:5" x14ac:dyDescent="0.2">
      <c r="A71" s="21"/>
      <c r="B71" s="29" t="s">
        <v>119</v>
      </c>
      <c r="C71" s="29" t="s">
        <v>120</v>
      </c>
      <c r="D71" s="59" t="s">
        <v>121</v>
      </c>
      <c r="E71" s="32">
        <v>11</v>
      </c>
    </row>
    <row r="72" spans="1:5" x14ac:dyDescent="0.2">
      <c r="A72" s="21"/>
      <c r="B72" s="29" t="s">
        <v>122</v>
      </c>
      <c r="C72" s="29" t="s">
        <v>123</v>
      </c>
      <c r="D72" s="59" t="s">
        <v>124</v>
      </c>
      <c r="E72" s="32">
        <v>18</v>
      </c>
    </row>
    <row r="73" spans="1:5" x14ac:dyDescent="0.2">
      <c r="A73" s="21"/>
      <c r="B73" s="29" t="s">
        <v>125</v>
      </c>
      <c r="C73" s="29" t="s">
        <v>126</v>
      </c>
      <c r="D73" s="59" t="s">
        <v>127</v>
      </c>
      <c r="E73" s="32">
        <v>11</v>
      </c>
    </row>
    <row r="74" spans="1:5" x14ac:dyDescent="0.2">
      <c r="A74" s="21"/>
      <c r="B74" s="10"/>
      <c r="E74" s="33"/>
    </row>
    <row r="75" spans="1:5" x14ac:dyDescent="0.2">
      <c r="A75" s="21"/>
      <c r="B75" s="35" t="s">
        <v>128</v>
      </c>
      <c r="E75" s="28"/>
    </row>
    <row r="76" spans="1:5" x14ac:dyDescent="0.2">
      <c r="A76" s="21"/>
      <c r="B76" s="29" t="s">
        <v>129</v>
      </c>
      <c r="C76" s="29"/>
      <c r="D76" s="59" t="s">
        <v>130</v>
      </c>
      <c r="E76" s="58">
        <v>10</v>
      </c>
    </row>
    <row r="77" spans="1:5" x14ac:dyDescent="0.2">
      <c r="A77" s="21"/>
      <c r="B77" s="29" t="s">
        <v>131</v>
      </c>
      <c r="C77" s="29"/>
      <c r="D77" s="59" t="s">
        <v>132</v>
      </c>
      <c r="E77" s="58">
        <v>20</v>
      </c>
    </row>
    <row r="78" spans="1:5" x14ac:dyDescent="0.2">
      <c r="A78" s="21"/>
      <c r="B78" s="60" t="s">
        <v>134</v>
      </c>
      <c r="C78" s="60"/>
      <c r="D78" s="61" t="s">
        <v>133</v>
      </c>
      <c r="E78" s="62">
        <v>50</v>
      </c>
    </row>
    <row r="79" spans="1:5" x14ac:dyDescent="0.2">
      <c r="A79" s="21"/>
      <c r="B79" s="60" t="s">
        <v>136</v>
      </c>
      <c r="C79" s="60"/>
      <c r="D79" s="61" t="s">
        <v>135</v>
      </c>
      <c r="E79" s="62">
        <v>80</v>
      </c>
    </row>
    <row r="80" spans="1:5" x14ac:dyDescent="0.2">
      <c r="A80" s="21"/>
      <c r="B80" s="35"/>
    </row>
    <row r="81" spans="1:5" ht="13.9" customHeight="1" x14ac:dyDescent="0.2">
      <c r="B81" s="35" t="s">
        <v>137</v>
      </c>
      <c r="E81" s="8"/>
    </row>
    <row r="82" spans="1:5" x14ac:dyDescent="0.2">
      <c r="B82" s="63" t="s">
        <v>1893</v>
      </c>
      <c r="C82" s="64"/>
      <c r="D82" s="186" t="s">
        <v>138</v>
      </c>
      <c r="E82" s="66">
        <v>215</v>
      </c>
    </row>
    <row r="83" spans="1:5" x14ac:dyDescent="0.2">
      <c r="B83" s="63" t="s">
        <v>1904</v>
      </c>
      <c r="C83" s="64"/>
      <c r="D83" s="186" t="s">
        <v>139</v>
      </c>
      <c r="E83" s="66">
        <v>273</v>
      </c>
    </row>
    <row r="84" spans="1:5" x14ac:dyDescent="0.2">
      <c r="B84" s="63" t="s">
        <v>1905</v>
      </c>
      <c r="C84" s="64"/>
      <c r="D84" s="186" t="s">
        <v>140</v>
      </c>
      <c r="E84" s="66">
        <v>325</v>
      </c>
    </row>
    <row r="85" spans="1:5" x14ac:dyDescent="0.2">
      <c r="B85" s="63" t="s">
        <v>1906</v>
      </c>
      <c r="C85" s="64"/>
      <c r="D85" s="186" t="s">
        <v>141</v>
      </c>
      <c r="E85" s="66">
        <v>375</v>
      </c>
    </row>
    <row r="86" spans="1:5" x14ac:dyDescent="0.2">
      <c r="B86" s="63" t="s">
        <v>1907</v>
      </c>
      <c r="C86" s="64"/>
      <c r="D86" s="186" t="s">
        <v>142</v>
      </c>
      <c r="E86" s="66">
        <v>432</v>
      </c>
    </row>
    <row r="87" spans="1:5" x14ac:dyDescent="0.2">
      <c r="B87" s="8"/>
      <c r="C87" s="8"/>
      <c r="D87" s="8"/>
      <c r="E87" s="8"/>
    </row>
    <row r="88" spans="1:5" x14ac:dyDescent="0.2">
      <c r="A88" s="21"/>
      <c r="B88" s="35" t="s">
        <v>143</v>
      </c>
    </row>
    <row r="89" spans="1:5" x14ac:dyDescent="0.2">
      <c r="A89" s="21"/>
      <c r="B89" s="60" t="s">
        <v>146</v>
      </c>
      <c r="C89" s="60"/>
      <c r="D89" s="61" t="s">
        <v>145</v>
      </c>
      <c r="E89" s="62">
        <v>10</v>
      </c>
    </row>
    <row r="90" spans="1:5" x14ac:dyDescent="0.2">
      <c r="A90" s="21"/>
      <c r="B90" s="60" t="s">
        <v>148</v>
      </c>
      <c r="C90" s="60"/>
      <c r="D90" s="61" t="s">
        <v>147</v>
      </c>
      <c r="E90" s="62">
        <v>34</v>
      </c>
    </row>
    <row r="91" spans="1:5" x14ac:dyDescent="0.2">
      <c r="A91" s="21"/>
    </row>
    <row r="92" spans="1:5" collapsed="1" x14ac:dyDescent="0.2">
      <c r="A92" s="21"/>
      <c r="B92" s="183" t="s">
        <v>149</v>
      </c>
      <c r="C92" s="24"/>
      <c r="D92" s="25"/>
      <c r="E92" s="26"/>
    </row>
    <row r="93" spans="1:5" x14ac:dyDescent="0.2">
      <c r="A93" s="21"/>
      <c r="B93" s="27" t="s">
        <v>150</v>
      </c>
      <c r="C93" s="28"/>
    </row>
    <row r="94" spans="1:5" x14ac:dyDescent="0.2">
      <c r="A94" s="21"/>
      <c r="B94" s="29" t="s">
        <v>42</v>
      </c>
      <c r="C94" s="29"/>
      <c r="D94" s="30" t="s">
        <v>43</v>
      </c>
      <c r="E94" s="31">
        <v>27</v>
      </c>
    </row>
    <row r="95" spans="1:5" x14ac:dyDescent="0.2">
      <c r="A95" s="21"/>
      <c r="B95" s="29" t="s">
        <v>44</v>
      </c>
      <c r="C95" s="29"/>
      <c r="D95" s="30" t="s">
        <v>45</v>
      </c>
      <c r="E95" s="32">
        <v>124</v>
      </c>
    </row>
    <row r="96" spans="1:5" x14ac:dyDescent="0.2">
      <c r="A96" s="21"/>
      <c r="B96" s="29" t="s">
        <v>46</v>
      </c>
      <c r="C96" s="29"/>
      <c r="D96" s="30" t="s">
        <v>47</v>
      </c>
      <c r="E96" s="32">
        <v>269</v>
      </c>
    </row>
    <row r="97" spans="1:5" x14ac:dyDescent="0.2">
      <c r="A97" s="21"/>
      <c r="B97" s="29" t="s">
        <v>48</v>
      </c>
      <c r="C97" s="29"/>
      <c r="D97" s="30" t="s">
        <v>49</v>
      </c>
      <c r="E97" s="32">
        <v>113</v>
      </c>
    </row>
    <row r="98" spans="1:5" x14ac:dyDescent="0.2">
      <c r="A98" s="21"/>
      <c r="B98" s="29" t="s">
        <v>50</v>
      </c>
      <c r="C98" s="29"/>
      <c r="D98" s="30" t="s">
        <v>51</v>
      </c>
      <c r="E98" s="32">
        <v>239</v>
      </c>
    </row>
    <row r="99" spans="1:5" x14ac:dyDescent="0.2">
      <c r="A99" s="21"/>
      <c r="B99" s="29" t="s">
        <v>52</v>
      </c>
      <c r="C99" s="29"/>
      <c r="D99" s="30" t="s">
        <v>53</v>
      </c>
      <c r="E99" s="32">
        <v>443</v>
      </c>
    </row>
    <row r="100" spans="1:5" x14ac:dyDescent="0.2">
      <c r="A100" s="21"/>
      <c r="B100" s="33"/>
      <c r="C100" s="33"/>
      <c r="D100" s="34"/>
      <c r="E100" s="33"/>
    </row>
    <row r="101" spans="1:5" x14ac:dyDescent="0.2">
      <c r="A101" s="21"/>
      <c r="B101" s="35" t="s">
        <v>54</v>
      </c>
      <c r="C101" s="28"/>
      <c r="D101" s="36"/>
      <c r="E101" s="28"/>
    </row>
    <row r="102" spans="1:5" x14ac:dyDescent="0.2">
      <c r="A102" s="21"/>
      <c r="B102" s="29" t="s">
        <v>55</v>
      </c>
      <c r="C102" s="38"/>
      <c r="D102" s="30" t="s">
        <v>151</v>
      </c>
      <c r="E102" s="200">
        <v>96</v>
      </c>
    </row>
    <row r="103" spans="1:5" x14ac:dyDescent="0.2">
      <c r="A103" s="21"/>
      <c r="B103" s="29" t="s">
        <v>152</v>
      </c>
      <c r="C103" s="38"/>
      <c r="D103" s="30" t="s">
        <v>153</v>
      </c>
      <c r="E103" s="201">
        <v>278</v>
      </c>
    </row>
    <row r="104" spans="1:5" customFormat="1" ht="15" x14ac:dyDescent="0.25">
      <c r="A104" s="21"/>
      <c r="B104" s="29" t="s">
        <v>154</v>
      </c>
      <c r="C104" s="38"/>
      <c r="D104" s="30" t="s">
        <v>155</v>
      </c>
      <c r="E104" s="201">
        <v>714</v>
      </c>
    </row>
    <row r="105" spans="1:5" x14ac:dyDescent="0.2">
      <c r="A105" s="21"/>
      <c r="B105" s="35" t="s">
        <v>59</v>
      </c>
      <c r="C105" s="39"/>
      <c r="D105" s="40"/>
    </row>
    <row r="106" spans="1:5" x14ac:dyDescent="0.2">
      <c r="A106" s="21"/>
      <c r="B106" s="29" t="s">
        <v>156</v>
      </c>
      <c r="C106" s="38"/>
      <c r="D106" s="41" t="s">
        <v>157</v>
      </c>
      <c r="E106" s="31">
        <v>22</v>
      </c>
    </row>
    <row r="107" spans="1:5" x14ac:dyDescent="0.2">
      <c r="A107" s="21"/>
      <c r="B107" s="29" t="s">
        <v>158</v>
      </c>
      <c r="C107" s="38"/>
      <c r="D107" s="41" t="s">
        <v>159</v>
      </c>
      <c r="E107" s="32">
        <v>140</v>
      </c>
    </row>
    <row r="108" spans="1:5" x14ac:dyDescent="0.2">
      <c r="A108" s="21"/>
      <c r="B108" s="29" t="s">
        <v>160</v>
      </c>
      <c r="C108" s="38"/>
      <c r="D108" s="41" t="s">
        <v>161</v>
      </c>
      <c r="E108" s="32">
        <v>366</v>
      </c>
    </row>
    <row r="109" spans="1:5" x14ac:dyDescent="0.2">
      <c r="A109" s="21"/>
      <c r="B109" s="29" t="s">
        <v>162</v>
      </c>
      <c r="C109" s="38"/>
      <c r="D109" s="41" t="s">
        <v>163</v>
      </c>
      <c r="E109" s="212">
        <v>946</v>
      </c>
    </row>
    <row r="110" spans="1:5" x14ac:dyDescent="0.2">
      <c r="A110" s="21"/>
      <c r="B110" s="10"/>
      <c r="C110" s="42"/>
    </row>
    <row r="111" spans="1:5" x14ac:dyDescent="0.2">
      <c r="A111" s="21"/>
      <c r="B111" s="35" t="s">
        <v>66</v>
      </c>
      <c r="C111" s="28"/>
      <c r="D111" s="36"/>
      <c r="E111" s="37"/>
    </row>
    <row r="112" spans="1:5" x14ac:dyDescent="0.2">
      <c r="A112" s="21"/>
      <c r="B112" s="29" t="s">
        <v>164</v>
      </c>
      <c r="C112" s="29"/>
      <c r="D112" s="30" t="s">
        <v>68</v>
      </c>
      <c r="E112" s="31">
        <v>54</v>
      </c>
    </row>
    <row r="113" spans="1:5" x14ac:dyDescent="0.2">
      <c r="A113" s="21"/>
      <c r="B113" s="29" t="s">
        <v>69</v>
      </c>
      <c r="C113" s="29"/>
      <c r="D113" s="30" t="s">
        <v>70</v>
      </c>
      <c r="E113" s="32">
        <v>124</v>
      </c>
    </row>
    <row r="114" spans="1:5" x14ac:dyDescent="0.2">
      <c r="A114" s="21"/>
      <c r="B114" s="29" t="s">
        <v>71</v>
      </c>
      <c r="C114" s="29"/>
      <c r="D114" s="30" t="s">
        <v>72</v>
      </c>
      <c r="E114" s="32">
        <v>355</v>
      </c>
    </row>
    <row r="115" spans="1:5" x14ac:dyDescent="0.2">
      <c r="A115" s="21"/>
      <c r="B115" s="10"/>
    </row>
    <row r="116" spans="1:5" x14ac:dyDescent="0.2">
      <c r="A116" s="21"/>
      <c r="B116" s="35" t="s">
        <v>73</v>
      </c>
      <c r="C116" s="28"/>
      <c r="D116" s="36"/>
      <c r="E116" s="37"/>
    </row>
    <row r="117" spans="1:5" x14ac:dyDescent="0.2">
      <c r="A117" s="21"/>
      <c r="B117" s="29" t="s">
        <v>74</v>
      </c>
      <c r="C117" s="29"/>
      <c r="D117" s="30" t="s">
        <v>75</v>
      </c>
      <c r="E117" s="31">
        <v>70</v>
      </c>
    </row>
    <row r="118" spans="1:5" x14ac:dyDescent="0.2">
      <c r="A118" s="21"/>
      <c r="B118" s="29" t="s">
        <v>67</v>
      </c>
      <c r="C118" s="29"/>
      <c r="D118" s="30" t="s">
        <v>76</v>
      </c>
      <c r="E118" s="32">
        <v>124</v>
      </c>
    </row>
    <row r="119" spans="1:5" x14ac:dyDescent="0.2">
      <c r="A119" s="21"/>
      <c r="B119" s="29" t="s">
        <v>69</v>
      </c>
      <c r="C119" s="29"/>
      <c r="D119" s="30" t="s">
        <v>77</v>
      </c>
      <c r="E119" s="32">
        <v>194</v>
      </c>
    </row>
    <row r="120" spans="1:5" x14ac:dyDescent="0.2">
      <c r="A120" s="21"/>
      <c r="B120" s="29" t="s">
        <v>71</v>
      </c>
      <c r="C120" s="29"/>
      <c r="D120" s="30" t="s">
        <v>78</v>
      </c>
      <c r="E120" s="32">
        <v>425</v>
      </c>
    </row>
    <row r="121" spans="1:5" x14ac:dyDescent="0.2">
      <c r="A121" s="21"/>
      <c r="B121" s="29" t="s">
        <v>165</v>
      </c>
      <c r="C121" s="29"/>
      <c r="D121" s="30" t="s">
        <v>166</v>
      </c>
      <c r="E121" s="32">
        <v>39</v>
      </c>
    </row>
    <row r="122" spans="1:5" x14ac:dyDescent="0.2">
      <c r="A122" s="21"/>
      <c r="B122" s="29" t="s">
        <v>167</v>
      </c>
      <c r="C122" s="29"/>
      <c r="D122" s="30" t="s">
        <v>168</v>
      </c>
      <c r="E122" s="32">
        <v>54</v>
      </c>
    </row>
    <row r="123" spans="1:5" x14ac:dyDescent="0.2">
      <c r="A123" s="21"/>
      <c r="B123" s="29" t="s">
        <v>169</v>
      </c>
      <c r="C123" s="29"/>
      <c r="D123" s="30" t="s">
        <v>170</v>
      </c>
      <c r="E123" s="32">
        <v>65</v>
      </c>
    </row>
    <row r="124" spans="1:5" x14ac:dyDescent="0.2">
      <c r="A124" s="21"/>
      <c r="B124" s="29" t="s">
        <v>171</v>
      </c>
      <c r="C124" s="29"/>
      <c r="D124" s="30" t="s">
        <v>172</v>
      </c>
      <c r="E124" s="32">
        <v>140</v>
      </c>
    </row>
    <row r="125" spans="1:5" s="14" customFormat="1" x14ac:dyDescent="0.2">
      <c r="A125" s="21"/>
      <c r="B125" s="10"/>
      <c r="C125" s="10"/>
      <c r="D125" s="11"/>
      <c r="E125" s="12"/>
    </row>
    <row r="126" spans="1:5" s="14" customFormat="1" x14ac:dyDescent="0.2">
      <c r="A126" s="21"/>
      <c r="B126" s="35" t="s">
        <v>79</v>
      </c>
      <c r="C126" s="28"/>
      <c r="D126" s="36"/>
      <c r="E126" s="37"/>
    </row>
    <row r="127" spans="1:5" s="14" customFormat="1" x14ac:dyDescent="0.2">
      <c r="A127" s="21"/>
      <c r="B127" s="29" t="s">
        <v>80</v>
      </c>
      <c r="C127" s="29"/>
      <c r="D127" s="30" t="s">
        <v>81</v>
      </c>
      <c r="E127" s="31">
        <v>5</v>
      </c>
    </row>
    <row r="128" spans="1:5" s="14" customFormat="1" x14ac:dyDescent="0.2">
      <c r="A128" s="21"/>
      <c r="B128" s="29" t="s">
        <v>82</v>
      </c>
      <c r="C128" s="29"/>
      <c r="D128" s="30" t="s">
        <v>83</v>
      </c>
      <c r="E128" s="32">
        <v>5</v>
      </c>
    </row>
    <row r="129" spans="1:5" s="14" customFormat="1" x14ac:dyDescent="0.2">
      <c r="A129" s="21"/>
      <c r="B129" s="10"/>
      <c r="C129" s="10"/>
      <c r="D129" s="11"/>
      <c r="E129" s="12"/>
    </row>
    <row r="130" spans="1:5" s="14" customFormat="1" x14ac:dyDescent="0.2">
      <c r="A130" s="21"/>
      <c r="B130" s="46" t="s">
        <v>84</v>
      </c>
      <c r="C130" s="28"/>
      <c r="D130" s="36"/>
      <c r="E130" s="37"/>
    </row>
    <row r="131" spans="1:5" x14ac:dyDescent="0.2">
      <c r="A131" s="21"/>
      <c r="B131" s="191" t="s">
        <v>86</v>
      </c>
      <c r="C131" s="191"/>
      <c r="D131" s="211" t="s">
        <v>85</v>
      </c>
      <c r="E131" s="212">
        <v>43</v>
      </c>
    </row>
    <row r="132" spans="1:5" x14ac:dyDescent="0.2">
      <c r="A132" s="21"/>
      <c r="B132" s="191" t="s">
        <v>88</v>
      </c>
      <c r="C132" s="191"/>
      <c r="D132" s="211" t="s">
        <v>87</v>
      </c>
      <c r="E132" s="212">
        <v>156</v>
      </c>
    </row>
    <row r="133" spans="1:5" s="14" customFormat="1" x14ac:dyDescent="0.2">
      <c r="A133" s="21"/>
      <c r="B133" s="191" t="s">
        <v>174</v>
      </c>
      <c r="C133" s="191"/>
      <c r="D133" s="211" t="s">
        <v>173</v>
      </c>
      <c r="E133" s="212">
        <v>108</v>
      </c>
    </row>
    <row r="134" spans="1:5" s="14" customFormat="1" x14ac:dyDescent="0.2">
      <c r="A134" s="21"/>
      <c r="B134" s="10"/>
      <c r="C134" s="10"/>
      <c r="D134" s="11"/>
      <c r="E134" s="12"/>
    </row>
    <row r="135" spans="1:5" customFormat="1" ht="15" x14ac:dyDescent="0.25">
      <c r="A135" s="21"/>
      <c r="B135" s="35" t="s">
        <v>175</v>
      </c>
      <c r="C135" s="10"/>
      <c r="D135" s="11"/>
      <c r="E135" s="37"/>
    </row>
    <row r="136" spans="1:5" customFormat="1" ht="15" x14ac:dyDescent="0.25">
      <c r="A136" s="21"/>
      <c r="B136" s="29" t="s">
        <v>176</v>
      </c>
      <c r="C136" s="29"/>
      <c r="D136" s="30" t="s">
        <v>177</v>
      </c>
      <c r="E136" s="31">
        <v>5</v>
      </c>
    </row>
    <row r="137" spans="1:5" customFormat="1" ht="15" x14ac:dyDescent="0.25">
      <c r="A137" s="21"/>
      <c r="B137" s="29" t="s">
        <v>178</v>
      </c>
      <c r="C137" s="29"/>
      <c r="D137" s="30" t="s">
        <v>179</v>
      </c>
      <c r="E137" s="32">
        <v>49</v>
      </c>
    </row>
    <row r="138" spans="1:5" customFormat="1" ht="15" x14ac:dyDescent="0.25">
      <c r="A138" s="21"/>
      <c r="B138" s="29" t="s">
        <v>180</v>
      </c>
      <c r="C138" s="29"/>
      <c r="D138" s="30" t="s">
        <v>181</v>
      </c>
      <c r="E138" s="32">
        <v>12</v>
      </c>
    </row>
    <row r="139" spans="1:5" s="14" customFormat="1" x14ac:dyDescent="0.2">
      <c r="A139" s="21"/>
      <c r="B139" s="10"/>
      <c r="C139" s="10"/>
      <c r="D139" s="11"/>
      <c r="E139" s="12"/>
    </row>
    <row r="140" spans="1:5" s="47" customFormat="1" ht="15" x14ac:dyDescent="0.2">
      <c r="A140" s="21"/>
      <c r="B140" s="35" t="s">
        <v>182</v>
      </c>
      <c r="C140" s="48"/>
      <c r="D140" s="49"/>
      <c r="E140" s="37"/>
    </row>
    <row r="141" spans="1:5" s="47" customFormat="1" x14ac:dyDescent="0.2">
      <c r="A141" s="21"/>
      <c r="B141" s="50" t="s">
        <v>92</v>
      </c>
      <c r="C141" s="29"/>
      <c r="D141" s="30" t="s">
        <v>93</v>
      </c>
      <c r="E141" s="31">
        <v>8</v>
      </c>
    </row>
    <row r="142" spans="1:5" s="47" customFormat="1" x14ac:dyDescent="0.2">
      <c r="A142" s="21"/>
      <c r="B142" s="50" t="s">
        <v>94</v>
      </c>
      <c r="C142" s="29"/>
      <c r="D142" s="30" t="s">
        <v>95</v>
      </c>
      <c r="E142" s="32">
        <v>8</v>
      </c>
    </row>
    <row r="143" spans="1:5" s="47" customFormat="1" x14ac:dyDescent="0.2">
      <c r="A143" s="21"/>
      <c r="B143" s="50" t="s">
        <v>96</v>
      </c>
      <c r="C143" s="29"/>
      <c r="D143" s="30" t="s">
        <v>97</v>
      </c>
      <c r="E143" s="32">
        <v>8</v>
      </c>
    </row>
    <row r="144" spans="1:5" s="47" customFormat="1" x14ac:dyDescent="0.2">
      <c r="A144" s="21"/>
      <c r="B144" s="10"/>
      <c r="C144" s="10"/>
      <c r="D144" s="11"/>
      <c r="E144" s="12"/>
    </row>
    <row r="145" spans="1:5" x14ac:dyDescent="0.2">
      <c r="A145" s="21"/>
      <c r="B145" s="35" t="s">
        <v>183</v>
      </c>
      <c r="C145" s="28"/>
      <c r="D145" s="36"/>
      <c r="E145" s="37"/>
    </row>
    <row r="146" spans="1:5" x14ac:dyDescent="0.2">
      <c r="A146" s="21"/>
      <c r="B146" s="29" t="s">
        <v>184</v>
      </c>
      <c r="C146" s="29"/>
      <c r="D146" s="30" t="s">
        <v>185</v>
      </c>
      <c r="E146" s="31">
        <v>35</v>
      </c>
    </row>
    <row r="147" spans="1:5" x14ac:dyDescent="0.2">
      <c r="A147" s="21"/>
      <c r="B147" s="29" t="s">
        <v>186</v>
      </c>
      <c r="C147" s="29"/>
      <c r="D147" s="30" t="s">
        <v>187</v>
      </c>
      <c r="E147" s="32">
        <v>105</v>
      </c>
    </row>
    <row r="148" spans="1:5" x14ac:dyDescent="0.2">
      <c r="A148" s="21"/>
      <c r="B148" s="29" t="s">
        <v>188</v>
      </c>
      <c r="C148" s="29"/>
      <c r="D148" s="30" t="s">
        <v>189</v>
      </c>
      <c r="E148" s="32">
        <v>38</v>
      </c>
    </row>
    <row r="149" spans="1:5" x14ac:dyDescent="0.2">
      <c r="A149" s="21"/>
      <c r="B149" s="29" t="s">
        <v>190</v>
      </c>
      <c r="C149" s="29"/>
      <c r="D149" s="30" t="s">
        <v>191</v>
      </c>
      <c r="E149" s="32">
        <v>14</v>
      </c>
    </row>
    <row r="150" spans="1:5" x14ac:dyDescent="0.2">
      <c r="A150" s="21"/>
      <c r="B150" s="29" t="s">
        <v>192</v>
      </c>
      <c r="C150" s="29"/>
      <c r="D150" s="30" t="s">
        <v>193</v>
      </c>
      <c r="E150" s="32">
        <v>15</v>
      </c>
    </row>
    <row r="151" spans="1:5" s="47" customFormat="1" x14ac:dyDescent="0.2">
      <c r="A151" s="21"/>
      <c r="B151" s="29" t="s">
        <v>194</v>
      </c>
      <c r="C151" s="29"/>
      <c r="D151" s="30" t="s">
        <v>195</v>
      </c>
      <c r="E151" s="32">
        <v>15</v>
      </c>
    </row>
    <row r="152" spans="1:5" x14ac:dyDescent="0.2">
      <c r="A152" s="21"/>
      <c r="B152" s="67" t="s">
        <v>196</v>
      </c>
    </row>
    <row r="153" spans="1:5" customFormat="1" ht="15" x14ac:dyDescent="0.25">
      <c r="A153" s="21"/>
      <c r="B153" s="35" t="s">
        <v>101</v>
      </c>
      <c r="C153" s="28"/>
      <c r="D153" s="54"/>
      <c r="E153" s="37"/>
    </row>
    <row r="154" spans="1:5" s="56" customFormat="1" ht="15" x14ac:dyDescent="0.25">
      <c r="A154" s="21"/>
      <c r="B154" s="50" t="s">
        <v>102</v>
      </c>
      <c r="C154" s="57"/>
      <c r="D154" s="30" t="s">
        <v>103</v>
      </c>
      <c r="E154" s="31">
        <v>7</v>
      </c>
    </row>
    <row r="155" spans="1:5" s="56" customFormat="1" ht="15" x14ac:dyDescent="0.25">
      <c r="A155" s="21"/>
      <c r="B155" s="50" t="s">
        <v>104</v>
      </c>
      <c r="C155" s="57"/>
      <c r="D155" s="30" t="s">
        <v>105</v>
      </c>
      <c r="E155" s="32">
        <v>15</v>
      </c>
    </row>
    <row r="156" spans="1:5" s="14" customFormat="1" x14ac:dyDescent="0.2">
      <c r="A156" s="21"/>
      <c r="B156" s="43"/>
      <c r="C156" s="44"/>
      <c r="D156" s="45"/>
      <c r="E156" s="12"/>
    </row>
    <row r="157" spans="1:5" x14ac:dyDescent="0.2">
      <c r="A157" s="21"/>
      <c r="B157" s="35" t="s">
        <v>106</v>
      </c>
      <c r="C157" s="28"/>
      <c r="D157" s="36"/>
      <c r="E157" s="37"/>
    </row>
    <row r="158" spans="1:5" x14ac:dyDescent="0.2">
      <c r="A158" s="21"/>
      <c r="B158" s="50" t="s">
        <v>107</v>
      </c>
      <c r="C158" s="57"/>
      <c r="D158" s="30" t="s">
        <v>108</v>
      </c>
      <c r="E158" s="31">
        <v>0</v>
      </c>
    </row>
    <row r="159" spans="1:5" s="14" customFormat="1" x14ac:dyDescent="0.2">
      <c r="A159" s="21"/>
      <c r="B159" s="10"/>
      <c r="C159" s="10"/>
      <c r="D159" s="11"/>
      <c r="E159" s="12"/>
    </row>
    <row r="160" spans="1:5" customFormat="1" ht="15" x14ac:dyDescent="0.25">
      <c r="A160" s="21"/>
      <c r="B160" s="28" t="s">
        <v>197</v>
      </c>
      <c r="C160" s="68"/>
      <c r="D160" s="49"/>
      <c r="E160" s="37"/>
    </row>
    <row r="161" spans="1:5" customFormat="1" ht="15" x14ac:dyDescent="0.25">
      <c r="A161" s="21"/>
      <c r="B161" s="29" t="s">
        <v>198</v>
      </c>
      <c r="C161" s="69" t="s">
        <v>199</v>
      </c>
      <c r="D161" s="59" t="s">
        <v>200</v>
      </c>
      <c r="E161" s="31">
        <v>11</v>
      </c>
    </row>
    <row r="162" spans="1:5" customFormat="1" ht="15" x14ac:dyDescent="0.25">
      <c r="A162" s="21"/>
      <c r="B162" s="29" t="s">
        <v>201</v>
      </c>
      <c r="C162" s="69" t="s">
        <v>202</v>
      </c>
      <c r="D162" s="59" t="s">
        <v>203</v>
      </c>
      <c r="E162" s="32">
        <v>16</v>
      </c>
    </row>
    <row r="163" spans="1:5" customFormat="1" ht="15" x14ac:dyDescent="0.25">
      <c r="A163" s="21"/>
      <c r="B163" s="29" t="s">
        <v>204</v>
      </c>
      <c r="C163" s="69" t="s">
        <v>205</v>
      </c>
      <c r="D163" s="59" t="s">
        <v>206</v>
      </c>
      <c r="E163" s="32">
        <v>59</v>
      </c>
    </row>
    <row r="164" spans="1:5" s="70" customFormat="1" x14ac:dyDescent="0.2">
      <c r="A164" s="21"/>
      <c r="B164" s="43"/>
      <c r="C164" s="51"/>
      <c r="D164" s="52"/>
      <c r="E164" s="12"/>
    </row>
    <row r="165" spans="1:5" x14ac:dyDescent="0.2">
      <c r="A165" s="21"/>
      <c r="B165" s="35" t="s">
        <v>128</v>
      </c>
      <c r="E165" s="37"/>
    </row>
    <row r="166" spans="1:5" x14ac:dyDescent="0.2">
      <c r="A166" s="21"/>
      <c r="B166" s="29" t="s">
        <v>129</v>
      </c>
      <c r="C166" s="29"/>
      <c r="D166" s="59" t="s">
        <v>130</v>
      </c>
      <c r="E166" s="58">
        <v>10</v>
      </c>
    </row>
    <row r="167" spans="1:5" x14ac:dyDescent="0.2">
      <c r="A167" s="21"/>
      <c r="B167" s="29" t="s">
        <v>131</v>
      </c>
      <c r="C167" s="29"/>
      <c r="D167" s="59" t="s">
        <v>132</v>
      </c>
      <c r="E167" s="58">
        <v>20</v>
      </c>
    </row>
    <row r="168" spans="1:5" x14ac:dyDescent="0.2">
      <c r="A168" s="21"/>
      <c r="B168" s="60" t="s">
        <v>134</v>
      </c>
      <c r="C168" s="60"/>
      <c r="D168" s="61" t="s">
        <v>133</v>
      </c>
      <c r="E168" s="62">
        <v>50</v>
      </c>
    </row>
    <row r="169" spans="1:5" x14ac:dyDescent="0.2">
      <c r="A169" s="21"/>
      <c r="B169" s="60" t="s">
        <v>136</v>
      </c>
      <c r="C169" s="60"/>
      <c r="D169" s="61" t="s">
        <v>135</v>
      </c>
      <c r="E169" s="62">
        <v>80</v>
      </c>
    </row>
    <row r="170" spans="1:5" x14ac:dyDescent="0.2">
      <c r="A170" s="21"/>
      <c r="B170" s="35"/>
    </row>
    <row r="171" spans="1:5" x14ac:dyDescent="0.2">
      <c r="B171" s="35" t="s">
        <v>137</v>
      </c>
      <c r="E171" s="8"/>
    </row>
    <row r="172" spans="1:5" x14ac:dyDescent="0.2">
      <c r="B172" s="63" t="s">
        <v>1893</v>
      </c>
      <c r="C172" s="64"/>
      <c r="D172" s="186" t="s">
        <v>138</v>
      </c>
      <c r="E172" s="66">
        <v>215</v>
      </c>
    </row>
    <row r="173" spans="1:5" x14ac:dyDescent="0.2">
      <c r="B173" s="63" t="s">
        <v>1904</v>
      </c>
      <c r="C173" s="64"/>
      <c r="D173" s="186" t="s">
        <v>139</v>
      </c>
      <c r="E173" s="66">
        <v>273</v>
      </c>
    </row>
    <row r="174" spans="1:5" x14ac:dyDescent="0.2">
      <c r="B174" s="63" t="s">
        <v>1905</v>
      </c>
      <c r="C174" s="64"/>
      <c r="D174" s="186" t="s">
        <v>140</v>
      </c>
      <c r="E174" s="66">
        <v>325</v>
      </c>
    </row>
    <row r="175" spans="1:5" x14ac:dyDescent="0.2">
      <c r="B175" s="63" t="s">
        <v>1906</v>
      </c>
      <c r="C175" s="64"/>
      <c r="D175" s="186" t="s">
        <v>141</v>
      </c>
      <c r="E175" s="66">
        <v>375</v>
      </c>
    </row>
    <row r="176" spans="1:5" x14ac:dyDescent="0.2">
      <c r="B176" s="63" t="s">
        <v>1907</v>
      </c>
      <c r="C176" s="64"/>
      <c r="D176" s="186" t="s">
        <v>142</v>
      </c>
      <c r="E176" s="66">
        <v>432</v>
      </c>
    </row>
    <row r="177" spans="1:5" x14ac:dyDescent="0.2">
      <c r="B177" s="8"/>
      <c r="C177" s="8"/>
      <c r="D177" s="8"/>
      <c r="E177" s="8"/>
    </row>
    <row r="178" spans="1:5" x14ac:dyDescent="0.2">
      <c r="A178" s="21"/>
      <c r="B178" s="35" t="s">
        <v>143</v>
      </c>
    </row>
    <row r="179" spans="1:5" x14ac:dyDescent="0.2">
      <c r="A179" s="21"/>
      <c r="B179" s="60" t="s">
        <v>146</v>
      </c>
      <c r="C179" s="60"/>
      <c r="D179" s="61" t="s">
        <v>145</v>
      </c>
      <c r="E179" s="62">
        <v>10</v>
      </c>
    </row>
    <row r="180" spans="1:5" x14ac:dyDescent="0.2">
      <c r="A180" s="21"/>
      <c r="B180" s="60" t="s">
        <v>148</v>
      </c>
      <c r="C180" s="60"/>
      <c r="D180" s="61" t="s">
        <v>147</v>
      </c>
      <c r="E180" s="62">
        <v>34</v>
      </c>
    </row>
    <row r="181" spans="1:5" x14ac:dyDescent="0.2">
      <c r="A181" s="21"/>
      <c r="B181" s="27"/>
      <c r="E181" s="32"/>
    </row>
    <row r="182" spans="1:5" collapsed="1" x14ac:dyDescent="0.2">
      <c r="A182" s="21"/>
      <c r="B182" s="183" t="s">
        <v>207</v>
      </c>
      <c r="C182" s="24"/>
      <c r="D182" s="25"/>
      <c r="E182" s="25"/>
    </row>
    <row r="183" spans="1:5" x14ac:dyDescent="0.2">
      <c r="A183" s="21"/>
      <c r="B183" s="27" t="s">
        <v>41</v>
      </c>
      <c r="C183" s="11"/>
      <c r="E183" s="11"/>
    </row>
    <row r="184" spans="1:5" x14ac:dyDescent="0.2">
      <c r="A184" s="21"/>
      <c r="B184" s="29" t="s">
        <v>42</v>
      </c>
      <c r="C184" s="29"/>
      <c r="D184" s="30" t="s">
        <v>43</v>
      </c>
      <c r="E184" s="31">
        <v>27</v>
      </c>
    </row>
    <row r="185" spans="1:5" x14ac:dyDescent="0.2">
      <c r="A185" s="21"/>
      <c r="B185" s="29" t="s">
        <v>208</v>
      </c>
      <c r="C185" s="29"/>
      <c r="D185" s="30" t="s">
        <v>209</v>
      </c>
      <c r="E185" s="32">
        <v>106</v>
      </c>
    </row>
    <row r="186" spans="1:5" x14ac:dyDescent="0.2">
      <c r="A186" s="21"/>
      <c r="B186" s="29" t="s">
        <v>44</v>
      </c>
      <c r="C186" s="29"/>
      <c r="D186" s="30" t="s">
        <v>45</v>
      </c>
      <c r="E186" s="32">
        <v>124</v>
      </c>
    </row>
    <row r="187" spans="1:5" x14ac:dyDescent="0.2">
      <c r="A187" s="21"/>
      <c r="B187" s="29" t="s">
        <v>210</v>
      </c>
      <c r="C187" s="29"/>
      <c r="D187" s="30" t="s">
        <v>211</v>
      </c>
      <c r="E187" s="32">
        <v>215</v>
      </c>
    </row>
    <row r="188" spans="1:5" x14ac:dyDescent="0.2">
      <c r="A188" s="21"/>
      <c r="B188" s="29" t="s">
        <v>46</v>
      </c>
      <c r="C188" s="29"/>
      <c r="D188" s="30" t="s">
        <v>47</v>
      </c>
      <c r="E188" s="32">
        <v>269</v>
      </c>
    </row>
    <row r="189" spans="1:5" x14ac:dyDescent="0.2">
      <c r="A189" s="21"/>
      <c r="B189" s="29" t="s">
        <v>212</v>
      </c>
      <c r="C189" s="29"/>
      <c r="D189" s="30" t="s">
        <v>213</v>
      </c>
      <c r="E189" s="32">
        <v>355</v>
      </c>
    </row>
    <row r="190" spans="1:5" x14ac:dyDescent="0.2">
      <c r="A190" s="21"/>
      <c r="B190" s="29" t="s">
        <v>48</v>
      </c>
      <c r="C190" s="29"/>
      <c r="D190" s="30" t="s">
        <v>49</v>
      </c>
      <c r="E190" s="32">
        <v>113</v>
      </c>
    </row>
    <row r="191" spans="1:5" x14ac:dyDescent="0.2">
      <c r="A191" s="21"/>
      <c r="B191" s="29" t="s">
        <v>214</v>
      </c>
      <c r="C191" s="29"/>
      <c r="D191" s="30" t="s">
        <v>215</v>
      </c>
      <c r="E191" s="32">
        <v>192</v>
      </c>
    </row>
    <row r="192" spans="1:5" x14ac:dyDescent="0.2">
      <c r="A192" s="21"/>
      <c r="B192" s="29" t="s">
        <v>50</v>
      </c>
      <c r="C192" s="29"/>
      <c r="D192" s="30" t="s">
        <v>51</v>
      </c>
      <c r="E192" s="32">
        <v>239</v>
      </c>
    </row>
    <row r="193" spans="1:5" x14ac:dyDescent="0.2">
      <c r="A193" s="21"/>
      <c r="B193" s="29" t="s">
        <v>216</v>
      </c>
      <c r="C193" s="29"/>
      <c r="D193" s="30" t="s">
        <v>217</v>
      </c>
      <c r="E193" s="32">
        <v>332</v>
      </c>
    </row>
    <row r="194" spans="1:5" x14ac:dyDescent="0.2">
      <c r="A194" s="21"/>
      <c r="B194" s="29" t="s">
        <v>52</v>
      </c>
      <c r="C194" s="29"/>
      <c r="D194" s="30" t="s">
        <v>53</v>
      </c>
      <c r="E194" s="32">
        <v>443</v>
      </c>
    </row>
    <row r="195" spans="1:5" x14ac:dyDescent="0.2">
      <c r="A195" s="21"/>
      <c r="B195" s="29" t="s">
        <v>218</v>
      </c>
      <c r="C195" s="29"/>
      <c r="D195" s="30" t="s">
        <v>219</v>
      </c>
      <c r="E195" s="32">
        <v>465</v>
      </c>
    </row>
    <row r="196" spans="1:5" x14ac:dyDescent="0.2">
      <c r="A196" s="21"/>
      <c r="B196" s="35"/>
      <c r="C196" s="28"/>
      <c r="E196" s="11"/>
    </row>
    <row r="197" spans="1:5" x14ac:dyDescent="0.2">
      <c r="A197" s="21"/>
      <c r="B197" s="35" t="s">
        <v>54</v>
      </c>
      <c r="C197" s="28"/>
      <c r="D197" s="36"/>
      <c r="E197" s="36"/>
    </row>
    <row r="198" spans="1:5" x14ac:dyDescent="0.2">
      <c r="A198" s="21"/>
      <c r="B198" s="191" t="s">
        <v>55</v>
      </c>
      <c r="C198" s="213"/>
      <c r="D198" s="211" t="s">
        <v>151</v>
      </c>
      <c r="E198" s="210">
        <v>96</v>
      </c>
    </row>
    <row r="199" spans="1:5" x14ac:dyDescent="0.2">
      <c r="A199" s="21"/>
      <c r="B199" s="191" t="s">
        <v>152</v>
      </c>
      <c r="C199" s="214"/>
      <c r="D199" s="211" t="s">
        <v>153</v>
      </c>
      <c r="E199" s="210">
        <v>278</v>
      </c>
    </row>
    <row r="200" spans="1:5" x14ac:dyDescent="0.2">
      <c r="A200" s="21"/>
      <c r="B200" s="191" t="s">
        <v>57</v>
      </c>
      <c r="C200" s="213"/>
      <c r="D200" s="211" t="s">
        <v>220</v>
      </c>
      <c r="E200" s="212">
        <v>314</v>
      </c>
    </row>
    <row r="201" spans="1:5" customFormat="1" ht="15" x14ac:dyDescent="0.25">
      <c r="A201" s="21"/>
      <c r="B201" s="191" t="s">
        <v>154</v>
      </c>
      <c r="C201" s="213"/>
      <c r="D201" s="211" t="s">
        <v>155</v>
      </c>
      <c r="E201" s="212">
        <v>714</v>
      </c>
    </row>
    <row r="202" spans="1:5" customFormat="1" ht="15" x14ac:dyDescent="0.25">
      <c r="A202" s="21"/>
      <c r="B202" s="215" t="s">
        <v>221</v>
      </c>
      <c r="C202" s="216"/>
      <c r="D202" s="217"/>
      <c r="E202" s="217"/>
    </row>
    <row r="203" spans="1:5" x14ac:dyDescent="0.2">
      <c r="A203" s="21"/>
      <c r="B203" s="191" t="s">
        <v>222</v>
      </c>
      <c r="C203" s="213"/>
      <c r="D203" s="218" t="s">
        <v>157</v>
      </c>
      <c r="E203" s="212">
        <v>22</v>
      </c>
    </row>
    <row r="204" spans="1:5" x14ac:dyDescent="0.2">
      <c r="A204" s="21"/>
      <c r="B204" s="191" t="s">
        <v>223</v>
      </c>
      <c r="C204" s="213"/>
      <c r="D204" s="218" t="s">
        <v>159</v>
      </c>
      <c r="E204" s="212">
        <v>140</v>
      </c>
    </row>
    <row r="205" spans="1:5" x14ac:dyDescent="0.2">
      <c r="A205" s="21"/>
      <c r="B205" s="191" t="s">
        <v>160</v>
      </c>
      <c r="C205" s="213"/>
      <c r="D205" s="218" t="s">
        <v>161</v>
      </c>
      <c r="E205" s="212">
        <v>366</v>
      </c>
    </row>
    <row r="206" spans="1:5" x14ac:dyDescent="0.2">
      <c r="A206" s="21"/>
      <c r="B206" s="29" t="s">
        <v>224</v>
      </c>
      <c r="C206" s="38"/>
      <c r="D206" s="30" t="s">
        <v>225</v>
      </c>
      <c r="E206" s="212">
        <v>430</v>
      </c>
    </row>
    <row r="207" spans="1:5" x14ac:dyDescent="0.2">
      <c r="A207" s="21"/>
      <c r="B207" s="29" t="s">
        <v>226</v>
      </c>
      <c r="C207" s="38"/>
      <c r="D207" s="41" t="s">
        <v>227</v>
      </c>
      <c r="E207" s="212">
        <v>946</v>
      </c>
    </row>
    <row r="208" spans="1:5" x14ac:dyDescent="0.2">
      <c r="A208" s="21"/>
      <c r="B208" s="10"/>
      <c r="E208" s="184"/>
    </row>
    <row r="209" spans="1:5" x14ac:dyDescent="0.2">
      <c r="A209" s="21"/>
      <c r="B209" s="35" t="s">
        <v>66</v>
      </c>
      <c r="C209" s="28"/>
      <c r="D209" s="36"/>
      <c r="E209" s="253"/>
    </row>
    <row r="210" spans="1:5" x14ac:dyDescent="0.2">
      <c r="A210" s="21"/>
      <c r="B210" s="29" t="s">
        <v>67</v>
      </c>
      <c r="C210" s="29"/>
      <c r="D210" s="30" t="s">
        <v>68</v>
      </c>
      <c r="E210" s="31">
        <v>54</v>
      </c>
    </row>
    <row r="211" spans="1:5" x14ac:dyDescent="0.2">
      <c r="A211" s="21"/>
      <c r="B211" s="29" t="s">
        <v>69</v>
      </c>
      <c r="C211" s="29"/>
      <c r="D211" s="30" t="s">
        <v>70</v>
      </c>
      <c r="E211" s="32">
        <v>124</v>
      </c>
    </row>
    <row r="212" spans="1:5" x14ac:dyDescent="0.2">
      <c r="A212" s="21"/>
      <c r="B212" s="29" t="s">
        <v>71</v>
      </c>
      <c r="C212" s="29"/>
      <c r="D212" s="30" t="s">
        <v>72</v>
      </c>
      <c r="E212" s="32">
        <v>355</v>
      </c>
    </row>
    <row r="213" spans="1:5" x14ac:dyDescent="0.2">
      <c r="A213" s="21"/>
      <c r="B213" s="10"/>
      <c r="E213" s="11"/>
    </row>
    <row r="214" spans="1:5" x14ac:dyDescent="0.2">
      <c r="A214" s="21"/>
      <c r="B214" s="35" t="s">
        <v>228</v>
      </c>
      <c r="C214" s="28"/>
      <c r="D214" s="36"/>
      <c r="E214" s="36"/>
    </row>
    <row r="215" spans="1:5" x14ac:dyDescent="0.2">
      <c r="A215" s="21"/>
      <c r="B215" s="29" t="s">
        <v>74</v>
      </c>
      <c r="C215" s="29"/>
      <c r="D215" s="30" t="s">
        <v>75</v>
      </c>
      <c r="E215" s="31">
        <v>70</v>
      </c>
    </row>
    <row r="216" spans="1:5" x14ac:dyDescent="0.2">
      <c r="A216" s="21"/>
      <c r="B216" s="29" t="s">
        <v>67</v>
      </c>
      <c r="C216" s="29"/>
      <c r="D216" s="30" t="s">
        <v>76</v>
      </c>
      <c r="E216" s="32">
        <v>124</v>
      </c>
    </row>
    <row r="217" spans="1:5" x14ac:dyDescent="0.2">
      <c r="A217" s="21"/>
      <c r="B217" s="29" t="s">
        <v>69</v>
      </c>
      <c r="C217" s="29"/>
      <c r="D217" s="30" t="s">
        <v>77</v>
      </c>
      <c r="E217" s="32">
        <v>194</v>
      </c>
    </row>
    <row r="218" spans="1:5" x14ac:dyDescent="0.2">
      <c r="A218" s="21"/>
      <c r="B218" s="29" t="s">
        <v>71</v>
      </c>
      <c r="C218" s="29"/>
      <c r="D218" s="30" t="s">
        <v>78</v>
      </c>
      <c r="E218" s="32">
        <v>425</v>
      </c>
    </row>
    <row r="219" spans="1:5" x14ac:dyDescent="0.2">
      <c r="A219" s="21"/>
      <c r="B219" s="29" t="s">
        <v>229</v>
      </c>
      <c r="C219" s="29"/>
      <c r="D219" s="30" t="s">
        <v>166</v>
      </c>
      <c r="E219" s="32">
        <v>39</v>
      </c>
    </row>
    <row r="220" spans="1:5" x14ac:dyDescent="0.2">
      <c r="A220" s="21"/>
      <c r="B220" s="29" t="s">
        <v>167</v>
      </c>
      <c r="C220" s="29"/>
      <c r="D220" s="30" t="s">
        <v>168</v>
      </c>
      <c r="E220" s="32">
        <v>54</v>
      </c>
    </row>
    <row r="221" spans="1:5" x14ac:dyDescent="0.2">
      <c r="A221" s="21"/>
      <c r="B221" s="29" t="s">
        <v>230</v>
      </c>
      <c r="C221" s="29"/>
      <c r="D221" s="30" t="s">
        <v>170</v>
      </c>
      <c r="E221" s="32">
        <v>65</v>
      </c>
    </row>
    <row r="222" spans="1:5" x14ac:dyDescent="0.2">
      <c r="A222" s="21"/>
      <c r="B222" s="29" t="s">
        <v>231</v>
      </c>
      <c r="C222" s="29"/>
      <c r="D222" s="30" t="s">
        <v>172</v>
      </c>
      <c r="E222" s="32">
        <v>140</v>
      </c>
    </row>
    <row r="223" spans="1:5" s="14" customFormat="1" x14ac:dyDescent="0.2">
      <c r="A223" s="21"/>
      <c r="B223" s="10"/>
      <c r="C223" s="10"/>
      <c r="D223" s="11"/>
      <c r="E223" s="11"/>
    </row>
    <row r="224" spans="1:5" s="14" customFormat="1" x14ac:dyDescent="0.2">
      <c r="A224" s="21"/>
      <c r="B224" s="35" t="s">
        <v>232</v>
      </c>
      <c r="C224" s="28"/>
      <c r="D224" s="36"/>
      <c r="E224" s="36"/>
    </row>
    <row r="225" spans="1:5" s="14" customFormat="1" x14ac:dyDescent="0.2">
      <c r="A225" s="21"/>
      <c r="B225" s="29" t="s">
        <v>80</v>
      </c>
      <c r="C225" s="29"/>
      <c r="D225" s="30" t="s">
        <v>81</v>
      </c>
      <c r="E225" s="31">
        <v>5</v>
      </c>
    </row>
    <row r="226" spans="1:5" s="14" customFormat="1" x14ac:dyDescent="0.2">
      <c r="A226" s="21"/>
      <c r="B226" s="29" t="s">
        <v>82</v>
      </c>
      <c r="C226" s="29"/>
      <c r="D226" s="30" t="s">
        <v>83</v>
      </c>
      <c r="E226" s="31">
        <v>5</v>
      </c>
    </row>
    <row r="227" spans="1:5" s="14" customFormat="1" x14ac:dyDescent="0.2">
      <c r="A227" s="21"/>
      <c r="B227" s="10"/>
      <c r="C227" s="10"/>
      <c r="D227" s="11"/>
      <c r="E227" s="11"/>
    </row>
    <row r="228" spans="1:5" s="14" customFormat="1" x14ac:dyDescent="0.2">
      <c r="A228" s="21"/>
      <c r="B228" s="35" t="s">
        <v>233</v>
      </c>
      <c r="C228" s="28"/>
      <c r="D228" s="36"/>
      <c r="E228" s="36"/>
    </row>
    <row r="229" spans="1:5" x14ac:dyDescent="0.2">
      <c r="A229" s="21"/>
      <c r="B229" s="29" t="s">
        <v>234</v>
      </c>
      <c r="C229" s="29"/>
      <c r="D229" s="30" t="s">
        <v>235</v>
      </c>
      <c r="E229" s="31">
        <v>22</v>
      </c>
    </row>
    <row r="230" spans="1:5" x14ac:dyDescent="0.2">
      <c r="A230" s="21"/>
      <c r="B230" s="29" t="s">
        <v>236</v>
      </c>
      <c r="C230" s="69"/>
      <c r="D230" s="71" t="s">
        <v>237</v>
      </c>
      <c r="E230" s="31">
        <v>75</v>
      </c>
    </row>
    <row r="231" spans="1:5" x14ac:dyDescent="0.2">
      <c r="A231" s="21"/>
      <c r="B231" s="10"/>
      <c r="E231" s="11"/>
    </row>
    <row r="232" spans="1:5" s="14" customFormat="1" x14ac:dyDescent="0.2">
      <c r="A232" s="21"/>
      <c r="B232" s="46" t="s">
        <v>84</v>
      </c>
      <c r="C232" s="28"/>
      <c r="D232" s="36"/>
      <c r="E232" s="36"/>
    </row>
    <row r="233" spans="1:5" x14ac:dyDescent="0.2">
      <c r="A233" s="21"/>
      <c r="B233" s="72" t="s">
        <v>238</v>
      </c>
      <c r="C233" s="73"/>
      <c r="D233" s="74"/>
      <c r="E233" s="74"/>
    </row>
    <row r="234" spans="1:5" s="10" customFormat="1" x14ac:dyDescent="0.2">
      <c r="A234" s="21"/>
      <c r="B234" s="191" t="s">
        <v>239</v>
      </c>
      <c r="C234" s="191"/>
      <c r="D234" s="211" t="s">
        <v>240</v>
      </c>
      <c r="E234" s="219">
        <v>35</v>
      </c>
    </row>
    <row r="235" spans="1:5" s="10" customFormat="1" x14ac:dyDescent="0.2">
      <c r="A235" s="21"/>
      <c r="B235" s="197" t="s">
        <v>86</v>
      </c>
      <c r="C235" s="191"/>
      <c r="D235" s="211" t="s">
        <v>85</v>
      </c>
      <c r="E235" s="219">
        <v>43</v>
      </c>
    </row>
    <row r="236" spans="1:5" s="10" customFormat="1" x14ac:dyDescent="0.2">
      <c r="A236" s="21"/>
      <c r="B236" s="197" t="s">
        <v>88</v>
      </c>
      <c r="C236" s="191"/>
      <c r="D236" s="211" t="s">
        <v>87</v>
      </c>
      <c r="E236" s="219">
        <v>156</v>
      </c>
    </row>
    <row r="237" spans="1:5" s="10" customFormat="1" x14ac:dyDescent="0.2">
      <c r="A237" s="21"/>
      <c r="B237" s="191" t="s">
        <v>241</v>
      </c>
      <c r="C237" s="191"/>
      <c r="D237" s="211" t="s">
        <v>242</v>
      </c>
      <c r="E237" s="219">
        <v>215</v>
      </c>
    </row>
    <row r="238" spans="1:5" s="10" customFormat="1" x14ac:dyDescent="0.2">
      <c r="A238" s="21"/>
      <c r="B238" s="191" t="s">
        <v>243</v>
      </c>
      <c r="C238" s="191"/>
      <c r="D238" s="211" t="s">
        <v>244</v>
      </c>
      <c r="E238" s="219">
        <v>280</v>
      </c>
    </row>
    <row r="239" spans="1:5" s="10" customFormat="1" x14ac:dyDescent="0.2">
      <c r="A239" s="21"/>
      <c r="B239" s="191" t="s">
        <v>1978</v>
      </c>
      <c r="C239" s="191"/>
      <c r="D239" s="211" t="s">
        <v>245</v>
      </c>
      <c r="E239" s="219">
        <v>460</v>
      </c>
    </row>
    <row r="240" spans="1:5" s="10" customFormat="1" x14ac:dyDescent="0.2">
      <c r="A240" s="21"/>
      <c r="B240" s="197" t="s">
        <v>247</v>
      </c>
      <c r="C240" s="191"/>
      <c r="D240" s="211" t="s">
        <v>246</v>
      </c>
      <c r="E240" s="219">
        <v>693</v>
      </c>
    </row>
    <row r="241" spans="1:5" s="10" customFormat="1" x14ac:dyDescent="0.2">
      <c r="A241" s="21"/>
      <c r="B241" s="197" t="s">
        <v>248</v>
      </c>
      <c r="C241" s="191"/>
      <c r="D241" s="211" t="s">
        <v>249</v>
      </c>
      <c r="E241" s="219">
        <v>1250</v>
      </c>
    </row>
    <row r="242" spans="1:5" s="10" customFormat="1" x14ac:dyDescent="0.25">
      <c r="A242" s="78"/>
      <c r="B242" s="29" t="s">
        <v>250</v>
      </c>
      <c r="C242" s="29"/>
      <c r="D242" s="30" t="s">
        <v>251</v>
      </c>
      <c r="E242" s="76">
        <v>1388</v>
      </c>
    </row>
    <row r="243" spans="1:5" s="10" customFormat="1" x14ac:dyDescent="0.2">
      <c r="A243" s="21"/>
      <c r="B243" s="79" t="s">
        <v>252</v>
      </c>
      <c r="C243" s="67"/>
      <c r="D243" s="80"/>
      <c r="E243" s="32"/>
    </row>
    <row r="244" spans="1:5" s="10" customFormat="1" x14ac:dyDescent="0.2">
      <c r="A244" s="21"/>
      <c r="B244" s="29" t="s">
        <v>253</v>
      </c>
      <c r="C244" s="69"/>
      <c r="D244" s="30" t="s">
        <v>254</v>
      </c>
      <c r="E244" s="32">
        <v>441</v>
      </c>
    </row>
    <row r="245" spans="1:5" s="10" customFormat="1" x14ac:dyDescent="0.2">
      <c r="A245" s="21"/>
      <c r="B245" s="29" t="s">
        <v>255</v>
      </c>
      <c r="C245" s="69"/>
      <c r="D245" s="30" t="s">
        <v>256</v>
      </c>
      <c r="E245" s="32">
        <v>570</v>
      </c>
    </row>
    <row r="246" spans="1:5" s="10" customFormat="1" x14ac:dyDescent="0.2">
      <c r="A246" s="21"/>
      <c r="B246" s="29" t="s">
        <v>257</v>
      </c>
      <c r="C246" s="69"/>
      <c r="D246" s="30" t="s">
        <v>258</v>
      </c>
      <c r="E246" s="32">
        <v>737</v>
      </c>
    </row>
    <row r="247" spans="1:5" s="10" customFormat="1" x14ac:dyDescent="0.2">
      <c r="A247" s="21"/>
      <c r="B247" s="29" t="s">
        <v>259</v>
      </c>
      <c r="C247" s="69"/>
      <c r="D247" s="30" t="s">
        <v>260</v>
      </c>
      <c r="E247" s="32">
        <v>1560</v>
      </c>
    </row>
    <row r="248" spans="1:5" s="14" customFormat="1" x14ac:dyDescent="0.2">
      <c r="A248" s="21"/>
      <c r="B248" s="10"/>
      <c r="C248" s="10"/>
      <c r="D248" s="11"/>
      <c r="E248" s="11"/>
    </row>
    <row r="249" spans="1:5" s="14" customFormat="1" x14ac:dyDescent="0.2">
      <c r="A249" s="21"/>
      <c r="B249" s="35" t="s">
        <v>261</v>
      </c>
      <c r="C249" s="28"/>
      <c r="D249" s="36"/>
      <c r="E249" s="36"/>
    </row>
    <row r="250" spans="1:5" customFormat="1" ht="15" x14ac:dyDescent="0.25">
      <c r="A250" s="21"/>
      <c r="B250" s="29" t="s">
        <v>262</v>
      </c>
      <c r="C250" s="69"/>
      <c r="D250" s="30" t="s">
        <v>177</v>
      </c>
      <c r="E250" s="31">
        <v>5</v>
      </c>
    </row>
    <row r="251" spans="1:5" customFormat="1" ht="15" x14ac:dyDescent="0.25">
      <c r="A251" s="21"/>
      <c r="B251" s="29" t="s">
        <v>263</v>
      </c>
      <c r="C251" s="29"/>
      <c r="D251" s="30" t="s">
        <v>179</v>
      </c>
      <c r="E251" s="32">
        <v>49</v>
      </c>
    </row>
    <row r="252" spans="1:5" customFormat="1" ht="15" x14ac:dyDescent="0.25">
      <c r="A252" s="21"/>
      <c r="B252" s="29" t="s">
        <v>264</v>
      </c>
      <c r="C252" s="29"/>
      <c r="D252" s="30" t="s">
        <v>181</v>
      </c>
      <c r="E252" s="32">
        <v>12</v>
      </c>
    </row>
    <row r="253" spans="1:5" s="14" customFormat="1" x14ac:dyDescent="0.2">
      <c r="A253" s="21"/>
      <c r="B253" s="43"/>
      <c r="C253" s="44"/>
      <c r="D253" s="45"/>
      <c r="E253" s="45"/>
    </row>
    <row r="254" spans="1:5" s="14" customFormat="1" x14ac:dyDescent="0.2">
      <c r="A254" s="21"/>
      <c r="B254" s="35" t="s">
        <v>182</v>
      </c>
      <c r="C254" s="28"/>
      <c r="D254" s="36"/>
      <c r="E254" s="36"/>
    </row>
    <row r="255" spans="1:5" s="47" customFormat="1" x14ac:dyDescent="0.2">
      <c r="A255" s="21"/>
      <c r="B255" s="50" t="s">
        <v>265</v>
      </c>
      <c r="C255" s="83"/>
      <c r="D255" s="30" t="s">
        <v>93</v>
      </c>
      <c r="E255" s="31">
        <v>8</v>
      </c>
    </row>
    <row r="256" spans="1:5" s="47" customFormat="1" x14ac:dyDescent="0.2">
      <c r="A256" s="21"/>
      <c r="B256" s="50" t="s">
        <v>266</v>
      </c>
      <c r="C256" s="83"/>
      <c r="D256" s="30" t="s">
        <v>95</v>
      </c>
      <c r="E256" s="32">
        <v>8</v>
      </c>
    </row>
    <row r="257" spans="1:5" s="47" customFormat="1" x14ac:dyDescent="0.2">
      <c r="A257" s="21"/>
      <c r="B257" s="50" t="s">
        <v>267</v>
      </c>
      <c r="C257" s="83"/>
      <c r="D257" s="30" t="s">
        <v>97</v>
      </c>
      <c r="E257" s="32">
        <v>8</v>
      </c>
    </row>
    <row r="258" spans="1:5" x14ac:dyDescent="0.2">
      <c r="A258" s="21"/>
      <c r="B258" s="43"/>
      <c r="C258" s="44"/>
      <c r="E258" s="11"/>
    </row>
    <row r="259" spans="1:5" s="14" customFormat="1" x14ac:dyDescent="0.2">
      <c r="A259" s="21"/>
      <c r="B259" s="35" t="s">
        <v>268</v>
      </c>
      <c r="C259" s="28"/>
      <c r="D259" s="36"/>
      <c r="E259" s="36"/>
    </row>
    <row r="260" spans="1:5" s="47" customFormat="1" x14ac:dyDescent="0.2">
      <c r="A260" s="21"/>
      <c r="B260" s="50" t="s">
        <v>184</v>
      </c>
      <c r="C260" s="83"/>
      <c r="D260" s="30" t="s">
        <v>185</v>
      </c>
      <c r="E260" s="31">
        <v>35</v>
      </c>
    </row>
    <row r="261" spans="1:5" s="47" customFormat="1" x14ac:dyDescent="0.2">
      <c r="A261" s="21"/>
      <c r="B261" s="50" t="s">
        <v>186</v>
      </c>
      <c r="C261" s="83"/>
      <c r="D261" s="30" t="s">
        <v>187</v>
      </c>
      <c r="E261" s="32">
        <v>105</v>
      </c>
    </row>
    <row r="262" spans="1:5" s="47" customFormat="1" x14ac:dyDescent="0.2">
      <c r="A262" s="21"/>
      <c r="B262" s="50" t="s">
        <v>269</v>
      </c>
      <c r="C262" s="83"/>
      <c r="D262" s="30" t="s">
        <v>1902</v>
      </c>
      <c r="E262" s="32">
        <v>191</v>
      </c>
    </row>
    <row r="263" spans="1:5" x14ac:dyDescent="0.2">
      <c r="A263" s="21"/>
      <c r="B263" s="29" t="s">
        <v>270</v>
      </c>
      <c r="C263" s="29"/>
      <c r="D263" s="30" t="s">
        <v>1903</v>
      </c>
      <c r="E263" s="32">
        <v>38</v>
      </c>
    </row>
    <row r="264" spans="1:5" s="47" customFormat="1" x14ac:dyDescent="0.2">
      <c r="A264" s="21"/>
      <c r="B264" s="50" t="s">
        <v>190</v>
      </c>
      <c r="C264" s="83"/>
      <c r="D264" s="30" t="s">
        <v>191</v>
      </c>
      <c r="E264" s="32">
        <v>14</v>
      </c>
    </row>
    <row r="265" spans="1:5" s="47" customFormat="1" x14ac:dyDescent="0.2">
      <c r="A265" s="21"/>
      <c r="B265" s="50" t="s">
        <v>271</v>
      </c>
      <c r="C265" s="83"/>
      <c r="D265" s="30" t="s">
        <v>272</v>
      </c>
      <c r="E265" s="32">
        <v>14</v>
      </c>
    </row>
    <row r="266" spans="1:5" s="47" customFormat="1" x14ac:dyDescent="0.2">
      <c r="A266" s="21"/>
      <c r="B266" s="50" t="s">
        <v>273</v>
      </c>
      <c r="C266" s="83"/>
      <c r="D266" s="30" t="s">
        <v>274</v>
      </c>
      <c r="E266" s="32">
        <v>20</v>
      </c>
    </row>
    <row r="267" spans="1:5" x14ac:dyDescent="0.2">
      <c r="A267" s="21"/>
      <c r="B267" s="43"/>
      <c r="C267" s="44"/>
      <c r="E267" s="11"/>
    </row>
    <row r="268" spans="1:5" customFormat="1" ht="15" x14ac:dyDescent="0.25">
      <c r="A268" s="21"/>
      <c r="B268" s="35" t="s">
        <v>101</v>
      </c>
      <c r="C268" s="28"/>
      <c r="D268" s="54"/>
      <c r="E268" s="54"/>
    </row>
    <row r="269" spans="1:5" s="56" customFormat="1" ht="15" x14ac:dyDescent="0.25">
      <c r="A269" s="21"/>
      <c r="B269" s="50" t="s">
        <v>102</v>
      </c>
      <c r="C269" s="57"/>
      <c r="D269" s="30" t="s">
        <v>103</v>
      </c>
      <c r="E269" s="31">
        <v>7</v>
      </c>
    </row>
    <row r="270" spans="1:5" s="56" customFormat="1" ht="15" x14ac:dyDescent="0.25">
      <c r="A270" s="21"/>
      <c r="B270" s="50" t="s">
        <v>104</v>
      </c>
      <c r="C270" s="57"/>
      <c r="D270" s="30" t="s">
        <v>105</v>
      </c>
      <c r="E270" s="32">
        <v>15</v>
      </c>
    </row>
    <row r="271" spans="1:5" customFormat="1" ht="15" collapsed="1" x14ac:dyDescent="0.25">
      <c r="A271" s="21"/>
      <c r="B271" s="68"/>
      <c r="C271" s="68"/>
      <c r="D271" s="49"/>
      <c r="E271" s="49"/>
    </row>
    <row r="272" spans="1:5" x14ac:dyDescent="0.2">
      <c r="A272" s="21"/>
      <c r="B272" s="35" t="s">
        <v>106</v>
      </c>
      <c r="C272" s="28"/>
      <c r="D272" s="36"/>
      <c r="E272" s="36"/>
    </row>
    <row r="273" spans="1:5" x14ac:dyDescent="0.2">
      <c r="A273" s="21"/>
      <c r="B273" s="50" t="s">
        <v>107</v>
      </c>
      <c r="C273" s="57"/>
      <c r="D273" s="30" t="s">
        <v>108</v>
      </c>
      <c r="E273" s="31">
        <v>0</v>
      </c>
    </row>
    <row r="274" spans="1:5" x14ac:dyDescent="0.2">
      <c r="A274" s="21"/>
      <c r="B274" s="43"/>
      <c r="C274" s="44"/>
      <c r="E274" s="11"/>
    </row>
    <row r="275" spans="1:5" x14ac:dyDescent="0.2">
      <c r="A275" s="21"/>
      <c r="B275" s="35" t="s">
        <v>275</v>
      </c>
      <c r="C275" s="28"/>
      <c r="D275" s="36"/>
      <c r="E275" s="36"/>
    </row>
    <row r="276" spans="1:5" x14ac:dyDescent="0.2">
      <c r="A276" s="21"/>
      <c r="B276" s="50" t="s">
        <v>276</v>
      </c>
      <c r="C276" s="57" t="s">
        <v>277</v>
      </c>
      <c r="D276" s="59" t="s">
        <v>278</v>
      </c>
      <c r="E276" s="31">
        <v>14</v>
      </c>
    </row>
    <row r="277" spans="1:5" x14ac:dyDescent="0.2">
      <c r="A277" s="21"/>
      <c r="B277" s="50" t="s">
        <v>279</v>
      </c>
      <c r="C277" s="57" t="s">
        <v>280</v>
      </c>
      <c r="D277" s="59" t="s">
        <v>281</v>
      </c>
      <c r="E277" s="32">
        <v>7</v>
      </c>
    </row>
    <row r="278" spans="1:5" x14ac:dyDescent="0.2">
      <c r="A278" s="21"/>
      <c r="B278" s="43"/>
      <c r="C278" s="44"/>
      <c r="E278" s="11"/>
    </row>
    <row r="279" spans="1:5" x14ac:dyDescent="0.2">
      <c r="A279" s="21"/>
      <c r="B279" s="35" t="s">
        <v>128</v>
      </c>
      <c r="E279" s="11"/>
    </row>
    <row r="280" spans="1:5" x14ac:dyDescent="0.2">
      <c r="A280" s="21"/>
      <c r="B280" s="29" t="s">
        <v>129</v>
      </c>
      <c r="C280" s="29"/>
      <c r="D280" s="59" t="s">
        <v>130</v>
      </c>
      <c r="E280" s="58">
        <v>10</v>
      </c>
    </row>
    <row r="281" spans="1:5" x14ac:dyDescent="0.2">
      <c r="A281" s="21"/>
      <c r="B281" s="29" t="s">
        <v>131</v>
      </c>
      <c r="C281" s="29"/>
      <c r="D281" s="59" t="s">
        <v>132</v>
      </c>
      <c r="E281" s="58">
        <v>20</v>
      </c>
    </row>
    <row r="282" spans="1:5" x14ac:dyDescent="0.2">
      <c r="A282" s="21"/>
      <c r="B282" s="60" t="s">
        <v>134</v>
      </c>
      <c r="C282" s="60"/>
      <c r="D282" s="61" t="s">
        <v>133</v>
      </c>
      <c r="E282" s="62">
        <v>50</v>
      </c>
    </row>
    <row r="283" spans="1:5" x14ac:dyDescent="0.2">
      <c r="A283" s="21"/>
      <c r="B283" s="60" t="s">
        <v>136</v>
      </c>
      <c r="C283" s="60"/>
      <c r="D283" s="61" t="s">
        <v>135</v>
      </c>
      <c r="E283" s="62">
        <v>80</v>
      </c>
    </row>
    <row r="284" spans="1:5" x14ac:dyDescent="0.2">
      <c r="A284" s="21"/>
      <c r="B284" s="35"/>
    </row>
    <row r="285" spans="1:5" x14ac:dyDescent="0.2">
      <c r="B285" s="35" t="s">
        <v>137</v>
      </c>
      <c r="E285" s="8"/>
    </row>
    <row r="286" spans="1:5" x14ac:dyDescent="0.2">
      <c r="B286" s="63" t="s">
        <v>1893</v>
      </c>
      <c r="C286" s="64"/>
      <c r="D286" s="186" t="s">
        <v>138</v>
      </c>
      <c r="E286" s="66">
        <v>215</v>
      </c>
    </row>
    <row r="287" spans="1:5" x14ac:dyDescent="0.2">
      <c r="B287" s="63" t="s">
        <v>1904</v>
      </c>
      <c r="C287" s="64"/>
      <c r="D287" s="186" t="s">
        <v>139</v>
      </c>
      <c r="E287" s="66">
        <v>273</v>
      </c>
    </row>
    <row r="288" spans="1:5" x14ac:dyDescent="0.2">
      <c r="B288" s="63" t="s">
        <v>1905</v>
      </c>
      <c r="C288" s="64"/>
      <c r="D288" s="186" t="s">
        <v>140</v>
      </c>
      <c r="E288" s="66">
        <v>325</v>
      </c>
    </row>
    <row r="289" spans="1:5" x14ac:dyDescent="0.2">
      <c r="B289" s="63" t="s">
        <v>1906</v>
      </c>
      <c r="C289" s="64"/>
      <c r="D289" s="186" t="s">
        <v>141</v>
      </c>
      <c r="E289" s="66">
        <v>375</v>
      </c>
    </row>
    <row r="290" spans="1:5" x14ac:dyDescent="0.2">
      <c r="B290" s="63" t="s">
        <v>1907</v>
      </c>
      <c r="C290" s="64"/>
      <c r="D290" s="186" t="s">
        <v>142</v>
      </c>
      <c r="E290" s="66">
        <v>432</v>
      </c>
    </row>
    <row r="291" spans="1:5" x14ac:dyDescent="0.2">
      <c r="B291" s="8"/>
      <c r="C291" s="8"/>
      <c r="D291" s="8"/>
      <c r="E291" s="8"/>
    </row>
    <row r="292" spans="1:5" x14ac:dyDescent="0.2">
      <c r="A292" s="21"/>
      <c r="B292" s="35" t="s">
        <v>143</v>
      </c>
    </row>
    <row r="293" spans="1:5" x14ac:dyDescent="0.2">
      <c r="A293" s="21"/>
      <c r="B293" s="60" t="s">
        <v>146</v>
      </c>
      <c r="C293" s="60"/>
      <c r="D293" s="61" t="s">
        <v>145</v>
      </c>
      <c r="E293" s="62">
        <v>10</v>
      </c>
    </row>
    <row r="294" spans="1:5" x14ac:dyDescent="0.2">
      <c r="A294" s="21"/>
      <c r="B294" s="60" t="s">
        <v>148</v>
      </c>
      <c r="C294" s="60"/>
      <c r="D294" s="61" t="s">
        <v>147</v>
      </c>
      <c r="E294" s="62">
        <v>34</v>
      </c>
    </row>
    <row r="295" spans="1:5" x14ac:dyDescent="0.2">
      <c r="A295" s="21"/>
      <c r="B295" s="27"/>
      <c r="E295" s="11"/>
    </row>
    <row r="296" spans="1:5" x14ac:dyDescent="0.2">
      <c r="E296" s="279"/>
    </row>
    <row r="297" spans="1:5" s="56" customFormat="1" ht="15" x14ac:dyDescent="0.25">
      <c r="B297" s="280" t="s">
        <v>1940</v>
      </c>
      <c r="C297" s="281"/>
      <c r="D297" s="282"/>
      <c r="E297" s="283"/>
    </row>
    <row r="298" spans="1:5" s="56" customFormat="1" ht="15" x14ac:dyDescent="0.25">
      <c r="B298" s="284" t="s">
        <v>282</v>
      </c>
      <c r="C298" s="285"/>
      <c r="D298" s="11"/>
      <c r="E298" s="279"/>
    </row>
    <row r="299" spans="1:5" s="56" customFormat="1" ht="15" x14ac:dyDescent="0.25">
      <c r="B299" s="191" t="s">
        <v>1941</v>
      </c>
      <c r="C299" s="191"/>
      <c r="D299" s="211" t="s">
        <v>1942</v>
      </c>
      <c r="E299" s="210">
        <v>30</v>
      </c>
    </row>
    <row r="300" spans="1:5" s="56" customFormat="1" ht="15" x14ac:dyDescent="0.25">
      <c r="B300" s="191" t="s">
        <v>1943</v>
      </c>
      <c r="C300" s="191"/>
      <c r="D300" s="211" t="s">
        <v>283</v>
      </c>
      <c r="E300" s="210">
        <v>134</v>
      </c>
    </row>
    <row r="301" spans="1:5" s="56" customFormat="1" ht="15" x14ac:dyDescent="0.25">
      <c r="B301" s="191" t="s">
        <v>1944</v>
      </c>
      <c r="C301" s="191"/>
      <c r="D301" s="211" t="s">
        <v>284</v>
      </c>
      <c r="E301" s="212">
        <v>237</v>
      </c>
    </row>
    <row r="302" spans="1:5" s="56" customFormat="1" ht="15" x14ac:dyDescent="0.25">
      <c r="B302" s="191" t="s">
        <v>1945</v>
      </c>
      <c r="C302" s="191"/>
      <c r="D302" s="211" t="s">
        <v>1946</v>
      </c>
      <c r="E302" s="210">
        <v>174</v>
      </c>
    </row>
    <row r="303" spans="1:5" s="56" customFormat="1" ht="15" x14ac:dyDescent="0.25">
      <c r="B303" s="191" t="s">
        <v>1947</v>
      </c>
      <c r="C303" s="191"/>
      <c r="D303" s="211" t="s">
        <v>1948</v>
      </c>
      <c r="E303" s="212">
        <v>277</v>
      </c>
    </row>
    <row r="304" spans="1:5" s="56" customFormat="1" ht="15" x14ac:dyDescent="0.25">
      <c r="B304" s="191" t="s">
        <v>1949</v>
      </c>
      <c r="C304" s="191"/>
      <c r="D304" s="211" t="s">
        <v>285</v>
      </c>
      <c r="E304" s="212">
        <v>363</v>
      </c>
    </row>
    <row r="305" spans="2:6" s="56" customFormat="1" ht="15" x14ac:dyDescent="0.25">
      <c r="B305" s="191" t="s">
        <v>1950</v>
      </c>
      <c r="C305" s="191"/>
      <c r="D305" s="211" t="s">
        <v>287</v>
      </c>
      <c r="E305" s="212">
        <f>E304+E301-E300</f>
        <v>466</v>
      </c>
      <c r="F305" s="171"/>
    </row>
    <row r="306" spans="2:6" s="56" customFormat="1" ht="15" x14ac:dyDescent="0.25">
      <c r="B306" s="191" t="s">
        <v>1970</v>
      </c>
      <c r="C306" s="191"/>
      <c r="D306" s="211" t="s">
        <v>288</v>
      </c>
      <c r="E306" s="212">
        <f>E305+150</f>
        <v>616</v>
      </c>
    </row>
    <row r="307" spans="2:6" s="56" customFormat="1" ht="15" x14ac:dyDescent="0.25">
      <c r="B307" s="189"/>
      <c r="C307" s="188"/>
      <c r="D307" s="184"/>
      <c r="E307" s="184"/>
    </row>
    <row r="308" spans="2:6" s="56" customFormat="1" ht="15" x14ac:dyDescent="0.25">
      <c r="B308" s="313" t="s">
        <v>54</v>
      </c>
      <c r="C308" s="314"/>
      <c r="D308" s="184"/>
      <c r="E308" s="184"/>
    </row>
    <row r="309" spans="2:6" s="56" customFormat="1" ht="15" x14ac:dyDescent="0.25">
      <c r="B309" s="197" t="s">
        <v>1951</v>
      </c>
      <c r="C309" s="191"/>
      <c r="D309" s="211" t="s">
        <v>289</v>
      </c>
      <c r="E309" s="210">
        <v>114</v>
      </c>
      <c r="F309" s="171"/>
    </row>
    <row r="310" spans="2:6" s="56" customFormat="1" ht="15" x14ac:dyDescent="0.25">
      <c r="B310" s="197" t="s">
        <v>1952</v>
      </c>
      <c r="C310" s="191"/>
      <c r="D310" s="211" t="s">
        <v>290</v>
      </c>
      <c r="E310" s="212">
        <f>250-114</f>
        <v>136</v>
      </c>
    </row>
    <row r="311" spans="2:6" s="56" customFormat="1" ht="15" x14ac:dyDescent="0.25">
      <c r="B311" s="197" t="s">
        <v>1976</v>
      </c>
      <c r="C311" s="191"/>
      <c r="D311" s="211" t="s">
        <v>291</v>
      </c>
      <c r="E311" s="212">
        <v>386</v>
      </c>
    </row>
    <row r="312" spans="2:6" s="56" customFormat="1" ht="15" x14ac:dyDescent="0.25">
      <c r="B312" s="189"/>
      <c r="C312" s="188"/>
      <c r="D312" s="184"/>
      <c r="E312" s="188"/>
    </row>
    <row r="313" spans="2:6" s="56" customFormat="1" ht="15" x14ac:dyDescent="0.25">
      <c r="B313" s="313" t="s">
        <v>66</v>
      </c>
      <c r="C313" s="315"/>
      <c r="D313" s="184"/>
      <c r="E313" s="315"/>
    </row>
    <row r="314" spans="2:6" s="56" customFormat="1" ht="15" x14ac:dyDescent="0.25">
      <c r="B314" s="197" t="s">
        <v>295</v>
      </c>
      <c r="C314" s="191"/>
      <c r="D314" s="211" t="s">
        <v>296</v>
      </c>
      <c r="E314" s="210">
        <v>70</v>
      </c>
    </row>
    <row r="315" spans="2:6" s="56" customFormat="1" ht="15" x14ac:dyDescent="0.25">
      <c r="B315" s="197" t="s">
        <v>297</v>
      </c>
      <c r="C315" s="191"/>
      <c r="D315" s="211" t="s">
        <v>298</v>
      </c>
      <c r="E315" s="210">
        <v>301</v>
      </c>
    </row>
    <row r="316" spans="2:6" s="56" customFormat="1" ht="15" x14ac:dyDescent="0.25">
      <c r="B316" s="189"/>
      <c r="C316" s="188"/>
      <c r="D316" s="184"/>
      <c r="E316" s="188"/>
    </row>
    <row r="317" spans="2:6" s="56" customFormat="1" ht="15" x14ac:dyDescent="0.25">
      <c r="B317" s="313" t="s">
        <v>299</v>
      </c>
      <c r="C317" s="315"/>
      <c r="D317" s="184"/>
      <c r="E317" s="315"/>
    </row>
    <row r="318" spans="2:6" s="56" customFormat="1" ht="15" x14ac:dyDescent="0.25">
      <c r="B318" s="197" t="s">
        <v>1953</v>
      </c>
      <c r="C318" s="191"/>
      <c r="D318" s="211" t="s">
        <v>300</v>
      </c>
      <c r="E318" s="210">
        <v>54</v>
      </c>
    </row>
    <row r="319" spans="2:6" s="56" customFormat="1" ht="15" x14ac:dyDescent="0.25">
      <c r="B319" s="197" t="s">
        <v>1954</v>
      </c>
      <c r="C319" s="191"/>
      <c r="D319" s="211" t="s">
        <v>301</v>
      </c>
      <c r="E319" s="212">
        <v>72</v>
      </c>
    </row>
    <row r="320" spans="2:6" s="56" customFormat="1" ht="15" x14ac:dyDescent="0.25">
      <c r="B320" s="197" t="s">
        <v>302</v>
      </c>
      <c r="C320" s="191"/>
      <c r="D320" s="211" t="s">
        <v>303</v>
      </c>
      <c r="E320" s="212">
        <v>124</v>
      </c>
    </row>
    <row r="321" spans="2:6" s="56" customFormat="1" ht="15" x14ac:dyDescent="0.25">
      <c r="B321" s="197" t="s">
        <v>304</v>
      </c>
      <c r="C321" s="191"/>
      <c r="D321" s="211" t="s">
        <v>305</v>
      </c>
      <c r="E321" s="212">
        <v>194</v>
      </c>
    </row>
    <row r="322" spans="2:6" s="68" customFormat="1" ht="15" x14ac:dyDescent="0.25">
      <c r="B322" s="197" t="s">
        <v>344</v>
      </c>
      <c r="C322" s="191"/>
      <c r="D322" s="211" t="s">
        <v>345</v>
      </c>
      <c r="E322" s="219">
        <v>425</v>
      </c>
    </row>
    <row r="323" spans="2:6" s="56" customFormat="1" ht="15" x14ac:dyDescent="0.25">
      <c r="B323" s="189"/>
      <c r="C323" s="188"/>
      <c r="D323" s="184"/>
      <c r="E323" s="188"/>
    </row>
    <row r="324" spans="2:6" s="56" customFormat="1" ht="15" x14ac:dyDescent="0.25">
      <c r="B324" s="313" t="s">
        <v>306</v>
      </c>
      <c r="C324" s="315"/>
      <c r="D324" s="184"/>
      <c r="E324" s="315"/>
    </row>
    <row r="325" spans="2:6" s="56" customFormat="1" ht="15" x14ac:dyDescent="0.25">
      <c r="B325" s="197" t="s">
        <v>307</v>
      </c>
      <c r="C325" s="191"/>
      <c r="D325" s="211" t="s">
        <v>308</v>
      </c>
      <c r="E325" s="210">
        <v>5</v>
      </c>
    </row>
    <row r="326" spans="2:6" s="56" customFormat="1" ht="15" x14ac:dyDescent="0.25">
      <c r="B326" s="197" t="s">
        <v>309</v>
      </c>
      <c r="C326" s="191"/>
      <c r="D326" s="211" t="s">
        <v>310</v>
      </c>
      <c r="E326" s="212">
        <v>5</v>
      </c>
    </row>
    <row r="327" spans="2:6" s="56" customFormat="1" ht="15" x14ac:dyDescent="0.25">
      <c r="B327" s="189"/>
      <c r="C327" s="188"/>
      <c r="D327" s="184"/>
      <c r="E327" s="316"/>
    </row>
    <row r="328" spans="2:6" s="56" customFormat="1" ht="15" x14ac:dyDescent="0.25">
      <c r="B328" s="313" t="s">
        <v>311</v>
      </c>
      <c r="C328" s="315"/>
      <c r="D328" s="184"/>
      <c r="E328" s="316"/>
    </row>
    <row r="329" spans="2:6" s="56" customFormat="1" ht="15" x14ac:dyDescent="0.25">
      <c r="B329" s="197" t="s">
        <v>1998</v>
      </c>
      <c r="C329" s="191" t="s">
        <v>1986</v>
      </c>
      <c r="D329" s="211" t="s">
        <v>312</v>
      </c>
      <c r="E329" s="317">
        <v>15</v>
      </c>
    </row>
    <row r="330" spans="2:6" s="56" customFormat="1" ht="16.149999999999999" customHeight="1" x14ac:dyDescent="0.25">
      <c r="B330" s="197" t="s">
        <v>1955</v>
      </c>
      <c r="C330" s="191" t="s">
        <v>1987</v>
      </c>
      <c r="D330" s="211" t="s">
        <v>292</v>
      </c>
      <c r="E330" s="317">
        <v>30</v>
      </c>
    </row>
    <row r="331" spans="2:6" s="56" customFormat="1" ht="16.149999999999999" customHeight="1" x14ac:dyDescent="0.25">
      <c r="B331" s="318" t="s">
        <v>1956</v>
      </c>
      <c r="C331" s="213" t="s">
        <v>1988</v>
      </c>
      <c r="D331" s="259" t="s">
        <v>313</v>
      </c>
      <c r="E331" s="199">
        <v>76</v>
      </c>
      <c r="F331" s="309"/>
    </row>
    <row r="332" spans="2:6" s="56" customFormat="1" ht="15" x14ac:dyDescent="0.25">
      <c r="B332" s="197" t="s">
        <v>1985</v>
      </c>
      <c r="C332" s="213" t="s">
        <v>1993</v>
      </c>
      <c r="D332" s="259" t="s">
        <v>286</v>
      </c>
      <c r="E332" s="199">
        <v>24</v>
      </c>
      <c r="F332" s="308"/>
    </row>
    <row r="333" spans="2:6" s="56" customFormat="1" ht="15" x14ac:dyDescent="0.25">
      <c r="B333" s="197" t="s">
        <v>1994</v>
      </c>
      <c r="C333" s="213" t="s">
        <v>1995</v>
      </c>
      <c r="D333" s="259" t="s">
        <v>1996</v>
      </c>
      <c r="E333" s="199">
        <v>54</v>
      </c>
      <c r="F333" s="308"/>
    </row>
    <row r="334" spans="2:6" s="56" customFormat="1" ht="15" x14ac:dyDescent="0.25">
      <c r="B334" s="318" t="s">
        <v>1957</v>
      </c>
      <c r="C334" s="213" t="s">
        <v>1989</v>
      </c>
      <c r="D334" s="259" t="s">
        <v>293</v>
      </c>
      <c r="E334" s="199">
        <v>70</v>
      </c>
      <c r="F334" s="308"/>
    </row>
    <row r="335" spans="2:6" s="56" customFormat="1" ht="15" x14ac:dyDescent="0.25">
      <c r="B335" s="197" t="s">
        <v>1999</v>
      </c>
      <c r="C335" s="191" t="s">
        <v>1990</v>
      </c>
      <c r="D335" s="211" t="s">
        <v>314</v>
      </c>
      <c r="E335" s="317">
        <v>45</v>
      </c>
      <c r="F335" s="308"/>
    </row>
    <row r="336" spans="2:6" s="56" customFormat="1" ht="15" x14ac:dyDescent="0.25">
      <c r="B336" s="197" t="s">
        <v>1958</v>
      </c>
      <c r="C336" s="191" t="s">
        <v>1991</v>
      </c>
      <c r="D336" s="211" t="s">
        <v>294</v>
      </c>
      <c r="E336" s="317">
        <v>75</v>
      </c>
      <c r="F336" s="308"/>
    </row>
    <row r="337" spans="2:6" s="56" customFormat="1" ht="15" x14ac:dyDescent="0.25">
      <c r="B337" s="197" t="s">
        <v>1959</v>
      </c>
      <c r="C337" s="191" t="s">
        <v>1992</v>
      </c>
      <c r="D337" s="211" t="s">
        <v>315</v>
      </c>
      <c r="E337" s="317">
        <v>185</v>
      </c>
      <c r="F337" s="308"/>
    </row>
    <row r="338" spans="2:6" s="56" customFormat="1" ht="15" x14ac:dyDescent="0.25">
      <c r="B338" s="189"/>
      <c r="C338" s="188"/>
      <c r="D338" s="184"/>
      <c r="E338" s="316"/>
    </row>
    <row r="339" spans="2:6" x14ac:dyDescent="0.2">
      <c r="B339" s="314" t="s">
        <v>316</v>
      </c>
      <c r="C339" s="188"/>
      <c r="D339" s="184"/>
      <c r="E339" s="319"/>
    </row>
    <row r="340" spans="2:6" x14ac:dyDescent="0.2">
      <c r="B340" s="191" t="s">
        <v>317</v>
      </c>
      <c r="C340" s="191"/>
      <c r="D340" s="211" t="s">
        <v>318</v>
      </c>
      <c r="E340" s="210">
        <v>0</v>
      </c>
    </row>
    <row r="341" spans="2:6" x14ac:dyDescent="0.2">
      <c r="B341" s="197" t="s">
        <v>319</v>
      </c>
      <c r="C341" s="191"/>
      <c r="D341" s="211" t="s">
        <v>320</v>
      </c>
      <c r="E341" s="210">
        <v>0</v>
      </c>
    </row>
    <row r="342" spans="2:6" s="56" customFormat="1" ht="15" x14ac:dyDescent="0.25">
      <c r="B342" s="189"/>
      <c r="C342" s="188"/>
      <c r="D342" s="184"/>
      <c r="E342" s="184"/>
    </row>
    <row r="343" spans="2:6" s="56" customFormat="1" ht="15" x14ac:dyDescent="0.25">
      <c r="B343" s="314" t="s">
        <v>321</v>
      </c>
      <c r="C343" s="315"/>
      <c r="D343" s="184"/>
      <c r="E343" s="184"/>
    </row>
    <row r="344" spans="2:6" s="56" customFormat="1" ht="15" x14ac:dyDescent="0.25">
      <c r="B344" s="197" t="s">
        <v>322</v>
      </c>
      <c r="C344" s="191"/>
      <c r="D344" s="211" t="s">
        <v>323</v>
      </c>
      <c r="E344" s="210">
        <v>0</v>
      </c>
    </row>
    <row r="345" spans="2:6" s="56" customFormat="1" ht="15" x14ac:dyDescent="0.25">
      <c r="B345" s="197" t="s">
        <v>1960</v>
      </c>
      <c r="C345" s="191"/>
      <c r="D345" s="211" t="s">
        <v>324</v>
      </c>
      <c r="E345" s="210">
        <v>18</v>
      </c>
    </row>
    <row r="346" spans="2:6" s="56" customFormat="1" ht="15" x14ac:dyDescent="0.25">
      <c r="B346" s="189"/>
      <c r="C346" s="188"/>
      <c r="D346" s="184"/>
      <c r="E346" s="188"/>
    </row>
    <row r="347" spans="2:6" x14ac:dyDescent="0.2">
      <c r="B347" s="313" t="s">
        <v>325</v>
      </c>
      <c r="C347" s="188"/>
      <c r="D347" s="184"/>
      <c r="E347" s="315"/>
    </row>
    <row r="348" spans="2:6" x14ac:dyDescent="0.2">
      <c r="B348" s="197" t="s">
        <v>1961</v>
      </c>
      <c r="C348" s="191"/>
      <c r="D348" s="211" t="s">
        <v>326</v>
      </c>
      <c r="E348" s="210">
        <v>16</v>
      </c>
    </row>
    <row r="349" spans="2:6" x14ac:dyDescent="0.2">
      <c r="B349" s="197" t="s">
        <v>1962</v>
      </c>
      <c r="C349" s="191"/>
      <c r="D349" s="211" t="s">
        <v>329</v>
      </c>
      <c r="E349" s="210">
        <v>20</v>
      </c>
    </row>
    <row r="350" spans="2:6" s="56" customFormat="1" ht="15" x14ac:dyDescent="0.25">
      <c r="B350" s="197" t="s">
        <v>1963</v>
      </c>
      <c r="C350" s="191"/>
      <c r="D350" s="211" t="s">
        <v>327</v>
      </c>
      <c r="E350" s="212">
        <v>30</v>
      </c>
    </row>
    <row r="351" spans="2:6" s="56" customFormat="1" ht="15" x14ac:dyDescent="0.25">
      <c r="B351" s="197" t="s">
        <v>1964</v>
      </c>
      <c r="C351" s="191"/>
      <c r="D351" s="211" t="s">
        <v>328</v>
      </c>
      <c r="E351" s="212">
        <v>74</v>
      </c>
    </row>
    <row r="352" spans="2:6" s="56" customFormat="1" ht="15" x14ac:dyDescent="0.25">
      <c r="B352" s="189"/>
      <c r="C352" s="320"/>
      <c r="D352" s="184"/>
      <c r="E352" s="188"/>
    </row>
    <row r="353" spans="1:5" s="56" customFormat="1" ht="15" x14ac:dyDescent="0.25">
      <c r="B353" s="314" t="s">
        <v>1965</v>
      </c>
      <c r="C353" s="315"/>
      <c r="D353" s="184"/>
      <c r="E353" s="315"/>
    </row>
    <row r="354" spans="1:5" s="56" customFormat="1" ht="15" x14ac:dyDescent="0.25">
      <c r="B354" s="197" t="s">
        <v>1966</v>
      </c>
      <c r="C354" s="197"/>
      <c r="D354" s="211" t="s">
        <v>330</v>
      </c>
      <c r="E354" s="226">
        <v>85</v>
      </c>
    </row>
    <row r="355" spans="1:5" s="56" customFormat="1" ht="15" x14ac:dyDescent="0.25">
      <c r="B355" s="213" t="s">
        <v>2000</v>
      </c>
      <c r="C355" s="197"/>
      <c r="D355" s="211" t="s">
        <v>394</v>
      </c>
      <c r="E355" s="226">
        <v>113</v>
      </c>
    </row>
    <row r="356" spans="1:5" s="56" customFormat="1" ht="15" x14ac:dyDescent="0.25">
      <c r="B356" s="189"/>
      <c r="C356" s="188"/>
      <c r="D356" s="184"/>
      <c r="E356" s="188"/>
    </row>
    <row r="357" spans="1:5" s="56" customFormat="1" ht="15" x14ac:dyDescent="0.25">
      <c r="B357" s="313" t="s">
        <v>101</v>
      </c>
      <c r="C357" s="315"/>
      <c r="D357" s="286"/>
      <c r="E357" s="315"/>
    </row>
    <row r="358" spans="1:5" s="56" customFormat="1" ht="15" x14ac:dyDescent="0.25">
      <c r="B358" s="321" t="s">
        <v>104</v>
      </c>
      <c r="C358" s="322"/>
      <c r="D358" s="211" t="s">
        <v>105</v>
      </c>
      <c r="E358" s="210">
        <v>15</v>
      </c>
    </row>
    <row r="359" spans="1:5" s="56" customFormat="1" ht="15" x14ac:dyDescent="0.25">
      <c r="B359" s="189"/>
      <c r="C359" s="320"/>
      <c r="D359" s="184"/>
      <c r="E359" s="323"/>
    </row>
    <row r="360" spans="1:5" x14ac:dyDescent="0.2">
      <c r="B360" s="313" t="s">
        <v>128</v>
      </c>
      <c r="C360" s="188"/>
      <c r="D360" s="184"/>
      <c r="E360" s="324"/>
    </row>
    <row r="361" spans="1:5" x14ac:dyDescent="0.2">
      <c r="B361" s="224" t="s">
        <v>129</v>
      </c>
      <c r="C361" s="225"/>
      <c r="D361" s="221" t="s">
        <v>331</v>
      </c>
      <c r="E361" s="199">
        <v>20</v>
      </c>
    </row>
    <row r="362" spans="1:5" x14ac:dyDescent="0.2">
      <c r="B362" s="224" t="s">
        <v>131</v>
      </c>
      <c r="C362" s="225"/>
      <c r="D362" s="221" t="s">
        <v>332</v>
      </c>
      <c r="E362" s="199">
        <v>40</v>
      </c>
    </row>
    <row r="363" spans="1:5" x14ac:dyDescent="0.2">
      <c r="B363" s="287" t="s">
        <v>1967</v>
      </c>
      <c r="C363" s="288"/>
      <c r="D363" s="289" t="s">
        <v>333</v>
      </c>
      <c r="E363" s="290">
        <v>100</v>
      </c>
    </row>
    <row r="364" spans="1:5" x14ac:dyDescent="0.2">
      <c r="A364" s="21"/>
      <c r="B364" s="291"/>
      <c r="D364" s="10"/>
    </row>
    <row r="365" spans="1:5" x14ac:dyDescent="0.2">
      <c r="B365" s="291" t="s">
        <v>137</v>
      </c>
      <c r="E365" s="8"/>
    </row>
    <row r="366" spans="1:5" x14ac:dyDescent="0.2">
      <c r="B366" s="63" t="s">
        <v>1893</v>
      </c>
      <c r="C366" s="292"/>
      <c r="D366" s="328" t="s">
        <v>138</v>
      </c>
      <c r="E366" s="293">
        <v>215</v>
      </c>
    </row>
    <row r="367" spans="1:5" x14ac:dyDescent="0.2">
      <c r="B367" s="63" t="s">
        <v>1904</v>
      </c>
      <c r="C367" s="292"/>
      <c r="D367" s="328" t="s">
        <v>139</v>
      </c>
      <c r="E367" s="293">
        <v>273</v>
      </c>
    </row>
    <row r="368" spans="1:5" x14ac:dyDescent="0.2">
      <c r="B368" s="63" t="s">
        <v>1905</v>
      </c>
      <c r="C368" s="292"/>
      <c r="D368" s="328" t="s">
        <v>140</v>
      </c>
      <c r="E368" s="293">
        <v>325</v>
      </c>
    </row>
    <row r="369" spans="2:5" x14ac:dyDescent="0.2">
      <c r="B369" s="63" t="s">
        <v>1906</v>
      </c>
      <c r="C369" s="292"/>
      <c r="D369" s="328" t="s">
        <v>141</v>
      </c>
      <c r="E369" s="293">
        <v>375</v>
      </c>
    </row>
    <row r="370" spans="2:5" x14ac:dyDescent="0.2">
      <c r="B370" s="63" t="s">
        <v>1907</v>
      </c>
      <c r="C370" s="292"/>
      <c r="D370" s="328" t="s">
        <v>142</v>
      </c>
      <c r="E370" s="293">
        <v>432</v>
      </c>
    </row>
    <row r="371" spans="2:5" x14ac:dyDescent="0.2">
      <c r="B371" s="284"/>
      <c r="E371" s="112"/>
    </row>
    <row r="372" spans="2:5" x14ac:dyDescent="0.2">
      <c r="B372" s="284" t="s">
        <v>143</v>
      </c>
      <c r="E372" s="112"/>
    </row>
    <row r="373" spans="2:5" x14ac:dyDescent="0.2">
      <c r="B373" s="287" t="s">
        <v>1968</v>
      </c>
      <c r="C373" s="287"/>
      <c r="D373" s="289" t="s">
        <v>145</v>
      </c>
      <c r="E373" s="294">
        <v>10</v>
      </c>
    </row>
    <row r="374" spans="2:5" x14ac:dyDescent="0.2">
      <c r="B374" s="287" t="s">
        <v>1969</v>
      </c>
      <c r="C374" s="287"/>
      <c r="D374" s="289" t="s">
        <v>147</v>
      </c>
      <c r="E374" s="294">
        <v>34</v>
      </c>
    </row>
    <row r="375" spans="2:5" x14ac:dyDescent="0.2">
      <c r="B375" s="284"/>
      <c r="E375" s="112"/>
    </row>
    <row r="376" spans="2:5" s="56" customFormat="1" ht="15" x14ac:dyDescent="0.25">
      <c r="B376" s="284"/>
      <c r="C376" s="89"/>
      <c r="D376" s="90"/>
      <c r="E376" s="151"/>
    </row>
    <row r="377" spans="2:5" s="56" customFormat="1" ht="15" x14ac:dyDescent="0.25">
      <c r="B377" s="280" t="s">
        <v>1971</v>
      </c>
      <c r="C377" s="295"/>
      <c r="D377" s="296"/>
      <c r="E377" s="297"/>
    </row>
    <row r="378" spans="2:5" s="56" customFormat="1" ht="15" x14ac:dyDescent="0.25">
      <c r="B378" s="284" t="s">
        <v>282</v>
      </c>
      <c r="C378" s="285"/>
      <c r="D378" s="11"/>
      <c r="E378" s="11"/>
    </row>
    <row r="379" spans="2:5" s="56" customFormat="1" ht="15" x14ac:dyDescent="0.25">
      <c r="B379" s="191" t="s">
        <v>1972</v>
      </c>
      <c r="C379" s="191"/>
      <c r="D379" s="211" t="s">
        <v>1973</v>
      </c>
      <c r="E379" s="210">
        <v>95</v>
      </c>
    </row>
    <row r="380" spans="2:5" s="56" customFormat="1" ht="15" x14ac:dyDescent="0.25">
      <c r="B380" s="191" t="s">
        <v>1974</v>
      </c>
      <c r="C380" s="191"/>
      <c r="D380" s="211" t="s">
        <v>340</v>
      </c>
      <c r="E380" s="210">
        <v>135</v>
      </c>
    </row>
    <row r="381" spans="2:5" s="56" customFormat="1" ht="15" x14ac:dyDescent="0.25">
      <c r="B381" s="191" t="s">
        <v>1975</v>
      </c>
      <c r="C381" s="191"/>
      <c r="D381" s="211" t="s">
        <v>341</v>
      </c>
      <c r="E381" s="212">
        <v>310</v>
      </c>
    </row>
    <row r="382" spans="2:5" s="56" customFormat="1" ht="15" x14ac:dyDescent="0.25">
      <c r="B382" s="188"/>
      <c r="C382" s="188"/>
      <c r="D382" s="184"/>
      <c r="E382" s="184"/>
    </row>
    <row r="383" spans="2:5" s="56" customFormat="1" ht="15" x14ac:dyDescent="0.25">
      <c r="B383" s="325" t="s">
        <v>54</v>
      </c>
      <c r="C383" s="314"/>
      <c r="D383" s="184"/>
      <c r="E383" s="184"/>
    </row>
    <row r="384" spans="2:5" s="56" customFormat="1" ht="15" x14ac:dyDescent="0.25">
      <c r="B384" s="191" t="s">
        <v>1951</v>
      </c>
      <c r="C384" s="191"/>
      <c r="D384" s="211" t="s">
        <v>342</v>
      </c>
      <c r="E384" s="210">
        <f>2*(114-54)</f>
        <v>120</v>
      </c>
    </row>
    <row r="385" spans="2:6" s="56" customFormat="1" ht="15" x14ac:dyDescent="0.25">
      <c r="B385" s="191" t="s">
        <v>1976</v>
      </c>
      <c r="C385" s="191"/>
      <c r="D385" s="211" t="s">
        <v>343</v>
      </c>
      <c r="E385" s="212">
        <f>2*(250-54)</f>
        <v>392</v>
      </c>
      <c r="F385" s="171"/>
    </row>
    <row r="386" spans="2:6" s="56" customFormat="1" ht="15" x14ac:dyDescent="0.25">
      <c r="B386" s="188"/>
      <c r="C386" s="188"/>
      <c r="D386" s="184"/>
      <c r="E386" s="184"/>
    </row>
    <row r="387" spans="2:6" s="56" customFormat="1" ht="15" x14ac:dyDescent="0.25">
      <c r="B387" s="325" t="s">
        <v>66</v>
      </c>
      <c r="C387" s="315"/>
      <c r="D387" s="315"/>
      <c r="E387" s="315"/>
    </row>
    <row r="388" spans="2:6" s="56" customFormat="1" ht="15" x14ac:dyDescent="0.25">
      <c r="B388" s="191" t="s">
        <v>295</v>
      </c>
      <c r="C388" s="191"/>
      <c r="D388" s="211" t="s">
        <v>296</v>
      </c>
      <c r="E388" s="210">
        <v>70</v>
      </c>
    </row>
    <row r="389" spans="2:6" s="56" customFormat="1" ht="15" x14ac:dyDescent="0.25">
      <c r="B389" s="191" t="s">
        <v>297</v>
      </c>
      <c r="C389" s="191"/>
      <c r="D389" s="211" t="s">
        <v>298</v>
      </c>
      <c r="E389" s="210">
        <v>301</v>
      </c>
    </row>
    <row r="390" spans="2:6" s="56" customFormat="1" ht="15" x14ac:dyDescent="0.25">
      <c r="B390" s="188"/>
      <c r="C390" s="188"/>
      <c r="D390" s="188"/>
      <c r="E390" s="188"/>
    </row>
    <row r="391" spans="2:6" s="56" customFormat="1" ht="15" x14ac:dyDescent="0.25">
      <c r="B391" s="325" t="s">
        <v>299</v>
      </c>
      <c r="C391" s="315"/>
      <c r="D391" s="315"/>
      <c r="E391" s="315"/>
    </row>
    <row r="392" spans="2:6" s="56" customFormat="1" ht="15" x14ac:dyDescent="0.25">
      <c r="B392" s="191" t="s">
        <v>302</v>
      </c>
      <c r="C392" s="191"/>
      <c r="D392" s="211" t="s">
        <v>303</v>
      </c>
      <c r="E392" s="210">
        <v>124</v>
      </c>
    </row>
    <row r="393" spans="2:6" s="56" customFormat="1" ht="15" x14ac:dyDescent="0.25">
      <c r="B393" s="191" t="s">
        <v>304</v>
      </c>
      <c r="C393" s="191"/>
      <c r="D393" s="211" t="s">
        <v>305</v>
      </c>
      <c r="E393" s="212">
        <v>194</v>
      </c>
    </row>
    <row r="394" spans="2:6" s="56" customFormat="1" ht="15" x14ac:dyDescent="0.25">
      <c r="B394" s="197" t="s">
        <v>344</v>
      </c>
      <c r="C394" s="191"/>
      <c r="D394" s="211" t="s">
        <v>345</v>
      </c>
      <c r="E394" s="212">
        <v>425</v>
      </c>
    </row>
    <row r="395" spans="2:6" s="56" customFormat="1" ht="15" x14ac:dyDescent="0.25">
      <c r="B395" s="188"/>
      <c r="C395" s="188"/>
      <c r="D395" s="188"/>
      <c r="E395" s="188"/>
    </row>
    <row r="396" spans="2:6" s="56" customFormat="1" ht="15" x14ac:dyDescent="0.25">
      <c r="B396" s="325" t="s">
        <v>306</v>
      </c>
      <c r="C396" s="315"/>
      <c r="D396" s="315"/>
      <c r="E396" s="315"/>
    </row>
    <row r="397" spans="2:6" s="56" customFormat="1" ht="15" x14ac:dyDescent="0.25">
      <c r="B397" s="191" t="s">
        <v>307</v>
      </c>
      <c r="C397" s="191"/>
      <c r="D397" s="211" t="s">
        <v>308</v>
      </c>
      <c r="E397" s="210">
        <v>5</v>
      </c>
    </row>
    <row r="398" spans="2:6" s="56" customFormat="1" ht="15" x14ac:dyDescent="0.25">
      <c r="B398" s="191" t="s">
        <v>309</v>
      </c>
      <c r="C398" s="191"/>
      <c r="D398" s="211" t="s">
        <v>310</v>
      </c>
      <c r="E398" s="212">
        <v>5</v>
      </c>
    </row>
    <row r="399" spans="2:6" s="56" customFormat="1" ht="15" x14ac:dyDescent="0.25">
      <c r="B399" s="188"/>
      <c r="C399" s="188"/>
      <c r="D399" s="188"/>
      <c r="E399" s="188"/>
    </row>
    <row r="400" spans="2:6" s="56" customFormat="1" ht="15" x14ac:dyDescent="0.25">
      <c r="B400" s="325" t="s">
        <v>311</v>
      </c>
      <c r="C400" s="315"/>
      <c r="D400" s="315"/>
      <c r="E400" s="315"/>
    </row>
    <row r="401" spans="2:5" s="56" customFormat="1" ht="15" x14ac:dyDescent="0.25">
      <c r="B401" s="197" t="s">
        <v>1977</v>
      </c>
      <c r="C401" s="191"/>
      <c r="D401" s="211" t="s">
        <v>348</v>
      </c>
      <c r="E401" s="210">
        <v>245</v>
      </c>
    </row>
    <row r="402" spans="2:5" s="56" customFormat="1" ht="15" x14ac:dyDescent="0.25">
      <c r="B402" s="188"/>
      <c r="C402" s="188"/>
      <c r="D402" s="188"/>
      <c r="E402" s="188"/>
    </row>
    <row r="403" spans="2:5" s="56" customFormat="1" ht="15" x14ac:dyDescent="0.25">
      <c r="B403" s="315" t="s">
        <v>316</v>
      </c>
      <c r="C403" s="315"/>
      <c r="D403" s="315"/>
      <c r="E403" s="315"/>
    </row>
    <row r="404" spans="2:5" s="56" customFormat="1" ht="15" x14ac:dyDescent="0.25">
      <c r="B404" s="191" t="s">
        <v>317</v>
      </c>
      <c r="C404" s="191"/>
      <c r="D404" s="211" t="s">
        <v>318</v>
      </c>
      <c r="E404" s="210">
        <v>0</v>
      </c>
    </row>
    <row r="405" spans="2:5" s="56" customFormat="1" ht="15" x14ac:dyDescent="0.25">
      <c r="B405" s="191" t="s">
        <v>319</v>
      </c>
      <c r="C405" s="191"/>
      <c r="D405" s="211" t="s">
        <v>320</v>
      </c>
      <c r="E405" s="210">
        <v>0</v>
      </c>
    </row>
    <row r="406" spans="2:5" s="56" customFormat="1" ht="15" x14ac:dyDescent="0.25">
      <c r="B406" s="188"/>
      <c r="C406" s="188"/>
      <c r="D406" s="184"/>
      <c r="E406" s="184"/>
    </row>
    <row r="407" spans="2:5" s="56" customFormat="1" ht="15" x14ac:dyDescent="0.25">
      <c r="B407" s="315" t="s">
        <v>321</v>
      </c>
      <c r="C407" s="315"/>
      <c r="D407" s="184"/>
      <c r="E407" s="184"/>
    </row>
    <row r="408" spans="2:5" s="56" customFormat="1" ht="15" x14ac:dyDescent="0.25">
      <c r="B408" s="197" t="s">
        <v>347</v>
      </c>
      <c r="C408" s="191"/>
      <c r="D408" s="211" t="s">
        <v>346</v>
      </c>
      <c r="E408" s="210">
        <v>20</v>
      </c>
    </row>
    <row r="409" spans="2:5" s="56" customFormat="1" ht="15" x14ac:dyDescent="0.25">
      <c r="B409" s="188"/>
      <c r="C409" s="188"/>
      <c r="D409" s="188"/>
      <c r="E409" s="188"/>
    </row>
    <row r="410" spans="2:5" s="56" customFormat="1" ht="15" x14ac:dyDescent="0.25">
      <c r="B410" s="325" t="s">
        <v>101</v>
      </c>
      <c r="C410" s="315"/>
      <c r="D410" s="315"/>
      <c r="E410" s="315"/>
    </row>
    <row r="411" spans="2:5" s="56" customFormat="1" ht="15" x14ac:dyDescent="0.25">
      <c r="B411" s="326" t="s">
        <v>104</v>
      </c>
      <c r="C411" s="322"/>
      <c r="D411" s="211" t="s">
        <v>105</v>
      </c>
      <c r="E411" s="210">
        <v>15</v>
      </c>
    </row>
    <row r="412" spans="2:5" s="56" customFormat="1" ht="15" x14ac:dyDescent="0.25">
      <c r="B412" s="188"/>
      <c r="C412" s="188"/>
      <c r="D412" s="188"/>
      <c r="E412" s="188"/>
    </row>
    <row r="413" spans="2:5" s="56" customFormat="1" ht="15" x14ac:dyDescent="0.25">
      <c r="B413" s="325" t="s">
        <v>128</v>
      </c>
      <c r="C413" s="315"/>
      <c r="D413" s="315"/>
      <c r="E413" s="315"/>
    </row>
    <row r="414" spans="2:5" s="56" customFormat="1" ht="15" x14ac:dyDescent="0.25">
      <c r="B414" s="224" t="s">
        <v>129</v>
      </c>
      <c r="C414" s="225"/>
      <c r="D414" s="221" t="s">
        <v>331</v>
      </c>
      <c r="E414" s="196">
        <v>20</v>
      </c>
    </row>
    <row r="415" spans="2:5" s="56" customFormat="1" ht="15" x14ac:dyDescent="0.25">
      <c r="B415" s="224" t="s">
        <v>131</v>
      </c>
      <c r="C415" s="225"/>
      <c r="D415" s="221" t="s">
        <v>332</v>
      </c>
      <c r="E415" s="196">
        <v>40</v>
      </c>
    </row>
    <row r="416" spans="2:5" s="56" customFormat="1" ht="15" x14ac:dyDescent="0.25">
      <c r="B416" s="298" t="s">
        <v>1967</v>
      </c>
      <c r="C416" s="299"/>
      <c r="D416" s="300" t="s">
        <v>333</v>
      </c>
      <c r="E416" s="301">
        <v>100</v>
      </c>
    </row>
    <row r="417" spans="1:5" x14ac:dyDescent="0.2">
      <c r="B417" s="291"/>
    </row>
    <row r="418" spans="1:5" s="56" customFormat="1" ht="15" x14ac:dyDescent="0.25">
      <c r="B418" s="35" t="s">
        <v>137</v>
      </c>
      <c r="C418" s="10"/>
      <c r="D418" s="11"/>
      <c r="E418" s="8"/>
    </row>
    <row r="419" spans="1:5" s="56" customFormat="1" ht="15" x14ac:dyDescent="0.25">
      <c r="B419" s="63" t="s">
        <v>1893</v>
      </c>
      <c r="C419" s="64"/>
      <c r="D419" s="186" t="s">
        <v>138</v>
      </c>
      <c r="E419" s="66">
        <v>215</v>
      </c>
    </row>
    <row r="420" spans="1:5" s="56" customFormat="1" ht="15" x14ac:dyDescent="0.25">
      <c r="B420" s="63" t="s">
        <v>1904</v>
      </c>
      <c r="C420" s="64"/>
      <c r="D420" s="186" t="s">
        <v>139</v>
      </c>
      <c r="E420" s="66">
        <v>273</v>
      </c>
    </row>
    <row r="421" spans="1:5" s="56" customFormat="1" ht="15" x14ac:dyDescent="0.25">
      <c r="B421" s="63" t="s">
        <v>1905</v>
      </c>
      <c r="C421" s="64"/>
      <c r="D421" s="186" t="s">
        <v>140</v>
      </c>
      <c r="E421" s="66">
        <v>325</v>
      </c>
    </row>
    <row r="422" spans="1:5" x14ac:dyDescent="0.2">
      <c r="B422" s="63" t="s">
        <v>1906</v>
      </c>
      <c r="C422" s="64"/>
      <c r="D422" s="186" t="s">
        <v>141</v>
      </c>
      <c r="E422" s="66">
        <v>375</v>
      </c>
    </row>
    <row r="423" spans="1:5" s="56" customFormat="1" ht="15" x14ac:dyDescent="0.25">
      <c r="B423" s="63" t="s">
        <v>1907</v>
      </c>
      <c r="C423" s="64"/>
      <c r="D423" s="186" t="s">
        <v>142</v>
      </c>
      <c r="E423" s="66">
        <v>432</v>
      </c>
    </row>
    <row r="424" spans="1:5" s="56" customFormat="1" ht="15" x14ac:dyDescent="0.25">
      <c r="B424" s="291"/>
      <c r="C424" s="10"/>
      <c r="D424" s="11"/>
      <c r="E424" s="12"/>
    </row>
    <row r="425" spans="1:5" x14ac:dyDescent="0.2">
      <c r="A425" s="21"/>
      <c r="B425" s="215" t="s">
        <v>143</v>
      </c>
      <c r="C425" s="188"/>
      <c r="D425" s="184"/>
      <c r="E425" s="311"/>
    </row>
    <row r="426" spans="1:5" x14ac:dyDescent="0.2">
      <c r="A426" s="21"/>
      <c r="B426" s="287" t="s">
        <v>146</v>
      </c>
      <c r="C426" s="287"/>
      <c r="D426" s="289" t="s">
        <v>145</v>
      </c>
      <c r="E426" s="294">
        <v>10</v>
      </c>
    </row>
    <row r="427" spans="1:5" x14ac:dyDescent="0.2">
      <c r="A427" s="21"/>
      <c r="B427" s="287" t="s">
        <v>148</v>
      </c>
      <c r="C427" s="287"/>
      <c r="D427" s="289" t="s">
        <v>147</v>
      </c>
      <c r="E427" s="294">
        <v>34</v>
      </c>
    </row>
    <row r="428" spans="1:5" x14ac:dyDescent="0.2">
      <c r="A428" s="21"/>
      <c r="B428" s="35"/>
      <c r="E428" s="10"/>
    </row>
    <row r="429" spans="1:5" customFormat="1" ht="15" x14ac:dyDescent="0.25">
      <c r="A429" s="21"/>
      <c r="B429" s="91" t="s">
        <v>349</v>
      </c>
      <c r="C429" s="92"/>
      <c r="D429" s="92"/>
      <c r="E429" s="92"/>
    </row>
    <row r="430" spans="1:5" customFormat="1" ht="15" x14ac:dyDescent="0.25">
      <c r="A430" s="21"/>
      <c r="B430" s="27" t="s">
        <v>41</v>
      </c>
      <c r="C430" s="28"/>
      <c r="D430" s="28"/>
      <c r="E430" s="28"/>
    </row>
    <row r="431" spans="1:5" customFormat="1" ht="15" x14ac:dyDescent="0.25">
      <c r="A431" s="21"/>
      <c r="B431" s="29" t="s">
        <v>350</v>
      </c>
      <c r="C431" s="29"/>
      <c r="D431" s="211" t="s">
        <v>351</v>
      </c>
      <c r="E431" s="31">
        <v>188</v>
      </c>
    </row>
    <row r="432" spans="1:5" customFormat="1" ht="15" x14ac:dyDescent="0.25">
      <c r="A432" s="21"/>
      <c r="B432" s="29" t="s">
        <v>352</v>
      </c>
      <c r="C432" s="29"/>
      <c r="D432" s="211" t="s">
        <v>353</v>
      </c>
      <c r="E432" s="212">
        <v>76</v>
      </c>
    </row>
    <row r="433" spans="1:5" customFormat="1" ht="15" x14ac:dyDescent="0.25">
      <c r="A433" s="21"/>
      <c r="B433" s="29" t="s">
        <v>354</v>
      </c>
      <c r="C433" s="29"/>
      <c r="D433" s="211" t="s">
        <v>355</v>
      </c>
      <c r="E433" s="212">
        <v>258</v>
      </c>
    </row>
    <row r="434" spans="1:5" customFormat="1" ht="15" x14ac:dyDescent="0.25">
      <c r="A434" s="21"/>
      <c r="B434" s="35"/>
      <c r="C434" s="28"/>
      <c r="D434" s="184"/>
      <c r="E434" s="188"/>
    </row>
    <row r="435" spans="1:5" customFormat="1" ht="15" x14ac:dyDescent="0.25">
      <c r="A435" s="21"/>
      <c r="B435" s="35" t="s">
        <v>54</v>
      </c>
      <c r="C435" s="39"/>
      <c r="D435" s="184"/>
      <c r="E435" s="222"/>
    </row>
    <row r="436" spans="1:5" customFormat="1" ht="15" x14ac:dyDescent="0.25">
      <c r="A436" s="21"/>
      <c r="B436" s="29" t="s">
        <v>356</v>
      </c>
      <c r="C436" s="29"/>
      <c r="D436" s="211" t="s">
        <v>357</v>
      </c>
      <c r="E436" s="210">
        <v>86</v>
      </c>
    </row>
    <row r="437" spans="1:5" customFormat="1" ht="15" x14ac:dyDescent="0.25">
      <c r="A437" s="21"/>
      <c r="B437" s="29" t="s">
        <v>358</v>
      </c>
      <c r="C437" s="29"/>
      <c r="D437" s="211" t="s">
        <v>359</v>
      </c>
      <c r="E437" s="212">
        <v>96</v>
      </c>
    </row>
    <row r="438" spans="1:5" s="56" customFormat="1" ht="15" x14ac:dyDescent="0.25">
      <c r="A438" s="21"/>
      <c r="B438" s="191" t="s">
        <v>1889</v>
      </c>
      <c r="C438" s="191"/>
      <c r="D438" s="211" t="s">
        <v>1890</v>
      </c>
      <c r="E438" s="212">
        <v>278</v>
      </c>
    </row>
    <row r="439" spans="1:5" customFormat="1" ht="15" x14ac:dyDescent="0.25">
      <c r="A439" s="21"/>
      <c r="B439" s="29" t="s">
        <v>360</v>
      </c>
      <c r="C439" s="29"/>
      <c r="D439" s="211" t="s">
        <v>361</v>
      </c>
      <c r="E439" s="212">
        <v>314</v>
      </c>
    </row>
    <row r="440" spans="1:5" customFormat="1" ht="15" x14ac:dyDescent="0.25">
      <c r="A440" s="21"/>
      <c r="B440" s="29" t="s">
        <v>362</v>
      </c>
      <c r="C440" s="29"/>
      <c r="D440" s="211" t="s">
        <v>363</v>
      </c>
      <c r="E440" s="212">
        <v>714</v>
      </c>
    </row>
    <row r="441" spans="1:5" customFormat="1" ht="15" x14ac:dyDescent="0.25">
      <c r="A441" s="21"/>
      <c r="B441" s="35" t="s">
        <v>221</v>
      </c>
      <c r="C441" s="39"/>
      <c r="D441" s="39"/>
      <c r="E441" s="39"/>
    </row>
    <row r="442" spans="1:5" customFormat="1" ht="15" x14ac:dyDescent="0.25">
      <c r="A442" s="21"/>
      <c r="B442" s="29" t="s">
        <v>364</v>
      </c>
      <c r="C442" s="29"/>
      <c r="D442" s="30" t="s">
        <v>365</v>
      </c>
      <c r="E442" s="31">
        <v>22</v>
      </c>
    </row>
    <row r="443" spans="1:5" customFormat="1" ht="15" x14ac:dyDescent="0.25">
      <c r="A443" s="21"/>
      <c r="B443" s="29" t="s">
        <v>366</v>
      </c>
      <c r="C443" s="29"/>
      <c r="D443" s="30" t="s">
        <v>367</v>
      </c>
      <c r="E443" s="32">
        <v>140</v>
      </c>
    </row>
    <row r="444" spans="1:5" customFormat="1" ht="15" x14ac:dyDescent="0.25">
      <c r="A444" s="21"/>
      <c r="B444" s="29" t="s">
        <v>368</v>
      </c>
      <c r="C444" s="29"/>
      <c r="D444" s="30" t="s">
        <v>369</v>
      </c>
      <c r="E444" s="32">
        <v>366</v>
      </c>
    </row>
    <row r="445" spans="1:5" customFormat="1" ht="15" x14ac:dyDescent="0.25">
      <c r="A445" s="21"/>
      <c r="B445" s="10"/>
      <c r="C445" s="10"/>
      <c r="D445" s="11"/>
      <c r="E445" s="10"/>
    </row>
    <row r="446" spans="1:5" customFormat="1" ht="15" x14ac:dyDescent="0.25">
      <c r="A446" s="21"/>
      <c r="B446" s="35" t="s">
        <v>66</v>
      </c>
      <c r="C446" s="28"/>
      <c r="D446" s="11"/>
      <c r="E446" s="28"/>
    </row>
    <row r="447" spans="1:5" customFormat="1" ht="15" x14ac:dyDescent="0.25">
      <c r="A447" s="21"/>
      <c r="B447" s="29" t="s">
        <v>295</v>
      </c>
      <c r="C447" s="29"/>
      <c r="D447" s="30" t="s">
        <v>296</v>
      </c>
      <c r="E447" s="31">
        <v>70</v>
      </c>
    </row>
    <row r="448" spans="1:5" customFormat="1" ht="15" x14ac:dyDescent="0.25">
      <c r="A448" s="21"/>
      <c r="B448" s="29" t="s">
        <v>71</v>
      </c>
      <c r="C448" s="29"/>
      <c r="D448" s="30" t="s">
        <v>298</v>
      </c>
      <c r="E448" s="32">
        <v>301</v>
      </c>
    </row>
    <row r="449" spans="1:5" customFormat="1" ht="15" x14ac:dyDescent="0.25">
      <c r="A449" s="21"/>
      <c r="B449" s="15"/>
      <c r="C449" s="10"/>
      <c r="D449" s="11"/>
      <c r="E449" s="10"/>
    </row>
    <row r="450" spans="1:5" customFormat="1" ht="15" x14ac:dyDescent="0.25">
      <c r="A450" s="21"/>
      <c r="B450" s="35" t="s">
        <v>299</v>
      </c>
      <c r="C450" s="28"/>
      <c r="D450" s="11"/>
      <c r="E450" s="28"/>
    </row>
    <row r="451" spans="1:5" customFormat="1" ht="15" x14ac:dyDescent="0.25">
      <c r="A451" s="21"/>
      <c r="B451" s="29" t="s">
        <v>302</v>
      </c>
      <c r="C451" s="29"/>
      <c r="D451" s="30" t="s">
        <v>303</v>
      </c>
      <c r="E451" s="31">
        <v>124</v>
      </c>
    </row>
    <row r="452" spans="1:5" customFormat="1" ht="15" x14ac:dyDescent="0.25">
      <c r="A452" s="21"/>
      <c r="B452" s="29" t="s">
        <v>304</v>
      </c>
      <c r="C452" s="29"/>
      <c r="D452" s="30" t="s">
        <v>305</v>
      </c>
      <c r="E452" s="32">
        <v>194</v>
      </c>
    </row>
    <row r="453" spans="1:5" customFormat="1" ht="15" x14ac:dyDescent="0.25">
      <c r="A453" s="21"/>
      <c r="B453" s="29" t="s">
        <v>344</v>
      </c>
      <c r="C453" s="29"/>
      <c r="D453" s="30" t="s">
        <v>345</v>
      </c>
      <c r="E453" s="32">
        <v>425</v>
      </c>
    </row>
    <row r="454" spans="1:5" customFormat="1" ht="15" x14ac:dyDescent="0.25">
      <c r="A454" s="21"/>
      <c r="B454" s="10"/>
      <c r="C454" s="10"/>
      <c r="D454" s="11"/>
      <c r="E454" s="10"/>
    </row>
    <row r="455" spans="1:5" customFormat="1" ht="15" x14ac:dyDescent="0.25">
      <c r="A455" s="21"/>
      <c r="B455" s="35" t="s">
        <v>306</v>
      </c>
      <c r="C455" s="28"/>
      <c r="D455" s="11"/>
      <c r="E455" s="28"/>
    </row>
    <row r="456" spans="1:5" customFormat="1" ht="15" x14ac:dyDescent="0.25">
      <c r="A456" s="21"/>
      <c r="B456" s="29" t="s">
        <v>307</v>
      </c>
      <c r="C456" s="29"/>
      <c r="D456" s="30" t="s">
        <v>308</v>
      </c>
      <c r="E456" s="31">
        <v>5</v>
      </c>
    </row>
    <row r="457" spans="1:5" customFormat="1" ht="15" x14ac:dyDescent="0.25">
      <c r="A457" s="21"/>
      <c r="B457" s="29" t="s">
        <v>309</v>
      </c>
      <c r="C457" s="29"/>
      <c r="D457" s="30" t="s">
        <v>310</v>
      </c>
      <c r="E457" s="32">
        <v>5</v>
      </c>
    </row>
    <row r="458" spans="1:5" customFormat="1" ht="15" x14ac:dyDescent="0.25">
      <c r="A458" s="21"/>
      <c r="B458" s="10"/>
      <c r="C458" s="10"/>
      <c r="D458" s="11"/>
      <c r="E458" s="10"/>
    </row>
    <row r="459" spans="1:5" customFormat="1" ht="15" x14ac:dyDescent="0.25">
      <c r="A459" s="21"/>
      <c r="B459" s="35" t="s">
        <v>370</v>
      </c>
      <c r="C459" s="94"/>
      <c r="D459" s="11"/>
      <c r="E459" s="28"/>
    </row>
    <row r="460" spans="1:5" customFormat="1" ht="15" x14ac:dyDescent="0.25">
      <c r="A460" s="21"/>
      <c r="B460" s="29" t="s">
        <v>371</v>
      </c>
      <c r="C460" s="29"/>
      <c r="D460" s="30" t="s">
        <v>372</v>
      </c>
      <c r="E460" s="226">
        <v>300</v>
      </c>
    </row>
    <row r="461" spans="1:5" customFormat="1" ht="15" x14ac:dyDescent="0.25">
      <c r="A461" s="21"/>
      <c r="B461" s="29" t="s">
        <v>373</v>
      </c>
      <c r="C461" s="29"/>
      <c r="D461" s="30" t="s">
        <v>374</v>
      </c>
      <c r="E461" s="219">
        <v>1076</v>
      </c>
    </row>
    <row r="462" spans="1:5" customFormat="1" ht="15" x14ac:dyDescent="0.25">
      <c r="A462" s="21"/>
      <c r="B462" s="29" t="s">
        <v>375</v>
      </c>
      <c r="C462" s="29"/>
      <c r="D462" s="30" t="s">
        <v>376</v>
      </c>
      <c r="E462" s="219">
        <v>600</v>
      </c>
    </row>
    <row r="463" spans="1:5" customFormat="1" ht="15" x14ac:dyDescent="0.25">
      <c r="A463" s="21"/>
      <c r="B463" s="10"/>
      <c r="C463" s="10"/>
      <c r="D463" s="11"/>
      <c r="E463" s="188"/>
    </row>
    <row r="464" spans="1:5" customFormat="1" ht="15" x14ac:dyDescent="0.25">
      <c r="A464" s="21"/>
      <c r="B464" s="35" t="s">
        <v>377</v>
      </c>
      <c r="C464" s="28"/>
      <c r="D464" s="11"/>
      <c r="E464" s="222"/>
    </row>
    <row r="465" spans="1:5" customFormat="1" ht="15" x14ac:dyDescent="0.25">
      <c r="A465" s="21"/>
      <c r="B465" s="29" t="s">
        <v>378</v>
      </c>
      <c r="C465" s="29"/>
      <c r="D465" s="30" t="s">
        <v>379</v>
      </c>
      <c r="E465" s="270">
        <v>26</v>
      </c>
    </row>
    <row r="466" spans="1:5" customFormat="1" ht="15" x14ac:dyDescent="0.25">
      <c r="A466" s="21"/>
      <c r="B466" s="29" t="s">
        <v>380</v>
      </c>
      <c r="C466" s="29"/>
      <c r="D466" s="30" t="s">
        <v>381</v>
      </c>
      <c r="E466" s="212">
        <v>264</v>
      </c>
    </row>
    <row r="467" spans="1:5" customFormat="1" ht="15" x14ac:dyDescent="0.25">
      <c r="A467" s="21"/>
      <c r="B467" s="29" t="s">
        <v>382</v>
      </c>
      <c r="C467" s="29"/>
      <c r="D467" s="30" t="s">
        <v>383</v>
      </c>
      <c r="E467" s="212">
        <v>300</v>
      </c>
    </row>
    <row r="468" spans="1:5" customFormat="1" ht="15" x14ac:dyDescent="0.25">
      <c r="A468" s="21"/>
      <c r="B468" s="10"/>
      <c r="C468" s="10"/>
      <c r="D468" s="11"/>
      <c r="E468" s="10"/>
    </row>
    <row r="469" spans="1:5" x14ac:dyDescent="0.2">
      <c r="A469" s="21"/>
      <c r="B469" s="28" t="s">
        <v>316</v>
      </c>
      <c r="E469" s="28"/>
    </row>
    <row r="470" spans="1:5" x14ac:dyDescent="0.2">
      <c r="A470" s="21"/>
      <c r="B470" s="29" t="s">
        <v>384</v>
      </c>
      <c r="C470" s="29"/>
      <c r="D470" s="30" t="s">
        <v>318</v>
      </c>
      <c r="E470" s="31">
        <v>0</v>
      </c>
    </row>
    <row r="471" spans="1:5" x14ac:dyDescent="0.2">
      <c r="A471" s="21"/>
      <c r="B471" s="29" t="s">
        <v>319</v>
      </c>
      <c r="C471" s="29"/>
      <c r="D471" s="30" t="s">
        <v>320</v>
      </c>
      <c r="E471" s="32">
        <v>0</v>
      </c>
    </row>
    <row r="472" spans="1:5" x14ac:dyDescent="0.2">
      <c r="A472" s="21"/>
      <c r="B472" s="10"/>
      <c r="E472" s="10"/>
    </row>
    <row r="473" spans="1:5" customFormat="1" ht="15" x14ac:dyDescent="0.25">
      <c r="A473" s="21"/>
      <c r="B473" s="28" t="s">
        <v>321</v>
      </c>
      <c r="C473" s="28"/>
      <c r="D473" s="11"/>
      <c r="E473" s="28"/>
    </row>
    <row r="474" spans="1:5" customFormat="1" ht="15" x14ac:dyDescent="0.25">
      <c r="A474" s="21"/>
      <c r="B474" s="29" t="s">
        <v>385</v>
      </c>
      <c r="C474" s="29"/>
      <c r="D474" s="30" t="s">
        <v>386</v>
      </c>
      <c r="E474" s="31">
        <v>0</v>
      </c>
    </row>
    <row r="475" spans="1:5" customFormat="1" ht="15" x14ac:dyDescent="0.25">
      <c r="A475" s="21"/>
      <c r="B475" s="10"/>
      <c r="C475" s="10"/>
      <c r="D475" s="11"/>
      <c r="E475" s="10"/>
    </row>
    <row r="476" spans="1:5" customFormat="1" ht="15" x14ac:dyDescent="0.25">
      <c r="A476" s="21"/>
      <c r="B476" s="35" t="s">
        <v>325</v>
      </c>
      <c r="C476" s="10"/>
      <c r="D476" s="11"/>
      <c r="E476" s="28"/>
    </row>
    <row r="477" spans="1:5" customFormat="1" ht="15" x14ac:dyDescent="0.25">
      <c r="A477" s="21"/>
      <c r="B477" s="29" t="s">
        <v>387</v>
      </c>
      <c r="C477" s="29"/>
      <c r="D477" s="30" t="s">
        <v>388</v>
      </c>
      <c r="E477" s="31">
        <v>18</v>
      </c>
    </row>
    <row r="478" spans="1:5" customFormat="1" ht="15" x14ac:dyDescent="0.25">
      <c r="A478" s="21"/>
      <c r="B478" s="29" t="s">
        <v>389</v>
      </c>
      <c r="C478" s="29"/>
      <c r="D478" s="30" t="s">
        <v>390</v>
      </c>
      <c r="E478" s="32">
        <v>36</v>
      </c>
    </row>
    <row r="479" spans="1:5" customFormat="1" ht="15" x14ac:dyDescent="0.25">
      <c r="A479" s="21"/>
      <c r="B479" s="29" t="s">
        <v>391</v>
      </c>
      <c r="C479" s="29"/>
      <c r="D479" s="30" t="s">
        <v>392</v>
      </c>
      <c r="E479" s="32">
        <v>82</v>
      </c>
    </row>
    <row r="480" spans="1:5" customFormat="1" ht="15" x14ac:dyDescent="0.25">
      <c r="A480" s="21"/>
      <c r="B480" s="28"/>
      <c r="C480" s="28"/>
      <c r="D480" s="11"/>
      <c r="E480" s="10"/>
    </row>
    <row r="481" spans="1:5" customFormat="1" ht="15" x14ac:dyDescent="0.25">
      <c r="A481" s="21"/>
      <c r="B481" s="28" t="s">
        <v>393</v>
      </c>
      <c r="C481" s="28"/>
      <c r="D481" s="11"/>
      <c r="E481" s="28"/>
    </row>
    <row r="482" spans="1:5" customFormat="1" ht="15" x14ac:dyDescent="0.25">
      <c r="A482" s="21"/>
      <c r="B482" s="213" t="s">
        <v>395</v>
      </c>
      <c r="C482" s="29"/>
      <c r="D482" s="30" t="s">
        <v>394</v>
      </c>
      <c r="E482" s="31">
        <v>113</v>
      </c>
    </row>
    <row r="483" spans="1:5" customFormat="1" ht="15" x14ac:dyDescent="0.25">
      <c r="A483" s="21"/>
      <c r="B483" s="10"/>
      <c r="C483" s="10"/>
      <c r="D483" s="11"/>
      <c r="E483" s="10"/>
    </row>
    <row r="484" spans="1:5" customFormat="1" ht="15" x14ac:dyDescent="0.25">
      <c r="A484" s="21"/>
      <c r="B484" s="35" t="s">
        <v>101</v>
      </c>
      <c r="C484" s="28"/>
      <c r="D484" s="54"/>
      <c r="E484" s="28"/>
    </row>
    <row r="485" spans="1:5" s="56" customFormat="1" ht="15" x14ac:dyDescent="0.25">
      <c r="A485" s="21"/>
      <c r="B485" s="50" t="s">
        <v>104</v>
      </c>
      <c r="C485" s="57"/>
      <c r="D485" s="30" t="s">
        <v>105</v>
      </c>
      <c r="E485" s="31">
        <v>15</v>
      </c>
    </row>
    <row r="486" spans="1:5" x14ac:dyDescent="0.2">
      <c r="A486" s="21"/>
      <c r="B486" s="10"/>
      <c r="E486" s="10"/>
    </row>
    <row r="487" spans="1:5" x14ac:dyDescent="0.2">
      <c r="A487" s="21"/>
      <c r="B487" s="35" t="s">
        <v>128</v>
      </c>
      <c r="E487" s="28"/>
    </row>
    <row r="488" spans="1:5" x14ac:dyDescent="0.2">
      <c r="A488" s="21"/>
      <c r="B488" s="29" t="s">
        <v>129</v>
      </c>
      <c r="C488" s="84"/>
      <c r="D488" s="59" t="s">
        <v>331</v>
      </c>
      <c r="E488" s="85">
        <v>20</v>
      </c>
    </row>
    <row r="489" spans="1:5" x14ac:dyDescent="0.2">
      <c r="A489" s="21"/>
      <c r="B489" s="29" t="s">
        <v>131</v>
      </c>
      <c r="C489" s="84"/>
      <c r="D489" s="59" t="s">
        <v>332</v>
      </c>
      <c r="E489" s="85">
        <v>40</v>
      </c>
    </row>
    <row r="490" spans="1:5" x14ac:dyDescent="0.2">
      <c r="A490" s="21"/>
      <c r="B490" s="60" t="s">
        <v>134</v>
      </c>
      <c r="C490" s="86"/>
      <c r="D490" s="61" t="s">
        <v>333</v>
      </c>
      <c r="E490" s="87">
        <v>100</v>
      </c>
    </row>
    <row r="491" spans="1:5" x14ac:dyDescent="0.2">
      <c r="A491" s="21"/>
      <c r="B491" s="35"/>
    </row>
    <row r="492" spans="1:5" x14ac:dyDescent="0.2">
      <c r="B492" s="35" t="s">
        <v>137</v>
      </c>
      <c r="E492" s="8"/>
    </row>
    <row r="493" spans="1:5" x14ac:dyDescent="0.2">
      <c r="B493" s="63" t="s">
        <v>1893</v>
      </c>
      <c r="C493" s="64"/>
      <c r="D493" s="186" t="s">
        <v>138</v>
      </c>
      <c r="E493" s="66">
        <v>215</v>
      </c>
    </row>
    <row r="494" spans="1:5" x14ac:dyDescent="0.2">
      <c r="B494" s="63" t="s">
        <v>1904</v>
      </c>
      <c r="C494" s="64"/>
      <c r="D494" s="186" t="s">
        <v>139</v>
      </c>
      <c r="E494" s="66">
        <v>273</v>
      </c>
    </row>
    <row r="495" spans="1:5" x14ac:dyDescent="0.2">
      <c r="B495" s="63" t="s">
        <v>1905</v>
      </c>
      <c r="C495" s="64"/>
      <c r="D495" s="186" t="s">
        <v>140</v>
      </c>
      <c r="E495" s="66">
        <v>325</v>
      </c>
    </row>
    <row r="496" spans="1:5" x14ac:dyDescent="0.2">
      <c r="B496" s="63" t="s">
        <v>1906</v>
      </c>
      <c r="C496" s="64"/>
      <c r="D496" s="186" t="s">
        <v>141</v>
      </c>
      <c r="E496" s="66">
        <v>375</v>
      </c>
    </row>
    <row r="497" spans="1:5" x14ac:dyDescent="0.2">
      <c r="B497" s="63" t="s">
        <v>1907</v>
      </c>
      <c r="C497" s="64"/>
      <c r="D497" s="186" t="s">
        <v>142</v>
      </c>
      <c r="E497" s="66">
        <v>432</v>
      </c>
    </row>
    <row r="498" spans="1:5" x14ac:dyDescent="0.2">
      <c r="B498" s="8"/>
      <c r="C498" s="8"/>
      <c r="D498" s="8"/>
      <c r="E498" s="8"/>
    </row>
    <row r="499" spans="1:5" x14ac:dyDescent="0.2">
      <c r="A499" s="21"/>
      <c r="B499" s="35" t="s">
        <v>143</v>
      </c>
    </row>
    <row r="500" spans="1:5" x14ac:dyDescent="0.2">
      <c r="A500" s="21"/>
      <c r="B500" s="60" t="s">
        <v>146</v>
      </c>
      <c r="C500" s="60"/>
      <c r="D500" s="61" t="s">
        <v>145</v>
      </c>
      <c r="E500" s="62">
        <v>10</v>
      </c>
    </row>
    <row r="501" spans="1:5" x14ac:dyDescent="0.2">
      <c r="A501" s="21"/>
      <c r="B501" s="60" t="s">
        <v>148</v>
      </c>
      <c r="C501" s="60"/>
      <c r="D501" s="61" t="s">
        <v>147</v>
      </c>
      <c r="E501" s="62">
        <v>34</v>
      </c>
    </row>
    <row r="502" spans="1:5" ht="13.5" thickBot="1" x14ac:dyDescent="0.25">
      <c r="A502" s="21"/>
      <c r="B502" s="35"/>
      <c r="E502" s="10"/>
    </row>
    <row r="503" spans="1:5" ht="21.75" thickBot="1" x14ac:dyDescent="0.4">
      <c r="A503" s="21"/>
      <c r="B503" s="340" t="s">
        <v>399</v>
      </c>
      <c r="C503" s="341"/>
      <c r="D503" s="341"/>
      <c r="E503" s="22"/>
    </row>
    <row r="504" spans="1:5" ht="45.75" customHeight="1" thickBot="1" x14ac:dyDescent="0.25">
      <c r="A504" s="21"/>
      <c r="B504" s="17" t="s">
        <v>25</v>
      </c>
      <c r="C504" s="18" t="s">
        <v>26</v>
      </c>
      <c r="D504" s="19" t="s">
        <v>27</v>
      </c>
      <c r="E504" s="19" t="s">
        <v>28</v>
      </c>
    </row>
    <row r="505" spans="1:5" ht="127.5" x14ac:dyDescent="0.2">
      <c r="A505" s="21"/>
      <c r="B505" s="207" t="s">
        <v>1979</v>
      </c>
      <c r="C505" s="227" t="s">
        <v>33</v>
      </c>
      <c r="D505" s="203" t="s">
        <v>400</v>
      </c>
      <c r="E505" s="204">
        <v>730</v>
      </c>
    </row>
    <row r="506" spans="1:5" ht="127.5" x14ac:dyDescent="0.2">
      <c r="A506" s="21"/>
      <c r="B506" s="207" t="s">
        <v>1980</v>
      </c>
      <c r="C506" s="227" t="s">
        <v>33</v>
      </c>
      <c r="D506" s="203" t="s">
        <v>401</v>
      </c>
      <c r="E506" s="204">
        <v>920</v>
      </c>
    </row>
    <row r="507" spans="1:5" ht="165.75" x14ac:dyDescent="0.2">
      <c r="A507" s="21"/>
      <c r="B507" s="305" t="s">
        <v>1981</v>
      </c>
      <c r="C507" s="227" t="s">
        <v>402</v>
      </c>
      <c r="D507" s="203" t="s">
        <v>403</v>
      </c>
      <c r="E507" s="204">
        <v>1069</v>
      </c>
    </row>
    <row r="508" spans="1:5" ht="13.5" thickBot="1" x14ac:dyDescent="0.25">
      <c r="A508" s="21"/>
      <c r="B508" s="8"/>
      <c r="C508" s="8"/>
    </row>
    <row r="509" spans="1:5" ht="21.75" thickBot="1" x14ac:dyDescent="0.4">
      <c r="A509" s="21"/>
      <c r="B509" s="340" t="s">
        <v>404</v>
      </c>
      <c r="C509" s="341"/>
      <c r="D509" s="341"/>
      <c r="E509" s="22"/>
    </row>
    <row r="510" spans="1:5" ht="48.75" customHeight="1" thickBot="1" x14ac:dyDescent="0.25">
      <c r="A510" s="21"/>
      <c r="B510" s="17" t="s">
        <v>25</v>
      </c>
      <c r="C510" s="18" t="s">
        <v>26</v>
      </c>
      <c r="D510" s="19" t="s">
        <v>27</v>
      </c>
      <c r="E510" s="19" t="s">
        <v>28</v>
      </c>
    </row>
    <row r="511" spans="1:5" x14ac:dyDescent="0.2">
      <c r="A511" s="21"/>
      <c r="B511" s="97" t="s">
        <v>405</v>
      </c>
      <c r="C511" s="97"/>
      <c r="D511" s="98"/>
      <c r="E511" s="99"/>
    </row>
    <row r="512" spans="1:5" x14ac:dyDescent="0.2">
      <c r="A512" s="21"/>
      <c r="B512" s="46" t="s">
        <v>41</v>
      </c>
      <c r="C512" s="100"/>
    </row>
    <row r="513" spans="1:5" x14ac:dyDescent="0.2">
      <c r="A513" s="21"/>
      <c r="B513" s="29" t="s">
        <v>42</v>
      </c>
      <c r="C513" s="101"/>
      <c r="D513" s="30" t="s">
        <v>406</v>
      </c>
      <c r="E513" s="31">
        <v>27</v>
      </c>
    </row>
    <row r="514" spans="1:5" x14ac:dyDescent="0.2">
      <c r="A514" s="21"/>
      <c r="B514" s="29" t="s">
        <v>208</v>
      </c>
      <c r="C514" s="101"/>
      <c r="D514" s="30" t="s">
        <v>407</v>
      </c>
      <c r="E514" s="31">
        <v>106</v>
      </c>
    </row>
    <row r="515" spans="1:5" x14ac:dyDescent="0.2">
      <c r="A515" s="21"/>
      <c r="B515" s="29" t="s">
        <v>44</v>
      </c>
      <c r="C515" s="101"/>
      <c r="D515" s="30" t="s">
        <v>408</v>
      </c>
      <c r="E515" s="31">
        <v>124</v>
      </c>
    </row>
    <row r="516" spans="1:5" x14ac:dyDescent="0.2">
      <c r="A516" s="21"/>
      <c r="B516" s="29" t="s">
        <v>210</v>
      </c>
      <c r="C516" s="101"/>
      <c r="D516" s="30" t="s">
        <v>409</v>
      </c>
      <c r="E516" s="31">
        <v>215</v>
      </c>
    </row>
    <row r="517" spans="1:5" x14ac:dyDescent="0.2">
      <c r="A517" s="21"/>
      <c r="B517" s="29" t="s">
        <v>46</v>
      </c>
      <c r="C517" s="101"/>
      <c r="D517" s="30" t="s">
        <v>410</v>
      </c>
      <c r="E517" s="31">
        <v>269</v>
      </c>
    </row>
    <row r="518" spans="1:5" x14ac:dyDescent="0.2">
      <c r="A518" s="21"/>
      <c r="B518" s="29" t="s">
        <v>212</v>
      </c>
      <c r="C518" s="101"/>
      <c r="D518" s="30" t="s">
        <v>411</v>
      </c>
      <c r="E518" s="31">
        <v>355</v>
      </c>
    </row>
    <row r="519" spans="1:5" x14ac:dyDescent="0.2">
      <c r="A519" s="21"/>
      <c r="B519" s="29" t="s">
        <v>48</v>
      </c>
      <c r="C519" s="101"/>
      <c r="D519" s="30" t="s">
        <v>412</v>
      </c>
      <c r="E519" s="31">
        <v>113</v>
      </c>
    </row>
    <row r="520" spans="1:5" x14ac:dyDescent="0.2">
      <c r="A520" s="21"/>
      <c r="B520" s="29" t="s">
        <v>214</v>
      </c>
      <c r="C520" s="101"/>
      <c r="D520" s="30" t="s">
        <v>413</v>
      </c>
      <c r="E520" s="31">
        <v>192</v>
      </c>
    </row>
    <row r="521" spans="1:5" x14ac:dyDescent="0.2">
      <c r="A521" s="21"/>
      <c r="B521" s="29" t="s">
        <v>50</v>
      </c>
      <c r="C521" s="101"/>
      <c r="D521" s="30" t="s">
        <v>414</v>
      </c>
      <c r="E521" s="31">
        <v>239</v>
      </c>
    </row>
    <row r="522" spans="1:5" x14ac:dyDescent="0.2">
      <c r="A522" s="21"/>
      <c r="B522" s="29" t="s">
        <v>216</v>
      </c>
      <c r="C522" s="101"/>
      <c r="D522" s="30" t="s">
        <v>415</v>
      </c>
      <c r="E522" s="31">
        <v>332</v>
      </c>
    </row>
    <row r="523" spans="1:5" x14ac:dyDescent="0.2">
      <c r="A523" s="21"/>
      <c r="B523" s="29" t="s">
        <v>52</v>
      </c>
      <c r="C523" s="101"/>
      <c r="D523" s="30" t="s">
        <v>416</v>
      </c>
      <c r="E523" s="31">
        <v>443</v>
      </c>
    </row>
    <row r="524" spans="1:5" x14ac:dyDescent="0.2">
      <c r="A524" s="21"/>
      <c r="B524" s="29" t="s">
        <v>218</v>
      </c>
      <c r="C524" s="101"/>
      <c r="D524" s="30" t="s">
        <v>417</v>
      </c>
      <c r="E524" s="31">
        <v>465</v>
      </c>
    </row>
    <row r="525" spans="1:5" x14ac:dyDescent="0.2">
      <c r="A525" s="21"/>
      <c r="B525" s="35"/>
      <c r="C525" s="100"/>
      <c r="E525" s="11"/>
    </row>
    <row r="526" spans="1:5" x14ac:dyDescent="0.2">
      <c r="A526" s="21"/>
      <c r="B526" s="35" t="s">
        <v>54</v>
      </c>
      <c r="C526" s="100"/>
      <c r="D526" s="102"/>
      <c r="E526" s="102"/>
    </row>
    <row r="527" spans="1:5" x14ac:dyDescent="0.2">
      <c r="A527" s="21"/>
      <c r="B527" s="29" t="s">
        <v>55</v>
      </c>
      <c r="C527" s="103"/>
      <c r="D527" s="30" t="s">
        <v>418</v>
      </c>
      <c r="E527" s="210">
        <v>96</v>
      </c>
    </row>
    <row r="528" spans="1:5" x14ac:dyDescent="0.2">
      <c r="A528" s="21"/>
      <c r="B528" s="191" t="s">
        <v>152</v>
      </c>
      <c r="C528" s="214"/>
      <c r="D528" s="211" t="s">
        <v>153</v>
      </c>
      <c r="E528" s="210">
        <v>278</v>
      </c>
    </row>
    <row r="529" spans="1:5" x14ac:dyDescent="0.2">
      <c r="A529" s="21"/>
      <c r="B529" s="191" t="s">
        <v>57</v>
      </c>
      <c r="C529" s="214"/>
      <c r="D529" s="211" t="s">
        <v>419</v>
      </c>
      <c r="E529" s="212">
        <v>314</v>
      </c>
    </row>
    <row r="530" spans="1:5" x14ac:dyDescent="0.2">
      <c r="A530" s="21"/>
      <c r="B530" s="191" t="s">
        <v>154</v>
      </c>
      <c r="C530" s="214"/>
      <c r="D530" s="211" t="s">
        <v>420</v>
      </c>
      <c r="E530" s="212">
        <v>714</v>
      </c>
    </row>
    <row r="531" spans="1:5" x14ac:dyDescent="0.2">
      <c r="A531" s="21"/>
      <c r="B531" s="215" t="s">
        <v>221</v>
      </c>
      <c r="C531" s="232"/>
      <c r="D531" s="217"/>
      <c r="E531" s="217"/>
    </row>
    <row r="532" spans="1:5" x14ac:dyDescent="0.2">
      <c r="A532" s="21"/>
      <c r="B532" s="191" t="s">
        <v>421</v>
      </c>
      <c r="C532" s="214"/>
      <c r="D532" s="211" t="s">
        <v>422</v>
      </c>
      <c r="E532" s="212">
        <v>22</v>
      </c>
    </row>
    <row r="533" spans="1:5" x14ac:dyDescent="0.2">
      <c r="A533" s="21"/>
      <c r="B533" s="191" t="s">
        <v>423</v>
      </c>
      <c r="C533" s="214"/>
      <c r="D533" s="211" t="s">
        <v>424</v>
      </c>
      <c r="E533" s="212">
        <v>140</v>
      </c>
    </row>
    <row r="534" spans="1:5" x14ac:dyDescent="0.2">
      <c r="A534" s="21"/>
      <c r="B534" s="191" t="s">
        <v>1891</v>
      </c>
      <c r="C534" s="214"/>
      <c r="D534" s="218" t="s">
        <v>161</v>
      </c>
      <c r="E534" s="210">
        <v>366</v>
      </c>
    </row>
    <row r="535" spans="1:5" x14ac:dyDescent="0.2">
      <c r="A535" s="21"/>
      <c r="B535" s="191" t="s">
        <v>425</v>
      </c>
      <c r="C535" s="214"/>
      <c r="D535" s="211" t="s">
        <v>426</v>
      </c>
      <c r="E535" s="212">
        <v>430</v>
      </c>
    </row>
    <row r="536" spans="1:5" x14ac:dyDescent="0.2">
      <c r="A536" s="21"/>
      <c r="B536" s="191" t="s">
        <v>427</v>
      </c>
      <c r="C536" s="214"/>
      <c r="D536" s="211" t="s">
        <v>428</v>
      </c>
      <c r="E536" s="212">
        <v>946</v>
      </c>
    </row>
    <row r="537" spans="1:5" x14ac:dyDescent="0.2">
      <c r="A537" s="21"/>
      <c r="B537" s="10"/>
      <c r="C537" s="8"/>
      <c r="D537" s="105"/>
      <c r="E537" s="11"/>
    </row>
    <row r="538" spans="1:5" x14ac:dyDescent="0.2">
      <c r="A538" s="21"/>
      <c r="B538" s="35" t="s">
        <v>66</v>
      </c>
      <c r="C538" s="100"/>
      <c r="D538" s="102"/>
      <c r="E538" s="102"/>
    </row>
    <row r="539" spans="1:5" x14ac:dyDescent="0.2">
      <c r="A539" s="21"/>
      <c r="B539" s="29" t="s">
        <v>69</v>
      </c>
      <c r="C539" s="101"/>
      <c r="D539" s="30" t="s">
        <v>429</v>
      </c>
      <c r="E539" s="31">
        <v>70</v>
      </c>
    </row>
    <row r="540" spans="1:5" x14ac:dyDescent="0.2">
      <c r="A540" s="21"/>
      <c r="B540" s="29" t="s">
        <v>71</v>
      </c>
      <c r="C540" s="101"/>
      <c r="D540" s="30" t="s">
        <v>430</v>
      </c>
      <c r="E540" s="32">
        <v>301</v>
      </c>
    </row>
    <row r="541" spans="1:5" x14ac:dyDescent="0.2">
      <c r="A541" s="21"/>
      <c r="B541" s="10"/>
      <c r="C541" s="8"/>
      <c r="E541" s="11"/>
    </row>
    <row r="542" spans="1:5" x14ac:dyDescent="0.2">
      <c r="A542" s="21"/>
      <c r="B542" s="35" t="s">
        <v>228</v>
      </c>
      <c r="C542" s="100"/>
      <c r="D542" s="102"/>
      <c r="E542" s="102"/>
    </row>
    <row r="543" spans="1:5" x14ac:dyDescent="0.2">
      <c r="A543" s="21"/>
      <c r="B543" s="29" t="s">
        <v>74</v>
      </c>
      <c r="C543" s="101"/>
      <c r="D543" s="30" t="s">
        <v>431</v>
      </c>
      <c r="E543" s="31">
        <v>70</v>
      </c>
    </row>
    <row r="544" spans="1:5" x14ac:dyDescent="0.2">
      <c r="A544" s="21"/>
      <c r="B544" s="29" t="s">
        <v>67</v>
      </c>
      <c r="C544" s="101"/>
      <c r="D544" s="30" t="s">
        <v>432</v>
      </c>
      <c r="E544" s="31">
        <v>124</v>
      </c>
    </row>
    <row r="545" spans="1:5" x14ac:dyDescent="0.2">
      <c r="A545" s="21"/>
      <c r="B545" s="29" t="s">
        <v>69</v>
      </c>
      <c r="C545" s="101"/>
      <c r="D545" s="30" t="s">
        <v>433</v>
      </c>
      <c r="E545" s="32">
        <v>194</v>
      </c>
    </row>
    <row r="546" spans="1:5" x14ac:dyDescent="0.2">
      <c r="A546" s="21"/>
      <c r="B546" s="29" t="s">
        <v>71</v>
      </c>
      <c r="C546" s="101"/>
      <c r="D546" s="30" t="s">
        <v>434</v>
      </c>
      <c r="E546" s="32">
        <v>425</v>
      </c>
    </row>
    <row r="547" spans="1:5" x14ac:dyDescent="0.2">
      <c r="A547" s="21"/>
      <c r="B547" s="29" t="s">
        <v>229</v>
      </c>
      <c r="C547" s="101"/>
      <c r="D547" s="30" t="s">
        <v>435</v>
      </c>
      <c r="E547" s="32">
        <v>39</v>
      </c>
    </row>
    <row r="548" spans="1:5" x14ac:dyDescent="0.2">
      <c r="A548" s="21"/>
      <c r="B548" s="29" t="s">
        <v>167</v>
      </c>
      <c r="C548" s="101"/>
      <c r="D548" s="30" t="s">
        <v>436</v>
      </c>
      <c r="E548" s="32">
        <v>54</v>
      </c>
    </row>
    <row r="549" spans="1:5" x14ac:dyDescent="0.2">
      <c r="A549" s="21"/>
      <c r="B549" s="29" t="s">
        <v>230</v>
      </c>
      <c r="C549" s="101"/>
      <c r="D549" s="30" t="s">
        <v>437</v>
      </c>
      <c r="E549" s="32">
        <v>65</v>
      </c>
    </row>
    <row r="550" spans="1:5" x14ac:dyDescent="0.2">
      <c r="A550" s="21"/>
      <c r="B550" s="29" t="s">
        <v>231</v>
      </c>
      <c r="C550" s="101"/>
      <c r="D550" s="30" t="s">
        <v>438</v>
      </c>
      <c r="E550" s="32">
        <v>140</v>
      </c>
    </row>
    <row r="551" spans="1:5" x14ac:dyDescent="0.2">
      <c r="A551" s="21"/>
      <c r="B551" s="10"/>
      <c r="C551" s="8"/>
      <c r="E551" s="11"/>
    </row>
    <row r="552" spans="1:5" x14ac:dyDescent="0.2">
      <c r="A552" s="21"/>
      <c r="B552" s="35" t="s">
        <v>232</v>
      </c>
      <c r="C552" s="100"/>
      <c r="D552" s="102"/>
      <c r="E552" s="102"/>
    </row>
    <row r="553" spans="1:5" x14ac:dyDescent="0.2">
      <c r="A553" s="21"/>
      <c r="B553" s="29" t="s">
        <v>80</v>
      </c>
      <c r="C553" s="101"/>
      <c r="D553" s="30" t="s">
        <v>439</v>
      </c>
      <c r="E553" s="31">
        <v>5</v>
      </c>
    </row>
    <row r="554" spans="1:5" x14ac:dyDescent="0.2">
      <c r="A554" s="21"/>
      <c r="B554" s="29" t="s">
        <v>82</v>
      </c>
      <c r="C554" s="101"/>
      <c r="D554" s="30" t="s">
        <v>440</v>
      </c>
      <c r="E554" s="32">
        <v>5</v>
      </c>
    </row>
    <row r="555" spans="1:5" x14ac:dyDescent="0.2">
      <c r="A555" s="21"/>
      <c r="B555" s="10"/>
      <c r="C555" s="8"/>
      <c r="E555" s="11"/>
    </row>
    <row r="556" spans="1:5" x14ac:dyDescent="0.2">
      <c r="A556" s="21"/>
      <c r="B556" s="35" t="s">
        <v>233</v>
      </c>
      <c r="C556" s="100"/>
      <c r="D556" s="102"/>
      <c r="E556" s="102"/>
    </row>
    <row r="557" spans="1:5" x14ac:dyDescent="0.2">
      <c r="A557" s="21"/>
      <c r="B557" s="29" t="s">
        <v>234</v>
      </c>
      <c r="C557" s="101"/>
      <c r="D557" s="30" t="s">
        <v>441</v>
      </c>
      <c r="E557" s="31">
        <v>22</v>
      </c>
    </row>
    <row r="558" spans="1:5" x14ac:dyDescent="0.2">
      <c r="A558" s="21"/>
      <c r="B558" s="29" t="s">
        <v>236</v>
      </c>
      <c r="C558" s="69"/>
      <c r="D558" s="30" t="s">
        <v>442</v>
      </c>
      <c r="E558" s="32">
        <v>75</v>
      </c>
    </row>
    <row r="559" spans="1:5" x14ac:dyDescent="0.2">
      <c r="A559" s="21"/>
      <c r="B559" s="10"/>
      <c r="C559" s="8"/>
      <c r="E559" s="11"/>
    </row>
    <row r="560" spans="1:5" x14ac:dyDescent="0.2">
      <c r="A560" s="21"/>
      <c r="B560" s="35" t="s">
        <v>84</v>
      </c>
      <c r="C560" s="100"/>
      <c r="D560" s="102"/>
      <c r="E560" s="11"/>
    </row>
    <row r="561" spans="1:5" x14ac:dyDescent="0.2">
      <c r="A561" s="21"/>
      <c r="B561" s="79" t="s">
        <v>238</v>
      </c>
      <c r="C561" s="67"/>
      <c r="D561" s="80"/>
      <c r="E561" s="102"/>
    </row>
    <row r="562" spans="1:5" x14ac:dyDescent="0.2">
      <c r="A562" s="21"/>
      <c r="B562" s="228" t="s">
        <v>443</v>
      </c>
      <c r="C562" s="228"/>
      <c r="D562" s="211" t="s">
        <v>444</v>
      </c>
      <c r="E562" s="210">
        <v>245</v>
      </c>
    </row>
    <row r="563" spans="1:5" x14ac:dyDescent="0.2">
      <c r="A563" s="21"/>
      <c r="B563" s="229" t="s">
        <v>445</v>
      </c>
      <c r="C563" s="191"/>
      <c r="D563" s="211" t="s">
        <v>446</v>
      </c>
      <c r="E563" s="212">
        <v>245</v>
      </c>
    </row>
    <row r="564" spans="1:5" s="10" customFormat="1" x14ac:dyDescent="0.25">
      <c r="A564" s="78"/>
      <c r="B564" s="197" t="s">
        <v>448</v>
      </c>
      <c r="C564" s="191"/>
      <c r="D564" s="211" t="s">
        <v>447</v>
      </c>
      <c r="E564" s="219">
        <v>463</v>
      </c>
    </row>
    <row r="565" spans="1:5" s="10" customFormat="1" x14ac:dyDescent="0.25">
      <c r="A565" s="78"/>
      <c r="B565" s="197" t="s">
        <v>248</v>
      </c>
      <c r="C565" s="191"/>
      <c r="D565" s="211" t="s">
        <v>449</v>
      </c>
      <c r="E565" s="219">
        <v>1035</v>
      </c>
    </row>
    <row r="566" spans="1:5" s="10" customFormat="1" x14ac:dyDescent="0.25">
      <c r="A566" s="78"/>
      <c r="B566" s="191" t="s">
        <v>451</v>
      </c>
      <c r="C566" s="191"/>
      <c r="D566" s="211" t="s">
        <v>450</v>
      </c>
      <c r="E566" s="219">
        <v>1173</v>
      </c>
    </row>
    <row r="567" spans="1:5" s="10" customFormat="1" x14ac:dyDescent="0.25">
      <c r="A567" s="78"/>
      <c r="B567" s="79" t="s">
        <v>252</v>
      </c>
      <c r="C567" s="67"/>
      <c r="D567" s="67"/>
      <c r="E567" s="67"/>
    </row>
    <row r="568" spans="1:5" s="10" customFormat="1" x14ac:dyDescent="0.25">
      <c r="A568" s="78"/>
      <c r="B568" s="29" t="s">
        <v>253</v>
      </c>
      <c r="C568" s="29"/>
      <c r="D568" s="30" t="s">
        <v>452</v>
      </c>
      <c r="E568" s="75">
        <v>194</v>
      </c>
    </row>
    <row r="569" spans="1:5" s="10" customFormat="1" x14ac:dyDescent="0.25">
      <c r="A569" s="78"/>
      <c r="B569" s="29" t="s">
        <v>453</v>
      </c>
      <c r="C569" s="69"/>
      <c r="D569" s="30" t="s">
        <v>454</v>
      </c>
      <c r="E569" s="75">
        <v>323</v>
      </c>
    </row>
    <row r="570" spans="1:5" s="10" customFormat="1" x14ac:dyDescent="0.25">
      <c r="A570" s="78"/>
      <c r="B570" s="29" t="s">
        <v>455</v>
      </c>
      <c r="C570" s="69"/>
      <c r="D570" s="71" t="s">
        <v>456</v>
      </c>
      <c r="E570" s="75">
        <v>489</v>
      </c>
    </row>
    <row r="571" spans="1:5" s="10" customFormat="1" x14ac:dyDescent="0.25">
      <c r="A571" s="78"/>
      <c r="B571" s="29" t="s">
        <v>457</v>
      </c>
      <c r="C571" s="69"/>
      <c r="D571" s="71" t="s">
        <v>458</v>
      </c>
      <c r="E571" s="75">
        <v>1314</v>
      </c>
    </row>
    <row r="572" spans="1:5" x14ac:dyDescent="0.2">
      <c r="A572" s="21"/>
      <c r="B572" s="10"/>
      <c r="C572" s="8"/>
      <c r="E572" s="11"/>
    </row>
    <row r="573" spans="1:5" x14ac:dyDescent="0.2">
      <c r="A573" s="21"/>
      <c r="B573" s="35" t="s">
        <v>261</v>
      </c>
      <c r="C573" s="100"/>
      <c r="D573" s="102"/>
      <c r="E573" s="102"/>
    </row>
    <row r="574" spans="1:5" x14ac:dyDescent="0.2">
      <c r="A574" s="21"/>
      <c r="B574" s="29" t="s">
        <v>262</v>
      </c>
      <c r="C574" s="69"/>
      <c r="D574" s="106" t="s">
        <v>459</v>
      </c>
      <c r="E574" s="31">
        <v>5</v>
      </c>
    </row>
    <row r="575" spans="1:5" x14ac:dyDescent="0.2">
      <c r="A575" s="21"/>
      <c r="B575" s="29" t="s">
        <v>263</v>
      </c>
      <c r="C575" s="101"/>
      <c r="D575" s="106" t="s">
        <v>460</v>
      </c>
      <c r="E575" s="32">
        <v>49</v>
      </c>
    </row>
    <row r="576" spans="1:5" x14ac:dyDescent="0.2">
      <c r="A576" s="21"/>
      <c r="B576" s="29" t="s">
        <v>264</v>
      </c>
      <c r="C576" s="101"/>
      <c r="D576" s="106" t="s">
        <v>461</v>
      </c>
      <c r="E576" s="32">
        <v>12</v>
      </c>
    </row>
    <row r="577" spans="1:5" x14ac:dyDescent="0.2">
      <c r="A577" s="21"/>
      <c r="B577" s="43"/>
      <c r="C577" s="107"/>
      <c r="D577" s="108"/>
      <c r="E577" s="11"/>
    </row>
    <row r="578" spans="1:5" x14ac:dyDescent="0.2">
      <c r="A578" s="21"/>
      <c r="B578" s="35" t="s">
        <v>182</v>
      </c>
      <c r="C578" s="100"/>
      <c r="D578" s="102"/>
      <c r="E578" s="102"/>
    </row>
    <row r="579" spans="1:5" x14ac:dyDescent="0.2">
      <c r="A579" s="21"/>
      <c r="B579" s="50" t="s">
        <v>265</v>
      </c>
      <c r="C579" s="109"/>
      <c r="D579" s="106" t="s">
        <v>462</v>
      </c>
      <c r="E579" s="31">
        <v>8</v>
      </c>
    </row>
    <row r="580" spans="1:5" x14ac:dyDescent="0.2">
      <c r="A580" s="21"/>
      <c r="B580" s="50" t="s">
        <v>266</v>
      </c>
      <c r="C580" s="109"/>
      <c r="D580" s="106" t="s">
        <v>463</v>
      </c>
      <c r="E580" s="32">
        <v>8</v>
      </c>
    </row>
    <row r="581" spans="1:5" x14ac:dyDescent="0.2">
      <c r="A581" s="21"/>
      <c r="B581" s="50" t="s">
        <v>267</v>
      </c>
      <c r="C581" s="109"/>
      <c r="D581" s="106" t="s">
        <v>464</v>
      </c>
      <c r="E581" s="32">
        <v>8</v>
      </c>
    </row>
    <row r="582" spans="1:5" x14ac:dyDescent="0.2">
      <c r="A582" s="21"/>
      <c r="B582" s="43"/>
      <c r="C582" s="107"/>
      <c r="E582" s="11"/>
    </row>
    <row r="583" spans="1:5" x14ac:dyDescent="0.2">
      <c r="A583" s="21"/>
      <c r="B583" s="35" t="s">
        <v>268</v>
      </c>
      <c r="C583" s="100"/>
      <c r="D583" s="102"/>
      <c r="E583" s="102"/>
    </row>
    <row r="584" spans="1:5" x14ac:dyDescent="0.2">
      <c r="A584" s="21"/>
      <c r="B584" s="50" t="s">
        <v>184</v>
      </c>
      <c r="C584" s="109"/>
      <c r="D584" s="106" t="s">
        <v>465</v>
      </c>
      <c r="E584" s="31">
        <v>35</v>
      </c>
    </row>
    <row r="585" spans="1:5" x14ac:dyDescent="0.2">
      <c r="A585" s="21"/>
      <c r="B585" s="50" t="s">
        <v>186</v>
      </c>
      <c r="C585" s="109"/>
      <c r="D585" s="106" t="s">
        <v>466</v>
      </c>
      <c r="E585" s="32">
        <v>105</v>
      </c>
    </row>
    <row r="586" spans="1:5" x14ac:dyDescent="0.2">
      <c r="A586" s="21"/>
      <c r="B586" s="50" t="s">
        <v>269</v>
      </c>
      <c r="C586" s="109"/>
      <c r="D586" s="211" t="s">
        <v>1902</v>
      </c>
      <c r="E586" s="32">
        <v>191</v>
      </c>
    </row>
    <row r="587" spans="1:5" x14ac:dyDescent="0.2">
      <c r="A587" s="21"/>
      <c r="B587" s="29" t="s">
        <v>270</v>
      </c>
      <c r="C587" s="101"/>
      <c r="D587" s="211" t="s">
        <v>1903</v>
      </c>
      <c r="E587" s="32">
        <v>38</v>
      </c>
    </row>
    <row r="588" spans="1:5" x14ac:dyDescent="0.2">
      <c r="A588" s="21"/>
      <c r="B588" s="50" t="s">
        <v>190</v>
      </c>
      <c r="C588" s="109"/>
      <c r="D588" s="230" t="s">
        <v>467</v>
      </c>
      <c r="E588" s="32">
        <v>14</v>
      </c>
    </row>
    <row r="589" spans="1:5" x14ac:dyDescent="0.2">
      <c r="A589" s="21"/>
      <c r="B589" s="50" t="s">
        <v>271</v>
      </c>
      <c r="C589" s="109"/>
      <c r="D589" s="106" t="s">
        <v>468</v>
      </c>
      <c r="E589" s="32">
        <v>14</v>
      </c>
    </row>
    <row r="590" spans="1:5" x14ac:dyDescent="0.2">
      <c r="A590" s="21"/>
      <c r="B590" s="50" t="s">
        <v>273</v>
      </c>
      <c r="C590" s="109"/>
      <c r="D590" s="106" t="s">
        <v>469</v>
      </c>
      <c r="E590" s="32">
        <v>20</v>
      </c>
    </row>
    <row r="591" spans="1:5" x14ac:dyDescent="0.2">
      <c r="A591" s="21"/>
      <c r="B591" s="43"/>
      <c r="C591" s="107"/>
      <c r="E591" s="11"/>
    </row>
    <row r="592" spans="1:5" x14ac:dyDescent="0.2">
      <c r="A592" s="21"/>
      <c r="B592" s="35" t="s">
        <v>101</v>
      </c>
      <c r="C592" s="100"/>
      <c r="D592" s="54"/>
      <c r="E592" s="102"/>
    </row>
    <row r="593" spans="1:5" x14ac:dyDescent="0.2">
      <c r="A593" s="21"/>
      <c r="B593" s="50" t="s">
        <v>102</v>
      </c>
      <c r="C593" s="110"/>
      <c r="D593" s="30" t="s">
        <v>103</v>
      </c>
      <c r="E593" s="31">
        <v>7</v>
      </c>
    </row>
    <row r="594" spans="1:5" x14ac:dyDescent="0.2">
      <c r="A594" s="21"/>
      <c r="B594" s="50" t="s">
        <v>104</v>
      </c>
      <c r="C594" s="110"/>
      <c r="D594" s="30" t="s">
        <v>105</v>
      </c>
      <c r="E594" s="32">
        <v>15</v>
      </c>
    </row>
    <row r="595" spans="1:5" x14ac:dyDescent="0.2">
      <c r="A595" s="21"/>
      <c r="B595" s="10"/>
      <c r="C595" s="8"/>
      <c r="D595" s="105"/>
      <c r="E595" s="11"/>
    </row>
    <row r="596" spans="1:5" x14ac:dyDescent="0.2">
      <c r="A596" s="21"/>
      <c r="B596" s="35" t="s">
        <v>1896</v>
      </c>
      <c r="C596" s="100"/>
      <c r="D596" s="54"/>
      <c r="E596" s="102"/>
    </row>
    <row r="597" spans="1:5" x14ac:dyDescent="0.2">
      <c r="A597" s="21"/>
      <c r="B597" s="223" t="s">
        <v>1657</v>
      </c>
      <c r="C597" s="231"/>
      <c r="D597" s="211" t="s">
        <v>1897</v>
      </c>
      <c r="E597" s="210">
        <v>11</v>
      </c>
    </row>
    <row r="598" spans="1:5" x14ac:dyDescent="0.2">
      <c r="A598" s="21"/>
      <c r="B598" s="223" t="s">
        <v>1660</v>
      </c>
      <c r="C598" s="231"/>
      <c r="D598" s="211" t="s">
        <v>1898</v>
      </c>
      <c r="E598" s="212">
        <v>104</v>
      </c>
    </row>
    <row r="599" spans="1:5" x14ac:dyDescent="0.2">
      <c r="A599" s="21"/>
      <c r="B599" s="10"/>
      <c r="C599" s="8"/>
      <c r="D599" s="105"/>
      <c r="E599" s="11"/>
    </row>
    <row r="600" spans="1:5" x14ac:dyDescent="0.2">
      <c r="A600" s="21"/>
      <c r="B600" s="35" t="s">
        <v>106</v>
      </c>
      <c r="C600" s="100"/>
      <c r="D600" s="102"/>
      <c r="E600" s="102"/>
    </row>
    <row r="601" spans="1:5" x14ac:dyDescent="0.2">
      <c r="A601" s="21"/>
      <c r="B601" s="50" t="s">
        <v>107</v>
      </c>
      <c r="C601" s="110"/>
      <c r="D601" s="30" t="s">
        <v>108</v>
      </c>
      <c r="E601" s="31">
        <v>0</v>
      </c>
    </row>
    <row r="602" spans="1:5" x14ac:dyDescent="0.2">
      <c r="A602" s="21"/>
      <c r="B602" s="43"/>
      <c r="C602" s="107"/>
      <c r="E602" s="11"/>
    </row>
    <row r="603" spans="1:5" x14ac:dyDescent="0.2">
      <c r="A603" s="21"/>
      <c r="B603" s="35" t="s">
        <v>275</v>
      </c>
      <c r="C603" s="100"/>
      <c r="D603" s="102"/>
      <c r="E603" s="102"/>
    </row>
    <row r="604" spans="1:5" x14ac:dyDescent="0.2">
      <c r="A604" s="21"/>
      <c r="B604" s="50" t="s">
        <v>276</v>
      </c>
      <c r="C604" s="110" t="s">
        <v>277</v>
      </c>
      <c r="D604" s="59" t="s">
        <v>278</v>
      </c>
      <c r="E604" s="31">
        <v>14</v>
      </c>
    </row>
    <row r="605" spans="1:5" x14ac:dyDescent="0.2">
      <c r="A605" s="21"/>
      <c r="B605" s="50" t="s">
        <v>279</v>
      </c>
      <c r="C605" s="110" t="s">
        <v>280</v>
      </c>
      <c r="D605" s="59" t="s">
        <v>281</v>
      </c>
      <c r="E605" s="32">
        <v>7</v>
      </c>
    </row>
    <row r="606" spans="1:5" x14ac:dyDescent="0.2">
      <c r="A606" s="21"/>
      <c r="B606" s="43"/>
      <c r="C606" s="107"/>
      <c r="D606" s="90"/>
      <c r="E606" s="11"/>
    </row>
    <row r="607" spans="1:5" x14ac:dyDescent="0.2">
      <c r="A607" s="21"/>
      <c r="B607" s="35" t="s">
        <v>128</v>
      </c>
      <c r="E607" s="102"/>
    </row>
    <row r="608" spans="1:5" x14ac:dyDescent="0.2">
      <c r="A608" s="21"/>
      <c r="B608" s="29" t="s">
        <v>129</v>
      </c>
      <c r="C608" s="29"/>
      <c r="D608" s="59" t="s">
        <v>130</v>
      </c>
      <c r="E608" s="111">
        <v>10</v>
      </c>
    </row>
    <row r="609" spans="1:5" x14ac:dyDescent="0.2">
      <c r="A609" s="21"/>
      <c r="B609" s="29" t="s">
        <v>131</v>
      </c>
      <c r="C609" s="29"/>
      <c r="D609" s="59" t="s">
        <v>132</v>
      </c>
      <c r="E609" s="111">
        <v>20</v>
      </c>
    </row>
    <row r="610" spans="1:5" x14ac:dyDescent="0.2">
      <c r="A610" s="21"/>
      <c r="B610" s="60" t="s">
        <v>134</v>
      </c>
      <c r="C610" s="60"/>
      <c r="D610" s="61" t="s">
        <v>133</v>
      </c>
      <c r="E610" s="113">
        <v>50</v>
      </c>
    </row>
    <row r="611" spans="1:5" x14ac:dyDescent="0.2">
      <c r="A611" s="21"/>
      <c r="B611" s="60" t="s">
        <v>136</v>
      </c>
      <c r="C611" s="60"/>
      <c r="D611" s="61" t="s">
        <v>135</v>
      </c>
      <c r="E611" s="113">
        <v>80</v>
      </c>
    </row>
    <row r="612" spans="1:5" x14ac:dyDescent="0.2">
      <c r="A612" s="21"/>
      <c r="B612" s="35"/>
      <c r="E612" s="112"/>
    </row>
    <row r="613" spans="1:5" x14ac:dyDescent="0.2">
      <c r="B613" s="35" t="s">
        <v>137</v>
      </c>
      <c r="E613" s="8"/>
    </row>
    <row r="614" spans="1:5" x14ac:dyDescent="0.2">
      <c r="B614" s="63" t="s">
        <v>1893</v>
      </c>
      <c r="C614" s="64"/>
      <c r="D614" s="186" t="s">
        <v>138</v>
      </c>
      <c r="E614" s="66">
        <v>215</v>
      </c>
    </row>
    <row r="615" spans="1:5" x14ac:dyDescent="0.2">
      <c r="B615" s="63" t="s">
        <v>1904</v>
      </c>
      <c r="C615" s="64"/>
      <c r="D615" s="186" t="s">
        <v>139</v>
      </c>
      <c r="E615" s="66">
        <v>273</v>
      </c>
    </row>
    <row r="616" spans="1:5" x14ac:dyDescent="0.2">
      <c r="B616" s="63" t="s">
        <v>1905</v>
      </c>
      <c r="C616" s="64"/>
      <c r="D616" s="186" t="s">
        <v>140</v>
      </c>
      <c r="E616" s="66">
        <v>325</v>
      </c>
    </row>
    <row r="617" spans="1:5" x14ac:dyDescent="0.2">
      <c r="B617" s="63" t="s">
        <v>1906</v>
      </c>
      <c r="C617" s="64"/>
      <c r="D617" s="186" t="s">
        <v>141</v>
      </c>
      <c r="E617" s="66">
        <v>375</v>
      </c>
    </row>
    <row r="618" spans="1:5" x14ac:dyDescent="0.2">
      <c r="B618" s="63" t="s">
        <v>1907</v>
      </c>
      <c r="C618" s="64"/>
      <c r="D618" s="186" t="s">
        <v>142</v>
      </c>
      <c r="E618" s="66">
        <v>432</v>
      </c>
    </row>
    <row r="619" spans="1:5" x14ac:dyDescent="0.2">
      <c r="B619" s="8"/>
      <c r="C619" s="8"/>
      <c r="D619" s="8"/>
      <c r="E619" s="8"/>
    </row>
    <row r="620" spans="1:5" x14ac:dyDescent="0.2">
      <c r="A620" s="21"/>
      <c r="B620" s="35" t="s">
        <v>143</v>
      </c>
    </row>
    <row r="621" spans="1:5" x14ac:dyDescent="0.2">
      <c r="A621" s="21"/>
      <c r="B621" s="60" t="s">
        <v>146</v>
      </c>
      <c r="C621" s="60"/>
      <c r="D621" s="61" t="s">
        <v>145</v>
      </c>
      <c r="E621" s="62">
        <v>10</v>
      </c>
    </row>
    <row r="622" spans="1:5" x14ac:dyDescent="0.2">
      <c r="A622" s="21"/>
      <c r="B622" s="60" t="s">
        <v>148</v>
      </c>
      <c r="C622" s="60"/>
      <c r="D622" s="61" t="s">
        <v>147</v>
      </c>
      <c r="E622" s="62">
        <v>34</v>
      </c>
    </row>
    <row r="623" spans="1:5" x14ac:dyDescent="0.2">
      <c r="A623" s="21"/>
      <c r="B623" s="27"/>
      <c r="E623" s="11"/>
    </row>
    <row r="624" spans="1:5" x14ac:dyDescent="0.2">
      <c r="A624" s="21"/>
      <c r="B624" s="97" t="s">
        <v>470</v>
      </c>
      <c r="C624" s="97"/>
      <c r="D624" s="98"/>
      <c r="E624" s="98"/>
    </row>
    <row r="625" spans="1:5" x14ac:dyDescent="0.2">
      <c r="A625" s="21"/>
      <c r="B625" s="46" t="s">
        <v>41</v>
      </c>
      <c r="C625" s="100"/>
      <c r="E625" s="11"/>
    </row>
    <row r="626" spans="1:5" x14ac:dyDescent="0.2">
      <c r="A626" s="21"/>
      <c r="B626" s="29" t="s">
        <v>210</v>
      </c>
      <c r="C626" s="101"/>
      <c r="D626" s="30" t="s">
        <v>471</v>
      </c>
      <c r="E626" s="31">
        <v>91</v>
      </c>
    </row>
    <row r="627" spans="1:5" x14ac:dyDescent="0.2">
      <c r="A627" s="21"/>
      <c r="B627" s="29" t="s">
        <v>46</v>
      </c>
      <c r="C627" s="101"/>
      <c r="D627" s="30" t="s">
        <v>472</v>
      </c>
      <c r="E627" s="31">
        <v>145</v>
      </c>
    </row>
    <row r="628" spans="1:5" x14ac:dyDescent="0.2">
      <c r="A628" s="21"/>
      <c r="B628" s="29" t="s">
        <v>212</v>
      </c>
      <c r="C628" s="101"/>
      <c r="D628" s="30" t="s">
        <v>473</v>
      </c>
      <c r="E628" s="31">
        <v>231</v>
      </c>
    </row>
    <row r="629" spans="1:5" x14ac:dyDescent="0.2">
      <c r="A629" s="21"/>
      <c r="B629" s="29" t="s">
        <v>50</v>
      </c>
      <c r="C629" s="101"/>
      <c r="D629" s="30" t="s">
        <v>474</v>
      </c>
      <c r="E629" s="210">
        <v>115</v>
      </c>
    </row>
    <row r="630" spans="1:5" x14ac:dyDescent="0.2">
      <c r="A630" s="21"/>
      <c r="B630" s="29" t="s">
        <v>216</v>
      </c>
      <c r="C630" s="101"/>
      <c r="D630" s="30" t="s">
        <v>475</v>
      </c>
      <c r="E630" s="31">
        <v>208</v>
      </c>
    </row>
    <row r="631" spans="1:5" x14ac:dyDescent="0.2">
      <c r="A631" s="21"/>
      <c r="B631" s="29" t="s">
        <v>52</v>
      </c>
      <c r="C631" s="101"/>
      <c r="D631" s="30" t="s">
        <v>476</v>
      </c>
      <c r="E631" s="31">
        <v>319</v>
      </c>
    </row>
    <row r="632" spans="1:5" x14ac:dyDescent="0.2">
      <c r="A632" s="21"/>
      <c r="B632" s="29" t="s">
        <v>218</v>
      </c>
      <c r="C632" s="101"/>
      <c r="D632" s="30" t="s">
        <v>477</v>
      </c>
      <c r="E632" s="31">
        <v>341</v>
      </c>
    </row>
    <row r="633" spans="1:5" x14ac:dyDescent="0.2">
      <c r="A633" s="21"/>
      <c r="B633" s="35"/>
      <c r="C633" s="100"/>
      <c r="E633" s="11"/>
    </row>
    <row r="634" spans="1:5" x14ac:dyDescent="0.2">
      <c r="A634" s="21"/>
      <c r="B634" s="35" t="s">
        <v>54</v>
      </c>
      <c r="C634" s="100"/>
      <c r="D634" s="102"/>
      <c r="E634" s="102"/>
    </row>
    <row r="635" spans="1:5" x14ac:dyDescent="0.2">
      <c r="A635" s="21"/>
      <c r="B635" s="191" t="s">
        <v>152</v>
      </c>
      <c r="C635" s="214"/>
      <c r="D635" s="211" t="s">
        <v>484</v>
      </c>
      <c r="E635" s="210">
        <v>182</v>
      </c>
    </row>
    <row r="636" spans="1:5" x14ac:dyDescent="0.2">
      <c r="A636" s="21"/>
      <c r="B636" s="191" t="s">
        <v>57</v>
      </c>
      <c r="C636" s="214"/>
      <c r="D636" s="211" t="s">
        <v>478</v>
      </c>
      <c r="E636" s="210">
        <v>218</v>
      </c>
    </row>
    <row r="637" spans="1:5" x14ac:dyDescent="0.2">
      <c r="A637" s="21"/>
      <c r="B637" s="191" t="s">
        <v>154</v>
      </c>
      <c r="C637" s="214"/>
      <c r="D637" s="211" t="s">
        <v>479</v>
      </c>
      <c r="E637" s="212">
        <v>618</v>
      </c>
    </row>
    <row r="638" spans="1:5" x14ac:dyDescent="0.2">
      <c r="A638" s="21"/>
      <c r="B638" s="215" t="s">
        <v>221</v>
      </c>
      <c r="C638" s="232"/>
      <c r="D638" s="217"/>
      <c r="E638" s="217"/>
    </row>
    <row r="639" spans="1:5" x14ac:dyDescent="0.2">
      <c r="A639" s="21"/>
      <c r="B639" s="191" t="s">
        <v>423</v>
      </c>
      <c r="C639" s="214"/>
      <c r="D639" s="211" t="s">
        <v>480</v>
      </c>
      <c r="E639" s="212">
        <v>44</v>
      </c>
    </row>
    <row r="640" spans="1:5" x14ac:dyDescent="0.2">
      <c r="A640" s="21"/>
      <c r="B640" s="191" t="s">
        <v>1891</v>
      </c>
      <c r="C640" s="214"/>
      <c r="D640" s="211"/>
      <c r="E640" s="210">
        <v>270</v>
      </c>
    </row>
    <row r="641" spans="1:5" x14ac:dyDescent="0.2">
      <c r="A641" s="21"/>
      <c r="B641" s="191" t="s">
        <v>425</v>
      </c>
      <c r="C641" s="214"/>
      <c r="D641" s="211" t="s">
        <v>481</v>
      </c>
      <c r="E641" s="212">
        <v>334</v>
      </c>
    </row>
    <row r="642" spans="1:5" x14ac:dyDescent="0.2">
      <c r="A642" s="21"/>
      <c r="B642" s="191" t="s">
        <v>427</v>
      </c>
      <c r="C642" s="214"/>
      <c r="D642" s="211" t="s">
        <v>482</v>
      </c>
      <c r="E642" s="212">
        <v>850</v>
      </c>
    </row>
    <row r="643" spans="1:5" x14ac:dyDescent="0.2">
      <c r="A643" s="21"/>
      <c r="B643" s="10"/>
      <c r="C643" s="8"/>
      <c r="D643" s="105"/>
      <c r="E643" s="11"/>
    </row>
    <row r="644" spans="1:5" x14ac:dyDescent="0.2">
      <c r="A644" s="21"/>
      <c r="B644" s="35" t="s">
        <v>66</v>
      </c>
      <c r="C644" s="100"/>
      <c r="D644" s="102"/>
      <c r="E644" s="102"/>
    </row>
    <row r="645" spans="1:5" x14ac:dyDescent="0.2">
      <c r="A645" s="21"/>
      <c r="B645" s="29" t="s">
        <v>69</v>
      </c>
      <c r="C645" s="101"/>
      <c r="D645" s="30" t="s">
        <v>429</v>
      </c>
      <c r="E645" s="31">
        <v>70</v>
      </c>
    </row>
    <row r="646" spans="1:5" x14ac:dyDescent="0.2">
      <c r="A646" s="21"/>
      <c r="B646" s="29" t="s">
        <v>71</v>
      </c>
      <c r="C646" s="101"/>
      <c r="D646" s="30" t="s">
        <v>430</v>
      </c>
      <c r="E646" s="32">
        <v>301</v>
      </c>
    </row>
    <row r="647" spans="1:5" x14ac:dyDescent="0.2">
      <c r="A647" s="21"/>
      <c r="B647" s="10"/>
      <c r="C647" s="8"/>
      <c r="E647" s="11"/>
    </row>
    <row r="648" spans="1:5" x14ac:dyDescent="0.2">
      <c r="A648" s="21"/>
      <c r="B648" s="35" t="s">
        <v>228</v>
      </c>
      <c r="C648" s="100"/>
      <c r="D648" s="102"/>
      <c r="E648" s="102"/>
    </row>
    <row r="649" spans="1:5" x14ac:dyDescent="0.2">
      <c r="A649" s="21"/>
      <c r="B649" s="29" t="s">
        <v>74</v>
      </c>
      <c r="C649" s="101"/>
      <c r="D649" s="30" t="s">
        <v>431</v>
      </c>
      <c r="E649" s="31">
        <v>70</v>
      </c>
    </row>
    <row r="650" spans="1:5" x14ac:dyDescent="0.2">
      <c r="A650" s="21"/>
      <c r="B650" s="29" t="s">
        <v>67</v>
      </c>
      <c r="C650" s="101"/>
      <c r="D650" s="30" t="s">
        <v>432</v>
      </c>
      <c r="E650" s="32">
        <v>124</v>
      </c>
    </row>
    <row r="651" spans="1:5" x14ac:dyDescent="0.2">
      <c r="A651" s="21"/>
      <c r="B651" s="29" t="s">
        <v>69</v>
      </c>
      <c r="C651" s="101"/>
      <c r="D651" s="30" t="s">
        <v>433</v>
      </c>
      <c r="E651" s="32">
        <v>194</v>
      </c>
    </row>
    <row r="652" spans="1:5" x14ac:dyDescent="0.2">
      <c r="A652" s="21"/>
      <c r="B652" s="29" t="s">
        <v>71</v>
      </c>
      <c r="C652" s="101"/>
      <c r="D652" s="30" t="s">
        <v>434</v>
      </c>
      <c r="E652" s="32">
        <v>425</v>
      </c>
    </row>
    <row r="653" spans="1:5" x14ac:dyDescent="0.2">
      <c r="A653" s="21"/>
      <c r="B653" s="29" t="s">
        <v>229</v>
      </c>
      <c r="C653" s="101"/>
      <c r="D653" s="30" t="s">
        <v>435</v>
      </c>
      <c r="E653" s="32">
        <v>39</v>
      </c>
    </row>
    <row r="654" spans="1:5" x14ac:dyDescent="0.2">
      <c r="A654" s="21"/>
      <c r="B654" s="29" t="s">
        <v>167</v>
      </c>
      <c r="C654" s="101"/>
      <c r="D654" s="30" t="s">
        <v>436</v>
      </c>
      <c r="E654" s="32">
        <v>54</v>
      </c>
    </row>
    <row r="655" spans="1:5" x14ac:dyDescent="0.2">
      <c r="A655" s="21"/>
      <c r="B655" s="29" t="s">
        <v>230</v>
      </c>
      <c r="C655" s="101"/>
      <c r="D655" s="30" t="s">
        <v>437</v>
      </c>
      <c r="E655" s="32">
        <v>65</v>
      </c>
    </row>
    <row r="656" spans="1:5" x14ac:dyDescent="0.2">
      <c r="A656" s="21"/>
      <c r="B656" s="29" t="s">
        <v>231</v>
      </c>
      <c r="C656" s="101"/>
      <c r="D656" s="30" t="s">
        <v>438</v>
      </c>
      <c r="E656" s="32">
        <v>140</v>
      </c>
    </row>
    <row r="657" spans="1:5" x14ac:dyDescent="0.2">
      <c r="A657" s="21"/>
      <c r="B657" s="10"/>
      <c r="C657" s="8"/>
      <c r="E657" s="11"/>
    </row>
    <row r="658" spans="1:5" x14ac:dyDescent="0.2">
      <c r="A658" s="21"/>
      <c r="B658" s="35" t="s">
        <v>232</v>
      </c>
      <c r="C658" s="100"/>
      <c r="D658" s="102"/>
      <c r="E658" s="102"/>
    </row>
    <row r="659" spans="1:5" x14ac:dyDescent="0.2">
      <c r="A659" s="21"/>
      <c r="B659" s="29" t="s">
        <v>80</v>
      </c>
      <c r="C659" s="101"/>
      <c r="D659" s="30" t="s">
        <v>439</v>
      </c>
      <c r="E659" s="31">
        <v>5</v>
      </c>
    </row>
    <row r="660" spans="1:5" x14ac:dyDescent="0.2">
      <c r="A660" s="21"/>
      <c r="B660" s="29" t="s">
        <v>82</v>
      </c>
      <c r="C660" s="101"/>
      <c r="D660" s="30" t="s">
        <v>440</v>
      </c>
      <c r="E660" s="32">
        <v>5</v>
      </c>
    </row>
    <row r="661" spans="1:5" x14ac:dyDescent="0.2">
      <c r="A661" s="21"/>
      <c r="B661" s="10"/>
      <c r="C661" s="8"/>
      <c r="E661" s="11"/>
    </row>
    <row r="662" spans="1:5" x14ac:dyDescent="0.2">
      <c r="A662" s="21"/>
      <c r="B662" s="35" t="s">
        <v>233</v>
      </c>
      <c r="C662" s="100"/>
      <c r="D662" s="102"/>
      <c r="E662" s="102"/>
    </row>
    <row r="663" spans="1:5" x14ac:dyDescent="0.2">
      <c r="A663" s="21"/>
      <c r="B663" s="29" t="s">
        <v>236</v>
      </c>
      <c r="C663" s="69"/>
      <c r="D663" s="71" t="s">
        <v>483</v>
      </c>
      <c r="E663" s="31">
        <v>53</v>
      </c>
    </row>
    <row r="664" spans="1:5" ht="15" x14ac:dyDescent="0.2">
      <c r="A664" s="21"/>
      <c r="B664" s="68"/>
      <c r="E664" s="11"/>
    </row>
    <row r="665" spans="1:5" x14ac:dyDescent="0.2">
      <c r="A665" s="21"/>
      <c r="B665" s="28" t="s">
        <v>1909</v>
      </c>
      <c r="C665" s="67"/>
      <c r="D665" s="80"/>
      <c r="E665" s="80"/>
    </row>
    <row r="666" spans="1:5" x14ac:dyDescent="0.2">
      <c r="A666" s="21"/>
      <c r="B666" s="69" t="s">
        <v>485</v>
      </c>
      <c r="C666" s="115"/>
      <c r="D666" s="71" t="s">
        <v>486</v>
      </c>
      <c r="E666" s="31">
        <v>129</v>
      </c>
    </row>
    <row r="667" spans="1:5" x14ac:dyDescent="0.2">
      <c r="A667" s="21"/>
      <c r="B667" s="29" t="s">
        <v>487</v>
      </c>
      <c r="C667" s="96"/>
      <c r="D667" s="71" t="s">
        <v>488</v>
      </c>
      <c r="E667" s="32">
        <v>296</v>
      </c>
    </row>
    <row r="668" spans="1:5" x14ac:dyDescent="0.2">
      <c r="A668" s="21"/>
      <c r="B668" s="29" t="s">
        <v>489</v>
      </c>
      <c r="C668" s="96"/>
      <c r="D668" s="71" t="s">
        <v>490</v>
      </c>
      <c r="E668" s="32">
        <v>1119</v>
      </c>
    </row>
    <row r="669" spans="1:5" x14ac:dyDescent="0.2">
      <c r="A669" s="21"/>
      <c r="B669" s="10"/>
      <c r="C669" s="8"/>
      <c r="E669" s="11"/>
    </row>
    <row r="670" spans="1:5" x14ac:dyDescent="0.2">
      <c r="A670" s="21"/>
      <c r="B670" s="35" t="s">
        <v>261</v>
      </c>
      <c r="C670" s="100"/>
      <c r="D670" s="102"/>
      <c r="E670" s="102"/>
    </row>
    <row r="671" spans="1:5" x14ac:dyDescent="0.2">
      <c r="A671" s="21"/>
      <c r="B671" s="29" t="s">
        <v>263</v>
      </c>
      <c r="C671" s="101"/>
      <c r="D671" s="106" t="s">
        <v>460</v>
      </c>
      <c r="E671" s="31">
        <v>49</v>
      </c>
    </row>
    <row r="672" spans="1:5" x14ac:dyDescent="0.2">
      <c r="A672" s="21"/>
      <c r="B672" s="29" t="s">
        <v>264</v>
      </c>
      <c r="C672" s="101"/>
      <c r="D672" s="106" t="s">
        <v>461</v>
      </c>
      <c r="E672" s="31">
        <v>12</v>
      </c>
    </row>
    <row r="673" spans="1:5" x14ac:dyDescent="0.2">
      <c r="A673" s="21"/>
      <c r="B673" s="43"/>
      <c r="C673" s="107"/>
      <c r="D673" s="108"/>
      <c r="E673" s="11"/>
    </row>
    <row r="674" spans="1:5" x14ac:dyDescent="0.2">
      <c r="A674" s="21"/>
      <c r="B674" s="35" t="s">
        <v>182</v>
      </c>
      <c r="C674" s="100"/>
      <c r="D674" s="102"/>
      <c r="E674" s="102"/>
    </row>
    <row r="675" spans="1:5" x14ac:dyDescent="0.2">
      <c r="A675" s="21"/>
      <c r="B675" s="50" t="s">
        <v>265</v>
      </c>
      <c r="C675" s="109"/>
      <c r="D675" s="106" t="s">
        <v>462</v>
      </c>
      <c r="E675" s="31">
        <v>8</v>
      </c>
    </row>
    <row r="676" spans="1:5" x14ac:dyDescent="0.2">
      <c r="A676" s="21"/>
      <c r="B676" s="50" t="s">
        <v>266</v>
      </c>
      <c r="C676" s="109"/>
      <c r="D676" s="106" t="s">
        <v>463</v>
      </c>
      <c r="E676" s="32">
        <v>8</v>
      </c>
    </row>
    <row r="677" spans="1:5" x14ac:dyDescent="0.2">
      <c r="A677" s="21"/>
      <c r="B677" s="50" t="s">
        <v>267</v>
      </c>
      <c r="C677" s="109"/>
      <c r="D677" s="106" t="s">
        <v>464</v>
      </c>
      <c r="E677" s="32">
        <v>8</v>
      </c>
    </row>
    <row r="678" spans="1:5" x14ac:dyDescent="0.2">
      <c r="A678" s="21"/>
      <c r="B678" s="43"/>
      <c r="C678" s="107"/>
      <c r="E678" s="11"/>
    </row>
    <row r="679" spans="1:5" x14ac:dyDescent="0.2">
      <c r="A679" s="21"/>
      <c r="B679" s="35" t="s">
        <v>268</v>
      </c>
      <c r="C679" s="100"/>
      <c r="D679" s="102"/>
      <c r="E679" s="102"/>
    </row>
    <row r="680" spans="1:5" x14ac:dyDescent="0.2">
      <c r="A680" s="21"/>
      <c r="B680" s="50" t="s">
        <v>184</v>
      </c>
      <c r="C680" s="109"/>
      <c r="D680" s="106" t="s">
        <v>465</v>
      </c>
      <c r="E680" s="31">
        <v>35</v>
      </c>
    </row>
    <row r="681" spans="1:5" x14ac:dyDescent="0.2">
      <c r="A681" s="21"/>
      <c r="B681" s="50" t="s">
        <v>186</v>
      </c>
      <c r="C681" s="109"/>
      <c r="D681" s="106" t="s">
        <v>466</v>
      </c>
      <c r="E681" s="32">
        <v>105</v>
      </c>
    </row>
    <row r="682" spans="1:5" x14ac:dyDescent="0.2">
      <c r="A682" s="21"/>
      <c r="B682" s="50" t="s">
        <v>269</v>
      </c>
      <c r="C682" s="109"/>
      <c r="D682" s="194" t="s">
        <v>1902</v>
      </c>
      <c r="E682" s="32">
        <v>191</v>
      </c>
    </row>
    <row r="683" spans="1:5" x14ac:dyDescent="0.2">
      <c r="A683" s="21"/>
      <c r="B683" s="29" t="s">
        <v>270</v>
      </c>
      <c r="C683" s="101"/>
      <c r="D683" s="194" t="s">
        <v>1903</v>
      </c>
      <c r="E683" s="32">
        <v>38</v>
      </c>
    </row>
    <row r="684" spans="1:5" x14ac:dyDescent="0.2">
      <c r="A684" s="21"/>
      <c r="B684" s="50" t="s">
        <v>190</v>
      </c>
      <c r="C684" s="109"/>
      <c r="D684" s="106" t="s">
        <v>467</v>
      </c>
      <c r="E684" s="32">
        <v>14</v>
      </c>
    </row>
    <row r="685" spans="1:5" x14ac:dyDescent="0.2">
      <c r="A685" s="21"/>
      <c r="B685" s="50" t="s">
        <v>271</v>
      </c>
      <c r="C685" s="109"/>
      <c r="D685" s="106" t="s">
        <v>468</v>
      </c>
      <c r="E685" s="32">
        <v>14</v>
      </c>
    </row>
    <row r="686" spans="1:5" x14ac:dyDescent="0.2">
      <c r="A686" s="21"/>
      <c r="B686" s="50" t="s">
        <v>273</v>
      </c>
      <c r="C686" s="109"/>
      <c r="D686" s="106" t="s">
        <v>469</v>
      </c>
      <c r="E686" s="32">
        <v>20</v>
      </c>
    </row>
    <row r="687" spans="1:5" x14ac:dyDescent="0.2">
      <c r="A687" s="21"/>
      <c r="B687" s="43"/>
      <c r="C687" s="107"/>
      <c r="E687" s="11"/>
    </row>
    <row r="688" spans="1:5" x14ac:dyDescent="0.2">
      <c r="A688" s="21"/>
      <c r="B688" s="35" t="s">
        <v>101</v>
      </c>
      <c r="C688" s="100"/>
      <c r="D688" s="54"/>
      <c r="E688" s="102"/>
    </row>
    <row r="689" spans="1:5" x14ac:dyDescent="0.2">
      <c r="A689" s="21"/>
      <c r="B689" s="50" t="s">
        <v>102</v>
      </c>
      <c r="C689" s="110"/>
      <c r="D689" s="30" t="s">
        <v>103</v>
      </c>
      <c r="E689" s="31">
        <v>7</v>
      </c>
    </row>
    <row r="690" spans="1:5" x14ac:dyDescent="0.2">
      <c r="A690" s="21"/>
      <c r="B690" s="50" t="s">
        <v>104</v>
      </c>
      <c r="C690" s="110"/>
      <c r="D690" s="30" t="s">
        <v>105</v>
      </c>
      <c r="E690" s="32">
        <v>15</v>
      </c>
    </row>
    <row r="691" spans="1:5" x14ac:dyDescent="0.2">
      <c r="A691" s="21"/>
      <c r="B691" s="10"/>
      <c r="C691" s="8"/>
      <c r="D691" s="105"/>
      <c r="E691" s="11"/>
    </row>
    <row r="692" spans="1:5" x14ac:dyDescent="0.2">
      <c r="A692" s="21"/>
      <c r="B692" s="35" t="s">
        <v>106</v>
      </c>
      <c r="C692" s="100"/>
      <c r="D692" s="102"/>
      <c r="E692" s="102"/>
    </row>
    <row r="693" spans="1:5" x14ac:dyDescent="0.2">
      <c r="A693" s="21"/>
      <c r="B693" s="50" t="s">
        <v>107</v>
      </c>
      <c r="C693" s="110"/>
      <c r="D693" s="30" t="s">
        <v>108</v>
      </c>
      <c r="E693" s="31">
        <v>0</v>
      </c>
    </row>
    <row r="694" spans="1:5" x14ac:dyDescent="0.2">
      <c r="A694" s="21"/>
      <c r="B694" s="43"/>
      <c r="C694" s="107"/>
      <c r="E694" s="11"/>
    </row>
    <row r="695" spans="1:5" x14ac:dyDescent="0.2">
      <c r="A695" s="21"/>
      <c r="B695" s="35" t="s">
        <v>275</v>
      </c>
      <c r="C695" s="100"/>
      <c r="D695" s="102"/>
      <c r="E695" s="102"/>
    </row>
    <row r="696" spans="1:5" x14ac:dyDescent="0.2">
      <c r="A696" s="21"/>
      <c r="B696" s="50" t="s">
        <v>276</v>
      </c>
      <c r="C696" s="110" t="s">
        <v>277</v>
      </c>
      <c r="D696" s="59" t="s">
        <v>278</v>
      </c>
      <c r="E696" s="31">
        <v>14</v>
      </c>
    </row>
    <row r="697" spans="1:5" x14ac:dyDescent="0.2">
      <c r="A697" s="21"/>
      <c r="B697" s="50" t="s">
        <v>279</v>
      </c>
      <c r="C697" s="110" t="s">
        <v>280</v>
      </c>
      <c r="D697" s="59" t="s">
        <v>281</v>
      </c>
      <c r="E697" s="32">
        <v>7</v>
      </c>
    </row>
    <row r="698" spans="1:5" x14ac:dyDescent="0.2">
      <c r="A698" s="21"/>
      <c r="B698" s="43"/>
      <c r="C698" s="107"/>
      <c r="D698" s="90"/>
      <c r="E698" s="11"/>
    </row>
    <row r="699" spans="1:5" x14ac:dyDescent="0.2">
      <c r="A699" s="21"/>
      <c r="B699" s="35" t="s">
        <v>128</v>
      </c>
      <c r="E699" s="102"/>
    </row>
    <row r="700" spans="1:5" x14ac:dyDescent="0.2">
      <c r="A700" s="21"/>
      <c r="B700" s="29" t="s">
        <v>129</v>
      </c>
      <c r="C700" s="29"/>
      <c r="D700" s="59" t="s">
        <v>130</v>
      </c>
      <c r="E700" s="111">
        <v>10</v>
      </c>
    </row>
    <row r="701" spans="1:5" x14ac:dyDescent="0.2">
      <c r="A701" s="21"/>
      <c r="B701" s="29" t="s">
        <v>131</v>
      </c>
      <c r="C701" s="29"/>
      <c r="D701" s="59" t="s">
        <v>132</v>
      </c>
      <c r="E701" s="58">
        <v>20</v>
      </c>
    </row>
    <row r="702" spans="1:5" x14ac:dyDescent="0.2">
      <c r="A702" s="21"/>
      <c r="B702" s="60" t="s">
        <v>134</v>
      </c>
      <c r="C702" s="60"/>
      <c r="D702" s="61" t="s">
        <v>133</v>
      </c>
      <c r="E702" s="62">
        <v>50</v>
      </c>
    </row>
    <row r="703" spans="1:5" x14ac:dyDescent="0.2">
      <c r="A703" s="21"/>
      <c r="B703" s="60" t="s">
        <v>136</v>
      </c>
      <c r="C703" s="60"/>
      <c r="D703" s="61" t="s">
        <v>135</v>
      </c>
      <c r="E703" s="62">
        <v>80</v>
      </c>
    </row>
    <row r="704" spans="1:5" x14ac:dyDescent="0.2">
      <c r="A704" s="21"/>
      <c r="B704" s="35"/>
    </row>
    <row r="705" spans="1:5" x14ac:dyDescent="0.2">
      <c r="B705" s="35" t="s">
        <v>137</v>
      </c>
      <c r="E705" s="8"/>
    </row>
    <row r="706" spans="1:5" x14ac:dyDescent="0.2">
      <c r="B706" s="63" t="s">
        <v>1893</v>
      </c>
      <c r="C706" s="64"/>
      <c r="D706" s="186" t="s">
        <v>138</v>
      </c>
      <c r="E706" s="66">
        <v>215</v>
      </c>
    </row>
    <row r="707" spans="1:5" x14ac:dyDescent="0.2">
      <c r="B707" s="63" t="s">
        <v>1904</v>
      </c>
      <c r="C707" s="64"/>
      <c r="D707" s="186" t="s">
        <v>139</v>
      </c>
      <c r="E707" s="66">
        <v>273</v>
      </c>
    </row>
    <row r="708" spans="1:5" x14ac:dyDescent="0.2">
      <c r="B708" s="63" t="s">
        <v>1905</v>
      </c>
      <c r="C708" s="64"/>
      <c r="D708" s="186" t="s">
        <v>140</v>
      </c>
      <c r="E708" s="66">
        <v>325</v>
      </c>
    </row>
    <row r="709" spans="1:5" x14ac:dyDescent="0.2">
      <c r="B709" s="63" t="s">
        <v>1906</v>
      </c>
      <c r="C709" s="64"/>
      <c r="D709" s="186" t="s">
        <v>141</v>
      </c>
      <c r="E709" s="66">
        <v>375</v>
      </c>
    </row>
    <row r="710" spans="1:5" x14ac:dyDescent="0.2">
      <c r="B710" s="63" t="s">
        <v>1907</v>
      </c>
      <c r="C710" s="64"/>
      <c r="D710" s="186" t="s">
        <v>142</v>
      </c>
      <c r="E710" s="66">
        <v>432</v>
      </c>
    </row>
    <row r="711" spans="1:5" x14ac:dyDescent="0.2">
      <c r="B711" s="8"/>
      <c r="C711" s="8"/>
      <c r="D711" s="8"/>
      <c r="E711" s="8"/>
    </row>
    <row r="712" spans="1:5" x14ac:dyDescent="0.2">
      <c r="A712" s="21"/>
      <c r="B712" s="35" t="s">
        <v>143</v>
      </c>
    </row>
    <row r="713" spans="1:5" x14ac:dyDescent="0.2">
      <c r="A713" s="21"/>
      <c r="B713" s="60" t="s">
        <v>146</v>
      </c>
      <c r="C713" s="60"/>
      <c r="D713" s="61" t="s">
        <v>145</v>
      </c>
      <c r="E713" s="62">
        <v>10</v>
      </c>
    </row>
    <row r="714" spans="1:5" x14ac:dyDescent="0.2">
      <c r="A714" s="21"/>
      <c r="B714" s="60" t="s">
        <v>148</v>
      </c>
      <c r="C714" s="60"/>
      <c r="D714" s="61" t="s">
        <v>147</v>
      </c>
      <c r="E714" s="62">
        <v>34</v>
      </c>
    </row>
    <row r="715" spans="1:5" s="190" customFormat="1" x14ac:dyDescent="0.2">
      <c r="A715" s="185"/>
      <c r="B715" s="187"/>
      <c r="C715" s="188"/>
      <c r="D715" s="184"/>
      <c r="E715" s="184"/>
    </row>
    <row r="716" spans="1:5" x14ac:dyDescent="0.2">
      <c r="A716" s="21"/>
      <c r="B716" s="116" t="s">
        <v>491</v>
      </c>
      <c r="C716" s="117"/>
      <c r="D716" s="93"/>
      <c r="E716" s="93"/>
    </row>
    <row r="717" spans="1:5" x14ac:dyDescent="0.2">
      <c r="A717" s="21"/>
      <c r="B717" s="46" t="s">
        <v>41</v>
      </c>
      <c r="C717" s="100"/>
      <c r="D717" s="105"/>
      <c r="E717" s="105"/>
    </row>
    <row r="718" spans="1:5" x14ac:dyDescent="0.2">
      <c r="A718" s="21"/>
      <c r="B718" s="29" t="s">
        <v>492</v>
      </c>
      <c r="C718" s="101"/>
      <c r="D718" s="30" t="s">
        <v>493</v>
      </c>
      <c r="E718" s="31">
        <v>188</v>
      </c>
    </row>
    <row r="719" spans="1:5" x14ac:dyDescent="0.2">
      <c r="A719" s="21"/>
      <c r="B719" s="29" t="s">
        <v>494</v>
      </c>
      <c r="C719" s="101"/>
      <c r="D719" s="30" t="s">
        <v>495</v>
      </c>
      <c r="E719" s="32">
        <v>76</v>
      </c>
    </row>
    <row r="720" spans="1:5" x14ac:dyDescent="0.2">
      <c r="A720" s="21"/>
      <c r="B720" s="29" t="s">
        <v>354</v>
      </c>
      <c r="C720" s="101"/>
      <c r="D720" s="30" t="s">
        <v>496</v>
      </c>
      <c r="E720" s="32">
        <v>258</v>
      </c>
    </row>
    <row r="721" spans="1:5" x14ac:dyDescent="0.2">
      <c r="A721" s="21"/>
      <c r="B721" s="35"/>
      <c r="C721" s="100"/>
      <c r="D721" s="105"/>
      <c r="E721" s="105"/>
    </row>
    <row r="722" spans="1:5" x14ac:dyDescent="0.2">
      <c r="A722" s="21"/>
      <c r="B722" s="35" t="s">
        <v>54</v>
      </c>
      <c r="C722" s="104"/>
      <c r="E722" s="11"/>
    </row>
    <row r="723" spans="1:5" x14ac:dyDescent="0.2">
      <c r="A723" s="21"/>
      <c r="B723" s="191" t="s">
        <v>356</v>
      </c>
      <c r="C723" s="228"/>
      <c r="D723" s="211" t="s">
        <v>497</v>
      </c>
      <c r="E723" s="210">
        <v>86</v>
      </c>
    </row>
    <row r="724" spans="1:5" x14ac:dyDescent="0.2">
      <c r="A724" s="21"/>
      <c r="B724" s="191" t="s">
        <v>358</v>
      </c>
      <c r="C724" s="228"/>
      <c r="D724" s="211" t="s">
        <v>498</v>
      </c>
      <c r="E724" s="212">
        <v>96</v>
      </c>
    </row>
    <row r="725" spans="1:5" x14ac:dyDescent="0.2">
      <c r="A725" s="21"/>
      <c r="B725" s="191" t="s">
        <v>1889</v>
      </c>
      <c r="C725" s="228"/>
      <c r="D725" s="211" t="s">
        <v>1890</v>
      </c>
      <c r="E725" s="212">
        <v>278</v>
      </c>
    </row>
    <row r="726" spans="1:5" x14ac:dyDescent="0.2">
      <c r="A726" s="21"/>
      <c r="B726" s="191" t="s">
        <v>360</v>
      </c>
      <c r="C726" s="228"/>
      <c r="D726" s="211" t="s">
        <v>499</v>
      </c>
      <c r="E726" s="212">
        <v>314</v>
      </c>
    </row>
    <row r="727" spans="1:5" x14ac:dyDescent="0.2">
      <c r="A727" s="21"/>
      <c r="B727" s="191" t="s">
        <v>362</v>
      </c>
      <c r="C727" s="228"/>
      <c r="D727" s="211" t="s">
        <v>500</v>
      </c>
      <c r="E727" s="212">
        <v>714</v>
      </c>
    </row>
    <row r="728" spans="1:5" x14ac:dyDescent="0.2">
      <c r="A728" s="21"/>
      <c r="B728" s="35" t="s">
        <v>221</v>
      </c>
      <c r="C728" s="39"/>
      <c r="D728" s="39"/>
      <c r="E728" s="39"/>
    </row>
    <row r="729" spans="1:5" x14ac:dyDescent="0.2">
      <c r="A729" s="21"/>
      <c r="B729" s="29" t="s">
        <v>364</v>
      </c>
      <c r="C729" s="101"/>
      <c r="D729" s="30" t="s">
        <v>501</v>
      </c>
      <c r="E729" s="31">
        <v>22</v>
      </c>
    </row>
    <row r="730" spans="1:5" x14ac:dyDescent="0.2">
      <c r="A730" s="21"/>
      <c r="B730" s="29" t="s">
        <v>366</v>
      </c>
      <c r="C730" s="101"/>
      <c r="D730" s="30" t="s">
        <v>502</v>
      </c>
      <c r="E730" s="32">
        <v>140</v>
      </c>
    </row>
    <row r="731" spans="1:5" x14ac:dyDescent="0.2">
      <c r="A731" s="21"/>
      <c r="B731" s="29" t="s">
        <v>368</v>
      </c>
      <c r="C731" s="101"/>
      <c r="D731" s="30" t="s">
        <v>503</v>
      </c>
      <c r="E731" s="32">
        <v>366</v>
      </c>
    </row>
    <row r="732" spans="1:5" x14ac:dyDescent="0.2">
      <c r="A732" s="21"/>
      <c r="B732" s="10"/>
      <c r="C732" s="8"/>
      <c r="D732" s="105"/>
      <c r="E732" s="105"/>
    </row>
    <row r="733" spans="1:5" x14ac:dyDescent="0.2">
      <c r="A733" s="21"/>
      <c r="B733" s="35" t="s">
        <v>66</v>
      </c>
      <c r="C733" s="100"/>
      <c r="E733" s="11"/>
    </row>
    <row r="734" spans="1:5" x14ac:dyDescent="0.2">
      <c r="A734" s="21"/>
      <c r="B734" s="29" t="s">
        <v>295</v>
      </c>
      <c r="C734" s="29"/>
      <c r="D734" s="30" t="s">
        <v>504</v>
      </c>
      <c r="E734" s="31">
        <v>70</v>
      </c>
    </row>
    <row r="735" spans="1:5" x14ac:dyDescent="0.2">
      <c r="A735" s="21"/>
      <c r="B735" s="29" t="s">
        <v>71</v>
      </c>
      <c r="C735" s="29"/>
      <c r="D735" s="30" t="s">
        <v>505</v>
      </c>
      <c r="E735" s="32">
        <v>301</v>
      </c>
    </row>
    <row r="736" spans="1:5" x14ac:dyDescent="0.2">
      <c r="A736" s="21"/>
      <c r="B736" s="15"/>
      <c r="D736" s="105"/>
      <c r="E736" s="105"/>
    </row>
    <row r="737" spans="1:5" x14ac:dyDescent="0.2">
      <c r="A737" s="21"/>
      <c r="B737" s="35" t="s">
        <v>299</v>
      </c>
      <c r="C737" s="100"/>
      <c r="E737" s="11"/>
    </row>
    <row r="738" spans="1:5" x14ac:dyDescent="0.2">
      <c r="A738" s="21"/>
      <c r="B738" s="29" t="s">
        <v>302</v>
      </c>
      <c r="C738" s="101"/>
      <c r="D738" s="30" t="s">
        <v>506</v>
      </c>
      <c r="E738" s="31">
        <v>124</v>
      </c>
    </row>
    <row r="739" spans="1:5" x14ac:dyDescent="0.2">
      <c r="A739" s="21"/>
      <c r="B739" s="29" t="s">
        <v>304</v>
      </c>
      <c r="C739" s="101"/>
      <c r="D739" s="30" t="s">
        <v>507</v>
      </c>
      <c r="E739" s="32">
        <v>194</v>
      </c>
    </row>
    <row r="740" spans="1:5" x14ac:dyDescent="0.2">
      <c r="A740" s="21"/>
      <c r="B740" s="29" t="s">
        <v>344</v>
      </c>
      <c r="C740" s="101"/>
      <c r="D740" s="30" t="s">
        <v>508</v>
      </c>
      <c r="E740" s="32">
        <v>425</v>
      </c>
    </row>
    <row r="741" spans="1:5" x14ac:dyDescent="0.2">
      <c r="A741" s="21"/>
      <c r="B741" s="10"/>
      <c r="C741" s="8"/>
      <c r="D741" s="95"/>
      <c r="E741" s="105"/>
    </row>
    <row r="742" spans="1:5" x14ac:dyDescent="0.2">
      <c r="A742" s="21"/>
      <c r="B742" s="35" t="s">
        <v>306</v>
      </c>
      <c r="C742" s="100"/>
      <c r="E742" s="11"/>
    </row>
    <row r="743" spans="1:5" x14ac:dyDescent="0.2">
      <c r="A743" s="21"/>
      <c r="B743" s="29" t="s">
        <v>307</v>
      </c>
      <c r="C743" s="101"/>
      <c r="D743" s="30" t="s">
        <v>509</v>
      </c>
      <c r="E743" s="31">
        <v>5</v>
      </c>
    </row>
    <row r="744" spans="1:5" x14ac:dyDescent="0.2">
      <c r="A744" s="21"/>
      <c r="B744" s="29" t="s">
        <v>309</v>
      </c>
      <c r="C744" s="101"/>
      <c r="D744" s="30" t="s">
        <v>510</v>
      </c>
      <c r="E744" s="32">
        <v>5</v>
      </c>
    </row>
    <row r="745" spans="1:5" x14ac:dyDescent="0.2">
      <c r="A745" s="21"/>
      <c r="B745" s="10"/>
      <c r="C745" s="8"/>
      <c r="D745" s="105"/>
      <c r="E745" s="105"/>
    </row>
    <row r="746" spans="1:5" x14ac:dyDescent="0.2">
      <c r="A746" s="21"/>
      <c r="B746" s="35" t="s">
        <v>370</v>
      </c>
      <c r="C746" s="118"/>
      <c r="E746" s="11"/>
    </row>
    <row r="747" spans="1:5" x14ac:dyDescent="0.2">
      <c r="A747" s="21"/>
      <c r="B747" s="29" t="s">
        <v>371</v>
      </c>
      <c r="C747" s="29"/>
      <c r="D747" s="30" t="s">
        <v>511</v>
      </c>
      <c r="E747" s="226">
        <v>300</v>
      </c>
    </row>
    <row r="748" spans="1:5" x14ac:dyDescent="0.2">
      <c r="A748" s="21"/>
      <c r="B748" s="29" t="s">
        <v>373</v>
      </c>
      <c r="C748" s="29"/>
      <c r="D748" s="30" t="s">
        <v>512</v>
      </c>
      <c r="E748" s="219">
        <v>1076</v>
      </c>
    </row>
    <row r="749" spans="1:5" x14ac:dyDescent="0.2">
      <c r="A749" s="21"/>
      <c r="B749" s="29" t="s">
        <v>375</v>
      </c>
      <c r="C749" s="29"/>
      <c r="D749" s="30" t="s">
        <v>513</v>
      </c>
      <c r="E749" s="219">
        <v>600</v>
      </c>
    </row>
    <row r="750" spans="1:5" x14ac:dyDescent="0.2">
      <c r="A750" s="21"/>
      <c r="B750" s="10"/>
      <c r="C750" s="8"/>
      <c r="D750" s="105"/>
      <c r="E750" s="233"/>
    </row>
    <row r="751" spans="1:5" x14ac:dyDescent="0.2">
      <c r="A751" s="21"/>
      <c r="B751" s="35" t="s">
        <v>377</v>
      </c>
      <c r="C751" s="100"/>
      <c r="E751" s="184"/>
    </row>
    <row r="752" spans="1:5" x14ac:dyDescent="0.2">
      <c r="A752" s="21"/>
      <c r="B752" s="29" t="s">
        <v>514</v>
      </c>
      <c r="C752" s="29"/>
      <c r="D752" s="30" t="s">
        <v>515</v>
      </c>
      <c r="E752" s="212">
        <v>26</v>
      </c>
    </row>
    <row r="753" spans="1:5" x14ac:dyDescent="0.2">
      <c r="A753" s="21"/>
      <c r="B753" s="29" t="s">
        <v>516</v>
      </c>
      <c r="C753" s="29"/>
      <c r="D753" s="30" t="s">
        <v>517</v>
      </c>
      <c r="E753" s="212">
        <v>101</v>
      </c>
    </row>
    <row r="754" spans="1:5" x14ac:dyDescent="0.2">
      <c r="B754" s="10"/>
      <c r="C754" s="8"/>
      <c r="D754" s="105"/>
      <c r="E754" s="105"/>
    </row>
    <row r="755" spans="1:5" x14ac:dyDescent="0.2">
      <c r="B755" s="28" t="s">
        <v>316</v>
      </c>
      <c r="C755" s="8"/>
      <c r="E755" s="11"/>
    </row>
    <row r="756" spans="1:5" x14ac:dyDescent="0.2">
      <c r="B756" s="29" t="s">
        <v>384</v>
      </c>
      <c r="C756" s="101"/>
      <c r="D756" s="30" t="s">
        <v>518</v>
      </c>
      <c r="E756" s="31">
        <v>0</v>
      </c>
    </row>
    <row r="757" spans="1:5" x14ac:dyDescent="0.2">
      <c r="B757" s="29" t="s">
        <v>319</v>
      </c>
      <c r="C757" s="29"/>
      <c r="D757" s="30" t="s">
        <v>519</v>
      </c>
      <c r="E757" s="32">
        <v>0</v>
      </c>
    </row>
    <row r="758" spans="1:5" x14ac:dyDescent="0.2">
      <c r="B758" s="10"/>
      <c r="C758" s="8"/>
      <c r="E758" s="105"/>
    </row>
    <row r="759" spans="1:5" x14ac:dyDescent="0.2">
      <c r="B759" s="28" t="s">
        <v>520</v>
      </c>
      <c r="C759" s="100"/>
      <c r="D759" s="105"/>
      <c r="E759" s="11"/>
    </row>
    <row r="760" spans="1:5" x14ac:dyDescent="0.2">
      <c r="B760" s="77" t="s">
        <v>521</v>
      </c>
      <c r="C760" s="101"/>
      <c r="D760" s="30" t="s">
        <v>522</v>
      </c>
      <c r="E760" s="31">
        <v>0</v>
      </c>
    </row>
    <row r="761" spans="1:5" x14ac:dyDescent="0.2">
      <c r="B761" s="10"/>
      <c r="C761" s="8"/>
      <c r="D761" s="105"/>
      <c r="E761" s="105"/>
    </row>
    <row r="762" spans="1:5" x14ac:dyDescent="0.2">
      <c r="B762" s="35" t="s">
        <v>523</v>
      </c>
      <c r="C762" s="8"/>
      <c r="E762" s="11"/>
    </row>
    <row r="763" spans="1:5" x14ac:dyDescent="0.2">
      <c r="B763" s="29" t="s">
        <v>387</v>
      </c>
      <c r="C763" s="101"/>
      <c r="D763" s="30" t="s">
        <v>524</v>
      </c>
      <c r="E763" s="31">
        <v>18</v>
      </c>
    </row>
    <row r="764" spans="1:5" x14ac:dyDescent="0.2">
      <c r="B764" s="29" t="s">
        <v>389</v>
      </c>
      <c r="C764" s="101"/>
      <c r="D764" s="30" t="s">
        <v>525</v>
      </c>
      <c r="E764" s="32">
        <v>36</v>
      </c>
    </row>
    <row r="765" spans="1:5" x14ac:dyDescent="0.2">
      <c r="B765" s="29" t="s">
        <v>391</v>
      </c>
      <c r="C765" s="101"/>
      <c r="D765" s="30" t="s">
        <v>526</v>
      </c>
      <c r="E765" s="32">
        <v>82</v>
      </c>
    </row>
    <row r="766" spans="1:5" x14ac:dyDescent="0.2">
      <c r="B766" s="28"/>
      <c r="C766" s="100"/>
      <c r="D766" s="105"/>
      <c r="E766" s="105"/>
    </row>
    <row r="767" spans="1:5" x14ac:dyDescent="0.2">
      <c r="B767" s="28" t="s">
        <v>393</v>
      </c>
      <c r="C767" s="100"/>
      <c r="E767" s="11"/>
    </row>
    <row r="768" spans="1:5" x14ac:dyDescent="0.2">
      <c r="B768" s="191" t="s">
        <v>528</v>
      </c>
      <c r="C768" s="101"/>
      <c r="D768" s="30" t="s">
        <v>527</v>
      </c>
      <c r="E768" s="31">
        <v>113</v>
      </c>
    </row>
    <row r="769" spans="2:5" x14ac:dyDescent="0.2">
      <c r="B769" s="10"/>
      <c r="C769" s="8"/>
      <c r="E769" s="105"/>
    </row>
    <row r="770" spans="2:5" x14ac:dyDescent="0.2">
      <c r="B770" s="35" t="s">
        <v>101</v>
      </c>
      <c r="C770" s="100"/>
      <c r="D770" s="54"/>
      <c r="E770" s="11"/>
    </row>
    <row r="771" spans="2:5" x14ac:dyDescent="0.2">
      <c r="B771" s="50" t="s">
        <v>104</v>
      </c>
      <c r="C771" s="110"/>
      <c r="D771" s="30" t="s">
        <v>105</v>
      </c>
      <c r="E771" s="31">
        <v>15</v>
      </c>
    </row>
    <row r="772" spans="2:5" x14ac:dyDescent="0.2">
      <c r="B772" s="10"/>
      <c r="C772" s="8"/>
      <c r="E772" s="105"/>
    </row>
    <row r="773" spans="2:5" x14ac:dyDescent="0.2">
      <c r="B773" s="35" t="s">
        <v>128</v>
      </c>
      <c r="E773" s="11"/>
    </row>
    <row r="774" spans="2:5" x14ac:dyDescent="0.2">
      <c r="B774" s="29" t="s">
        <v>129</v>
      </c>
      <c r="C774" s="84"/>
      <c r="D774" s="59" t="s">
        <v>331</v>
      </c>
      <c r="E774" s="85">
        <v>20</v>
      </c>
    </row>
    <row r="775" spans="2:5" x14ac:dyDescent="0.2">
      <c r="B775" s="29" t="s">
        <v>131</v>
      </c>
      <c r="C775" s="84"/>
      <c r="D775" s="59" t="s">
        <v>332</v>
      </c>
      <c r="E775" s="85">
        <v>40</v>
      </c>
    </row>
    <row r="776" spans="2:5" x14ac:dyDescent="0.2">
      <c r="B776" s="60" t="s">
        <v>136</v>
      </c>
      <c r="C776" s="86"/>
      <c r="D776" s="61" t="s">
        <v>333</v>
      </c>
      <c r="E776" s="87">
        <v>100</v>
      </c>
    </row>
    <row r="777" spans="2:5" x14ac:dyDescent="0.2">
      <c r="B777" s="35"/>
    </row>
    <row r="778" spans="2:5" x14ac:dyDescent="0.2">
      <c r="B778" s="35" t="s">
        <v>137</v>
      </c>
      <c r="E778" s="8"/>
    </row>
    <row r="779" spans="2:5" x14ac:dyDescent="0.2">
      <c r="B779" s="63" t="s">
        <v>1893</v>
      </c>
      <c r="C779" s="64"/>
      <c r="D779" s="186" t="s">
        <v>138</v>
      </c>
      <c r="E779" s="66">
        <v>215</v>
      </c>
    </row>
    <row r="780" spans="2:5" x14ac:dyDescent="0.2">
      <c r="B780" s="63" t="s">
        <v>1904</v>
      </c>
      <c r="C780" s="64"/>
      <c r="D780" s="186" t="s">
        <v>139</v>
      </c>
      <c r="E780" s="66">
        <v>273</v>
      </c>
    </row>
    <row r="781" spans="2:5" x14ac:dyDescent="0.2">
      <c r="B781" s="63" t="s">
        <v>1905</v>
      </c>
      <c r="C781" s="64"/>
      <c r="D781" s="186" t="s">
        <v>140</v>
      </c>
      <c r="E781" s="66">
        <v>325</v>
      </c>
    </row>
    <row r="782" spans="2:5" x14ac:dyDescent="0.2">
      <c r="B782" s="63" t="s">
        <v>1906</v>
      </c>
      <c r="C782" s="64"/>
      <c r="D782" s="186" t="s">
        <v>141</v>
      </c>
      <c r="E782" s="66">
        <v>375</v>
      </c>
    </row>
    <row r="783" spans="2:5" x14ac:dyDescent="0.2">
      <c r="B783" s="63" t="s">
        <v>1907</v>
      </c>
      <c r="C783" s="64"/>
      <c r="D783" s="186" t="s">
        <v>142</v>
      </c>
      <c r="E783" s="66">
        <v>432</v>
      </c>
    </row>
    <row r="784" spans="2:5" x14ac:dyDescent="0.2">
      <c r="B784" s="8"/>
      <c r="C784" s="8"/>
      <c r="D784" s="8"/>
      <c r="E784" s="8"/>
    </row>
    <row r="785" spans="2:5" x14ac:dyDescent="0.2">
      <c r="B785" s="35" t="s">
        <v>143</v>
      </c>
    </row>
    <row r="786" spans="2:5" x14ac:dyDescent="0.2">
      <c r="B786" s="60" t="s">
        <v>146</v>
      </c>
      <c r="C786" s="60"/>
      <c r="D786" s="61" t="s">
        <v>145</v>
      </c>
      <c r="E786" s="62">
        <v>10</v>
      </c>
    </row>
    <row r="787" spans="2:5" x14ac:dyDescent="0.2">
      <c r="B787" s="60" t="s">
        <v>148</v>
      </c>
      <c r="C787" s="60"/>
      <c r="D787" s="61" t="s">
        <v>147</v>
      </c>
      <c r="E787" s="62">
        <v>34</v>
      </c>
    </row>
    <row r="788" spans="2:5" ht="13.5" thickBot="1" x14ac:dyDescent="0.25">
      <c r="B788" s="35"/>
      <c r="E788" s="105"/>
    </row>
    <row r="789" spans="2:5" ht="21.75" thickBot="1" x14ac:dyDescent="0.4">
      <c r="B789" s="340" t="s">
        <v>529</v>
      </c>
      <c r="C789" s="341"/>
      <c r="D789" s="341"/>
      <c r="E789" s="22"/>
    </row>
    <row r="790" spans="2:5" ht="44.25" customHeight="1" thickBot="1" x14ac:dyDescent="0.25">
      <c r="B790" s="17" t="s">
        <v>25</v>
      </c>
      <c r="C790" s="18" t="s">
        <v>26</v>
      </c>
      <c r="D790" s="19" t="s">
        <v>27</v>
      </c>
      <c r="E790" s="19" t="s">
        <v>28</v>
      </c>
    </row>
    <row r="791" spans="2:5" ht="127.5" x14ac:dyDescent="0.2">
      <c r="B791" s="306" t="s">
        <v>1982</v>
      </c>
      <c r="C791" s="202" t="s">
        <v>530</v>
      </c>
      <c r="D791" s="203" t="s">
        <v>531</v>
      </c>
      <c r="E791" s="204">
        <v>646</v>
      </c>
    </row>
    <row r="792" spans="2:5" ht="127.5" x14ac:dyDescent="0.2">
      <c r="B792" s="209" t="s">
        <v>1983</v>
      </c>
      <c r="C792" s="202" t="s">
        <v>532</v>
      </c>
      <c r="D792" s="203" t="s">
        <v>533</v>
      </c>
      <c r="E792" s="204">
        <v>1611</v>
      </c>
    </row>
    <row r="793" spans="2:5" ht="147.75" customHeight="1" x14ac:dyDescent="0.2">
      <c r="B793" s="209" t="s">
        <v>1984</v>
      </c>
      <c r="C793" s="234" t="s">
        <v>534</v>
      </c>
      <c r="D793" s="235" t="s">
        <v>535</v>
      </c>
      <c r="E793" s="204">
        <v>2776</v>
      </c>
    </row>
    <row r="794" spans="2:5" ht="13.5" thickBot="1" x14ac:dyDescent="0.25">
      <c r="B794" s="8"/>
      <c r="C794" s="8"/>
    </row>
    <row r="795" spans="2:5" ht="21.75" thickBot="1" x14ac:dyDescent="0.4">
      <c r="B795" s="340" t="s">
        <v>536</v>
      </c>
      <c r="C795" s="341"/>
      <c r="D795" s="341"/>
      <c r="E795" s="22"/>
    </row>
    <row r="796" spans="2:5" ht="45.75" customHeight="1" thickBot="1" x14ac:dyDescent="0.25">
      <c r="B796" s="17" t="s">
        <v>25</v>
      </c>
      <c r="C796" s="18" t="s">
        <v>26</v>
      </c>
      <c r="D796" s="19" t="s">
        <v>27</v>
      </c>
      <c r="E796" s="19" t="s">
        <v>28</v>
      </c>
    </row>
    <row r="797" spans="2:5" x14ac:dyDescent="0.2">
      <c r="B797" s="97" t="s">
        <v>537</v>
      </c>
      <c r="C797" s="97"/>
      <c r="D797" s="119"/>
      <c r="E797" s="99"/>
    </row>
    <row r="798" spans="2:5" x14ac:dyDescent="0.2">
      <c r="B798" s="120" t="s">
        <v>41</v>
      </c>
      <c r="C798" s="100"/>
      <c r="D798" s="100"/>
      <c r="E798" s="100"/>
    </row>
    <row r="799" spans="2:5" x14ac:dyDescent="0.2">
      <c r="B799" s="29" t="s">
        <v>538</v>
      </c>
      <c r="C799" s="101"/>
      <c r="D799" s="30" t="s">
        <v>539</v>
      </c>
      <c r="E799" s="31">
        <v>129</v>
      </c>
    </row>
    <row r="800" spans="2:5" x14ac:dyDescent="0.2">
      <c r="B800" s="29" t="s">
        <v>540</v>
      </c>
      <c r="C800" s="101"/>
      <c r="D800" s="30" t="s">
        <v>541</v>
      </c>
      <c r="E800" s="32">
        <v>258</v>
      </c>
    </row>
    <row r="801" spans="2:5" x14ac:dyDescent="0.2">
      <c r="B801" s="29" t="s">
        <v>542</v>
      </c>
      <c r="C801" s="101"/>
      <c r="D801" s="30" t="s">
        <v>543</v>
      </c>
      <c r="E801" s="32">
        <v>366</v>
      </c>
    </row>
    <row r="802" spans="2:5" x14ac:dyDescent="0.2">
      <c r="B802" s="29" t="s">
        <v>544</v>
      </c>
      <c r="C802" s="101"/>
      <c r="D802" s="30" t="s">
        <v>545</v>
      </c>
      <c r="E802" s="32">
        <v>474</v>
      </c>
    </row>
    <row r="803" spans="2:5" x14ac:dyDescent="0.2">
      <c r="B803" s="29" t="s">
        <v>546</v>
      </c>
      <c r="C803" s="101"/>
      <c r="D803" s="30" t="s">
        <v>547</v>
      </c>
      <c r="E803" s="32">
        <v>646</v>
      </c>
    </row>
    <row r="804" spans="2:5" x14ac:dyDescent="0.2">
      <c r="B804" s="29" t="s">
        <v>548</v>
      </c>
      <c r="C804" s="101"/>
      <c r="D804" s="30" t="s">
        <v>549</v>
      </c>
      <c r="E804" s="32">
        <v>828</v>
      </c>
    </row>
    <row r="805" spans="2:5" x14ac:dyDescent="0.2">
      <c r="B805" s="29" t="s">
        <v>550</v>
      </c>
      <c r="C805" s="101"/>
      <c r="D805" s="121" t="s">
        <v>551</v>
      </c>
      <c r="E805" s="122">
        <v>1066</v>
      </c>
    </row>
    <row r="806" spans="2:5" x14ac:dyDescent="0.2">
      <c r="B806" s="67"/>
      <c r="C806" s="8"/>
      <c r="D806" s="34"/>
      <c r="E806" s="34"/>
    </row>
    <row r="807" spans="2:5" x14ac:dyDescent="0.2">
      <c r="B807" s="28" t="s">
        <v>54</v>
      </c>
      <c r="C807" s="100"/>
      <c r="D807" s="123"/>
      <c r="E807" s="123"/>
    </row>
    <row r="808" spans="2:5" x14ac:dyDescent="0.2">
      <c r="B808" s="29" t="s">
        <v>552</v>
      </c>
      <c r="C808" s="101"/>
      <c r="D808" s="41" t="s">
        <v>553</v>
      </c>
      <c r="E808" s="32">
        <v>226</v>
      </c>
    </row>
    <row r="809" spans="2:5" x14ac:dyDescent="0.2">
      <c r="B809" s="29" t="s">
        <v>554</v>
      </c>
      <c r="C809" s="101"/>
      <c r="D809" s="30" t="s">
        <v>555</v>
      </c>
      <c r="E809" s="212">
        <v>636</v>
      </c>
    </row>
    <row r="810" spans="2:5" x14ac:dyDescent="0.2">
      <c r="B810" s="29" t="s">
        <v>556</v>
      </c>
      <c r="C810" s="101"/>
      <c r="D810" s="30" t="s">
        <v>557</v>
      </c>
      <c r="E810" s="212">
        <v>806</v>
      </c>
    </row>
    <row r="811" spans="2:5" x14ac:dyDescent="0.2">
      <c r="B811" s="29" t="s">
        <v>558</v>
      </c>
      <c r="C811" s="124"/>
      <c r="D811" s="30" t="s">
        <v>559</v>
      </c>
      <c r="E811" s="212">
        <v>1498</v>
      </c>
    </row>
    <row r="812" spans="2:5" x14ac:dyDescent="0.2">
      <c r="B812" s="29" t="s">
        <v>560</v>
      </c>
      <c r="C812" s="101"/>
      <c r="D812" s="30" t="s">
        <v>561</v>
      </c>
      <c r="E812" s="212">
        <v>1838</v>
      </c>
    </row>
    <row r="813" spans="2:5" x14ac:dyDescent="0.2">
      <c r="B813" s="29" t="s">
        <v>562</v>
      </c>
      <c r="C813" s="101"/>
      <c r="D813" s="121" t="s">
        <v>563</v>
      </c>
      <c r="E813" s="251">
        <v>3222</v>
      </c>
    </row>
    <row r="814" spans="2:5" x14ac:dyDescent="0.2">
      <c r="B814" s="10"/>
      <c r="D814" s="34"/>
      <c r="E814" s="34"/>
    </row>
    <row r="815" spans="2:5" x14ac:dyDescent="0.2">
      <c r="B815" s="35" t="s">
        <v>564</v>
      </c>
      <c r="C815" s="79"/>
      <c r="E815" s="11"/>
    </row>
    <row r="816" spans="2:5" x14ac:dyDescent="0.2">
      <c r="B816" s="79" t="s">
        <v>565</v>
      </c>
      <c r="C816" s="79"/>
      <c r="D816" s="40"/>
      <c r="E816" s="40"/>
    </row>
    <row r="817" spans="2:5" x14ac:dyDescent="0.2">
      <c r="B817" s="29" t="s">
        <v>566</v>
      </c>
      <c r="C817" s="101"/>
      <c r="D817" s="41" t="s">
        <v>567</v>
      </c>
      <c r="E817" s="32">
        <v>70</v>
      </c>
    </row>
    <row r="818" spans="2:5" x14ac:dyDescent="0.2">
      <c r="B818" s="29" t="s">
        <v>568</v>
      </c>
      <c r="C818" s="101"/>
      <c r="D818" s="121" t="s">
        <v>569</v>
      </c>
      <c r="E818" s="122">
        <v>301</v>
      </c>
    </row>
    <row r="819" spans="2:5" x14ac:dyDescent="0.2">
      <c r="B819" s="79" t="s">
        <v>570</v>
      </c>
      <c r="C819" s="79"/>
      <c r="D819" s="125"/>
      <c r="E819" s="125"/>
    </row>
    <row r="820" spans="2:5" x14ac:dyDescent="0.2">
      <c r="B820" s="29" t="s">
        <v>571</v>
      </c>
      <c r="C820" s="101"/>
      <c r="D820" s="41" t="s">
        <v>572</v>
      </c>
      <c r="E820" s="32">
        <v>124</v>
      </c>
    </row>
    <row r="821" spans="2:5" x14ac:dyDescent="0.2">
      <c r="B821" s="29" t="s">
        <v>573</v>
      </c>
      <c r="C821" s="101"/>
      <c r="D821" s="30" t="s">
        <v>574</v>
      </c>
      <c r="E821" s="32">
        <v>264</v>
      </c>
    </row>
    <row r="822" spans="2:5" x14ac:dyDescent="0.2">
      <c r="B822" s="29" t="s">
        <v>575</v>
      </c>
      <c r="C822" s="101"/>
      <c r="D822" s="121" t="s">
        <v>576</v>
      </c>
      <c r="E822" s="122">
        <v>727</v>
      </c>
    </row>
    <row r="823" spans="2:5" x14ac:dyDescent="0.2">
      <c r="B823" s="79" t="s">
        <v>577</v>
      </c>
      <c r="C823" s="79"/>
      <c r="D823" s="125"/>
      <c r="E823" s="125"/>
    </row>
    <row r="824" spans="2:5" x14ac:dyDescent="0.2">
      <c r="B824" s="29" t="s">
        <v>578</v>
      </c>
      <c r="C824" s="101"/>
      <c r="D824" s="41" t="s">
        <v>579</v>
      </c>
      <c r="E824" s="32">
        <v>5</v>
      </c>
    </row>
    <row r="825" spans="2:5" x14ac:dyDescent="0.2">
      <c r="B825" s="29" t="s">
        <v>580</v>
      </c>
      <c r="C825" s="101"/>
      <c r="D825" s="30" t="s">
        <v>581</v>
      </c>
      <c r="E825" s="32">
        <v>76</v>
      </c>
    </row>
    <row r="826" spans="2:5" x14ac:dyDescent="0.2">
      <c r="B826" s="29" t="s">
        <v>582</v>
      </c>
      <c r="C826" s="101"/>
      <c r="D826" s="121" t="s">
        <v>583</v>
      </c>
      <c r="E826" s="122">
        <v>307</v>
      </c>
    </row>
    <row r="827" spans="2:5" x14ac:dyDescent="0.2">
      <c r="B827" s="79" t="s">
        <v>584</v>
      </c>
      <c r="C827" s="79"/>
      <c r="D827" s="125"/>
      <c r="E827" s="125"/>
    </row>
    <row r="828" spans="2:5" x14ac:dyDescent="0.2">
      <c r="B828" s="29" t="s">
        <v>585</v>
      </c>
      <c r="C828" s="101"/>
      <c r="D828" s="41" t="s">
        <v>586</v>
      </c>
      <c r="E828" s="32">
        <v>129</v>
      </c>
    </row>
    <row r="829" spans="2:5" x14ac:dyDescent="0.2">
      <c r="B829" s="29" t="s">
        <v>587</v>
      </c>
      <c r="C829" s="101"/>
      <c r="D829" s="30" t="s">
        <v>588</v>
      </c>
      <c r="E829" s="32">
        <v>269</v>
      </c>
    </row>
    <row r="830" spans="2:5" x14ac:dyDescent="0.2">
      <c r="B830" s="29" t="s">
        <v>589</v>
      </c>
      <c r="C830" s="126"/>
      <c r="D830" s="121" t="s">
        <v>590</v>
      </c>
      <c r="E830" s="122">
        <v>732</v>
      </c>
    </row>
    <row r="831" spans="2:5" x14ac:dyDescent="0.2">
      <c r="B831" s="79" t="s">
        <v>591</v>
      </c>
      <c r="C831" s="79"/>
      <c r="D831" s="125"/>
      <c r="E831" s="82"/>
    </row>
    <row r="832" spans="2:5" x14ac:dyDescent="0.2">
      <c r="B832" s="29" t="s">
        <v>592</v>
      </c>
      <c r="C832" s="101"/>
      <c r="D832" s="41" t="s">
        <v>593</v>
      </c>
      <c r="E832" s="32">
        <v>253</v>
      </c>
    </row>
    <row r="833" spans="2:5" x14ac:dyDescent="0.2">
      <c r="B833" s="29" t="s">
        <v>594</v>
      </c>
      <c r="C833" s="101"/>
      <c r="D833" s="30" t="s">
        <v>595</v>
      </c>
      <c r="E833" s="32">
        <v>463</v>
      </c>
    </row>
    <row r="834" spans="2:5" x14ac:dyDescent="0.2">
      <c r="B834" s="29" t="s">
        <v>596</v>
      </c>
      <c r="C834" s="101"/>
      <c r="D834" s="121" t="s">
        <v>597</v>
      </c>
      <c r="E834" s="122">
        <v>1157</v>
      </c>
    </row>
    <row r="835" spans="2:5" x14ac:dyDescent="0.2">
      <c r="B835" s="79" t="s">
        <v>598</v>
      </c>
      <c r="C835" s="79"/>
      <c r="D835" s="125"/>
      <c r="E835" s="82"/>
    </row>
    <row r="836" spans="2:5" x14ac:dyDescent="0.2">
      <c r="B836" s="29" t="s">
        <v>599</v>
      </c>
      <c r="C836" s="101"/>
      <c r="D836" s="41" t="s">
        <v>600</v>
      </c>
      <c r="E836" s="32">
        <v>377</v>
      </c>
    </row>
    <row r="837" spans="2:5" x14ac:dyDescent="0.2">
      <c r="B837" s="29" t="s">
        <v>601</v>
      </c>
      <c r="C837" s="101"/>
      <c r="D837" s="30" t="s">
        <v>602</v>
      </c>
      <c r="E837" s="32">
        <v>656</v>
      </c>
    </row>
    <row r="838" spans="2:5" x14ac:dyDescent="0.2">
      <c r="B838" s="29" t="s">
        <v>603</v>
      </c>
      <c r="C838" s="101"/>
      <c r="D838" s="30" t="s">
        <v>604</v>
      </c>
      <c r="E838" s="32">
        <v>1582</v>
      </c>
    </row>
    <row r="839" spans="2:5" x14ac:dyDescent="0.2">
      <c r="B839" s="10"/>
      <c r="C839" s="8"/>
      <c r="D839" s="34"/>
      <c r="E839" s="34"/>
    </row>
    <row r="840" spans="2:5" x14ac:dyDescent="0.2">
      <c r="B840" s="35" t="s">
        <v>605</v>
      </c>
      <c r="C840" s="8"/>
      <c r="D840" s="123"/>
      <c r="E840" s="123"/>
    </row>
    <row r="841" spans="2:5" x14ac:dyDescent="0.2">
      <c r="B841" s="29" t="s">
        <v>606</v>
      </c>
      <c r="C841" s="101"/>
      <c r="D841" s="30" t="s">
        <v>607</v>
      </c>
      <c r="E841" s="32">
        <v>108</v>
      </c>
    </row>
    <row r="842" spans="2:5" x14ac:dyDescent="0.2">
      <c r="B842" s="29" t="s">
        <v>608</v>
      </c>
      <c r="C842" s="101"/>
      <c r="D842" s="30" t="s">
        <v>609</v>
      </c>
      <c r="E842" s="32">
        <v>108</v>
      </c>
    </row>
    <row r="843" spans="2:5" x14ac:dyDescent="0.2">
      <c r="B843" s="29" t="s">
        <v>610</v>
      </c>
      <c r="C843" s="101"/>
      <c r="D843" s="30" t="s">
        <v>611</v>
      </c>
      <c r="E843" s="32">
        <v>108</v>
      </c>
    </row>
    <row r="844" spans="2:5" x14ac:dyDescent="0.2">
      <c r="B844" s="29" t="s">
        <v>612</v>
      </c>
      <c r="C844" s="101"/>
      <c r="D844" s="30" t="s">
        <v>613</v>
      </c>
      <c r="E844" s="32">
        <v>108</v>
      </c>
    </row>
    <row r="845" spans="2:5" x14ac:dyDescent="0.2">
      <c r="B845" s="29" t="s">
        <v>614</v>
      </c>
      <c r="C845" s="101"/>
      <c r="D845" s="30" t="s">
        <v>615</v>
      </c>
      <c r="E845" s="32">
        <v>108</v>
      </c>
    </row>
    <row r="846" spans="2:5" x14ac:dyDescent="0.2">
      <c r="B846" s="10"/>
      <c r="C846" s="8"/>
      <c r="D846" s="34"/>
      <c r="E846" s="34"/>
    </row>
    <row r="847" spans="2:5" x14ac:dyDescent="0.2">
      <c r="B847" s="35" t="s">
        <v>616</v>
      </c>
      <c r="D847" s="123"/>
      <c r="E847" s="123"/>
    </row>
    <row r="848" spans="2:5" x14ac:dyDescent="0.2">
      <c r="B848" s="29" t="s">
        <v>617</v>
      </c>
      <c r="C848" s="101"/>
      <c r="D848" s="30" t="s">
        <v>618</v>
      </c>
      <c r="E848" s="32">
        <v>54</v>
      </c>
    </row>
    <row r="849" spans="2:5" x14ac:dyDescent="0.2">
      <c r="B849" s="29" t="s">
        <v>619</v>
      </c>
      <c r="C849" s="101"/>
      <c r="D849" s="30" t="s">
        <v>620</v>
      </c>
      <c r="E849" s="32">
        <v>65</v>
      </c>
    </row>
    <row r="850" spans="2:5" x14ac:dyDescent="0.2">
      <c r="B850" s="29" t="s">
        <v>171</v>
      </c>
      <c r="C850" s="29"/>
      <c r="D850" s="30" t="s">
        <v>621</v>
      </c>
      <c r="E850" s="32">
        <v>140</v>
      </c>
    </row>
    <row r="851" spans="2:5" x14ac:dyDescent="0.2">
      <c r="B851" s="29" t="s">
        <v>622</v>
      </c>
      <c r="C851" s="101"/>
      <c r="D851" s="30" t="s">
        <v>623</v>
      </c>
      <c r="E851" s="32">
        <v>215</v>
      </c>
    </row>
    <row r="852" spans="2:5" x14ac:dyDescent="0.2">
      <c r="B852" s="29" t="s">
        <v>624</v>
      </c>
      <c r="C852" s="101"/>
      <c r="D852" s="30" t="s">
        <v>625</v>
      </c>
      <c r="E852" s="32">
        <v>329</v>
      </c>
    </row>
    <row r="853" spans="2:5" x14ac:dyDescent="0.2">
      <c r="B853" s="10"/>
      <c r="C853" s="8"/>
      <c r="D853" s="34"/>
      <c r="E853" s="34"/>
    </row>
    <row r="854" spans="2:5" x14ac:dyDescent="0.2">
      <c r="B854" s="35" t="s">
        <v>626</v>
      </c>
      <c r="C854" s="8"/>
      <c r="D854" s="123"/>
      <c r="E854" s="123"/>
    </row>
    <row r="855" spans="2:5" x14ac:dyDescent="0.2">
      <c r="B855" s="29" t="s">
        <v>627</v>
      </c>
      <c r="C855" s="101"/>
      <c r="D855" s="30" t="s">
        <v>628</v>
      </c>
      <c r="E855" s="32">
        <v>172</v>
      </c>
    </row>
    <row r="856" spans="2:5" x14ac:dyDescent="0.2">
      <c r="B856" s="29" t="s">
        <v>629</v>
      </c>
      <c r="C856" s="101"/>
      <c r="D856" s="30" t="s">
        <v>630</v>
      </c>
      <c r="E856" s="32">
        <v>560</v>
      </c>
    </row>
    <row r="857" spans="2:5" x14ac:dyDescent="0.2">
      <c r="B857" s="10"/>
      <c r="C857" s="8"/>
      <c r="D857" s="34"/>
      <c r="E857" s="34"/>
    </row>
    <row r="858" spans="2:5" x14ac:dyDescent="0.2">
      <c r="B858" s="35" t="s">
        <v>631</v>
      </c>
      <c r="C858" s="8"/>
      <c r="D858" s="123"/>
      <c r="E858" s="123"/>
    </row>
    <row r="859" spans="2:5" x14ac:dyDescent="0.2">
      <c r="B859" s="29" t="s">
        <v>632</v>
      </c>
      <c r="C859" s="101"/>
      <c r="D859" s="128" t="s">
        <v>633</v>
      </c>
      <c r="E859" s="32">
        <v>5</v>
      </c>
    </row>
    <row r="860" spans="2:5" x14ac:dyDescent="0.2">
      <c r="B860" s="29" t="s">
        <v>634</v>
      </c>
      <c r="C860" s="101"/>
      <c r="D860" s="128" t="s">
        <v>635</v>
      </c>
      <c r="E860" s="32">
        <v>5</v>
      </c>
    </row>
    <row r="861" spans="2:5" x14ac:dyDescent="0.2">
      <c r="B861" s="29" t="s">
        <v>636</v>
      </c>
      <c r="C861" s="101"/>
      <c r="D861" s="128" t="s">
        <v>637</v>
      </c>
      <c r="E861" s="122">
        <v>5</v>
      </c>
    </row>
    <row r="862" spans="2:5" x14ac:dyDescent="0.2">
      <c r="B862" s="29" t="s">
        <v>638</v>
      </c>
      <c r="C862" s="101"/>
      <c r="D862" s="128" t="s">
        <v>639</v>
      </c>
      <c r="E862" s="31">
        <v>5</v>
      </c>
    </row>
    <row r="863" spans="2:5" x14ac:dyDescent="0.2">
      <c r="B863" s="10"/>
      <c r="C863" s="8"/>
      <c r="E863" s="88"/>
    </row>
    <row r="864" spans="2:5" x14ac:dyDescent="0.2">
      <c r="B864" s="35" t="s">
        <v>84</v>
      </c>
      <c r="C864" s="8"/>
      <c r="E864" s="88"/>
    </row>
    <row r="865" spans="2:5" x14ac:dyDescent="0.2">
      <c r="B865" s="79" t="s">
        <v>640</v>
      </c>
      <c r="C865" s="8"/>
      <c r="E865" s="88"/>
    </row>
    <row r="866" spans="2:5" x14ac:dyDescent="0.2">
      <c r="B866" s="191" t="s">
        <v>643</v>
      </c>
      <c r="C866" s="191"/>
      <c r="D866" s="218" t="s">
        <v>641</v>
      </c>
      <c r="E866" s="219">
        <v>460</v>
      </c>
    </row>
    <row r="867" spans="2:5" x14ac:dyDescent="0.2">
      <c r="B867" s="191" t="s">
        <v>644</v>
      </c>
      <c r="C867" s="191"/>
      <c r="D867" s="211" t="s">
        <v>642</v>
      </c>
      <c r="E867" s="219">
        <v>2000</v>
      </c>
    </row>
    <row r="868" spans="2:5" x14ac:dyDescent="0.2">
      <c r="B868" s="237" t="s">
        <v>645</v>
      </c>
      <c r="C868" s="188"/>
      <c r="D868" s="238"/>
      <c r="E868" s="238"/>
    </row>
    <row r="869" spans="2:5" x14ac:dyDescent="0.2">
      <c r="B869" s="197" t="s">
        <v>1927</v>
      </c>
      <c r="C869" s="191"/>
      <c r="D869" s="211" t="s">
        <v>240</v>
      </c>
      <c r="E869" s="219">
        <v>35</v>
      </c>
    </row>
    <row r="870" spans="2:5" x14ac:dyDescent="0.2">
      <c r="B870" s="197" t="s">
        <v>86</v>
      </c>
      <c r="C870" s="191"/>
      <c r="D870" s="211" t="s">
        <v>85</v>
      </c>
      <c r="E870" s="219">
        <v>43</v>
      </c>
    </row>
    <row r="871" spans="2:5" x14ac:dyDescent="0.2">
      <c r="B871" s="197" t="s">
        <v>88</v>
      </c>
      <c r="C871" s="191"/>
      <c r="D871" s="211" t="s">
        <v>87</v>
      </c>
      <c r="E871" s="219">
        <v>156</v>
      </c>
    </row>
    <row r="872" spans="2:5" s="10" customFormat="1" x14ac:dyDescent="0.25">
      <c r="B872" s="191" t="s">
        <v>646</v>
      </c>
      <c r="C872" s="191"/>
      <c r="D872" s="211" t="s">
        <v>242</v>
      </c>
      <c r="E872" s="219">
        <v>215</v>
      </c>
    </row>
    <row r="873" spans="2:5" s="10" customFormat="1" x14ac:dyDescent="0.25">
      <c r="B873" s="191" t="s">
        <v>647</v>
      </c>
      <c r="C873" s="191"/>
      <c r="D873" s="211" t="s">
        <v>244</v>
      </c>
      <c r="E873" s="219">
        <v>280</v>
      </c>
    </row>
    <row r="874" spans="2:5" s="10" customFormat="1" x14ac:dyDescent="0.25">
      <c r="B874" s="191" t="s">
        <v>1926</v>
      </c>
      <c r="C874" s="191"/>
      <c r="D874" s="211" t="s">
        <v>245</v>
      </c>
      <c r="E874" s="219">
        <v>460</v>
      </c>
    </row>
    <row r="875" spans="2:5" x14ac:dyDescent="0.2">
      <c r="B875" s="197" t="s">
        <v>648</v>
      </c>
      <c r="C875" s="191"/>
      <c r="D875" s="211" t="s">
        <v>246</v>
      </c>
      <c r="E875" s="219">
        <v>693</v>
      </c>
    </row>
    <row r="876" spans="2:5" s="10" customFormat="1" x14ac:dyDescent="0.25">
      <c r="B876" s="197" t="s">
        <v>1892</v>
      </c>
      <c r="C876" s="191"/>
      <c r="D876" s="211" t="s">
        <v>249</v>
      </c>
      <c r="E876" s="219">
        <v>1250</v>
      </c>
    </row>
    <row r="877" spans="2:5" x14ac:dyDescent="0.2">
      <c r="B877" s="191" t="s">
        <v>650</v>
      </c>
      <c r="C877" s="191"/>
      <c r="D877" s="236" t="s">
        <v>649</v>
      </c>
      <c r="E877" s="219">
        <v>1388</v>
      </c>
    </row>
    <row r="878" spans="2:5" x14ac:dyDescent="0.2">
      <c r="B878" s="191" t="s">
        <v>652</v>
      </c>
      <c r="C878" s="191"/>
      <c r="D878" s="211" t="s">
        <v>651</v>
      </c>
      <c r="E878" s="219">
        <v>3014</v>
      </c>
    </row>
    <row r="879" spans="2:5" x14ac:dyDescent="0.2">
      <c r="B879" s="191" t="s">
        <v>655</v>
      </c>
      <c r="C879" s="191"/>
      <c r="D879" s="236" t="s">
        <v>654</v>
      </c>
      <c r="E879" s="219">
        <v>6189</v>
      </c>
    </row>
    <row r="880" spans="2:5" x14ac:dyDescent="0.2">
      <c r="B880" s="237" t="s">
        <v>252</v>
      </c>
      <c r="C880" s="188"/>
      <c r="D880" s="238"/>
      <c r="E880" s="238"/>
    </row>
    <row r="881" spans="2:5" x14ac:dyDescent="0.2">
      <c r="B881" s="191" t="s">
        <v>656</v>
      </c>
      <c r="C881" s="191"/>
      <c r="D881" s="211" t="s">
        <v>657</v>
      </c>
      <c r="E881" s="219">
        <v>737</v>
      </c>
    </row>
    <row r="882" spans="2:5" x14ac:dyDescent="0.2">
      <c r="B882" s="191" t="s">
        <v>658</v>
      </c>
      <c r="C882" s="191"/>
      <c r="D882" s="211" t="s">
        <v>659</v>
      </c>
      <c r="E882" s="219">
        <v>1560</v>
      </c>
    </row>
    <row r="883" spans="2:5" x14ac:dyDescent="0.2">
      <c r="B883" s="237" t="s">
        <v>661</v>
      </c>
      <c r="C883" s="188"/>
      <c r="D883" s="238"/>
      <c r="E883" s="238"/>
    </row>
    <row r="884" spans="2:5" s="10" customFormat="1" x14ac:dyDescent="0.25">
      <c r="B884" s="197" t="s">
        <v>662</v>
      </c>
      <c r="C884" s="191"/>
      <c r="D884" s="211" t="s">
        <v>663</v>
      </c>
      <c r="E884" s="219">
        <v>2608</v>
      </c>
    </row>
    <row r="885" spans="2:5" s="10" customFormat="1" x14ac:dyDescent="0.25">
      <c r="B885" s="197" t="s">
        <v>664</v>
      </c>
      <c r="C885" s="191"/>
      <c r="D885" s="211" t="s">
        <v>665</v>
      </c>
      <c r="E885" s="219">
        <v>2808</v>
      </c>
    </row>
    <row r="886" spans="2:5" x14ac:dyDescent="0.2">
      <c r="B886" s="191" t="s">
        <v>666</v>
      </c>
      <c r="C886" s="191"/>
      <c r="D886" s="211" t="s">
        <v>667</v>
      </c>
      <c r="E886" s="219">
        <v>2884</v>
      </c>
    </row>
    <row r="887" spans="2:5" x14ac:dyDescent="0.2">
      <c r="B887" s="191" t="s">
        <v>668</v>
      </c>
      <c r="C887" s="191"/>
      <c r="D887" s="211" t="s">
        <v>669</v>
      </c>
      <c r="E887" s="219">
        <v>3084</v>
      </c>
    </row>
    <row r="888" spans="2:5" x14ac:dyDescent="0.2">
      <c r="B888" s="10"/>
      <c r="C888" s="8"/>
      <c r="D888" s="34"/>
      <c r="E888" s="34"/>
    </row>
    <row r="889" spans="2:5" x14ac:dyDescent="0.2">
      <c r="B889" s="28" t="s">
        <v>175</v>
      </c>
      <c r="C889" s="8"/>
      <c r="D889" s="123"/>
      <c r="E889" s="123"/>
    </row>
    <row r="890" spans="2:5" x14ac:dyDescent="0.2">
      <c r="B890" s="29" t="s">
        <v>670</v>
      </c>
      <c r="C890" s="101"/>
      <c r="D890" s="128" t="s">
        <v>671</v>
      </c>
      <c r="E890" s="32">
        <v>12</v>
      </c>
    </row>
    <row r="891" spans="2:5" x14ac:dyDescent="0.2">
      <c r="B891" s="29" t="s">
        <v>672</v>
      </c>
      <c r="C891" s="101"/>
      <c r="D891" s="128" t="s">
        <v>673</v>
      </c>
      <c r="E891" s="32">
        <v>22</v>
      </c>
    </row>
    <row r="892" spans="2:5" x14ac:dyDescent="0.2">
      <c r="B892" s="29" t="s">
        <v>674</v>
      </c>
      <c r="C892" s="101"/>
      <c r="D892" s="128" t="s">
        <v>675</v>
      </c>
      <c r="E892" s="32">
        <v>103</v>
      </c>
    </row>
    <row r="893" spans="2:5" x14ac:dyDescent="0.2">
      <c r="B893" s="10"/>
      <c r="C893" s="8"/>
      <c r="D893" s="34"/>
      <c r="E893" s="34"/>
    </row>
    <row r="894" spans="2:5" x14ac:dyDescent="0.2">
      <c r="B894" s="28" t="s">
        <v>676</v>
      </c>
      <c r="C894" s="8"/>
      <c r="D894" s="123"/>
      <c r="E894" s="123"/>
    </row>
    <row r="895" spans="2:5" x14ac:dyDescent="0.2">
      <c r="B895" s="29" t="s">
        <v>184</v>
      </c>
      <c r="C895" s="101"/>
      <c r="D895" s="128" t="s">
        <v>677</v>
      </c>
      <c r="E895" s="32">
        <v>33</v>
      </c>
    </row>
    <row r="896" spans="2:5" x14ac:dyDescent="0.2">
      <c r="B896" s="29" t="s">
        <v>186</v>
      </c>
      <c r="C896" s="101"/>
      <c r="D896" s="128" t="s">
        <v>678</v>
      </c>
      <c r="E896" s="32">
        <v>105</v>
      </c>
    </row>
    <row r="897" spans="2:5" x14ac:dyDescent="0.2">
      <c r="B897" s="29" t="s">
        <v>679</v>
      </c>
      <c r="C897" s="101"/>
      <c r="D897" s="128" t="s">
        <v>680</v>
      </c>
      <c r="E897" s="32">
        <v>205</v>
      </c>
    </row>
    <row r="898" spans="2:5" x14ac:dyDescent="0.2">
      <c r="B898" s="29" t="s">
        <v>681</v>
      </c>
      <c r="C898" s="101"/>
      <c r="D898" s="128" t="s">
        <v>682</v>
      </c>
      <c r="E898" s="32">
        <v>25</v>
      </c>
    </row>
    <row r="899" spans="2:5" x14ac:dyDescent="0.2">
      <c r="B899" s="29" t="s">
        <v>271</v>
      </c>
      <c r="C899" s="101"/>
      <c r="D899" s="128" t="s">
        <v>683</v>
      </c>
      <c r="E899" s="32">
        <v>27</v>
      </c>
    </row>
    <row r="900" spans="2:5" x14ac:dyDescent="0.2">
      <c r="B900" s="29" t="s">
        <v>684</v>
      </c>
      <c r="C900" s="101"/>
      <c r="D900" s="128" t="s">
        <v>685</v>
      </c>
      <c r="E900" s="32">
        <v>113</v>
      </c>
    </row>
    <row r="901" spans="2:5" x14ac:dyDescent="0.2">
      <c r="B901" s="10"/>
      <c r="C901" s="8"/>
      <c r="D901" s="34"/>
      <c r="E901" s="34"/>
    </row>
    <row r="902" spans="2:5" x14ac:dyDescent="0.2">
      <c r="B902" s="35" t="s">
        <v>101</v>
      </c>
      <c r="C902" s="100"/>
      <c r="D902" s="123"/>
      <c r="E902" s="123"/>
    </row>
    <row r="903" spans="2:5" x14ac:dyDescent="0.2">
      <c r="B903" s="50" t="s">
        <v>104</v>
      </c>
      <c r="C903" s="110"/>
      <c r="D903" s="30" t="s">
        <v>105</v>
      </c>
      <c r="E903" s="32">
        <v>15</v>
      </c>
    </row>
    <row r="904" spans="2:5" x14ac:dyDescent="0.2">
      <c r="B904" s="10"/>
      <c r="C904" s="8"/>
      <c r="D904" s="34"/>
      <c r="E904" s="34"/>
    </row>
    <row r="905" spans="2:5" x14ac:dyDescent="0.2">
      <c r="B905" s="28" t="s">
        <v>106</v>
      </c>
      <c r="C905" s="8"/>
      <c r="D905" s="123"/>
      <c r="E905" s="123"/>
    </row>
    <row r="906" spans="2:5" x14ac:dyDescent="0.2">
      <c r="B906" s="29" t="s">
        <v>107</v>
      </c>
      <c r="C906" s="101"/>
      <c r="D906" s="128" t="s">
        <v>686</v>
      </c>
      <c r="E906" s="32">
        <v>0</v>
      </c>
    </row>
    <row r="907" spans="2:5" x14ac:dyDescent="0.2">
      <c r="B907" s="10"/>
      <c r="C907" s="8"/>
      <c r="D907" s="34"/>
      <c r="E907" s="34"/>
    </row>
    <row r="908" spans="2:5" x14ac:dyDescent="0.2">
      <c r="B908" s="35" t="s">
        <v>687</v>
      </c>
      <c r="C908" s="8"/>
      <c r="D908" s="123"/>
      <c r="E908" s="123"/>
    </row>
    <row r="909" spans="2:5" x14ac:dyDescent="0.2">
      <c r="B909" s="50" t="s">
        <v>688</v>
      </c>
      <c r="C909" s="101" t="s">
        <v>689</v>
      </c>
      <c r="D909" s="128" t="s">
        <v>690</v>
      </c>
      <c r="E909" s="32">
        <v>49</v>
      </c>
    </row>
    <row r="910" spans="2:5" x14ac:dyDescent="0.2">
      <c r="B910" s="10"/>
      <c r="C910" s="8"/>
      <c r="D910" s="34"/>
      <c r="E910" s="34"/>
    </row>
    <row r="911" spans="2:5" x14ac:dyDescent="0.2">
      <c r="B911" s="35" t="s">
        <v>128</v>
      </c>
      <c r="D911" s="123"/>
      <c r="E911" s="123"/>
    </row>
    <row r="912" spans="2:5" x14ac:dyDescent="0.2">
      <c r="B912" s="29" t="s">
        <v>129</v>
      </c>
      <c r="C912" s="84"/>
      <c r="D912" s="59" t="s">
        <v>691</v>
      </c>
      <c r="E912" s="85">
        <v>12</v>
      </c>
    </row>
    <row r="913" spans="2:5" x14ac:dyDescent="0.2">
      <c r="B913" s="29" t="s">
        <v>131</v>
      </c>
      <c r="C913" s="84"/>
      <c r="D913" s="59" t="s">
        <v>692</v>
      </c>
      <c r="E913" s="85">
        <v>24</v>
      </c>
    </row>
    <row r="914" spans="2:5" x14ac:dyDescent="0.2">
      <c r="B914" s="60" t="s">
        <v>134</v>
      </c>
      <c r="C914" s="86"/>
      <c r="D914" s="61" t="s">
        <v>693</v>
      </c>
      <c r="E914" s="87">
        <v>50</v>
      </c>
    </row>
    <row r="915" spans="2:5" x14ac:dyDescent="0.2">
      <c r="B915" s="60" t="s">
        <v>136</v>
      </c>
      <c r="C915" s="86"/>
      <c r="D915" s="61" t="s">
        <v>694</v>
      </c>
      <c r="E915" s="87">
        <v>80</v>
      </c>
    </row>
    <row r="916" spans="2:5" ht="15" x14ac:dyDescent="0.25">
      <c r="B916" s="68"/>
      <c r="C916" s="56"/>
      <c r="D916" s="34"/>
      <c r="E916" s="114"/>
    </row>
    <row r="917" spans="2:5" x14ac:dyDescent="0.2">
      <c r="B917" s="35" t="s">
        <v>137</v>
      </c>
      <c r="E917" s="8"/>
    </row>
    <row r="918" spans="2:5" x14ac:dyDescent="0.2">
      <c r="B918" s="63" t="s">
        <v>1893</v>
      </c>
      <c r="C918" s="64"/>
      <c r="D918" s="186" t="s">
        <v>138</v>
      </c>
      <c r="E918" s="66">
        <v>215</v>
      </c>
    </row>
    <row r="919" spans="2:5" x14ac:dyDescent="0.2">
      <c r="B919" s="63" t="s">
        <v>1904</v>
      </c>
      <c r="C919" s="64"/>
      <c r="D919" s="186" t="s">
        <v>139</v>
      </c>
      <c r="E919" s="66">
        <v>273</v>
      </c>
    </row>
    <row r="920" spans="2:5" x14ac:dyDescent="0.2">
      <c r="B920" s="63" t="s">
        <v>1905</v>
      </c>
      <c r="C920" s="64"/>
      <c r="D920" s="186" t="s">
        <v>140</v>
      </c>
      <c r="E920" s="66">
        <v>325</v>
      </c>
    </row>
    <row r="921" spans="2:5" x14ac:dyDescent="0.2">
      <c r="B921" s="63" t="s">
        <v>1906</v>
      </c>
      <c r="C921" s="64"/>
      <c r="D921" s="186" t="s">
        <v>141</v>
      </c>
      <c r="E921" s="66">
        <v>375</v>
      </c>
    </row>
    <row r="922" spans="2:5" x14ac:dyDescent="0.2">
      <c r="B922" s="63" t="s">
        <v>1907</v>
      </c>
      <c r="C922" s="64"/>
      <c r="D922" s="186" t="s">
        <v>142</v>
      </c>
      <c r="E922" s="66">
        <v>432</v>
      </c>
    </row>
    <row r="923" spans="2:5" x14ac:dyDescent="0.2">
      <c r="B923" s="8"/>
      <c r="C923" s="8"/>
      <c r="D923" s="8"/>
      <c r="E923" s="8"/>
    </row>
    <row r="924" spans="2:5" x14ac:dyDescent="0.2">
      <c r="B924" s="35" t="s">
        <v>143</v>
      </c>
    </row>
    <row r="925" spans="2:5" x14ac:dyDescent="0.2">
      <c r="B925" s="60" t="s">
        <v>146</v>
      </c>
      <c r="C925" s="60"/>
      <c r="D925" s="61" t="s">
        <v>145</v>
      </c>
      <c r="E925" s="62">
        <v>10</v>
      </c>
    </row>
    <row r="926" spans="2:5" x14ac:dyDescent="0.2">
      <c r="B926" s="60" t="s">
        <v>148</v>
      </c>
      <c r="C926" s="60"/>
      <c r="D926" s="61" t="s">
        <v>147</v>
      </c>
      <c r="E926" s="62">
        <v>34</v>
      </c>
    </row>
    <row r="927" spans="2:5" x14ac:dyDescent="0.2">
      <c r="B927" s="27"/>
      <c r="E927" s="11"/>
    </row>
    <row r="928" spans="2:5" x14ac:dyDescent="0.2">
      <c r="B928" s="97" t="s">
        <v>695</v>
      </c>
      <c r="C928" s="97"/>
      <c r="D928" s="130"/>
      <c r="E928" s="130"/>
    </row>
    <row r="929" spans="2:5" ht="15" x14ac:dyDescent="0.2">
      <c r="B929" s="35" t="s">
        <v>41</v>
      </c>
      <c r="C929" s="68"/>
      <c r="D929" s="34"/>
      <c r="E929" s="34"/>
    </row>
    <row r="930" spans="2:5" ht="15" x14ac:dyDescent="0.2">
      <c r="B930" s="79" t="s">
        <v>696</v>
      </c>
      <c r="C930" s="68"/>
      <c r="D930" s="123"/>
      <c r="E930" s="123"/>
    </row>
    <row r="931" spans="2:5" x14ac:dyDescent="0.2">
      <c r="B931" s="29" t="s">
        <v>697</v>
      </c>
      <c r="C931" s="69"/>
      <c r="D931" s="71" t="s">
        <v>698</v>
      </c>
      <c r="E931" s="32">
        <v>76</v>
      </c>
    </row>
    <row r="932" spans="2:5" x14ac:dyDescent="0.2">
      <c r="B932" s="29" t="s">
        <v>699</v>
      </c>
      <c r="C932" s="69"/>
      <c r="D932" s="71" t="s">
        <v>700</v>
      </c>
      <c r="E932" s="32">
        <v>484</v>
      </c>
    </row>
    <row r="933" spans="2:5" x14ac:dyDescent="0.2">
      <c r="B933" s="29" t="s">
        <v>701</v>
      </c>
      <c r="C933" s="69"/>
      <c r="D933" s="71" t="s">
        <v>702</v>
      </c>
      <c r="E933" s="32">
        <v>613</v>
      </c>
    </row>
    <row r="934" spans="2:5" x14ac:dyDescent="0.2">
      <c r="B934" s="29" t="s">
        <v>703</v>
      </c>
      <c r="C934" s="69"/>
      <c r="D934" s="71" t="s">
        <v>704</v>
      </c>
      <c r="E934" s="32">
        <v>775</v>
      </c>
    </row>
    <row r="935" spans="2:5" x14ac:dyDescent="0.2">
      <c r="B935" s="79" t="s">
        <v>705</v>
      </c>
      <c r="C935" s="79"/>
      <c r="D935" s="125"/>
      <c r="E935" s="125"/>
    </row>
    <row r="936" spans="2:5" x14ac:dyDescent="0.2">
      <c r="B936" s="29" t="s">
        <v>706</v>
      </c>
      <c r="C936" s="69"/>
      <c r="D936" s="71" t="s">
        <v>707</v>
      </c>
      <c r="E936" s="32">
        <v>1324</v>
      </c>
    </row>
    <row r="937" spans="2:5" x14ac:dyDescent="0.2">
      <c r="B937" s="29" t="s">
        <v>708</v>
      </c>
      <c r="C937" s="69"/>
      <c r="D937" s="71" t="s">
        <v>709</v>
      </c>
      <c r="E937" s="32">
        <v>1937</v>
      </c>
    </row>
    <row r="938" spans="2:5" x14ac:dyDescent="0.2">
      <c r="B938" s="29" t="s">
        <v>710</v>
      </c>
      <c r="C938" s="69"/>
      <c r="D938" s="71" t="s">
        <v>711</v>
      </c>
      <c r="E938" s="32">
        <v>1560</v>
      </c>
    </row>
    <row r="939" spans="2:5" x14ac:dyDescent="0.2">
      <c r="B939" s="29" t="s">
        <v>712</v>
      </c>
      <c r="C939" s="69"/>
      <c r="D939" s="71" t="s">
        <v>713</v>
      </c>
      <c r="E939" s="32">
        <v>2691</v>
      </c>
    </row>
    <row r="940" spans="2:5" x14ac:dyDescent="0.2">
      <c r="B940" s="29" t="s">
        <v>714</v>
      </c>
      <c r="C940" s="69"/>
      <c r="D940" s="71" t="s">
        <v>715</v>
      </c>
      <c r="E940" s="32">
        <v>3229</v>
      </c>
    </row>
    <row r="941" spans="2:5" x14ac:dyDescent="0.2">
      <c r="B941" s="29" t="s">
        <v>716</v>
      </c>
      <c r="C941" s="69"/>
      <c r="D941" s="71" t="s">
        <v>717</v>
      </c>
      <c r="E941" s="32">
        <v>5274</v>
      </c>
    </row>
    <row r="942" spans="2:5" x14ac:dyDescent="0.2">
      <c r="B942" s="29" t="s">
        <v>718</v>
      </c>
      <c r="C942" s="69"/>
      <c r="D942" s="71" t="s">
        <v>719</v>
      </c>
      <c r="E942" s="32">
        <v>4143</v>
      </c>
    </row>
    <row r="943" spans="2:5" x14ac:dyDescent="0.2">
      <c r="B943" s="29" t="s">
        <v>720</v>
      </c>
      <c r="C943" s="69"/>
      <c r="D943" s="71" t="s">
        <v>721</v>
      </c>
      <c r="E943" s="32">
        <v>6242</v>
      </c>
    </row>
    <row r="944" spans="2:5" x14ac:dyDescent="0.2">
      <c r="B944" s="29" t="s">
        <v>722</v>
      </c>
      <c r="C944" s="69"/>
      <c r="D944" s="71" t="s">
        <v>723</v>
      </c>
      <c r="E944" s="32">
        <v>6566</v>
      </c>
    </row>
    <row r="945" spans="2:5" x14ac:dyDescent="0.2">
      <c r="B945" s="79" t="s">
        <v>724</v>
      </c>
      <c r="C945" s="79"/>
      <c r="D945" s="125"/>
      <c r="E945" s="125"/>
    </row>
    <row r="946" spans="2:5" x14ac:dyDescent="0.2">
      <c r="B946" s="29" t="s">
        <v>725</v>
      </c>
      <c r="C946" s="69"/>
      <c r="D946" s="71" t="s">
        <v>726</v>
      </c>
      <c r="E946" s="32">
        <v>4413</v>
      </c>
    </row>
    <row r="947" spans="2:5" x14ac:dyDescent="0.2">
      <c r="B947" s="29" t="s">
        <v>727</v>
      </c>
      <c r="C947" s="69"/>
      <c r="D947" s="71" t="s">
        <v>728</v>
      </c>
      <c r="E947" s="32">
        <v>7211</v>
      </c>
    </row>
    <row r="948" spans="2:5" x14ac:dyDescent="0.2">
      <c r="B948" s="29" t="s">
        <v>729</v>
      </c>
      <c r="C948" s="69"/>
      <c r="D948" s="71" t="s">
        <v>730</v>
      </c>
      <c r="E948" s="32">
        <v>10655</v>
      </c>
    </row>
    <row r="949" spans="2:5" x14ac:dyDescent="0.2">
      <c r="B949" s="29" t="s">
        <v>731</v>
      </c>
      <c r="C949" s="69"/>
      <c r="D949" s="71" t="s">
        <v>732</v>
      </c>
      <c r="E949" s="32">
        <v>13884</v>
      </c>
    </row>
    <row r="950" spans="2:5" x14ac:dyDescent="0.2">
      <c r="B950" s="29" t="s">
        <v>733</v>
      </c>
      <c r="C950" s="69"/>
      <c r="D950" s="71" t="s">
        <v>734</v>
      </c>
      <c r="E950" s="32">
        <v>17759</v>
      </c>
    </row>
    <row r="951" spans="2:5" x14ac:dyDescent="0.2">
      <c r="B951" s="29" t="s">
        <v>735</v>
      </c>
      <c r="C951" s="69"/>
      <c r="D951" s="71" t="s">
        <v>736</v>
      </c>
      <c r="E951" s="32">
        <v>16144</v>
      </c>
    </row>
    <row r="952" spans="2:5" x14ac:dyDescent="0.2">
      <c r="B952" s="29" t="s">
        <v>737</v>
      </c>
      <c r="C952" s="69"/>
      <c r="D952" s="71" t="s">
        <v>738</v>
      </c>
      <c r="E952" s="32">
        <v>19803</v>
      </c>
    </row>
    <row r="953" spans="2:5" x14ac:dyDescent="0.2">
      <c r="B953" s="10"/>
      <c r="C953" s="8"/>
      <c r="D953" s="34"/>
      <c r="E953" s="34"/>
    </row>
    <row r="954" spans="2:5" x14ac:dyDescent="0.2">
      <c r="B954" s="35" t="s">
        <v>54</v>
      </c>
      <c r="D954" s="123"/>
      <c r="E954" s="123"/>
    </row>
    <row r="955" spans="2:5" x14ac:dyDescent="0.2">
      <c r="B955" s="77" t="s">
        <v>739</v>
      </c>
      <c r="C955" s="101" t="s">
        <v>741</v>
      </c>
      <c r="D955" s="71" t="s">
        <v>740</v>
      </c>
      <c r="E955" s="32">
        <v>410</v>
      </c>
    </row>
    <row r="956" spans="2:5" x14ac:dyDescent="0.2">
      <c r="B956" s="77" t="s">
        <v>742</v>
      </c>
      <c r="C956" s="101" t="s">
        <v>744</v>
      </c>
      <c r="D956" s="71" t="s">
        <v>743</v>
      </c>
      <c r="E956" s="212">
        <v>452</v>
      </c>
    </row>
    <row r="957" spans="2:5" x14ac:dyDescent="0.2">
      <c r="B957" s="77" t="s">
        <v>745</v>
      </c>
      <c r="C957" s="101" t="s">
        <v>747</v>
      </c>
      <c r="D957" s="71" t="s">
        <v>746</v>
      </c>
      <c r="E957" s="212">
        <v>904</v>
      </c>
    </row>
    <row r="958" spans="2:5" x14ac:dyDescent="0.2">
      <c r="B958" s="77" t="s">
        <v>748</v>
      </c>
      <c r="C958" s="101" t="s">
        <v>750</v>
      </c>
      <c r="D958" s="71" t="s">
        <v>749</v>
      </c>
      <c r="E958" s="212">
        <v>1272</v>
      </c>
    </row>
    <row r="959" spans="2:5" x14ac:dyDescent="0.2">
      <c r="B959" s="77" t="s">
        <v>751</v>
      </c>
      <c r="C959" s="101" t="s">
        <v>753</v>
      </c>
      <c r="D959" s="71" t="s">
        <v>752</v>
      </c>
      <c r="E959" s="212">
        <v>2644</v>
      </c>
    </row>
    <row r="960" spans="2:5" x14ac:dyDescent="0.2">
      <c r="B960" s="77" t="s">
        <v>754</v>
      </c>
      <c r="C960" s="101" t="s">
        <v>756</v>
      </c>
      <c r="D960" s="71" t="s">
        <v>755</v>
      </c>
      <c r="E960" s="212">
        <v>2996</v>
      </c>
    </row>
    <row r="961" spans="2:5" x14ac:dyDescent="0.2">
      <c r="B961" s="77" t="s">
        <v>757</v>
      </c>
      <c r="C961" s="101" t="s">
        <v>759</v>
      </c>
      <c r="D961" s="71" t="s">
        <v>758</v>
      </c>
      <c r="E961" s="212">
        <v>4720</v>
      </c>
    </row>
    <row r="962" spans="2:5" s="67" customFormat="1" x14ac:dyDescent="0.25">
      <c r="B962" s="220" t="s">
        <v>760</v>
      </c>
      <c r="C962" s="191" t="s">
        <v>761</v>
      </c>
      <c r="D962" s="239" t="s">
        <v>762</v>
      </c>
      <c r="E962" s="219">
        <v>14356</v>
      </c>
    </row>
    <row r="963" spans="2:5" s="67" customFormat="1" x14ac:dyDescent="0.25">
      <c r="B963" s="220" t="s">
        <v>763</v>
      </c>
      <c r="C963" s="191" t="s">
        <v>764</v>
      </c>
      <c r="D963" s="239" t="s">
        <v>765</v>
      </c>
      <c r="E963" s="219">
        <v>21760</v>
      </c>
    </row>
    <row r="964" spans="2:5" s="10" customFormat="1" x14ac:dyDescent="0.25">
      <c r="B964" s="220" t="s">
        <v>766</v>
      </c>
      <c r="C964" s="191" t="s">
        <v>768</v>
      </c>
      <c r="D964" s="239" t="s">
        <v>767</v>
      </c>
      <c r="E964" s="219">
        <v>29164</v>
      </c>
    </row>
    <row r="965" spans="2:5" s="10" customFormat="1" x14ac:dyDescent="0.25">
      <c r="B965" s="220" t="s">
        <v>769</v>
      </c>
      <c r="C965" s="191" t="s">
        <v>771</v>
      </c>
      <c r="D965" s="239" t="s">
        <v>770</v>
      </c>
      <c r="E965" s="219">
        <v>43972</v>
      </c>
    </row>
    <row r="966" spans="2:5" x14ac:dyDescent="0.2">
      <c r="B966" s="67"/>
      <c r="C966" s="8"/>
      <c r="D966" s="129"/>
      <c r="E966" s="129"/>
    </row>
    <row r="967" spans="2:5" x14ac:dyDescent="0.2">
      <c r="B967" s="35" t="s">
        <v>772</v>
      </c>
      <c r="C967" s="8"/>
      <c r="D967" s="129"/>
      <c r="E967" s="129"/>
    </row>
    <row r="968" spans="2:5" x14ac:dyDescent="0.2">
      <c r="B968" s="79" t="s">
        <v>565</v>
      </c>
      <c r="C968" s="79"/>
      <c r="E968" s="11"/>
    </row>
    <row r="969" spans="2:5" x14ac:dyDescent="0.2">
      <c r="B969" s="77" t="s">
        <v>568</v>
      </c>
      <c r="C969" s="101"/>
      <c r="D969" s="71" t="s">
        <v>773</v>
      </c>
      <c r="E969" s="31">
        <v>231</v>
      </c>
    </row>
    <row r="970" spans="2:5" x14ac:dyDescent="0.2">
      <c r="B970" s="79" t="s">
        <v>570</v>
      </c>
      <c r="C970" s="79"/>
      <c r="D970" s="125"/>
      <c r="E970" s="125"/>
    </row>
    <row r="971" spans="2:5" x14ac:dyDescent="0.2">
      <c r="B971" s="77" t="s">
        <v>573</v>
      </c>
      <c r="C971" s="101"/>
      <c r="D971" s="71" t="s">
        <v>774</v>
      </c>
      <c r="E971" s="32">
        <v>194</v>
      </c>
    </row>
    <row r="972" spans="2:5" x14ac:dyDescent="0.2">
      <c r="B972" s="77" t="s">
        <v>575</v>
      </c>
      <c r="C972" s="101"/>
      <c r="D972" s="71" t="s">
        <v>775</v>
      </c>
      <c r="E972" s="32">
        <v>656</v>
      </c>
    </row>
    <row r="973" spans="2:5" x14ac:dyDescent="0.2">
      <c r="B973" s="79" t="s">
        <v>577</v>
      </c>
      <c r="C973" s="79"/>
      <c r="D973" s="125"/>
      <c r="E973" s="125"/>
    </row>
    <row r="974" spans="2:5" x14ac:dyDescent="0.2">
      <c r="B974" s="77" t="s">
        <v>776</v>
      </c>
      <c r="C974" s="101"/>
      <c r="D974" s="71" t="s">
        <v>777</v>
      </c>
      <c r="E974" s="32">
        <v>5</v>
      </c>
    </row>
    <row r="975" spans="2:5" x14ac:dyDescent="0.2">
      <c r="B975" s="77" t="s">
        <v>582</v>
      </c>
      <c r="C975" s="101"/>
      <c r="D975" s="71" t="s">
        <v>778</v>
      </c>
      <c r="E975" s="32">
        <v>237</v>
      </c>
    </row>
    <row r="976" spans="2:5" x14ac:dyDescent="0.2">
      <c r="B976" s="79" t="s">
        <v>584</v>
      </c>
      <c r="C976" s="79"/>
      <c r="D976" s="125"/>
      <c r="E976" s="125"/>
    </row>
    <row r="977" spans="2:5" x14ac:dyDescent="0.2">
      <c r="B977" s="77" t="s">
        <v>587</v>
      </c>
      <c r="C977" s="101"/>
      <c r="D977" s="71" t="s">
        <v>779</v>
      </c>
      <c r="E977" s="32">
        <v>200</v>
      </c>
    </row>
    <row r="978" spans="2:5" x14ac:dyDescent="0.2">
      <c r="B978" s="77" t="s">
        <v>589</v>
      </c>
      <c r="C978" s="101"/>
      <c r="D978" s="71" t="s">
        <v>780</v>
      </c>
      <c r="E978" s="32">
        <v>662</v>
      </c>
    </row>
    <row r="979" spans="2:5" x14ac:dyDescent="0.2">
      <c r="B979" s="79" t="s">
        <v>591</v>
      </c>
      <c r="C979" s="79"/>
      <c r="D979" s="125"/>
      <c r="E979" s="125"/>
    </row>
    <row r="980" spans="2:5" x14ac:dyDescent="0.2">
      <c r="B980" s="77" t="s">
        <v>592</v>
      </c>
      <c r="C980" s="101"/>
      <c r="D980" s="71" t="s">
        <v>781</v>
      </c>
      <c r="E980" s="32">
        <v>183</v>
      </c>
    </row>
    <row r="981" spans="2:5" x14ac:dyDescent="0.2">
      <c r="B981" s="77" t="s">
        <v>594</v>
      </c>
      <c r="C981" s="101"/>
      <c r="D981" s="71" t="s">
        <v>782</v>
      </c>
      <c r="E981" s="32">
        <v>393</v>
      </c>
    </row>
    <row r="982" spans="2:5" x14ac:dyDescent="0.2">
      <c r="B982" s="77" t="s">
        <v>596</v>
      </c>
      <c r="C982" s="101"/>
      <c r="D982" s="71" t="s">
        <v>783</v>
      </c>
      <c r="E982" s="32">
        <v>1087</v>
      </c>
    </row>
    <row r="983" spans="2:5" x14ac:dyDescent="0.2">
      <c r="B983" s="79" t="s">
        <v>598</v>
      </c>
      <c r="C983" s="79"/>
      <c r="D983" s="125"/>
      <c r="E983" s="125"/>
    </row>
    <row r="984" spans="2:5" x14ac:dyDescent="0.2">
      <c r="B984" s="77" t="s">
        <v>599</v>
      </c>
      <c r="C984" s="101"/>
      <c r="D984" s="71" t="s">
        <v>784</v>
      </c>
      <c r="E984" s="32">
        <v>307</v>
      </c>
    </row>
    <row r="985" spans="2:5" x14ac:dyDescent="0.2">
      <c r="B985" s="77" t="s">
        <v>601</v>
      </c>
      <c r="C985" s="101"/>
      <c r="D985" s="71" t="s">
        <v>785</v>
      </c>
      <c r="E985" s="32">
        <v>587</v>
      </c>
    </row>
    <row r="986" spans="2:5" x14ac:dyDescent="0.2">
      <c r="B986" s="77" t="s">
        <v>603</v>
      </c>
      <c r="C986" s="101"/>
      <c r="D986" s="71" t="s">
        <v>786</v>
      </c>
      <c r="E986" s="32">
        <v>1512</v>
      </c>
    </row>
    <row r="987" spans="2:5" x14ac:dyDescent="0.2">
      <c r="B987" s="79" t="s">
        <v>787</v>
      </c>
      <c r="C987" s="79"/>
      <c r="D987" s="125"/>
      <c r="E987" s="125"/>
    </row>
    <row r="988" spans="2:5" x14ac:dyDescent="0.2">
      <c r="B988" s="77" t="s">
        <v>788</v>
      </c>
      <c r="C988" s="101"/>
      <c r="D988" s="71" t="s">
        <v>789</v>
      </c>
      <c r="E988" s="32">
        <v>856</v>
      </c>
    </row>
    <row r="989" spans="2:5" x14ac:dyDescent="0.2">
      <c r="B989" s="77" t="s">
        <v>790</v>
      </c>
      <c r="C989" s="101"/>
      <c r="D989" s="71" t="s">
        <v>791</v>
      </c>
      <c r="E989" s="32">
        <v>1415</v>
      </c>
    </row>
    <row r="990" spans="2:5" x14ac:dyDescent="0.2">
      <c r="B990" s="67"/>
      <c r="C990" s="8"/>
      <c r="D990" s="34"/>
      <c r="E990" s="34"/>
    </row>
    <row r="991" spans="2:5" x14ac:dyDescent="0.2">
      <c r="B991" s="35" t="s">
        <v>605</v>
      </c>
      <c r="C991" s="8"/>
      <c r="D991" s="123"/>
      <c r="E991" s="123"/>
    </row>
    <row r="992" spans="2:5" x14ac:dyDescent="0.2">
      <c r="B992" s="29" t="s">
        <v>606</v>
      </c>
      <c r="C992" s="101"/>
      <c r="D992" s="30" t="s">
        <v>607</v>
      </c>
      <c r="E992" s="32">
        <v>108</v>
      </c>
    </row>
    <row r="993" spans="2:5" x14ac:dyDescent="0.2">
      <c r="B993" s="29" t="s">
        <v>608</v>
      </c>
      <c r="C993" s="101"/>
      <c r="D993" s="30" t="s">
        <v>609</v>
      </c>
      <c r="E993" s="32">
        <v>108</v>
      </c>
    </row>
    <row r="994" spans="2:5" x14ac:dyDescent="0.2">
      <c r="B994" s="29" t="s">
        <v>610</v>
      </c>
      <c r="C994" s="101"/>
      <c r="D994" s="30" t="s">
        <v>611</v>
      </c>
      <c r="E994" s="32">
        <v>108</v>
      </c>
    </row>
    <row r="995" spans="2:5" x14ac:dyDescent="0.2">
      <c r="B995" s="29" t="s">
        <v>612</v>
      </c>
      <c r="C995" s="101"/>
      <c r="D995" s="30" t="s">
        <v>613</v>
      </c>
      <c r="E995" s="32">
        <v>108</v>
      </c>
    </row>
    <row r="996" spans="2:5" x14ac:dyDescent="0.2">
      <c r="B996" s="29" t="s">
        <v>614</v>
      </c>
      <c r="C996" s="101"/>
      <c r="D996" s="30" t="s">
        <v>615</v>
      </c>
      <c r="E996" s="32">
        <v>108</v>
      </c>
    </row>
    <row r="997" spans="2:5" x14ac:dyDescent="0.2">
      <c r="B997" s="10"/>
      <c r="D997" s="34"/>
      <c r="E997" s="34"/>
    </row>
    <row r="998" spans="2:5" x14ac:dyDescent="0.2">
      <c r="B998" s="35" t="s">
        <v>792</v>
      </c>
      <c r="D998" s="123"/>
      <c r="E998" s="123"/>
    </row>
    <row r="999" spans="2:5" x14ac:dyDescent="0.2">
      <c r="B999" s="77" t="s">
        <v>617</v>
      </c>
      <c r="C999" s="101"/>
      <c r="D999" s="30" t="s">
        <v>618</v>
      </c>
      <c r="E999" s="32">
        <v>54</v>
      </c>
    </row>
    <row r="1000" spans="2:5" x14ac:dyDescent="0.2">
      <c r="B1000" s="77" t="s">
        <v>619</v>
      </c>
      <c r="C1000" s="101"/>
      <c r="D1000" s="30" t="s">
        <v>620</v>
      </c>
      <c r="E1000" s="32">
        <v>65</v>
      </c>
    </row>
    <row r="1001" spans="2:5" x14ac:dyDescent="0.2">
      <c r="B1001" s="77" t="s">
        <v>171</v>
      </c>
      <c r="C1001" s="101"/>
      <c r="D1001" s="30" t="s">
        <v>621</v>
      </c>
      <c r="E1001" s="32">
        <v>140</v>
      </c>
    </row>
    <row r="1002" spans="2:5" x14ac:dyDescent="0.2">
      <c r="B1002" s="77" t="s">
        <v>622</v>
      </c>
      <c r="C1002" s="101"/>
      <c r="D1002" s="30" t="s">
        <v>623</v>
      </c>
      <c r="E1002" s="32">
        <v>215</v>
      </c>
    </row>
    <row r="1003" spans="2:5" x14ac:dyDescent="0.2">
      <c r="B1003" s="77" t="s">
        <v>624</v>
      </c>
      <c r="C1003" s="101"/>
      <c r="D1003" s="30" t="s">
        <v>625</v>
      </c>
      <c r="E1003" s="32">
        <v>329</v>
      </c>
    </row>
    <row r="1004" spans="2:5" x14ac:dyDescent="0.2">
      <c r="B1004" s="10"/>
      <c r="D1004" s="34"/>
      <c r="E1004" s="34"/>
    </row>
    <row r="1005" spans="2:5" x14ac:dyDescent="0.2">
      <c r="B1005" s="35" t="s">
        <v>626</v>
      </c>
      <c r="D1005" s="123"/>
      <c r="E1005" s="123"/>
    </row>
    <row r="1006" spans="2:5" x14ac:dyDescent="0.2">
      <c r="B1006" s="77" t="s">
        <v>793</v>
      </c>
      <c r="C1006" s="101"/>
      <c r="D1006" s="30" t="s">
        <v>628</v>
      </c>
      <c r="E1006" s="32">
        <v>172</v>
      </c>
    </row>
    <row r="1007" spans="2:5" x14ac:dyDescent="0.2">
      <c r="B1007" s="77" t="s">
        <v>629</v>
      </c>
      <c r="C1007" s="101"/>
      <c r="D1007" s="30" t="s">
        <v>630</v>
      </c>
      <c r="E1007" s="32">
        <v>560</v>
      </c>
    </row>
    <row r="1008" spans="2:5" x14ac:dyDescent="0.2">
      <c r="B1008" s="10"/>
      <c r="D1008" s="34"/>
      <c r="E1008" s="34"/>
    </row>
    <row r="1009" spans="2:5" x14ac:dyDescent="0.2">
      <c r="B1009" s="35" t="s">
        <v>631</v>
      </c>
      <c r="D1009" s="123"/>
      <c r="E1009" s="123"/>
    </row>
    <row r="1010" spans="2:5" x14ac:dyDescent="0.2">
      <c r="B1010" s="77" t="s">
        <v>632</v>
      </c>
      <c r="C1010" s="101"/>
      <c r="D1010" s="128" t="s">
        <v>633</v>
      </c>
      <c r="E1010" s="32">
        <v>5</v>
      </c>
    </row>
    <row r="1011" spans="2:5" x14ac:dyDescent="0.2">
      <c r="B1011" s="77" t="s">
        <v>634</v>
      </c>
      <c r="C1011" s="101"/>
      <c r="D1011" s="128" t="s">
        <v>635</v>
      </c>
      <c r="E1011" s="32">
        <v>5</v>
      </c>
    </row>
    <row r="1012" spans="2:5" x14ac:dyDescent="0.2">
      <c r="B1012" s="77" t="s">
        <v>794</v>
      </c>
      <c r="C1012" s="101"/>
      <c r="D1012" s="128" t="s">
        <v>637</v>
      </c>
      <c r="E1012" s="32">
        <v>5</v>
      </c>
    </row>
    <row r="1013" spans="2:5" x14ac:dyDescent="0.2">
      <c r="B1013" s="77" t="s">
        <v>795</v>
      </c>
      <c r="C1013" s="101"/>
      <c r="D1013" s="128" t="s">
        <v>639</v>
      </c>
      <c r="E1013" s="32">
        <v>5</v>
      </c>
    </row>
    <row r="1014" spans="2:5" x14ac:dyDescent="0.2">
      <c r="B1014" s="10"/>
      <c r="D1014" s="127"/>
      <c r="E1014" s="127"/>
    </row>
    <row r="1015" spans="2:5" x14ac:dyDescent="0.2">
      <c r="B1015" s="35" t="s">
        <v>84</v>
      </c>
      <c r="E1015" s="11"/>
    </row>
    <row r="1016" spans="2:5" x14ac:dyDescent="0.2">
      <c r="B1016" s="79" t="s">
        <v>640</v>
      </c>
      <c r="C1016" s="8"/>
      <c r="E1016" s="11"/>
    </row>
    <row r="1017" spans="2:5" x14ac:dyDescent="0.2">
      <c r="B1017" s="191" t="s">
        <v>643</v>
      </c>
      <c r="C1017" s="191"/>
      <c r="D1017" s="211" t="s">
        <v>796</v>
      </c>
      <c r="E1017" s="219">
        <v>425</v>
      </c>
    </row>
    <row r="1018" spans="2:5" x14ac:dyDescent="0.2">
      <c r="B1018" s="191" t="s">
        <v>644</v>
      </c>
      <c r="C1018" s="191"/>
      <c r="D1018" s="211" t="s">
        <v>797</v>
      </c>
      <c r="E1018" s="219">
        <v>1965</v>
      </c>
    </row>
    <row r="1019" spans="2:5" x14ac:dyDescent="0.2">
      <c r="B1019" s="237" t="s">
        <v>645</v>
      </c>
      <c r="C1019" s="188"/>
      <c r="D1019" s="184"/>
      <c r="E1019" s="219"/>
    </row>
    <row r="1020" spans="2:5" s="10" customFormat="1" x14ac:dyDescent="0.25">
      <c r="B1020" s="191" t="s">
        <v>646</v>
      </c>
      <c r="C1020" s="191"/>
      <c r="D1020" s="211" t="s">
        <v>798</v>
      </c>
      <c r="E1020" s="219">
        <v>180</v>
      </c>
    </row>
    <row r="1021" spans="2:5" s="10" customFormat="1" x14ac:dyDescent="0.25">
      <c r="B1021" s="191" t="s">
        <v>647</v>
      </c>
      <c r="C1021" s="191"/>
      <c r="D1021" s="211" t="s">
        <v>799</v>
      </c>
      <c r="E1021" s="219">
        <v>245</v>
      </c>
    </row>
    <row r="1022" spans="2:5" s="10" customFormat="1" x14ac:dyDescent="0.25">
      <c r="B1022" s="191" t="s">
        <v>1928</v>
      </c>
      <c r="C1022" s="191"/>
      <c r="D1022" s="211" t="s">
        <v>800</v>
      </c>
      <c r="E1022" s="219">
        <v>425</v>
      </c>
    </row>
    <row r="1023" spans="2:5" x14ac:dyDescent="0.2">
      <c r="B1023" s="197" t="s">
        <v>802</v>
      </c>
      <c r="C1023" s="191"/>
      <c r="D1023" s="211" t="s">
        <v>801</v>
      </c>
      <c r="E1023" s="219">
        <v>658</v>
      </c>
    </row>
    <row r="1024" spans="2:5" s="10" customFormat="1" x14ac:dyDescent="0.25">
      <c r="B1024" s="197" t="s">
        <v>1892</v>
      </c>
      <c r="C1024" s="191"/>
      <c r="D1024" s="211" t="s">
        <v>803</v>
      </c>
      <c r="E1024" s="219">
        <v>1215</v>
      </c>
    </row>
    <row r="1025" spans="2:5" x14ac:dyDescent="0.2">
      <c r="B1025" s="191" t="s">
        <v>650</v>
      </c>
      <c r="C1025" s="191"/>
      <c r="D1025" s="236" t="s">
        <v>804</v>
      </c>
      <c r="E1025" s="219">
        <v>1353</v>
      </c>
    </row>
    <row r="1026" spans="2:5" x14ac:dyDescent="0.2">
      <c r="B1026" s="191" t="s">
        <v>652</v>
      </c>
      <c r="C1026" s="191"/>
      <c r="D1026" s="211" t="s">
        <v>805</v>
      </c>
      <c r="E1026" s="219">
        <v>2979</v>
      </c>
    </row>
    <row r="1027" spans="2:5" x14ac:dyDescent="0.2">
      <c r="B1027" s="220" t="s">
        <v>653</v>
      </c>
      <c r="C1027" s="240"/>
      <c r="D1027" s="241" t="s">
        <v>806</v>
      </c>
      <c r="E1027" s="242">
        <v>6154</v>
      </c>
    </row>
    <row r="1028" spans="2:5" x14ac:dyDescent="0.2">
      <c r="B1028" s="237" t="s">
        <v>252</v>
      </c>
      <c r="C1028" s="243"/>
      <c r="D1028" s="243"/>
      <c r="E1028" s="243"/>
    </row>
    <row r="1029" spans="2:5" x14ac:dyDescent="0.2">
      <c r="B1029" s="191" t="s">
        <v>807</v>
      </c>
      <c r="C1029" s="244"/>
      <c r="D1029" s="218" t="s">
        <v>808</v>
      </c>
      <c r="E1029" s="219">
        <v>702</v>
      </c>
    </row>
    <row r="1030" spans="2:5" x14ac:dyDescent="0.2">
      <c r="B1030" s="220" t="s">
        <v>809</v>
      </c>
      <c r="C1030" s="240"/>
      <c r="D1030" s="241" t="s">
        <v>810</v>
      </c>
      <c r="E1030" s="242">
        <v>1525</v>
      </c>
    </row>
    <row r="1031" spans="2:5" x14ac:dyDescent="0.2">
      <c r="B1031" s="237" t="s">
        <v>660</v>
      </c>
      <c r="C1031" s="243"/>
      <c r="D1031" s="245"/>
      <c r="E1031" s="246"/>
    </row>
    <row r="1032" spans="2:5" s="10" customFormat="1" x14ac:dyDescent="0.25">
      <c r="B1032" s="197" t="s">
        <v>662</v>
      </c>
      <c r="C1032" s="244"/>
      <c r="D1032" s="218" t="s">
        <v>811</v>
      </c>
      <c r="E1032" s="219">
        <v>2573</v>
      </c>
    </row>
    <row r="1033" spans="2:5" s="10" customFormat="1" x14ac:dyDescent="0.25">
      <c r="B1033" s="197" t="s">
        <v>664</v>
      </c>
      <c r="C1033" s="191"/>
      <c r="D1033" s="218" t="s">
        <v>812</v>
      </c>
      <c r="E1033" s="219">
        <v>2773</v>
      </c>
    </row>
    <row r="1034" spans="2:5" s="10" customFormat="1" x14ac:dyDescent="0.25">
      <c r="B1034" s="197" t="s">
        <v>813</v>
      </c>
      <c r="C1034" s="191"/>
      <c r="D1034" s="218" t="s">
        <v>814</v>
      </c>
      <c r="E1034" s="219">
        <v>3823</v>
      </c>
    </row>
    <row r="1035" spans="2:5" x14ac:dyDescent="0.2">
      <c r="B1035" s="191" t="s">
        <v>816</v>
      </c>
      <c r="C1035" s="191"/>
      <c r="D1035" s="236" t="s">
        <v>815</v>
      </c>
      <c r="E1035" s="219">
        <v>2849</v>
      </c>
    </row>
    <row r="1036" spans="2:5" x14ac:dyDescent="0.2">
      <c r="B1036" s="191" t="s">
        <v>668</v>
      </c>
      <c r="C1036" s="191"/>
      <c r="D1036" s="211" t="s">
        <v>817</v>
      </c>
      <c r="E1036" s="219">
        <v>3049</v>
      </c>
    </row>
    <row r="1037" spans="2:5" x14ac:dyDescent="0.2">
      <c r="B1037" s="220" t="s">
        <v>819</v>
      </c>
      <c r="C1037" s="191"/>
      <c r="D1037" s="236" t="s">
        <v>818</v>
      </c>
      <c r="E1037" s="219">
        <v>6101</v>
      </c>
    </row>
    <row r="1038" spans="2:5" x14ac:dyDescent="0.2">
      <c r="B1038" s="220" t="s">
        <v>820</v>
      </c>
      <c r="C1038" s="191"/>
      <c r="D1038" s="211" t="s">
        <v>821</v>
      </c>
      <c r="E1038" s="219">
        <v>6301</v>
      </c>
    </row>
    <row r="1039" spans="2:5" x14ac:dyDescent="0.2">
      <c r="B1039" s="35"/>
      <c r="C1039" s="46"/>
      <c r="D1039" s="34"/>
      <c r="E1039" s="34"/>
    </row>
    <row r="1040" spans="2:5" x14ac:dyDescent="0.2">
      <c r="B1040" s="35" t="s">
        <v>175</v>
      </c>
      <c r="C1040" s="46"/>
      <c r="D1040" s="123"/>
      <c r="E1040" s="123"/>
    </row>
    <row r="1041" spans="2:5" x14ac:dyDescent="0.2">
      <c r="B1041" s="77" t="s">
        <v>670</v>
      </c>
      <c r="C1041" s="132"/>
      <c r="D1041" s="128" t="s">
        <v>671</v>
      </c>
      <c r="E1041" s="32">
        <v>12</v>
      </c>
    </row>
    <row r="1042" spans="2:5" x14ac:dyDescent="0.2">
      <c r="B1042" s="77" t="s">
        <v>672</v>
      </c>
      <c r="C1042" s="132"/>
      <c r="D1042" s="128" t="s">
        <v>673</v>
      </c>
      <c r="E1042" s="32">
        <v>22</v>
      </c>
    </row>
    <row r="1043" spans="2:5" x14ac:dyDescent="0.2">
      <c r="B1043" s="77" t="s">
        <v>674</v>
      </c>
      <c r="C1043" s="132"/>
      <c r="D1043" s="128" t="s">
        <v>675</v>
      </c>
      <c r="E1043" s="32">
        <v>103</v>
      </c>
    </row>
    <row r="1044" spans="2:5" x14ac:dyDescent="0.2">
      <c r="B1044" s="35"/>
      <c r="C1044" s="46"/>
      <c r="D1044" s="34"/>
      <c r="E1044" s="34"/>
    </row>
    <row r="1045" spans="2:5" x14ac:dyDescent="0.2">
      <c r="B1045" s="35" t="s">
        <v>676</v>
      </c>
      <c r="C1045" s="46"/>
      <c r="D1045" s="123"/>
      <c r="E1045" s="123"/>
    </row>
    <row r="1046" spans="2:5" x14ac:dyDescent="0.2">
      <c r="B1046" s="77" t="s">
        <v>184</v>
      </c>
      <c r="C1046" s="132"/>
      <c r="D1046" s="128" t="s">
        <v>677</v>
      </c>
      <c r="E1046" s="32">
        <v>33</v>
      </c>
    </row>
    <row r="1047" spans="2:5" x14ac:dyDescent="0.2">
      <c r="B1047" s="77" t="s">
        <v>186</v>
      </c>
      <c r="C1047" s="132"/>
      <c r="D1047" s="128" t="s">
        <v>678</v>
      </c>
      <c r="E1047" s="32">
        <v>105</v>
      </c>
    </row>
    <row r="1048" spans="2:5" x14ac:dyDescent="0.2">
      <c r="B1048" s="77" t="s">
        <v>679</v>
      </c>
      <c r="C1048" s="132"/>
      <c r="D1048" s="128" t="s">
        <v>680</v>
      </c>
      <c r="E1048" s="32">
        <v>205</v>
      </c>
    </row>
    <row r="1049" spans="2:5" x14ac:dyDescent="0.2">
      <c r="B1049" s="77" t="s">
        <v>681</v>
      </c>
      <c r="C1049" s="132"/>
      <c r="D1049" s="128" t="s">
        <v>682</v>
      </c>
      <c r="E1049" s="32">
        <v>25</v>
      </c>
    </row>
    <row r="1050" spans="2:5" x14ac:dyDescent="0.2">
      <c r="B1050" s="77" t="s">
        <v>271</v>
      </c>
      <c r="C1050" s="132"/>
      <c r="D1050" s="128" t="s">
        <v>683</v>
      </c>
      <c r="E1050" s="32">
        <v>27</v>
      </c>
    </row>
    <row r="1051" spans="2:5" x14ac:dyDescent="0.2">
      <c r="B1051" s="77" t="s">
        <v>684</v>
      </c>
      <c r="C1051" s="132"/>
      <c r="D1051" s="128" t="s">
        <v>685</v>
      </c>
      <c r="E1051" s="32">
        <v>113</v>
      </c>
    </row>
    <row r="1052" spans="2:5" x14ac:dyDescent="0.2">
      <c r="B1052" s="35"/>
      <c r="C1052" s="46"/>
      <c r="D1052" s="34"/>
      <c r="E1052" s="34"/>
    </row>
    <row r="1053" spans="2:5" x14ac:dyDescent="0.2">
      <c r="B1053" s="35" t="s">
        <v>101</v>
      </c>
      <c r="C1053" s="46"/>
      <c r="D1053" s="123"/>
      <c r="E1053" s="123"/>
    </row>
    <row r="1054" spans="2:5" x14ac:dyDescent="0.2">
      <c r="B1054" s="77" t="s">
        <v>104</v>
      </c>
      <c r="C1054" s="132"/>
      <c r="D1054" s="30" t="s">
        <v>105</v>
      </c>
      <c r="E1054" s="32">
        <v>15</v>
      </c>
    </row>
    <row r="1055" spans="2:5" x14ac:dyDescent="0.2">
      <c r="B1055" s="35"/>
      <c r="C1055" s="46"/>
      <c r="D1055" s="34"/>
      <c r="E1055" s="34"/>
    </row>
    <row r="1056" spans="2:5" x14ac:dyDescent="0.2">
      <c r="B1056" s="35" t="s">
        <v>106</v>
      </c>
      <c r="C1056" s="46"/>
      <c r="D1056" s="123"/>
      <c r="E1056" s="123"/>
    </row>
    <row r="1057" spans="2:5" x14ac:dyDescent="0.2">
      <c r="B1057" s="77" t="s">
        <v>107</v>
      </c>
      <c r="C1057" s="132"/>
      <c r="D1057" s="128" t="s">
        <v>686</v>
      </c>
      <c r="E1057" s="32">
        <v>0</v>
      </c>
    </row>
    <row r="1058" spans="2:5" x14ac:dyDescent="0.2">
      <c r="B1058" s="10"/>
      <c r="C1058" s="70"/>
      <c r="D1058" s="34"/>
      <c r="E1058" s="34"/>
    </row>
    <row r="1059" spans="2:5" x14ac:dyDescent="0.2">
      <c r="B1059" s="35" t="s">
        <v>687</v>
      </c>
      <c r="C1059" s="46"/>
      <c r="D1059" s="123"/>
      <c r="E1059" s="123"/>
    </row>
    <row r="1060" spans="2:5" x14ac:dyDescent="0.2">
      <c r="B1060" s="77" t="s">
        <v>822</v>
      </c>
      <c r="C1060" s="132" t="s">
        <v>823</v>
      </c>
      <c r="D1060" s="128" t="s">
        <v>690</v>
      </c>
      <c r="E1060" s="32">
        <v>49</v>
      </c>
    </row>
    <row r="1061" spans="2:5" x14ac:dyDescent="0.2">
      <c r="B1061" s="10"/>
      <c r="C1061" s="8"/>
      <c r="D1061" s="34"/>
      <c r="E1061" s="34"/>
    </row>
    <row r="1062" spans="2:5" x14ac:dyDescent="0.2">
      <c r="B1062" s="27" t="s">
        <v>128</v>
      </c>
      <c r="D1062" s="123"/>
      <c r="E1062" s="123"/>
    </row>
    <row r="1063" spans="2:5" x14ac:dyDescent="0.2">
      <c r="B1063" s="29" t="s">
        <v>129</v>
      </c>
      <c r="C1063" s="84"/>
      <c r="D1063" s="59" t="s">
        <v>691</v>
      </c>
      <c r="E1063" s="85">
        <v>12</v>
      </c>
    </row>
    <row r="1064" spans="2:5" x14ac:dyDescent="0.2">
      <c r="B1064" s="29" t="s">
        <v>131</v>
      </c>
      <c r="C1064" s="84"/>
      <c r="D1064" s="59" t="s">
        <v>692</v>
      </c>
      <c r="E1064" s="85">
        <v>24</v>
      </c>
    </row>
    <row r="1065" spans="2:5" x14ac:dyDescent="0.2">
      <c r="B1065" s="60" t="s">
        <v>134</v>
      </c>
      <c r="C1065" s="86"/>
      <c r="D1065" s="61" t="s">
        <v>693</v>
      </c>
      <c r="E1065" s="87">
        <v>50</v>
      </c>
    </row>
    <row r="1066" spans="2:5" x14ac:dyDescent="0.2">
      <c r="B1066" s="60" t="s">
        <v>136</v>
      </c>
      <c r="C1066" s="86"/>
      <c r="D1066" s="61" t="s">
        <v>824</v>
      </c>
      <c r="E1066" s="87">
        <v>200</v>
      </c>
    </row>
    <row r="1067" spans="2:5" x14ac:dyDescent="0.2">
      <c r="B1067" s="27"/>
      <c r="D1067" s="34"/>
    </row>
    <row r="1068" spans="2:5" x14ac:dyDescent="0.2">
      <c r="B1068" s="35" t="s">
        <v>137</v>
      </c>
      <c r="E1068" s="8"/>
    </row>
    <row r="1069" spans="2:5" x14ac:dyDescent="0.2">
      <c r="B1069" s="63" t="s">
        <v>1893</v>
      </c>
      <c r="C1069" s="64"/>
      <c r="D1069" s="186" t="s">
        <v>138</v>
      </c>
      <c r="E1069" s="66">
        <v>215</v>
      </c>
    </row>
    <row r="1070" spans="2:5" x14ac:dyDescent="0.2">
      <c r="B1070" s="63" t="s">
        <v>1904</v>
      </c>
      <c r="C1070" s="64"/>
      <c r="D1070" s="186" t="s">
        <v>139</v>
      </c>
      <c r="E1070" s="66">
        <v>273</v>
      </c>
    </row>
    <row r="1071" spans="2:5" x14ac:dyDescent="0.2">
      <c r="B1071" s="63" t="s">
        <v>1905</v>
      </c>
      <c r="C1071" s="64"/>
      <c r="D1071" s="186" t="s">
        <v>140</v>
      </c>
      <c r="E1071" s="66">
        <v>325</v>
      </c>
    </row>
    <row r="1072" spans="2:5" x14ac:dyDescent="0.2">
      <c r="B1072" s="63" t="s">
        <v>1906</v>
      </c>
      <c r="C1072" s="64"/>
      <c r="D1072" s="186" t="s">
        <v>141</v>
      </c>
      <c r="E1072" s="66">
        <v>375</v>
      </c>
    </row>
    <row r="1073" spans="2:5" x14ac:dyDescent="0.2">
      <c r="B1073" s="63" t="s">
        <v>1907</v>
      </c>
      <c r="C1073" s="64"/>
      <c r="D1073" s="186" t="s">
        <v>142</v>
      </c>
      <c r="E1073" s="66">
        <v>432</v>
      </c>
    </row>
    <row r="1074" spans="2:5" x14ac:dyDescent="0.2">
      <c r="B1074" s="8"/>
      <c r="C1074" s="8"/>
      <c r="D1074" s="8"/>
      <c r="E1074" s="8"/>
    </row>
    <row r="1075" spans="2:5" x14ac:dyDescent="0.2">
      <c r="B1075" s="35" t="s">
        <v>143</v>
      </c>
    </row>
    <row r="1076" spans="2:5" x14ac:dyDescent="0.2">
      <c r="B1076" s="60" t="s">
        <v>146</v>
      </c>
      <c r="C1076" s="60"/>
      <c r="D1076" s="61" t="s">
        <v>145</v>
      </c>
      <c r="E1076" s="62">
        <v>10</v>
      </c>
    </row>
    <row r="1077" spans="2:5" x14ac:dyDescent="0.2">
      <c r="B1077" s="60" t="s">
        <v>148</v>
      </c>
      <c r="C1077" s="60"/>
      <c r="D1077" s="61" t="s">
        <v>147</v>
      </c>
      <c r="E1077" s="62">
        <v>34</v>
      </c>
    </row>
    <row r="1078" spans="2:5" x14ac:dyDescent="0.2">
      <c r="B1078" s="27"/>
      <c r="E1078" s="11"/>
    </row>
    <row r="1079" spans="2:5" x14ac:dyDescent="0.2">
      <c r="B1079" s="97" t="s">
        <v>825</v>
      </c>
      <c r="C1079" s="97"/>
      <c r="D1079" s="130"/>
      <c r="E1079" s="130"/>
    </row>
    <row r="1080" spans="2:5" x14ac:dyDescent="0.2">
      <c r="B1080" s="46" t="s">
        <v>41</v>
      </c>
      <c r="E1080" s="11"/>
    </row>
    <row r="1081" spans="2:5" x14ac:dyDescent="0.2">
      <c r="B1081" s="77" t="s">
        <v>826</v>
      </c>
      <c r="C1081" s="29"/>
      <c r="D1081" s="30" t="s">
        <v>827</v>
      </c>
      <c r="E1081" s="31">
        <v>613</v>
      </c>
    </row>
    <row r="1082" spans="2:5" x14ac:dyDescent="0.2">
      <c r="B1082" s="29" t="s">
        <v>710</v>
      </c>
      <c r="C1082" s="69"/>
      <c r="D1082" s="30" t="s">
        <v>828</v>
      </c>
      <c r="E1082" s="32">
        <v>237</v>
      </c>
    </row>
    <row r="1083" spans="2:5" x14ac:dyDescent="0.2">
      <c r="B1083" s="29" t="s">
        <v>712</v>
      </c>
      <c r="C1083" s="69"/>
      <c r="D1083" s="30" t="s">
        <v>829</v>
      </c>
      <c r="E1083" s="32">
        <v>1367</v>
      </c>
    </row>
    <row r="1084" spans="2:5" x14ac:dyDescent="0.2">
      <c r="B1084" s="29" t="s">
        <v>714</v>
      </c>
      <c r="C1084" s="69"/>
      <c r="D1084" s="30" t="s">
        <v>830</v>
      </c>
      <c r="E1084" s="32">
        <v>1905</v>
      </c>
    </row>
    <row r="1085" spans="2:5" x14ac:dyDescent="0.2">
      <c r="B1085" s="29" t="s">
        <v>716</v>
      </c>
      <c r="C1085" s="69"/>
      <c r="D1085" s="30" t="s">
        <v>831</v>
      </c>
      <c r="E1085" s="32">
        <v>3950</v>
      </c>
    </row>
    <row r="1086" spans="2:5" x14ac:dyDescent="0.2">
      <c r="B1086" s="29" t="s">
        <v>718</v>
      </c>
      <c r="C1086" s="69"/>
      <c r="D1086" s="30" t="s">
        <v>832</v>
      </c>
      <c r="E1086" s="32">
        <v>2820</v>
      </c>
    </row>
    <row r="1087" spans="2:5" x14ac:dyDescent="0.2">
      <c r="B1087" s="29" t="s">
        <v>720</v>
      </c>
      <c r="C1087" s="69"/>
      <c r="D1087" s="30" t="s">
        <v>833</v>
      </c>
      <c r="E1087" s="32">
        <v>4918</v>
      </c>
    </row>
    <row r="1088" spans="2:5" x14ac:dyDescent="0.2">
      <c r="B1088" s="29" t="s">
        <v>722</v>
      </c>
      <c r="C1088" s="69"/>
      <c r="D1088" s="30" t="s">
        <v>834</v>
      </c>
      <c r="E1088" s="32">
        <v>5242</v>
      </c>
    </row>
    <row r="1089" spans="2:5" x14ac:dyDescent="0.2">
      <c r="B1089" s="29" t="s">
        <v>725</v>
      </c>
      <c r="C1089" s="69"/>
      <c r="D1089" s="30" t="s">
        <v>835</v>
      </c>
      <c r="E1089" s="32">
        <v>3089</v>
      </c>
    </row>
    <row r="1090" spans="2:5" x14ac:dyDescent="0.2">
      <c r="B1090" s="29" t="s">
        <v>727</v>
      </c>
      <c r="C1090" s="69"/>
      <c r="D1090" s="30" t="s">
        <v>836</v>
      </c>
      <c r="E1090" s="32">
        <v>5887</v>
      </c>
    </row>
    <row r="1091" spans="2:5" x14ac:dyDescent="0.2">
      <c r="B1091" s="29" t="s">
        <v>729</v>
      </c>
      <c r="C1091" s="69"/>
      <c r="D1091" s="30" t="s">
        <v>837</v>
      </c>
      <c r="E1091" s="32">
        <v>9331</v>
      </c>
    </row>
    <row r="1092" spans="2:5" x14ac:dyDescent="0.2">
      <c r="B1092" s="29" t="s">
        <v>731</v>
      </c>
      <c r="C1092" s="69"/>
      <c r="D1092" s="30" t="s">
        <v>838</v>
      </c>
      <c r="E1092" s="32">
        <v>12560</v>
      </c>
    </row>
    <row r="1093" spans="2:5" x14ac:dyDescent="0.2">
      <c r="B1093" s="29" t="s">
        <v>839</v>
      </c>
      <c r="C1093" s="69"/>
      <c r="D1093" s="30" t="s">
        <v>840</v>
      </c>
      <c r="E1093" s="32">
        <v>16435</v>
      </c>
    </row>
    <row r="1094" spans="2:5" x14ac:dyDescent="0.2">
      <c r="B1094" s="29" t="s">
        <v>735</v>
      </c>
      <c r="C1094" s="69"/>
      <c r="D1094" s="30" t="s">
        <v>841</v>
      </c>
      <c r="E1094" s="32">
        <v>14820</v>
      </c>
    </row>
    <row r="1095" spans="2:5" x14ac:dyDescent="0.2">
      <c r="B1095" s="29" t="s">
        <v>737</v>
      </c>
      <c r="C1095" s="69"/>
      <c r="D1095" s="30" t="s">
        <v>842</v>
      </c>
      <c r="E1095" s="32">
        <v>18479</v>
      </c>
    </row>
    <row r="1096" spans="2:5" x14ac:dyDescent="0.2">
      <c r="B1096" s="10"/>
      <c r="C1096" s="89"/>
      <c r="D1096" s="34"/>
      <c r="E1096" s="34"/>
    </row>
    <row r="1097" spans="2:5" x14ac:dyDescent="0.2">
      <c r="B1097" s="35" t="s">
        <v>54</v>
      </c>
      <c r="D1097" s="123"/>
      <c r="E1097" s="123"/>
    </row>
    <row r="1098" spans="2:5" x14ac:dyDescent="0.2">
      <c r="B1098" s="38" t="s">
        <v>843</v>
      </c>
      <c r="C1098" s="69"/>
      <c r="D1098" s="30" t="s">
        <v>844</v>
      </c>
      <c r="E1098" s="212">
        <v>216</v>
      </c>
    </row>
    <row r="1099" spans="2:5" x14ac:dyDescent="0.2">
      <c r="B1099" s="38" t="s">
        <v>845</v>
      </c>
      <c r="C1099" s="69"/>
      <c r="D1099" s="71" t="s">
        <v>846</v>
      </c>
      <c r="E1099" s="212">
        <v>924</v>
      </c>
    </row>
    <row r="1100" spans="2:5" x14ac:dyDescent="0.2">
      <c r="B1100" s="77" t="s">
        <v>748</v>
      </c>
      <c r="C1100" s="69"/>
      <c r="D1100" s="71" t="s">
        <v>847</v>
      </c>
      <c r="E1100" s="212">
        <v>1292</v>
      </c>
    </row>
    <row r="1101" spans="2:5" x14ac:dyDescent="0.2">
      <c r="B1101" s="77" t="s">
        <v>751</v>
      </c>
      <c r="C1101" s="69"/>
      <c r="D1101" s="71" t="s">
        <v>848</v>
      </c>
      <c r="E1101" s="212">
        <v>2664</v>
      </c>
    </row>
    <row r="1102" spans="2:5" x14ac:dyDescent="0.2">
      <c r="B1102" s="77" t="s">
        <v>754</v>
      </c>
      <c r="C1102" s="69"/>
      <c r="D1102" s="71" t="s">
        <v>849</v>
      </c>
      <c r="E1102" s="212">
        <v>3014</v>
      </c>
    </row>
    <row r="1103" spans="2:5" x14ac:dyDescent="0.2">
      <c r="B1103" s="38" t="s">
        <v>850</v>
      </c>
      <c r="C1103" s="69"/>
      <c r="D1103" s="71" t="s">
        <v>851</v>
      </c>
      <c r="E1103" s="212">
        <v>4736</v>
      </c>
    </row>
    <row r="1104" spans="2:5" s="10" customFormat="1" x14ac:dyDescent="0.25">
      <c r="B1104" s="38" t="s">
        <v>852</v>
      </c>
      <c r="C1104" s="69"/>
      <c r="D1104" s="71" t="s">
        <v>853</v>
      </c>
      <c r="E1104" s="219">
        <v>14376</v>
      </c>
    </row>
    <row r="1105" spans="2:5" s="10" customFormat="1" x14ac:dyDescent="0.25">
      <c r="B1105" s="38" t="s">
        <v>854</v>
      </c>
      <c r="C1105" s="69"/>
      <c r="D1105" s="71" t="s">
        <v>855</v>
      </c>
      <c r="E1105" s="219">
        <v>21780</v>
      </c>
    </row>
    <row r="1106" spans="2:5" s="10" customFormat="1" x14ac:dyDescent="0.25">
      <c r="B1106" s="38" t="s">
        <v>856</v>
      </c>
      <c r="C1106" s="69"/>
      <c r="D1106" s="71" t="s">
        <v>857</v>
      </c>
      <c r="E1106" s="219">
        <v>29184</v>
      </c>
    </row>
    <row r="1107" spans="2:5" s="10" customFormat="1" x14ac:dyDescent="0.25">
      <c r="B1107" s="38" t="s">
        <v>858</v>
      </c>
      <c r="C1107" s="69"/>
      <c r="D1107" s="133" t="s">
        <v>859</v>
      </c>
      <c r="E1107" s="242">
        <v>43992</v>
      </c>
    </row>
    <row r="1108" spans="2:5" x14ac:dyDescent="0.2">
      <c r="B1108" s="35"/>
      <c r="D1108" s="134"/>
      <c r="E1108" s="134"/>
    </row>
    <row r="1109" spans="2:5" x14ac:dyDescent="0.2">
      <c r="B1109" s="35" t="s">
        <v>564</v>
      </c>
      <c r="C1109" s="46"/>
      <c r="D1109" s="131"/>
      <c r="E1109" s="131"/>
    </row>
    <row r="1110" spans="2:5" x14ac:dyDescent="0.2">
      <c r="B1110" s="79" t="s">
        <v>565</v>
      </c>
      <c r="C1110" s="79"/>
      <c r="D1110" s="40"/>
      <c r="E1110" s="40"/>
    </row>
    <row r="1111" spans="2:5" x14ac:dyDescent="0.2">
      <c r="B1111" s="29" t="s">
        <v>566</v>
      </c>
      <c r="C1111" s="101"/>
      <c r="D1111" s="41" t="s">
        <v>567</v>
      </c>
      <c r="E1111" s="32">
        <v>70</v>
      </c>
    </row>
    <row r="1112" spans="2:5" x14ac:dyDescent="0.2">
      <c r="B1112" s="29" t="s">
        <v>568</v>
      </c>
      <c r="C1112" s="101"/>
      <c r="D1112" s="30" t="s">
        <v>569</v>
      </c>
      <c r="E1112" s="32">
        <v>301</v>
      </c>
    </row>
    <row r="1113" spans="2:5" x14ac:dyDescent="0.2">
      <c r="B1113" s="79" t="s">
        <v>570</v>
      </c>
      <c r="C1113" s="79"/>
      <c r="D1113" s="125"/>
      <c r="E1113" s="125"/>
    </row>
    <row r="1114" spans="2:5" x14ac:dyDescent="0.2">
      <c r="B1114" s="29" t="s">
        <v>571</v>
      </c>
      <c r="C1114" s="101"/>
      <c r="D1114" s="30" t="s">
        <v>572</v>
      </c>
      <c r="E1114" s="32">
        <v>124</v>
      </c>
    </row>
    <row r="1115" spans="2:5" x14ac:dyDescent="0.2">
      <c r="B1115" s="29" t="s">
        <v>573</v>
      </c>
      <c r="C1115" s="101"/>
      <c r="D1115" s="30" t="s">
        <v>574</v>
      </c>
      <c r="E1115" s="32">
        <v>264</v>
      </c>
    </row>
    <row r="1116" spans="2:5" x14ac:dyDescent="0.2">
      <c r="B1116" s="29" t="s">
        <v>575</v>
      </c>
      <c r="C1116" s="101"/>
      <c r="D1116" s="30" t="s">
        <v>576</v>
      </c>
      <c r="E1116" s="32">
        <v>727</v>
      </c>
    </row>
    <row r="1117" spans="2:5" x14ac:dyDescent="0.2">
      <c r="B1117" s="79" t="s">
        <v>577</v>
      </c>
      <c r="C1117" s="79"/>
      <c r="D1117" s="125"/>
      <c r="E1117" s="125"/>
    </row>
    <row r="1118" spans="2:5" x14ac:dyDescent="0.2">
      <c r="B1118" s="29" t="s">
        <v>578</v>
      </c>
      <c r="C1118" s="101"/>
      <c r="D1118" s="30" t="s">
        <v>579</v>
      </c>
      <c r="E1118" s="32">
        <v>5</v>
      </c>
    </row>
    <row r="1119" spans="2:5" x14ac:dyDescent="0.2">
      <c r="B1119" s="29" t="s">
        <v>580</v>
      </c>
      <c r="C1119" s="101"/>
      <c r="D1119" s="30" t="s">
        <v>581</v>
      </c>
      <c r="E1119" s="32">
        <v>76</v>
      </c>
    </row>
    <row r="1120" spans="2:5" x14ac:dyDescent="0.2">
      <c r="B1120" s="29" t="s">
        <v>582</v>
      </c>
      <c r="C1120" s="101"/>
      <c r="D1120" s="30" t="s">
        <v>583</v>
      </c>
      <c r="E1120" s="32">
        <v>307</v>
      </c>
    </row>
    <row r="1121" spans="2:5" x14ac:dyDescent="0.2">
      <c r="B1121" s="79" t="s">
        <v>584</v>
      </c>
      <c r="C1121" s="79"/>
      <c r="D1121" s="125"/>
      <c r="E1121" s="125"/>
    </row>
    <row r="1122" spans="2:5" x14ac:dyDescent="0.2">
      <c r="B1122" s="29" t="s">
        <v>585</v>
      </c>
      <c r="C1122" s="101"/>
      <c r="D1122" s="30" t="s">
        <v>586</v>
      </c>
      <c r="E1122" s="32">
        <v>129</v>
      </c>
    </row>
    <row r="1123" spans="2:5" x14ac:dyDescent="0.2">
      <c r="B1123" s="29" t="s">
        <v>587</v>
      </c>
      <c r="C1123" s="101"/>
      <c r="D1123" s="30" t="s">
        <v>588</v>
      </c>
      <c r="E1123" s="32">
        <v>269</v>
      </c>
    </row>
    <row r="1124" spans="2:5" x14ac:dyDescent="0.2">
      <c r="B1124" s="29" t="s">
        <v>589</v>
      </c>
      <c r="C1124" s="101"/>
      <c r="D1124" s="30" t="s">
        <v>590</v>
      </c>
      <c r="E1124" s="32">
        <v>732</v>
      </c>
    </row>
    <row r="1125" spans="2:5" x14ac:dyDescent="0.2">
      <c r="B1125" s="79" t="s">
        <v>591</v>
      </c>
      <c r="C1125" s="79"/>
      <c r="D1125" s="125"/>
      <c r="E1125" s="125"/>
    </row>
    <row r="1126" spans="2:5" x14ac:dyDescent="0.2">
      <c r="B1126" s="29" t="s">
        <v>592</v>
      </c>
      <c r="C1126" s="101"/>
      <c r="D1126" s="30" t="s">
        <v>593</v>
      </c>
      <c r="E1126" s="32">
        <v>253</v>
      </c>
    </row>
    <row r="1127" spans="2:5" x14ac:dyDescent="0.2">
      <c r="B1127" s="29" t="s">
        <v>594</v>
      </c>
      <c r="C1127" s="101"/>
      <c r="D1127" s="30" t="s">
        <v>595</v>
      </c>
      <c r="E1127" s="32">
        <v>463</v>
      </c>
    </row>
    <row r="1128" spans="2:5" x14ac:dyDescent="0.2">
      <c r="B1128" s="29" t="s">
        <v>596</v>
      </c>
      <c r="C1128" s="101"/>
      <c r="D1128" s="30" t="s">
        <v>597</v>
      </c>
      <c r="E1128" s="32">
        <v>1157</v>
      </c>
    </row>
    <row r="1129" spans="2:5" x14ac:dyDescent="0.2">
      <c r="B1129" s="79" t="s">
        <v>598</v>
      </c>
      <c r="C1129" s="79"/>
      <c r="D1129" s="125"/>
      <c r="E1129" s="125"/>
    </row>
    <row r="1130" spans="2:5" x14ac:dyDescent="0.2">
      <c r="B1130" s="29" t="s">
        <v>599</v>
      </c>
      <c r="C1130" s="101"/>
      <c r="D1130" s="30" t="s">
        <v>600</v>
      </c>
      <c r="E1130" s="32">
        <v>377</v>
      </c>
    </row>
    <row r="1131" spans="2:5" x14ac:dyDescent="0.2">
      <c r="B1131" s="29" t="s">
        <v>601</v>
      </c>
      <c r="C1131" s="101"/>
      <c r="D1131" s="30" t="s">
        <v>602</v>
      </c>
      <c r="E1131" s="32">
        <v>656</v>
      </c>
    </row>
    <row r="1132" spans="2:5" x14ac:dyDescent="0.2">
      <c r="B1132" s="29" t="s">
        <v>603</v>
      </c>
      <c r="C1132" s="101"/>
      <c r="D1132" s="30" t="s">
        <v>604</v>
      </c>
      <c r="E1132" s="32">
        <v>1582</v>
      </c>
    </row>
    <row r="1133" spans="2:5" x14ac:dyDescent="0.2">
      <c r="B1133" s="28"/>
      <c r="C1133" s="8"/>
      <c r="D1133" s="34"/>
      <c r="E1133" s="34"/>
    </row>
    <row r="1134" spans="2:5" x14ac:dyDescent="0.2">
      <c r="B1134" s="35" t="s">
        <v>605</v>
      </c>
      <c r="C1134" s="8"/>
      <c r="D1134" s="123"/>
      <c r="E1134" s="123"/>
    </row>
    <row r="1135" spans="2:5" x14ac:dyDescent="0.2">
      <c r="B1135" s="29" t="s">
        <v>608</v>
      </c>
      <c r="C1135" s="101"/>
      <c r="D1135" s="30" t="s">
        <v>609</v>
      </c>
      <c r="E1135" s="32">
        <v>108</v>
      </c>
    </row>
    <row r="1136" spans="2:5" x14ac:dyDescent="0.2">
      <c r="B1136" s="29" t="s">
        <v>612</v>
      </c>
      <c r="C1136" s="101"/>
      <c r="D1136" s="30" t="s">
        <v>613</v>
      </c>
      <c r="E1136" s="32">
        <v>108</v>
      </c>
    </row>
    <row r="1137" spans="2:5" x14ac:dyDescent="0.2">
      <c r="B1137" s="29" t="s">
        <v>614</v>
      </c>
      <c r="C1137" s="101"/>
      <c r="D1137" s="30" t="s">
        <v>615</v>
      </c>
      <c r="E1137" s="32">
        <v>108</v>
      </c>
    </row>
    <row r="1138" spans="2:5" x14ac:dyDescent="0.2">
      <c r="B1138" s="28"/>
      <c r="C1138" s="8"/>
      <c r="D1138" s="34"/>
      <c r="E1138" s="34"/>
    </row>
    <row r="1139" spans="2:5" x14ac:dyDescent="0.2">
      <c r="B1139" s="35" t="s">
        <v>792</v>
      </c>
      <c r="D1139" s="123"/>
      <c r="E1139" s="123"/>
    </row>
    <row r="1140" spans="2:5" x14ac:dyDescent="0.2">
      <c r="B1140" s="77" t="s">
        <v>617</v>
      </c>
      <c r="C1140" s="101"/>
      <c r="D1140" s="30" t="s">
        <v>618</v>
      </c>
      <c r="E1140" s="32">
        <v>54</v>
      </c>
    </row>
    <row r="1141" spans="2:5" x14ac:dyDescent="0.2">
      <c r="B1141" s="77" t="s">
        <v>619</v>
      </c>
      <c r="C1141" s="101"/>
      <c r="D1141" s="30" t="s">
        <v>620</v>
      </c>
      <c r="E1141" s="32">
        <v>65</v>
      </c>
    </row>
    <row r="1142" spans="2:5" x14ac:dyDescent="0.2">
      <c r="B1142" s="77" t="s">
        <v>622</v>
      </c>
      <c r="C1142" s="101"/>
      <c r="D1142" s="30" t="s">
        <v>623</v>
      </c>
      <c r="E1142" s="32">
        <v>215</v>
      </c>
    </row>
    <row r="1143" spans="2:5" x14ac:dyDescent="0.2">
      <c r="B1143" s="28"/>
      <c r="C1143" s="8"/>
      <c r="D1143" s="34"/>
      <c r="E1143" s="34"/>
    </row>
    <row r="1144" spans="2:5" x14ac:dyDescent="0.2">
      <c r="B1144" s="215" t="s">
        <v>860</v>
      </c>
      <c r="C1144" s="190"/>
      <c r="D1144" s="247"/>
      <c r="E1144" s="247"/>
    </row>
    <row r="1145" spans="2:5" x14ac:dyDescent="0.2">
      <c r="B1145" s="220" t="s">
        <v>862</v>
      </c>
      <c r="C1145" s="228"/>
      <c r="D1145" s="248" t="s">
        <v>861</v>
      </c>
      <c r="E1145" s="212">
        <v>74</v>
      </c>
    </row>
    <row r="1146" spans="2:5" x14ac:dyDescent="0.2">
      <c r="B1146" s="220" t="s">
        <v>864</v>
      </c>
      <c r="C1146" s="228"/>
      <c r="D1146" s="248" t="s">
        <v>863</v>
      </c>
      <c r="E1146" s="212">
        <v>342</v>
      </c>
    </row>
    <row r="1147" spans="2:5" x14ac:dyDescent="0.2">
      <c r="B1147" s="188"/>
      <c r="C1147" s="190"/>
      <c r="D1147" s="249"/>
      <c r="E1147" s="249"/>
    </row>
    <row r="1148" spans="2:5" x14ac:dyDescent="0.2">
      <c r="B1148" s="215" t="s">
        <v>865</v>
      </c>
      <c r="C1148" s="190"/>
      <c r="D1148" s="247"/>
      <c r="E1148" s="247"/>
    </row>
    <row r="1149" spans="2:5" x14ac:dyDescent="0.2">
      <c r="B1149" s="220" t="s">
        <v>632</v>
      </c>
      <c r="C1149" s="228"/>
      <c r="D1149" s="248" t="s">
        <v>633</v>
      </c>
      <c r="E1149" s="212">
        <v>5</v>
      </c>
    </row>
    <row r="1150" spans="2:5" x14ac:dyDescent="0.2">
      <c r="B1150" s="220" t="s">
        <v>634</v>
      </c>
      <c r="C1150" s="228"/>
      <c r="D1150" s="248" t="s">
        <v>635</v>
      </c>
      <c r="E1150" s="212">
        <v>5</v>
      </c>
    </row>
    <row r="1151" spans="2:5" x14ac:dyDescent="0.2">
      <c r="B1151" s="220" t="s">
        <v>794</v>
      </c>
      <c r="C1151" s="228"/>
      <c r="D1151" s="248" t="s">
        <v>637</v>
      </c>
      <c r="E1151" s="212">
        <v>5</v>
      </c>
    </row>
    <row r="1152" spans="2:5" x14ac:dyDescent="0.2">
      <c r="B1152" s="220" t="s">
        <v>795</v>
      </c>
      <c r="C1152" s="228"/>
      <c r="D1152" s="250" t="s">
        <v>639</v>
      </c>
      <c r="E1152" s="251">
        <v>5</v>
      </c>
    </row>
    <row r="1153" spans="2:5" x14ac:dyDescent="0.2">
      <c r="B1153" s="222"/>
      <c r="C1153" s="190"/>
      <c r="D1153" s="249"/>
      <c r="E1153" s="249"/>
    </row>
    <row r="1154" spans="2:5" x14ac:dyDescent="0.2">
      <c r="B1154" s="35" t="s">
        <v>84</v>
      </c>
      <c r="C1154" s="272"/>
      <c r="D1154" s="273"/>
      <c r="E1154" s="273"/>
    </row>
    <row r="1155" spans="2:5" x14ac:dyDescent="0.2">
      <c r="B1155" s="237" t="s">
        <v>645</v>
      </c>
      <c r="C1155" s="271"/>
      <c r="D1155" s="271"/>
      <c r="E1155" s="271"/>
    </row>
    <row r="1156" spans="2:5" x14ac:dyDescent="0.2">
      <c r="B1156" s="191" t="s">
        <v>646</v>
      </c>
      <c r="C1156" s="327"/>
      <c r="D1156" s="248" t="s">
        <v>798</v>
      </c>
      <c r="E1156" s="219">
        <v>180</v>
      </c>
    </row>
    <row r="1157" spans="2:5" s="10" customFormat="1" x14ac:dyDescent="0.25">
      <c r="B1157" s="244" t="s">
        <v>647</v>
      </c>
      <c r="C1157" s="244"/>
      <c r="D1157" s="218" t="s">
        <v>799</v>
      </c>
      <c r="E1157" s="219">
        <v>245</v>
      </c>
    </row>
    <row r="1158" spans="2:5" s="10" customFormat="1" x14ac:dyDescent="0.25">
      <c r="B1158" s="191" t="s">
        <v>1928</v>
      </c>
      <c r="C1158" s="191"/>
      <c r="D1158" s="211" t="s">
        <v>800</v>
      </c>
      <c r="E1158" s="219">
        <v>425</v>
      </c>
    </row>
    <row r="1159" spans="2:5" x14ac:dyDescent="0.2">
      <c r="B1159" s="197" t="s">
        <v>866</v>
      </c>
      <c r="C1159" s="191"/>
      <c r="D1159" s="211" t="s">
        <v>801</v>
      </c>
      <c r="E1159" s="219">
        <v>658</v>
      </c>
    </row>
    <row r="1160" spans="2:5" x14ac:dyDescent="0.2">
      <c r="B1160" s="191" t="s">
        <v>650</v>
      </c>
      <c r="C1160" s="191"/>
      <c r="D1160" s="236" t="s">
        <v>804</v>
      </c>
      <c r="E1160" s="219">
        <v>1353</v>
      </c>
    </row>
    <row r="1161" spans="2:5" x14ac:dyDescent="0.2">
      <c r="B1161" s="191" t="s">
        <v>652</v>
      </c>
      <c r="C1161" s="191"/>
      <c r="D1161" s="211" t="s">
        <v>805</v>
      </c>
      <c r="E1161" s="219">
        <v>2979</v>
      </c>
    </row>
    <row r="1162" spans="2:5" x14ac:dyDescent="0.2">
      <c r="B1162" s="220" t="s">
        <v>653</v>
      </c>
      <c r="C1162" s="240"/>
      <c r="D1162" s="241" t="s">
        <v>806</v>
      </c>
      <c r="E1162" s="242">
        <v>6154</v>
      </c>
    </row>
    <row r="1163" spans="2:5" x14ac:dyDescent="0.2">
      <c r="B1163" s="237" t="s">
        <v>660</v>
      </c>
      <c r="C1163" s="252"/>
      <c r="D1163" s="252"/>
      <c r="E1163" s="252"/>
    </row>
    <row r="1164" spans="2:5" x14ac:dyDescent="0.2">
      <c r="B1164" s="191" t="s">
        <v>816</v>
      </c>
      <c r="C1164" s="191"/>
      <c r="D1164" s="236" t="s">
        <v>815</v>
      </c>
      <c r="E1164" s="219">
        <v>2849</v>
      </c>
    </row>
    <row r="1165" spans="2:5" x14ac:dyDescent="0.2">
      <c r="B1165" s="220" t="s">
        <v>819</v>
      </c>
      <c r="C1165" s="191"/>
      <c r="D1165" s="236" t="s">
        <v>818</v>
      </c>
      <c r="E1165" s="219">
        <v>6101</v>
      </c>
    </row>
    <row r="1166" spans="2:5" x14ac:dyDescent="0.2">
      <c r="B1166" s="28"/>
      <c r="C1166" s="8"/>
      <c r="D1166" s="34"/>
      <c r="E1166" s="34"/>
    </row>
    <row r="1167" spans="2:5" x14ac:dyDescent="0.2">
      <c r="B1167" s="35" t="s">
        <v>175</v>
      </c>
      <c r="C1167" s="100"/>
      <c r="D1167" s="123"/>
      <c r="E1167" s="123"/>
    </row>
    <row r="1168" spans="2:5" x14ac:dyDescent="0.2">
      <c r="B1168" s="29" t="s">
        <v>867</v>
      </c>
      <c r="C1168" s="101"/>
      <c r="D1168" s="128" t="s">
        <v>868</v>
      </c>
      <c r="E1168" s="32">
        <v>26</v>
      </c>
    </row>
    <row r="1169" spans="2:5" x14ac:dyDescent="0.2">
      <c r="B1169" s="28"/>
      <c r="C1169" s="8"/>
      <c r="D1169" s="34"/>
      <c r="E1169" s="34"/>
    </row>
    <row r="1170" spans="2:5" x14ac:dyDescent="0.2">
      <c r="B1170" s="35" t="s">
        <v>676</v>
      </c>
      <c r="C1170" s="100"/>
      <c r="D1170" s="123"/>
      <c r="E1170" s="123"/>
    </row>
    <row r="1171" spans="2:5" x14ac:dyDescent="0.2">
      <c r="B1171" s="29" t="s">
        <v>869</v>
      </c>
      <c r="C1171" s="101"/>
      <c r="D1171" s="128" t="s">
        <v>870</v>
      </c>
      <c r="E1171" s="32">
        <v>53</v>
      </c>
    </row>
    <row r="1172" spans="2:5" x14ac:dyDescent="0.2">
      <c r="B1172" s="191" t="s">
        <v>872</v>
      </c>
      <c r="C1172" s="101"/>
      <c r="D1172" s="128" t="s">
        <v>871</v>
      </c>
      <c r="E1172" s="32">
        <v>53</v>
      </c>
    </row>
    <row r="1173" spans="2:5" x14ac:dyDescent="0.2">
      <c r="B1173" s="29" t="s">
        <v>192</v>
      </c>
      <c r="C1173" s="101"/>
      <c r="D1173" s="128" t="s">
        <v>683</v>
      </c>
      <c r="E1173" s="32">
        <v>27</v>
      </c>
    </row>
    <row r="1174" spans="2:5" x14ac:dyDescent="0.2">
      <c r="B1174" s="28"/>
      <c r="C1174" s="8"/>
      <c r="D1174" s="34"/>
      <c r="E1174" s="34"/>
    </row>
    <row r="1175" spans="2:5" x14ac:dyDescent="0.2">
      <c r="B1175" s="28" t="s">
        <v>873</v>
      </c>
      <c r="C1175" s="100"/>
      <c r="D1175" s="123"/>
      <c r="E1175" s="123"/>
    </row>
    <row r="1176" spans="2:5" x14ac:dyDescent="0.2">
      <c r="B1176" s="29" t="s">
        <v>874</v>
      </c>
      <c r="C1176" s="101"/>
      <c r="D1176" s="128" t="s">
        <v>875</v>
      </c>
      <c r="E1176" s="32">
        <v>35</v>
      </c>
    </row>
    <row r="1177" spans="2:5" x14ac:dyDescent="0.2">
      <c r="B1177" s="29" t="s">
        <v>876</v>
      </c>
      <c r="C1177" s="101"/>
      <c r="D1177" s="128" t="s">
        <v>877</v>
      </c>
      <c r="E1177" s="32">
        <v>86</v>
      </c>
    </row>
    <row r="1178" spans="2:5" x14ac:dyDescent="0.2">
      <c r="B1178" s="29" t="s">
        <v>878</v>
      </c>
      <c r="C1178" s="101"/>
      <c r="D1178" s="128" t="s">
        <v>879</v>
      </c>
      <c r="E1178" s="32">
        <v>155</v>
      </c>
    </row>
    <row r="1179" spans="2:5" x14ac:dyDescent="0.2">
      <c r="B1179" s="29" t="s">
        <v>1910</v>
      </c>
      <c r="C1179" s="101"/>
      <c r="D1179" s="128" t="s">
        <v>880</v>
      </c>
      <c r="E1179" s="32">
        <v>155</v>
      </c>
    </row>
    <row r="1180" spans="2:5" x14ac:dyDescent="0.2">
      <c r="B1180" s="28"/>
      <c r="C1180" s="8"/>
      <c r="D1180" s="34"/>
      <c r="E1180" s="34"/>
    </row>
    <row r="1181" spans="2:5" x14ac:dyDescent="0.2">
      <c r="B1181" s="28" t="s">
        <v>881</v>
      </c>
      <c r="C1181" s="100"/>
      <c r="D1181" s="123"/>
      <c r="E1181" s="123"/>
    </row>
    <row r="1182" spans="2:5" x14ac:dyDescent="0.2">
      <c r="B1182" s="29" t="s">
        <v>882</v>
      </c>
      <c r="C1182" s="101"/>
      <c r="D1182" s="128" t="s">
        <v>883</v>
      </c>
      <c r="E1182" s="32">
        <v>27</v>
      </c>
    </row>
    <row r="1183" spans="2:5" x14ac:dyDescent="0.2">
      <c r="B1183" s="28"/>
      <c r="C1183" s="8"/>
      <c r="D1183" s="34"/>
      <c r="E1183" s="34"/>
    </row>
    <row r="1184" spans="2:5" x14ac:dyDescent="0.2">
      <c r="B1184" s="35" t="s">
        <v>106</v>
      </c>
      <c r="C1184" s="100"/>
      <c r="D1184" s="123"/>
      <c r="E1184" s="123"/>
    </row>
    <row r="1185" spans="2:5" x14ac:dyDescent="0.2">
      <c r="B1185" s="29" t="s">
        <v>107</v>
      </c>
      <c r="C1185" s="101"/>
      <c r="D1185" s="128" t="s">
        <v>686</v>
      </c>
      <c r="E1185" s="32">
        <v>0</v>
      </c>
    </row>
    <row r="1186" spans="2:5" x14ac:dyDescent="0.2">
      <c r="B1186" s="28"/>
      <c r="C1186" s="8"/>
      <c r="D1186" s="34"/>
      <c r="E1186" s="34"/>
    </row>
    <row r="1187" spans="2:5" x14ac:dyDescent="0.2">
      <c r="B1187" s="28" t="s">
        <v>687</v>
      </c>
      <c r="C1187" s="100"/>
      <c r="D1187" s="123"/>
      <c r="E1187" s="123"/>
    </row>
    <row r="1188" spans="2:5" x14ac:dyDescent="0.2">
      <c r="B1188" s="29" t="s">
        <v>884</v>
      </c>
      <c r="C1188" s="101"/>
      <c r="D1188" s="128" t="s">
        <v>885</v>
      </c>
      <c r="E1188" s="32">
        <v>54</v>
      </c>
    </row>
    <row r="1189" spans="2:5" x14ac:dyDescent="0.2">
      <c r="B1189" s="29" t="s">
        <v>886</v>
      </c>
      <c r="C1189" s="101"/>
      <c r="D1189" s="128" t="s">
        <v>887</v>
      </c>
      <c r="E1189" s="32">
        <v>81</v>
      </c>
    </row>
    <row r="1190" spans="2:5" x14ac:dyDescent="0.2">
      <c r="B1190" s="28"/>
      <c r="C1190" s="8"/>
      <c r="D1190" s="34"/>
      <c r="E1190" s="34"/>
    </row>
    <row r="1191" spans="2:5" x14ac:dyDescent="0.2">
      <c r="B1191" s="28" t="s">
        <v>888</v>
      </c>
      <c r="C1191" s="100"/>
      <c r="D1191" s="123"/>
      <c r="E1191" s="123"/>
    </row>
    <row r="1192" spans="2:5" x14ac:dyDescent="0.2">
      <c r="B1192" s="29" t="s">
        <v>889</v>
      </c>
      <c r="C1192" s="101"/>
      <c r="D1192" s="128" t="s">
        <v>890</v>
      </c>
      <c r="E1192" s="32">
        <v>35</v>
      </c>
    </row>
    <row r="1193" spans="2:5" x14ac:dyDescent="0.2">
      <c r="B1193" s="29" t="s">
        <v>891</v>
      </c>
      <c r="C1193" s="101"/>
      <c r="D1193" s="128" t="s">
        <v>892</v>
      </c>
      <c r="E1193" s="32">
        <v>54</v>
      </c>
    </row>
    <row r="1194" spans="2:5" x14ac:dyDescent="0.2">
      <c r="B1194" s="29" t="s">
        <v>893</v>
      </c>
      <c r="C1194" s="101"/>
      <c r="D1194" s="128" t="s">
        <v>894</v>
      </c>
      <c r="E1194" s="32">
        <v>68</v>
      </c>
    </row>
    <row r="1195" spans="2:5" x14ac:dyDescent="0.2">
      <c r="B1195" s="28"/>
      <c r="C1195" s="8"/>
      <c r="D1195" s="34"/>
      <c r="E1195" s="34"/>
    </row>
    <row r="1196" spans="2:5" x14ac:dyDescent="0.2">
      <c r="B1196" s="27" t="s">
        <v>128</v>
      </c>
      <c r="D1196" s="123"/>
      <c r="E1196" s="123"/>
    </row>
    <row r="1197" spans="2:5" x14ac:dyDescent="0.2">
      <c r="B1197" s="29" t="s">
        <v>129</v>
      </c>
      <c r="C1197" s="84"/>
      <c r="D1197" s="59" t="s">
        <v>691</v>
      </c>
      <c r="E1197" s="85">
        <v>12</v>
      </c>
    </row>
    <row r="1198" spans="2:5" x14ac:dyDescent="0.2">
      <c r="B1198" s="29" t="s">
        <v>131</v>
      </c>
      <c r="C1198" s="84"/>
      <c r="D1198" s="59" t="s">
        <v>692</v>
      </c>
      <c r="E1198" s="85">
        <v>24</v>
      </c>
    </row>
    <row r="1199" spans="2:5" x14ac:dyDescent="0.2">
      <c r="B1199" s="60" t="s">
        <v>134</v>
      </c>
      <c r="C1199" s="86"/>
      <c r="D1199" s="61" t="s">
        <v>693</v>
      </c>
      <c r="E1199" s="87">
        <v>50</v>
      </c>
    </row>
    <row r="1200" spans="2:5" x14ac:dyDescent="0.2">
      <c r="B1200" s="60" t="s">
        <v>136</v>
      </c>
      <c r="C1200" s="86"/>
      <c r="D1200" s="61" t="s">
        <v>824</v>
      </c>
      <c r="E1200" s="87">
        <v>200</v>
      </c>
    </row>
    <row r="1201" spans="2:5" x14ac:dyDescent="0.2">
      <c r="B1201" s="27"/>
      <c r="D1201" s="34"/>
    </row>
    <row r="1202" spans="2:5" x14ac:dyDescent="0.2">
      <c r="B1202" s="35" t="s">
        <v>137</v>
      </c>
      <c r="E1202" s="8"/>
    </row>
    <row r="1203" spans="2:5" x14ac:dyDescent="0.2">
      <c r="B1203" s="63" t="s">
        <v>1893</v>
      </c>
      <c r="C1203" s="64"/>
      <c r="D1203" s="186" t="s">
        <v>138</v>
      </c>
      <c r="E1203" s="66">
        <v>215</v>
      </c>
    </row>
    <row r="1204" spans="2:5" x14ac:dyDescent="0.2">
      <c r="B1204" s="63" t="s">
        <v>1904</v>
      </c>
      <c r="C1204" s="64"/>
      <c r="D1204" s="186" t="s">
        <v>139</v>
      </c>
      <c r="E1204" s="66">
        <v>273</v>
      </c>
    </row>
    <row r="1205" spans="2:5" x14ac:dyDescent="0.2">
      <c r="B1205" s="63" t="s">
        <v>1905</v>
      </c>
      <c r="C1205" s="64"/>
      <c r="D1205" s="186" t="s">
        <v>140</v>
      </c>
      <c r="E1205" s="66">
        <v>325</v>
      </c>
    </row>
    <row r="1206" spans="2:5" x14ac:dyDescent="0.2">
      <c r="B1206" s="63" t="s">
        <v>1906</v>
      </c>
      <c r="C1206" s="64"/>
      <c r="D1206" s="186" t="s">
        <v>141</v>
      </c>
      <c r="E1206" s="66">
        <v>375</v>
      </c>
    </row>
    <row r="1207" spans="2:5" x14ac:dyDescent="0.2">
      <c r="B1207" s="63" t="s">
        <v>1907</v>
      </c>
      <c r="C1207" s="64"/>
      <c r="D1207" s="186" t="s">
        <v>142</v>
      </c>
      <c r="E1207" s="66">
        <v>432</v>
      </c>
    </row>
    <row r="1208" spans="2:5" x14ac:dyDescent="0.2">
      <c r="B1208" s="8"/>
      <c r="C1208" s="8"/>
      <c r="D1208" s="8"/>
      <c r="E1208" s="8"/>
    </row>
    <row r="1209" spans="2:5" x14ac:dyDescent="0.2">
      <c r="B1209" s="35" t="s">
        <v>143</v>
      </c>
    </row>
    <row r="1210" spans="2:5" x14ac:dyDescent="0.2">
      <c r="B1210" s="60" t="s">
        <v>146</v>
      </c>
      <c r="C1210" s="60"/>
      <c r="D1210" s="61" t="s">
        <v>145</v>
      </c>
      <c r="E1210" s="62">
        <v>10</v>
      </c>
    </row>
    <row r="1211" spans="2:5" x14ac:dyDescent="0.2">
      <c r="B1211" s="60" t="s">
        <v>148</v>
      </c>
      <c r="C1211" s="60"/>
      <c r="D1211" s="61" t="s">
        <v>147</v>
      </c>
      <c r="E1211" s="62">
        <v>34</v>
      </c>
    </row>
    <row r="1212" spans="2:5" x14ac:dyDescent="0.2">
      <c r="B1212" s="27"/>
    </row>
  </sheetData>
  <mergeCells count="7">
    <mergeCell ref="B789:D789"/>
    <mergeCell ref="B795:D795"/>
    <mergeCell ref="B2:D2"/>
    <mergeCell ref="B4:D4"/>
    <mergeCell ref="B13:D13"/>
    <mergeCell ref="B503:D503"/>
    <mergeCell ref="B509:D509"/>
  </mergeCells>
  <phoneticPr fontId="37" type="noConversion"/>
  <conditionalFormatting sqref="E233">
    <cfRule type="duplicateValues" dxfId="51" priority="37"/>
  </conditionalFormatting>
  <conditionalFormatting sqref="E665">
    <cfRule type="duplicateValues" dxfId="50" priority="38"/>
  </conditionalFormatting>
  <conditionalFormatting sqref="D1:D1048576">
    <cfRule type="duplicateValues" dxfId="49" priority="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26"/>
  <sheetViews>
    <sheetView zoomScale="70" zoomScaleNormal="70" workbookViewId="0">
      <selection activeCell="E75" sqref="E75"/>
    </sheetView>
  </sheetViews>
  <sheetFormatPr baseColWidth="10" defaultColWidth="8.7109375" defaultRowHeight="15" x14ac:dyDescent="0.25"/>
  <cols>
    <col min="2" max="2" width="157.28515625" style="135" customWidth="1"/>
    <col min="3" max="3" width="40" style="56" customWidth="1"/>
    <col min="4" max="4" width="15" style="56" bestFit="1" customWidth="1"/>
    <col min="5" max="5" width="12" style="56" bestFit="1" customWidth="1"/>
  </cols>
  <sheetData>
    <row r="1" spans="2:5" ht="79.5" customHeight="1" x14ac:dyDescent="0.25">
      <c r="B1" s="307"/>
    </row>
    <row r="2" spans="2:5" ht="21" x14ac:dyDescent="0.25">
      <c r="B2" s="342" t="s">
        <v>23</v>
      </c>
      <c r="C2" s="342"/>
      <c r="D2" s="342"/>
      <c r="E2" s="136"/>
    </row>
    <row r="3" spans="2:5" x14ac:dyDescent="0.25">
      <c r="B3" s="137"/>
      <c r="C3" s="68"/>
      <c r="D3" s="68"/>
      <c r="E3" s="68"/>
    </row>
    <row r="4" spans="2:5" ht="21" x14ac:dyDescent="0.25">
      <c r="B4" s="345" t="s">
        <v>895</v>
      </c>
      <c r="C4" s="345"/>
      <c r="D4" s="346"/>
      <c r="E4" s="138"/>
    </row>
    <row r="5" spans="2:5" ht="38.25" x14ac:dyDescent="0.25">
      <c r="B5" s="139" t="s">
        <v>25</v>
      </c>
      <c r="C5" s="140" t="s">
        <v>26</v>
      </c>
      <c r="D5" s="141" t="s">
        <v>27</v>
      </c>
      <c r="E5" s="142" t="s">
        <v>896</v>
      </c>
    </row>
    <row r="6" spans="2:5" ht="25.5" x14ac:dyDescent="0.25">
      <c r="B6" s="39" t="s">
        <v>897</v>
      </c>
    </row>
    <row r="7" spans="2:5" x14ac:dyDescent="0.25">
      <c r="B7" s="143" t="s">
        <v>898</v>
      </c>
    </row>
    <row r="8" spans="2:5" x14ac:dyDescent="0.25">
      <c r="B8" s="69" t="s">
        <v>899</v>
      </c>
      <c r="C8" s="144" t="s">
        <v>900</v>
      </c>
      <c r="D8" s="145" t="s">
        <v>901</v>
      </c>
      <c r="E8" s="146">
        <v>108</v>
      </c>
    </row>
    <row r="9" spans="2:5" x14ac:dyDescent="0.25">
      <c r="B9" s="69" t="s">
        <v>902</v>
      </c>
      <c r="C9" s="269" t="s">
        <v>904</v>
      </c>
      <c r="D9" s="145" t="s">
        <v>903</v>
      </c>
      <c r="E9" s="146">
        <v>167</v>
      </c>
    </row>
    <row r="10" spans="2:5" x14ac:dyDescent="0.25">
      <c r="B10" s="69" t="s">
        <v>905</v>
      </c>
      <c r="C10" s="144" t="s">
        <v>906</v>
      </c>
      <c r="D10" s="145" t="s">
        <v>907</v>
      </c>
      <c r="E10" s="146">
        <v>311</v>
      </c>
    </row>
    <row r="11" spans="2:5" x14ac:dyDescent="0.25">
      <c r="B11" s="197" t="s">
        <v>908</v>
      </c>
      <c r="C11" s="254" t="s">
        <v>909</v>
      </c>
      <c r="D11" s="193" t="s">
        <v>910</v>
      </c>
      <c r="E11" s="199">
        <v>500</v>
      </c>
    </row>
    <row r="12" spans="2:5" x14ac:dyDescent="0.25">
      <c r="B12" s="197" t="s">
        <v>911</v>
      </c>
      <c r="C12" s="254" t="s">
        <v>912</v>
      </c>
      <c r="D12" s="193" t="s">
        <v>913</v>
      </c>
      <c r="E12" s="199">
        <v>880</v>
      </c>
    </row>
    <row r="13" spans="2:5" ht="25.5" x14ac:dyDescent="0.25">
      <c r="B13" s="197" t="s">
        <v>914</v>
      </c>
      <c r="C13" s="254" t="s">
        <v>915</v>
      </c>
      <c r="D13" s="193" t="s">
        <v>916</v>
      </c>
      <c r="E13" s="199">
        <v>2000</v>
      </c>
    </row>
    <row r="14" spans="2:5" x14ac:dyDescent="0.25">
      <c r="B14" s="69" t="s">
        <v>917</v>
      </c>
      <c r="C14" s="144" t="s">
        <v>918</v>
      </c>
      <c r="D14" s="145" t="s">
        <v>919</v>
      </c>
      <c r="E14" s="146">
        <v>4012</v>
      </c>
    </row>
    <row r="15" spans="2:5" x14ac:dyDescent="0.25">
      <c r="B15" s="143"/>
    </row>
    <row r="17" spans="2:5" x14ac:dyDescent="0.25">
      <c r="B17" s="39" t="s">
        <v>920</v>
      </c>
      <c r="C17" s="79"/>
    </row>
    <row r="18" spans="2:5" x14ac:dyDescent="0.25">
      <c r="B18" s="69" t="s">
        <v>921</v>
      </c>
      <c r="C18" s="147" t="s">
        <v>922</v>
      </c>
      <c r="D18" s="145" t="s">
        <v>923</v>
      </c>
      <c r="E18" s="146">
        <v>76</v>
      </c>
    </row>
    <row r="19" spans="2:5" x14ac:dyDescent="0.25">
      <c r="B19" s="69" t="s">
        <v>924</v>
      </c>
      <c r="C19" s="147" t="s">
        <v>925</v>
      </c>
      <c r="D19" s="145" t="s">
        <v>926</v>
      </c>
      <c r="E19" s="146">
        <v>140</v>
      </c>
    </row>
    <row r="20" spans="2:5" x14ac:dyDescent="0.25">
      <c r="B20" s="69" t="s">
        <v>69</v>
      </c>
      <c r="C20" s="147" t="s">
        <v>927</v>
      </c>
      <c r="D20" s="145" t="s">
        <v>928</v>
      </c>
      <c r="E20" s="146">
        <v>248</v>
      </c>
    </row>
    <row r="21" spans="2:5" x14ac:dyDescent="0.25">
      <c r="B21" s="69" t="s">
        <v>71</v>
      </c>
      <c r="C21" s="147" t="s">
        <v>929</v>
      </c>
      <c r="D21" s="145" t="s">
        <v>930</v>
      </c>
      <c r="E21" s="146">
        <v>474</v>
      </c>
    </row>
    <row r="22" spans="2:5" x14ac:dyDescent="0.25">
      <c r="B22" s="39"/>
      <c r="C22" s="79"/>
      <c r="D22" s="80"/>
      <c r="E22" s="80"/>
    </row>
    <row r="23" spans="2:5" x14ac:dyDescent="0.25">
      <c r="B23" s="39" t="s">
        <v>931</v>
      </c>
      <c r="C23" s="79"/>
      <c r="D23" s="80"/>
      <c r="E23" s="80"/>
    </row>
    <row r="24" spans="2:5" x14ac:dyDescent="0.25">
      <c r="B24" s="143" t="s">
        <v>932</v>
      </c>
      <c r="C24" s="79"/>
      <c r="D24" s="80"/>
      <c r="E24" s="80"/>
    </row>
    <row r="25" spans="2:5" x14ac:dyDescent="0.25">
      <c r="B25" s="69" t="s">
        <v>933</v>
      </c>
      <c r="C25" s="147" t="s">
        <v>934</v>
      </c>
      <c r="D25" s="145" t="s">
        <v>935</v>
      </c>
      <c r="E25" s="146">
        <v>15</v>
      </c>
    </row>
    <row r="26" spans="2:5" x14ac:dyDescent="0.25">
      <c r="B26" s="69" t="s">
        <v>936</v>
      </c>
      <c r="C26" s="147" t="s">
        <v>937</v>
      </c>
      <c r="D26" s="145" t="s">
        <v>938</v>
      </c>
      <c r="E26" s="146">
        <v>30</v>
      </c>
    </row>
    <row r="27" spans="2:5" x14ac:dyDescent="0.25">
      <c r="B27" s="143" t="s">
        <v>939</v>
      </c>
      <c r="C27" s="79"/>
      <c r="D27" s="80"/>
      <c r="E27" s="80"/>
    </row>
    <row r="28" spans="2:5" x14ac:dyDescent="0.25">
      <c r="B28" s="69" t="s">
        <v>940</v>
      </c>
      <c r="C28" s="147" t="s">
        <v>941</v>
      </c>
      <c r="D28" s="145" t="s">
        <v>942</v>
      </c>
      <c r="E28" s="146">
        <v>66</v>
      </c>
    </row>
    <row r="29" spans="2:5" x14ac:dyDescent="0.25">
      <c r="B29" s="69" t="s">
        <v>943</v>
      </c>
      <c r="C29" s="147" t="s">
        <v>944</v>
      </c>
      <c r="D29" s="145" t="s">
        <v>945</v>
      </c>
      <c r="E29" s="146">
        <v>70</v>
      </c>
    </row>
    <row r="30" spans="2:5" x14ac:dyDescent="0.25">
      <c r="B30" s="69" t="s">
        <v>946</v>
      </c>
      <c r="C30" s="147" t="s">
        <v>947</v>
      </c>
      <c r="D30" s="145" t="s">
        <v>948</v>
      </c>
      <c r="E30" s="146">
        <v>81</v>
      </c>
    </row>
    <row r="31" spans="2:5" x14ac:dyDescent="0.25">
      <c r="B31" s="69" t="s">
        <v>949</v>
      </c>
      <c r="C31" s="147" t="s">
        <v>950</v>
      </c>
      <c r="D31" s="145" t="s">
        <v>951</v>
      </c>
      <c r="E31" s="146">
        <v>85</v>
      </c>
    </row>
    <row r="32" spans="2:5" x14ac:dyDescent="0.25">
      <c r="B32" s="69" t="s">
        <v>952</v>
      </c>
      <c r="C32" s="147" t="s">
        <v>953</v>
      </c>
      <c r="D32" s="145" t="s">
        <v>954</v>
      </c>
      <c r="E32" s="146">
        <v>139</v>
      </c>
    </row>
    <row r="33" spans="2:5" x14ac:dyDescent="0.25">
      <c r="B33" s="69" t="s">
        <v>955</v>
      </c>
      <c r="C33" s="147" t="s">
        <v>956</v>
      </c>
      <c r="D33" s="145" t="s">
        <v>957</v>
      </c>
      <c r="E33" s="146">
        <v>182</v>
      </c>
    </row>
    <row r="34" spans="2:5" x14ac:dyDescent="0.25">
      <c r="B34" s="69" t="s">
        <v>958</v>
      </c>
      <c r="C34" s="147" t="s">
        <v>959</v>
      </c>
      <c r="D34" s="145" t="s">
        <v>960</v>
      </c>
      <c r="E34" s="146">
        <v>149</v>
      </c>
    </row>
    <row r="35" spans="2:5" x14ac:dyDescent="0.25">
      <c r="B35" s="143" t="s">
        <v>961</v>
      </c>
      <c r="C35" s="42"/>
      <c r="D35" s="42"/>
      <c r="E35" s="42"/>
    </row>
    <row r="36" spans="2:5" x14ac:dyDescent="0.25">
      <c r="B36" s="69" t="s">
        <v>962</v>
      </c>
      <c r="C36" s="148" t="s">
        <v>963</v>
      </c>
      <c r="D36" s="145" t="s">
        <v>964</v>
      </c>
      <c r="E36" s="146">
        <v>30</v>
      </c>
    </row>
    <row r="37" spans="2:5" x14ac:dyDescent="0.25">
      <c r="B37" s="149"/>
      <c r="C37" s="42"/>
      <c r="D37" s="42"/>
      <c r="E37" s="42"/>
    </row>
    <row r="38" spans="2:5" x14ac:dyDescent="0.25">
      <c r="B38" s="39" t="s">
        <v>965</v>
      </c>
      <c r="C38" s="67"/>
      <c r="D38" s="80"/>
      <c r="E38" s="80"/>
    </row>
    <row r="39" spans="2:5" x14ac:dyDescent="0.25">
      <c r="B39" s="143" t="s">
        <v>966</v>
      </c>
      <c r="C39" s="67"/>
      <c r="D39" s="80"/>
      <c r="E39" s="80"/>
    </row>
    <row r="40" spans="2:5" x14ac:dyDescent="0.25">
      <c r="B40" s="69" t="s">
        <v>967</v>
      </c>
      <c r="C40" s="148" t="s">
        <v>968</v>
      </c>
      <c r="D40" s="145" t="s">
        <v>969</v>
      </c>
      <c r="E40" s="146">
        <v>5</v>
      </c>
    </row>
    <row r="41" spans="2:5" x14ac:dyDescent="0.25">
      <c r="B41" s="69" t="s">
        <v>970</v>
      </c>
      <c r="C41" s="148" t="s">
        <v>971</v>
      </c>
      <c r="D41" s="145" t="s">
        <v>972</v>
      </c>
      <c r="E41" s="146">
        <v>14</v>
      </c>
    </row>
    <row r="42" spans="2:5" x14ac:dyDescent="0.25">
      <c r="B42" s="69" t="s">
        <v>973</v>
      </c>
      <c r="C42" s="148" t="s">
        <v>974</v>
      </c>
      <c r="D42" s="145" t="s">
        <v>975</v>
      </c>
      <c r="E42" s="146">
        <v>18</v>
      </c>
    </row>
    <row r="43" spans="2:5" x14ac:dyDescent="0.25">
      <c r="B43" s="69" t="s">
        <v>976</v>
      </c>
      <c r="C43" s="148" t="s">
        <v>977</v>
      </c>
      <c r="D43" s="145" t="s">
        <v>978</v>
      </c>
      <c r="E43" s="146">
        <v>9</v>
      </c>
    </row>
    <row r="44" spans="2:5" x14ac:dyDescent="0.25">
      <c r="B44" s="69" t="s">
        <v>979</v>
      </c>
      <c r="C44" s="148" t="s">
        <v>980</v>
      </c>
      <c r="D44" s="145" t="s">
        <v>981</v>
      </c>
      <c r="E44" s="146">
        <v>22</v>
      </c>
    </row>
    <row r="45" spans="2:5" x14ac:dyDescent="0.25">
      <c r="B45" s="69" t="s">
        <v>982</v>
      </c>
      <c r="C45" s="148" t="s">
        <v>983</v>
      </c>
      <c r="D45" s="145" t="s">
        <v>984</v>
      </c>
      <c r="E45" s="146">
        <v>54</v>
      </c>
    </row>
    <row r="46" spans="2:5" x14ac:dyDescent="0.25">
      <c r="B46" s="69" t="s">
        <v>985</v>
      </c>
      <c r="C46" s="147" t="s">
        <v>986</v>
      </c>
      <c r="D46" s="145" t="s">
        <v>987</v>
      </c>
      <c r="E46" s="146">
        <v>38</v>
      </c>
    </row>
    <row r="47" spans="2:5" x14ac:dyDescent="0.25">
      <c r="B47" s="69" t="s">
        <v>988</v>
      </c>
      <c r="C47" s="147" t="s">
        <v>989</v>
      </c>
      <c r="D47" s="145" t="s">
        <v>990</v>
      </c>
      <c r="E47" s="146">
        <v>38</v>
      </c>
    </row>
    <row r="48" spans="2:5" x14ac:dyDescent="0.25">
      <c r="B48" s="143" t="s">
        <v>991</v>
      </c>
      <c r="C48" s="42"/>
      <c r="D48" s="42"/>
      <c r="E48" s="42"/>
    </row>
    <row r="49" spans="2:5" x14ac:dyDescent="0.25">
      <c r="B49" s="69" t="s">
        <v>992</v>
      </c>
      <c r="C49" s="147" t="s">
        <v>993</v>
      </c>
      <c r="D49" s="145" t="s">
        <v>994</v>
      </c>
      <c r="E49" s="146">
        <v>63</v>
      </c>
    </row>
    <row r="50" spans="2:5" x14ac:dyDescent="0.25">
      <c r="B50" s="69" t="s">
        <v>995</v>
      </c>
      <c r="C50" s="147" t="s">
        <v>996</v>
      </c>
      <c r="D50" s="145" t="s">
        <v>997</v>
      </c>
      <c r="E50" s="146">
        <v>63</v>
      </c>
    </row>
    <row r="51" spans="2:5" x14ac:dyDescent="0.25">
      <c r="B51" s="143" t="s">
        <v>998</v>
      </c>
      <c r="C51" s="67"/>
      <c r="D51" s="67"/>
      <c r="E51" s="67"/>
    </row>
    <row r="52" spans="2:5" x14ac:dyDescent="0.25">
      <c r="B52" s="69" t="s">
        <v>999</v>
      </c>
      <c r="C52" s="150" t="s">
        <v>1000</v>
      </c>
      <c r="D52" s="145" t="s">
        <v>1001</v>
      </c>
      <c r="E52" s="146">
        <v>5</v>
      </c>
    </row>
    <row r="53" spans="2:5" x14ac:dyDescent="0.25">
      <c r="B53" s="69" t="s">
        <v>1002</v>
      </c>
      <c r="C53" s="148" t="s">
        <v>1003</v>
      </c>
      <c r="D53" s="145" t="s">
        <v>1004</v>
      </c>
      <c r="E53" s="146">
        <v>14</v>
      </c>
    </row>
    <row r="54" spans="2:5" x14ac:dyDescent="0.25">
      <c r="B54" s="69" t="s">
        <v>1005</v>
      </c>
      <c r="C54" s="103" t="s">
        <v>1006</v>
      </c>
      <c r="D54" s="145" t="s">
        <v>1007</v>
      </c>
      <c r="E54" s="146">
        <v>18</v>
      </c>
    </row>
    <row r="55" spans="2:5" x14ac:dyDescent="0.25">
      <c r="B55" s="69" t="s">
        <v>1008</v>
      </c>
      <c r="C55" s="148" t="s">
        <v>1009</v>
      </c>
      <c r="D55" s="145" t="s">
        <v>1010</v>
      </c>
      <c r="E55" s="146">
        <v>9</v>
      </c>
    </row>
    <row r="56" spans="2:5" x14ac:dyDescent="0.25">
      <c r="B56" s="69" t="s">
        <v>1011</v>
      </c>
      <c r="C56" s="148" t="s">
        <v>1012</v>
      </c>
      <c r="D56" s="145" t="s">
        <v>1013</v>
      </c>
      <c r="E56" s="146">
        <v>22</v>
      </c>
    </row>
    <row r="57" spans="2:5" x14ac:dyDescent="0.25">
      <c r="B57" s="69" t="s">
        <v>1014</v>
      </c>
      <c r="C57" s="148" t="s">
        <v>1015</v>
      </c>
      <c r="D57" s="145" t="s">
        <v>1016</v>
      </c>
      <c r="E57" s="146">
        <v>54</v>
      </c>
    </row>
    <row r="58" spans="2:5" x14ac:dyDescent="0.25">
      <c r="B58" s="69" t="s">
        <v>1017</v>
      </c>
      <c r="C58" s="147" t="s">
        <v>1018</v>
      </c>
      <c r="D58" s="145" t="s">
        <v>1019</v>
      </c>
      <c r="E58" s="146">
        <v>38</v>
      </c>
    </row>
    <row r="59" spans="2:5" x14ac:dyDescent="0.25">
      <c r="B59" s="69" t="s">
        <v>1020</v>
      </c>
      <c r="C59" s="147" t="s">
        <v>1021</v>
      </c>
      <c r="D59" s="145" t="s">
        <v>1022</v>
      </c>
      <c r="E59" s="146">
        <v>38</v>
      </c>
    </row>
    <row r="60" spans="2:5" x14ac:dyDescent="0.25">
      <c r="B60" s="143" t="s">
        <v>1023</v>
      </c>
      <c r="C60" s="67"/>
      <c r="D60" s="67"/>
      <c r="E60" s="67"/>
    </row>
    <row r="61" spans="2:5" x14ac:dyDescent="0.25">
      <c r="B61" s="69" t="s">
        <v>1024</v>
      </c>
      <c r="C61" s="147" t="s">
        <v>1025</v>
      </c>
      <c r="D61" s="145" t="s">
        <v>1026</v>
      </c>
      <c r="E61" s="146">
        <v>63</v>
      </c>
    </row>
    <row r="62" spans="2:5" x14ac:dyDescent="0.25">
      <c r="B62" s="69" t="s">
        <v>1027</v>
      </c>
      <c r="C62" s="147" t="s">
        <v>1028</v>
      </c>
      <c r="D62" s="145" t="s">
        <v>1029</v>
      </c>
      <c r="E62" s="146">
        <v>63</v>
      </c>
    </row>
    <row r="63" spans="2:5" x14ac:dyDescent="0.25">
      <c r="B63" s="143" t="s">
        <v>1030</v>
      </c>
      <c r="C63" s="67"/>
      <c r="D63" s="67"/>
      <c r="E63" s="67"/>
    </row>
    <row r="64" spans="2:5" x14ac:dyDescent="0.25">
      <c r="B64" s="69" t="s">
        <v>1031</v>
      </c>
      <c r="C64" s="147" t="s">
        <v>1032</v>
      </c>
      <c r="D64" s="145" t="s">
        <v>1033</v>
      </c>
      <c r="E64" s="146">
        <v>19</v>
      </c>
    </row>
    <row r="65" spans="2:5" x14ac:dyDescent="0.25">
      <c r="B65" s="149"/>
      <c r="C65" s="42"/>
      <c r="D65" s="42"/>
      <c r="E65" s="42"/>
    </row>
    <row r="66" spans="2:5" x14ac:dyDescent="0.25">
      <c r="B66" s="39" t="s">
        <v>1034</v>
      </c>
      <c r="C66" s="67"/>
      <c r="D66" s="80"/>
      <c r="E66" s="151"/>
    </row>
    <row r="67" spans="2:5" x14ac:dyDescent="0.25">
      <c r="B67" s="143" t="s">
        <v>1035</v>
      </c>
      <c r="C67" s="67"/>
      <c r="D67" s="80"/>
      <c r="E67" s="151"/>
    </row>
    <row r="68" spans="2:5" x14ac:dyDescent="0.25">
      <c r="B68" s="69" t="s">
        <v>1036</v>
      </c>
      <c r="C68" s="148" t="s">
        <v>1037</v>
      </c>
      <c r="D68" s="145" t="s">
        <v>1038</v>
      </c>
      <c r="E68" s="146">
        <v>4</v>
      </c>
    </row>
    <row r="69" spans="2:5" x14ac:dyDescent="0.25">
      <c r="B69" s="69" t="s">
        <v>1039</v>
      </c>
      <c r="C69" s="148" t="s">
        <v>1040</v>
      </c>
      <c r="D69" s="145" t="s">
        <v>1041</v>
      </c>
      <c r="E69" s="146">
        <v>8</v>
      </c>
    </row>
    <row r="70" spans="2:5" x14ac:dyDescent="0.25">
      <c r="B70" s="69" t="s">
        <v>1042</v>
      </c>
      <c r="C70" s="148" t="s">
        <v>1043</v>
      </c>
      <c r="D70" s="145" t="s">
        <v>1044</v>
      </c>
      <c r="E70" s="146">
        <v>12</v>
      </c>
    </row>
    <row r="71" spans="2:5" x14ac:dyDescent="0.25">
      <c r="B71" s="69" t="s">
        <v>1045</v>
      </c>
      <c r="C71" s="148" t="s">
        <v>1046</v>
      </c>
      <c r="D71" s="145" t="s">
        <v>1047</v>
      </c>
      <c r="E71" s="146">
        <v>38</v>
      </c>
    </row>
    <row r="72" spans="2:5" x14ac:dyDescent="0.25">
      <c r="B72" s="69" t="s">
        <v>1048</v>
      </c>
      <c r="C72" s="147" t="s">
        <v>1049</v>
      </c>
      <c r="D72" s="145" t="s">
        <v>1050</v>
      </c>
      <c r="E72" s="146">
        <v>13</v>
      </c>
    </row>
    <row r="73" spans="2:5" x14ac:dyDescent="0.25">
      <c r="B73" s="69" t="s">
        <v>1051</v>
      </c>
      <c r="C73" s="147" t="s">
        <v>1052</v>
      </c>
      <c r="D73" s="145" t="s">
        <v>1053</v>
      </c>
      <c r="E73" s="146">
        <v>13</v>
      </c>
    </row>
    <row r="74" spans="2:5" x14ac:dyDescent="0.25">
      <c r="B74" s="143" t="s">
        <v>1054</v>
      </c>
      <c r="C74" s="67"/>
      <c r="D74" s="67"/>
      <c r="E74" s="67"/>
    </row>
    <row r="75" spans="2:5" x14ac:dyDescent="0.25">
      <c r="B75" s="197" t="s">
        <v>1055</v>
      </c>
      <c r="C75" s="198" t="s">
        <v>1056</v>
      </c>
      <c r="D75" s="193" t="s">
        <v>1057</v>
      </c>
      <c r="E75" s="199">
        <v>30</v>
      </c>
    </row>
    <row r="76" spans="2:5" x14ac:dyDescent="0.25">
      <c r="B76" s="69" t="s">
        <v>1058</v>
      </c>
      <c r="C76" s="147" t="s">
        <v>1059</v>
      </c>
      <c r="D76" s="145" t="s">
        <v>1060</v>
      </c>
      <c r="E76" s="146">
        <v>30</v>
      </c>
    </row>
    <row r="77" spans="2:5" x14ac:dyDescent="0.25">
      <c r="B77" s="69" t="s">
        <v>1061</v>
      </c>
      <c r="C77" s="147" t="s">
        <v>1062</v>
      </c>
      <c r="D77" s="145" t="s">
        <v>1063</v>
      </c>
      <c r="E77" s="146">
        <v>30</v>
      </c>
    </row>
    <row r="78" spans="2:5" x14ac:dyDescent="0.25">
      <c r="B78" s="197" t="s">
        <v>1919</v>
      </c>
      <c r="C78" s="198" t="s">
        <v>1918</v>
      </c>
      <c r="D78" s="193" t="s">
        <v>1064</v>
      </c>
      <c r="E78" s="199">
        <v>53</v>
      </c>
    </row>
    <row r="79" spans="2:5" x14ac:dyDescent="0.25">
      <c r="B79" s="255" t="s">
        <v>1065</v>
      </c>
      <c r="C79" s="256"/>
      <c r="D79" s="256"/>
      <c r="E79" s="256"/>
    </row>
    <row r="80" spans="2:5" x14ac:dyDescent="0.25">
      <c r="B80" s="197" t="s">
        <v>1066</v>
      </c>
      <c r="C80" s="198" t="s">
        <v>1067</v>
      </c>
      <c r="D80" s="193" t="s">
        <v>1068</v>
      </c>
      <c r="E80" s="199">
        <v>91</v>
      </c>
    </row>
    <row r="81" spans="2:5" x14ac:dyDescent="0.25">
      <c r="B81" s="197" t="s">
        <v>1069</v>
      </c>
      <c r="C81" s="198" t="s">
        <v>1070</v>
      </c>
      <c r="D81" s="193" t="s">
        <v>1071</v>
      </c>
      <c r="E81" s="199">
        <v>102</v>
      </c>
    </row>
    <row r="82" spans="2:5" x14ac:dyDescent="0.25">
      <c r="B82" s="197" t="s">
        <v>1072</v>
      </c>
      <c r="C82" s="198" t="s">
        <v>1073</v>
      </c>
      <c r="D82" s="193" t="s">
        <v>1074</v>
      </c>
      <c r="E82" s="199">
        <v>134</v>
      </c>
    </row>
    <row r="83" spans="2:5" x14ac:dyDescent="0.25">
      <c r="B83" s="197" t="s">
        <v>1075</v>
      </c>
      <c r="C83" s="198" t="s">
        <v>1076</v>
      </c>
      <c r="D83" s="193" t="s">
        <v>1077</v>
      </c>
      <c r="E83" s="199">
        <v>156</v>
      </c>
    </row>
    <row r="84" spans="2:5" x14ac:dyDescent="0.25">
      <c r="B84" s="197" t="s">
        <v>1078</v>
      </c>
      <c r="C84" s="198" t="s">
        <v>1079</v>
      </c>
      <c r="D84" s="193" t="s">
        <v>1080</v>
      </c>
      <c r="E84" s="199">
        <v>210</v>
      </c>
    </row>
    <row r="85" spans="2:5" x14ac:dyDescent="0.25">
      <c r="B85" s="197" t="s">
        <v>1081</v>
      </c>
      <c r="C85" s="198" t="s">
        <v>1082</v>
      </c>
      <c r="D85" s="193" t="s">
        <v>1083</v>
      </c>
      <c r="E85" s="199">
        <v>350</v>
      </c>
    </row>
    <row r="86" spans="2:5" x14ac:dyDescent="0.25">
      <c r="B86" s="255" t="s">
        <v>1084</v>
      </c>
      <c r="C86" s="256"/>
      <c r="D86" s="256"/>
      <c r="E86" s="256"/>
    </row>
    <row r="87" spans="2:5" x14ac:dyDescent="0.25">
      <c r="B87" s="197" t="s">
        <v>1085</v>
      </c>
      <c r="C87" s="198" t="s">
        <v>1086</v>
      </c>
      <c r="D87" s="193" t="s">
        <v>1087</v>
      </c>
      <c r="E87" s="199">
        <v>9</v>
      </c>
    </row>
    <row r="88" spans="2:5" x14ac:dyDescent="0.25">
      <c r="B88" s="255" t="s">
        <v>1088</v>
      </c>
      <c r="C88" s="256"/>
      <c r="D88" s="256"/>
      <c r="E88" s="256"/>
    </row>
    <row r="89" spans="2:5" x14ac:dyDescent="0.25">
      <c r="B89" s="197" t="s">
        <v>1089</v>
      </c>
      <c r="C89" s="198" t="s">
        <v>1090</v>
      </c>
      <c r="D89" s="193" t="s">
        <v>1091</v>
      </c>
      <c r="E89" s="199">
        <v>10</v>
      </c>
    </row>
    <row r="90" spans="2:5" x14ac:dyDescent="0.25">
      <c r="B90" s="69" t="s">
        <v>1092</v>
      </c>
      <c r="C90" s="147" t="s">
        <v>1914</v>
      </c>
      <c r="D90" s="145" t="s">
        <v>1093</v>
      </c>
      <c r="E90" s="146">
        <v>27</v>
      </c>
    </row>
    <row r="91" spans="2:5" x14ac:dyDescent="0.25">
      <c r="B91" s="143" t="s">
        <v>1094</v>
      </c>
      <c r="C91" s="67"/>
      <c r="D91" s="67"/>
      <c r="E91" s="67"/>
    </row>
    <row r="92" spans="2:5" x14ac:dyDescent="0.25">
      <c r="B92" s="69" t="s">
        <v>1095</v>
      </c>
      <c r="C92" s="147" t="s">
        <v>1096</v>
      </c>
      <c r="D92" s="145" t="s">
        <v>1097</v>
      </c>
      <c r="E92" s="146">
        <v>38</v>
      </c>
    </row>
    <row r="93" spans="2:5" x14ac:dyDescent="0.25">
      <c r="B93" s="149"/>
      <c r="C93" s="42"/>
      <c r="D93" s="42"/>
      <c r="E93" s="42"/>
    </row>
    <row r="94" spans="2:5" x14ac:dyDescent="0.25">
      <c r="B94" s="39" t="s">
        <v>1098</v>
      </c>
      <c r="C94" s="67"/>
      <c r="D94" s="80"/>
      <c r="E94" s="151"/>
    </row>
    <row r="95" spans="2:5" x14ac:dyDescent="0.25">
      <c r="B95" s="143" t="s">
        <v>1099</v>
      </c>
      <c r="C95" s="67"/>
      <c r="D95" s="80"/>
      <c r="E95" s="151"/>
    </row>
    <row r="96" spans="2:5" x14ac:dyDescent="0.25">
      <c r="B96" s="69" t="s">
        <v>1100</v>
      </c>
      <c r="C96" s="147" t="s">
        <v>1101</v>
      </c>
      <c r="D96" s="145" t="s">
        <v>1102</v>
      </c>
      <c r="E96" s="146">
        <v>29</v>
      </c>
    </row>
    <row r="97" spans="2:5" x14ac:dyDescent="0.25">
      <c r="B97" s="69" t="s">
        <v>1103</v>
      </c>
      <c r="C97" s="147" t="s">
        <v>1104</v>
      </c>
      <c r="D97" s="145" t="s">
        <v>1105</v>
      </c>
      <c r="E97" s="146">
        <v>48</v>
      </c>
    </row>
    <row r="98" spans="2:5" x14ac:dyDescent="0.25">
      <c r="B98" s="69" t="s">
        <v>1106</v>
      </c>
      <c r="C98" s="147" t="s">
        <v>1107</v>
      </c>
      <c r="D98" s="145" t="s">
        <v>1108</v>
      </c>
      <c r="E98" s="146">
        <v>124</v>
      </c>
    </row>
    <row r="99" spans="2:5" x14ac:dyDescent="0.25">
      <c r="B99" s="69" t="s">
        <v>1109</v>
      </c>
      <c r="C99" s="147" t="s">
        <v>1110</v>
      </c>
      <c r="D99" s="145" t="s">
        <v>1111</v>
      </c>
      <c r="E99" s="146">
        <v>182</v>
      </c>
    </row>
    <row r="100" spans="2:5" x14ac:dyDescent="0.25">
      <c r="B100" s="69" t="s">
        <v>1112</v>
      </c>
      <c r="C100" s="148" t="s">
        <v>1113</v>
      </c>
      <c r="D100" s="145" t="s">
        <v>1114</v>
      </c>
      <c r="E100" s="146">
        <v>192</v>
      </c>
    </row>
    <row r="101" spans="2:5" x14ac:dyDescent="0.25">
      <c r="B101" s="143" t="s">
        <v>1115</v>
      </c>
      <c r="C101" s="67"/>
      <c r="D101" s="67"/>
      <c r="E101" s="67"/>
    </row>
    <row r="102" spans="2:5" x14ac:dyDescent="0.25">
      <c r="B102" s="69" t="s">
        <v>1116</v>
      </c>
      <c r="C102" s="147" t="s">
        <v>1117</v>
      </c>
      <c r="D102" s="145" t="s">
        <v>1118</v>
      </c>
      <c r="E102" s="146">
        <v>645</v>
      </c>
    </row>
    <row r="103" spans="2:5" x14ac:dyDescent="0.25">
      <c r="B103" s="69" t="s">
        <v>1119</v>
      </c>
      <c r="C103" s="147" t="s">
        <v>1120</v>
      </c>
      <c r="D103" s="145" t="s">
        <v>1121</v>
      </c>
      <c r="E103" s="146">
        <v>85</v>
      </c>
    </row>
    <row r="104" spans="2:5" x14ac:dyDescent="0.25">
      <c r="B104" s="69" t="s">
        <v>1122</v>
      </c>
      <c r="C104" s="147" t="s">
        <v>1123</v>
      </c>
      <c r="D104" s="145" t="s">
        <v>1124</v>
      </c>
      <c r="E104" s="146">
        <v>32</v>
      </c>
    </row>
    <row r="105" spans="2:5" x14ac:dyDescent="0.25">
      <c r="B105" s="69" t="s">
        <v>1125</v>
      </c>
      <c r="C105" s="147" t="s">
        <v>1126</v>
      </c>
      <c r="D105" s="145" t="s">
        <v>1127</v>
      </c>
      <c r="E105" s="146">
        <v>38</v>
      </c>
    </row>
    <row r="106" spans="2:5" x14ac:dyDescent="0.25">
      <c r="B106" s="69" t="s">
        <v>1128</v>
      </c>
      <c r="C106" s="147" t="s">
        <v>1129</v>
      </c>
      <c r="D106" s="145" t="s">
        <v>1130</v>
      </c>
      <c r="E106" s="146">
        <v>11</v>
      </c>
    </row>
    <row r="107" spans="2:5" x14ac:dyDescent="0.25">
      <c r="B107" s="149"/>
      <c r="C107" s="42"/>
      <c r="D107" s="42"/>
      <c r="E107" s="42"/>
    </row>
    <row r="108" spans="2:5" x14ac:dyDescent="0.25">
      <c r="B108" s="39" t="s">
        <v>1131</v>
      </c>
      <c r="C108" s="67"/>
      <c r="D108" s="80"/>
      <c r="E108" s="80"/>
    </row>
    <row r="109" spans="2:5" x14ac:dyDescent="0.25">
      <c r="B109" s="143" t="s">
        <v>1132</v>
      </c>
      <c r="C109" s="67"/>
      <c r="D109" s="80"/>
      <c r="E109" s="80"/>
    </row>
    <row r="110" spans="2:5" ht="25.5" x14ac:dyDescent="0.25">
      <c r="B110" s="197" t="s">
        <v>1135</v>
      </c>
      <c r="C110" s="192" t="s">
        <v>1133</v>
      </c>
      <c r="D110" s="193" t="s">
        <v>1134</v>
      </c>
      <c r="E110" s="199">
        <v>38</v>
      </c>
    </row>
    <row r="111" spans="2:5" ht="25.5" x14ac:dyDescent="0.25">
      <c r="B111" s="197" t="s">
        <v>1136</v>
      </c>
      <c r="C111" s="192" t="s">
        <v>1137</v>
      </c>
      <c r="D111" s="193" t="s">
        <v>1138</v>
      </c>
      <c r="E111" s="199">
        <v>53</v>
      </c>
    </row>
    <row r="112" spans="2:5" x14ac:dyDescent="0.25">
      <c r="B112" s="255" t="s">
        <v>1139</v>
      </c>
      <c r="C112" s="256"/>
      <c r="D112" s="256"/>
      <c r="E112" s="256"/>
    </row>
    <row r="113" spans="2:5" x14ac:dyDescent="0.25">
      <c r="B113" s="69" t="s">
        <v>1140</v>
      </c>
      <c r="C113" s="148" t="s">
        <v>1141</v>
      </c>
      <c r="D113" s="145" t="s">
        <v>1142</v>
      </c>
      <c r="E113" s="146">
        <v>100</v>
      </c>
    </row>
    <row r="114" spans="2:5" x14ac:dyDescent="0.25">
      <c r="B114" s="69" t="s">
        <v>1143</v>
      </c>
      <c r="C114" s="147" t="s">
        <v>1144</v>
      </c>
      <c r="D114" s="145" t="s">
        <v>1145</v>
      </c>
      <c r="E114" s="146">
        <v>103</v>
      </c>
    </row>
    <row r="115" spans="2:5" x14ac:dyDescent="0.25">
      <c r="B115" s="69" t="s">
        <v>1146</v>
      </c>
      <c r="C115" s="147" t="s">
        <v>1147</v>
      </c>
      <c r="D115" s="145" t="s">
        <v>1148</v>
      </c>
      <c r="E115" s="146">
        <v>124</v>
      </c>
    </row>
    <row r="116" spans="2:5" x14ac:dyDescent="0.25">
      <c r="B116" s="69" t="s">
        <v>1149</v>
      </c>
      <c r="C116" s="147" t="s">
        <v>1150</v>
      </c>
      <c r="D116" s="145" t="s">
        <v>1151</v>
      </c>
      <c r="E116" s="146">
        <v>376</v>
      </c>
    </row>
    <row r="117" spans="2:5" x14ac:dyDescent="0.25">
      <c r="B117" s="69" t="s">
        <v>1152</v>
      </c>
      <c r="C117" s="147" t="s">
        <v>1153</v>
      </c>
      <c r="D117" s="145" t="s">
        <v>1154</v>
      </c>
      <c r="E117" s="146">
        <v>106</v>
      </c>
    </row>
    <row r="118" spans="2:5" x14ac:dyDescent="0.25">
      <c r="B118" s="143" t="s">
        <v>1155</v>
      </c>
      <c r="C118" s="67"/>
      <c r="D118" s="67"/>
      <c r="E118" s="67"/>
    </row>
    <row r="119" spans="2:5" x14ac:dyDescent="0.25">
      <c r="B119" s="69" t="s">
        <v>1156</v>
      </c>
      <c r="C119" s="147" t="s">
        <v>1157</v>
      </c>
      <c r="D119" s="145" t="s">
        <v>1158</v>
      </c>
      <c r="E119" s="146">
        <v>32</v>
      </c>
    </row>
    <row r="120" spans="2:5" x14ac:dyDescent="0.25">
      <c r="B120" s="69" t="s">
        <v>1159</v>
      </c>
      <c r="C120" s="147" t="s">
        <v>1160</v>
      </c>
      <c r="D120" s="145" t="s">
        <v>1161</v>
      </c>
      <c r="E120" s="146">
        <v>38</v>
      </c>
    </row>
    <row r="121" spans="2:5" x14ac:dyDescent="0.25">
      <c r="B121" s="69" t="s">
        <v>1162</v>
      </c>
      <c r="C121" s="147" t="s">
        <v>1163</v>
      </c>
      <c r="D121" s="145" t="s">
        <v>1164</v>
      </c>
      <c r="E121" s="146">
        <v>49</v>
      </c>
    </row>
    <row r="122" spans="2:5" x14ac:dyDescent="0.25">
      <c r="B122" s="69" t="s">
        <v>1165</v>
      </c>
      <c r="C122" s="147" t="s">
        <v>1166</v>
      </c>
      <c r="D122" s="145" t="s">
        <v>1167</v>
      </c>
      <c r="E122" s="146">
        <v>36</v>
      </c>
    </row>
    <row r="123" spans="2:5" x14ac:dyDescent="0.25">
      <c r="B123" s="69" t="s">
        <v>1168</v>
      </c>
      <c r="C123" s="147" t="s">
        <v>1169</v>
      </c>
      <c r="D123" s="145" t="s">
        <v>1170</v>
      </c>
      <c r="E123" s="146">
        <v>50</v>
      </c>
    </row>
    <row r="124" spans="2:5" x14ac:dyDescent="0.25">
      <c r="B124" s="69" t="s">
        <v>1171</v>
      </c>
      <c r="C124" s="147" t="s">
        <v>1172</v>
      </c>
      <c r="D124" s="145" t="s">
        <v>1173</v>
      </c>
      <c r="E124" s="146">
        <v>63</v>
      </c>
    </row>
    <row r="125" spans="2:5" x14ac:dyDescent="0.25">
      <c r="B125" s="69" t="s">
        <v>1174</v>
      </c>
      <c r="C125" s="147" t="s">
        <v>1175</v>
      </c>
      <c r="D125" s="145" t="s">
        <v>1176</v>
      </c>
      <c r="E125" s="146">
        <v>85</v>
      </c>
    </row>
    <row r="126" spans="2:5" x14ac:dyDescent="0.25">
      <c r="B126" s="143" t="s">
        <v>1177</v>
      </c>
      <c r="C126" s="67"/>
      <c r="D126" s="67"/>
      <c r="E126" s="67"/>
    </row>
    <row r="127" spans="2:5" x14ac:dyDescent="0.25">
      <c r="B127" s="69" t="s">
        <v>1178</v>
      </c>
      <c r="C127" s="147" t="s">
        <v>1179</v>
      </c>
      <c r="D127" s="145" t="s">
        <v>1180</v>
      </c>
      <c r="E127" s="146">
        <v>96</v>
      </c>
    </row>
    <row r="128" spans="2:5" x14ac:dyDescent="0.25">
      <c r="B128" s="69" t="s">
        <v>1181</v>
      </c>
      <c r="C128" s="147" t="s">
        <v>1182</v>
      </c>
      <c r="D128" s="145" t="s">
        <v>1183</v>
      </c>
      <c r="E128" s="146">
        <v>128</v>
      </c>
    </row>
    <row r="129" spans="2:5" x14ac:dyDescent="0.25">
      <c r="B129" s="69" t="s">
        <v>1184</v>
      </c>
      <c r="C129" s="147" t="s">
        <v>1185</v>
      </c>
      <c r="D129" s="145" t="s">
        <v>1186</v>
      </c>
      <c r="E129" s="146">
        <v>161</v>
      </c>
    </row>
    <row r="130" spans="2:5" x14ac:dyDescent="0.25">
      <c r="B130" s="69" t="s">
        <v>1187</v>
      </c>
      <c r="C130" s="147" t="s">
        <v>1188</v>
      </c>
      <c r="D130" s="145" t="s">
        <v>1189</v>
      </c>
      <c r="E130" s="146">
        <v>161</v>
      </c>
    </row>
    <row r="131" spans="2:5" x14ac:dyDescent="0.25">
      <c r="B131" s="69" t="s">
        <v>1190</v>
      </c>
      <c r="C131" s="147" t="s">
        <v>1191</v>
      </c>
      <c r="D131" s="145" t="s">
        <v>1192</v>
      </c>
      <c r="E131" s="146">
        <v>106</v>
      </c>
    </row>
    <row r="132" spans="2:5" x14ac:dyDescent="0.25">
      <c r="B132" s="69" t="s">
        <v>1193</v>
      </c>
      <c r="C132" s="147" t="s">
        <v>1194</v>
      </c>
      <c r="D132" s="145" t="s">
        <v>1195</v>
      </c>
      <c r="E132" s="146">
        <v>161</v>
      </c>
    </row>
    <row r="133" spans="2:5" s="56" customFormat="1" x14ac:dyDescent="0.25">
      <c r="B133" s="197" t="s">
        <v>1901</v>
      </c>
      <c r="C133" s="198" t="s">
        <v>1899</v>
      </c>
      <c r="D133" s="193" t="s">
        <v>1900</v>
      </c>
      <c r="E133" s="199">
        <v>115</v>
      </c>
    </row>
    <row r="134" spans="2:5" x14ac:dyDescent="0.25">
      <c r="B134" s="149"/>
      <c r="C134" s="42"/>
      <c r="D134" s="42"/>
      <c r="E134" s="42"/>
    </row>
    <row r="135" spans="2:5" x14ac:dyDescent="0.25">
      <c r="B135" s="39" t="s">
        <v>1196</v>
      </c>
      <c r="C135" s="79"/>
      <c r="D135" s="80"/>
      <c r="E135" s="151"/>
    </row>
    <row r="136" spans="2:5" x14ac:dyDescent="0.25">
      <c r="B136" s="143" t="s">
        <v>1197</v>
      </c>
      <c r="C136" s="79"/>
      <c r="D136" s="80"/>
      <c r="E136" s="151"/>
    </row>
    <row r="137" spans="2:5" x14ac:dyDescent="0.25">
      <c r="B137" s="69" t="s">
        <v>1198</v>
      </c>
      <c r="C137" s="147" t="s">
        <v>1199</v>
      </c>
      <c r="D137" s="145" t="s">
        <v>1200</v>
      </c>
      <c r="E137" s="146">
        <v>32</v>
      </c>
    </row>
    <row r="138" spans="2:5" x14ac:dyDescent="0.25">
      <c r="B138" s="69" t="s">
        <v>1201</v>
      </c>
      <c r="C138" s="147" t="s">
        <v>1202</v>
      </c>
      <c r="D138" s="145" t="s">
        <v>1203</v>
      </c>
      <c r="E138" s="146">
        <v>42</v>
      </c>
    </row>
    <row r="139" spans="2:5" x14ac:dyDescent="0.25">
      <c r="B139" s="143" t="s">
        <v>1204</v>
      </c>
      <c r="C139" s="79"/>
      <c r="D139" s="79"/>
      <c r="E139" s="79"/>
    </row>
    <row r="140" spans="2:5" x14ac:dyDescent="0.25">
      <c r="B140" s="69" t="s">
        <v>1205</v>
      </c>
      <c r="C140" s="147" t="s">
        <v>1206</v>
      </c>
      <c r="D140" s="145" t="s">
        <v>1207</v>
      </c>
      <c r="E140" s="146">
        <v>106</v>
      </c>
    </row>
    <row r="141" spans="2:5" x14ac:dyDescent="0.25">
      <c r="B141" s="149"/>
      <c r="C141" s="42"/>
      <c r="D141" s="42"/>
      <c r="E141" s="42"/>
    </row>
    <row r="142" spans="2:5" x14ac:dyDescent="0.25">
      <c r="B142" s="39" t="s">
        <v>1208</v>
      </c>
      <c r="C142" s="67"/>
      <c r="D142" s="80"/>
      <c r="E142" s="151"/>
    </row>
    <row r="143" spans="2:5" x14ac:dyDescent="0.25">
      <c r="B143" s="69" t="s">
        <v>1209</v>
      </c>
      <c r="C143" s="148" t="s">
        <v>1210</v>
      </c>
      <c r="D143" s="145" t="s">
        <v>1211</v>
      </c>
      <c r="E143" s="146">
        <v>24</v>
      </c>
    </row>
    <row r="144" spans="2:5" x14ac:dyDescent="0.25">
      <c r="B144" s="69" t="s">
        <v>1212</v>
      </c>
      <c r="C144" s="148" t="s">
        <v>1213</v>
      </c>
      <c r="D144" s="145" t="s">
        <v>1214</v>
      </c>
      <c r="E144" s="146">
        <v>28</v>
      </c>
    </row>
    <row r="145" spans="2:5" x14ac:dyDescent="0.25">
      <c r="B145" s="69" t="s">
        <v>1215</v>
      </c>
      <c r="C145" s="148" t="s">
        <v>1216</v>
      </c>
      <c r="D145" s="145" t="s">
        <v>1217</v>
      </c>
      <c r="E145" s="146">
        <v>39</v>
      </c>
    </row>
    <row r="146" spans="2:5" x14ac:dyDescent="0.25">
      <c r="B146" s="69" t="s">
        <v>1218</v>
      </c>
      <c r="C146" s="148" t="s">
        <v>1219</v>
      </c>
      <c r="D146" s="145" t="s">
        <v>1220</v>
      </c>
      <c r="E146" s="146">
        <v>691</v>
      </c>
    </row>
    <row r="147" spans="2:5" x14ac:dyDescent="0.25">
      <c r="B147" s="69" t="s">
        <v>1221</v>
      </c>
      <c r="C147" s="148" t="s">
        <v>1222</v>
      </c>
      <c r="D147" s="145" t="s">
        <v>1223</v>
      </c>
      <c r="E147" s="146">
        <v>862</v>
      </c>
    </row>
    <row r="148" spans="2:5" x14ac:dyDescent="0.25">
      <c r="B148" s="149"/>
      <c r="C148" s="67"/>
      <c r="D148" s="80"/>
      <c r="E148" s="80"/>
    </row>
    <row r="149" spans="2:5" x14ac:dyDescent="0.25">
      <c r="B149" s="39" t="s">
        <v>1224</v>
      </c>
      <c r="C149" s="67"/>
      <c r="D149" s="80"/>
      <c r="E149" s="80"/>
    </row>
    <row r="150" spans="2:5" x14ac:dyDescent="0.25">
      <c r="B150" s="143" t="s">
        <v>1225</v>
      </c>
      <c r="C150" s="67"/>
      <c r="D150" s="80"/>
      <c r="E150" s="80"/>
    </row>
    <row r="151" spans="2:5" s="68" customFormat="1" x14ac:dyDescent="0.25">
      <c r="B151" s="197" t="s">
        <v>1226</v>
      </c>
      <c r="C151" s="192"/>
      <c r="D151" s="193" t="s">
        <v>1227</v>
      </c>
      <c r="E151" s="199">
        <v>135</v>
      </c>
    </row>
    <row r="152" spans="2:5" x14ac:dyDescent="0.25">
      <c r="B152" s="197" t="s">
        <v>1228</v>
      </c>
      <c r="C152" s="192"/>
      <c r="D152" s="193" t="s">
        <v>1229</v>
      </c>
      <c r="E152" s="199">
        <v>160</v>
      </c>
    </row>
    <row r="153" spans="2:5" x14ac:dyDescent="0.25">
      <c r="B153" s="197" t="s">
        <v>1230</v>
      </c>
      <c r="C153" s="192"/>
      <c r="D153" s="193" t="s">
        <v>1231</v>
      </c>
      <c r="E153" s="199">
        <v>153</v>
      </c>
    </row>
    <row r="154" spans="2:5" s="68" customFormat="1" x14ac:dyDescent="0.25">
      <c r="B154" s="197" t="s">
        <v>1233</v>
      </c>
      <c r="C154" s="192"/>
      <c r="D154" s="193" t="s">
        <v>1232</v>
      </c>
      <c r="E154" s="199">
        <v>210</v>
      </c>
    </row>
    <row r="155" spans="2:5" s="68" customFormat="1" x14ac:dyDescent="0.25">
      <c r="B155" s="197" t="s">
        <v>1234</v>
      </c>
      <c r="C155" s="192"/>
      <c r="D155" s="193" t="s">
        <v>1235</v>
      </c>
      <c r="E155" s="199">
        <v>218</v>
      </c>
    </row>
    <row r="156" spans="2:5" s="68" customFormat="1" x14ac:dyDescent="0.25">
      <c r="B156" s="197" t="s">
        <v>1236</v>
      </c>
      <c r="C156" s="192"/>
      <c r="D156" s="193" t="s">
        <v>1237</v>
      </c>
      <c r="E156" s="199">
        <v>240</v>
      </c>
    </row>
    <row r="157" spans="2:5" x14ac:dyDescent="0.25">
      <c r="B157" s="197" t="s">
        <v>1238</v>
      </c>
      <c r="C157" s="192"/>
      <c r="D157" s="193" t="s">
        <v>1239</v>
      </c>
      <c r="E157" s="199">
        <v>276</v>
      </c>
    </row>
    <row r="158" spans="2:5" x14ac:dyDescent="0.25">
      <c r="B158" s="197" t="s">
        <v>1240</v>
      </c>
      <c r="C158" s="192"/>
      <c r="D158" s="193" t="s">
        <v>1241</v>
      </c>
      <c r="E158" s="199">
        <v>183</v>
      </c>
    </row>
    <row r="159" spans="2:5" x14ac:dyDescent="0.25">
      <c r="B159" s="197" t="s">
        <v>1242</v>
      </c>
      <c r="C159" s="192"/>
      <c r="D159" s="193" t="s">
        <v>1243</v>
      </c>
      <c r="E159" s="199">
        <v>200</v>
      </c>
    </row>
    <row r="160" spans="2:5" s="68" customFormat="1" x14ac:dyDescent="0.25">
      <c r="B160" s="197" t="s">
        <v>1244</v>
      </c>
      <c r="C160" s="192"/>
      <c r="D160" s="193" t="s">
        <v>1245</v>
      </c>
      <c r="E160" s="199">
        <v>268</v>
      </c>
    </row>
    <row r="161" spans="2:5" s="68" customFormat="1" x14ac:dyDescent="0.25">
      <c r="B161" s="197" t="s">
        <v>1246</v>
      </c>
      <c r="C161" s="192"/>
      <c r="D161" s="193" t="s">
        <v>1247</v>
      </c>
      <c r="E161" s="199">
        <v>290</v>
      </c>
    </row>
    <row r="162" spans="2:5" x14ac:dyDescent="0.25">
      <c r="B162" s="197" t="s">
        <v>1248</v>
      </c>
      <c r="C162" s="192"/>
      <c r="D162" s="193" t="s">
        <v>1249</v>
      </c>
      <c r="E162" s="199">
        <v>320</v>
      </c>
    </row>
    <row r="163" spans="2:5" x14ac:dyDescent="0.25">
      <c r="B163" s="197" t="s">
        <v>1250</v>
      </c>
      <c r="C163" s="192"/>
      <c r="D163" s="193" t="s">
        <v>1251</v>
      </c>
      <c r="E163" s="199">
        <v>398</v>
      </c>
    </row>
    <row r="164" spans="2:5" x14ac:dyDescent="0.25">
      <c r="B164" s="255" t="s">
        <v>1252</v>
      </c>
      <c r="C164" s="256"/>
      <c r="D164" s="257"/>
      <c r="E164" s="258"/>
    </row>
    <row r="165" spans="2:5" x14ac:dyDescent="0.25">
      <c r="B165" s="197" t="s">
        <v>1253</v>
      </c>
      <c r="C165" s="192"/>
      <c r="D165" s="193" t="s">
        <v>1254</v>
      </c>
      <c r="E165" s="199">
        <v>178</v>
      </c>
    </row>
    <row r="166" spans="2:5" x14ac:dyDescent="0.25">
      <c r="B166" s="197" t="s">
        <v>1255</v>
      </c>
      <c r="C166" s="192"/>
      <c r="D166" s="193" t="s">
        <v>1256</v>
      </c>
      <c r="E166" s="199">
        <v>170</v>
      </c>
    </row>
    <row r="167" spans="2:5" x14ac:dyDescent="0.25">
      <c r="B167" s="197" t="s">
        <v>1257</v>
      </c>
      <c r="C167" s="192"/>
      <c r="D167" s="193" t="s">
        <v>1258</v>
      </c>
      <c r="E167" s="199">
        <v>233</v>
      </c>
    </row>
    <row r="168" spans="2:5" x14ac:dyDescent="0.25">
      <c r="B168" s="197" t="s">
        <v>1259</v>
      </c>
      <c r="C168" s="192"/>
      <c r="D168" s="193" t="s">
        <v>1260</v>
      </c>
      <c r="E168" s="199">
        <v>279</v>
      </c>
    </row>
    <row r="169" spans="2:5" x14ac:dyDescent="0.25">
      <c r="B169" s="197" t="s">
        <v>1261</v>
      </c>
      <c r="C169" s="192"/>
      <c r="D169" s="193" t="s">
        <v>1262</v>
      </c>
      <c r="E169" s="199">
        <v>260</v>
      </c>
    </row>
    <row r="170" spans="2:5" x14ac:dyDescent="0.25">
      <c r="B170" s="197" t="s">
        <v>1263</v>
      </c>
      <c r="C170" s="192"/>
      <c r="D170" s="193" t="s">
        <v>1264</v>
      </c>
      <c r="E170" s="199">
        <v>300</v>
      </c>
    </row>
    <row r="171" spans="2:5" x14ac:dyDescent="0.25">
      <c r="B171" s="197" t="s">
        <v>1265</v>
      </c>
      <c r="C171" s="192"/>
      <c r="D171" s="193" t="s">
        <v>1266</v>
      </c>
      <c r="E171" s="199">
        <v>317</v>
      </c>
    </row>
    <row r="172" spans="2:5" x14ac:dyDescent="0.25">
      <c r="B172" s="197" t="s">
        <v>1267</v>
      </c>
      <c r="C172" s="192"/>
      <c r="D172" s="193" t="s">
        <v>1268</v>
      </c>
      <c r="E172" s="199">
        <v>425</v>
      </c>
    </row>
    <row r="173" spans="2:5" x14ac:dyDescent="0.25">
      <c r="B173" s="197" t="s">
        <v>1269</v>
      </c>
      <c r="C173" s="192"/>
      <c r="D173" s="193" t="s">
        <v>1270</v>
      </c>
      <c r="E173" s="199">
        <v>995</v>
      </c>
    </row>
    <row r="174" spans="2:5" x14ac:dyDescent="0.25">
      <c r="B174" s="197" t="s">
        <v>1271</v>
      </c>
      <c r="C174" s="192"/>
      <c r="D174" s="193" t="s">
        <v>1272</v>
      </c>
      <c r="E174" s="199">
        <v>500</v>
      </c>
    </row>
    <row r="175" spans="2:5" x14ac:dyDescent="0.25">
      <c r="B175" s="197" t="s">
        <v>1273</v>
      </c>
      <c r="C175" s="192"/>
      <c r="D175" s="193" t="s">
        <v>1274</v>
      </c>
      <c r="E175" s="199">
        <v>672</v>
      </c>
    </row>
    <row r="176" spans="2:5" x14ac:dyDescent="0.25">
      <c r="B176" s="197" t="s">
        <v>1275</v>
      </c>
      <c r="C176" s="192"/>
      <c r="D176" s="193" t="s">
        <v>1276</v>
      </c>
      <c r="E176" s="199">
        <v>649</v>
      </c>
    </row>
    <row r="177" spans="2:5" x14ac:dyDescent="0.25">
      <c r="B177" s="197" t="s">
        <v>1277</v>
      </c>
      <c r="C177" s="192"/>
      <c r="D177" s="193" t="s">
        <v>1278</v>
      </c>
      <c r="E177" s="199">
        <v>880</v>
      </c>
    </row>
    <row r="178" spans="2:5" x14ac:dyDescent="0.25">
      <c r="B178" s="197" t="s">
        <v>1279</v>
      </c>
      <c r="C178" s="192"/>
      <c r="D178" s="259" t="s">
        <v>1280</v>
      </c>
      <c r="E178" s="199">
        <v>737</v>
      </c>
    </row>
    <row r="179" spans="2:5" x14ac:dyDescent="0.25">
      <c r="B179" s="197" t="s">
        <v>1281</v>
      </c>
      <c r="C179" s="192"/>
      <c r="D179" s="193" t="s">
        <v>1282</v>
      </c>
      <c r="E179" s="199">
        <v>999</v>
      </c>
    </row>
    <row r="180" spans="2:5" x14ac:dyDescent="0.25">
      <c r="B180" s="255" t="s">
        <v>1283</v>
      </c>
      <c r="C180" s="256"/>
      <c r="D180" s="257"/>
      <c r="E180" s="258"/>
    </row>
    <row r="181" spans="2:5" x14ac:dyDescent="0.25">
      <c r="B181" s="197" t="s">
        <v>1284</v>
      </c>
      <c r="C181" s="192"/>
      <c r="D181" s="193" t="s">
        <v>1285</v>
      </c>
      <c r="E181" s="199">
        <v>195</v>
      </c>
    </row>
    <row r="182" spans="2:5" ht="25.5" x14ac:dyDescent="0.25">
      <c r="B182" s="197" t="s">
        <v>1286</v>
      </c>
      <c r="C182" s="192"/>
      <c r="D182" s="193" t="s">
        <v>1287</v>
      </c>
      <c r="E182" s="199">
        <v>283</v>
      </c>
    </row>
    <row r="183" spans="2:5" ht="25.5" x14ac:dyDescent="0.25">
      <c r="B183" s="197" t="s">
        <v>1288</v>
      </c>
      <c r="C183" s="192"/>
      <c r="D183" s="193" t="s">
        <v>1289</v>
      </c>
      <c r="E183" s="199">
        <v>278</v>
      </c>
    </row>
    <row r="184" spans="2:5" x14ac:dyDescent="0.25">
      <c r="B184" s="197" t="s">
        <v>1290</v>
      </c>
      <c r="C184" s="192"/>
      <c r="D184" s="193" t="s">
        <v>1291</v>
      </c>
      <c r="E184" s="199">
        <v>250</v>
      </c>
    </row>
    <row r="185" spans="2:5" ht="25.5" x14ac:dyDescent="0.25">
      <c r="B185" s="197" t="s">
        <v>1292</v>
      </c>
      <c r="C185" s="192"/>
      <c r="D185" s="193" t="s">
        <v>1293</v>
      </c>
      <c r="E185" s="199">
        <v>385</v>
      </c>
    </row>
    <row r="186" spans="2:5" ht="25.5" x14ac:dyDescent="0.25">
      <c r="B186" s="69" t="s">
        <v>1294</v>
      </c>
      <c r="C186" s="148"/>
      <c r="D186" s="145" t="s">
        <v>1295</v>
      </c>
      <c r="E186" s="146">
        <v>533</v>
      </c>
    </row>
    <row r="187" spans="2:5" x14ac:dyDescent="0.25">
      <c r="B187" s="79" t="s">
        <v>1296</v>
      </c>
      <c r="C187" s="67"/>
      <c r="D187" s="80"/>
      <c r="E187" s="151"/>
    </row>
    <row r="188" spans="2:5" x14ac:dyDescent="0.25">
      <c r="B188" s="60" t="s">
        <v>1297</v>
      </c>
      <c r="C188" s="152"/>
      <c r="D188" s="153" t="s">
        <v>1298</v>
      </c>
      <c r="E188" s="154">
        <v>5</v>
      </c>
    </row>
    <row r="189" spans="2:5" x14ac:dyDescent="0.25">
      <c r="B189" s="60" t="s">
        <v>1299</v>
      </c>
      <c r="C189" s="152"/>
      <c r="D189" s="153" t="s">
        <v>1300</v>
      </c>
      <c r="E189" s="154">
        <v>9</v>
      </c>
    </row>
    <row r="190" spans="2:5" x14ac:dyDescent="0.25">
      <c r="B190" s="60" t="s">
        <v>1301</v>
      </c>
      <c r="C190" s="152"/>
      <c r="D190" s="153" t="s">
        <v>1302</v>
      </c>
      <c r="E190" s="154">
        <v>10</v>
      </c>
    </row>
    <row r="191" spans="2:5" x14ac:dyDescent="0.25">
      <c r="B191" s="60" t="s">
        <v>1303</v>
      </c>
      <c r="C191" s="152"/>
      <c r="D191" s="153" t="s">
        <v>1304</v>
      </c>
      <c r="E191" s="154">
        <v>18</v>
      </c>
    </row>
    <row r="192" spans="2:5" x14ac:dyDescent="0.25">
      <c r="B192" s="79" t="s">
        <v>1305</v>
      </c>
      <c r="C192" s="67"/>
      <c r="D192" s="80"/>
      <c r="E192" s="151"/>
    </row>
    <row r="193" spans="2:5" x14ac:dyDescent="0.25">
      <c r="B193" s="60" t="s">
        <v>1306</v>
      </c>
      <c r="C193" s="152"/>
      <c r="D193" s="153" t="s">
        <v>1307</v>
      </c>
      <c r="E193" s="154">
        <v>17</v>
      </c>
    </row>
    <row r="194" spans="2:5" x14ac:dyDescent="0.25">
      <c r="B194" s="60" t="s">
        <v>1308</v>
      </c>
      <c r="C194" s="152"/>
      <c r="D194" s="153" t="s">
        <v>1309</v>
      </c>
      <c r="E194" s="154">
        <v>35</v>
      </c>
    </row>
    <row r="195" spans="2:5" x14ac:dyDescent="0.25">
      <c r="B195" s="60" t="s">
        <v>1310</v>
      </c>
      <c r="C195" s="152"/>
      <c r="D195" s="153" t="s">
        <v>1311</v>
      </c>
      <c r="E195" s="154">
        <v>24</v>
      </c>
    </row>
    <row r="196" spans="2:5" x14ac:dyDescent="0.25">
      <c r="B196" s="60" t="s">
        <v>1312</v>
      </c>
      <c r="C196" s="152"/>
      <c r="D196" s="153" t="s">
        <v>1313</v>
      </c>
      <c r="E196" s="154">
        <v>46</v>
      </c>
    </row>
    <row r="197" spans="2:5" x14ac:dyDescent="0.25">
      <c r="B197" s="55"/>
      <c r="C197" s="1"/>
      <c r="D197" s="1"/>
      <c r="E197" s="1"/>
    </row>
    <row r="198" spans="2:5" s="8" customFormat="1" ht="12.75" x14ac:dyDescent="0.2">
      <c r="B198" s="35" t="s">
        <v>1314</v>
      </c>
      <c r="C198" s="10"/>
      <c r="D198" s="11"/>
    </row>
    <row r="199" spans="2:5" s="8" customFormat="1" ht="12.75" x14ac:dyDescent="0.2">
      <c r="B199" s="155" t="s">
        <v>1315</v>
      </c>
      <c r="C199" s="10"/>
      <c r="D199" s="11"/>
    </row>
    <row r="200" spans="2:5" s="8" customFormat="1" ht="12.75" x14ac:dyDescent="0.2">
      <c r="B200" s="63" t="s">
        <v>1893</v>
      </c>
      <c r="C200" s="63"/>
      <c r="D200" s="65" t="s">
        <v>1316</v>
      </c>
      <c r="E200" s="66">
        <v>38</v>
      </c>
    </row>
    <row r="201" spans="2:5" s="8" customFormat="1" ht="12.75" x14ac:dyDescent="0.2">
      <c r="B201" s="63" t="s">
        <v>1904</v>
      </c>
      <c r="C201" s="63"/>
      <c r="D201" s="65" t="s">
        <v>1317</v>
      </c>
      <c r="E201" s="66">
        <v>48</v>
      </c>
    </row>
    <row r="202" spans="2:5" s="8" customFormat="1" ht="12.75" x14ac:dyDescent="0.2">
      <c r="B202" s="63" t="s">
        <v>1905</v>
      </c>
      <c r="C202" s="63"/>
      <c r="D202" s="65" t="s">
        <v>1318</v>
      </c>
      <c r="E202" s="66">
        <v>56</v>
      </c>
    </row>
    <row r="203" spans="2:5" s="8" customFormat="1" ht="12.75" x14ac:dyDescent="0.2">
      <c r="B203" s="155" t="s">
        <v>1319</v>
      </c>
      <c r="C203" s="10"/>
      <c r="D203" s="11"/>
      <c r="E203" s="12"/>
    </row>
    <row r="204" spans="2:5" s="8" customFormat="1" ht="12.75" x14ac:dyDescent="0.2">
      <c r="B204" s="63" t="s">
        <v>1893</v>
      </c>
      <c r="C204" s="63"/>
      <c r="D204" s="65" t="s">
        <v>1320</v>
      </c>
      <c r="E204" s="66">
        <v>56</v>
      </c>
    </row>
    <row r="205" spans="2:5" s="8" customFormat="1" ht="12.75" x14ac:dyDescent="0.2">
      <c r="B205" s="63" t="s">
        <v>1904</v>
      </c>
      <c r="C205" s="63"/>
      <c r="D205" s="65" t="s">
        <v>1321</v>
      </c>
      <c r="E205" s="66">
        <v>71</v>
      </c>
    </row>
    <row r="206" spans="2:5" s="8" customFormat="1" ht="12.75" x14ac:dyDescent="0.2">
      <c r="B206" s="63" t="s">
        <v>1905</v>
      </c>
      <c r="C206" s="63"/>
      <c r="D206" s="65" t="s">
        <v>1322</v>
      </c>
      <c r="E206" s="66">
        <v>84</v>
      </c>
    </row>
    <row r="207" spans="2:5" s="8" customFormat="1" ht="12.75" x14ac:dyDescent="0.2">
      <c r="B207" s="155" t="s">
        <v>1323</v>
      </c>
      <c r="C207" s="10"/>
      <c r="D207" s="11"/>
      <c r="E207" s="12"/>
    </row>
    <row r="208" spans="2:5" s="8" customFormat="1" ht="12.75" x14ac:dyDescent="0.2">
      <c r="B208" s="63" t="s">
        <v>1893</v>
      </c>
      <c r="C208" s="63"/>
      <c r="D208" s="65" t="s">
        <v>1324</v>
      </c>
      <c r="E208" s="66">
        <v>150</v>
      </c>
    </row>
    <row r="209" spans="2:5" s="8" customFormat="1" ht="12.75" x14ac:dyDescent="0.2">
      <c r="B209" s="63" t="s">
        <v>1904</v>
      </c>
      <c r="C209" s="63"/>
      <c r="D209" s="65" t="s">
        <v>1325</v>
      </c>
      <c r="E209" s="66">
        <v>190</v>
      </c>
    </row>
    <row r="210" spans="2:5" s="8" customFormat="1" ht="12.75" x14ac:dyDescent="0.2">
      <c r="B210" s="63" t="s">
        <v>1905</v>
      </c>
      <c r="C210" s="63"/>
      <c r="D210" s="65" t="s">
        <v>1326</v>
      </c>
      <c r="E210" s="66">
        <v>225</v>
      </c>
    </row>
    <row r="211" spans="2:5" s="8" customFormat="1" ht="12.75" x14ac:dyDescent="0.2">
      <c r="B211" s="155" t="s">
        <v>1327</v>
      </c>
      <c r="C211" s="10"/>
      <c r="D211" s="11"/>
      <c r="E211" s="12"/>
    </row>
    <row r="212" spans="2:5" s="8" customFormat="1" ht="12.75" x14ac:dyDescent="0.2">
      <c r="B212" s="63" t="s">
        <v>1893</v>
      </c>
      <c r="C212" s="63"/>
      <c r="D212" s="65" t="s">
        <v>1328</v>
      </c>
      <c r="E212" s="66">
        <v>181</v>
      </c>
    </row>
    <row r="213" spans="2:5" s="8" customFormat="1" ht="12.75" x14ac:dyDescent="0.2">
      <c r="B213" s="63" t="s">
        <v>1904</v>
      </c>
      <c r="C213" s="63"/>
      <c r="D213" s="65" t="s">
        <v>1329</v>
      </c>
      <c r="E213" s="66">
        <v>230</v>
      </c>
    </row>
    <row r="214" spans="2:5" s="8" customFormat="1" ht="12.75" x14ac:dyDescent="0.2">
      <c r="B214" s="63" t="s">
        <v>1905</v>
      </c>
      <c r="C214" s="63"/>
      <c r="D214" s="65" t="s">
        <v>1330</v>
      </c>
      <c r="E214" s="66">
        <v>272</v>
      </c>
    </row>
    <row r="216" spans="2:5" x14ac:dyDescent="0.25">
      <c r="B216" s="39" t="s">
        <v>1331</v>
      </c>
      <c r="C216" s="67"/>
      <c r="D216" s="80"/>
      <c r="E216" s="80"/>
    </row>
    <row r="217" spans="2:5" x14ac:dyDescent="0.25">
      <c r="B217" s="69" t="s">
        <v>1332</v>
      </c>
      <c r="C217" s="148" t="s">
        <v>1333</v>
      </c>
      <c r="D217" s="145" t="s">
        <v>1334</v>
      </c>
      <c r="E217" s="146">
        <v>104</v>
      </c>
    </row>
    <row r="218" spans="2:5" x14ac:dyDescent="0.25">
      <c r="B218" s="69" t="s">
        <v>1335</v>
      </c>
      <c r="C218" s="148" t="s">
        <v>1336</v>
      </c>
      <c r="D218" s="145" t="s">
        <v>1337</v>
      </c>
      <c r="E218" s="146">
        <v>172</v>
      </c>
    </row>
    <row r="219" spans="2:5" x14ac:dyDescent="0.25">
      <c r="B219" s="69" t="s">
        <v>1338</v>
      </c>
      <c r="C219" s="148" t="s">
        <v>1339</v>
      </c>
      <c r="D219" s="145" t="s">
        <v>1340</v>
      </c>
      <c r="E219" s="146">
        <v>135</v>
      </c>
    </row>
    <row r="220" spans="2:5" x14ac:dyDescent="0.25">
      <c r="B220" s="69" t="s">
        <v>1341</v>
      </c>
      <c r="C220" s="147" t="s">
        <v>1342</v>
      </c>
      <c r="D220" s="145" t="s">
        <v>1343</v>
      </c>
      <c r="E220" s="146">
        <v>300</v>
      </c>
    </row>
    <row r="221" spans="2:5" x14ac:dyDescent="0.25">
      <c r="B221" s="55"/>
      <c r="C221" s="1"/>
      <c r="D221" s="1"/>
      <c r="E221" s="1"/>
    </row>
    <row r="222" spans="2:5" x14ac:dyDescent="0.25">
      <c r="B222" s="39" t="s">
        <v>1344</v>
      </c>
      <c r="C222" s="1"/>
      <c r="D222" s="1"/>
      <c r="E222" s="1"/>
    </row>
    <row r="223" spans="2:5" x14ac:dyDescent="0.25">
      <c r="B223" s="143" t="s">
        <v>275</v>
      </c>
      <c r="C223" s="1"/>
      <c r="D223" s="1"/>
      <c r="E223" s="1"/>
    </row>
    <row r="224" spans="2:5" x14ac:dyDescent="0.25">
      <c r="B224" s="197" t="s">
        <v>1345</v>
      </c>
      <c r="C224" s="192" t="s">
        <v>277</v>
      </c>
      <c r="D224" s="145" t="s">
        <v>278</v>
      </c>
      <c r="E224" s="146">
        <v>14</v>
      </c>
    </row>
    <row r="225" spans="2:5" x14ac:dyDescent="0.25">
      <c r="B225" s="197" t="s">
        <v>1346</v>
      </c>
      <c r="C225" s="192" t="s">
        <v>280</v>
      </c>
      <c r="D225" s="145" t="s">
        <v>281</v>
      </c>
      <c r="E225" s="146">
        <v>7</v>
      </c>
    </row>
    <row r="226" spans="2:5" x14ac:dyDescent="0.25">
      <c r="B226" s="255" t="s">
        <v>197</v>
      </c>
      <c r="C226" s="329"/>
      <c r="D226" s="1"/>
      <c r="E226" s="1"/>
    </row>
    <row r="227" spans="2:5" x14ac:dyDescent="0.25">
      <c r="B227" s="197" t="s">
        <v>1347</v>
      </c>
      <c r="C227" s="220" t="s">
        <v>1997</v>
      </c>
      <c r="D227" s="145" t="s">
        <v>200</v>
      </c>
      <c r="E227" s="146">
        <v>11</v>
      </c>
    </row>
    <row r="228" spans="2:5" x14ac:dyDescent="0.25">
      <c r="B228" s="69" t="s">
        <v>1348</v>
      </c>
      <c r="C228" s="148" t="s">
        <v>202</v>
      </c>
      <c r="D228" s="145" t="s">
        <v>203</v>
      </c>
      <c r="E228" s="146">
        <v>16</v>
      </c>
    </row>
    <row r="229" spans="2:5" x14ac:dyDescent="0.25">
      <c r="B229" s="69" t="s">
        <v>204</v>
      </c>
      <c r="C229" s="148" t="s">
        <v>205</v>
      </c>
      <c r="D229" s="145" t="s">
        <v>206</v>
      </c>
      <c r="E229" s="146">
        <v>59</v>
      </c>
    </row>
    <row r="230" spans="2:5" x14ac:dyDescent="0.25">
      <c r="B230" s="55"/>
      <c r="C230" s="1"/>
      <c r="D230" s="1"/>
      <c r="E230" s="1"/>
    </row>
    <row r="231" spans="2:5" x14ac:dyDescent="0.25">
      <c r="B231" s="39" t="s">
        <v>1349</v>
      </c>
      <c r="C231" s="1"/>
      <c r="D231" s="1"/>
      <c r="E231" s="1"/>
    </row>
    <row r="232" spans="2:5" ht="25.5" x14ac:dyDescent="0.25">
      <c r="B232" s="197" t="s">
        <v>1351</v>
      </c>
      <c r="C232" s="192" t="s">
        <v>1352</v>
      </c>
      <c r="D232" s="193" t="s">
        <v>1350</v>
      </c>
      <c r="E232" s="199">
        <v>1290</v>
      </c>
    </row>
    <row r="233" spans="2:5" ht="25.5" x14ac:dyDescent="0.25">
      <c r="B233" s="197" t="s">
        <v>1353</v>
      </c>
      <c r="C233" s="192" t="s">
        <v>1354</v>
      </c>
      <c r="D233" s="193" t="s">
        <v>1355</v>
      </c>
      <c r="E233" s="199">
        <v>1506</v>
      </c>
    </row>
    <row r="234" spans="2:5" x14ac:dyDescent="0.25">
      <c r="B234" s="197" t="s">
        <v>1356</v>
      </c>
      <c r="C234" s="192" t="s">
        <v>1357</v>
      </c>
      <c r="D234" s="193" t="s">
        <v>1358</v>
      </c>
      <c r="E234" s="199">
        <v>429</v>
      </c>
    </row>
    <row r="235" spans="2:5" x14ac:dyDescent="0.25">
      <c r="B235" s="189"/>
      <c r="C235" s="260"/>
      <c r="D235" s="261"/>
      <c r="E235" s="261"/>
    </row>
    <row r="236" spans="2:5" x14ac:dyDescent="0.25">
      <c r="B236" s="216" t="s">
        <v>1359</v>
      </c>
      <c r="C236" s="260"/>
      <c r="D236" s="261"/>
      <c r="E236" s="261"/>
    </row>
    <row r="237" spans="2:5" ht="51" x14ac:dyDescent="0.25">
      <c r="B237" s="197" t="s">
        <v>1360</v>
      </c>
      <c r="C237" s="192"/>
      <c r="D237" s="193" t="s">
        <v>1361</v>
      </c>
      <c r="E237" s="199">
        <v>507</v>
      </c>
    </row>
    <row r="238" spans="2:5" ht="51" x14ac:dyDescent="0.25">
      <c r="B238" s="262" t="s">
        <v>1894</v>
      </c>
      <c r="C238" s="192"/>
      <c r="D238" s="193" t="s">
        <v>1362</v>
      </c>
      <c r="E238" s="199">
        <v>507</v>
      </c>
    </row>
    <row r="239" spans="2:5" ht="38.25" x14ac:dyDescent="0.25">
      <c r="B239" s="197" t="s">
        <v>1363</v>
      </c>
      <c r="C239" s="192"/>
      <c r="D239" s="193" t="s">
        <v>1364</v>
      </c>
      <c r="E239" s="199">
        <v>364</v>
      </c>
    </row>
    <row r="240" spans="2:5" ht="38.25" x14ac:dyDescent="0.25">
      <c r="B240" s="197" t="s">
        <v>1366</v>
      </c>
      <c r="C240" s="192"/>
      <c r="D240" s="193" t="s">
        <v>1365</v>
      </c>
      <c r="E240" s="199">
        <v>273</v>
      </c>
    </row>
    <row r="241" spans="2:5" ht="51" x14ac:dyDescent="0.25">
      <c r="B241" s="197" t="s">
        <v>1367</v>
      </c>
      <c r="C241" s="192"/>
      <c r="D241" s="193" t="s">
        <v>1368</v>
      </c>
      <c r="E241" s="199">
        <v>404</v>
      </c>
    </row>
    <row r="242" spans="2:5" ht="51" x14ac:dyDescent="0.25">
      <c r="B242" s="262" t="s">
        <v>1895</v>
      </c>
      <c r="C242" s="192"/>
      <c r="D242" s="193" t="s">
        <v>1369</v>
      </c>
      <c r="E242" s="199">
        <v>431</v>
      </c>
    </row>
    <row r="243" spans="2:5" x14ac:dyDescent="0.25">
      <c r="B243" s="197" t="s">
        <v>1370</v>
      </c>
      <c r="C243" s="192"/>
      <c r="D243" s="193" t="s">
        <v>1371</v>
      </c>
      <c r="E243" s="199">
        <v>22</v>
      </c>
    </row>
    <row r="244" spans="2:5" x14ac:dyDescent="0.25">
      <c r="B244" s="69" t="s">
        <v>1372</v>
      </c>
      <c r="C244" s="148" t="s">
        <v>1373</v>
      </c>
      <c r="D244" s="145" t="s">
        <v>1374</v>
      </c>
      <c r="E244" s="146">
        <v>22</v>
      </c>
    </row>
    <row r="245" spans="2:5" x14ac:dyDescent="0.25">
      <c r="B245" s="69" t="s">
        <v>1375</v>
      </c>
      <c r="C245" s="148" t="s">
        <v>1376</v>
      </c>
      <c r="D245" s="145" t="s">
        <v>1377</v>
      </c>
      <c r="E245" s="146">
        <v>14</v>
      </c>
    </row>
    <row r="247" spans="2:5" ht="15.75" x14ac:dyDescent="0.25">
      <c r="B247" s="158" t="s">
        <v>1378</v>
      </c>
      <c r="C247" s="159"/>
      <c r="D247" s="160"/>
      <c r="E247" s="161"/>
    </row>
    <row r="248" spans="2:5" x14ac:dyDescent="0.25">
      <c r="B248" s="39" t="s">
        <v>1379</v>
      </c>
    </row>
    <row r="249" spans="2:5" x14ac:dyDescent="0.25">
      <c r="B249" s="143" t="s">
        <v>1380</v>
      </c>
    </row>
    <row r="250" spans="2:5" x14ac:dyDescent="0.25">
      <c r="B250" s="69" t="s">
        <v>1381</v>
      </c>
      <c r="C250" s="148" t="s">
        <v>1382</v>
      </c>
      <c r="D250" s="145" t="s">
        <v>1383</v>
      </c>
      <c r="E250" s="146">
        <v>37</v>
      </c>
    </row>
    <row r="251" spans="2:5" x14ac:dyDescent="0.25">
      <c r="B251" s="69" t="s">
        <v>1384</v>
      </c>
      <c r="C251" s="148" t="s">
        <v>1385</v>
      </c>
      <c r="D251" s="145" t="s">
        <v>1386</v>
      </c>
      <c r="E251" s="146">
        <v>35</v>
      </c>
    </row>
    <row r="252" spans="2:5" x14ac:dyDescent="0.25">
      <c r="B252" s="69" t="s">
        <v>1387</v>
      </c>
      <c r="C252" s="148" t="s">
        <v>1388</v>
      </c>
      <c r="D252" s="145" t="s">
        <v>1389</v>
      </c>
      <c r="E252" s="146">
        <v>35</v>
      </c>
    </row>
    <row r="253" spans="2:5" x14ac:dyDescent="0.25">
      <c r="B253" s="143" t="s">
        <v>396</v>
      </c>
    </row>
    <row r="254" spans="2:5" x14ac:dyDescent="0.25">
      <c r="B254" s="69" t="s">
        <v>334</v>
      </c>
      <c r="C254" s="148" t="s">
        <v>335</v>
      </c>
      <c r="D254" s="145" t="s">
        <v>336</v>
      </c>
      <c r="E254" s="146">
        <v>108</v>
      </c>
    </row>
    <row r="255" spans="2:5" x14ac:dyDescent="0.25">
      <c r="B255" s="69" t="s">
        <v>337</v>
      </c>
      <c r="C255" s="148" t="s">
        <v>338</v>
      </c>
      <c r="D255" s="145" t="s">
        <v>339</v>
      </c>
      <c r="E255" s="146">
        <v>129</v>
      </c>
    </row>
    <row r="256" spans="2:5" x14ac:dyDescent="0.25">
      <c r="B256" s="69" t="s">
        <v>1390</v>
      </c>
      <c r="C256" s="148" t="s">
        <v>397</v>
      </c>
      <c r="D256" s="145" t="s">
        <v>398</v>
      </c>
      <c r="E256" s="146">
        <v>140</v>
      </c>
    </row>
    <row r="257" spans="2:5" s="56" customFormat="1" x14ac:dyDescent="0.25">
      <c r="B257" s="135"/>
    </row>
    <row r="258" spans="2:5" x14ac:dyDescent="0.25">
      <c r="B258" s="39" t="s">
        <v>1391</v>
      </c>
    </row>
    <row r="259" spans="2:5" x14ac:dyDescent="0.25">
      <c r="B259" s="143" t="s">
        <v>1392</v>
      </c>
    </row>
    <row r="260" spans="2:5" x14ac:dyDescent="0.25">
      <c r="B260" s="69" t="s">
        <v>1393</v>
      </c>
      <c r="C260" s="148" t="s">
        <v>1394</v>
      </c>
      <c r="D260" s="145" t="s">
        <v>1395</v>
      </c>
      <c r="E260" s="146">
        <v>65</v>
      </c>
    </row>
    <row r="261" spans="2:5" x14ac:dyDescent="0.25">
      <c r="B261" s="197" t="s">
        <v>1923</v>
      </c>
      <c r="C261" s="192" t="s">
        <v>1921</v>
      </c>
      <c r="D261" s="193" t="s">
        <v>1396</v>
      </c>
      <c r="E261" s="199">
        <v>60</v>
      </c>
    </row>
    <row r="262" spans="2:5" x14ac:dyDescent="0.25">
      <c r="B262" s="197" t="s">
        <v>1397</v>
      </c>
      <c r="C262" s="192" t="s">
        <v>1398</v>
      </c>
      <c r="D262" s="193" t="s">
        <v>1399</v>
      </c>
      <c r="E262" s="199">
        <v>38</v>
      </c>
    </row>
    <row r="263" spans="2:5" x14ac:dyDescent="0.25">
      <c r="B263" s="255" t="s">
        <v>1400</v>
      </c>
      <c r="C263" s="263"/>
      <c r="D263" s="263"/>
      <c r="E263" s="258"/>
    </row>
    <row r="264" spans="2:5" x14ac:dyDescent="0.25">
      <c r="B264" s="197" t="s">
        <v>1401</v>
      </c>
      <c r="C264" s="192" t="s">
        <v>1402</v>
      </c>
      <c r="D264" s="193" t="s">
        <v>1403</v>
      </c>
      <c r="E264" s="199">
        <v>6</v>
      </c>
    </row>
    <row r="265" spans="2:5" x14ac:dyDescent="0.25">
      <c r="B265" s="197" t="s">
        <v>1404</v>
      </c>
      <c r="C265" s="192" t="s">
        <v>1920</v>
      </c>
      <c r="D265" s="193" t="s">
        <v>1405</v>
      </c>
      <c r="E265" s="199">
        <v>25</v>
      </c>
    </row>
    <row r="266" spans="2:5" x14ac:dyDescent="0.25">
      <c r="B266" s="197" t="s">
        <v>1406</v>
      </c>
      <c r="C266" s="192" t="s">
        <v>1407</v>
      </c>
      <c r="D266" s="193" t="s">
        <v>1408</v>
      </c>
      <c r="E266" s="199">
        <v>18</v>
      </c>
    </row>
    <row r="267" spans="2:5" x14ac:dyDescent="0.25">
      <c r="B267" s="197" t="s">
        <v>1409</v>
      </c>
      <c r="C267" s="192" t="s">
        <v>1410</v>
      </c>
      <c r="D267" s="193" t="s">
        <v>1411</v>
      </c>
      <c r="E267" s="199">
        <v>9</v>
      </c>
    </row>
    <row r="268" spans="2:5" x14ac:dyDescent="0.25">
      <c r="B268" s="197" t="s">
        <v>1412</v>
      </c>
      <c r="C268" s="192" t="s">
        <v>1413</v>
      </c>
      <c r="D268" s="193" t="s">
        <v>1414</v>
      </c>
      <c r="E268" s="199">
        <v>17</v>
      </c>
    </row>
    <row r="269" spans="2:5" x14ac:dyDescent="0.25">
      <c r="B269" s="197" t="s">
        <v>1415</v>
      </c>
      <c r="C269" s="192" t="s">
        <v>1416</v>
      </c>
      <c r="D269" s="193" t="s">
        <v>1417</v>
      </c>
      <c r="E269" s="199">
        <v>24</v>
      </c>
    </row>
    <row r="270" spans="2:5" x14ac:dyDescent="0.25">
      <c r="B270" s="197" t="s">
        <v>1418</v>
      </c>
      <c r="C270" s="213" t="s">
        <v>1419</v>
      </c>
      <c r="D270" s="193" t="s">
        <v>1420</v>
      </c>
      <c r="E270" s="199">
        <v>24</v>
      </c>
    </row>
    <row r="271" spans="2:5" x14ac:dyDescent="0.25">
      <c r="B271" s="197" t="s">
        <v>1421</v>
      </c>
      <c r="C271" s="192" t="s">
        <v>1422</v>
      </c>
      <c r="D271" s="193" t="s">
        <v>1423</v>
      </c>
      <c r="E271" s="199">
        <v>9</v>
      </c>
    </row>
    <row r="272" spans="2:5" x14ac:dyDescent="0.25">
      <c r="B272" s="197" t="s">
        <v>1424</v>
      </c>
      <c r="C272" s="198" t="s">
        <v>1425</v>
      </c>
      <c r="D272" s="193" t="s">
        <v>1426</v>
      </c>
      <c r="E272" s="199">
        <v>11</v>
      </c>
    </row>
    <row r="273" spans="2:5" x14ac:dyDescent="0.25">
      <c r="B273" s="197" t="s">
        <v>1427</v>
      </c>
      <c r="C273" s="198" t="s">
        <v>1428</v>
      </c>
      <c r="D273" s="193" t="s">
        <v>1429</v>
      </c>
      <c r="E273" s="199">
        <v>12</v>
      </c>
    </row>
    <row r="274" spans="2:5" x14ac:dyDescent="0.25">
      <c r="B274" s="197" t="s">
        <v>1430</v>
      </c>
      <c r="C274" s="198" t="s">
        <v>1431</v>
      </c>
      <c r="D274" s="193" t="s">
        <v>1432</v>
      </c>
      <c r="E274" s="199">
        <v>17</v>
      </c>
    </row>
    <row r="275" spans="2:5" x14ac:dyDescent="0.25">
      <c r="B275" s="197" t="s">
        <v>1433</v>
      </c>
      <c r="C275" s="198" t="s">
        <v>1434</v>
      </c>
      <c r="D275" s="193" t="s">
        <v>1435</v>
      </c>
      <c r="E275" s="199">
        <v>13</v>
      </c>
    </row>
    <row r="276" spans="2:5" x14ac:dyDescent="0.25">
      <c r="B276" s="255" t="s">
        <v>1436</v>
      </c>
      <c r="C276" s="263"/>
      <c r="D276" s="263"/>
      <c r="E276" s="263"/>
    </row>
    <row r="277" spans="2:5" x14ac:dyDescent="0.25">
      <c r="B277" s="197" t="s">
        <v>1437</v>
      </c>
      <c r="C277" s="198" t="s">
        <v>1438</v>
      </c>
      <c r="D277" s="193" t="s">
        <v>1439</v>
      </c>
      <c r="E277" s="199">
        <v>2</v>
      </c>
    </row>
    <row r="278" spans="2:5" x14ac:dyDescent="0.25">
      <c r="B278" s="197" t="s">
        <v>1440</v>
      </c>
      <c r="C278" s="198" t="s">
        <v>1441</v>
      </c>
      <c r="D278" s="193" t="s">
        <v>1442</v>
      </c>
      <c r="E278" s="199">
        <v>8</v>
      </c>
    </row>
    <row r="279" spans="2:5" x14ac:dyDescent="0.25">
      <c r="B279" s="197" t="s">
        <v>1443</v>
      </c>
      <c r="C279" s="192" t="s">
        <v>1444</v>
      </c>
      <c r="D279" s="193" t="s">
        <v>1445</v>
      </c>
      <c r="E279" s="199">
        <v>14</v>
      </c>
    </row>
    <row r="280" spans="2:5" x14ac:dyDescent="0.25">
      <c r="B280" s="197" t="s">
        <v>1446</v>
      </c>
      <c r="C280" s="264" t="s">
        <v>1447</v>
      </c>
      <c r="D280" s="193" t="s">
        <v>1448</v>
      </c>
      <c r="E280" s="199">
        <v>34</v>
      </c>
    </row>
    <row r="281" spans="2:5" x14ac:dyDescent="0.25">
      <c r="B281" s="265"/>
      <c r="C281" s="263"/>
      <c r="D281" s="263"/>
      <c r="E281" s="263"/>
    </row>
    <row r="282" spans="2:5" x14ac:dyDescent="0.25">
      <c r="B282" s="216" t="s">
        <v>1449</v>
      </c>
      <c r="C282" s="256"/>
      <c r="D282" s="256"/>
      <c r="E282" s="256"/>
    </row>
    <row r="283" spans="2:5" x14ac:dyDescent="0.25">
      <c r="B283" s="197" t="s">
        <v>1450</v>
      </c>
      <c r="C283" s="192" t="s">
        <v>1451</v>
      </c>
      <c r="D283" s="193" t="s">
        <v>1452</v>
      </c>
      <c r="E283" s="199">
        <v>28</v>
      </c>
    </row>
    <row r="284" spans="2:5" x14ac:dyDescent="0.25">
      <c r="B284" s="197" t="s">
        <v>1453</v>
      </c>
      <c r="C284" s="192" t="s">
        <v>1454</v>
      </c>
      <c r="D284" s="193" t="s">
        <v>1455</v>
      </c>
      <c r="E284" s="199">
        <v>39</v>
      </c>
    </row>
    <row r="285" spans="2:5" x14ac:dyDescent="0.25">
      <c r="B285" s="197" t="s">
        <v>1456</v>
      </c>
      <c r="C285" s="254" t="s">
        <v>1457</v>
      </c>
      <c r="D285" s="193" t="s">
        <v>1458</v>
      </c>
      <c r="E285" s="199">
        <v>618</v>
      </c>
    </row>
    <row r="286" spans="2:5" x14ac:dyDescent="0.25">
      <c r="B286" s="197" t="s">
        <v>1459</v>
      </c>
      <c r="C286" s="192" t="s">
        <v>1460</v>
      </c>
      <c r="D286" s="193" t="s">
        <v>1461</v>
      </c>
      <c r="E286" s="199">
        <v>963</v>
      </c>
    </row>
    <row r="287" spans="2:5" x14ac:dyDescent="0.25">
      <c r="B287" s="265"/>
      <c r="C287" s="263"/>
      <c r="D287" s="263"/>
      <c r="E287" s="263"/>
    </row>
    <row r="288" spans="2:5" x14ac:dyDescent="0.25">
      <c r="B288" s="216" t="s">
        <v>1462</v>
      </c>
      <c r="C288" s="263"/>
      <c r="D288" s="263"/>
      <c r="E288" s="263"/>
    </row>
    <row r="289" spans="2:5" x14ac:dyDescent="0.25">
      <c r="B289" s="266" t="s">
        <v>1463</v>
      </c>
      <c r="C289" s="263"/>
      <c r="D289" s="263"/>
      <c r="E289" s="263"/>
    </row>
    <row r="290" spans="2:5" x14ac:dyDescent="0.25">
      <c r="B290" s="197" t="s">
        <v>1465</v>
      </c>
      <c r="C290" s="192" t="s">
        <v>1466</v>
      </c>
      <c r="D290" s="193" t="s">
        <v>1464</v>
      </c>
      <c r="E290" s="199">
        <v>25</v>
      </c>
    </row>
    <row r="291" spans="2:5" x14ac:dyDescent="0.25">
      <c r="B291" s="197" t="s">
        <v>1467</v>
      </c>
      <c r="C291" s="267" t="s">
        <v>1468</v>
      </c>
      <c r="D291" s="193" t="s">
        <v>1469</v>
      </c>
      <c r="E291" s="199">
        <v>26</v>
      </c>
    </row>
    <row r="292" spans="2:5" x14ac:dyDescent="0.25">
      <c r="B292" s="255" t="s">
        <v>1470</v>
      </c>
      <c r="C292" s="263"/>
      <c r="D292" s="263"/>
      <c r="E292" s="263"/>
    </row>
    <row r="293" spans="2:5" x14ac:dyDescent="0.25">
      <c r="B293" s="197" t="s">
        <v>1472</v>
      </c>
      <c r="C293" s="192" t="s">
        <v>1473</v>
      </c>
      <c r="D293" s="193" t="s">
        <v>1471</v>
      </c>
      <c r="E293" s="199">
        <v>29</v>
      </c>
    </row>
    <row r="294" spans="2:5" x14ac:dyDescent="0.25">
      <c r="B294" s="197" t="s">
        <v>1474</v>
      </c>
      <c r="C294" s="192" t="s">
        <v>1475</v>
      </c>
      <c r="D294" s="193" t="s">
        <v>1476</v>
      </c>
      <c r="E294" s="199">
        <v>65</v>
      </c>
    </row>
    <row r="295" spans="2:5" x14ac:dyDescent="0.25">
      <c r="B295" s="197" t="s">
        <v>1477</v>
      </c>
      <c r="C295" s="267" t="s">
        <v>1478</v>
      </c>
      <c r="D295" s="193" t="s">
        <v>1479</v>
      </c>
      <c r="E295" s="199">
        <v>30</v>
      </c>
    </row>
    <row r="296" spans="2:5" x14ac:dyDescent="0.25">
      <c r="B296" s="197" t="s">
        <v>1480</v>
      </c>
      <c r="C296" s="267" t="s">
        <v>1481</v>
      </c>
      <c r="D296" s="193" t="s">
        <v>1482</v>
      </c>
      <c r="E296" s="199">
        <v>35</v>
      </c>
    </row>
    <row r="297" spans="2:5" x14ac:dyDescent="0.25">
      <c r="B297" s="197" t="s">
        <v>1483</v>
      </c>
      <c r="C297" s="267" t="s">
        <v>1484</v>
      </c>
      <c r="D297" s="193" t="s">
        <v>1485</v>
      </c>
      <c r="E297" s="199">
        <v>26</v>
      </c>
    </row>
    <row r="298" spans="2:5" x14ac:dyDescent="0.25">
      <c r="B298" s="255" t="s">
        <v>1486</v>
      </c>
      <c r="C298" s="263"/>
      <c r="D298" s="263"/>
      <c r="E298" s="263"/>
    </row>
    <row r="299" spans="2:5" x14ac:dyDescent="0.25">
      <c r="B299" s="197" t="s">
        <v>1488</v>
      </c>
      <c r="C299" s="192" t="s">
        <v>1489</v>
      </c>
      <c r="D299" s="193" t="s">
        <v>1487</v>
      </c>
      <c r="E299" s="199">
        <v>37</v>
      </c>
    </row>
    <row r="300" spans="2:5" x14ac:dyDescent="0.25">
      <c r="B300" s="197" t="s">
        <v>1490</v>
      </c>
      <c r="C300" s="192" t="s">
        <v>1491</v>
      </c>
      <c r="D300" s="193" t="s">
        <v>1492</v>
      </c>
      <c r="E300" s="199">
        <v>54</v>
      </c>
    </row>
    <row r="301" spans="2:5" x14ac:dyDescent="0.25">
      <c r="B301" s="69" t="s">
        <v>1493</v>
      </c>
      <c r="C301" s="148" t="s">
        <v>1494</v>
      </c>
      <c r="D301" s="145" t="s">
        <v>1495</v>
      </c>
      <c r="E301" s="146">
        <v>74</v>
      </c>
    </row>
    <row r="302" spans="2:5" x14ac:dyDescent="0.25">
      <c r="B302" s="69" t="s">
        <v>1496</v>
      </c>
      <c r="C302" s="162" t="s">
        <v>1497</v>
      </c>
      <c r="D302" s="145" t="s">
        <v>1498</v>
      </c>
      <c r="E302" s="146">
        <v>23</v>
      </c>
    </row>
    <row r="303" spans="2:5" x14ac:dyDescent="0.25">
      <c r="B303" s="69" t="s">
        <v>1499</v>
      </c>
      <c r="C303" s="162" t="s">
        <v>1500</v>
      </c>
      <c r="D303" s="145" t="s">
        <v>1501</v>
      </c>
      <c r="E303" s="146">
        <v>53</v>
      </c>
    </row>
    <row r="304" spans="2:5" x14ac:dyDescent="0.25">
      <c r="B304" s="69" t="s">
        <v>1502</v>
      </c>
      <c r="C304" s="162" t="s">
        <v>1503</v>
      </c>
      <c r="D304" s="145" t="s">
        <v>1504</v>
      </c>
      <c r="E304" s="146">
        <v>63</v>
      </c>
    </row>
    <row r="305" spans="2:5" x14ac:dyDescent="0.25">
      <c r="B305" s="69" t="s">
        <v>1505</v>
      </c>
      <c r="C305" s="162" t="s">
        <v>1506</v>
      </c>
      <c r="D305" s="145" t="s">
        <v>1507</v>
      </c>
      <c r="E305" s="146">
        <v>63</v>
      </c>
    </row>
    <row r="306" spans="2:5" x14ac:dyDescent="0.25">
      <c r="B306" s="69" t="s">
        <v>1508</v>
      </c>
      <c r="C306" s="162" t="s">
        <v>1509</v>
      </c>
      <c r="D306" s="145" t="s">
        <v>1510</v>
      </c>
      <c r="E306" s="146">
        <v>75</v>
      </c>
    </row>
    <row r="307" spans="2:5" x14ac:dyDescent="0.25">
      <c r="B307" s="69" t="s">
        <v>1511</v>
      </c>
      <c r="C307" s="162" t="s">
        <v>1512</v>
      </c>
      <c r="D307" s="145" t="s">
        <v>1513</v>
      </c>
      <c r="E307" s="146">
        <v>63</v>
      </c>
    </row>
    <row r="308" spans="2:5" x14ac:dyDescent="0.25">
      <c r="B308" s="143" t="s">
        <v>1514</v>
      </c>
    </row>
    <row r="309" spans="2:5" x14ac:dyDescent="0.25">
      <c r="B309" s="69" t="s">
        <v>1515</v>
      </c>
      <c r="C309" s="162" t="s">
        <v>1516</v>
      </c>
      <c r="D309" s="145" t="s">
        <v>1517</v>
      </c>
      <c r="E309" s="146">
        <v>53</v>
      </c>
    </row>
    <row r="310" spans="2:5" x14ac:dyDescent="0.25">
      <c r="B310" s="69" t="s">
        <v>1518</v>
      </c>
      <c r="C310" s="162" t="s">
        <v>1519</v>
      </c>
      <c r="D310" s="145" t="s">
        <v>1520</v>
      </c>
      <c r="E310" s="146">
        <v>85</v>
      </c>
    </row>
    <row r="311" spans="2:5" x14ac:dyDescent="0.25">
      <c r="B311" s="9"/>
      <c r="C311" s="156"/>
    </row>
    <row r="312" spans="2:5" x14ac:dyDescent="0.25">
      <c r="B312" s="39" t="s">
        <v>1521</v>
      </c>
      <c r="C312" s="67"/>
    </row>
    <row r="313" spans="2:5" x14ac:dyDescent="0.25">
      <c r="B313" s="69" t="s">
        <v>1522</v>
      </c>
      <c r="C313" s="162" t="s">
        <v>1523</v>
      </c>
      <c r="D313" s="145" t="s">
        <v>1524</v>
      </c>
      <c r="E313" s="146">
        <v>18</v>
      </c>
    </row>
    <row r="314" spans="2:5" x14ac:dyDescent="0.25">
      <c r="B314" s="69" t="s">
        <v>1525</v>
      </c>
      <c r="C314" s="162" t="s">
        <v>1526</v>
      </c>
      <c r="D314" s="145" t="s">
        <v>1527</v>
      </c>
      <c r="E314" s="146">
        <v>32</v>
      </c>
    </row>
    <row r="315" spans="2:5" x14ac:dyDescent="0.25">
      <c r="B315" s="9"/>
      <c r="C315" s="156"/>
    </row>
    <row r="316" spans="2:5" x14ac:dyDescent="0.25">
      <c r="B316" s="39" t="s">
        <v>1528</v>
      </c>
      <c r="C316" s="67"/>
    </row>
    <row r="317" spans="2:5" x14ac:dyDescent="0.25">
      <c r="B317" s="69" t="s">
        <v>1529</v>
      </c>
      <c r="C317" s="147" t="s">
        <v>1530</v>
      </c>
      <c r="D317" s="145" t="s">
        <v>1531</v>
      </c>
      <c r="E317" s="146">
        <v>39</v>
      </c>
    </row>
    <row r="318" spans="2:5" x14ac:dyDescent="0.25">
      <c r="B318" s="69" t="s">
        <v>1532</v>
      </c>
      <c r="C318" s="147" t="s">
        <v>1533</v>
      </c>
      <c r="D318" s="145" t="s">
        <v>1534</v>
      </c>
      <c r="E318" s="146">
        <v>39</v>
      </c>
    </row>
    <row r="319" spans="2:5" x14ac:dyDescent="0.25">
      <c r="B319" s="197" t="s">
        <v>1535</v>
      </c>
      <c r="C319" s="198" t="s">
        <v>1536</v>
      </c>
      <c r="D319" s="193" t="s">
        <v>1537</v>
      </c>
      <c r="E319" s="199">
        <v>45</v>
      </c>
    </row>
    <row r="320" spans="2:5" x14ac:dyDescent="0.25">
      <c r="B320" s="69" t="s">
        <v>1538</v>
      </c>
      <c r="C320" s="147" t="s">
        <v>1539</v>
      </c>
      <c r="D320" s="145" t="s">
        <v>1540</v>
      </c>
      <c r="E320" s="146">
        <v>48</v>
      </c>
    </row>
    <row r="321" spans="2:5" x14ac:dyDescent="0.25">
      <c r="B321" s="9"/>
      <c r="C321" s="156"/>
      <c r="D321" s="157"/>
      <c r="E321" s="157"/>
    </row>
    <row r="322" spans="2:5" ht="15.75" x14ac:dyDescent="0.25">
      <c r="B322" s="158" t="s">
        <v>1541</v>
      </c>
      <c r="C322" s="159"/>
      <c r="D322" s="159"/>
      <c r="E322" s="159"/>
    </row>
    <row r="323" spans="2:5" x14ac:dyDescent="0.25">
      <c r="B323" s="39" t="s">
        <v>128</v>
      </c>
    </row>
    <row r="324" spans="2:5" x14ac:dyDescent="0.25">
      <c r="B324" s="143" t="s">
        <v>1542</v>
      </c>
    </row>
    <row r="325" spans="2:5" x14ac:dyDescent="0.25">
      <c r="B325" s="69" t="s">
        <v>129</v>
      </c>
      <c r="C325" s="148"/>
      <c r="D325" s="145" t="s">
        <v>130</v>
      </c>
      <c r="E325" s="146">
        <v>10</v>
      </c>
    </row>
    <row r="326" spans="2:5" x14ac:dyDescent="0.25">
      <c r="B326" s="69" t="s">
        <v>131</v>
      </c>
      <c r="C326" s="148"/>
      <c r="D326" s="145" t="s">
        <v>132</v>
      </c>
      <c r="E326" s="146">
        <v>20</v>
      </c>
    </row>
    <row r="327" spans="2:5" x14ac:dyDescent="0.25">
      <c r="B327" s="60" t="s">
        <v>134</v>
      </c>
      <c r="C327" s="60"/>
      <c r="D327" s="61" t="s">
        <v>133</v>
      </c>
      <c r="E327" s="62">
        <v>50</v>
      </c>
    </row>
    <row r="328" spans="2:5" x14ac:dyDescent="0.25">
      <c r="B328" s="60" t="s">
        <v>136</v>
      </c>
      <c r="C328" s="60"/>
      <c r="D328" s="61" t="s">
        <v>135</v>
      </c>
      <c r="E328" s="62">
        <v>80</v>
      </c>
    </row>
    <row r="329" spans="2:5" x14ac:dyDescent="0.25">
      <c r="B329" s="79" t="s">
        <v>1543</v>
      </c>
    </row>
    <row r="330" spans="2:5" x14ac:dyDescent="0.25">
      <c r="B330" s="29" t="s">
        <v>129</v>
      </c>
      <c r="C330" s="148"/>
      <c r="D330" s="145" t="s">
        <v>331</v>
      </c>
      <c r="E330" s="146">
        <v>20</v>
      </c>
    </row>
    <row r="331" spans="2:5" x14ac:dyDescent="0.25">
      <c r="B331" s="29" t="s">
        <v>131</v>
      </c>
      <c r="C331" s="148"/>
      <c r="D331" s="145" t="s">
        <v>332</v>
      </c>
      <c r="E331" s="146">
        <v>40</v>
      </c>
    </row>
    <row r="332" spans="2:5" x14ac:dyDescent="0.25">
      <c r="B332" s="60" t="s">
        <v>134</v>
      </c>
      <c r="C332" s="86"/>
      <c r="D332" s="61" t="s">
        <v>333</v>
      </c>
      <c r="E332" s="87">
        <v>100</v>
      </c>
    </row>
    <row r="333" spans="2:5" x14ac:dyDescent="0.25">
      <c r="B333" s="79" t="s">
        <v>1544</v>
      </c>
    </row>
    <row r="334" spans="2:5" x14ac:dyDescent="0.25">
      <c r="B334" s="29" t="s">
        <v>129</v>
      </c>
      <c r="C334" s="148"/>
      <c r="D334" s="145" t="s">
        <v>691</v>
      </c>
      <c r="E334" s="146">
        <v>12</v>
      </c>
    </row>
    <row r="335" spans="2:5" x14ac:dyDescent="0.25">
      <c r="B335" s="29" t="s">
        <v>131</v>
      </c>
      <c r="C335" s="148"/>
      <c r="D335" s="145" t="s">
        <v>692</v>
      </c>
      <c r="E335" s="146">
        <v>24</v>
      </c>
    </row>
    <row r="336" spans="2:5" x14ac:dyDescent="0.25">
      <c r="B336" s="60" t="s">
        <v>134</v>
      </c>
      <c r="C336" s="86"/>
      <c r="D336" s="61" t="s">
        <v>693</v>
      </c>
      <c r="E336" s="87">
        <v>50</v>
      </c>
    </row>
    <row r="337" spans="2:5" x14ac:dyDescent="0.25">
      <c r="B337" s="60" t="s">
        <v>136</v>
      </c>
      <c r="C337" s="86"/>
      <c r="D337" s="61" t="s">
        <v>694</v>
      </c>
      <c r="E337" s="87">
        <v>80</v>
      </c>
    </row>
    <row r="338" spans="2:5" x14ac:dyDescent="0.25">
      <c r="B338" s="60" t="s">
        <v>136</v>
      </c>
      <c r="C338" s="86"/>
      <c r="D338" s="61" t="s">
        <v>824</v>
      </c>
      <c r="E338" s="87">
        <v>200</v>
      </c>
    </row>
    <row r="340" spans="2:5" s="8" customFormat="1" ht="12.75" x14ac:dyDescent="0.2">
      <c r="B340" s="35" t="s">
        <v>137</v>
      </c>
      <c r="C340" s="10"/>
      <c r="D340" s="11"/>
    </row>
    <row r="341" spans="2:5" s="8" customFormat="1" ht="12.75" x14ac:dyDescent="0.2">
      <c r="B341" s="63" t="s">
        <v>1893</v>
      </c>
      <c r="C341" s="63"/>
      <c r="D341" s="65" t="s">
        <v>138</v>
      </c>
      <c r="E341" s="66">
        <v>215</v>
      </c>
    </row>
    <row r="342" spans="2:5" s="8" customFormat="1" ht="12.75" x14ac:dyDescent="0.2">
      <c r="B342" s="63" t="s">
        <v>1904</v>
      </c>
      <c r="C342" s="63"/>
      <c r="D342" s="65" t="s">
        <v>139</v>
      </c>
      <c r="E342" s="66">
        <v>273</v>
      </c>
    </row>
    <row r="343" spans="2:5" s="8" customFormat="1" ht="12.75" x14ac:dyDescent="0.2">
      <c r="B343" s="63" t="s">
        <v>1905</v>
      </c>
      <c r="C343" s="63"/>
      <c r="D343" s="65" t="s">
        <v>140</v>
      </c>
      <c r="E343" s="66">
        <v>325</v>
      </c>
    </row>
    <row r="344" spans="2:5" s="8" customFormat="1" ht="12.75" x14ac:dyDescent="0.2">
      <c r="B344" s="63" t="s">
        <v>1906</v>
      </c>
      <c r="C344" s="63"/>
      <c r="D344" s="65" t="s">
        <v>141</v>
      </c>
      <c r="E344" s="66">
        <v>375</v>
      </c>
    </row>
    <row r="345" spans="2:5" s="8" customFormat="1" ht="12.75" x14ac:dyDescent="0.2">
      <c r="B345" s="63" t="s">
        <v>1907</v>
      </c>
      <c r="C345" s="63"/>
      <c r="D345" s="65" t="s">
        <v>142</v>
      </c>
      <c r="E345" s="66">
        <v>432</v>
      </c>
    </row>
    <row r="347" spans="2:5" x14ac:dyDescent="0.25">
      <c r="B347" s="28" t="s">
        <v>1545</v>
      </c>
    </row>
    <row r="348" spans="2:5" x14ac:dyDescent="0.25">
      <c r="B348" s="60" t="s">
        <v>144</v>
      </c>
      <c r="C348" s="60"/>
      <c r="D348" s="61" t="s">
        <v>145</v>
      </c>
      <c r="E348" s="62">
        <v>10</v>
      </c>
    </row>
    <row r="349" spans="2:5" x14ac:dyDescent="0.25">
      <c r="B349" s="60" t="s">
        <v>1546</v>
      </c>
      <c r="C349" s="60"/>
      <c r="D349" s="61" t="s">
        <v>147</v>
      </c>
      <c r="E349" s="62">
        <v>34</v>
      </c>
    </row>
    <row r="351" spans="2:5" x14ac:dyDescent="0.25">
      <c r="B351" s="28" t="s">
        <v>1547</v>
      </c>
    </row>
    <row r="352" spans="2:5" x14ac:dyDescent="0.25">
      <c r="B352" s="79" t="s">
        <v>1542</v>
      </c>
    </row>
    <row r="353" spans="2:5" x14ac:dyDescent="0.25">
      <c r="B353" s="60" t="s">
        <v>1548</v>
      </c>
      <c r="C353" s="152"/>
      <c r="D353" s="153" t="s">
        <v>1549</v>
      </c>
      <c r="E353" s="154">
        <v>40</v>
      </c>
    </row>
    <row r="354" spans="2:5" x14ac:dyDescent="0.25">
      <c r="B354" s="60" t="s">
        <v>1550</v>
      </c>
      <c r="C354" s="152"/>
      <c r="D354" s="153" t="s">
        <v>1551</v>
      </c>
      <c r="E354" s="154">
        <v>80</v>
      </c>
    </row>
    <row r="355" spans="2:5" x14ac:dyDescent="0.25">
      <c r="B355" s="79" t="s">
        <v>1543</v>
      </c>
    </row>
    <row r="356" spans="2:5" x14ac:dyDescent="0.25">
      <c r="B356" s="60" t="s">
        <v>1548</v>
      </c>
      <c r="C356" s="152"/>
      <c r="D356" s="153" t="s">
        <v>1552</v>
      </c>
      <c r="E356" s="154">
        <v>180</v>
      </c>
    </row>
    <row r="357" spans="2:5" x14ac:dyDescent="0.25">
      <c r="B357" s="60" t="s">
        <v>1550</v>
      </c>
      <c r="C357" s="152"/>
      <c r="D357" s="153" t="s">
        <v>1553</v>
      </c>
      <c r="E357" s="154">
        <v>260</v>
      </c>
    </row>
    <row r="358" spans="2:5" x14ac:dyDescent="0.25">
      <c r="B358" s="79" t="s">
        <v>1544</v>
      </c>
    </row>
    <row r="359" spans="2:5" x14ac:dyDescent="0.25">
      <c r="B359" s="60" t="s">
        <v>1548</v>
      </c>
      <c r="C359" s="152"/>
      <c r="D359" s="153" t="s">
        <v>1554</v>
      </c>
      <c r="E359" s="154">
        <v>48</v>
      </c>
    </row>
    <row r="360" spans="2:5" x14ac:dyDescent="0.25">
      <c r="B360" s="60" t="s">
        <v>1550</v>
      </c>
      <c r="C360" s="152"/>
      <c r="D360" s="153" t="s">
        <v>1555</v>
      </c>
      <c r="E360" s="154">
        <v>96</v>
      </c>
    </row>
    <row r="362" spans="2:5" s="8" customFormat="1" ht="12.75" x14ac:dyDescent="0.2">
      <c r="B362" s="35" t="s">
        <v>1556</v>
      </c>
      <c r="C362" s="10"/>
      <c r="D362" s="11"/>
    </row>
    <row r="363" spans="2:5" s="8" customFormat="1" ht="12.75" x14ac:dyDescent="0.2">
      <c r="B363" s="63" t="s">
        <v>1557</v>
      </c>
      <c r="C363" s="63"/>
      <c r="D363" s="65" t="s">
        <v>1558</v>
      </c>
      <c r="E363" s="66">
        <v>800</v>
      </c>
    </row>
    <row r="364" spans="2:5" s="8" customFormat="1" ht="12.75" x14ac:dyDescent="0.2"/>
    <row r="365" spans="2:5" x14ac:dyDescent="0.25">
      <c r="B365" s="39" t="s">
        <v>1559</v>
      </c>
    </row>
    <row r="366" spans="2:5" x14ac:dyDescent="0.25">
      <c r="B366" s="197" t="s">
        <v>1561</v>
      </c>
      <c r="C366" s="148"/>
      <c r="D366" s="145" t="s">
        <v>1560</v>
      </c>
      <c r="E366" s="146">
        <v>4</v>
      </c>
    </row>
    <row r="367" spans="2:5" s="68" customFormat="1" ht="25.5" x14ac:dyDescent="0.25">
      <c r="B367" s="197" t="s">
        <v>1563</v>
      </c>
      <c r="C367" s="148"/>
      <c r="D367" s="145" t="s">
        <v>1562</v>
      </c>
      <c r="E367" s="146">
        <v>5</v>
      </c>
    </row>
    <row r="368" spans="2:5" x14ac:dyDescent="0.25">
      <c r="B368" s="69" t="s">
        <v>1564</v>
      </c>
      <c r="C368" s="148" t="s">
        <v>1565</v>
      </c>
      <c r="D368" s="145" t="s">
        <v>1566</v>
      </c>
      <c r="E368" s="146">
        <v>5</v>
      </c>
    </row>
    <row r="369" spans="2:5" x14ac:dyDescent="0.25">
      <c r="B369" s="69" t="s">
        <v>1567</v>
      </c>
      <c r="C369" s="148" t="s">
        <v>1568</v>
      </c>
      <c r="D369" s="145" t="s">
        <v>1569</v>
      </c>
      <c r="E369" s="146">
        <v>13</v>
      </c>
    </row>
    <row r="370" spans="2:5" x14ac:dyDescent="0.25">
      <c r="B370" s="69" t="s">
        <v>1570</v>
      </c>
      <c r="C370" s="148"/>
      <c r="D370" s="145" t="s">
        <v>1571</v>
      </c>
      <c r="E370" s="146">
        <v>15</v>
      </c>
    </row>
    <row r="371" spans="2:5" x14ac:dyDescent="0.25">
      <c r="B371" s="69" t="s">
        <v>1572</v>
      </c>
      <c r="C371" s="148" t="s">
        <v>1573</v>
      </c>
      <c r="D371" s="145" t="s">
        <v>1574</v>
      </c>
      <c r="E371" s="146">
        <v>5</v>
      </c>
    </row>
    <row r="373" spans="2:5" x14ac:dyDescent="0.25">
      <c r="B373" s="39" t="s">
        <v>1575</v>
      </c>
    </row>
    <row r="374" spans="2:5" x14ac:dyDescent="0.25">
      <c r="B374" s="69" t="s">
        <v>1576</v>
      </c>
      <c r="C374" s="148"/>
      <c r="D374" s="145" t="s">
        <v>1577</v>
      </c>
      <c r="E374" s="146">
        <v>5</v>
      </c>
    </row>
    <row r="375" spans="2:5" x14ac:dyDescent="0.25">
      <c r="B375" s="69" t="s">
        <v>1578</v>
      </c>
      <c r="C375" s="148"/>
      <c r="D375" s="145" t="s">
        <v>1579</v>
      </c>
      <c r="E375" s="146">
        <v>5</v>
      </c>
    </row>
    <row r="376" spans="2:5" x14ac:dyDescent="0.25">
      <c r="B376" s="69" t="s">
        <v>1580</v>
      </c>
      <c r="C376" s="148"/>
      <c r="D376" s="145" t="s">
        <v>1581</v>
      </c>
      <c r="E376" s="146">
        <v>5</v>
      </c>
    </row>
    <row r="377" spans="2:5" x14ac:dyDescent="0.25">
      <c r="B377" s="69" t="s">
        <v>1582</v>
      </c>
      <c r="C377" s="148"/>
      <c r="D377" s="145" t="s">
        <v>1583</v>
      </c>
      <c r="E377" s="146">
        <v>25</v>
      </c>
    </row>
    <row r="378" spans="2:5" x14ac:dyDescent="0.25">
      <c r="B378" s="69" t="s">
        <v>1584</v>
      </c>
      <c r="C378" s="148"/>
      <c r="D378" s="145" t="s">
        <v>1585</v>
      </c>
      <c r="E378" s="146">
        <v>0</v>
      </c>
    </row>
    <row r="379" spans="2:5" x14ac:dyDescent="0.25">
      <c r="B379" s="69" t="s">
        <v>1586</v>
      </c>
      <c r="C379" s="148"/>
      <c r="D379" s="145" t="s">
        <v>1587</v>
      </c>
      <c r="E379" s="146">
        <v>4</v>
      </c>
    </row>
    <row r="381" spans="2:5" x14ac:dyDescent="0.25">
      <c r="B381" s="28" t="s">
        <v>1588</v>
      </c>
    </row>
    <row r="382" spans="2:5" x14ac:dyDescent="0.25">
      <c r="B382" s="79" t="s">
        <v>1589</v>
      </c>
    </row>
    <row r="383" spans="2:5" x14ac:dyDescent="0.25">
      <c r="B383" s="60" t="s">
        <v>1590</v>
      </c>
      <c r="C383" s="152"/>
      <c r="D383" s="153" t="s">
        <v>1591</v>
      </c>
      <c r="E383" s="154">
        <v>69</v>
      </c>
    </row>
    <row r="384" spans="2:5" x14ac:dyDescent="0.25">
      <c r="B384" s="60" t="s">
        <v>1592</v>
      </c>
      <c r="C384" s="152"/>
      <c r="D384" s="153" t="s">
        <v>1593</v>
      </c>
      <c r="E384" s="154">
        <v>26</v>
      </c>
    </row>
    <row r="385" spans="2:5" x14ac:dyDescent="0.25">
      <c r="B385" s="60" t="s">
        <v>1594</v>
      </c>
      <c r="C385" s="152"/>
      <c r="D385" s="153" t="s">
        <v>1595</v>
      </c>
      <c r="E385" s="154">
        <v>49</v>
      </c>
    </row>
    <row r="386" spans="2:5" x14ac:dyDescent="0.25">
      <c r="B386" s="60" t="s">
        <v>1596</v>
      </c>
      <c r="C386" s="152"/>
      <c r="D386" s="153" t="s">
        <v>1597</v>
      </c>
      <c r="E386" s="154">
        <v>17</v>
      </c>
    </row>
    <row r="387" spans="2:5" x14ac:dyDescent="0.25">
      <c r="B387" s="79" t="s">
        <v>1598</v>
      </c>
    </row>
    <row r="388" spans="2:5" x14ac:dyDescent="0.25">
      <c r="B388" s="60" t="s">
        <v>1599</v>
      </c>
      <c r="C388" s="152"/>
      <c r="D388" s="153" t="s">
        <v>1600</v>
      </c>
      <c r="E388" s="154">
        <v>91</v>
      </c>
    </row>
    <row r="389" spans="2:5" x14ac:dyDescent="0.25">
      <c r="B389" s="60" t="s">
        <v>1601</v>
      </c>
      <c r="C389" s="152"/>
      <c r="D389" s="153" t="s">
        <v>1602</v>
      </c>
      <c r="E389" s="154">
        <v>74</v>
      </c>
    </row>
    <row r="390" spans="2:5" x14ac:dyDescent="0.25">
      <c r="B390" s="60" t="s">
        <v>1603</v>
      </c>
      <c r="C390" s="152"/>
      <c r="D390" s="153" t="s">
        <v>1604</v>
      </c>
      <c r="E390" s="154">
        <v>46</v>
      </c>
    </row>
    <row r="391" spans="2:5" x14ac:dyDescent="0.25">
      <c r="B391" s="60" t="s">
        <v>1605</v>
      </c>
      <c r="C391" s="152"/>
      <c r="D391" s="153" t="s">
        <v>1606</v>
      </c>
      <c r="E391" s="154">
        <v>26</v>
      </c>
    </row>
    <row r="392" spans="2:5" x14ac:dyDescent="0.25">
      <c r="B392" s="10"/>
      <c r="C392" s="156"/>
    </row>
    <row r="393" spans="2:5" x14ac:dyDescent="0.25">
      <c r="B393" s="28" t="s">
        <v>1607</v>
      </c>
      <c r="C393" s="156"/>
    </row>
    <row r="394" spans="2:5" x14ac:dyDescent="0.25">
      <c r="B394" s="60" t="s">
        <v>1608</v>
      </c>
      <c r="C394" s="152"/>
      <c r="D394" s="153" t="s">
        <v>1609</v>
      </c>
      <c r="E394" s="154">
        <v>20</v>
      </c>
    </row>
    <row r="395" spans="2:5" x14ac:dyDescent="0.25">
      <c r="B395" s="60" t="s">
        <v>1610</v>
      </c>
      <c r="C395" s="152"/>
      <c r="D395" s="153" t="s">
        <v>1611</v>
      </c>
      <c r="E395" s="154">
        <v>13</v>
      </c>
    </row>
    <row r="396" spans="2:5" x14ac:dyDescent="0.25">
      <c r="B396" s="60" t="s">
        <v>1612</v>
      </c>
      <c r="C396" s="152"/>
      <c r="D396" s="153" t="s">
        <v>1613</v>
      </c>
      <c r="E396" s="154">
        <v>14</v>
      </c>
    </row>
    <row r="397" spans="2:5" x14ac:dyDescent="0.25">
      <c r="B397" s="60" t="s">
        <v>1614</v>
      </c>
      <c r="C397" s="152"/>
      <c r="D397" s="153" t="s">
        <v>1615</v>
      </c>
      <c r="E397" s="154">
        <v>17</v>
      </c>
    </row>
    <row r="398" spans="2:5" x14ac:dyDescent="0.25">
      <c r="B398" s="60" t="s">
        <v>1616</v>
      </c>
      <c r="C398" s="152"/>
      <c r="D398" s="153" t="s">
        <v>1617</v>
      </c>
      <c r="E398" s="154">
        <v>29</v>
      </c>
    </row>
    <row r="399" spans="2:5" x14ac:dyDescent="0.25">
      <c r="B399" s="60" t="s">
        <v>1618</v>
      </c>
      <c r="C399" s="152"/>
      <c r="D399" s="153" t="s">
        <v>1619</v>
      </c>
      <c r="E399" s="154">
        <v>17</v>
      </c>
    </row>
    <row r="400" spans="2:5" x14ac:dyDescent="0.25">
      <c r="B400" s="60" t="s">
        <v>1620</v>
      </c>
      <c r="C400" s="152"/>
      <c r="D400" s="153" t="s">
        <v>1621</v>
      </c>
      <c r="E400" s="154">
        <v>21</v>
      </c>
    </row>
    <row r="402" spans="2:5" x14ac:dyDescent="0.25">
      <c r="B402" s="28" t="s">
        <v>1622</v>
      </c>
    </row>
    <row r="403" spans="2:5" x14ac:dyDescent="0.25">
      <c r="B403" s="60" t="s">
        <v>1623</v>
      </c>
      <c r="C403" s="152"/>
      <c r="D403" s="153" t="s">
        <v>1624</v>
      </c>
      <c r="E403" s="154">
        <v>4</v>
      </c>
    </row>
    <row r="404" spans="2:5" x14ac:dyDescent="0.25">
      <c r="B404" s="60" t="s">
        <v>1625</v>
      </c>
      <c r="C404" s="152"/>
      <c r="D404" s="153" t="s">
        <v>1626</v>
      </c>
      <c r="E404" s="154">
        <v>0</v>
      </c>
    </row>
    <row r="406" spans="2:5" x14ac:dyDescent="0.25">
      <c r="B406" s="28" t="s">
        <v>1627</v>
      </c>
    </row>
    <row r="407" spans="2:5" x14ac:dyDescent="0.25">
      <c r="B407" s="79" t="s">
        <v>1628</v>
      </c>
    </row>
    <row r="408" spans="2:5" x14ac:dyDescent="0.25">
      <c r="B408" s="60" t="s">
        <v>1629</v>
      </c>
      <c r="C408" s="152"/>
      <c r="D408" s="153" t="s">
        <v>1630</v>
      </c>
      <c r="E408" s="154">
        <v>9</v>
      </c>
    </row>
    <row r="409" spans="2:5" x14ac:dyDescent="0.25">
      <c r="B409" s="60" t="s">
        <v>1631</v>
      </c>
      <c r="C409" s="152"/>
      <c r="D409" s="153" t="s">
        <v>1632</v>
      </c>
      <c r="E409" s="154">
        <v>63</v>
      </c>
    </row>
    <row r="410" spans="2:5" x14ac:dyDescent="0.25">
      <c r="B410" s="60" t="s">
        <v>1633</v>
      </c>
      <c r="C410" s="152"/>
      <c r="D410" s="153" t="s">
        <v>1634</v>
      </c>
      <c r="E410" s="154">
        <v>120</v>
      </c>
    </row>
    <row r="411" spans="2:5" x14ac:dyDescent="0.25">
      <c r="B411" s="164" t="s">
        <v>1635</v>
      </c>
      <c r="C411" s="163"/>
      <c r="D411" s="163"/>
    </row>
    <row r="412" spans="2:5" x14ac:dyDescent="0.25">
      <c r="B412" s="60" t="s">
        <v>1636</v>
      </c>
      <c r="C412" s="152"/>
      <c r="D412" s="153" t="s">
        <v>1637</v>
      </c>
      <c r="E412" s="154">
        <v>6</v>
      </c>
    </row>
    <row r="413" spans="2:5" x14ac:dyDescent="0.25">
      <c r="B413" s="79" t="s">
        <v>1638</v>
      </c>
    </row>
    <row r="414" spans="2:5" x14ac:dyDescent="0.25">
      <c r="B414" s="60" t="s">
        <v>1639</v>
      </c>
      <c r="C414" s="152"/>
      <c r="D414" s="153" t="s">
        <v>1640</v>
      </c>
      <c r="E414" s="154">
        <v>290</v>
      </c>
    </row>
    <row r="415" spans="2:5" x14ac:dyDescent="0.25">
      <c r="B415" s="60" t="s">
        <v>1641</v>
      </c>
      <c r="C415" s="152"/>
      <c r="D415" s="153" t="s">
        <v>1642</v>
      </c>
      <c r="E415" s="154">
        <v>390</v>
      </c>
    </row>
    <row r="416" spans="2:5" x14ac:dyDescent="0.25">
      <c r="B416" s="60" t="s">
        <v>1643</v>
      </c>
      <c r="C416" s="152"/>
      <c r="D416" s="153" t="s">
        <v>1644</v>
      </c>
      <c r="E416" s="154">
        <v>1090</v>
      </c>
    </row>
    <row r="417" spans="2:5" x14ac:dyDescent="0.25">
      <c r="B417" s="60" t="s">
        <v>1645</v>
      </c>
      <c r="C417" s="152"/>
      <c r="D417" s="153" t="s">
        <v>1646</v>
      </c>
      <c r="E417" s="154">
        <v>260</v>
      </c>
    </row>
    <row r="418" spans="2:5" x14ac:dyDescent="0.25">
      <c r="B418" s="79" t="s">
        <v>1647</v>
      </c>
    </row>
    <row r="419" spans="2:5" x14ac:dyDescent="0.25">
      <c r="B419" s="60" t="s">
        <v>1648</v>
      </c>
      <c r="C419" s="152"/>
      <c r="D419" s="153" t="s">
        <v>1649</v>
      </c>
      <c r="E419" s="154">
        <v>0</v>
      </c>
    </row>
    <row r="420" spans="2:5" x14ac:dyDescent="0.25">
      <c r="B420" s="60" t="s">
        <v>1650</v>
      </c>
      <c r="C420" s="152"/>
      <c r="D420" s="153" t="s">
        <v>1651</v>
      </c>
      <c r="E420" s="154">
        <v>14</v>
      </c>
    </row>
    <row r="421" spans="2:5" x14ac:dyDescent="0.25">
      <c r="B421" s="60" t="s">
        <v>1652</v>
      </c>
      <c r="C421" s="152"/>
      <c r="D421" s="153" t="s">
        <v>1653</v>
      </c>
      <c r="E421" s="154">
        <v>32</v>
      </c>
    </row>
    <row r="422" spans="2:5" x14ac:dyDescent="0.25">
      <c r="B422" s="135" t="s">
        <v>196</v>
      </c>
    </row>
    <row r="423" spans="2:5" ht="15.75" x14ac:dyDescent="0.25">
      <c r="B423" s="165" t="s">
        <v>1654</v>
      </c>
      <c r="C423" s="166"/>
      <c r="D423" s="167"/>
      <c r="E423" s="168"/>
    </row>
    <row r="424" spans="2:5" ht="24" customHeight="1" x14ac:dyDescent="0.25">
      <c r="B424" s="69" t="s">
        <v>1656</v>
      </c>
      <c r="C424" s="148"/>
      <c r="D424" s="145" t="s">
        <v>1655</v>
      </c>
      <c r="E424" s="146">
        <v>101</v>
      </c>
    </row>
    <row r="425" spans="2:5" ht="24" customHeight="1" x14ac:dyDescent="0.25">
      <c r="B425" s="69" t="s">
        <v>1659</v>
      </c>
      <c r="C425" s="148"/>
      <c r="D425" s="145" t="s">
        <v>1658</v>
      </c>
      <c r="E425" s="146">
        <v>122</v>
      </c>
    </row>
    <row r="426" spans="2:5" ht="24" customHeight="1" x14ac:dyDescent="0.25">
      <c r="B426" s="69" t="s">
        <v>1662</v>
      </c>
      <c r="C426" s="148"/>
      <c r="D426" s="145" t="s">
        <v>1661</v>
      </c>
      <c r="E426" s="146">
        <v>205</v>
      </c>
    </row>
  </sheetData>
  <mergeCells count="2">
    <mergeCell ref="B2:D2"/>
    <mergeCell ref="B4:D4"/>
  </mergeCells>
  <phoneticPr fontId="37" type="noConversion"/>
  <conditionalFormatting sqref="D76:D1048576 D1:D74">
    <cfRule type="duplicateValues" dxfId="48" priority="3"/>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11"/>
  <sheetViews>
    <sheetView zoomScale="80" zoomScaleNormal="80" workbookViewId="0">
      <selection activeCell="N52" sqref="N52"/>
    </sheetView>
  </sheetViews>
  <sheetFormatPr baseColWidth="10" defaultColWidth="8.7109375" defaultRowHeight="15" x14ac:dyDescent="0.25"/>
  <cols>
    <col min="2" max="2" width="165.28515625" style="56" bestFit="1" customWidth="1"/>
    <col min="3" max="3" width="22.28515625" style="56" bestFit="1" customWidth="1"/>
    <col min="4" max="4" width="16" style="56" bestFit="1" customWidth="1"/>
    <col min="5" max="5" width="19.85546875" style="56" bestFit="1" customWidth="1"/>
  </cols>
  <sheetData>
    <row r="1" spans="2:5" ht="79.5" customHeight="1" x14ac:dyDescent="0.25"/>
    <row r="2" spans="2:5" ht="21" x14ac:dyDescent="0.25">
      <c r="B2" s="342" t="s">
        <v>23</v>
      </c>
      <c r="C2" s="342"/>
      <c r="D2" s="342"/>
      <c r="E2" s="136"/>
    </row>
    <row r="3" spans="2:5" x14ac:dyDescent="0.25">
      <c r="B3" s="68"/>
      <c r="C3" s="68"/>
      <c r="D3" s="68"/>
      <c r="E3" s="68"/>
    </row>
    <row r="4" spans="2:5" ht="21" x14ac:dyDescent="0.25">
      <c r="B4" s="346" t="s">
        <v>1663</v>
      </c>
      <c r="C4" s="347"/>
      <c r="D4" s="347"/>
      <c r="E4" s="169"/>
    </row>
    <row r="5" spans="2:5" ht="25.5" x14ac:dyDescent="0.25">
      <c r="B5" s="139" t="s">
        <v>25</v>
      </c>
      <c r="C5" s="140" t="s">
        <v>26</v>
      </c>
      <c r="D5" s="141" t="s">
        <v>27</v>
      </c>
      <c r="E5" s="142" t="s">
        <v>896</v>
      </c>
    </row>
    <row r="6" spans="2:5" ht="15.75" x14ac:dyDescent="0.25">
      <c r="B6" s="170" t="s">
        <v>1664</v>
      </c>
      <c r="C6" s="170"/>
      <c r="D6" s="170"/>
      <c r="E6" s="170"/>
    </row>
    <row r="7" spans="2:5" x14ac:dyDescent="0.25">
      <c r="B7" s="28" t="s">
        <v>1665</v>
      </c>
    </row>
    <row r="8" spans="2:5" x14ac:dyDescent="0.25">
      <c r="B8" s="79" t="s">
        <v>1666</v>
      </c>
    </row>
    <row r="9" spans="2:5" x14ac:dyDescent="0.25">
      <c r="B9" s="60" t="s">
        <v>1667</v>
      </c>
      <c r="C9" s="152" t="s">
        <v>1668</v>
      </c>
      <c r="D9" s="153" t="s">
        <v>1669</v>
      </c>
      <c r="E9" s="268">
        <v>5</v>
      </c>
    </row>
    <row r="10" spans="2:5" x14ac:dyDescent="0.25">
      <c r="B10" s="60" t="s">
        <v>1670</v>
      </c>
      <c r="C10" s="152" t="s">
        <v>1671</v>
      </c>
      <c r="D10" s="153" t="s">
        <v>1672</v>
      </c>
      <c r="E10" s="268">
        <v>4</v>
      </c>
    </row>
    <row r="11" spans="2:5" x14ac:dyDescent="0.25">
      <c r="B11" s="60" t="s">
        <v>1673</v>
      </c>
      <c r="C11" s="152" t="s">
        <v>1674</v>
      </c>
      <c r="D11" s="153" t="s">
        <v>1675</v>
      </c>
      <c r="E11" s="268">
        <v>56</v>
      </c>
    </row>
    <row r="12" spans="2:5" x14ac:dyDescent="0.25">
      <c r="B12" s="60" t="s">
        <v>1676</v>
      </c>
      <c r="C12" s="152" t="s">
        <v>1677</v>
      </c>
      <c r="D12" s="153" t="s">
        <v>1678</v>
      </c>
      <c r="E12" s="268">
        <v>22</v>
      </c>
    </row>
    <row r="13" spans="2:5" x14ac:dyDescent="0.25">
      <c r="B13" s="60" t="s">
        <v>1679</v>
      </c>
      <c r="C13" s="152" t="s">
        <v>1680</v>
      </c>
      <c r="D13" s="153" t="s">
        <v>1681</v>
      </c>
      <c r="E13" s="268">
        <v>15</v>
      </c>
    </row>
    <row r="14" spans="2:5" x14ac:dyDescent="0.25">
      <c r="B14" s="60" t="s">
        <v>1682</v>
      </c>
      <c r="C14" s="152" t="s">
        <v>1683</v>
      </c>
      <c r="D14" s="153" t="s">
        <v>1684</v>
      </c>
      <c r="E14" s="268">
        <v>77</v>
      </c>
    </row>
    <row r="15" spans="2:5" x14ac:dyDescent="0.25">
      <c r="B15" s="60" t="s">
        <v>1685</v>
      </c>
      <c r="C15" s="152" t="s">
        <v>1686</v>
      </c>
      <c r="D15" s="153" t="s">
        <v>1687</v>
      </c>
      <c r="E15" s="268">
        <v>35</v>
      </c>
    </row>
    <row r="16" spans="2:5" x14ac:dyDescent="0.25">
      <c r="B16" s="79" t="s">
        <v>1688</v>
      </c>
      <c r="E16" s="171"/>
    </row>
    <row r="17" spans="2:5" x14ac:dyDescent="0.25">
      <c r="B17" s="60" t="s">
        <v>1689</v>
      </c>
      <c r="C17" s="152" t="s">
        <v>1690</v>
      </c>
      <c r="D17" s="153" t="s">
        <v>1691</v>
      </c>
      <c r="E17" s="268">
        <v>12</v>
      </c>
    </row>
    <row r="18" spans="2:5" x14ac:dyDescent="0.25">
      <c r="B18" s="60" t="s">
        <v>1692</v>
      </c>
      <c r="C18" s="152" t="s">
        <v>1693</v>
      </c>
      <c r="D18" s="153" t="s">
        <v>1694</v>
      </c>
      <c r="E18" s="268">
        <v>7</v>
      </c>
    </row>
    <row r="19" spans="2:5" x14ac:dyDescent="0.25">
      <c r="B19" s="60" t="s">
        <v>1695</v>
      </c>
      <c r="C19" s="152" t="s">
        <v>205</v>
      </c>
      <c r="D19" s="153" t="s">
        <v>1696</v>
      </c>
      <c r="E19" s="268">
        <v>69</v>
      </c>
    </row>
    <row r="20" spans="2:5" x14ac:dyDescent="0.25">
      <c r="B20" s="79" t="s">
        <v>1697</v>
      </c>
      <c r="E20" s="171"/>
    </row>
    <row r="21" spans="2:5" x14ac:dyDescent="0.25">
      <c r="B21" s="60" t="s">
        <v>1698</v>
      </c>
      <c r="C21" s="152" t="s">
        <v>1699</v>
      </c>
      <c r="D21" s="153" t="s">
        <v>1700</v>
      </c>
      <c r="E21" s="268">
        <v>20</v>
      </c>
    </row>
    <row r="22" spans="2:5" x14ac:dyDescent="0.25">
      <c r="B22" s="60" t="s">
        <v>1701</v>
      </c>
      <c r="C22" s="152" t="s">
        <v>1702</v>
      </c>
      <c r="D22" s="153" t="s">
        <v>1703</v>
      </c>
      <c r="E22" s="268">
        <v>32</v>
      </c>
    </row>
    <row r="23" spans="2:5" x14ac:dyDescent="0.25">
      <c r="B23" s="60" t="s">
        <v>1704</v>
      </c>
      <c r="C23" s="152" t="s">
        <v>1705</v>
      </c>
      <c r="D23" s="153" t="s">
        <v>1706</v>
      </c>
      <c r="E23" s="268">
        <v>11</v>
      </c>
    </row>
    <row r="24" spans="2:5" x14ac:dyDescent="0.25">
      <c r="B24" s="60" t="s">
        <v>1707</v>
      </c>
      <c r="C24" s="152" t="s">
        <v>1708</v>
      </c>
      <c r="D24" s="153" t="s">
        <v>1709</v>
      </c>
      <c r="E24" s="268">
        <v>13</v>
      </c>
    </row>
    <row r="25" spans="2:5" x14ac:dyDescent="0.25">
      <c r="B25" s="79" t="s">
        <v>1710</v>
      </c>
      <c r="E25" s="171"/>
    </row>
    <row r="26" spans="2:5" x14ac:dyDescent="0.25">
      <c r="B26" s="60" t="s">
        <v>1711</v>
      </c>
      <c r="C26" s="152" t="s">
        <v>1712</v>
      </c>
      <c r="D26" s="153" t="s">
        <v>1713</v>
      </c>
      <c r="E26" s="268">
        <v>13</v>
      </c>
    </row>
    <row r="27" spans="2:5" x14ac:dyDescent="0.25">
      <c r="B27" s="60" t="s">
        <v>1714</v>
      </c>
      <c r="C27" s="152" t="s">
        <v>1715</v>
      </c>
      <c r="D27" s="153" t="s">
        <v>1716</v>
      </c>
      <c r="E27" s="268">
        <v>15</v>
      </c>
    </row>
    <row r="28" spans="2:5" x14ac:dyDescent="0.25">
      <c r="B28" s="60" t="s">
        <v>1717</v>
      </c>
      <c r="C28" s="152" t="s">
        <v>1718</v>
      </c>
      <c r="D28" s="153" t="s">
        <v>1719</v>
      </c>
      <c r="E28" s="268">
        <v>5</v>
      </c>
    </row>
    <row r="29" spans="2:5" x14ac:dyDescent="0.25">
      <c r="B29" s="60" t="s">
        <v>1720</v>
      </c>
      <c r="C29" s="152" t="s">
        <v>1917</v>
      </c>
      <c r="D29" s="153" t="s">
        <v>1721</v>
      </c>
      <c r="E29" s="268">
        <v>16</v>
      </c>
    </row>
    <row r="30" spans="2:5" x14ac:dyDescent="0.25">
      <c r="E30" s="171"/>
    </row>
    <row r="31" spans="2:5" x14ac:dyDescent="0.25">
      <c r="B31" s="28" t="s">
        <v>1722</v>
      </c>
      <c r="E31" s="171"/>
    </row>
    <row r="32" spans="2:5" x14ac:dyDescent="0.25">
      <c r="B32" s="60" t="s">
        <v>1723</v>
      </c>
      <c r="C32" s="152"/>
      <c r="D32" s="153" t="s">
        <v>1724</v>
      </c>
      <c r="E32" s="87">
        <v>26</v>
      </c>
    </row>
    <row r="33" spans="2:5" x14ac:dyDescent="0.25">
      <c r="B33" s="60" t="s">
        <v>1725</v>
      </c>
      <c r="C33" s="152"/>
      <c r="D33" s="153" t="s">
        <v>1726</v>
      </c>
      <c r="E33" s="87">
        <v>46</v>
      </c>
    </row>
    <row r="34" spans="2:5" x14ac:dyDescent="0.25">
      <c r="E34" s="171"/>
    </row>
    <row r="35" spans="2:5" ht="15.75" x14ac:dyDescent="0.25">
      <c r="B35" s="159" t="s">
        <v>1378</v>
      </c>
      <c r="C35" s="170"/>
      <c r="D35" s="170"/>
      <c r="E35" s="172"/>
    </row>
    <row r="36" spans="2:5" x14ac:dyDescent="0.25">
      <c r="B36" s="28" t="s">
        <v>1727</v>
      </c>
      <c r="C36" s="35"/>
      <c r="D36" s="36"/>
      <c r="E36" s="81"/>
    </row>
    <row r="37" spans="2:5" x14ac:dyDescent="0.25">
      <c r="B37" s="60" t="s">
        <v>1728</v>
      </c>
      <c r="C37" s="152" t="s">
        <v>1729</v>
      </c>
      <c r="D37" s="153" t="s">
        <v>1730</v>
      </c>
      <c r="E37" s="268">
        <v>60</v>
      </c>
    </row>
    <row r="38" spans="2:5" x14ac:dyDescent="0.25">
      <c r="B38" s="60" t="s">
        <v>1731</v>
      </c>
      <c r="C38" s="152" t="s">
        <v>1732</v>
      </c>
      <c r="D38" s="153" t="s">
        <v>1733</v>
      </c>
      <c r="E38" s="268">
        <v>69</v>
      </c>
    </row>
    <row r="39" spans="2:5" x14ac:dyDescent="0.25">
      <c r="B39" s="60" t="s">
        <v>1734</v>
      </c>
      <c r="C39" s="152" t="s">
        <v>1735</v>
      </c>
      <c r="D39" s="153" t="s">
        <v>1736</v>
      </c>
      <c r="E39" s="268">
        <v>60</v>
      </c>
    </row>
    <row r="40" spans="2:5" x14ac:dyDescent="0.25">
      <c r="B40" s="60" t="s">
        <v>1737</v>
      </c>
      <c r="C40" s="152" t="s">
        <v>1738</v>
      </c>
      <c r="D40" s="153" t="s">
        <v>1739</v>
      </c>
      <c r="E40" s="268">
        <v>60</v>
      </c>
    </row>
    <row r="41" spans="2:5" x14ac:dyDescent="0.25">
      <c r="B41" s="60" t="s">
        <v>1740</v>
      </c>
      <c r="C41" s="152" t="s">
        <v>1741</v>
      </c>
      <c r="D41" s="153" t="s">
        <v>1742</v>
      </c>
      <c r="E41" s="268">
        <v>69</v>
      </c>
    </row>
    <row r="42" spans="2:5" x14ac:dyDescent="0.25">
      <c r="B42" s="60" t="s">
        <v>1743</v>
      </c>
      <c r="C42" s="152"/>
      <c r="D42" s="153" t="s">
        <v>1744</v>
      </c>
      <c r="E42" s="268">
        <v>75</v>
      </c>
    </row>
    <row r="43" spans="2:5" x14ac:dyDescent="0.25">
      <c r="E43" s="171"/>
    </row>
    <row r="44" spans="2:5" x14ac:dyDescent="0.25">
      <c r="B44" s="28" t="s">
        <v>1745</v>
      </c>
      <c r="E44" s="171"/>
    </row>
    <row r="45" spans="2:5" x14ac:dyDescent="0.25">
      <c r="B45" s="60" t="s">
        <v>1746</v>
      </c>
      <c r="C45" s="152" t="s">
        <v>1747</v>
      </c>
      <c r="D45" s="153" t="s">
        <v>1748</v>
      </c>
      <c r="E45" s="268">
        <v>26</v>
      </c>
    </row>
    <row r="46" spans="2:5" x14ac:dyDescent="0.25">
      <c r="B46" s="60" t="s">
        <v>1749</v>
      </c>
      <c r="C46" s="152" t="s">
        <v>1686</v>
      </c>
      <c r="D46" s="153" t="s">
        <v>1750</v>
      </c>
      <c r="E46" s="268">
        <v>35</v>
      </c>
    </row>
    <row r="47" spans="2:5" x14ac:dyDescent="0.25">
      <c r="B47" s="60" t="s">
        <v>1751</v>
      </c>
      <c r="C47" s="152" t="s">
        <v>1385</v>
      </c>
      <c r="D47" s="153" t="s">
        <v>1752</v>
      </c>
      <c r="E47" s="268">
        <v>35</v>
      </c>
    </row>
    <row r="48" spans="2:5" x14ac:dyDescent="0.25">
      <c r="B48" s="60" t="s">
        <v>1753</v>
      </c>
      <c r="C48" s="152" t="s">
        <v>1388</v>
      </c>
      <c r="D48" s="153" t="s">
        <v>1754</v>
      </c>
      <c r="E48" s="268">
        <v>35</v>
      </c>
    </row>
    <row r="49" spans="2:5" x14ac:dyDescent="0.25">
      <c r="E49" s="171"/>
    </row>
    <row r="50" spans="2:5" x14ac:dyDescent="0.25">
      <c r="B50" s="28" t="s">
        <v>1755</v>
      </c>
      <c r="E50" s="171"/>
    </row>
    <row r="51" spans="2:5" x14ac:dyDescent="0.25">
      <c r="B51" s="60" t="s">
        <v>1756</v>
      </c>
      <c r="C51" s="152" t="s">
        <v>1757</v>
      </c>
      <c r="D51" s="153" t="s">
        <v>1758</v>
      </c>
      <c r="E51" s="268">
        <v>60</v>
      </c>
    </row>
    <row r="52" spans="2:5" x14ac:dyDescent="0.25">
      <c r="B52" s="60" t="s">
        <v>1759</v>
      </c>
      <c r="C52" s="152" t="s">
        <v>1760</v>
      </c>
      <c r="D52" s="153" t="s">
        <v>1761</v>
      </c>
      <c r="E52" s="268">
        <v>60</v>
      </c>
    </row>
    <row r="53" spans="2:5" x14ac:dyDescent="0.25">
      <c r="B53" s="60" t="s">
        <v>1762</v>
      </c>
      <c r="C53" s="152" t="s">
        <v>1735</v>
      </c>
      <c r="D53" s="153" t="s">
        <v>1763</v>
      </c>
      <c r="E53" s="268">
        <v>60</v>
      </c>
    </row>
    <row r="54" spans="2:5" x14ac:dyDescent="0.25">
      <c r="B54" s="60" t="s">
        <v>1764</v>
      </c>
      <c r="C54" s="152" t="s">
        <v>1765</v>
      </c>
      <c r="D54" s="153" t="s">
        <v>1766</v>
      </c>
      <c r="E54" s="268">
        <v>27</v>
      </c>
    </row>
    <row r="55" spans="2:5" x14ac:dyDescent="0.25">
      <c r="B55" s="60" t="s">
        <v>1767</v>
      </c>
      <c r="C55" s="152" t="s">
        <v>1768</v>
      </c>
      <c r="D55" s="153" t="s">
        <v>1769</v>
      </c>
      <c r="E55" s="268">
        <v>27</v>
      </c>
    </row>
    <row r="56" spans="2:5" x14ac:dyDescent="0.25">
      <c r="B56" s="60" t="s">
        <v>1770</v>
      </c>
      <c r="C56" s="152"/>
      <c r="D56" s="153" t="s">
        <v>1771</v>
      </c>
      <c r="E56" s="268">
        <v>96</v>
      </c>
    </row>
    <row r="57" spans="2:5" x14ac:dyDescent="0.25">
      <c r="B57" s="60" t="s">
        <v>1772</v>
      </c>
      <c r="C57" s="152"/>
      <c r="D57" s="153" t="s">
        <v>1773</v>
      </c>
      <c r="E57" s="268">
        <v>96</v>
      </c>
    </row>
    <row r="58" spans="2:5" x14ac:dyDescent="0.25">
      <c r="B58" s="60" t="s">
        <v>1774</v>
      </c>
      <c r="C58" s="152"/>
      <c r="D58" s="153" t="s">
        <v>1775</v>
      </c>
      <c r="E58" s="268">
        <v>96</v>
      </c>
    </row>
    <row r="59" spans="2:5" x14ac:dyDescent="0.25">
      <c r="E59" s="171"/>
    </row>
    <row r="60" spans="2:5" x14ac:dyDescent="0.25">
      <c r="B60" s="28" t="s">
        <v>1776</v>
      </c>
      <c r="E60" s="171"/>
    </row>
    <row r="61" spans="2:5" x14ac:dyDescent="0.25">
      <c r="B61" s="60" t="s">
        <v>1777</v>
      </c>
      <c r="C61" s="152" t="s">
        <v>1712</v>
      </c>
      <c r="D61" s="153" t="s">
        <v>1778</v>
      </c>
      <c r="E61" s="268">
        <v>30</v>
      </c>
    </row>
    <row r="62" spans="2:5" x14ac:dyDescent="0.25">
      <c r="B62" s="60" t="s">
        <v>1779</v>
      </c>
      <c r="C62" s="152" t="s">
        <v>1780</v>
      </c>
      <c r="D62" s="153" t="s">
        <v>1781</v>
      </c>
      <c r="E62" s="268">
        <v>30</v>
      </c>
    </row>
    <row r="63" spans="2:5" x14ac:dyDescent="0.25">
      <c r="B63" s="60" t="s">
        <v>1782</v>
      </c>
      <c r="C63" s="195" t="s">
        <v>1783</v>
      </c>
      <c r="D63" s="153" t="s">
        <v>1784</v>
      </c>
      <c r="E63" s="268">
        <v>30</v>
      </c>
    </row>
    <row r="64" spans="2:5" x14ac:dyDescent="0.25">
      <c r="B64" s="173" t="s">
        <v>1786</v>
      </c>
      <c r="C64" s="195" t="s">
        <v>1788</v>
      </c>
      <c r="D64" s="153" t="s">
        <v>1787</v>
      </c>
      <c r="E64" s="268">
        <v>30</v>
      </c>
    </row>
    <row r="65" spans="2:5" x14ac:dyDescent="0.25">
      <c r="B65" s="60" t="s">
        <v>1789</v>
      </c>
      <c r="C65" s="152" t="s">
        <v>1790</v>
      </c>
      <c r="D65" s="153" t="s">
        <v>1791</v>
      </c>
      <c r="E65" s="268">
        <v>30</v>
      </c>
    </row>
    <row r="66" spans="2:5" x14ac:dyDescent="0.25">
      <c r="B66" s="60" t="s">
        <v>1792</v>
      </c>
      <c r="C66" s="195" t="s">
        <v>1785</v>
      </c>
      <c r="D66" s="153" t="s">
        <v>1793</v>
      </c>
      <c r="E66" s="268">
        <v>30</v>
      </c>
    </row>
    <row r="67" spans="2:5" x14ac:dyDescent="0.25">
      <c r="B67" s="173" t="s">
        <v>1794</v>
      </c>
      <c r="C67" s="174" t="s">
        <v>1795</v>
      </c>
      <c r="D67" s="153" t="s">
        <v>1796</v>
      </c>
      <c r="E67" s="268">
        <v>35</v>
      </c>
    </row>
    <row r="68" spans="2:5" x14ac:dyDescent="0.25">
      <c r="B68" s="60" t="s">
        <v>1797</v>
      </c>
      <c r="C68" s="152" t="s">
        <v>1382</v>
      </c>
      <c r="D68" s="153" t="s">
        <v>1798</v>
      </c>
      <c r="E68" s="268">
        <v>37</v>
      </c>
    </row>
    <row r="69" spans="2:5" x14ac:dyDescent="0.25">
      <c r="B69" s="60" t="s">
        <v>1799</v>
      </c>
      <c r="C69" s="152" t="s">
        <v>1800</v>
      </c>
      <c r="D69" s="153" t="s">
        <v>1801</v>
      </c>
      <c r="E69" s="268">
        <v>37</v>
      </c>
    </row>
    <row r="70" spans="2:5" x14ac:dyDescent="0.25">
      <c r="B70" s="60" t="s">
        <v>1802</v>
      </c>
      <c r="C70" s="152" t="s">
        <v>1803</v>
      </c>
      <c r="D70" s="153" t="s">
        <v>1804</v>
      </c>
      <c r="E70" s="268">
        <v>55</v>
      </c>
    </row>
    <row r="71" spans="2:5" x14ac:dyDescent="0.25">
      <c r="B71" s="60" t="s">
        <v>1805</v>
      </c>
      <c r="C71" s="152" t="s">
        <v>1806</v>
      </c>
      <c r="D71" s="153" t="s">
        <v>1807</v>
      </c>
      <c r="E71" s="268">
        <v>84</v>
      </c>
    </row>
    <row r="72" spans="2:5" x14ac:dyDescent="0.25">
      <c r="B72" s="60" t="s">
        <v>1808</v>
      </c>
      <c r="C72" s="195" t="s">
        <v>1810</v>
      </c>
      <c r="D72" s="153" t="s">
        <v>1809</v>
      </c>
      <c r="E72" s="268">
        <v>87</v>
      </c>
    </row>
    <row r="73" spans="2:5" x14ac:dyDescent="0.25">
      <c r="E73" s="171"/>
    </row>
    <row r="74" spans="2:5" x14ac:dyDescent="0.25">
      <c r="B74" s="39" t="s">
        <v>1811</v>
      </c>
      <c r="E74" s="171"/>
    </row>
    <row r="75" spans="2:5" x14ac:dyDescent="0.25">
      <c r="B75" s="60" t="s">
        <v>1915</v>
      </c>
      <c r="C75" s="152" t="s">
        <v>1916</v>
      </c>
      <c r="D75" s="153" t="s">
        <v>1812</v>
      </c>
      <c r="E75" s="268">
        <v>42</v>
      </c>
    </row>
    <row r="76" spans="2:5" x14ac:dyDescent="0.25">
      <c r="B76" s="60" t="s">
        <v>1813</v>
      </c>
      <c r="C76" s="152" t="s">
        <v>1814</v>
      </c>
      <c r="D76" s="153" t="s">
        <v>1815</v>
      </c>
      <c r="E76" s="268">
        <v>55</v>
      </c>
    </row>
    <row r="77" spans="2:5" x14ac:dyDescent="0.25">
      <c r="E77" s="171"/>
    </row>
    <row r="78" spans="2:5" x14ac:dyDescent="0.25">
      <c r="B78" s="28" t="s">
        <v>1816</v>
      </c>
      <c r="E78" s="171"/>
    </row>
    <row r="79" spans="2:5" x14ac:dyDescent="0.25">
      <c r="B79" s="60" t="s">
        <v>1817</v>
      </c>
      <c r="C79" s="152" t="s">
        <v>1818</v>
      </c>
      <c r="D79" s="153" t="s">
        <v>1819</v>
      </c>
      <c r="E79" s="268">
        <v>19</v>
      </c>
    </row>
    <row r="80" spans="2:5" x14ac:dyDescent="0.25">
      <c r="B80" s="60" t="s">
        <v>1820</v>
      </c>
      <c r="C80" s="152" t="s">
        <v>1821</v>
      </c>
      <c r="D80" s="153" t="s">
        <v>1822</v>
      </c>
      <c r="E80" s="268">
        <v>103</v>
      </c>
    </row>
    <row r="81" spans="2:5" x14ac:dyDescent="0.25">
      <c r="B81" s="60" t="s">
        <v>1823</v>
      </c>
      <c r="C81" s="152" t="s">
        <v>1824</v>
      </c>
      <c r="D81" s="153" t="s">
        <v>1825</v>
      </c>
      <c r="E81" s="268">
        <v>129</v>
      </c>
    </row>
    <row r="82" spans="2:5" x14ac:dyDescent="0.25">
      <c r="B82" s="10"/>
      <c r="C82" s="156"/>
      <c r="D82" s="157"/>
      <c r="E82" s="81"/>
    </row>
    <row r="83" spans="2:5" x14ac:dyDescent="0.25">
      <c r="B83" s="28" t="s">
        <v>1826</v>
      </c>
      <c r="C83" s="42"/>
      <c r="D83" s="175"/>
      <c r="E83" s="81"/>
    </row>
    <row r="84" spans="2:5" x14ac:dyDescent="0.25">
      <c r="B84" s="60" t="s">
        <v>1827</v>
      </c>
      <c r="C84" s="174" t="s">
        <v>1828</v>
      </c>
      <c r="D84" s="153" t="s">
        <v>1829</v>
      </c>
      <c r="E84" s="268">
        <v>33</v>
      </c>
    </row>
    <row r="85" spans="2:5" x14ac:dyDescent="0.25">
      <c r="B85" s="60" t="s">
        <v>1830</v>
      </c>
      <c r="C85" s="174" t="s">
        <v>1831</v>
      </c>
      <c r="D85" s="153" t="s">
        <v>1832</v>
      </c>
      <c r="E85" s="268">
        <v>268</v>
      </c>
    </row>
    <row r="86" spans="2:5" x14ac:dyDescent="0.25">
      <c r="B86" s="176" t="s">
        <v>1833</v>
      </c>
      <c r="C86" s="177" t="s">
        <v>1834</v>
      </c>
      <c r="D86" s="153" t="s">
        <v>1835</v>
      </c>
      <c r="E86" s="268">
        <v>268</v>
      </c>
    </row>
    <row r="87" spans="2:5" x14ac:dyDescent="0.25">
      <c r="B87" s="60" t="s">
        <v>1836</v>
      </c>
      <c r="C87" s="152" t="s">
        <v>1837</v>
      </c>
      <c r="D87" s="153" t="s">
        <v>1838</v>
      </c>
      <c r="E87" s="268">
        <v>33</v>
      </c>
    </row>
    <row r="88" spans="2:5" x14ac:dyDescent="0.25">
      <c r="B88" s="60" t="s">
        <v>1839</v>
      </c>
      <c r="C88" s="152" t="s">
        <v>1840</v>
      </c>
      <c r="D88" s="153" t="s">
        <v>1841</v>
      </c>
      <c r="E88" s="268">
        <v>17</v>
      </c>
    </row>
    <row r="89" spans="2:5" x14ac:dyDescent="0.25">
      <c r="B89" s="60" t="s">
        <v>1842</v>
      </c>
      <c r="C89" s="174" t="s">
        <v>1843</v>
      </c>
      <c r="D89" s="153" t="s">
        <v>1844</v>
      </c>
      <c r="E89" s="268">
        <v>39</v>
      </c>
    </row>
    <row r="90" spans="2:5" x14ac:dyDescent="0.25">
      <c r="B90" s="60" t="s">
        <v>1845</v>
      </c>
      <c r="C90" s="174" t="s">
        <v>1846</v>
      </c>
      <c r="D90" s="153" t="s">
        <v>1847</v>
      </c>
      <c r="E90" s="268">
        <v>11</v>
      </c>
    </row>
    <row r="91" spans="2:5" x14ac:dyDescent="0.25">
      <c r="B91" s="60" t="s">
        <v>1848</v>
      </c>
      <c r="C91" s="178" t="s">
        <v>1849</v>
      </c>
      <c r="D91" s="153" t="s">
        <v>1850</v>
      </c>
      <c r="E91" s="268">
        <v>40</v>
      </c>
    </row>
    <row r="92" spans="2:5" x14ac:dyDescent="0.25">
      <c r="B92" s="60" t="s">
        <v>1851</v>
      </c>
      <c r="C92" s="152" t="s">
        <v>1852</v>
      </c>
      <c r="D92" s="153" t="s">
        <v>1853</v>
      </c>
      <c r="E92" s="268">
        <v>459</v>
      </c>
    </row>
    <row r="93" spans="2:5" x14ac:dyDescent="0.25">
      <c r="B93" s="60" t="s">
        <v>1854</v>
      </c>
      <c r="C93" s="152" t="s">
        <v>1855</v>
      </c>
      <c r="D93" s="153" t="s">
        <v>1856</v>
      </c>
      <c r="E93" s="268">
        <v>46</v>
      </c>
    </row>
    <row r="94" spans="2:5" x14ac:dyDescent="0.25">
      <c r="B94" s="60" t="s">
        <v>1857</v>
      </c>
      <c r="C94" s="152" t="s">
        <v>1858</v>
      </c>
      <c r="D94" s="153" t="s">
        <v>1859</v>
      </c>
      <c r="E94" s="268">
        <v>38</v>
      </c>
    </row>
    <row r="95" spans="2:5" x14ac:dyDescent="0.25">
      <c r="E95" s="171"/>
    </row>
    <row r="96" spans="2:5" x14ac:dyDescent="0.25">
      <c r="B96" s="28" t="s">
        <v>1860</v>
      </c>
      <c r="C96" s="35"/>
      <c r="D96" s="80"/>
      <c r="E96" s="81"/>
    </row>
    <row r="97" spans="2:5" x14ac:dyDescent="0.25">
      <c r="B97" s="60" t="s">
        <v>1861</v>
      </c>
      <c r="C97" s="179" t="s">
        <v>1862</v>
      </c>
      <c r="D97" s="153" t="s">
        <v>1863</v>
      </c>
      <c r="E97" s="268">
        <v>30</v>
      </c>
    </row>
    <row r="98" spans="2:5" x14ac:dyDescent="0.25">
      <c r="B98" s="60" t="s">
        <v>1864</v>
      </c>
      <c r="C98" s="179" t="s">
        <v>1865</v>
      </c>
      <c r="D98" s="153" t="s">
        <v>1866</v>
      </c>
      <c r="E98" s="268">
        <v>33</v>
      </c>
    </row>
    <row r="99" spans="2:5" x14ac:dyDescent="0.25">
      <c r="B99" s="60" t="s">
        <v>1867</v>
      </c>
      <c r="C99" s="179" t="s">
        <v>1868</v>
      </c>
      <c r="D99" s="153" t="s">
        <v>1869</v>
      </c>
      <c r="E99" s="268">
        <v>33</v>
      </c>
    </row>
    <row r="100" spans="2:5" x14ac:dyDescent="0.25">
      <c r="B100" s="60" t="s">
        <v>1870</v>
      </c>
      <c r="C100" s="179" t="s">
        <v>1871</v>
      </c>
      <c r="D100" s="153" t="s">
        <v>1872</v>
      </c>
      <c r="E100" s="268">
        <v>35</v>
      </c>
    </row>
    <row r="101" spans="2:5" x14ac:dyDescent="0.25">
      <c r="B101" s="60" t="s">
        <v>1873</v>
      </c>
      <c r="C101" s="179" t="s">
        <v>1874</v>
      </c>
      <c r="D101" s="153" t="s">
        <v>1875</v>
      </c>
      <c r="E101" s="268">
        <v>38</v>
      </c>
    </row>
    <row r="102" spans="2:5" x14ac:dyDescent="0.25">
      <c r="E102" s="171"/>
    </row>
    <row r="103" spans="2:5" x14ac:dyDescent="0.25">
      <c r="B103" s="28" t="s">
        <v>1876</v>
      </c>
      <c r="E103" s="171"/>
    </row>
    <row r="104" spans="2:5" x14ac:dyDescent="0.25">
      <c r="B104" s="79" t="s">
        <v>1877</v>
      </c>
      <c r="C104" s="180"/>
      <c r="D104" s="181"/>
      <c r="E104" s="182"/>
    </row>
    <row r="105" spans="2:5" x14ac:dyDescent="0.25">
      <c r="B105" s="60" t="s">
        <v>1878</v>
      </c>
      <c r="C105" s="152"/>
      <c r="D105" s="153" t="s">
        <v>1879</v>
      </c>
      <c r="E105" s="87">
        <v>40</v>
      </c>
    </row>
    <row r="106" spans="2:5" x14ac:dyDescent="0.25">
      <c r="B106" s="79" t="s">
        <v>1880</v>
      </c>
      <c r="C106" s="180"/>
      <c r="D106" s="181"/>
      <c r="E106" s="182"/>
    </row>
    <row r="107" spans="2:5" x14ac:dyDescent="0.25">
      <c r="B107" s="60" t="s">
        <v>1881</v>
      </c>
      <c r="C107" s="152"/>
      <c r="D107" s="153" t="s">
        <v>1882</v>
      </c>
      <c r="E107" s="87">
        <v>60</v>
      </c>
    </row>
    <row r="108" spans="2:5" x14ac:dyDescent="0.25">
      <c r="B108" s="79" t="s">
        <v>1883</v>
      </c>
      <c r="C108" s="180"/>
      <c r="D108" s="181"/>
      <c r="E108" s="182"/>
    </row>
    <row r="109" spans="2:5" x14ac:dyDescent="0.25">
      <c r="B109" s="60" t="s">
        <v>1884</v>
      </c>
      <c r="C109" s="152"/>
      <c r="D109" s="153" t="s">
        <v>1885</v>
      </c>
      <c r="E109" s="87">
        <v>70</v>
      </c>
    </row>
    <row r="110" spans="2:5" x14ac:dyDescent="0.25">
      <c r="B110" s="79" t="s">
        <v>1886</v>
      </c>
      <c r="C110" s="180"/>
      <c r="D110" s="181"/>
      <c r="E110" s="182"/>
    </row>
    <row r="111" spans="2:5" x14ac:dyDescent="0.25">
      <c r="B111" s="60" t="s">
        <v>1887</v>
      </c>
      <c r="C111" s="152"/>
      <c r="D111" s="153" t="s">
        <v>1888</v>
      </c>
      <c r="E111" s="87">
        <v>140</v>
      </c>
    </row>
  </sheetData>
  <mergeCells count="2">
    <mergeCell ref="B2:D2"/>
    <mergeCell ref="B4:D4"/>
  </mergeCells>
  <conditionalFormatting sqref="D108 D110">
    <cfRule type="duplicateValues" dxfId="47" priority="114"/>
  </conditionalFormatting>
  <conditionalFormatting sqref="D36:D39">
    <cfRule type="duplicateValues" dxfId="46" priority="56"/>
  </conditionalFormatting>
  <conditionalFormatting sqref="D106">
    <cfRule type="duplicateValues" dxfId="45" priority="50"/>
  </conditionalFormatting>
  <conditionalFormatting sqref="D5">
    <cfRule type="duplicateValues" dxfId="44" priority="48"/>
  </conditionalFormatting>
  <conditionalFormatting sqref="D83">
    <cfRule type="duplicateValues" dxfId="43" priority="47"/>
  </conditionalFormatting>
  <conditionalFormatting sqref="D96">
    <cfRule type="duplicateValues" dxfId="42" priority="46"/>
  </conditionalFormatting>
  <conditionalFormatting sqref="D82">
    <cfRule type="duplicateValues" dxfId="41" priority="49"/>
  </conditionalFormatting>
  <conditionalFormatting sqref="D104">
    <cfRule type="duplicateValues" dxfId="40" priority="45"/>
  </conditionalFormatting>
  <conditionalFormatting sqref="D75:D76">
    <cfRule type="duplicateValues" dxfId="39" priority="44"/>
  </conditionalFormatting>
  <conditionalFormatting sqref="D79:D80">
    <cfRule type="duplicateValues" dxfId="38" priority="43"/>
  </conditionalFormatting>
  <conditionalFormatting sqref="D97:D101">
    <cfRule type="duplicateValues" dxfId="37" priority="42"/>
  </conditionalFormatting>
  <conditionalFormatting sqref="D105">
    <cfRule type="duplicateValues" dxfId="36" priority="41"/>
  </conditionalFormatting>
  <conditionalFormatting sqref="D107">
    <cfRule type="duplicateValues" dxfId="35" priority="40"/>
  </conditionalFormatting>
  <conditionalFormatting sqref="D109">
    <cfRule type="duplicateValues" dxfId="34" priority="39"/>
  </conditionalFormatting>
  <conditionalFormatting sqref="D111">
    <cfRule type="duplicateValues" dxfId="33" priority="38"/>
  </conditionalFormatting>
  <conditionalFormatting sqref="D96:D1048576 D1 D3 D5:D6 D82:D93 D30 D34:D35 D59:D80">
    <cfRule type="duplicateValues" dxfId="32" priority="37"/>
  </conditionalFormatting>
  <conditionalFormatting sqref="D81">
    <cfRule type="duplicateValues" dxfId="31" priority="36"/>
  </conditionalFormatting>
  <conditionalFormatting sqref="D81">
    <cfRule type="duplicateValues" dxfId="30" priority="35"/>
  </conditionalFormatting>
  <conditionalFormatting sqref="D81">
    <cfRule type="duplicateValues" dxfId="29" priority="34"/>
  </conditionalFormatting>
  <conditionalFormatting sqref="D94">
    <cfRule type="duplicateValues" dxfId="28" priority="33"/>
  </conditionalFormatting>
  <conditionalFormatting sqref="D94">
    <cfRule type="duplicateValues" dxfId="27" priority="32"/>
  </conditionalFormatting>
  <conditionalFormatting sqref="D94">
    <cfRule type="duplicateValues" dxfId="26" priority="31"/>
  </conditionalFormatting>
  <conditionalFormatting sqref="D9:D14">
    <cfRule type="duplicateValues" dxfId="25" priority="30"/>
  </conditionalFormatting>
  <conditionalFormatting sqref="D17:D19">
    <cfRule type="duplicateValues" dxfId="24" priority="29"/>
  </conditionalFormatting>
  <conditionalFormatting sqref="D21:D24">
    <cfRule type="duplicateValues" dxfId="23" priority="28"/>
  </conditionalFormatting>
  <conditionalFormatting sqref="D15">
    <cfRule type="duplicateValues" dxfId="22" priority="25"/>
  </conditionalFormatting>
  <conditionalFormatting sqref="D15">
    <cfRule type="duplicateValues" dxfId="21" priority="24"/>
  </conditionalFormatting>
  <conditionalFormatting sqref="D15">
    <cfRule type="duplicateValues" dxfId="20" priority="23"/>
  </conditionalFormatting>
  <conditionalFormatting sqref="D26">
    <cfRule type="duplicateValues" dxfId="19" priority="22"/>
  </conditionalFormatting>
  <conditionalFormatting sqref="D26">
    <cfRule type="duplicateValues" dxfId="18" priority="21"/>
  </conditionalFormatting>
  <conditionalFormatting sqref="D26">
    <cfRule type="duplicateValues" dxfId="17" priority="20"/>
  </conditionalFormatting>
  <conditionalFormatting sqref="D32:D33">
    <cfRule type="duplicateValues" dxfId="16" priority="19"/>
  </conditionalFormatting>
  <conditionalFormatting sqref="D31:D33">
    <cfRule type="duplicateValues" dxfId="15" priority="18"/>
  </conditionalFormatting>
  <conditionalFormatting sqref="D41:D42">
    <cfRule type="duplicateValues" dxfId="14" priority="17"/>
  </conditionalFormatting>
  <conditionalFormatting sqref="D36">
    <cfRule type="duplicateValues" dxfId="13" priority="16"/>
  </conditionalFormatting>
  <conditionalFormatting sqref="D45:D48">
    <cfRule type="duplicateValues" dxfId="12" priority="14"/>
  </conditionalFormatting>
  <conditionalFormatting sqref="D51:D58">
    <cfRule type="duplicateValues" dxfId="11" priority="13"/>
  </conditionalFormatting>
  <conditionalFormatting sqref="D41:D58">
    <cfRule type="duplicateValues" dxfId="10" priority="12"/>
  </conditionalFormatting>
  <conditionalFormatting sqref="D40">
    <cfRule type="duplicateValues" dxfId="9" priority="11"/>
  </conditionalFormatting>
  <conditionalFormatting sqref="D40">
    <cfRule type="duplicateValues" dxfId="8" priority="10"/>
  </conditionalFormatting>
  <conditionalFormatting sqref="D40">
    <cfRule type="duplicateValues" dxfId="7" priority="9"/>
  </conditionalFormatting>
  <conditionalFormatting sqref="D61:D72">
    <cfRule type="duplicateValues" dxfId="6" priority="51"/>
  </conditionalFormatting>
  <conditionalFormatting sqref="D84:D93">
    <cfRule type="duplicateValues" dxfId="5" priority="52"/>
  </conditionalFormatting>
  <conditionalFormatting sqref="D37:D39">
    <cfRule type="duplicateValues" dxfId="4" priority="804"/>
  </conditionalFormatting>
  <conditionalFormatting sqref="D29">
    <cfRule type="duplicateValues" dxfId="3" priority="827"/>
  </conditionalFormatting>
  <conditionalFormatting sqref="D16:D25 D27:D28">
    <cfRule type="duplicateValues" dxfId="2" priority="838"/>
  </conditionalFormatting>
  <conditionalFormatting sqref="D27:D28">
    <cfRule type="duplicateValues" dxfId="1" priority="851"/>
  </conditionalFormatting>
  <conditionalFormatting sqref="D7:D14">
    <cfRule type="duplicateValues" dxfId="0" priority="852"/>
  </conditionalFormatting>
  <pageMargins left="0.7" right="0.7" top="0.75" bottom="0.75" header="0.3" footer="0.3"/>
  <pageSetup paperSize="9" orientation="portrait" r:id="rId1"/>
  <headerFooter>
    <oddFooter>&amp;L&amp;1#&amp;"Calibri"&amp;7&amp;K7F7F7FInternal Use - 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CCDF437801E144A45D26EC5BA0E846" ma:contentTypeVersion="2" ma:contentTypeDescription="Create a new document." ma:contentTypeScope="" ma:versionID="53a23234080d6bd6acb2dc433d357e70">
  <xsd:schema xmlns:xsd="http://www.w3.org/2001/XMLSchema" xmlns:xs="http://www.w3.org/2001/XMLSchema" xmlns:p="http://schemas.microsoft.com/office/2006/metadata/properties" xmlns:ns2="0adf5e5e-2e9c-4521-9a15-dcadeafa142a" targetNamespace="http://schemas.microsoft.com/office/2006/metadata/properties" ma:root="true" ma:fieldsID="3473cfe38d3fe2eb69209e2c31aba6ea" ns2:_="">
    <xsd:import namespace="0adf5e5e-2e9c-4521-9a15-dcadeafa142a"/>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f5e5e-2e9c-4521-9a15-dcadeafa1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292E39-B230-40C6-8B06-B65CBA40E087}">
  <ds:schemaRefs>
    <ds:schemaRef ds:uri="http://schemas.microsoft.com/sharepoint/v3/contenttype/forms"/>
  </ds:schemaRefs>
</ds:datastoreItem>
</file>

<file path=customXml/itemProps2.xml><?xml version="1.0" encoding="utf-8"?>
<ds:datastoreItem xmlns:ds="http://schemas.openxmlformats.org/officeDocument/2006/customXml" ds:itemID="{3DA5DC9F-4AF2-4550-9CA6-F81921CD4E32}">
  <ds:schemaRefs>
    <ds:schemaRef ds:uri="http://schemas.microsoft.com/office/2006/metadata/properties"/>
    <ds:schemaRef ds:uri="http://purl.org/dc/elements/1.1/"/>
    <ds:schemaRef ds:uri="http://purl.org/dc/dcmitype/"/>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infopath/2007/PartnerControls"/>
    <ds:schemaRef ds:uri="0adf5e5e-2e9c-4521-9a15-dcadeafa142a"/>
  </ds:schemaRefs>
</ds:datastoreItem>
</file>

<file path=customXml/itemProps3.xml><?xml version="1.0" encoding="utf-8"?>
<ds:datastoreItem xmlns:ds="http://schemas.openxmlformats.org/officeDocument/2006/customXml" ds:itemID="{9B516795-B66F-4C0D-893E-54F40C1E73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df5e5e-2e9c-4521-9a15-dcadeafa14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Résumé</vt:lpstr>
      <vt:lpstr>BPU Lot 3</vt:lpstr>
      <vt:lpstr>Extensions Lot 3</vt:lpstr>
      <vt:lpstr>Maintien parc existant Dell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Durrenberger, Raphael;Berthelot, Raphael;David JOUSSAIN</dc:creator>
  <cp:lastModifiedBy>Thomas Lagadec</cp:lastModifiedBy>
  <cp:revision>1</cp:revision>
  <dcterms:created xsi:type="dcterms:W3CDTF">2021-07-27T21:33:50Z</dcterms:created>
  <dcterms:modified xsi:type="dcterms:W3CDTF">2022-05-18T13:53:32Z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0x01010036CCDF437801E144A45D26EC5BA0E846</vt:lpwstr>
  </property>
  <property fmtid="{D5CDD505-2E9C-101B-9397-08002B2CF9AE}" pid="3" name="MSIP_Label_7de70ee2-0cb4-4d60-aee5-75ef2c4c8a90_Enabled">
    <vt:lpwstr>True</vt:lpwstr>
  </property>
  <property fmtid="{D5CDD505-2E9C-101B-9397-08002B2CF9AE}" pid="4" name="MSIP_Label_7de70ee2-0cb4-4d60-aee5-75ef2c4c8a90_SiteId">
    <vt:lpwstr>945c199a-83a2-4e80-9f8c-5a91be5752dd</vt:lpwstr>
  </property>
  <property fmtid="{D5CDD505-2E9C-101B-9397-08002B2CF9AE}" pid="5" name="MSIP_Label_7de70ee2-0cb4-4d60-aee5-75ef2c4c8a90_Owner">
    <vt:lpwstr>R_Berthelot@DELL.com</vt:lpwstr>
  </property>
  <property fmtid="{D5CDD505-2E9C-101B-9397-08002B2CF9AE}" pid="6" name="MSIP_Label_7de70ee2-0cb4-4d60-aee5-75ef2c4c8a90_SetDate">
    <vt:lpwstr>2021-08-12T07:32:25.4455717Z</vt:lpwstr>
  </property>
  <property fmtid="{D5CDD505-2E9C-101B-9397-08002B2CF9AE}" pid="7" name="MSIP_Label_7de70ee2-0cb4-4d60-aee5-75ef2c4c8a90_Name">
    <vt:lpwstr>Internal Use</vt:lpwstr>
  </property>
  <property fmtid="{D5CDD505-2E9C-101B-9397-08002B2CF9AE}" pid="8" name="MSIP_Label_7de70ee2-0cb4-4d60-aee5-75ef2c4c8a90_Application">
    <vt:lpwstr>Microsoft Azure Information Protection</vt:lpwstr>
  </property>
  <property fmtid="{D5CDD505-2E9C-101B-9397-08002B2CF9AE}" pid="9" name="MSIP_Label_7de70ee2-0cb4-4d60-aee5-75ef2c4c8a90_ActionId">
    <vt:lpwstr>dd91a884-1f14-41bc-bc63-a72acede3ad2</vt:lpwstr>
  </property>
  <property fmtid="{D5CDD505-2E9C-101B-9397-08002B2CF9AE}" pid="10" name="MSIP_Label_7de70ee2-0cb4-4d60-aee5-75ef2c4c8a90_Extended_MSFT_Method">
    <vt:lpwstr>Manual</vt:lpwstr>
  </property>
  <property fmtid="{D5CDD505-2E9C-101B-9397-08002B2CF9AE}" pid="11" name="MSIP_Label_da6fab74-d5af-4af7-a9a4-78d84655a626_Enabled">
    <vt:lpwstr>True</vt:lpwstr>
  </property>
  <property fmtid="{D5CDD505-2E9C-101B-9397-08002B2CF9AE}" pid="12" name="MSIP_Label_da6fab74-d5af-4af7-a9a4-78d84655a626_SiteId">
    <vt:lpwstr>945c199a-83a2-4e80-9f8c-5a91be5752dd</vt:lpwstr>
  </property>
  <property fmtid="{D5CDD505-2E9C-101B-9397-08002B2CF9AE}" pid="13" name="MSIP_Label_da6fab74-d5af-4af7-a9a4-78d84655a626_Owner">
    <vt:lpwstr>R_Berthelot@DELL.com</vt:lpwstr>
  </property>
  <property fmtid="{D5CDD505-2E9C-101B-9397-08002B2CF9AE}" pid="14" name="MSIP_Label_da6fab74-d5af-4af7-a9a4-78d84655a626_SetDate">
    <vt:lpwstr>2021-08-12T07:32:25.4455717Z</vt:lpwstr>
  </property>
  <property fmtid="{D5CDD505-2E9C-101B-9397-08002B2CF9AE}" pid="15" name="MSIP_Label_da6fab74-d5af-4af7-a9a4-78d84655a626_Name">
    <vt:lpwstr>Visual Marking</vt:lpwstr>
  </property>
  <property fmtid="{D5CDD505-2E9C-101B-9397-08002B2CF9AE}" pid="16" name="MSIP_Label_da6fab74-d5af-4af7-a9a4-78d84655a626_Application">
    <vt:lpwstr>Microsoft Azure Information Protection</vt:lpwstr>
  </property>
  <property fmtid="{D5CDD505-2E9C-101B-9397-08002B2CF9AE}" pid="17" name="MSIP_Label_da6fab74-d5af-4af7-a9a4-78d84655a626_ActionId">
    <vt:lpwstr>dd91a884-1f14-41bc-bc63-a72acede3ad2</vt:lpwstr>
  </property>
  <property fmtid="{D5CDD505-2E9C-101B-9397-08002B2CF9AE}" pid="18" name="MSIP_Label_da6fab74-d5af-4af7-a9a4-78d84655a626_Parent">
    <vt:lpwstr>7de70ee2-0cb4-4d60-aee5-75ef2c4c8a90</vt:lpwstr>
  </property>
  <property fmtid="{D5CDD505-2E9C-101B-9397-08002B2CF9AE}" pid="19" name="MSIP_Label_da6fab74-d5af-4af7-a9a4-78d84655a626_Extended_MSFT_Method">
    <vt:lpwstr>Manual</vt:lpwstr>
  </property>
  <property fmtid="{D5CDD505-2E9C-101B-9397-08002B2CF9AE}" pid="20" name="aiplabel">
    <vt:lpwstr>Internal Use Visual Marking</vt:lpwstr>
  </property>
</Properties>
</file>