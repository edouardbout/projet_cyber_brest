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05"/>
  <workbookPr/>
  <mc:AlternateContent xmlns:mc="http://schemas.openxmlformats.org/markup-compatibility/2006">
    <mc:Choice Requires="x15">
      <x15ac:absPath xmlns:x15ac="http://schemas.microsoft.com/office/spreadsheetml/2010/11/ac" url="M:\DdAC\ACHATS\DOCS DE TRAVAIL OD CENTRALE ACHATS\MATINFO 5\2. BPU  MI5\BPU LOT 2\"/>
    </mc:Choice>
  </mc:AlternateContent>
  <xr:revisionPtr revIDLastSave="0" documentId="8_{A7359E95-D1AE-4847-8678-3EF03DAE8D62}" xr6:coauthVersionLast="36" xr6:coauthVersionMax="36" xr10:uidLastSave="{00000000-0000-0000-0000-000000000000}"/>
  <bookViews>
    <workbookView xWindow="0" yWindow="0" windowWidth="21570" windowHeight="9240" tabRatio="617" xr2:uid="{00000000-000D-0000-FFFF-FFFF00000000}"/>
  </bookViews>
  <sheets>
    <sheet name="Résumé" sheetId="1" r:id="rId1"/>
    <sheet name="Récapitulatif" sheetId="2" r:id="rId2"/>
    <sheet name="LOT 2" sheetId="3" r:id="rId3"/>
    <sheet name="Extensions Communes" sheetId="5" r:id="rId4"/>
    <sheet name="Clients Légers" sheetId="6" r:id="rId5"/>
    <sheet name="LOT 2 LOCATION" sheetId="21" r:id="rId6"/>
    <sheet name="Extensions Communes LOCATION" sheetId="22" r:id="rId7"/>
    <sheet name="Clients Légers LOCATION" sheetId="16" r:id="rId8"/>
    <sheet name="LOT 2 DROM COM" sheetId="23" r:id="rId9"/>
    <sheet name="Extensions Communes DROM COM" sheetId="24" r:id="rId10"/>
    <sheet name="Clients Légers DROM COM" sheetId="20" r:id="rId11"/>
    <sheet name="Prestations Services DROM COM" sheetId="13" r:id="rId12"/>
  </sheets>
  <definedNames>
    <definedName name="_xlnm._FilterDatabase" localSheetId="4" hidden="1">'Clients Légers'!#REF!</definedName>
    <definedName name="_xlnm._FilterDatabase" localSheetId="10" hidden="1">'Clients Légers DROM COM'!#REF!</definedName>
    <definedName name="_xlnm._FilterDatabase" localSheetId="7" hidden="1">'Clients Légers LOCATION'!#REF!</definedName>
    <definedName name="_xlnm._FilterDatabase" localSheetId="3" hidden="1">'Extensions Communes'!$A$53:$C$70</definedName>
    <definedName name="_xlnm._FilterDatabase" localSheetId="9" hidden="1">'Extensions Communes DROM COM'!$A$13:$D$16</definedName>
    <definedName name="_xlnm._FilterDatabase" localSheetId="6" hidden="1">'Extensions Communes LOCATION'!$A$13:$D$16</definedName>
    <definedName name="_xlnm._FilterDatabase" localSheetId="2" hidden="1">'LOT 2'!$A$264:$K$279</definedName>
    <definedName name="_xlnm._FilterDatabase" localSheetId="8" hidden="1">'LOT 2 DROM COM'!$A$264:$L$279</definedName>
    <definedName name="_xlnm._FilterDatabase" localSheetId="5" hidden="1">'LOT 2 LOCATION'!$A$264:$L$279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F208" i="22" l="1"/>
  <c r="G208" i="22"/>
  <c r="H208" i="22"/>
  <c r="I208" i="22"/>
  <c r="F209" i="22"/>
  <c r="G209" i="22"/>
  <c r="H209" i="22"/>
  <c r="I209" i="22"/>
  <c r="F210" i="22"/>
  <c r="G210" i="22"/>
  <c r="H210" i="22"/>
  <c r="I210" i="22"/>
  <c r="F211" i="22"/>
  <c r="G211" i="22"/>
  <c r="H211" i="22"/>
  <c r="I211" i="22"/>
  <c r="F212" i="22"/>
  <c r="G212" i="22"/>
  <c r="H212" i="22"/>
  <c r="I212" i="22"/>
  <c r="F213" i="22"/>
  <c r="G213" i="22"/>
  <c r="H213" i="22"/>
  <c r="I213" i="22"/>
  <c r="F39" i="22"/>
  <c r="G39" i="22"/>
  <c r="H39" i="22"/>
  <c r="I39" i="22"/>
  <c r="F71" i="22"/>
  <c r="G71" i="22"/>
  <c r="H71" i="22"/>
  <c r="I71" i="22"/>
  <c r="F74" i="22"/>
  <c r="G74" i="22"/>
  <c r="H74" i="22"/>
  <c r="I74" i="22"/>
  <c r="F76" i="22"/>
  <c r="G76" i="22"/>
  <c r="H76" i="22"/>
  <c r="I76" i="22"/>
  <c r="F77" i="22"/>
  <c r="G77" i="22"/>
  <c r="H77" i="22"/>
  <c r="I77" i="22"/>
  <c r="F78" i="22"/>
  <c r="G78" i="22"/>
  <c r="H78" i="22"/>
  <c r="I78" i="22"/>
  <c r="F79" i="22"/>
  <c r="G79" i="22"/>
  <c r="H79" i="22"/>
  <c r="I79" i="22"/>
  <c r="F74" i="24"/>
  <c r="G74" i="24"/>
  <c r="H74" i="24"/>
  <c r="I74" i="24"/>
  <c r="J74" i="24"/>
  <c r="K74" i="24"/>
  <c r="L74" i="24"/>
  <c r="F75" i="24"/>
  <c r="G75" i="24"/>
  <c r="H75" i="24"/>
  <c r="I75" i="24"/>
  <c r="J75" i="24"/>
  <c r="K75" i="24"/>
  <c r="L75" i="24"/>
  <c r="F76" i="24"/>
  <c r="G76" i="24"/>
  <c r="H76" i="24"/>
  <c r="I76" i="24"/>
  <c r="J76" i="24"/>
  <c r="K76" i="24"/>
  <c r="L76" i="24"/>
  <c r="F79" i="24"/>
  <c r="G79" i="24"/>
  <c r="H79" i="24"/>
  <c r="I79" i="24"/>
  <c r="J79" i="24"/>
  <c r="K79" i="24"/>
  <c r="L79" i="24"/>
  <c r="F71" i="24"/>
  <c r="G71" i="24"/>
  <c r="H71" i="24"/>
  <c r="I71" i="24"/>
  <c r="J71" i="24"/>
  <c r="K71" i="24"/>
  <c r="L71" i="24"/>
  <c r="N374" i="23" l="1"/>
  <c r="O374" i="23"/>
  <c r="P374" i="23"/>
  <c r="Q374" i="23"/>
  <c r="R374" i="23"/>
  <c r="S374" i="23"/>
  <c r="T374" i="23"/>
  <c r="N375" i="23"/>
  <c r="O375" i="23"/>
  <c r="P375" i="23"/>
  <c r="Q375" i="23"/>
  <c r="R375" i="23"/>
  <c r="S375" i="23"/>
  <c r="T375" i="23"/>
  <c r="N315" i="23"/>
  <c r="O315" i="23"/>
  <c r="P315" i="23"/>
  <c r="Q315" i="23"/>
  <c r="R315" i="23"/>
  <c r="S315" i="23"/>
  <c r="T315" i="23"/>
  <c r="N316" i="23"/>
  <c r="O316" i="23"/>
  <c r="P316" i="23"/>
  <c r="Q316" i="23"/>
  <c r="R316" i="23"/>
  <c r="S316" i="23"/>
  <c r="T316" i="23"/>
  <c r="N203" i="23"/>
  <c r="O203" i="23"/>
  <c r="P203" i="23"/>
  <c r="Q203" i="23"/>
  <c r="R203" i="23"/>
  <c r="S203" i="23"/>
  <c r="T203" i="23"/>
  <c r="N204" i="23"/>
  <c r="O204" i="23"/>
  <c r="P204" i="23"/>
  <c r="Q204" i="23"/>
  <c r="R204" i="23"/>
  <c r="S204" i="23"/>
  <c r="T204" i="23"/>
  <c r="T189" i="23"/>
  <c r="S189" i="23"/>
  <c r="R189" i="23"/>
  <c r="Q189" i="23"/>
  <c r="P189" i="23"/>
  <c r="O189" i="23"/>
  <c r="N189" i="23"/>
  <c r="N94" i="23"/>
  <c r="O94" i="23"/>
  <c r="P94" i="23"/>
  <c r="Q94" i="23"/>
  <c r="R94" i="23"/>
  <c r="S94" i="23"/>
  <c r="T94" i="23"/>
  <c r="N95" i="23"/>
  <c r="O95" i="23"/>
  <c r="P95" i="23"/>
  <c r="Q95" i="23"/>
  <c r="R95" i="23"/>
  <c r="S95" i="23"/>
  <c r="T95" i="23"/>
  <c r="N374" i="21"/>
  <c r="O374" i="21"/>
  <c r="P374" i="21"/>
  <c r="Q374" i="21"/>
  <c r="S374" i="21"/>
  <c r="T374" i="21"/>
  <c r="U374" i="21"/>
  <c r="V374" i="21"/>
  <c r="N375" i="21"/>
  <c r="O375" i="21"/>
  <c r="P375" i="21"/>
  <c r="Q375" i="21"/>
  <c r="S375" i="21"/>
  <c r="T375" i="21"/>
  <c r="U375" i="21"/>
  <c r="V375" i="21"/>
  <c r="V189" i="21"/>
  <c r="U189" i="21"/>
  <c r="T189" i="21"/>
  <c r="S189" i="21"/>
  <c r="Q189" i="21"/>
  <c r="P189" i="21"/>
  <c r="O189" i="21"/>
  <c r="N189" i="21"/>
  <c r="N315" i="21"/>
  <c r="O315" i="21"/>
  <c r="P315" i="21"/>
  <c r="Q315" i="21"/>
  <c r="S315" i="21"/>
  <c r="T315" i="21"/>
  <c r="U315" i="21"/>
  <c r="V315" i="21"/>
  <c r="N316" i="21"/>
  <c r="O316" i="21"/>
  <c r="P316" i="21"/>
  <c r="Q316" i="21"/>
  <c r="S316" i="21"/>
  <c r="T316" i="21"/>
  <c r="U316" i="21"/>
  <c r="V316" i="21"/>
  <c r="N203" i="21"/>
  <c r="O203" i="21"/>
  <c r="P203" i="21"/>
  <c r="Q203" i="21"/>
  <c r="S203" i="21"/>
  <c r="T203" i="21"/>
  <c r="U203" i="21"/>
  <c r="V203" i="21"/>
  <c r="N204" i="21"/>
  <c r="O204" i="21"/>
  <c r="P204" i="21"/>
  <c r="Q204" i="21"/>
  <c r="S204" i="21"/>
  <c r="T204" i="21"/>
  <c r="U204" i="21"/>
  <c r="V204" i="21"/>
  <c r="N95" i="21"/>
  <c r="O95" i="21"/>
  <c r="P95" i="21"/>
  <c r="Q95" i="21"/>
  <c r="S95" i="21"/>
  <c r="T95" i="21"/>
  <c r="U95" i="21"/>
  <c r="V95" i="21"/>
  <c r="N94" i="21"/>
  <c r="O94" i="21"/>
  <c r="P94" i="21"/>
  <c r="Q94" i="21"/>
  <c r="S94" i="21"/>
  <c r="T94" i="21"/>
  <c r="U94" i="21"/>
  <c r="V94" i="21"/>
  <c r="N25" i="23" l="1"/>
  <c r="O25" i="23"/>
  <c r="P25" i="23"/>
  <c r="Q25" i="23"/>
  <c r="R25" i="23"/>
  <c r="S25" i="23"/>
  <c r="T25" i="23"/>
  <c r="N25" i="21"/>
  <c r="O25" i="21"/>
  <c r="P25" i="21"/>
  <c r="Q25" i="21"/>
  <c r="S25" i="21"/>
  <c r="T25" i="21"/>
  <c r="U25" i="21"/>
  <c r="V25" i="21"/>
  <c r="H37" i="2" l="1"/>
  <c r="F108" i="24" l="1"/>
  <c r="G108" i="24"/>
  <c r="H108" i="24"/>
  <c r="I108" i="24"/>
  <c r="J108" i="24"/>
  <c r="K108" i="24"/>
  <c r="L108" i="24"/>
  <c r="F109" i="24"/>
  <c r="G109" i="24"/>
  <c r="H109" i="24"/>
  <c r="I109" i="24"/>
  <c r="J109" i="24"/>
  <c r="K109" i="24"/>
  <c r="L109" i="24"/>
  <c r="F108" i="22"/>
  <c r="G108" i="22"/>
  <c r="H108" i="22"/>
  <c r="I108" i="22"/>
  <c r="F109" i="22"/>
  <c r="G109" i="22"/>
  <c r="H109" i="22"/>
  <c r="I109" i="22"/>
  <c r="N307" i="23"/>
  <c r="O307" i="23"/>
  <c r="P307" i="23"/>
  <c r="Q307" i="23"/>
  <c r="R307" i="23"/>
  <c r="S307" i="23"/>
  <c r="T307" i="23"/>
  <c r="T285" i="23"/>
  <c r="S285" i="23"/>
  <c r="R285" i="23"/>
  <c r="Q285" i="23"/>
  <c r="P285" i="23"/>
  <c r="O285" i="23"/>
  <c r="N285" i="23"/>
  <c r="N245" i="23"/>
  <c r="O245" i="23"/>
  <c r="P245" i="23"/>
  <c r="Q245" i="23"/>
  <c r="R245" i="23"/>
  <c r="S245" i="23"/>
  <c r="T245" i="23"/>
  <c r="N239" i="23"/>
  <c r="O239" i="23"/>
  <c r="P239" i="23"/>
  <c r="Q239" i="23"/>
  <c r="R239" i="23"/>
  <c r="S239" i="23"/>
  <c r="T239" i="23"/>
  <c r="N146" i="23"/>
  <c r="O146" i="23"/>
  <c r="P146" i="23"/>
  <c r="Q146" i="23"/>
  <c r="R146" i="23"/>
  <c r="S146" i="23"/>
  <c r="T146" i="23"/>
  <c r="N142" i="23"/>
  <c r="O142" i="23"/>
  <c r="P142" i="23"/>
  <c r="Q142" i="23"/>
  <c r="R142" i="23"/>
  <c r="S142" i="23"/>
  <c r="T142" i="23"/>
  <c r="N140" i="23"/>
  <c r="O140" i="23"/>
  <c r="P140" i="23"/>
  <c r="Q140" i="23"/>
  <c r="R140" i="23"/>
  <c r="S140" i="23"/>
  <c r="T140" i="23"/>
  <c r="N133" i="23"/>
  <c r="O133" i="23"/>
  <c r="P133" i="23"/>
  <c r="Q133" i="23"/>
  <c r="R133" i="23"/>
  <c r="S133" i="23"/>
  <c r="T133" i="23"/>
  <c r="N123" i="23"/>
  <c r="O123" i="23"/>
  <c r="P123" i="23"/>
  <c r="Q123" i="23"/>
  <c r="R123" i="23"/>
  <c r="S123" i="23"/>
  <c r="T123" i="23"/>
  <c r="N112" i="23"/>
  <c r="O112" i="23"/>
  <c r="P112" i="23"/>
  <c r="Q112" i="23"/>
  <c r="R112" i="23"/>
  <c r="S112" i="23"/>
  <c r="T112" i="23"/>
  <c r="N307" i="21"/>
  <c r="O307" i="21"/>
  <c r="P307" i="21"/>
  <c r="Q307" i="21"/>
  <c r="S307" i="21"/>
  <c r="T307" i="21"/>
  <c r="U307" i="21"/>
  <c r="V307" i="21"/>
  <c r="V285" i="21"/>
  <c r="U285" i="21"/>
  <c r="T285" i="21"/>
  <c r="S285" i="21"/>
  <c r="Q285" i="21"/>
  <c r="P285" i="21"/>
  <c r="O285" i="21"/>
  <c r="N285" i="21"/>
  <c r="N245" i="21"/>
  <c r="O245" i="21"/>
  <c r="P245" i="21"/>
  <c r="Q245" i="21"/>
  <c r="S245" i="21"/>
  <c r="T245" i="21"/>
  <c r="U245" i="21"/>
  <c r="V245" i="21"/>
  <c r="N239" i="21"/>
  <c r="O239" i="21"/>
  <c r="P239" i="21"/>
  <c r="Q239" i="21"/>
  <c r="S239" i="21"/>
  <c r="T239" i="21"/>
  <c r="U239" i="21"/>
  <c r="V239" i="21"/>
  <c r="N146" i="21"/>
  <c r="O146" i="21"/>
  <c r="P146" i="21"/>
  <c r="Q146" i="21"/>
  <c r="S146" i="21"/>
  <c r="T146" i="21"/>
  <c r="U146" i="21"/>
  <c r="V146" i="21"/>
  <c r="N141" i="21"/>
  <c r="O141" i="21"/>
  <c r="P141" i="21"/>
  <c r="Q141" i="21"/>
  <c r="S141" i="21"/>
  <c r="T141" i="21"/>
  <c r="U141" i="21"/>
  <c r="V141" i="21"/>
  <c r="N139" i="21"/>
  <c r="O139" i="21"/>
  <c r="P139" i="21"/>
  <c r="Q139" i="21"/>
  <c r="S139" i="21"/>
  <c r="T139" i="21"/>
  <c r="U139" i="21"/>
  <c r="V139" i="21"/>
  <c r="N136" i="21"/>
  <c r="O136" i="21"/>
  <c r="P136" i="21"/>
  <c r="Q136" i="21"/>
  <c r="S136" i="21"/>
  <c r="T136" i="21"/>
  <c r="U136" i="21"/>
  <c r="V136" i="21"/>
  <c r="N133" i="21"/>
  <c r="O133" i="21"/>
  <c r="P133" i="21"/>
  <c r="Q133" i="21"/>
  <c r="S133" i="21"/>
  <c r="T133" i="21"/>
  <c r="U133" i="21"/>
  <c r="V133" i="21"/>
  <c r="N123" i="21"/>
  <c r="O123" i="21"/>
  <c r="P123" i="21"/>
  <c r="Q123" i="21"/>
  <c r="S123" i="21"/>
  <c r="T123" i="21"/>
  <c r="U123" i="21"/>
  <c r="V123" i="21"/>
  <c r="N112" i="21"/>
  <c r="O112" i="21"/>
  <c r="P112" i="21"/>
  <c r="Q112" i="21"/>
  <c r="S112" i="21"/>
  <c r="T112" i="21"/>
  <c r="U112" i="21"/>
  <c r="V112" i="21"/>
  <c r="O111" i="21"/>
  <c r="P111" i="21"/>
  <c r="Q111" i="21"/>
  <c r="S111" i="21"/>
  <c r="T111" i="21"/>
  <c r="U111" i="21"/>
  <c r="V111" i="21"/>
  <c r="N31" i="23" l="1"/>
  <c r="O31" i="23"/>
  <c r="P31" i="23"/>
  <c r="Q31" i="23"/>
  <c r="R31" i="23"/>
  <c r="S31" i="23"/>
  <c r="T31" i="23"/>
  <c r="N29" i="23"/>
  <c r="O29" i="23"/>
  <c r="P29" i="23"/>
  <c r="Q29" i="23"/>
  <c r="R29" i="23"/>
  <c r="S29" i="23"/>
  <c r="T29" i="23"/>
  <c r="N31" i="21"/>
  <c r="O31" i="21"/>
  <c r="P31" i="21"/>
  <c r="Q31" i="21"/>
  <c r="S31" i="21"/>
  <c r="T31" i="21"/>
  <c r="U31" i="21"/>
  <c r="V31" i="21"/>
  <c r="N29" i="21"/>
  <c r="O29" i="21"/>
  <c r="P29" i="21"/>
  <c r="Q29" i="21"/>
  <c r="S29" i="21"/>
  <c r="T29" i="21"/>
  <c r="U29" i="21"/>
  <c r="V29" i="21"/>
  <c r="N24" i="23"/>
  <c r="O24" i="23"/>
  <c r="P24" i="23"/>
  <c r="Q24" i="23"/>
  <c r="R24" i="23"/>
  <c r="S24" i="23"/>
  <c r="T24" i="23"/>
  <c r="N24" i="21"/>
  <c r="O24" i="21"/>
  <c r="P24" i="21"/>
  <c r="Q24" i="21"/>
  <c r="S24" i="21"/>
  <c r="T24" i="21"/>
  <c r="U24" i="21"/>
  <c r="V24" i="21"/>
  <c r="X271" i="24"/>
  <c r="Y271" i="24"/>
  <c r="Z271" i="24"/>
  <c r="AA271" i="24"/>
  <c r="AB271" i="24"/>
  <c r="AC271" i="24"/>
  <c r="AD271" i="24"/>
  <c r="AD270" i="24"/>
  <c r="AC270" i="24"/>
  <c r="AB270" i="24"/>
  <c r="AA270" i="24"/>
  <c r="Z270" i="24"/>
  <c r="Y270" i="24"/>
  <c r="X270" i="24"/>
  <c r="L266" i="24"/>
  <c r="K266" i="24"/>
  <c r="J266" i="24"/>
  <c r="I266" i="24"/>
  <c r="H266" i="24"/>
  <c r="G266" i="24"/>
  <c r="F266" i="24"/>
  <c r="L265" i="24"/>
  <c r="K265" i="24"/>
  <c r="J265" i="24"/>
  <c r="I265" i="24"/>
  <c r="H265" i="24"/>
  <c r="G265" i="24"/>
  <c r="F265" i="24"/>
  <c r="L264" i="24"/>
  <c r="K264" i="24"/>
  <c r="J264" i="24"/>
  <c r="I264" i="24"/>
  <c r="H264" i="24"/>
  <c r="G264" i="24"/>
  <c r="F264" i="24"/>
  <c r="L263" i="24"/>
  <c r="K263" i="24"/>
  <c r="J263" i="24"/>
  <c r="I263" i="24"/>
  <c r="H263" i="24"/>
  <c r="G263" i="24"/>
  <c r="F263" i="24"/>
  <c r="L262" i="24"/>
  <c r="K262" i="24"/>
  <c r="J262" i="24"/>
  <c r="I262" i="24"/>
  <c r="H262" i="24"/>
  <c r="G262" i="24"/>
  <c r="F262" i="24"/>
  <c r="L261" i="24"/>
  <c r="K261" i="24"/>
  <c r="J261" i="24"/>
  <c r="I261" i="24"/>
  <c r="H261" i="24"/>
  <c r="G261" i="24"/>
  <c r="F261" i="24"/>
  <c r="L260" i="24"/>
  <c r="K260" i="24"/>
  <c r="J260" i="24"/>
  <c r="I260" i="24"/>
  <c r="H260" i="24"/>
  <c r="G260" i="24"/>
  <c r="F260" i="24"/>
  <c r="L259" i="24"/>
  <c r="K259" i="24"/>
  <c r="J259" i="24"/>
  <c r="I259" i="24"/>
  <c r="H259" i="24"/>
  <c r="G259" i="24"/>
  <c r="F259" i="24"/>
  <c r="L258" i="24"/>
  <c r="K258" i="24"/>
  <c r="J258" i="24"/>
  <c r="I258" i="24"/>
  <c r="H258" i="24"/>
  <c r="G258" i="24"/>
  <c r="F258" i="24"/>
  <c r="L257" i="24"/>
  <c r="K257" i="24"/>
  <c r="J257" i="24"/>
  <c r="I257" i="24"/>
  <c r="H257" i="24"/>
  <c r="G257" i="24"/>
  <c r="F257" i="24"/>
  <c r="L256" i="24"/>
  <c r="K256" i="24"/>
  <c r="J256" i="24"/>
  <c r="I256" i="24"/>
  <c r="H256" i="24"/>
  <c r="G256" i="24"/>
  <c r="F256" i="24"/>
  <c r="L255" i="24"/>
  <c r="K255" i="24"/>
  <c r="J255" i="24"/>
  <c r="I255" i="24"/>
  <c r="H255" i="24"/>
  <c r="G255" i="24"/>
  <c r="F255" i="24"/>
  <c r="L254" i="24"/>
  <c r="K254" i="24"/>
  <c r="J254" i="24"/>
  <c r="I254" i="24"/>
  <c r="H254" i="24"/>
  <c r="G254" i="24"/>
  <c r="F254" i="24"/>
  <c r="L253" i="24"/>
  <c r="K253" i="24"/>
  <c r="J253" i="24"/>
  <c r="I253" i="24"/>
  <c r="H253" i="24"/>
  <c r="G253" i="24"/>
  <c r="F253" i="24"/>
  <c r="L252" i="24"/>
  <c r="K252" i="24"/>
  <c r="J252" i="24"/>
  <c r="I252" i="24"/>
  <c r="H252" i="24"/>
  <c r="G252" i="24"/>
  <c r="F252" i="24"/>
  <c r="L251" i="24"/>
  <c r="K251" i="24"/>
  <c r="J251" i="24"/>
  <c r="I251" i="24"/>
  <c r="H251" i="24"/>
  <c r="G251" i="24"/>
  <c r="F251" i="24"/>
  <c r="L250" i="24"/>
  <c r="K250" i="24"/>
  <c r="J250" i="24"/>
  <c r="I250" i="24"/>
  <c r="H250" i="24"/>
  <c r="G250" i="24"/>
  <c r="F250" i="24"/>
  <c r="L249" i="24"/>
  <c r="K249" i="24"/>
  <c r="J249" i="24"/>
  <c r="I249" i="24"/>
  <c r="H249" i="24"/>
  <c r="G249" i="24"/>
  <c r="F249" i="24"/>
  <c r="L248" i="24"/>
  <c r="K248" i="24"/>
  <c r="J248" i="24"/>
  <c r="I248" i="24"/>
  <c r="H248" i="24"/>
  <c r="G248" i="24"/>
  <c r="F248" i="24"/>
  <c r="L247" i="24"/>
  <c r="K247" i="24"/>
  <c r="J247" i="24"/>
  <c r="I247" i="24"/>
  <c r="H247" i="24"/>
  <c r="G247" i="24"/>
  <c r="F247" i="24"/>
  <c r="L246" i="24"/>
  <c r="K246" i="24"/>
  <c r="J246" i="24"/>
  <c r="I246" i="24"/>
  <c r="H246" i="24"/>
  <c r="G246" i="24"/>
  <c r="F246" i="24"/>
  <c r="L245" i="24"/>
  <c r="K245" i="24"/>
  <c r="J245" i="24"/>
  <c r="I245" i="24"/>
  <c r="H245" i="24"/>
  <c r="G245" i="24"/>
  <c r="F245" i="24"/>
  <c r="L244" i="24"/>
  <c r="K244" i="24"/>
  <c r="J244" i="24"/>
  <c r="I244" i="24"/>
  <c r="H244" i="24"/>
  <c r="G244" i="24"/>
  <c r="F244" i="24"/>
  <c r="L243" i="24"/>
  <c r="K243" i="24"/>
  <c r="J243" i="24"/>
  <c r="I243" i="24"/>
  <c r="H243" i="24"/>
  <c r="G243" i="24"/>
  <c r="F243" i="24"/>
  <c r="L242" i="24"/>
  <c r="K242" i="24"/>
  <c r="J242" i="24"/>
  <c r="I242" i="24"/>
  <c r="H242" i="24"/>
  <c r="G242" i="24"/>
  <c r="F242" i="24"/>
  <c r="L241" i="24"/>
  <c r="K241" i="24"/>
  <c r="J241" i="24"/>
  <c r="I241" i="24"/>
  <c r="H241" i="24"/>
  <c r="G241" i="24"/>
  <c r="F241" i="24"/>
  <c r="L240" i="24"/>
  <c r="K240" i="24"/>
  <c r="J240" i="24"/>
  <c r="I240" i="24"/>
  <c r="H240" i="24"/>
  <c r="G240" i="24"/>
  <c r="F240" i="24"/>
  <c r="L239" i="24"/>
  <c r="K239" i="24"/>
  <c r="J239" i="24"/>
  <c r="I239" i="24"/>
  <c r="H239" i="24"/>
  <c r="G239" i="24"/>
  <c r="F239" i="24"/>
  <c r="L238" i="24"/>
  <c r="K238" i="24"/>
  <c r="J238" i="24"/>
  <c r="I238" i="24"/>
  <c r="H238" i="24"/>
  <c r="G238" i="24"/>
  <c r="F238" i="24"/>
  <c r="L237" i="24"/>
  <c r="K237" i="24"/>
  <c r="J237" i="24"/>
  <c r="I237" i="24"/>
  <c r="H237" i="24"/>
  <c r="G237" i="24"/>
  <c r="F237" i="24"/>
  <c r="L236" i="24"/>
  <c r="K236" i="24"/>
  <c r="J236" i="24"/>
  <c r="I236" i="24"/>
  <c r="H236" i="24"/>
  <c r="G236" i="24"/>
  <c r="F236" i="24"/>
  <c r="L233" i="24"/>
  <c r="K233" i="24"/>
  <c r="J233" i="24"/>
  <c r="I233" i="24"/>
  <c r="H233" i="24"/>
  <c r="G233" i="24"/>
  <c r="F233" i="24"/>
  <c r="L232" i="24"/>
  <c r="K232" i="24"/>
  <c r="J232" i="24"/>
  <c r="I232" i="24"/>
  <c r="H232" i="24"/>
  <c r="G232" i="24"/>
  <c r="F232" i="24"/>
  <c r="L231" i="24"/>
  <c r="K231" i="24"/>
  <c r="J231" i="24"/>
  <c r="I231" i="24"/>
  <c r="H231" i="24"/>
  <c r="G231" i="24"/>
  <c r="F231" i="24"/>
  <c r="L228" i="24"/>
  <c r="K228" i="24"/>
  <c r="J228" i="24"/>
  <c r="I228" i="24"/>
  <c r="H228" i="24"/>
  <c r="G228" i="24"/>
  <c r="F228" i="24"/>
  <c r="L227" i="24"/>
  <c r="K227" i="24"/>
  <c r="J227" i="24"/>
  <c r="I227" i="24"/>
  <c r="H227" i="24"/>
  <c r="G227" i="24"/>
  <c r="F227" i="24"/>
  <c r="L226" i="24"/>
  <c r="K226" i="24"/>
  <c r="J226" i="24"/>
  <c r="I226" i="24"/>
  <c r="H226" i="24"/>
  <c r="G226" i="24"/>
  <c r="F226" i="24"/>
  <c r="L223" i="24"/>
  <c r="K223" i="24"/>
  <c r="J223" i="24"/>
  <c r="I223" i="24"/>
  <c r="H223" i="24"/>
  <c r="G223" i="24"/>
  <c r="F223" i="24"/>
  <c r="L222" i="24"/>
  <c r="K222" i="24"/>
  <c r="J222" i="24"/>
  <c r="I222" i="24"/>
  <c r="H222" i="24"/>
  <c r="G222" i="24"/>
  <c r="F222" i="24"/>
  <c r="L221" i="24"/>
  <c r="K221" i="24"/>
  <c r="J221" i="24"/>
  <c r="I221" i="24"/>
  <c r="H221" i="24"/>
  <c r="G221" i="24"/>
  <c r="F221" i="24"/>
  <c r="L218" i="24"/>
  <c r="K218" i="24"/>
  <c r="J218" i="24"/>
  <c r="I218" i="24"/>
  <c r="H218" i="24"/>
  <c r="G218" i="24"/>
  <c r="F218" i="24"/>
  <c r="L217" i="24"/>
  <c r="K217" i="24"/>
  <c r="J217" i="24"/>
  <c r="I217" i="24"/>
  <c r="H217" i="24"/>
  <c r="G217" i="24"/>
  <c r="F217" i="24"/>
  <c r="L216" i="24"/>
  <c r="K216" i="24"/>
  <c r="J216" i="24"/>
  <c r="I216" i="24"/>
  <c r="H216" i="24"/>
  <c r="G216" i="24"/>
  <c r="F216" i="24"/>
  <c r="L215" i="24"/>
  <c r="K215" i="24"/>
  <c r="J215" i="24"/>
  <c r="I215" i="24"/>
  <c r="H215" i="24"/>
  <c r="G215" i="24"/>
  <c r="F215" i="24"/>
  <c r="L214" i="24"/>
  <c r="K214" i="24"/>
  <c r="J214" i="24"/>
  <c r="I214" i="24"/>
  <c r="H214" i="24"/>
  <c r="G214" i="24"/>
  <c r="F214" i="24"/>
  <c r="L213" i="24"/>
  <c r="K213" i="24"/>
  <c r="J213" i="24"/>
  <c r="I213" i="24"/>
  <c r="H213" i="24"/>
  <c r="G213" i="24"/>
  <c r="F213" i="24"/>
  <c r="L212" i="24"/>
  <c r="K212" i="24"/>
  <c r="J212" i="24"/>
  <c r="I212" i="24"/>
  <c r="H212" i="24"/>
  <c r="G212" i="24"/>
  <c r="F212" i="24"/>
  <c r="L211" i="24"/>
  <c r="K211" i="24"/>
  <c r="J211" i="24"/>
  <c r="I211" i="24"/>
  <c r="H211" i="24"/>
  <c r="G211" i="24"/>
  <c r="F211" i="24"/>
  <c r="L210" i="24"/>
  <c r="K210" i="24"/>
  <c r="J210" i="24"/>
  <c r="I210" i="24"/>
  <c r="H210" i="24"/>
  <c r="G210" i="24"/>
  <c r="F210" i="24"/>
  <c r="L209" i="24"/>
  <c r="K209" i="24"/>
  <c r="J209" i="24"/>
  <c r="I209" i="24"/>
  <c r="H209" i="24"/>
  <c r="G209" i="24"/>
  <c r="F209" i="24"/>
  <c r="L208" i="24"/>
  <c r="K208" i="24"/>
  <c r="J208" i="24"/>
  <c r="I208" i="24"/>
  <c r="H208" i="24"/>
  <c r="G208" i="24"/>
  <c r="F208" i="24"/>
  <c r="L205" i="24"/>
  <c r="K205" i="24"/>
  <c r="J205" i="24"/>
  <c r="I205" i="24"/>
  <c r="H205" i="24"/>
  <c r="G205" i="24"/>
  <c r="F205" i="24"/>
  <c r="L204" i="24"/>
  <c r="K204" i="24"/>
  <c r="J204" i="24"/>
  <c r="I204" i="24"/>
  <c r="H204" i="24"/>
  <c r="G204" i="24"/>
  <c r="F204" i="24"/>
  <c r="L203" i="24"/>
  <c r="K203" i="24"/>
  <c r="J203" i="24"/>
  <c r="I203" i="24"/>
  <c r="H203" i="24"/>
  <c r="G203" i="24"/>
  <c r="F203" i="24"/>
  <c r="L202" i="24"/>
  <c r="K202" i="24"/>
  <c r="J202" i="24"/>
  <c r="I202" i="24"/>
  <c r="H202" i="24"/>
  <c r="G202" i="24"/>
  <c r="F202" i="24"/>
  <c r="L199" i="24"/>
  <c r="K199" i="24"/>
  <c r="J199" i="24"/>
  <c r="I199" i="24"/>
  <c r="H199" i="24"/>
  <c r="G199" i="24"/>
  <c r="F199" i="24"/>
  <c r="L198" i="24"/>
  <c r="K198" i="24"/>
  <c r="J198" i="24"/>
  <c r="I198" i="24"/>
  <c r="H198" i="24"/>
  <c r="G198" i="24"/>
  <c r="F198" i="24"/>
  <c r="L197" i="24"/>
  <c r="K197" i="24"/>
  <c r="J197" i="24"/>
  <c r="I197" i="24"/>
  <c r="H197" i="24"/>
  <c r="G197" i="24"/>
  <c r="F197" i="24"/>
  <c r="L194" i="24"/>
  <c r="K194" i="24"/>
  <c r="J194" i="24"/>
  <c r="I194" i="24"/>
  <c r="H194" i="24"/>
  <c r="G194" i="24"/>
  <c r="F194" i="24"/>
  <c r="L193" i="24"/>
  <c r="K193" i="24"/>
  <c r="J193" i="24"/>
  <c r="I193" i="24"/>
  <c r="H193" i="24"/>
  <c r="G193" i="24"/>
  <c r="F193" i="24"/>
  <c r="L192" i="24"/>
  <c r="K192" i="24"/>
  <c r="J192" i="24"/>
  <c r="I192" i="24"/>
  <c r="H192" i="24"/>
  <c r="G192" i="24"/>
  <c r="F192" i="24"/>
  <c r="L191" i="24"/>
  <c r="K191" i="24"/>
  <c r="J191" i="24"/>
  <c r="I191" i="24"/>
  <c r="H191" i="24"/>
  <c r="G191" i="24"/>
  <c r="F191" i="24"/>
  <c r="L190" i="24"/>
  <c r="K190" i="24"/>
  <c r="J190" i="24"/>
  <c r="I190" i="24"/>
  <c r="H190" i="24"/>
  <c r="G190" i="24"/>
  <c r="F190" i="24"/>
  <c r="L189" i="24"/>
  <c r="K189" i="24"/>
  <c r="J189" i="24"/>
  <c r="I189" i="24"/>
  <c r="H189" i="24"/>
  <c r="G189" i="24"/>
  <c r="F189" i="24"/>
  <c r="L188" i="24"/>
  <c r="K188" i="24"/>
  <c r="J188" i="24"/>
  <c r="I188" i="24"/>
  <c r="H188" i="24"/>
  <c r="G188" i="24"/>
  <c r="F188" i="24"/>
  <c r="L187" i="24"/>
  <c r="K187" i="24"/>
  <c r="J187" i="24"/>
  <c r="I187" i="24"/>
  <c r="H187" i="24"/>
  <c r="G187" i="24"/>
  <c r="F187" i="24"/>
  <c r="L186" i="24"/>
  <c r="K186" i="24"/>
  <c r="J186" i="24"/>
  <c r="I186" i="24"/>
  <c r="H186" i="24"/>
  <c r="G186" i="24"/>
  <c r="F186" i="24"/>
  <c r="L185" i="24"/>
  <c r="K185" i="24"/>
  <c r="J185" i="24"/>
  <c r="I185" i="24"/>
  <c r="H185" i="24"/>
  <c r="G185" i="24"/>
  <c r="F185" i="24"/>
  <c r="L184" i="24"/>
  <c r="K184" i="24"/>
  <c r="J184" i="24"/>
  <c r="I184" i="24"/>
  <c r="H184" i="24"/>
  <c r="G184" i="24"/>
  <c r="F184" i="24"/>
  <c r="L181" i="24"/>
  <c r="K181" i="24"/>
  <c r="J181" i="24"/>
  <c r="I181" i="24"/>
  <c r="H181" i="24"/>
  <c r="G181" i="24"/>
  <c r="F181" i="24"/>
  <c r="L178" i="24"/>
  <c r="K178" i="24"/>
  <c r="J178" i="24"/>
  <c r="I178" i="24"/>
  <c r="H178" i="24"/>
  <c r="G178" i="24"/>
  <c r="F178" i="24"/>
  <c r="L177" i="24"/>
  <c r="K177" i="24"/>
  <c r="J177" i="24"/>
  <c r="I177" i="24"/>
  <c r="H177" i="24"/>
  <c r="G177" i="24"/>
  <c r="F177" i="24"/>
  <c r="L176" i="24"/>
  <c r="K176" i="24"/>
  <c r="J176" i="24"/>
  <c r="I176" i="24"/>
  <c r="H176" i="24"/>
  <c r="G176" i="24"/>
  <c r="F176" i="24"/>
  <c r="L175" i="24"/>
  <c r="K175" i="24"/>
  <c r="J175" i="24"/>
  <c r="I175" i="24"/>
  <c r="H175" i="24"/>
  <c r="G175" i="24"/>
  <c r="F175" i="24"/>
  <c r="L174" i="24"/>
  <c r="K174" i="24"/>
  <c r="J174" i="24"/>
  <c r="I174" i="24"/>
  <c r="H174" i="24"/>
  <c r="G174" i="24"/>
  <c r="F174" i="24"/>
  <c r="L173" i="24"/>
  <c r="K173" i="24"/>
  <c r="J173" i="24"/>
  <c r="I173" i="24"/>
  <c r="H173" i="24"/>
  <c r="G173" i="24"/>
  <c r="F173" i="24"/>
  <c r="L172" i="24"/>
  <c r="K172" i="24"/>
  <c r="J172" i="24"/>
  <c r="I172" i="24"/>
  <c r="H172" i="24"/>
  <c r="G172" i="24"/>
  <c r="F172" i="24"/>
  <c r="L171" i="24"/>
  <c r="K171" i="24"/>
  <c r="J171" i="24"/>
  <c r="I171" i="24"/>
  <c r="H171" i="24"/>
  <c r="G171" i="24"/>
  <c r="F171" i="24"/>
  <c r="L170" i="24"/>
  <c r="K170" i="24"/>
  <c r="J170" i="24"/>
  <c r="I170" i="24"/>
  <c r="H170" i="24"/>
  <c r="G170" i="24"/>
  <c r="F170" i="24"/>
  <c r="L169" i="24"/>
  <c r="K169" i="24"/>
  <c r="J169" i="24"/>
  <c r="I169" i="24"/>
  <c r="H169" i="24"/>
  <c r="G169" i="24"/>
  <c r="F169" i="24"/>
  <c r="L168" i="24"/>
  <c r="K168" i="24"/>
  <c r="J168" i="24"/>
  <c r="I168" i="24"/>
  <c r="H168" i="24"/>
  <c r="G168" i="24"/>
  <c r="F168" i="24"/>
  <c r="L167" i="24"/>
  <c r="K167" i="24"/>
  <c r="J167" i="24"/>
  <c r="I167" i="24"/>
  <c r="H167" i="24"/>
  <c r="G167" i="24"/>
  <c r="F167" i="24"/>
  <c r="L166" i="24"/>
  <c r="K166" i="24"/>
  <c r="J166" i="24"/>
  <c r="I166" i="24"/>
  <c r="H166" i="24"/>
  <c r="G166" i="24"/>
  <c r="F166" i="24"/>
  <c r="L165" i="24"/>
  <c r="K165" i="24"/>
  <c r="J165" i="24"/>
  <c r="I165" i="24"/>
  <c r="H165" i="24"/>
  <c r="G165" i="24"/>
  <c r="F165" i="24"/>
  <c r="L164" i="24"/>
  <c r="K164" i="24"/>
  <c r="J164" i="24"/>
  <c r="I164" i="24"/>
  <c r="H164" i="24"/>
  <c r="G164" i="24"/>
  <c r="F164" i="24"/>
  <c r="L163" i="24"/>
  <c r="K163" i="24"/>
  <c r="J163" i="24"/>
  <c r="I163" i="24"/>
  <c r="H163" i="24"/>
  <c r="G163" i="24"/>
  <c r="F163" i="24"/>
  <c r="L162" i="24"/>
  <c r="K162" i="24"/>
  <c r="J162" i="24"/>
  <c r="I162" i="24"/>
  <c r="H162" i="24"/>
  <c r="G162" i="24"/>
  <c r="F162" i="24"/>
  <c r="L161" i="24"/>
  <c r="K161" i="24"/>
  <c r="J161" i="24"/>
  <c r="I161" i="24"/>
  <c r="H161" i="24"/>
  <c r="G161" i="24"/>
  <c r="F161" i="24"/>
  <c r="L160" i="24"/>
  <c r="K160" i="24"/>
  <c r="J160" i="24"/>
  <c r="I160" i="24"/>
  <c r="H160" i="24"/>
  <c r="G160" i="24"/>
  <c r="F160" i="24"/>
  <c r="L159" i="24"/>
  <c r="K159" i="24"/>
  <c r="J159" i="24"/>
  <c r="I159" i="24"/>
  <c r="H159" i="24"/>
  <c r="G159" i="24"/>
  <c r="F159" i="24"/>
  <c r="L158" i="24"/>
  <c r="K158" i="24"/>
  <c r="J158" i="24"/>
  <c r="I158" i="24"/>
  <c r="H158" i="24"/>
  <c r="G158" i="24"/>
  <c r="F158" i="24"/>
  <c r="L157" i="24"/>
  <c r="K157" i="24"/>
  <c r="J157" i="24"/>
  <c r="I157" i="24"/>
  <c r="H157" i="24"/>
  <c r="G157" i="24"/>
  <c r="F157" i="24"/>
  <c r="L156" i="24"/>
  <c r="K156" i="24"/>
  <c r="J156" i="24"/>
  <c r="I156" i="24"/>
  <c r="H156" i="24"/>
  <c r="G156" i="24"/>
  <c r="F156" i="24"/>
  <c r="L155" i="24"/>
  <c r="K155" i="24"/>
  <c r="J155" i="24"/>
  <c r="I155" i="24"/>
  <c r="H155" i="24"/>
  <c r="G155" i="24"/>
  <c r="F155" i="24"/>
  <c r="L154" i="24"/>
  <c r="K154" i="24"/>
  <c r="J154" i="24"/>
  <c r="I154" i="24"/>
  <c r="H154" i="24"/>
  <c r="G154" i="24"/>
  <c r="F154" i="24"/>
  <c r="L153" i="24"/>
  <c r="K153" i="24"/>
  <c r="J153" i="24"/>
  <c r="I153" i="24"/>
  <c r="H153" i="24"/>
  <c r="G153" i="24"/>
  <c r="F153" i="24"/>
  <c r="L150" i="24"/>
  <c r="K150" i="24"/>
  <c r="J150" i="24"/>
  <c r="I150" i="24"/>
  <c r="H150" i="24"/>
  <c r="G150" i="24"/>
  <c r="F150" i="24"/>
  <c r="L149" i="24"/>
  <c r="K149" i="24"/>
  <c r="J149" i="24"/>
  <c r="I149" i="24"/>
  <c r="H149" i="24"/>
  <c r="G149" i="24"/>
  <c r="F149" i="24"/>
  <c r="L148" i="24"/>
  <c r="K148" i="24"/>
  <c r="J148" i="24"/>
  <c r="I148" i="24"/>
  <c r="H148" i="24"/>
  <c r="G148" i="24"/>
  <c r="F148" i="24"/>
  <c r="L147" i="24"/>
  <c r="K147" i="24"/>
  <c r="J147" i="24"/>
  <c r="I147" i="24"/>
  <c r="H147" i="24"/>
  <c r="G147" i="24"/>
  <c r="F147" i="24"/>
  <c r="L146" i="24"/>
  <c r="K146" i="24"/>
  <c r="J146" i="24"/>
  <c r="I146" i="24"/>
  <c r="H146" i="24"/>
  <c r="G146" i="24"/>
  <c r="F146" i="24"/>
  <c r="L143" i="24"/>
  <c r="K143" i="24"/>
  <c r="J143" i="24"/>
  <c r="I143" i="24"/>
  <c r="H143" i="24"/>
  <c r="G143" i="24"/>
  <c r="F143" i="24"/>
  <c r="L142" i="24"/>
  <c r="K142" i="24"/>
  <c r="J142" i="24"/>
  <c r="I142" i="24"/>
  <c r="H142" i="24"/>
  <c r="G142" i="24"/>
  <c r="F142" i="24"/>
  <c r="L139" i="24"/>
  <c r="K139" i="24"/>
  <c r="J139" i="24"/>
  <c r="I139" i="24"/>
  <c r="H139" i="24"/>
  <c r="G139" i="24"/>
  <c r="F139" i="24"/>
  <c r="L138" i="24"/>
  <c r="K138" i="24"/>
  <c r="J138" i="24"/>
  <c r="I138" i="24"/>
  <c r="H138" i="24"/>
  <c r="G138" i="24"/>
  <c r="F138" i="24"/>
  <c r="L137" i="24"/>
  <c r="K137" i="24"/>
  <c r="J137" i="24"/>
  <c r="I137" i="24"/>
  <c r="H137" i="24"/>
  <c r="G137" i="24"/>
  <c r="F137" i="24"/>
  <c r="L136" i="24"/>
  <c r="K136" i="24"/>
  <c r="J136" i="24"/>
  <c r="I136" i="24"/>
  <c r="H136" i="24"/>
  <c r="G136" i="24"/>
  <c r="F136" i="24"/>
  <c r="L135" i="24"/>
  <c r="K135" i="24"/>
  <c r="J135" i="24"/>
  <c r="I135" i="24"/>
  <c r="H135" i="24"/>
  <c r="G135" i="24"/>
  <c r="F135" i="24"/>
  <c r="L134" i="24"/>
  <c r="K134" i="24"/>
  <c r="J134" i="24"/>
  <c r="I134" i="24"/>
  <c r="H134" i="24"/>
  <c r="G134" i="24"/>
  <c r="F134" i="24"/>
  <c r="L133" i="24"/>
  <c r="K133" i="24"/>
  <c r="J133" i="24"/>
  <c r="I133" i="24"/>
  <c r="H133" i="24"/>
  <c r="G133" i="24"/>
  <c r="F133" i="24"/>
  <c r="L132" i="24"/>
  <c r="K132" i="24"/>
  <c r="J132" i="24"/>
  <c r="I132" i="24"/>
  <c r="H132" i="24"/>
  <c r="G132" i="24"/>
  <c r="F132" i="24"/>
  <c r="L131" i="24"/>
  <c r="K131" i="24"/>
  <c r="J131" i="24"/>
  <c r="I131" i="24"/>
  <c r="H131" i="24"/>
  <c r="G131" i="24"/>
  <c r="F131" i="24"/>
  <c r="L130" i="24"/>
  <c r="K130" i="24"/>
  <c r="J130" i="24"/>
  <c r="I130" i="24"/>
  <c r="H130" i="24"/>
  <c r="G130" i="24"/>
  <c r="F130" i="24"/>
  <c r="L129" i="24"/>
  <c r="K129" i="24"/>
  <c r="J129" i="24"/>
  <c r="I129" i="24"/>
  <c r="H129" i="24"/>
  <c r="G129" i="24"/>
  <c r="F129" i="24"/>
  <c r="L128" i="24"/>
  <c r="K128" i="24"/>
  <c r="J128" i="24"/>
  <c r="I128" i="24"/>
  <c r="H128" i="24"/>
  <c r="G128" i="24"/>
  <c r="F128" i="24"/>
  <c r="L127" i="24"/>
  <c r="K127" i="24"/>
  <c r="J127" i="24"/>
  <c r="I127" i="24"/>
  <c r="H127" i="24"/>
  <c r="G127" i="24"/>
  <c r="F127" i="24"/>
  <c r="L126" i="24"/>
  <c r="K126" i="24"/>
  <c r="J126" i="24"/>
  <c r="I126" i="24"/>
  <c r="H126" i="24"/>
  <c r="G126" i="24"/>
  <c r="F126" i="24"/>
  <c r="L125" i="24"/>
  <c r="K125" i="24"/>
  <c r="J125" i="24"/>
  <c r="I125" i="24"/>
  <c r="H125" i="24"/>
  <c r="G125" i="24"/>
  <c r="F125" i="24"/>
  <c r="L124" i="24"/>
  <c r="K124" i="24"/>
  <c r="J124" i="24"/>
  <c r="I124" i="24"/>
  <c r="H124" i="24"/>
  <c r="G124" i="24"/>
  <c r="F124" i="24"/>
  <c r="L123" i="24"/>
  <c r="K123" i="24"/>
  <c r="J123" i="24"/>
  <c r="I123" i="24"/>
  <c r="H123" i="24"/>
  <c r="G123" i="24"/>
  <c r="F123" i="24"/>
  <c r="L120" i="24"/>
  <c r="K120" i="24"/>
  <c r="J120" i="24"/>
  <c r="I120" i="24"/>
  <c r="H120" i="24"/>
  <c r="G120" i="24"/>
  <c r="F120" i="24"/>
  <c r="L119" i="24"/>
  <c r="K119" i="24"/>
  <c r="J119" i="24"/>
  <c r="I119" i="24"/>
  <c r="H119" i="24"/>
  <c r="G119" i="24"/>
  <c r="F119" i="24"/>
  <c r="L118" i="24"/>
  <c r="K118" i="24"/>
  <c r="J118" i="24"/>
  <c r="I118" i="24"/>
  <c r="H118" i="24"/>
  <c r="G118" i="24"/>
  <c r="F118" i="24"/>
  <c r="L117" i="24"/>
  <c r="K117" i="24"/>
  <c r="J117" i="24"/>
  <c r="I117" i="24"/>
  <c r="H117" i="24"/>
  <c r="G117" i="24"/>
  <c r="F117" i="24"/>
  <c r="L116" i="24"/>
  <c r="K116" i="24"/>
  <c r="J116" i="24"/>
  <c r="I116" i="24"/>
  <c r="H116" i="24"/>
  <c r="G116" i="24"/>
  <c r="F116" i="24"/>
  <c r="L113" i="24"/>
  <c r="K113" i="24"/>
  <c r="J113" i="24"/>
  <c r="I113" i="24"/>
  <c r="H113" i="24"/>
  <c r="G113" i="24"/>
  <c r="F113" i="24"/>
  <c r="L112" i="24"/>
  <c r="K112" i="24"/>
  <c r="J112" i="24"/>
  <c r="I112" i="24"/>
  <c r="H112" i="24"/>
  <c r="G112" i="24"/>
  <c r="F112" i="24"/>
  <c r="L111" i="24"/>
  <c r="K111" i="24"/>
  <c r="J111" i="24"/>
  <c r="I111" i="24"/>
  <c r="H111" i="24"/>
  <c r="G111" i="24"/>
  <c r="F111" i="24"/>
  <c r="L110" i="24"/>
  <c r="K110" i="24"/>
  <c r="J110" i="24"/>
  <c r="I110" i="24"/>
  <c r="H110" i="24"/>
  <c r="G110" i="24"/>
  <c r="F110" i="24"/>
  <c r="L107" i="24"/>
  <c r="K107" i="24"/>
  <c r="J107" i="24"/>
  <c r="I107" i="24"/>
  <c r="H107" i="24"/>
  <c r="G107" i="24"/>
  <c r="F107" i="24"/>
  <c r="L104" i="24"/>
  <c r="K104" i="24"/>
  <c r="J104" i="24"/>
  <c r="I104" i="24"/>
  <c r="H104" i="24"/>
  <c r="G104" i="24"/>
  <c r="F104" i="24"/>
  <c r="L103" i="24"/>
  <c r="K103" i="24"/>
  <c r="J103" i="24"/>
  <c r="I103" i="24"/>
  <c r="H103" i="24"/>
  <c r="G103" i="24"/>
  <c r="F103" i="24"/>
  <c r="L102" i="24"/>
  <c r="K102" i="24"/>
  <c r="J102" i="24"/>
  <c r="I102" i="24"/>
  <c r="H102" i="24"/>
  <c r="G102" i="24"/>
  <c r="F102" i="24"/>
  <c r="L101" i="24"/>
  <c r="K101" i="24"/>
  <c r="J101" i="24"/>
  <c r="I101" i="24"/>
  <c r="H101" i="24"/>
  <c r="G101" i="24"/>
  <c r="F101" i="24"/>
  <c r="L100" i="24"/>
  <c r="K100" i="24"/>
  <c r="J100" i="24"/>
  <c r="I100" i="24"/>
  <c r="H100" i="24"/>
  <c r="G100" i="24"/>
  <c r="F100" i="24"/>
  <c r="L99" i="24"/>
  <c r="K99" i="24"/>
  <c r="J99" i="24"/>
  <c r="I99" i="24"/>
  <c r="H99" i="24"/>
  <c r="G99" i="24"/>
  <c r="F99" i="24"/>
  <c r="L98" i="24"/>
  <c r="K98" i="24"/>
  <c r="J98" i="24"/>
  <c r="I98" i="24"/>
  <c r="H98" i="24"/>
  <c r="G98" i="24"/>
  <c r="F98" i="24"/>
  <c r="L95" i="24"/>
  <c r="K95" i="24"/>
  <c r="J95" i="24"/>
  <c r="I95" i="24"/>
  <c r="H95" i="24"/>
  <c r="G95" i="24"/>
  <c r="F95" i="24"/>
  <c r="L94" i="24"/>
  <c r="K94" i="24"/>
  <c r="J94" i="24"/>
  <c r="I94" i="24"/>
  <c r="H94" i="24"/>
  <c r="G94" i="24"/>
  <c r="F94" i="24"/>
  <c r="L93" i="24"/>
  <c r="K93" i="24"/>
  <c r="J93" i="24"/>
  <c r="I93" i="24"/>
  <c r="H93" i="24"/>
  <c r="G93" i="24"/>
  <c r="F93" i="24"/>
  <c r="L92" i="24"/>
  <c r="K92" i="24"/>
  <c r="J92" i="24"/>
  <c r="I92" i="24"/>
  <c r="H92" i="24"/>
  <c r="G92" i="24"/>
  <c r="F92" i="24"/>
  <c r="L91" i="24"/>
  <c r="K91" i="24"/>
  <c r="J91" i="24"/>
  <c r="I91" i="24"/>
  <c r="H91" i="24"/>
  <c r="G91" i="24"/>
  <c r="F91" i="24"/>
  <c r="L90" i="24"/>
  <c r="K90" i="24"/>
  <c r="J90" i="24"/>
  <c r="I90" i="24"/>
  <c r="H90" i="24"/>
  <c r="G90" i="24"/>
  <c r="F90" i="24"/>
  <c r="L89" i="24"/>
  <c r="K89" i="24"/>
  <c r="J89" i="24"/>
  <c r="I89" i="24"/>
  <c r="H89" i="24"/>
  <c r="G89" i="24"/>
  <c r="F89" i="24"/>
  <c r="L88" i="24"/>
  <c r="K88" i="24"/>
  <c r="J88" i="24"/>
  <c r="I88" i="24"/>
  <c r="H88" i="24"/>
  <c r="G88" i="24"/>
  <c r="F88" i="24"/>
  <c r="L85" i="24"/>
  <c r="K85" i="24"/>
  <c r="J85" i="24"/>
  <c r="I85" i="24"/>
  <c r="H85" i="24"/>
  <c r="G85" i="24"/>
  <c r="F85" i="24"/>
  <c r="L84" i="24"/>
  <c r="K84" i="24"/>
  <c r="J84" i="24"/>
  <c r="I84" i="24"/>
  <c r="H84" i="24"/>
  <c r="G84" i="24"/>
  <c r="F84" i="24"/>
  <c r="L83" i="24"/>
  <c r="K83" i="24"/>
  <c r="J83" i="24"/>
  <c r="I83" i="24"/>
  <c r="H83" i="24"/>
  <c r="G83" i="24"/>
  <c r="F83" i="24"/>
  <c r="L82" i="24"/>
  <c r="K82" i="24"/>
  <c r="J82" i="24"/>
  <c r="I82" i="24"/>
  <c r="H82" i="24"/>
  <c r="G82" i="24"/>
  <c r="F82" i="24"/>
  <c r="L78" i="24"/>
  <c r="K78" i="24"/>
  <c r="J78" i="24"/>
  <c r="I78" i="24"/>
  <c r="H78" i="24"/>
  <c r="G78" i="24"/>
  <c r="F78" i="24"/>
  <c r="L77" i="24"/>
  <c r="K77" i="24"/>
  <c r="J77" i="24"/>
  <c r="I77" i="24"/>
  <c r="H77" i="24"/>
  <c r="G77" i="24"/>
  <c r="F77" i="24"/>
  <c r="L70" i="24"/>
  <c r="K70" i="24"/>
  <c r="J70" i="24"/>
  <c r="I70" i="24"/>
  <c r="H70" i="24"/>
  <c r="G70" i="24"/>
  <c r="F70" i="24"/>
  <c r="L69" i="24"/>
  <c r="K69" i="24"/>
  <c r="J69" i="24"/>
  <c r="I69" i="24"/>
  <c r="H69" i="24"/>
  <c r="G69" i="24"/>
  <c r="F69" i="24"/>
  <c r="L68" i="24"/>
  <c r="K68" i="24"/>
  <c r="J68" i="24"/>
  <c r="I68" i="24"/>
  <c r="H68" i="24"/>
  <c r="G68" i="24"/>
  <c r="F68" i="24"/>
  <c r="L67" i="24"/>
  <c r="K67" i="24"/>
  <c r="J67" i="24"/>
  <c r="I67" i="24"/>
  <c r="H67" i="24"/>
  <c r="G67" i="24"/>
  <c r="F67" i="24"/>
  <c r="L66" i="24"/>
  <c r="K66" i="24"/>
  <c r="J66" i="24"/>
  <c r="I66" i="24"/>
  <c r="H66" i="24"/>
  <c r="G66" i="24"/>
  <c r="F66" i="24"/>
  <c r="L65" i="24"/>
  <c r="K65" i="24"/>
  <c r="J65" i="24"/>
  <c r="I65" i="24"/>
  <c r="H65" i="24"/>
  <c r="G65" i="24"/>
  <c r="F65" i="24"/>
  <c r="L64" i="24"/>
  <c r="K64" i="24"/>
  <c r="J64" i="24"/>
  <c r="I64" i="24"/>
  <c r="H64" i="24"/>
  <c r="G64" i="24"/>
  <c r="F64" i="24"/>
  <c r="L63" i="24"/>
  <c r="K63" i="24"/>
  <c r="J63" i="24"/>
  <c r="I63" i="24"/>
  <c r="H63" i="24"/>
  <c r="G63" i="24"/>
  <c r="F63" i="24"/>
  <c r="L62" i="24"/>
  <c r="K62" i="24"/>
  <c r="J62" i="24"/>
  <c r="I62" i="24"/>
  <c r="H62" i="24"/>
  <c r="G62" i="24"/>
  <c r="F62" i="24"/>
  <c r="L61" i="24"/>
  <c r="K61" i="24"/>
  <c r="J61" i="24"/>
  <c r="I61" i="24"/>
  <c r="H61" i="24"/>
  <c r="G61" i="24"/>
  <c r="F61" i="24"/>
  <c r="L60" i="24"/>
  <c r="K60" i="24"/>
  <c r="J60" i="24"/>
  <c r="I60" i="24"/>
  <c r="H60" i="24"/>
  <c r="G60" i="24"/>
  <c r="F60" i="24"/>
  <c r="L59" i="24"/>
  <c r="K59" i="24"/>
  <c r="J59" i="24"/>
  <c r="I59" i="24"/>
  <c r="H59" i="24"/>
  <c r="G59" i="24"/>
  <c r="F59" i="24"/>
  <c r="L58" i="24"/>
  <c r="K58" i="24"/>
  <c r="J58" i="24"/>
  <c r="I58" i="24"/>
  <c r="H58" i="24"/>
  <c r="G58" i="24"/>
  <c r="F58" i="24"/>
  <c r="L57" i="24"/>
  <c r="K57" i="24"/>
  <c r="J57" i="24"/>
  <c r="I57" i="24"/>
  <c r="H57" i="24"/>
  <c r="G57" i="24"/>
  <c r="F57" i="24"/>
  <c r="L56" i="24"/>
  <c r="K56" i="24"/>
  <c r="J56" i="24"/>
  <c r="I56" i="24"/>
  <c r="H56" i="24"/>
  <c r="G56" i="24"/>
  <c r="F56" i="24"/>
  <c r="L55" i="24"/>
  <c r="K55" i="24"/>
  <c r="J55" i="24"/>
  <c r="I55" i="24"/>
  <c r="H55" i="24"/>
  <c r="G55" i="24"/>
  <c r="F55" i="24"/>
  <c r="L54" i="24"/>
  <c r="K54" i="24"/>
  <c r="J54" i="24"/>
  <c r="I54" i="24"/>
  <c r="H54" i="24"/>
  <c r="G54" i="24"/>
  <c r="F54" i="24"/>
  <c r="L51" i="24"/>
  <c r="K51" i="24"/>
  <c r="J51" i="24"/>
  <c r="I51" i="24"/>
  <c r="H51" i="24"/>
  <c r="G51" i="24"/>
  <c r="F51" i="24"/>
  <c r="L50" i="24"/>
  <c r="K50" i="24"/>
  <c r="J50" i="24"/>
  <c r="I50" i="24"/>
  <c r="H50" i="24"/>
  <c r="G50" i="24"/>
  <c r="F50" i="24"/>
  <c r="L47" i="24"/>
  <c r="K47" i="24"/>
  <c r="J47" i="24"/>
  <c r="I47" i="24"/>
  <c r="H47" i="24"/>
  <c r="G47" i="24"/>
  <c r="F47" i="24"/>
  <c r="L46" i="24"/>
  <c r="K46" i="24"/>
  <c r="J46" i="24"/>
  <c r="I46" i="24"/>
  <c r="H46" i="24"/>
  <c r="G46" i="24"/>
  <c r="F46" i="24"/>
  <c r="L45" i="24"/>
  <c r="K45" i="24"/>
  <c r="J45" i="24"/>
  <c r="I45" i="24"/>
  <c r="H45" i="24"/>
  <c r="G45" i="24"/>
  <c r="F45" i="24"/>
  <c r="L44" i="24"/>
  <c r="K44" i="24"/>
  <c r="J44" i="24"/>
  <c r="I44" i="24"/>
  <c r="H44" i="24"/>
  <c r="G44" i="24"/>
  <c r="F44" i="24"/>
  <c r="L43" i="24"/>
  <c r="K43" i="24"/>
  <c r="J43" i="24"/>
  <c r="I43" i="24"/>
  <c r="H43" i="24"/>
  <c r="G43" i="24"/>
  <c r="F43" i="24"/>
  <c r="L42" i="24"/>
  <c r="K42" i="24"/>
  <c r="J42" i="24"/>
  <c r="I42" i="24"/>
  <c r="H42" i="24"/>
  <c r="G42" i="24"/>
  <c r="F42" i="24"/>
  <c r="L41" i="24"/>
  <c r="K41" i="24"/>
  <c r="J41" i="24"/>
  <c r="I41" i="24"/>
  <c r="H41" i="24"/>
  <c r="G41" i="24"/>
  <c r="F41" i="24"/>
  <c r="L40" i="24"/>
  <c r="K40" i="24"/>
  <c r="J40" i="24"/>
  <c r="I40" i="24"/>
  <c r="H40" i="24"/>
  <c r="G40" i="24"/>
  <c r="F40" i="24"/>
  <c r="L39" i="24"/>
  <c r="K39" i="24"/>
  <c r="J39" i="24"/>
  <c r="I39" i="24"/>
  <c r="H39" i="24"/>
  <c r="G39" i="24"/>
  <c r="F39" i="24"/>
  <c r="L38" i="24"/>
  <c r="K38" i="24"/>
  <c r="J38" i="24"/>
  <c r="I38" i="24"/>
  <c r="H38" i="24"/>
  <c r="G38" i="24"/>
  <c r="F38" i="24"/>
  <c r="L37" i="24"/>
  <c r="K37" i="24"/>
  <c r="J37" i="24"/>
  <c r="I37" i="24"/>
  <c r="H37" i="24"/>
  <c r="G37" i="24"/>
  <c r="F37" i="24"/>
  <c r="L36" i="24"/>
  <c r="K36" i="24"/>
  <c r="J36" i="24"/>
  <c r="I36" i="24"/>
  <c r="H36" i="24"/>
  <c r="G36" i="24"/>
  <c r="F36" i="24"/>
  <c r="L33" i="24"/>
  <c r="K33" i="24"/>
  <c r="J33" i="24"/>
  <c r="I33" i="24"/>
  <c r="H33" i="24"/>
  <c r="G33" i="24"/>
  <c r="F33" i="24"/>
  <c r="L32" i="24"/>
  <c r="K32" i="24"/>
  <c r="J32" i="24"/>
  <c r="I32" i="24"/>
  <c r="H32" i="24"/>
  <c r="G32" i="24"/>
  <c r="F32" i="24"/>
  <c r="L31" i="24"/>
  <c r="K31" i="24"/>
  <c r="J31" i="24"/>
  <c r="I31" i="24"/>
  <c r="H31" i="24"/>
  <c r="G31" i="24"/>
  <c r="F31" i="24"/>
  <c r="L30" i="24"/>
  <c r="K30" i="24"/>
  <c r="J30" i="24"/>
  <c r="I30" i="24"/>
  <c r="H30" i="24"/>
  <c r="G30" i="24"/>
  <c r="F30" i="24"/>
  <c r="L29" i="24"/>
  <c r="K29" i="24"/>
  <c r="J29" i="24"/>
  <c r="I29" i="24"/>
  <c r="H29" i="24"/>
  <c r="G29" i="24"/>
  <c r="F29" i="24"/>
  <c r="L28" i="24"/>
  <c r="K28" i="24"/>
  <c r="J28" i="24"/>
  <c r="I28" i="24"/>
  <c r="H28" i="24"/>
  <c r="G28" i="24"/>
  <c r="F28" i="24"/>
  <c r="L27" i="24"/>
  <c r="K27" i="24"/>
  <c r="J27" i="24"/>
  <c r="I27" i="24"/>
  <c r="H27" i="24"/>
  <c r="G27" i="24"/>
  <c r="F27" i="24"/>
  <c r="L26" i="24"/>
  <c r="K26" i="24"/>
  <c r="J26" i="24"/>
  <c r="I26" i="24"/>
  <c r="H26" i="24"/>
  <c r="G26" i="24"/>
  <c r="F26" i="24"/>
  <c r="L25" i="24"/>
  <c r="K25" i="24"/>
  <c r="J25" i="24"/>
  <c r="I25" i="24"/>
  <c r="H25" i="24"/>
  <c r="G25" i="24"/>
  <c r="F25" i="24"/>
  <c r="L24" i="24"/>
  <c r="K24" i="24"/>
  <c r="J24" i="24"/>
  <c r="I24" i="24"/>
  <c r="H24" i="24"/>
  <c r="G24" i="24"/>
  <c r="F24" i="24"/>
  <c r="L21" i="24"/>
  <c r="K21" i="24"/>
  <c r="J21" i="24"/>
  <c r="I21" i="24"/>
  <c r="H21" i="24"/>
  <c r="G21" i="24"/>
  <c r="F21" i="24"/>
  <c r="L20" i="24"/>
  <c r="K20" i="24"/>
  <c r="J20" i="24"/>
  <c r="I20" i="24"/>
  <c r="H20" i="24"/>
  <c r="G20" i="24"/>
  <c r="F20" i="24"/>
  <c r="L19" i="24"/>
  <c r="K19" i="24"/>
  <c r="J19" i="24"/>
  <c r="I19" i="24"/>
  <c r="H19" i="24"/>
  <c r="G19" i="24"/>
  <c r="F19" i="24"/>
  <c r="L16" i="24"/>
  <c r="K16" i="24"/>
  <c r="J16" i="24"/>
  <c r="I16" i="24"/>
  <c r="H16" i="24"/>
  <c r="G16" i="24"/>
  <c r="F16" i="24"/>
  <c r="L15" i="24"/>
  <c r="K15" i="24"/>
  <c r="J15" i="24"/>
  <c r="I15" i="24"/>
  <c r="H15" i="24"/>
  <c r="G15" i="24"/>
  <c r="F15" i="24"/>
  <c r="T373" i="23"/>
  <c r="S373" i="23"/>
  <c r="R373" i="23"/>
  <c r="Q373" i="23"/>
  <c r="P373" i="23"/>
  <c r="O373" i="23"/>
  <c r="N373" i="23"/>
  <c r="T372" i="23"/>
  <c r="S372" i="23"/>
  <c r="R372" i="23"/>
  <c r="Q372" i="23"/>
  <c r="P372" i="23"/>
  <c r="O372" i="23"/>
  <c r="N372" i="23"/>
  <c r="T371" i="23"/>
  <c r="S371" i="23"/>
  <c r="R371" i="23"/>
  <c r="Q371" i="23"/>
  <c r="P371" i="23"/>
  <c r="O371" i="23"/>
  <c r="N371" i="23"/>
  <c r="T370" i="23"/>
  <c r="S370" i="23"/>
  <c r="R370" i="23"/>
  <c r="Q370" i="23"/>
  <c r="P370" i="23"/>
  <c r="O370" i="23"/>
  <c r="N370" i="23"/>
  <c r="T369" i="23"/>
  <c r="S369" i="23"/>
  <c r="R369" i="23"/>
  <c r="Q369" i="23"/>
  <c r="P369" i="23"/>
  <c r="O369" i="23"/>
  <c r="N369" i="23"/>
  <c r="T366" i="23"/>
  <c r="S366" i="23"/>
  <c r="R366" i="23"/>
  <c r="Q366" i="23"/>
  <c r="P366" i="23"/>
  <c r="O366" i="23"/>
  <c r="N366" i="23"/>
  <c r="T363" i="23"/>
  <c r="S363" i="23"/>
  <c r="R363" i="23"/>
  <c r="Q363" i="23"/>
  <c r="P363" i="23"/>
  <c r="O363" i="23"/>
  <c r="N363" i="23"/>
  <c r="T362" i="23"/>
  <c r="S362" i="23"/>
  <c r="R362" i="23"/>
  <c r="Q362" i="23"/>
  <c r="P362" i="23"/>
  <c r="O362" i="23"/>
  <c r="N362" i="23"/>
  <c r="T359" i="23"/>
  <c r="S359" i="23"/>
  <c r="R359" i="23"/>
  <c r="Q359" i="23"/>
  <c r="P359" i="23"/>
  <c r="O359" i="23"/>
  <c r="N359" i="23"/>
  <c r="T358" i="23"/>
  <c r="S358" i="23"/>
  <c r="R358" i="23"/>
  <c r="Q358" i="23"/>
  <c r="P358" i="23"/>
  <c r="O358" i="23"/>
  <c r="N358" i="23"/>
  <c r="T357" i="23"/>
  <c r="S357" i="23"/>
  <c r="R357" i="23"/>
  <c r="Q357" i="23"/>
  <c r="P357" i="23"/>
  <c r="O357" i="23"/>
  <c r="N357" i="23"/>
  <c r="T356" i="23"/>
  <c r="S356" i="23"/>
  <c r="R356" i="23"/>
  <c r="Q356" i="23"/>
  <c r="P356" i="23"/>
  <c r="O356" i="23"/>
  <c r="N356" i="23"/>
  <c r="T353" i="23"/>
  <c r="S353" i="23"/>
  <c r="R353" i="23"/>
  <c r="Q353" i="23"/>
  <c r="P353" i="23"/>
  <c r="O353" i="23"/>
  <c r="N353" i="23"/>
  <c r="T350" i="23"/>
  <c r="S350" i="23"/>
  <c r="R350" i="23"/>
  <c r="Q350" i="23"/>
  <c r="P350" i="23"/>
  <c r="O350" i="23"/>
  <c r="N350" i="23"/>
  <c r="T349" i="23"/>
  <c r="S349" i="23"/>
  <c r="R349" i="23"/>
  <c r="Q349" i="23"/>
  <c r="P349" i="23"/>
  <c r="O349" i="23"/>
  <c r="N349" i="23"/>
  <c r="T348" i="23"/>
  <c r="S348" i="23"/>
  <c r="R348" i="23"/>
  <c r="Q348" i="23"/>
  <c r="P348" i="23"/>
  <c r="O348" i="23"/>
  <c r="N348" i="23"/>
  <c r="T345" i="23"/>
  <c r="S345" i="23"/>
  <c r="R345" i="23"/>
  <c r="Q345" i="23"/>
  <c r="P345" i="23"/>
  <c r="O345" i="23"/>
  <c r="N345" i="23"/>
  <c r="T342" i="23"/>
  <c r="S342" i="23"/>
  <c r="R342" i="23"/>
  <c r="Q342" i="23"/>
  <c r="P342" i="23"/>
  <c r="O342" i="23"/>
  <c r="N342" i="23"/>
  <c r="T339" i="23"/>
  <c r="S339" i="23"/>
  <c r="R339" i="23"/>
  <c r="Q339" i="23"/>
  <c r="P339" i="23"/>
  <c r="O339" i="23"/>
  <c r="N339" i="23"/>
  <c r="T338" i="23"/>
  <c r="S338" i="23"/>
  <c r="R338" i="23"/>
  <c r="Q338" i="23"/>
  <c r="P338" i="23"/>
  <c r="O338" i="23"/>
  <c r="N338" i="23"/>
  <c r="T335" i="23"/>
  <c r="S335" i="23"/>
  <c r="R335" i="23"/>
  <c r="Q335" i="23"/>
  <c r="P335" i="23"/>
  <c r="O335" i="23"/>
  <c r="N335" i="23"/>
  <c r="T334" i="23"/>
  <c r="S334" i="23"/>
  <c r="R334" i="23"/>
  <c r="Q334" i="23"/>
  <c r="P334" i="23"/>
  <c r="O334" i="23"/>
  <c r="N334" i="23"/>
  <c r="T333" i="23"/>
  <c r="S333" i="23"/>
  <c r="R333" i="23"/>
  <c r="Q333" i="23"/>
  <c r="P333" i="23"/>
  <c r="O333" i="23"/>
  <c r="N333" i="23"/>
  <c r="T330" i="23"/>
  <c r="S330" i="23"/>
  <c r="R330" i="23"/>
  <c r="Q330" i="23"/>
  <c r="P330" i="23"/>
  <c r="O330" i="23"/>
  <c r="N330" i="23"/>
  <c r="T329" i="23"/>
  <c r="S329" i="23"/>
  <c r="R329" i="23"/>
  <c r="Q329" i="23"/>
  <c r="P329" i="23"/>
  <c r="O329" i="23"/>
  <c r="N329" i="23"/>
  <c r="T328" i="23"/>
  <c r="S328" i="23"/>
  <c r="R328" i="23"/>
  <c r="Q328" i="23"/>
  <c r="P328" i="23"/>
  <c r="O328" i="23"/>
  <c r="N328" i="23"/>
  <c r="T327" i="23"/>
  <c r="S327" i="23"/>
  <c r="R327" i="23"/>
  <c r="Q327" i="23"/>
  <c r="P327" i="23"/>
  <c r="O327" i="23"/>
  <c r="N327" i="23"/>
  <c r="T323" i="23"/>
  <c r="S323" i="23"/>
  <c r="R323" i="23"/>
  <c r="Q323" i="23"/>
  <c r="P323" i="23"/>
  <c r="O323" i="23"/>
  <c r="N323" i="23"/>
  <c r="T321" i="23"/>
  <c r="S321" i="23"/>
  <c r="R321" i="23"/>
  <c r="Q321" i="23"/>
  <c r="P321" i="23"/>
  <c r="O321" i="23"/>
  <c r="N321" i="23"/>
  <c r="T314" i="23"/>
  <c r="S314" i="23"/>
  <c r="R314" i="23"/>
  <c r="Q314" i="23"/>
  <c r="P314" i="23"/>
  <c r="O314" i="23"/>
  <c r="N314" i="23"/>
  <c r="T313" i="23"/>
  <c r="S313" i="23"/>
  <c r="R313" i="23"/>
  <c r="Q313" i="23"/>
  <c r="P313" i="23"/>
  <c r="O313" i="23"/>
  <c r="N313" i="23"/>
  <c r="T312" i="23"/>
  <c r="S312" i="23"/>
  <c r="R312" i="23"/>
  <c r="Q312" i="23"/>
  <c r="P312" i="23"/>
  <c r="O312" i="23"/>
  <c r="N312" i="23"/>
  <c r="T311" i="23"/>
  <c r="S311" i="23"/>
  <c r="R311" i="23"/>
  <c r="Q311" i="23"/>
  <c r="P311" i="23"/>
  <c r="O311" i="23"/>
  <c r="N311" i="23"/>
  <c r="T310" i="23"/>
  <c r="S310" i="23"/>
  <c r="R310" i="23"/>
  <c r="Q310" i="23"/>
  <c r="P310" i="23"/>
  <c r="O310" i="23"/>
  <c r="N310" i="23"/>
  <c r="T306" i="23"/>
  <c r="S306" i="23"/>
  <c r="R306" i="23"/>
  <c r="Q306" i="23"/>
  <c r="P306" i="23"/>
  <c r="O306" i="23"/>
  <c r="N306" i="23"/>
  <c r="T305" i="23"/>
  <c r="S305" i="23"/>
  <c r="R305" i="23"/>
  <c r="Q305" i="23"/>
  <c r="P305" i="23"/>
  <c r="O305" i="23"/>
  <c r="N305" i="23"/>
  <c r="T302" i="23"/>
  <c r="S302" i="23"/>
  <c r="R302" i="23"/>
  <c r="Q302" i="23"/>
  <c r="P302" i="23"/>
  <c r="O302" i="23"/>
  <c r="N302" i="23"/>
  <c r="T301" i="23"/>
  <c r="S301" i="23"/>
  <c r="R301" i="23"/>
  <c r="Q301" i="23"/>
  <c r="P301" i="23"/>
  <c r="O301" i="23"/>
  <c r="N301" i="23"/>
  <c r="T300" i="23"/>
  <c r="S300" i="23"/>
  <c r="R300" i="23"/>
  <c r="Q300" i="23"/>
  <c r="P300" i="23"/>
  <c r="O300" i="23"/>
  <c r="N300" i="23"/>
  <c r="T299" i="23"/>
  <c r="S299" i="23"/>
  <c r="R299" i="23"/>
  <c r="Q299" i="23"/>
  <c r="P299" i="23"/>
  <c r="O299" i="23"/>
  <c r="N299" i="23"/>
  <c r="T298" i="23"/>
  <c r="S298" i="23"/>
  <c r="R298" i="23"/>
  <c r="Q298" i="23"/>
  <c r="P298" i="23"/>
  <c r="O298" i="23"/>
  <c r="N298" i="23"/>
  <c r="T295" i="23"/>
  <c r="S295" i="23"/>
  <c r="R295" i="23"/>
  <c r="Q295" i="23"/>
  <c r="P295" i="23"/>
  <c r="O295" i="23"/>
  <c r="N295" i="23"/>
  <c r="T294" i="23"/>
  <c r="S294" i="23"/>
  <c r="R294" i="23"/>
  <c r="Q294" i="23"/>
  <c r="P294" i="23"/>
  <c r="O294" i="23"/>
  <c r="N294" i="23"/>
  <c r="T291" i="23"/>
  <c r="S291" i="23"/>
  <c r="R291" i="23"/>
  <c r="Q291" i="23"/>
  <c r="P291" i="23"/>
  <c r="O291" i="23"/>
  <c r="N291" i="23"/>
  <c r="T288" i="23"/>
  <c r="S288" i="23"/>
  <c r="R288" i="23"/>
  <c r="Q288" i="23"/>
  <c r="P288" i="23"/>
  <c r="O288" i="23"/>
  <c r="N288" i="23"/>
  <c r="T282" i="23"/>
  <c r="S282" i="23"/>
  <c r="R282" i="23"/>
  <c r="Q282" i="23"/>
  <c r="P282" i="23"/>
  <c r="O282" i="23"/>
  <c r="N282" i="23"/>
  <c r="T279" i="23"/>
  <c r="S279" i="23"/>
  <c r="R279" i="23"/>
  <c r="Q279" i="23"/>
  <c r="P279" i="23"/>
  <c r="O279" i="23"/>
  <c r="N279" i="23"/>
  <c r="T278" i="23"/>
  <c r="S278" i="23"/>
  <c r="R278" i="23"/>
  <c r="Q278" i="23"/>
  <c r="P278" i="23"/>
  <c r="O278" i="23"/>
  <c r="N278" i="23"/>
  <c r="T277" i="23"/>
  <c r="S277" i="23"/>
  <c r="R277" i="23"/>
  <c r="Q277" i="23"/>
  <c r="P277" i="23"/>
  <c r="O277" i="23"/>
  <c r="N277" i="23"/>
  <c r="T276" i="23"/>
  <c r="S276" i="23"/>
  <c r="R276" i="23"/>
  <c r="Q276" i="23"/>
  <c r="P276" i="23"/>
  <c r="O276" i="23"/>
  <c r="N276" i="23"/>
  <c r="T275" i="23"/>
  <c r="S275" i="23"/>
  <c r="R275" i="23"/>
  <c r="Q275" i="23"/>
  <c r="P275" i="23"/>
  <c r="O275" i="23"/>
  <c r="N275" i="23"/>
  <c r="T274" i="23"/>
  <c r="S274" i="23"/>
  <c r="R274" i="23"/>
  <c r="Q274" i="23"/>
  <c r="P274" i="23"/>
  <c r="O274" i="23"/>
  <c r="N274" i="23"/>
  <c r="T273" i="23"/>
  <c r="S273" i="23"/>
  <c r="R273" i="23"/>
  <c r="Q273" i="23"/>
  <c r="P273" i="23"/>
  <c r="O273" i="23"/>
  <c r="N273" i="23"/>
  <c r="T272" i="23"/>
  <c r="S272" i="23"/>
  <c r="R272" i="23"/>
  <c r="Q272" i="23"/>
  <c r="P272" i="23"/>
  <c r="O272" i="23"/>
  <c r="N272" i="23"/>
  <c r="T271" i="23"/>
  <c r="S271" i="23"/>
  <c r="R271" i="23"/>
  <c r="Q271" i="23"/>
  <c r="P271" i="23"/>
  <c r="O271" i="23"/>
  <c r="N271" i="23"/>
  <c r="T270" i="23"/>
  <c r="S270" i="23"/>
  <c r="R270" i="23"/>
  <c r="Q270" i="23"/>
  <c r="P270" i="23"/>
  <c r="O270" i="23"/>
  <c r="N270" i="23"/>
  <c r="T269" i="23"/>
  <c r="S269" i="23"/>
  <c r="R269" i="23"/>
  <c r="Q269" i="23"/>
  <c r="P269" i="23"/>
  <c r="O269" i="23"/>
  <c r="N269" i="23"/>
  <c r="T268" i="23"/>
  <c r="S268" i="23"/>
  <c r="R268" i="23"/>
  <c r="Q268" i="23"/>
  <c r="P268" i="23"/>
  <c r="O268" i="23"/>
  <c r="N268" i="23"/>
  <c r="T267" i="23"/>
  <c r="S267" i="23"/>
  <c r="R267" i="23"/>
  <c r="Q267" i="23"/>
  <c r="P267" i="23"/>
  <c r="O267" i="23"/>
  <c r="N267" i="23"/>
  <c r="T266" i="23"/>
  <c r="S266" i="23"/>
  <c r="R266" i="23"/>
  <c r="Q266" i="23"/>
  <c r="P266" i="23"/>
  <c r="O266" i="23"/>
  <c r="N266" i="23"/>
  <c r="T265" i="23"/>
  <c r="S265" i="23"/>
  <c r="R265" i="23"/>
  <c r="Q265" i="23"/>
  <c r="P265" i="23"/>
  <c r="O265" i="23"/>
  <c r="N265" i="23"/>
  <c r="T262" i="23"/>
  <c r="S262" i="23"/>
  <c r="R262" i="23"/>
  <c r="Q262" i="23"/>
  <c r="P262" i="23"/>
  <c r="O262" i="23"/>
  <c r="N262" i="23"/>
  <c r="T261" i="23"/>
  <c r="S261" i="23"/>
  <c r="R261" i="23"/>
  <c r="Q261" i="23"/>
  <c r="P261" i="23"/>
  <c r="O261" i="23"/>
  <c r="N261" i="23"/>
  <c r="T260" i="23"/>
  <c r="S260" i="23"/>
  <c r="R260" i="23"/>
  <c r="Q260" i="23"/>
  <c r="P260" i="23"/>
  <c r="O260" i="23"/>
  <c r="N260" i="23"/>
  <c r="T259" i="23"/>
  <c r="S259" i="23"/>
  <c r="R259" i="23"/>
  <c r="Q259" i="23"/>
  <c r="P259" i="23"/>
  <c r="O259" i="23"/>
  <c r="N259" i="23"/>
  <c r="T258" i="23"/>
  <c r="S258" i="23"/>
  <c r="R258" i="23"/>
  <c r="Q258" i="23"/>
  <c r="P258" i="23"/>
  <c r="O258" i="23"/>
  <c r="N258" i="23"/>
  <c r="T257" i="23"/>
  <c r="S257" i="23"/>
  <c r="R257" i="23"/>
  <c r="Q257" i="23"/>
  <c r="P257" i="23"/>
  <c r="O257" i="23"/>
  <c r="N257" i="23"/>
  <c r="T256" i="23"/>
  <c r="S256" i="23"/>
  <c r="R256" i="23"/>
  <c r="Q256" i="23"/>
  <c r="P256" i="23"/>
  <c r="O256" i="23"/>
  <c r="N256" i="23"/>
  <c r="T255" i="23"/>
  <c r="S255" i="23"/>
  <c r="R255" i="23"/>
  <c r="Q255" i="23"/>
  <c r="P255" i="23"/>
  <c r="O255" i="23"/>
  <c r="N255" i="23"/>
  <c r="T254" i="23"/>
  <c r="S254" i="23"/>
  <c r="R254" i="23"/>
  <c r="Q254" i="23"/>
  <c r="P254" i="23"/>
  <c r="O254" i="23"/>
  <c r="N254" i="23"/>
  <c r="T253" i="23"/>
  <c r="S253" i="23"/>
  <c r="R253" i="23"/>
  <c r="Q253" i="23"/>
  <c r="P253" i="23"/>
  <c r="O253" i="23"/>
  <c r="N253" i="23"/>
  <c r="T252" i="23"/>
  <c r="S252" i="23"/>
  <c r="R252" i="23"/>
  <c r="Q252" i="23"/>
  <c r="P252" i="23"/>
  <c r="O252" i="23"/>
  <c r="N252" i="23"/>
  <c r="T249" i="23"/>
  <c r="S249" i="23"/>
  <c r="R249" i="23"/>
  <c r="Q249" i="23"/>
  <c r="P249" i="23"/>
  <c r="O249" i="23"/>
  <c r="N249" i="23"/>
  <c r="T248" i="23"/>
  <c r="S248" i="23"/>
  <c r="R248" i="23"/>
  <c r="Q248" i="23"/>
  <c r="P248" i="23"/>
  <c r="O248" i="23"/>
  <c r="N248" i="23"/>
  <c r="T247" i="23"/>
  <c r="S247" i="23"/>
  <c r="R247" i="23"/>
  <c r="Q247" i="23"/>
  <c r="P247" i="23"/>
  <c r="O247" i="23"/>
  <c r="N247" i="23"/>
  <c r="T246" i="23"/>
  <c r="S246" i="23"/>
  <c r="R246" i="23"/>
  <c r="Q246" i="23"/>
  <c r="P246" i="23"/>
  <c r="O246" i="23"/>
  <c r="N246" i="23"/>
  <c r="T244" i="23"/>
  <c r="S244" i="23"/>
  <c r="R244" i="23"/>
  <c r="Q244" i="23"/>
  <c r="P244" i="23"/>
  <c r="O244" i="23"/>
  <c r="N244" i="23"/>
  <c r="T243" i="23"/>
  <c r="S243" i="23"/>
  <c r="R243" i="23"/>
  <c r="Q243" i="23"/>
  <c r="P243" i="23"/>
  <c r="O243" i="23"/>
  <c r="N243" i="23"/>
  <c r="T242" i="23"/>
  <c r="S242" i="23"/>
  <c r="R242" i="23"/>
  <c r="Q242" i="23"/>
  <c r="P242" i="23"/>
  <c r="O242" i="23"/>
  <c r="N242" i="23"/>
  <c r="T241" i="23"/>
  <c r="S241" i="23"/>
  <c r="R241" i="23"/>
  <c r="Q241" i="23"/>
  <c r="P241" i="23"/>
  <c r="O241" i="23"/>
  <c r="N241" i="23"/>
  <c r="T240" i="23"/>
  <c r="S240" i="23"/>
  <c r="R240" i="23"/>
  <c r="Q240" i="23"/>
  <c r="P240" i="23"/>
  <c r="O240" i="23"/>
  <c r="N240" i="23"/>
  <c r="T238" i="23"/>
  <c r="S238" i="23"/>
  <c r="R238" i="23"/>
  <c r="Q238" i="23"/>
  <c r="P238" i="23"/>
  <c r="O238" i="23"/>
  <c r="N238" i="23"/>
  <c r="T235" i="23"/>
  <c r="S235" i="23"/>
  <c r="R235" i="23"/>
  <c r="Q235" i="23"/>
  <c r="P235" i="23"/>
  <c r="O235" i="23"/>
  <c r="N235" i="23"/>
  <c r="T234" i="23"/>
  <c r="S234" i="23"/>
  <c r="R234" i="23"/>
  <c r="Q234" i="23"/>
  <c r="P234" i="23"/>
  <c r="O234" i="23"/>
  <c r="N234" i="23"/>
  <c r="T233" i="23"/>
  <c r="S233" i="23"/>
  <c r="R233" i="23"/>
  <c r="Q233" i="23"/>
  <c r="P233" i="23"/>
  <c r="O233" i="23"/>
  <c r="N233" i="23"/>
  <c r="T230" i="23"/>
  <c r="S230" i="23"/>
  <c r="R230" i="23"/>
  <c r="Q230" i="23"/>
  <c r="P230" i="23"/>
  <c r="O230" i="23"/>
  <c r="N230" i="23"/>
  <c r="T229" i="23"/>
  <c r="S229" i="23"/>
  <c r="R229" i="23"/>
  <c r="Q229" i="23"/>
  <c r="P229" i="23"/>
  <c r="O229" i="23"/>
  <c r="N229" i="23"/>
  <c r="T226" i="23"/>
  <c r="S226" i="23"/>
  <c r="R226" i="23"/>
  <c r="Q226" i="23"/>
  <c r="P226" i="23"/>
  <c r="O226" i="23"/>
  <c r="N226" i="23"/>
  <c r="T225" i="23"/>
  <c r="S225" i="23"/>
  <c r="R225" i="23"/>
  <c r="Q225" i="23"/>
  <c r="P225" i="23"/>
  <c r="O225" i="23"/>
  <c r="N225" i="23"/>
  <c r="T224" i="23"/>
  <c r="S224" i="23"/>
  <c r="R224" i="23"/>
  <c r="Q224" i="23"/>
  <c r="P224" i="23"/>
  <c r="O224" i="23"/>
  <c r="N224" i="23"/>
  <c r="T223" i="23"/>
  <c r="S223" i="23"/>
  <c r="R223" i="23"/>
  <c r="Q223" i="23"/>
  <c r="P223" i="23"/>
  <c r="O223" i="23"/>
  <c r="N223" i="23"/>
  <c r="T222" i="23"/>
  <c r="S222" i="23"/>
  <c r="R222" i="23"/>
  <c r="Q222" i="23"/>
  <c r="P222" i="23"/>
  <c r="O222" i="23"/>
  <c r="N222" i="23"/>
  <c r="T218" i="23"/>
  <c r="S218" i="23"/>
  <c r="R218" i="23"/>
  <c r="Q218" i="23"/>
  <c r="P218" i="23"/>
  <c r="O218" i="23"/>
  <c r="N218" i="23"/>
  <c r="T216" i="23"/>
  <c r="S216" i="23"/>
  <c r="R216" i="23"/>
  <c r="Q216" i="23"/>
  <c r="P216" i="23"/>
  <c r="O216" i="23"/>
  <c r="N216" i="23"/>
  <c r="T214" i="23"/>
  <c r="S214" i="23"/>
  <c r="R214" i="23"/>
  <c r="Q214" i="23"/>
  <c r="P214" i="23"/>
  <c r="O214" i="23"/>
  <c r="N214" i="23"/>
  <c r="T212" i="23"/>
  <c r="S212" i="23"/>
  <c r="R212" i="23"/>
  <c r="Q212" i="23"/>
  <c r="P212" i="23"/>
  <c r="O212" i="23"/>
  <c r="N212" i="23"/>
  <c r="T210" i="23"/>
  <c r="S210" i="23"/>
  <c r="R210" i="23"/>
  <c r="Q210" i="23"/>
  <c r="P210" i="23"/>
  <c r="O210" i="23"/>
  <c r="N210" i="23"/>
  <c r="T208" i="23"/>
  <c r="S208" i="23"/>
  <c r="R208" i="23"/>
  <c r="Q208" i="23"/>
  <c r="P208" i="23"/>
  <c r="O208" i="23"/>
  <c r="N208" i="23"/>
  <c r="T202" i="23"/>
  <c r="S202" i="23"/>
  <c r="R202" i="23"/>
  <c r="Q202" i="23"/>
  <c r="P202" i="23"/>
  <c r="O202" i="23"/>
  <c r="N202" i="23"/>
  <c r="T201" i="23"/>
  <c r="S201" i="23"/>
  <c r="R201" i="23"/>
  <c r="Q201" i="23"/>
  <c r="P201" i="23"/>
  <c r="O201" i="23"/>
  <c r="N201" i="23"/>
  <c r="T200" i="23"/>
  <c r="S200" i="23"/>
  <c r="R200" i="23"/>
  <c r="Q200" i="23"/>
  <c r="P200" i="23"/>
  <c r="O200" i="23"/>
  <c r="N200" i="23"/>
  <c r="T199" i="23"/>
  <c r="S199" i="23"/>
  <c r="R199" i="23"/>
  <c r="Q199" i="23"/>
  <c r="P199" i="23"/>
  <c r="O199" i="23"/>
  <c r="N199" i="23"/>
  <c r="T198" i="23"/>
  <c r="S198" i="23"/>
  <c r="R198" i="23"/>
  <c r="Q198" i="23"/>
  <c r="P198" i="23"/>
  <c r="O198" i="23"/>
  <c r="N198" i="23"/>
  <c r="T195" i="23"/>
  <c r="S195" i="23"/>
  <c r="R195" i="23"/>
  <c r="Q195" i="23"/>
  <c r="P195" i="23"/>
  <c r="O195" i="23"/>
  <c r="N195" i="23"/>
  <c r="T192" i="23"/>
  <c r="S192" i="23"/>
  <c r="R192" i="23"/>
  <c r="Q192" i="23"/>
  <c r="P192" i="23"/>
  <c r="O192" i="23"/>
  <c r="N192" i="23"/>
  <c r="T191" i="23"/>
  <c r="S191" i="23"/>
  <c r="R191" i="23"/>
  <c r="Q191" i="23"/>
  <c r="P191" i="23"/>
  <c r="O191" i="23"/>
  <c r="N191" i="23"/>
  <c r="T190" i="23"/>
  <c r="S190" i="23"/>
  <c r="R190" i="23"/>
  <c r="Q190" i="23"/>
  <c r="P190" i="23"/>
  <c r="O190" i="23"/>
  <c r="N190" i="23"/>
  <c r="T186" i="23"/>
  <c r="S186" i="23"/>
  <c r="R186" i="23"/>
  <c r="Q186" i="23"/>
  <c r="P186" i="23"/>
  <c r="O186" i="23"/>
  <c r="N186" i="23"/>
  <c r="T185" i="23"/>
  <c r="S185" i="23"/>
  <c r="R185" i="23"/>
  <c r="Q185" i="23"/>
  <c r="P185" i="23"/>
  <c r="O185" i="23"/>
  <c r="N185" i="23"/>
  <c r="T182" i="23"/>
  <c r="S182" i="23"/>
  <c r="R182" i="23"/>
  <c r="Q182" i="23"/>
  <c r="P182" i="23"/>
  <c r="O182" i="23"/>
  <c r="N182" i="23"/>
  <c r="T179" i="23"/>
  <c r="S179" i="23"/>
  <c r="R179" i="23"/>
  <c r="Q179" i="23"/>
  <c r="P179" i="23"/>
  <c r="O179" i="23"/>
  <c r="N179" i="23"/>
  <c r="T176" i="23"/>
  <c r="S176" i="23"/>
  <c r="R176" i="23"/>
  <c r="Q176" i="23"/>
  <c r="P176" i="23"/>
  <c r="O176" i="23"/>
  <c r="N176" i="23"/>
  <c r="T175" i="23"/>
  <c r="S175" i="23"/>
  <c r="R175" i="23"/>
  <c r="Q175" i="23"/>
  <c r="P175" i="23"/>
  <c r="O175" i="23"/>
  <c r="N175" i="23"/>
  <c r="T172" i="23"/>
  <c r="S172" i="23"/>
  <c r="R172" i="23"/>
  <c r="Q172" i="23"/>
  <c r="P172" i="23"/>
  <c r="O172" i="23"/>
  <c r="N172" i="23"/>
  <c r="T171" i="23"/>
  <c r="S171" i="23"/>
  <c r="R171" i="23"/>
  <c r="Q171" i="23"/>
  <c r="P171" i="23"/>
  <c r="O171" i="23"/>
  <c r="N171" i="23"/>
  <c r="T170" i="23"/>
  <c r="S170" i="23"/>
  <c r="R170" i="23"/>
  <c r="Q170" i="23"/>
  <c r="P170" i="23"/>
  <c r="O170" i="23"/>
  <c r="N170" i="23"/>
  <c r="T169" i="23"/>
  <c r="S169" i="23"/>
  <c r="R169" i="23"/>
  <c r="Q169" i="23"/>
  <c r="P169" i="23"/>
  <c r="O169" i="23"/>
  <c r="N169" i="23"/>
  <c r="T168" i="23"/>
  <c r="S168" i="23"/>
  <c r="R168" i="23"/>
  <c r="Q168" i="23"/>
  <c r="P168" i="23"/>
  <c r="O168" i="23"/>
  <c r="N168" i="23"/>
  <c r="T165" i="23"/>
  <c r="S165" i="23"/>
  <c r="R165" i="23"/>
  <c r="Q165" i="23"/>
  <c r="P165" i="23"/>
  <c r="O165" i="23"/>
  <c r="N165" i="23"/>
  <c r="T164" i="23"/>
  <c r="S164" i="23"/>
  <c r="R164" i="23"/>
  <c r="Q164" i="23"/>
  <c r="P164" i="23"/>
  <c r="O164" i="23"/>
  <c r="N164" i="23"/>
  <c r="T163" i="23"/>
  <c r="S163" i="23"/>
  <c r="R163" i="23"/>
  <c r="Q163" i="23"/>
  <c r="P163" i="23"/>
  <c r="O163" i="23"/>
  <c r="N163" i="23"/>
  <c r="T162" i="23"/>
  <c r="S162" i="23"/>
  <c r="R162" i="23"/>
  <c r="Q162" i="23"/>
  <c r="P162" i="23"/>
  <c r="O162" i="23"/>
  <c r="N162" i="23"/>
  <c r="T161" i="23"/>
  <c r="S161" i="23"/>
  <c r="R161" i="23"/>
  <c r="Q161" i="23"/>
  <c r="P161" i="23"/>
  <c r="O161" i="23"/>
  <c r="N161" i="23"/>
  <c r="T160" i="23"/>
  <c r="S160" i="23"/>
  <c r="R160" i="23"/>
  <c r="Q160" i="23"/>
  <c r="P160" i="23"/>
  <c r="O160" i="23"/>
  <c r="N160" i="23"/>
  <c r="T159" i="23"/>
  <c r="S159" i="23"/>
  <c r="R159" i="23"/>
  <c r="Q159" i="23"/>
  <c r="P159" i="23"/>
  <c r="O159" i="23"/>
  <c r="N159" i="23"/>
  <c r="T158" i="23"/>
  <c r="S158" i="23"/>
  <c r="R158" i="23"/>
  <c r="Q158" i="23"/>
  <c r="P158" i="23"/>
  <c r="O158" i="23"/>
  <c r="N158" i="23"/>
  <c r="T157" i="23"/>
  <c r="S157" i="23"/>
  <c r="R157" i="23"/>
  <c r="Q157" i="23"/>
  <c r="P157" i="23"/>
  <c r="O157" i="23"/>
  <c r="N157" i="23"/>
  <c r="T156" i="23"/>
  <c r="S156" i="23"/>
  <c r="R156" i="23"/>
  <c r="Q156" i="23"/>
  <c r="P156" i="23"/>
  <c r="O156" i="23"/>
  <c r="N156" i="23"/>
  <c r="T153" i="23"/>
  <c r="S153" i="23"/>
  <c r="R153" i="23"/>
  <c r="Q153" i="23"/>
  <c r="P153" i="23"/>
  <c r="O153" i="23"/>
  <c r="N153" i="23"/>
  <c r="T152" i="23"/>
  <c r="S152" i="23"/>
  <c r="R152" i="23"/>
  <c r="Q152" i="23"/>
  <c r="P152" i="23"/>
  <c r="O152" i="23"/>
  <c r="N152" i="23"/>
  <c r="T151" i="23"/>
  <c r="S151" i="23"/>
  <c r="R151" i="23"/>
  <c r="Q151" i="23"/>
  <c r="P151" i="23"/>
  <c r="O151" i="23"/>
  <c r="N151" i="23"/>
  <c r="T150" i="23"/>
  <c r="S150" i="23"/>
  <c r="R150" i="23"/>
  <c r="Q150" i="23"/>
  <c r="P150" i="23"/>
  <c r="O150" i="23"/>
  <c r="N150" i="23"/>
  <c r="T149" i="23"/>
  <c r="S149" i="23"/>
  <c r="R149" i="23"/>
  <c r="Q149" i="23"/>
  <c r="P149" i="23"/>
  <c r="O149" i="23"/>
  <c r="N149" i="23"/>
  <c r="T145" i="23"/>
  <c r="S145" i="23"/>
  <c r="R145" i="23"/>
  <c r="Q145" i="23"/>
  <c r="P145" i="23"/>
  <c r="O145" i="23"/>
  <c r="N145" i="23"/>
  <c r="T141" i="23"/>
  <c r="S141" i="23"/>
  <c r="R141" i="23"/>
  <c r="Q141" i="23"/>
  <c r="P141" i="23"/>
  <c r="O141" i="23"/>
  <c r="N141" i="23"/>
  <c r="T139" i="23"/>
  <c r="S139" i="23"/>
  <c r="R139" i="23"/>
  <c r="Q139" i="23"/>
  <c r="P139" i="23"/>
  <c r="O139" i="23"/>
  <c r="N139" i="23"/>
  <c r="T138" i="23"/>
  <c r="S138" i="23"/>
  <c r="R138" i="23"/>
  <c r="Q138" i="23"/>
  <c r="P138" i="23"/>
  <c r="O138" i="23"/>
  <c r="N138" i="23"/>
  <c r="T137" i="23"/>
  <c r="S137" i="23"/>
  <c r="R137" i="23"/>
  <c r="Q137" i="23"/>
  <c r="P137" i="23"/>
  <c r="O137" i="23"/>
  <c r="N137" i="23"/>
  <c r="T135" i="23"/>
  <c r="S135" i="23"/>
  <c r="R135" i="23"/>
  <c r="Q135" i="23"/>
  <c r="P135" i="23"/>
  <c r="O135" i="23"/>
  <c r="N135" i="23"/>
  <c r="T132" i="23"/>
  <c r="S132" i="23"/>
  <c r="R132" i="23"/>
  <c r="Q132" i="23"/>
  <c r="P132" i="23"/>
  <c r="O132" i="23"/>
  <c r="N132" i="23"/>
  <c r="T131" i="23"/>
  <c r="S131" i="23"/>
  <c r="R131" i="23"/>
  <c r="Q131" i="23"/>
  <c r="P131" i="23"/>
  <c r="O131" i="23"/>
  <c r="N131" i="23"/>
  <c r="T130" i="23"/>
  <c r="S130" i="23"/>
  <c r="R130" i="23"/>
  <c r="Q130" i="23"/>
  <c r="P130" i="23"/>
  <c r="O130" i="23"/>
  <c r="N130" i="23"/>
  <c r="T129" i="23"/>
  <c r="S129" i="23"/>
  <c r="R129" i="23"/>
  <c r="Q129" i="23"/>
  <c r="P129" i="23"/>
  <c r="O129" i="23"/>
  <c r="N129" i="23"/>
  <c r="T128" i="23"/>
  <c r="S128" i="23"/>
  <c r="R128" i="23"/>
  <c r="Q128" i="23"/>
  <c r="P128" i="23"/>
  <c r="O128" i="23"/>
  <c r="N128" i="23"/>
  <c r="T127" i="23"/>
  <c r="S127" i="23"/>
  <c r="R127" i="23"/>
  <c r="Q127" i="23"/>
  <c r="P127" i="23"/>
  <c r="O127" i="23"/>
  <c r="N127" i="23"/>
  <c r="T126" i="23"/>
  <c r="S126" i="23"/>
  <c r="R126" i="23"/>
  <c r="Q126" i="23"/>
  <c r="P126" i="23"/>
  <c r="O126" i="23"/>
  <c r="N126" i="23"/>
  <c r="T124" i="23"/>
  <c r="S124" i="23"/>
  <c r="R124" i="23"/>
  <c r="Q124" i="23"/>
  <c r="P124" i="23"/>
  <c r="O124" i="23"/>
  <c r="N124" i="23"/>
  <c r="T122" i="23"/>
  <c r="S122" i="23"/>
  <c r="R122" i="23"/>
  <c r="Q122" i="23"/>
  <c r="P122" i="23"/>
  <c r="O122" i="23"/>
  <c r="N122" i="23"/>
  <c r="T121" i="23"/>
  <c r="S121" i="23"/>
  <c r="R121" i="23"/>
  <c r="Q121" i="23"/>
  <c r="P121" i="23"/>
  <c r="O121" i="23"/>
  <c r="N121" i="23"/>
  <c r="T120" i="23"/>
  <c r="S120" i="23"/>
  <c r="R120" i="23"/>
  <c r="Q120" i="23"/>
  <c r="P120" i="23"/>
  <c r="O120" i="23"/>
  <c r="N120" i="23"/>
  <c r="T119" i="23"/>
  <c r="S119" i="23"/>
  <c r="R119" i="23"/>
  <c r="Q119" i="23"/>
  <c r="P119" i="23"/>
  <c r="O119" i="23"/>
  <c r="N119" i="23"/>
  <c r="T118" i="23"/>
  <c r="S118" i="23"/>
  <c r="R118" i="23"/>
  <c r="Q118" i="23"/>
  <c r="P118" i="23"/>
  <c r="O118" i="23"/>
  <c r="N118" i="23"/>
  <c r="T117" i="23"/>
  <c r="S117" i="23"/>
  <c r="R117" i="23"/>
  <c r="Q117" i="23"/>
  <c r="P117" i="23"/>
  <c r="O117" i="23"/>
  <c r="N117" i="23"/>
  <c r="T116" i="23"/>
  <c r="S116" i="23"/>
  <c r="R116" i="23"/>
  <c r="Q116" i="23"/>
  <c r="P116" i="23"/>
  <c r="O116" i="23"/>
  <c r="N116" i="23"/>
  <c r="T115" i="23"/>
  <c r="S115" i="23"/>
  <c r="R115" i="23"/>
  <c r="Q115" i="23"/>
  <c r="P115" i="23"/>
  <c r="O115" i="23"/>
  <c r="N115" i="23"/>
  <c r="T113" i="23"/>
  <c r="S113" i="23"/>
  <c r="R113" i="23"/>
  <c r="Q113" i="23"/>
  <c r="P113" i="23"/>
  <c r="O113" i="23"/>
  <c r="N113" i="23"/>
  <c r="T111" i="23"/>
  <c r="S111" i="23"/>
  <c r="R111" i="23"/>
  <c r="Q111" i="23"/>
  <c r="P111" i="23"/>
  <c r="O111" i="23"/>
  <c r="N111" i="23"/>
  <c r="T107" i="23"/>
  <c r="S107" i="23"/>
  <c r="R107" i="23"/>
  <c r="Q107" i="23"/>
  <c r="P107" i="23"/>
  <c r="O107" i="23"/>
  <c r="N107" i="23"/>
  <c r="T105" i="23"/>
  <c r="S105" i="23"/>
  <c r="R105" i="23"/>
  <c r="Q105" i="23"/>
  <c r="P105" i="23"/>
  <c r="O105" i="23"/>
  <c r="N105" i="23"/>
  <c r="T103" i="23"/>
  <c r="S103" i="23"/>
  <c r="R103" i="23"/>
  <c r="Q103" i="23"/>
  <c r="P103" i="23"/>
  <c r="O103" i="23"/>
  <c r="N103" i="23"/>
  <c r="T101" i="23"/>
  <c r="S101" i="23"/>
  <c r="R101" i="23"/>
  <c r="Q101" i="23"/>
  <c r="P101" i="23"/>
  <c r="O101" i="23"/>
  <c r="N101" i="23"/>
  <c r="T99" i="23"/>
  <c r="S99" i="23"/>
  <c r="R99" i="23"/>
  <c r="Q99" i="23"/>
  <c r="P99" i="23"/>
  <c r="O99" i="23"/>
  <c r="N99" i="23"/>
  <c r="T93" i="23"/>
  <c r="S93" i="23"/>
  <c r="R93" i="23"/>
  <c r="Q93" i="23"/>
  <c r="P93" i="23"/>
  <c r="O93" i="23"/>
  <c r="N93" i="23"/>
  <c r="T92" i="23"/>
  <c r="S92" i="23"/>
  <c r="R92" i="23"/>
  <c r="Q92" i="23"/>
  <c r="P92" i="23"/>
  <c r="O92" i="23"/>
  <c r="N92" i="23"/>
  <c r="T91" i="23"/>
  <c r="S91" i="23"/>
  <c r="R91" i="23"/>
  <c r="Q91" i="23"/>
  <c r="P91" i="23"/>
  <c r="O91" i="23"/>
  <c r="N91" i="23"/>
  <c r="T90" i="23"/>
  <c r="S90" i="23"/>
  <c r="R90" i="23"/>
  <c r="Q90" i="23"/>
  <c r="P90" i="23"/>
  <c r="O90" i="23"/>
  <c r="N90" i="23"/>
  <c r="T87" i="23"/>
  <c r="S87" i="23"/>
  <c r="R87" i="23"/>
  <c r="Q87" i="23"/>
  <c r="P87" i="23"/>
  <c r="O87" i="23"/>
  <c r="N87" i="23"/>
  <c r="T84" i="23"/>
  <c r="S84" i="23"/>
  <c r="R84" i="23"/>
  <c r="Q84" i="23"/>
  <c r="P84" i="23"/>
  <c r="O84" i="23"/>
  <c r="N84" i="23"/>
  <c r="T81" i="23"/>
  <c r="S81" i="23"/>
  <c r="R81" i="23"/>
  <c r="Q81" i="23"/>
  <c r="P81" i="23"/>
  <c r="O81" i="23"/>
  <c r="N81" i="23"/>
  <c r="T78" i="23"/>
  <c r="S78" i="23"/>
  <c r="R78" i="23"/>
  <c r="Q78" i="23"/>
  <c r="P78" i="23"/>
  <c r="O78" i="23"/>
  <c r="N78" i="23"/>
  <c r="T77" i="23"/>
  <c r="S77" i="23"/>
  <c r="R77" i="23"/>
  <c r="Q77" i="23"/>
  <c r="P77" i="23"/>
  <c r="O77" i="23"/>
  <c r="N77" i="23"/>
  <c r="T74" i="23"/>
  <c r="S74" i="23"/>
  <c r="R74" i="23"/>
  <c r="Q74" i="23"/>
  <c r="P74" i="23"/>
  <c r="O74" i="23"/>
  <c r="N74" i="23"/>
  <c r="T71" i="23"/>
  <c r="S71" i="23"/>
  <c r="R71" i="23"/>
  <c r="Q71" i="23"/>
  <c r="P71" i="23"/>
  <c r="O71" i="23"/>
  <c r="N71" i="23"/>
  <c r="T70" i="23"/>
  <c r="S70" i="23"/>
  <c r="R70" i="23"/>
  <c r="Q70" i="23"/>
  <c r="P70" i="23"/>
  <c r="O70" i="23"/>
  <c r="N70" i="23"/>
  <c r="T67" i="23"/>
  <c r="S67" i="23"/>
  <c r="R67" i="23"/>
  <c r="Q67" i="23"/>
  <c r="P67" i="23"/>
  <c r="O67" i="23"/>
  <c r="N67" i="23"/>
  <c r="T64" i="23"/>
  <c r="S64" i="23"/>
  <c r="R64" i="23"/>
  <c r="Q64" i="23"/>
  <c r="P64" i="23"/>
  <c r="O64" i="23"/>
  <c r="N64" i="23"/>
  <c r="T63" i="23"/>
  <c r="S63" i="23"/>
  <c r="R63" i="23"/>
  <c r="Q63" i="23"/>
  <c r="P63" i="23"/>
  <c r="O63" i="23"/>
  <c r="N63" i="23"/>
  <c r="T62" i="23"/>
  <c r="S62" i="23"/>
  <c r="R62" i="23"/>
  <c r="Q62" i="23"/>
  <c r="P62" i="23"/>
  <c r="O62" i="23"/>
  <c r="N62" i="23"/>
  <c r="T59" i="23"/>
  <c r="S59" i="23"/>
  <c r="R59" i="23"/>
  <c r="Q59" i="23"/>
  <c r="P59" i="23"/>
  <c r="O59" i="23"/>
  <c r="N59" i="23"/>
  <c r="T58" i="23"/>
  <c r="S58" i="23"/>
  <c r="R58" i="23"/>
  <c r="Q58" i="23"/>
  <c r="P58" i="23"/>
  <c r="O58" i="23"/>
  <c r="N58" i="23"/>
  <c r="T57" i="23"/>
  <c r="S57" i="23"/>
  <c r="R57" i="23"/>
  <c r="Q57" i="23"/>
  <c r="P57" i="23"/>
  <c r="O57" i="23"/>
  <c r="N57" i="23"/>
  <c r="T56" i="23"/>
  <c r="S56" i="23"/>
  <c r="R56" i="23"/>
  <c r="Q56" i="23"/>
  <c r="P56" i="23"/>
  <c r="O56" i="23"/>
  <c r="N56" i="23"/>
  <c r="T55" i="23"/>
  <c r="S55" i="23"/>
  <c r="R55" i="23"/>
  <c r="Q55" i="23"/>
  <c r="P55" i="23"/>
  <c r="O55" i="23"/>
  <c r="N55" i="23"/>
  <c r="T52" i="23"/>
  <c r="S52" i="23"/>
  <c r="R52" i="23"/>
  <c r="Q52" i="23"/>
  <c r="P52" i="23"/>
  <c r="O52" i="23"/>
  <c r="N52" i="23"/>
  <c r="T51" i="23"/>
  <c r="S51" i="23"/>
  <c r="R51" i="23"/>
  <c r="Q51" i="23"/>
  <c r="P51" i="23"/>
  <c r="O51" i="23"/>
  <c r="N51" i="23"/>
  <c r="T50" i="23"/>
  <c r="S50" i="23"/>
  <c r="R50" i="23"/>
  <c r="Q50" i="23"/>
  <c r="P50" i="23"/>
  <c r="O50" i="23"/>
  <c r="N50" i="23"/>
  <c r="T49" i="23"/>
  <c r="S49" i="23"/>
  <c r="R49" i="23"/>
  <c r="Q49" i="23"/>
  <c r="P49" i="23"/>
  <c r="O49" i="23"/>
  <c r="N49" i="23"/>
  <c r="T48" i="23"/>
  <c r="S48" i="23"/>
  <c r="R48" i="23"/>
  <c r="Q48" i="23"/>
  <c r="P48" i="23"/>
  <c r="O48" i="23"/>
  <c r="N48" i="23"/>
  <c r="T47" i="23"/>
  <c r="S47" i="23"/>
  <c r="R47" i="23"/>
  <c r="Q47" i="23"/>
  <c r="P47" i="23"/>
  <c r="O47" i="23"/>
  <c r="N47" i="23"/>
  <c r="T44" i="23"/>
  <c r="S44" i="23"/>
  <c r="R44" i="23"/>
  <c r="Q44" i="23"/>
  <c r="P44" i="23"/>
  <c r="O44" i="23"/>
  <c r="N44" i="23"/>
  <c r="T43" i="23"/>
  <c r="S43" i="23"/>
  <c r="R43" i="23"/>
  <c r="Q43" i="23"/>
  <c r="P43" i="23"/>
  <c r="O43" i="23"/>
  <c r="N43" i="23"/>
  <c r="T42" i="23"/>
  <c r="S42" i="23"/>
  <c r="R42" i="23"/>
  <c r="Q42" i="23"/>
  <c r="P42" i="23"/>
  <c r="O42" i="23"/>
  <c r="N42" i="23"/>
  <c r="T41" i="23"/>
  <c r="S41" i="23"/>
  <c r="R41" i="23"/>
  <c r="Q41" i="23"/>
  <c r="P41" i="23"/>
  <c r="O41" i="23"/>
  <c r="N41" i="23"/>
  <c r="T38" i="23"/>
  <c r="S38" i="23"/>
  <c r="R38" i="23"/>
  <c r="Q38" i="23"/>
  <c r="P38" i="23"/>
  <c r="O38" i="23"/>
  <c r="N38" i="23"/>
  <c r="T37" i="23"/>
  <c r="S37" i="23"/>
  <c r="R37" i="23"/>
  <c r="Q37" i="23"/>
  <c r="P37" i="23"/>
  <c r="O37" i="23"/>
  <c r="N37" i="23"/>
  <c r="T34" i="23"/>
  <c r="S34" i="23"/>
  <c r="R34" i="23"/>
  <c r="Q34" i="23"/>
  <c r="P34" i="23"/>
  <c r="O34" i="23"/>
  <c r="N34" i="23"/>
  <c r="T33" i="23"/>
  <c r="S33" i="23"/>
  <c r="R33" i="23"/>
  <c r="Q33" i="23"/>
  <c r="P33" i="23"/>
  <c r="O33" i="23"/>
  <c r="N33" i="23"/>
  <c r="T32" i="23"/>
  <c r="S32" i="23"/>
  <c r="R32" i="23"/>
  <c r="Q32" i="23"/>
  <c r="P32" i="23"/>
  <c r="O32" i="23"/>
  <c r="N32" i="23"/>
  <c r="T30" i="23"/>
  <c r="S30" i="23"/>
  <c r="R30" i="23"/>
  <c r="Q30" i="23"/>
  <c r="P30" i="23"/>
  <c r="O30" i="23"/>
  <c r="N30" i="23"/>
  <c r="T28" i="23"/>
  <c r="S28" i="23"/>
  <c r="R28" i="23"/>
  <c r="Q28" i="23"/>
  <c r="P28" i="23"/>
  <c r="O28" i="23"/>
  <c r="N28" i="23"/>
  <c r="T27" i="23"/>
  <c r="S27" i="23"/>
  <c r="R27" i="23"/>
  <c r="Q27" i="23"/>
  <c r="P27" i="23"/>
  <c r="O27" i="23"/>
  <c r="N27" i="23"/>
  <c r="T26" i="23"/>
  <c r="S26" i="23"/>
  <c r="R26" i="23"/>
  <c r="Q26" i="23"/>
  <c r="P26" i="23"/>
  <c r="O26" i="23"/>
  <c r="N26" i="23"/>
  <c r="T23" i="23"/>
  <c r="S23" i="23"/>
  <c r="R23" i="23"/>
  <c r="Q23" i="23"/>
  <c r="P23" i="23"/>
  <c r="O23" i="23"/>
  <c r="N23" i="23"/>
  <c r="T19" i="23"/>
  <c r="S19" i="23"/>
  <c r="R19" i="23"/>
  <c r="Q19" i="23"/>
  <c r="P19" i="23"/>
  <c r="O19" i="23"/>
  <c r="N19" i="23"/>
  <c r="T17" i="23"/>
  <c r="S17" i="23"/>
  <c r="R17" i="23"/>
  <c r="Q17" i="23"/>
  <c r="P17" i="23"/>
  <c r="O17" i="23"/>
  <c r="N17" i="23"/>
  <c r="T15" i="23"/>
  <c r="S15" i="23"/>
  <c r="R15" i="23"/>
  <c r="Q15" i="23"/>
  <c r="P15" i="23"/>
  <c r="O15" i="23"/>
  <c r="N15" i="23"/>
  <c r="T13" i="23"/>
  <c r="S13" i="23"/>
  <c r="R13" i="23"/>
  <c r="Q13" i="23"/>
  <c r="P13" i="23"/>
  <c r="O13" i="23"/>
  <c r="N13" i="23"/>
  <c r="T11" i="23"/>
  <c r="S11" i="23"/>
  <c r="R11" i="23"/>
  <c r="Q11" i="23"/>
  <c r="P11" i="23"/>
  <c r="O11" i="23"/>
  <c r="N11" i="23"/>
  <c r="X271" i="22"/>
  <c r="Y271" i="22"/>
  <c r="Z271" i="22"/>
  <c r="AA271" i="22"/>
  <c r="AA270" i="22"/>
  <c r="Z270" i="22"/>
  <c r="Y270" i="22"/>
  <c r="X270" i="22"/>
  <c r="I266" i="22"/>
  <c r="H266" i="22"/>
  <c r="G266" i="22"/>
  <c r="F266" i="22"/>
  <c r="I265" i="22"/>
  <c r="H265" i="22"/>
  <c r="G265" i="22"/>
  <c r="F265" i="22"/>
  <c r="I264" i="22"/>
  <c r="H264" i="22"/>
  <c r="G264" i="22"/>
  <c r="F264" i="22"/>
  <c r="I263" i="22"/>
  <c r="H263" i="22"/>
  <c r="G263" i="22"/>
  <c r="F263" i="22"/>
  <c r="I262" i="22"/>
  <c r="H262" i="22"/>
  <c r="G262" i="22"/>
  <c r="F262" i="22"/>
  <c r="I261" i="22"/>
  <c r="H261" i="22"/>
  <c r="G261" i="22"/>
  <c r="F261" i="22"/>
  <c r="I260" i="22"/>
  <c r="H260" i="22"/>
  <c r="G260" i="22"/>
  <c r="F260" i="22"/>
  <c r="I259" i="22"/>
  <c r="H259" i="22"/>
  <c r="G259" i="22"/>
  <c r="F259" i="22"/>
  <c r="I258" i="22"/>
  <c r="H258" i="22"/>
  <c r="G258" i="22"/>
  <c r="F258" i="22"/>
  <c r="I257" i="22"/>
  <c r="H257" i="22"/>
  <c r="G257" i="22"/>
  <c r="F257" i="22"/>
  <c r="I256" i="22"/>
  <c r="H256" i="22"/>
  <c r="G256" i="22"/>
  <c r="F256" i="22"/>
  <c r="I255" i="22"/>
  <c r="H255" i="22"/>
  <c r="G255" i="22"/>
  <c r="F255" i="22"/>
  <c r="I254" i="22"/>
  <c r="H254" i="22"/>
  <c r="G254" i="22"/>
  <c r="F254" i="22"/>
  <c r="I253" i="22"/>
  <c r="H253" i="22"/>
  <c r="G253" i="22"/>
  <c r="F253" i="22"/>
  <c r="I252" i="22"/>
  <c r="H252" i="22"/>
  <c r="G252" i="22"/>
  <c r="F252" i="22"/>
  <c r="I251" i="22"/>
  <c r="H251" i="22"/>
  <c r="G251" i="22"/>
  <c r="F251" i="22"/>
  <c r="I250" i="22"/>
  <c r="H250" i="22"/>
  <c r="G250" i="22"/>
  <c r="F250" i="22"/>
  <c r="I249" i="22"/>
  <c r="H249" i="22"/>
  <c r="G249" i="22"/>
  <c r="F249" i="22"/>
  <c r="I248" i="22"/>
  <c r="H248" i="22"/>
  <c r="G248" i="22"/>
  <c r="F248" i="22"/>
  <c r="I247" i="22"/>
  <c r="H247" i="22"/>
  <c r="G247" i="22"/>
  <c r="F247" i="22"/>
  <c r="I246" i="22"/>
  <c r="H246" i="22"/>
  <c r="G246" i="22"/>
  <c r="F246" i="22"/>
  <c r="I245" i="22"/>
  <c r="H245" i="22"/>
  <c r="G245" i="22"/>
  <c r="F245" i="22"/>
  <c r="I244" i="22"/>
  <c r="H244" i="22"/>
  <c r="G244" i="22"/>
  <c r="F244" i="22"/>
  <c r="I243" i="22"/>
  <c r="H243" i="22"/>
  <c r="G243" i="22"/>
  <c r="F243" i="22"/>
  <c r="I242" i="22"/>
  <c r="H242" i="22"/>
  <c r="G242" i="22"/>
  <c r="F242" i="22"/>
  <c r="I241" i="22"/>
  <c r="H241" i="22"/>
  <c r="G241" i="22"/>
  <c r="F241" i="22"/>
  <c r="I240" i="22"/>
  <c r="H240" i="22"/>
  <c r="G240" i="22"/>
  <c r="F240" i="22"/>
  <c r="I239" i="22"/>
  <c r="H239" i="22"/>
  <c r="G239" i="22"/>
  <c r="F239" i="22"/>
  <c r="I238" i="22"/>
  <c r="H238" i="22"/>
  <c r="G238" i="22"/>
  <c r="F238" i="22"/>
  <c r="I237" i="22"/>
  <c r="H237" i="22"/>
  <c r="G237" i="22"/>
  <c r="F237" i="22"/>
  <c r="I236" i="22"/>
  <c r="H236" i="22"/>
  <c r="G236" i="22"/>
  <c r="F236" i="22"/>
  <c r="I233" i="22"/>
  <c r="H233" i="22"/>
  <c r="G233" i="22"/>
  <c r="F233" i="22"/>
  <c r="I232" i="22"/>
  <c r="H232" i="22"/>
  <c r="G232" i="22"/>
  <c r="F232" i="22"/>
  <c r="I231" i="22"/>
  <c r="H231" i="22"/>
  <c r="G231" i="22"/>
  <c r="F231" i="22"/>
  <c r="I228" i="22"/>
  <c r="H228" i="22"/>
  <c r="G228" i="22"/>
  <c r="F228" i="22"/>
  <c r="I227" i="22"/>
  <c r="H227" i="22"/>
  <c r="G227" i="22"/>
  <c r="F227" i="22"/>
  <c r="I226" i="22"/>
  <c r="H226" i="22"/>
  <c r="G226" i="22"/>
  <c r="F226" i="22"/>
  <c r="I223" i="22"/>
  <c r="H223" i="22"/>
  <c r="G223" i="22"/>
  <c r="F223" i="22"/>
  <c r="I222" i="22"/>
  <c r="H222" i="22"/>
  <c r="G222" i="22"/>
  <c r="F222" i="22"/>
  <c r="I221" i="22"/>
  <c r="H221" i="22"/>
  <c r="G221" i="22"/>
  <c r="F221" i="22"/>
  <c r="I218" i="22"/>
  <c r="H218" i="22"/>
  <c r="G218" i="22"/>
  <c r="F218" i="22"/>
  <c r="I217" i="22"/>
  <c r="H217" i="22"/>
  <c r="G217" i="22"/>
  <c r="F217" i="22"/>
  <c r="I216" i="22"/>
  <c r="H216" i="22"/>
  <c r="G216" i="22"/>
  <c r="F216" i="22"/>
  <c r="I215" i="22"/>
  <c r="H215" i="22"/>
  <c r="G215" i="22"/>
  <c r="F215" i="22"/>
  <c r="I214" i="22"/>
  <c r="H214" i="22"/>
  <c r="G214" i="22"/>
  <c r="F214" i="22"/>
  <c r="I205" i="22"/>
  <c r="H205" i="22"/>
  <c r="G205" i="22"/>
  <c r="F205" i="22"/>
  <c r="I204" i="22"/>
  <c r="H204" i="22"/>
  <c r="G204" i="22"/>
  <c r="F204" i="22"/>
  <c r="I203" i="22"/>
  <c r="H203" i="22"/>
  <c r="G203" i="22"/>
  <c r="F203" i="22"/>
  <c r="I202" i="22"/>
  <c r="H202" i="22"/>
  <c r="G202" i="22"/>
  <c r="F202" i="22"/>
  <c r="I199" i="22"/>
  <c r="H199" i="22"/>
  <c r="G199" i="22"/>
  <c r="F199" i="22"/>
  <c r="I198" i="22"/>
  <c r="H198" i="22"/>
  <c r="G198" i="22"/>
  <c r="F198" i="22"/>
  <c r="I197" i="22"/>
  <c r="H197" i="22"/>
  <c r="G197" i="22"/>
  <c r="F197" i="22"/>
  <c r="I194" i="22"/>
  <c r="H194" i="22"/>
  <c r="G194" i="22"/>
  <c r="F194" i="22"/>
  <c r="I193" i="22"/>
  <c r="H193" i="22"/>
  <c r="G193" i="22"/>
  <c r="F193" i="22"/>
  <c r="I192" i="22"/>
  <c r="H192" i="22"/>
  <c r="G192" i="22"/>
  <c r="F192" i="22"/>
  <c r="I191" i="22"/>
  <c r="H191" i="22"/>
  <c r="G191" i="22"/>
  <c r="F191" i="22"/>
  <c r="I190" i="22"/>
  <c r="H190" i="22"/>
  <c r="G190" i="22"/>
  <c r="F190" i="22"/>
  <c r="I189" i="22"/>
  <c r="H189" i="22"/>
  <c r="G189" i="22"/>
  <c r="F189" i="22"/>
  <c r="I188" i="22"/>
  <c r="H188" i="22"/>
  <c r="G188" i="22"/>
  <c r="F188" i="22"/>
  <c r="I187" i="22"/>
  <c r="H187" i="22"/>
  <c r="G187" i="22"/>
  <c r="F187" i="22"/>
  <c r="I186" i="22"/>
  <c r="H186" i="22"/>
  <c r="G186" i="22"/>
  <c r="F186" i="22"/>
  <c r="I185" i="22"/>
  <c r="H185" i="22"/>
  <c r="G185" i="22"/>
  <c r="F185" i="22"/>
  <c r="I184" i="22"/>
  <c r="H184" i="22"/>
  <c r="G184" i="22"/>
  <c r="F184" i="22"/>
  <c r="I181" i="22"/>
  <c r="H181" i="22"/>
  <c r="G181" i="22"/>
  <c r="F181" i="22"/>
  <c r="I178" i="22"/>
  <c r="H178" i="22"/>
  <c r="G178" i="22"/>
  <c r="F178" i="22"/>
  <c r="I177" i="22"/>
  <c r="H177" i="22"/>
  <c r="G177" i="22"/>
  <c r="F177" i="22"/>
  <c r="I176" i="22"/>
  <c r="H176" i="22"/>
  <c r="G176" i="22"/>
  <c r="F176" i="22"/>
  <c r="I175" i="22"/>
  <c r="H175" i="22"/>
  <c r="G175" i="22"/>
  <c r="F175" i="22"/>
  <c r="I174" i="22"/>
  <c r="H174" i="22"/>
  <c r="G174" i="22"/>
  <c r="F174" i="22"/>
  <c r="I173" i="22"/>
  <c r="H173" i="22"/>
  <c r="G173" i="22"/>
  <c r="F173" i="22"/>
  <c r="I172" i="22"/>
  <c r="H172" i="22"/>
  <c r="G172" i="22"/>
  <c r="F172" i="22"/>
  <c r="I171" i="22"/>
  <c r="H171" i="22"/>
  <c r="G171" i="22"/>
  <c r="F171" i="22"/>
  <c r="I170" i="22"/>
  <c r="H170" i="22"/>
  <c r="G170" i="22"/>
  <c r="F170" i="22"/>
  <c r="I169" i="22"/>
  <c r="H169" i="22"/>
  <c r="G169" i="22"/>
  <c r="F169" i="22"/>
  <c r="I168" i="22"/>
  <c r="H168" i="22"/>
  <c r="G168" i="22"/>
  <c r="F168" i="22"/>
  <c r="I167" i="22"/>
  <c r="H167" i="22"/>
  <c r="G167" i="22"/>
  <c r="F167" i="22"/>
  <c r="I166" i="22"/>
  <c r="H166" i="22"/>
  <c r="G166" i="22"/>
  <c r="F166" i="22"/>
  <c r="I165" i="22"/>
  <c r="H165" i="22"/>
  <c r="G165" i="22"/>
  <c r="F165" i="22"/>
  <c r="I164" i="22"/>
  <c r="H164" i="22"/>
  <c r="G164" i="22"/>
  <c r="F164" i="22"/>
  <c r="I163" i="22"/>
  <c r="H163" i="22"/>
  <c r="G163" i="22"/>
  <c r="F163" i="22"/>
  <c r="I162" i="22"/>
  <c r="H162" i="22"/>
  <c r="G162" i="22"/>
  <c r="F162" i="22"/>
  <c r="I161" i="22"/>
  <c r="H161" i="22"/>
  <c r="G161" i="22"/>
  <c r="F161" i="22"/>
  <c r="I160" i="22"/>
  <c r="H160" i="22"/>
  <c r="G160" i="22"/>
  <c r="F160" i="22"/>
  <c r="I159" i="22"/>
  <c r="H159" i="22"/>
  <c r="G159" i="22"/>
  <c r="F159" i="22"/>
  <c r="I158" i="22"/>
  <c r="H158" i="22"/>
  <c r="G158" i="22"/>
  <c r="F158" i="22"/>
  <c r="I157" i="22"/>
  <c r="H157" i="22"/>
  <c r="G157" i="22"/>
  <c r="F157" i="22"/>
  <c r="I156" i="22"/>
  <c r="H156" i="22"/>
  <c r="G156" i="22"/>
  <c r="F156" i="22"/>
  <c r="I155" i="22"/>
  <c r="H155" i="22"/>
  <c r="G155" i="22"/>
  <c r="F155" i="22"/>
  <c r="I154" i="22"/>
  <c r="H154" i="22"/>
  <c r="G154" i="22"/>
  <c r="F154" i="22"/>
  <c r="I153" i="22"/>
  <c r="H153" i="22"/>
  <c r="G153" i="22"/>
  <c r="F153" i="22"/>
  <c r="I150" i="22"/>
  <c r="H150" i="22"/>
  <c r="G150" i="22"/>
  <c r="F150" i="22"/>
  <c r="I149" i="22"/>
  <c r="H149" i="22"/>
  <c r="G149" i="22"/>
  <c r="F149" i="22"/>
  <c r="I148" i="22"/>
  <c r="H148" i="22"/>
  <c r="G148" i="22"/>
  <c r="F148" i="22"/>
  <c r="I147" i="22"/>
  <c r="H147" i="22"/>
  <c r="G147" i="22"/>
  <c r="F147" i="22"/>
  <c r="I146" i="22"/>
  <c r="H146" i="22"/>
  <c r="G146" i="22"/>
  <c r="F146" i="22"/>
  <c r="I143" i="22"/>
  <c r="H143" i="22"/>
  <c r="G143" i="22"/>
  <c r="F143" i="22"/>
  <c r="I142" i="22"/>
  <c r="H142" i="22"/>
  <c r="G142" i="22"/>
  <c r="F142" i="22"/>
  <c r="I139" i="22"/>
  <c r="H139" i="22"/>
  <c r="G139" i="22"/>
  <c r="F139" i="22"/>
  <c r="I138" i="22"/>
  <c r="H138" i="22"/>
  <c r="G138" i="22"/>
  <c r="F138" i="22"/>
  <c r="I137" i="22"/>
  <c r="H137" i="22"/>
  <c r="G137" i="22"/>
  <c r="F137" i="22"/>
  <c r="I136" i="22"/>
  <c r="H136" i="22"/>
  <c r="G136" i="22"/>
  <c r="F136" i="22"/>
  <c r="I135" i="22"/>
  <c r="H135" i="22"/>
  <c r="G135" i="22"/>
  <c r="F135" i="22"/>
  <c r="I134" i="22"/>
  <c r="H134" i="22"/>
  <c r="G134" i="22"/>
  <c r="F134" i="22"/>
  <c r="I133" i="22"/>
  <c r="H133" i="22"/>
  <c r="G133" i="22"/>
  <c r="F133" i="22"/>
  <c r="I132" i="22"/>
  <c r="H132" i="22"/>
  <c r="G132" i="22"/>
  <c r="F132" i="22"/>
  <c r="I131" i="22"/>
  <c r="H131" i="22"/>
  <c r="G131" i="22"/>
  <c r="F131" i="22"/>
  <c r="I130" i="22"/>
  <c r="H130" i="22"/>
  <c r="G130" i="22"/>
  <c r="F130" i="22"/>
  <c r="I129" i="22"/>
  <c r="H129" i="22"/>
  <c r="G129" i="22"/>
  <c r="F129" i="22"/>
  <c r="I128" i="22"/>
  <c r="H128" i="22"/>
  <c r="G128" i="22"/>
  <c r="F128" i="22"/>
  <c r="I127" i="22"/>
  <c r="H127" i="22"/>
  <c r="G127" i="22"/>
  <c r="F127" i="22"/>
  <c r="I126" i="22"/>
  <c r="H126" i="22"/>
  <c r="G126" i="22"/>
  <c r="F126" i="22"/>
  <c r="I125" i="22"/>
  <c r="H125" i="22"/>
  <c r="G125" i="22"/>
  <c r="F125" i="22"/>
  <c r="I124" i="22"/>
  <c r="H124" i="22"/>
  <c r="G124" i="22"/>
  <c r="F124" i="22"/>
  <c r="I123" i="22"/>
  <c r="H123" i="22"/>
  <c r="G123" i="22"/>
  <c r="F123" i="22"/>
  <c r="I120" i="22"/>
  <c r="H120" i="22"/>
  <c r="G120" i="22"/>
  <c r="F120" i="22"/>
  <c r="I119" i="22"/>
  <c r="H119" i="22"/>
  <c r="G119" i="22"/>
  <c r="F119" i="22"/>
  <c r="I118" i="22"/>
  <c r="H118" i="22"/>
  <c r="G118" i="22"/>
  <c r="F118" i="22"/>
  <c r="I117" i="22"/>
  <c r="H117" i="22"/>
  <c r="G117" i="22"/>
  <c r="F117" i="22"/>
  <c r="I116" i="22"/>
  <c r="H116" i="22"/>
  <c r="G116" i="22"/>
  <c r="F116" i="22"/>
  <c r="I113" i="22"/>
  <c r="H113" i="22"/>
  <c r="G113" i="22"/>
  <c r="F113" i="22"/>
  <c r="I112" i="22"/>
  <c r="H112" i="22"/>
  <c r="G112" i="22"/>
  <c r="F112" i="22"/>
  <c r="I111" i="22"/>
  <c r="H111" i="22"/>
  <c r="G111" i="22"/>
  <c r="F111" i="22"/>
  <c r="I110" i="22"/>
  <c r="H110" i="22"/>
  <c r="G110" i="22"/>
  <c r="F110" i="22"/>
  <c r="I107" i="22"/>
  <c r="H107" i="22"/>
  <c r="G107" i="22"/>
  <c r="F107" i="22"/>
  <c r="I104" i="22"/>
  <c r="H104" i="22"/>
  <c r="G104" i="22"/>
  <c r="F104" i="22"/>
  <c r="I103" i="22"/>
  <c r="H103" i="22"/>
  <c r="G103" i="22"/>
  <c r="F103" i="22"/>
  <c r="I102" i="22"/>
  <c r="H102" i="22"/>
  <c r="G102" i="22"/>
  <c r="F102" i="22"/>
  <c r="I101" i="22"/>
  <c r="H101" i="22"/>
  <c r="G101" i="22"/>
  <c r="F101" i="22"/>
  <c r="I100" i="22"/>
  <c r="H100" i="22"/>
  <c r="G100" i="22"/>
  <c r="F100" i="22"/>
  <c r="I99" i="22"/>
  <c r="H99" i="22"/>
  <c r="G99" i="22"/>
  <c r="F99" i="22"/>
  <c r="I98" i="22"/>
  <c r="H98" i="22"/>
  <c r="G98" i="22"/>
  <c r="F98" i="22"/>
  <c r="I95" i="22"/>
  <c r="H95" i="22"/>
  <c r="G95" i="22"/>
  <c r="F95" i="22"/>
  <c r="I94" i="22"/>
  <c r="H94" i="22"/>
  <c r="G94" i="22"/>
  <c r="F94" i="22"/>
  <c r="I93" i="22"/>
  <c r="H93" i="22"/>
  <c r="G93" i="22"/>
  <c r="F93" i="22"/>
  <c r="I92" i="22"/>
  <c r="H92" i="22"/>
  <c r="G92" i="22"/>
  <c r="F92" i="22"/>
  <c r="I91" i="22"/>
  <c r="H91" i="22"/>
  <c r="G91" i="22"/>
  <c r="F91" i="22"/>
  <c r="I90" i="22"/>
  <c r="H90" i="22"/>
  <c r="G90" i="22"/>
  <c r="F90" i="22"/>
  <c r="I89" i="22"/>
  <c r="H89" i="22"/>
  <c r="G89" i="22"/>
  <c r="F89" i="22"/>
  <c r="I88" i="22"/>
  <c r="H88" i="22"/>
  <c r="G88" i="22"/>
  <c r="F88" i="22"/>
  <c r="I85" i="22"/>
  <c r="H85" i="22"/>
  <c r="G85" i="22"/>
  <c r="F85" i="22"/>
  <c r="I84" i="22"/>
  <c r="H84" i="22"/>
  <c r="G84" i="22"/>
  <c r="F84" i="22"/>
  <c r="I83" i="22"/>
  <c r="H83" i="22"/>
  <c r="G83" i="22"/>
  <c r="F83" i="22"/>
  <c r="I82" i="22"/>
  <c r="H82" i="22"/>
  <c r="G82" i="22"/>
  <c r="F82" i="22"/>
  <c r="I75" i="22"/>
  <c r="H75" i="22"/>
  <c r="G75" i="22"/>
  <c r="F75" i="22"/>
  <c r="I70" i="22"/>
  <c r="H70" i="22"/>
  <c r="G70" i="22"/>
  <c r="F70" i="22"/>
  <c r="I69" i="22"/>
  <c r="H69" i="22"/>
  <c r="G69" i="22"/>
  <c r="F69" i="22"/>
  <c r="I68" i="22"/>
  <c r="H68" i="22"/>
  <c r="G68" i="22"/>
  <c r="F68" i="22"/>
  <c r="I67" i="22"/>
  <c r="H67" i="22"/>
  <c r="G67" i="22"/>
  <c r="F67" i="22"/>
  <c r="I66" i="22"/>
  <c r="H66" i="22"/>
  <c r="G66" i="22"/>
  <c r="F66" i="22"/>
  <c r="I65" i="22"/>
  <c r="H65" i="22"/>
  <c r="G65" i="22"/>
  <c r="F65" i="22"/>
  <c r="I64" i="22"/>
  <c r="H64" i="22"/>
  <c r="G64" i="22"/>
  <c r="F64" i="22"/>
  <c r="I63" i="22"/>
  <c r="H63" i="22"/>
  <c r="G63" i="22"/>
  <c r="F63" i="22"/>
  <c r="I62" i="22"/>
  <c r="H62" i="22"/>
  <c r="G62" i="22"/>
  <c r="F62" i="22"/>
  <c r="I61" i="22"/>
  <c r="H61" i="22"/>
  <c r="G61" i="22"/>
  <c r="F61" i="22"/>
  <c r="I60" i="22"/>
  <c r="H60" i="22"/>
  <c r="G60" i="22"/>
  <c r="F60" i="22"/>
  <c r="I59" i="22"/>
  <c r="H59" i="22"/>
  <c r="G59" i="22"/>
  <c r="F59" i="22"/>
  <c r="I58" i="22"/>
  <c r="H58" i="22"/>
  <c r="G58" i="22"/>
  <c r="F58" i="22"/>
  <c r="I57" i="22"/>
  <c r="H57" i="22"/>
  <c r="G57" i="22"/>
  <c r="F57" i="22"/>
  <c r="I56" i="22"/>
  <c r="H56" i="22"/>
  <c r="G56" i="22"/>
  <c r="F56" i="22"/>
  <c r="I55" i="22"/>
  <c r="H55" i="22"/>
  <c r="G55" i="22"/>
  <c r="F55" i="22"/>
  <c r="I54" i="22"/>
  <c r="H54" i="22"/>
  <c r="G54" i="22"/>
  <c r="F54" i="22"/>
  <c r="I51" i="22"/>
  <c r="H51" i="22"/>
  <c r="G51" i="22"/>
  <c r="F51" i="22"/>
  <c r="I50" i="22"/>
  <c r="H50" i="22"/>
  <c r="G50" i="22"/>
  <c r="F50" i="22"/>
  <c r="I47" i="22"/>
  <c r="H47" i="22"/>
  <c r="G47" i="22"/>
  <c r="F47" i="22"/>
  <c r="I46" i="22"/>
  <c r="H46" i="22"/>
  <c r="G46" i="22"/>
  <c r="F46" i="22"/>
  <c r="I45" i="22"/>
  <c r="H45" i="22"/>
  <c r="G45" i="22"/>
  <c r="F45" i="22"/>
  <c r="I44" i="22"/>
  <c r="H44" i="22"/>
  <c r="G44" i="22"/>
  <c r="F44" i="22"/>
  <c r="I43" i="22"/>
  <c r="H43" i="22"/>
  <c r="G43" i="22"/>
  <c r="F43" i="22"/>
  <c r="I42" i="22"/>
  <c r="H42" i="22"/>
  <c r="G42" i="22"/>
  <c r="F42" i="22"/>
  <c r="I41" i="22"/>
  <c r="H41" i="22"/>
  <c r="G41" i="22"/>
  <c r="F41" i="22"/>
  <c r="I40" i="22"/>
  <c r="H40" i="22"/>
  <c r="G40" i="22"/>
  <c r="F40" i="22"/>
  <c r="I38" i="22"/>
  <c r="H38" i="22"/>
  <c r="G38" i="22"/>
  <c r="F38" i="22"/>
  <c r="I37" i="22"/>
  <c r="H37" i="22"/>
  <c r="G37" i="22"/>
  <c r="F37" i="22"/>
  <c r="I36" i="22"/>
  <c r="H36" i="22"/>
  <c r="G36" i="22"/>
  <c r="F36" i="22"/>
  <c r="I33" i="22"/>
  <c r="H33" i="22"/>
  <c r="G33" i="22"/>
  <c r="F33" i="22"/>
  <c r="I32" i="22"/>
  <c r="H32" i="22"/>
  <c r="G32" i="22"/>
  <c r="F32" i="22"/>
  <c r="I31" i="22"/>
  <c r="H31" i="22"/>
  <c r="G31" i="22"/>
  <c r="F31" i="22"/>
  <c r="I30" i="22"/>
  <c r="H30" i="22"/>
  <c r="G30" i="22"/>
  <c r="F30" i="22"/>
  <c r="I29" i="22"/>
  <c r="H29" i="22"/>
  <c r="G29" i="22"/>
  <c r="F29" i="22"/>
  <c r="I28" i="22"/>
  <c r="H28" i="22"/>
  <c r="G28" i="22"/>
  <c r="F28" i="22"/>
  <c r="I27" i="22"/>
  <c r="H27" i="22"/>
  <c r="G27" i="22"/>
  <c r="F27" i="22"/>
  <c r="I26" i="22"/>
  <c r="H26" i="22"/>
  <c r="G26" i="22"/>
  <c r="F26" i="22"/>
  <c r="I25" i="22"/>
  <c r="H25" i="22"/>
  <c r="G25" i="22"/>
  <c r="F25" i="22"/>
  <c r="I24" i="22"/>
  <c r="H24" i="22"/>
  <c r="G24" i="22"/>
  <c r="F24" i="22"/>
  <c r="I21" i="22"/>
  <c r="H21" i="22"/>
  <c r="G21" i="22"/>
  <c r="F21" i="22"/>
  <c r="I20" i="22"/>
  <c r="H20" i="22"/>
  <c r="G20" i="22"/>
  <c r="F20" i="22"/>
  <c r="I19" i="22"/>
  <c r="H19" i="22"/>
  <c r="G19" i="22"/>
  <c r="F19" i="22"/>
  <c r="I16" i="22"/>
  <c r="H16" i="22"/>
  <c r="G16" i="22"/>
  <c r="F16" i="22"/>
  <c r="I15" i="22"/>
  <c r="H15" i="22"/>
  <c r="G15" i="22"/>
  <c r="F15" i="22"/>
  <c r="V373" i="21"/>
  <c r="U373" i="21"/>
  <c r="T373" i="21"/>
  <c r="S373" i="21"/>
  <c r="Q373" i="21"/>
  <c r="P373" i="21"/>
  <c r="O373" i="21"/>
  <c r="N373" i="21"/>
  <c r="V372" i="21"/>
  <c r="U372" i="21"/>
  <c r="T372" i="21"/>
  <c r="S372" i="21"/>
  <c r="Q372" i="21"/>
  <c r="P372" i="21"/>
  <c r="O372" i="21"/>
  <c r="N372" i="21"/>
  <c r="V371" i="21"/>
  <c r="U371" i="21"/>
  <c r="T371" i="21"/>
  <c r="S371" i="21"/>
  <c r="Q371" i="21"/>
  <c r="P371" i="21"/>
  <c r="O371" i="21"/>
  <c r="N371" i="21"/>
  <c r="V370" i="21"/>
  <c r="U370" i="21"/>
  <c r="T370" i="21"/>
  <c r="S370" i="21"/>
  <c r="Q370" i="21"/>
  <c r="P370" i="21"/>
  <c r="O370" i="21"/>
  <c r="N370" i="21"/>
  <c r="V369" i="21"/>
  <c r="U369" i="21"/>
  <c r="T369" i="21"/>
  <c r="S369" i="21"/>
  <c r="Q369" i="21"/>
  <c r="P369" i="21"/>
  <c r="O369" i="21"/>
  <c r="N369" i="21"/>
  <c r="V366" i="21"/>
  <c r="U366" i="21"/>
  <c r="T366" i="21"/>
  <c r="S366" i="21"/>
  <c r="Q366" i="21"/>
  <c r="P366" i="21"/>
  <c r="O366" i="21"/>
  <c r="N366" i="21"/>
  <c r="V363" i="21"/>
  <c r="U363" i="21"/>
  <c r="T363" i="21"/>
  <c r="S363" i="21"/>
  <c r="Q363" i="21"/>
  <c r="P363" i="21"/>
  <c r="O363" i="21"/>
  <c r="N363" i="21"/>
  <c r="V362" i="21"/>
  <c r="U362" i="21"/>
  <c r="T362" i="21"/>
  <c r="S362" i="21"/>
  <c r="Q362" i="21"/>
  <c r="P362" i="21"/>
  <c r="O362" i="21"/>
  <c r="N362" i="21"/>
  <c r="V359" i="21"/>
  <c r="U359" i="21"/>
  <c r="T359" i="21"/>
  <c r="S359" i="21"/>
  <c r="Q359" i="21"/>
  <c r="P359" i="21"/>
  <c r="O359" i="21"/>
  <c r="N359" i="21"/>
  <c r="V358" i="21"/>
  <c r="U358" i="21"/>
  <c r="T358" i="21"/>
  <c r="S358" i="21"/>
  <c r="Q358" i="21"/>
  <c r="P358" i="21"/>
  <c r="O358" i="21"/>
  <c r="N358" i="21"/>
  <c r="V357" i="21"/>
  <c r="U357" i="21"/>
  <c r="T357" i="21"/>
  <c r="S357" i="21"/>
  <c r="Q357" i="21"/>
  <c r="P357" i="21"/>
  <c r="O357" i="21"/>
  <c r="N357" i="21"/>
  <c r="V356" i="21"/>
  <c r="U356" i="21"/>
  <c r="T356" i="21"/>
  <c r="S356" i="21"/>
  <c r="Q356" i="21"/>
  <c r="P356" i="21"/>
  <c r="O356" i="21"/>
  <c r="N356" i="21"/>
  <c r="V353" i="21"/>
  <c r="U353" i="21"/>
  <c r="T353" i="21"/>
  <c r="S353" i="21"/>
  <c r="Q353" i="21"/>
  <c r="P353" i="21"/>
  <c r="O353" i="21"/>
  <c r="N353" i="21"/>
  <c r="V350" i="21"/>
  <c r="U350" i="21"/>
  <c r="T350" i="21"/>
  <c r="S350" i="21"/>
  <c r="Q350" i="21"/>
  <c r="P350" i="21"/>
  <c r="O350" i="21"/>
  <c r="N350" i="21"/>
  <c r="V349" i="21"/>
  <c r="U349" i="21"/>
  <c r="T349" i="21"/>
  <c r="S349" i="21"/>
  <c r="Q349" i="21"/>
  <c r="P349" i="21"/>
  <c r="O349" i="21"/>
  <c r="N349" i="21"/>
  <c r="V348" i="21"/>
  <c r="U348" i="21"/>
  <c r="T348" i="21"/>
  <c r="S348" i="21"/>
  <c r="Q348" i="21"/>
  <c r="P348" i="21"/>
  <c r="O348" i="21"/>
  <c r="N348" i="21"/>
  <c r="V345" i="21"/>
  <c r="U345" i="21"/>
  <c r="T345" i="21"/>
  <c r="S345" i="21"/>
  <c r="Q345" i="21"/>
  <c r="P345" i="21"/>
  <c r="O345" i="21"/>
  <c r="N345" i="21"/>
  <c r="V342" i="21"/>
  <c r="U342" i="21"/>
  <c r="T342" i="21"/>
  <c r="S342" i="21"/>
  <c r="Q342" i="21"/>
  <c r="P342" i="21"/>
  <c r="O342" i="21"/>
  <c r="N342" i="21"/>
  <c r="V339" i="21"/>
  <c r="U339" i="21"/>
  <c r="T339" i="21"/>
  <c r="S339" i="21"/>
  <c r="Q339" i="21"/>
  <c r="P339" i="21"/>
  <c r="O339" i="21"/>
  <c r="N339" i="21"/>
  <c r="V338" i="21"/>
  <c r="U338" i="21"/>
  <c r="T338" i="21"/>
  <c r="S338" i="21"/>
  <c r="Q338" i="21"/>
  <c r="P338" i="21"/>
  <c r="O338" i="21"/>
  <c r="N338" i="21"/>
  <c r="V335" i="21"/>
  <c r="U335" i="21"/>
  <c r="T335" i="21"/>
  <c r="S335" i="21"/>
  <c r="Q335" i="21"/>
  <c r="P335" i="21"/>
  <c r="O335" i="21"/>
  <c r="N335" i="21"/>
  <c r="V334" i="21"/>
  <c r="U334" i="21"/>
  <c r="T334" i="21"/>
  <c r="S334" i="21"/>
  <c r="Q334" i="21"/>
  <c r="P334" i="21"/>
  <c r="O334" i="21"/>
  <c r="N334" i="21"/>
  <c r="V333" i="21"/>
  <c r="U333" i="21"/>
  <c r="T333" i="21"/>
  <c r="S333" i="21"/>
  <c r="Q333" i="21"/>
  <c r="P333" i="21"/>
  <c r="O333" i="21"/>
  <c r="N333" i="21"/>
  <c r="V330" i="21"/>
  <c r="U330" i="21"/>
  <c r="T330" i="21"/>
  <c r="S330" i="21"/>
  <c r="Q330" i="21"/>
  <c r="P330" i="21"/>
  <c r="O330" i="21"/>
  <c r="N330" i="21"/>
  <c r="V329" i="21"/>
  <c r="U329" i="21"/>
  <c r="T329" i="21"/>
  <c r="S329" i="21"/>
  <c r="Q329" i="21"/>
  <c r="P329" i="21"/>
  <c r="O329" i="21"/>
  <c r="N329" i="21"/>
  <c r="V328" i="21"/>
  <c r="U328" i="21"/>
  <c r="T328" i="21"/>
  <c r="S328" i="21"/>
  <c r="Q328" i="21"/>
  <c r="P328" i="21"/>
  <c r="O328" i="21"/>
  <c r="N328" i="21"/>
  <c r="V327" i="21"/>
  <c r="U327" i="21"/>
  <c r="T327" i="21"/>
  <c r="S327" i="21"/>
  <c r="Q327" i="21"/>
  <c r="P327" i="21"/>
  <c r="O327" i="21"/>
  <c r="N327" i="21"/>
  <c r="V323" i="21"/>
  <c r="U323" i="21"/>
  <c r="T323" i="21"/>
  <c r="S323" i="21"/>
  <c r="Q323" i="21"/>
  <c r="P323" i="21"/>
  <c r="O323" i="21"/>
  <c r="N323" i="21"/>
  <c r="V321" i="21"/>
  <c r="U321" i="21"/>
  <c r="T321" i="21"/>
  <c r="S321" i="21"/>
  <c r="Q321" i="21"/>
  <c r="P321" i="21"/>
  <c r="O321" i="21"/>
  <c r="N321" i="21"/>
  <c r="V314" i="21"/>
  <c r="U314" i="21"/>
  <c r="T314" i="21"/>
  <c r="S314" i="21"/>
  <c r="Q314" i="21"/>
  <c r="P314" i="21"/>
  <c r="O314" i="21"/>
  <c r="N314" i="21"/>
  <c r="V313" i="21"/>
  <c r="U313" i="21"/>
  <c r="T313" i="21"/>
  <c r="S313" i="21"/>
  <c r="Q313" i="21"/>
  <c r="P313" i="21"/>
  <c r="O313" i="21"/>
  <c r="N313" i="21"/>
  <c r="V312" i="21"/>
  <c r="U312" i="21"/>
  <c r="T312" i="21"/>
  <c r="S312" i="21"/>
  <c r="Q312" i="21"/>
  <c r="P312" i="21"/>
  <c r="O312" i="21"/>
  <c r="N312" i="21"/>
  <c r="V311" i="21"/>
  <c r="U311" i="21"/>
  <c r="T311" i="21"/>
  <c r="S311" i="21"/>
  <c r="Q311" i="21"/>
  <c r="P311" i="21"/>
  <c r="O311" i="21"/>
  <c r="N311" i="21"/>
  <c r="V310" i="21"/>
  <c r="U310" i="21"/>
  <c r="T310" i="21"/>
  <c r="S310" i="21"/>
  <c r="Q310" i="21"/>
  <c r="P310" i="21"/>
  <c r="O310" i="21"/>
  <c r="N310" i="21"/>
  <c r="V306" i="21"/>
  <c r="U306" i="21"/>
  <c r="T306" i="21"/>
  <c r="S306" i="21"/>
  <c r="Q306" i="21"/>
  <c r="P306" i="21"/>
  <c r="O306" i="21"/>
  <c r="N306" i="21"/>
  <c r="V305" i="21"/>
  <c r="U305" i="21"/>
  <c r="T305" i="21"/>
  <c r="S305" i="21"/>
  <c r="Q305" i="21"/>
  <c r="P305" i="21"/>
  <c r="O305" i="21"/>
  <c r="N305" i="21"/>
  <c r="V302" i="21"/>
  <c r="U302" i="21"/>
  <c r="T302" i="21"/>
  <c r="S302" i="21"/>
  <c r="Q302" i="21"/>
  <c r="P302" i="21"/>
  <c r="O302" i="21"/>
  <c r="N302" i="21"/>
  <c r="V301" i="21"/>
  <c r="U301" i="21"/>
  <c r="T301" i="21"/>
  <c r="S301" i="21"/>
  <c r="Q301" i="21"/>
  <c r="P301" i="21"/>
  <c r="O301" i="21"/>
  <c r="N301" i="21"/>
  <c r="V300" i="21"/>
  <c r="U300" i="21"/>
  <c r="T300" i="21"/>
  <c r="S300" i="21"/>
  <c r="Q300" i="21"/>
  <c r="P300" i="21"/>
  <c r="O300" i="21"/>
  <c r="N300" i="21"/>
  <c r="V299" i="21"/>
  <c r="U299" i="21"/>
  <c r="T299" i="21"/>
  <c r="S299" i="21"/>
  <c r="Q299" i="21"/>
  <c r="P299" i="21"/>
  <c r="O299" i="21"/>
  <c r="N299" i="21"/>
  <c r="V298" i="21"/>
  <c r="U298" i="21"/>
  <c r="T298" i="21"/>
  <c r="S298" i="21"/>
  <c r="Q298" i="21"/>
  <c r="P298" i="21"/>
  <c r="O298" i="21"/>
  <c r="N298" i="21"/>
  <c r="V295" i="21"/>
  <c r="U295" i="21"/>
  <c r="T295" i="21"/>
  <c r="S295" i="21"/>
  <c r="Q295" i="21"/>
  <c r="P295" i="21"/>
  <c r="O295" i="21"/>
  <c r="N295" i="21"/>
  <c r="V294" i="21"/>
  <c r="U294" i="21"/>
  <c r="T294" i="21"/>
  <c r="S294" i="21"/>
  <c r="Q294" i="21"/>
  <c r="P294" i="21"/>
  <c r="O294" i="21"/>
  <c r="N294" i="21"/>
  <c r="V291" i="21"/>
  <c r="U291" i="21"/>
  <c r="T291" i="21"/>
  <c r="S291" i="21"/>
  <c r="Q291" i="21"/>
  <c r="P291" i="21"/>
  <c r="O291" i="21"/>
  <c r="N291" i="21"/>
  <c r="V288" i="21"/>
  <c r="U288" i="21"/>
  <c r="T288" i="21"/>
  <c r="S288" i="21"/>
  <c r="Q288" i="21"/>
  <c r="P288" i="21"/>
  <c r="O288" i="21"/>
  <c r="N288" i="21"/>
  <c r="V282" i="21"/>
  <c r="U282" i="21"/>
  <c r="T282" i="21"/>
  <c r="S282" i="21"/>
  <c r="Q282" i="21"/>
  <c r="P282" i="21"/>
  <c r="O282" i="21"/>
  <c r="N282" i="21"/>
  <c r="V279" i="21"/>
  <c r="U279" i="21"/>
  <c r="T279" i="21"/>
  <c r="S279" i="21"/>
  <c r="Q279" i="21"/>
  <c r="P279" i="21"/>
  <c r="O279" i="21"/>
  <c r="N279" i="21"/>
  <c r="V278" i="21"/>
  <c r="U278" i="21"/>
  <c r="T278" i="21"/>
  <c r="S278" i="21"/>
  <c r="Q278" i="21"/>
  <c r="P278" i="21"/>
  <c r="O278" i="21"/>
  <c r="N278" i="21"/>
  <c r="V277" i="21"/>
  <c r="U277" i="21"/>
  <c r="T277" i="21"/>
  <c r="S277" i="21"/>
  <c r="Q277" i="21"/>
  <c r="P277" i="21"/>
  <c r="O277" i="21"/>
  <c r="N277" i="21"/>
  <c r="V276" i="21"/>
  <c r="U276" i="21"/>
  <c r="T276" i="21"/>
  <c r="S276" i="21"/>
  <c r="Q276" i="21"/>
  <c r="P276" i="21"/>
  <c r="O276" i="21"/>
  <c r="N276" i="21"/>
  <c r="V275" i="21"/>
  <c r="U275" i="21"/>
  <c r="T275" i="21"/>
  <c r="S275" i="21"/>
  <c r="Q275" i="21"/>
  <c r="P275" i="21"/>
  <c r="O275" i="21"/>
  <c r="N275" i="21"/>
  <c r="V274" i="21"/>
  <c r="U274" i="21"/>
  <c r="T274" i="21"/>
  <c r="S274" i="21"/>
  <c r="Q274" i="21"/>
  <c r="P274" i="21"/>
  <c r="O274" i="21"/>
  <c r="N274" i="21"/>
  <c r="V273" i="21"/>
  <c r="U273" i="21"/>
  <c r="T273" i="21"/>
  <c r="S273" i="21"/>
  <c r="Q273" i="21"/>
  <c r="P273" i="21"/>
  <c r="O273" i="21"/>
  <c r="N273" i="21"/>
  <c r="V272" i="21"/>
  <c r="U272" i="21"/>
  <c r="T272" i="21"/>
  <c r="S272" i="21"/>
  <c r="Q272" i="21"/>
  <c r="P272" i="21"/>
  <c r="O272" i="21"/>
  <c r="N272" i="21"/>
  <c r="V271" i="21"/>
  <c r="U271" i="21"/>
  <c r="T271" i="21"/>
  <c r="S271" i="21"/>
  <c r="Q271" i="21"/>
  <c r="P271" i="21"/>
  <c r="O271" i="21"/>
  <c r="N271" i="21"/>
  <c r="V270" i="21"/>
  <c r="U270" i="21"/>
  <c r="T270" i="21"/>
  <c r="S270" i="21"/>
  <c r="Q270" i="21"/>
  <c r="P270" i="21"/>
  <c r="O270" i="21"/>
  <c r="N270" i="21"/>
  <c r="V269" i="21"/>
  <c r="U269" i="21"/>
  <c r="T269" i="21"/>
  <c r="S269" i="21"/>
  <c r="Q269" i="21"/>
  <c r="P269" i="21"/>
  <c r="O269" i="21"/>
  <c r="N269" i="21"/>
  <c r="V268" i="21"/>
  <c r="U268" i="21"/>
  <c r="T268" i="21"/>
  <c r="S268" i="21"/>
  <c r="Q268" i="21"/>
  <c r="P268" i="21"/>
  <c r="O268" i="21"/>
  <c r="N268" i="21"/>
  <c r="V267" i="21"/>
  <c r="U267" i="21"/>
  <c r="T267" i="21"/>
  <c r="S267" i="21"/>
  <c r="Q267" i="21"/>
  <c r="P267" i="21"/>
  <c r="O267" i="21"/>
  <c r="N267" i="21"/>
  <c r="V266" i="21"/>
  <c r="U266" i="21"/>
  <c r="T266" i="21"/>
  <c r="S266" i="21"/>
  <c r="Q266" i="21"/>
  <c r="P266" i="21"/>
  <c r="O266" i="21"/>
  <c r="N266" i="21"/>
  <c r="V265" i="21"/>
  <c r="U265" i="21"/>
  <c r="T265" i="21"/>
  <c r="S265" i="21"/>
  <c r="Q265" i="21"/>
  <c r="P265" i="21"/>
  <c r="O265" i="21"/>
  <c r="N265" i="21"/>
  <c r="V262" i="21"/>
  <c r="U262" i="21"/>
  <c r="T262" i="21"/>
  <c r="S262" i="21"/>
  <c r="Q262" i="21"/>
  <c r="P262" i="21"/>
  <c r="O262" i="21"/>
  <c r="N262" i="21"/>
  <c r="V261" i="21"/>
  <c r="U261" i="21"/>
  <c r="T261" i="21"/>
  <c r="S261" i="21"/>
  <c r="Q261" i="21"/>
  <c r="P261" i="21"/>
  <c r="O261" i="21"/>
  <c r="N261" i="21"/>
  <c r="V260" i="21"/>
  <c r="U260" i="21"/>
  <c r="T260" i="21"/>
  <c r="S260" i="21"/>
  <c r="Q260" i="21"/>
  <c r="P260" i="21"/>
  <c r="O260" i="21"/>
  <c r="N260" i="21"/>
  <c r="V259" i="21"/>
  <c r="U259" i="21"/>
  <c r="T259" i="21"/>
  <c r="S259" i="21"/>
  <c r="Q259" i="21"/>
  <c r="P259" i="21"/>
  <c r="O259" i="21"/>
  <c r="N259" i="21"/>
  <c r="V258" i="21"/>
  <c r="U258" i="21"/>
  <c r="T258" i="21"/>
  <c r="S258" i="21"/>
  <c r="Q258" i="21"/>
  <c r="P258" i="21"/>
  <c r="O258" i="21"/>
  <c r="N258" i="21"/>
  <c r="V257" i="21"/>
  <c r="U257" i="21"/>
  <c r="T257" i="21"/>
  <c r="S257" i="21"/>
  <c r="Q257" i="21"/>
  <c r="P257" i="21"/>
  <c r="O257" i="21"/>
  <c r="N257" i="21"/>
  <c r="V256" i="21"/>
  <c r="U256" i="21"/>
  <c r="T256" i="21"/>
  <c r="S256" i="21"/>
  <c r="Q256" i="21"/>
  <c r="P256" i="21"/>
  <c r="O256" i="21"/>
  <c r="N256" i="21"/>
  <c r="V255" i="21"/>
  <c r="U255" i="21"/>
  <c r="T255" i="21"/>
  <c r="S255" i="21"/>
  <c r="Q255" i="21"/>
  <c r="P255" i="21"/>
  <c r="O255" i="21"/>
  <c r="N255" i="21"/>
  <c r="V254" i="21"/>
  <c r="U254" i="21"/>
  <c r="T254" i="21"/>
  <c r="S254" i="21"/>
  <c r="Q254" i="21"/>
  <c r="P254" i="21"/>
  <c r="O254" i="21"/>
  <c r="N254" i="21"/>
  <c r="V253" i="21"/>
  <c r="U253" i="21"/>
  <c r="T253" i="21"/>
  <c r="S253" i="21"/>
  <c r="Q253" i="21"/>
  <c r="P253" i="21"/>
  <c r="O253" i="21"/>
  <c r="N253" i="21"/>
  <c r="V252" i="21"/>
  <c r="U252" i="21"/>
  <c r="T252" i="21"/>
  <c r="S252" i="21"/>
  <c r="Q252" i="21"/>
  <c r="P252" i="21"/>
  <c r="O252" i="21"/>
  <c r="N252" i="21"/>
  <c r="V249" i="21"/>
  <c r="U249" i="21"/>
  <c r="T249" i="21"/>
  <c r="S249" i="21"/>
  <c r="Q249" i="21"/>
  <c r="P249" i="21"/>
  <c r="O249" i="21"/>
  <c r="N249" i="21"/>
  <c r="V248" i="21"/>
  <c r="U248" i="21"/>
  <c r="T248" i="21"/>
  <c r="S248" i="21"/>
  <c r="Q248" i="21"/>
  <c r="P248" i="21"/>
  <c r="O248" i="21"/>
  <c r="N248" i="21"/>
  <c r="V247" i="21"/>
  <c r="U247" i="21"/>
  <c r="T247" i="21"/>
  <c r="S247" i="21"/>
  <c r="Q247" i="21"/>
  <c r="P247" i="21"/>
  <c r="O247" i="21"/>
  <c r="N247" i="21"/>
  <c r="V246" i="21"/>
  <c r="U246" i="21"/>
  <c r="T246" i="21"/>
  <c r="S246" i="21"/>
  <c r="Q246" i="21"/>
  <c r="P246" i="21"/>
  <c r="O246" i="21"/>
  <c r="N246" i="21"/>
  <c r="V244" i="21"/>
  <c r="U244" i="21"/>
  <c r="T244" i="21"/>
  <c r="S244" i="21"/>
  <c r="Q244" i="21"/>
  <c r="P244" i="21"/>
  <c r="O244" i="21"/>
  <c r="N244" i="21"/>
  <c r="V243" i="21"/>
  <c r="U243" i="21"/>
  <c r="T243" i="21"/>
  <c r="S243" i="21"/>
  <c r="Q243" i="21"/>
  <c r="P243" i="21"/>
  <c r="O243" i="21"/>
  <c r="N243" i="21"/>
  <c r="V242" i="21"/>
  <c r="U242" i="21"/>
  <c r="T242" i="21"/>
  <c r="S242" i="21"/>
  <c r="Q242" i="21"/>
  <c r="P242" i="21"/>
  <c r="O242" i="21"/>
  <c r="N242" i="21"/>
  <c r="V241" i="21"/>
  <c r="U241" i="21"/>
  <c r="T241" i="21"/>
  <c r="S241" i="21"/>
  <c r="Q241" i="21"/>
  <c r="P241" i="21"/>
  <c r="O241" i="21"/>
  <c r="N241" i="21"/>
  <c r="V240" i="21"/>
  <c r="U240" i="21"/>
  <c r="T240" i="21"/>
  <c r="S240" i="21"/>
  <c r="Q240" i="21"/>
  <c r="P240" i="21"/>
  <c r="O240" i="21"/>
  <c r="N240" i="21"/>
  <c r="V238" i="21"/>
  <c r="U238" i="21"/>
  <c r="T238" i="21"/>
  <c r="S238" i="21"/>
  <c r="Q238" i="21"/>
  <c r="P238" i="21"/>
  <c r="O238" i="21"/>
  <c r="N238" i="21"/>
  <c r="V235" i="21"/>
  <c r="U235" i="21"/>
  <c r="T235" i="21"/>
  <c r="S235" i="21"/>
  <c r="Q235" i="21"/>
  <c r="P235" i="21"/>
  <c r="O235" i="21"/>
  <c r="N235" i="21"/>
  <c r="V234" i="21"/>
  <c r="U234" i="21"/>
  <c r="T234" i="21"/>
  <c r="S234" i="21"/>
  <c r="Q234" i="21"/>
  <c r="P234" i="21"/>
  <c r="O234" i="21"/>
  <c r="N234" i="21"/>
  <c r="V233" i="21"/>
  <c r="U233" i="21"/>
  <c r="T233" i="21"/>
  <c r="S233" i="21"/>
  <c r="Q233" i="21"/>
  <c r="P233" i="21"/>
  <c r="O233" i="21"/>
  <c r="N233" i="21"/>
  <c r="V230" i="21"/>
  <c r="U230" i="21"/>
  <c r="T230" i="21"/>
  <c r="S230" i="21"/>
  <c r="Q230" i="21"/>
  <c r="P230" i="21"/>
  <c r="O230" i="21"/>
  <c r="N230" i="21"/>
  <c r="V229" i="21"/>
  <c r="U229" i="21"/>
  <c r="T229" i="21"/>
  <c r="S229" i="21"/>
  <c r="Q229" i="21"/>
  <c r="P229" i="21"/>
  <c r="O229" i="21"/>
  <c r="N229" i="21"/>
  <c r="V226" i="21"/>
  <c r="U226" i="21"/>
  <c r="T226" i="21"/>
  <c r="S226" i="21"/>
  <c r="Q226" i="21"/>
  <c r="P226" i="21"/>
  <c r="O226" i="21"/>
  <c r="N226" i="21"/>
  <c r="V225" i="21"/>
  <c r="U225" i="21"/>
  <c r="T225" i="21"/>
  <c r="S225" i="21"/>
  <c r="Q225" i="21"/>
  <c r="P225" i="21"/>
  <c r="O225" i="21"/>
  <c r="N225" i="21"/>
  <c r="V224" i="21"/>
  <c r="U224" i="21"/>
  <c r="T224" i="21"/>
  <c r="S224" i="21"/>
  <c r="Q224" i="21"/>
  <c r="P224" i="21"/>
  <c r="O224" i="21"/>
  <c r="N224" i="21"/>
  <c r="V223" i="21"/>
  <c r="U223" i="21"/>
  <c r="T223" i="21"/>
  <c r="S223" i="21"/>
  <c r="Q223" i="21"/>
  <c r="P223" i="21"/>
  <c r="O223" i="21"/>
  <c r="N223" i="21"/>
  <c r="V222" i="21"/>
  <c r="U222" i="21"/>
  <c r="T222" i="21"/>
  <c r="S222" i="21"/>
  <c r="Q222" i="21"/>
  <c r="P222" i="21"/>
  <c r="O222" i="21"/>
  <c r="N222" i="21"/>
  <c r="V218" i="21"/>
  <c r="U218" i="21"/>
  <c r="T218" i="21"/>
  <c r="S218" i="21"/>
  <c r="Q218" i="21"/>
  <c r="P218" i="21"/>
  <c r="O218" i="21"/>
  <c r="N218" i="21"/>
  <c r="V216" i="21"/>
  <c r="U216" i="21"/>
  <c r="T216" i="21"/>
  <c r="S216" i="21"/>
  <c r="Q216" i="21"/>
  <c r="P216" i="21"/>
  <c r="O216" i="21"/>
  <c r="N216" i="21"/>
  <c r="V214" i="21"/>
  <c r="U214" i="21"/>
  <c r="T214" i="21"/>
  <c r="S214" i="21"/>
  <c r="Q214" i="21"/>
  <c r="P214" i="21"/>
  <c r="O214" i="21"/>
  <c r="N214" i="21"/>
  <c r="V212" i="21"/>
  <c r="U212" i="21"/>
  <c r="T212" i="21"/>
  <c r="S212" i="21"/>
  <c r="Q212" i="21"/>
  <c r="P212" i="21"/>
  <c r="O212" i="21"/>
  <c r="N212" i="21"/>
  <c r="V210" i="21"/>
  <c r="U210" i="21"/>
  <c r="T210" i="21"/>
  <c r="S210" i="21"/>
  <c r="Q210" i="21"/>
  <c r="P210" i="21"/>
  <c r="O210" i="21"/>
  <c r="N210" i="21"/>
  <c r="V208" i="21"/>
  <c r="U208" i="21"/>
  <c r="T208" i="21"/>
  <c r="S208" i="21"/>
  <c r="Q208" i="21"/>
  <c r="P208" i="21"/>
  <c r="O208" i="21"/>
  <c r="N208" i="21"/>
  <c r="V202" i="21"/>
  <c r="U202" i="21"/>
  <c r="T202" i="21"/>
  <c r="S202" i="21"/>
  <c r="Q202" i="21"/>
  <c r="P202" i="21"/>
  <c r="O202" i="21"/>
  <c r="N202" i="21"/>
  <c r="V201" i="21"/>
  <c r="U201" i="21"/>
  <c r="T201" i="21"/>
  <c r="S201" i="21"/>
  <c r="Q201" i="21"/>
  <c r="P201" i="21"/>
  <c r="O201" i="21"/>
  <c r="N201" i="21"/>
  <c r="V200" i="21"/>
  <c r="U200" i="21"/>
  <c r="T200" i="21"/>
  <c r="S200" i="21"/>
  <c r="Q200" i="21"/>
  <c r="P200" i="21"/>
  <c r="O200" i="21"/>
  <c r="N200" i="21"/>
  <c r="V199" i="21"/>
  <c r="U199" i="21"/>
  <c r="T199" i="21"/>
  <c r="S199" i="21"/>
  <c r="Q199" i="21"/>
  <c r="P199" i="21"/>
  <c r="O199" i="21"/>
  <c r="N199" i="21"/>
  <c r="V198" i="21"/>
  <c r="U198" i="21"/>
  <c r="T198" i="21"/>
  <c r="S198" i="21"/>
  <c r="Q198" i="21"/>
  <c r="P198" i="21"/>
  <c r="O198" i="21"/>
  <c r="N198" i="21"/>
  <c r="V195" i="21"/>
  <c r="U195" i="21"/>
  <c r="T195" i="21"/>
  <c r="S195" i="21"/>
  <c r="Q195" i="21"/>
  <c r="P195" i="21"/>
  <c r="O195" i="21"/>
  <c r="N195" i="21"/>
  <c r="V192" i="21"/>
  <c r="U192" i="21"/>
  <c r="T192" i="21"/>
  <c r="S192" i="21"/>
  <c r="Q192" i="21"/>
  <c r="P192" i="21"/>
  <c r="O192" i="21"/>
  <c r="N192" i="21"/>
  <c r="V191" i="21"/>
  <c r="U191" i="21"/>
  <c r="T191" i="21"/>
  <c r="S191" i="21"/>
  <c r="Q191" i="21"/>
  <c r="P191" i="21"/>
  <c r="O191" i="21"/>
  <c r="N191" i="21"/>
  <c r="V190" i="21"/>
  <c r="U190" i="21"/>
  <c r="T190" i="21"/>
  <c r="S190" i="21"/>
  <c r="Q190" i="21"/>
  <c r="P190" i="21"/>
  <c r="O190" i="21"/>
  <c r="N190" i="21"/>
  <c r="V186" i="21"/>
  <c r="U186" i="21"/>
  <c r="T186" i="21"/>
  <c r="S186" i="21"/>
  <c r="Q186" i="21"/>
  <c r="P186" i="21"/>
  <c r="O186" i="21"/>
  <c r="N186" i="21"/>
  <c r="V185" i="21"/>
  <c r="U185" i="21"/>
  <c r="T185" i="21"/>
  <c r="S185" i="21"/>
  <c r="Q185" i="21"/>
  <c r="P185" i="21"/>
  <c r="O185" i="21"/>
  <c r="N185" i="21"/>
  <c r="V182" i="21"/>
  <c r="U182" i="21"/>
  <c r="T182" i="21"/>
  <c r="S182" i="21"/>
  <c r="Q182" i="21"/>
  <c r="P182" i="21"/>
  <c r="O182" i="21"/>
  <c r="N182" i="21"/>
  <c r="V179" i="21"/>
  <c r="U179" i="21"/>
  <c r="T179" i="21"/>
  <c r="S179" i="21"/>
  <c r="Q179" i="21"/>
  <c r="P179" i="21"/>
  <c r="O179" i="21"/>
  <c r="N179" i="21"/>
  <c r="V176" i="21"/>
  <c r="U176" i="21"/>
  <c r="T176" i="21"/>
  <c r="S176" i="21"/>
  <c r="Q176" i="21"/>
  <c r="P176" i="21"/>
  <c r="O176" i="21"/>
  <c r="N176" i="21"/>
  <c r="V175" i="21"/>
  <c r="U175" i="21"/>
  <c r="T175" i="21"/>
  <c r="S175" i="21"/>
  <c r="Q175" i="21"/>
  <c r="P175" i="21"/>
  <c r="O175" i="21"/>
  <c r="N175" i="21"/>
  <c r="V172" i="21"/>
  <c r="U172" i="21"/>
  <c r="T172" i="21"/>
  <c r="S172" i="21"/>
  <c r="Q172" i="21"/>
  <c r="P172" i="21"/>
  <c r="O172" i="21"/>
  <c r="N172" i="21"/>
  <c r="V171" i="21"/>
  <c r="U171" i="21"/>
  <c r="T171" i="21"/>
  <c r="S171" i="21"/>
  <c r="Q171" i="21"/>
  <c r="P171" i="21"/>
  <c r="O171" i="21"/>
  <c r="N171" i="21"/>
  <c r="V170" i="21"/>
  <c r="U170" i="21"/>
  <c r="T170" i="21"/>
  <c r="S170" i="21"/>
  <c r="Q170" i="21"/>
  <c r="P170" i="21"/>
  <c r="O170" i="21"/>
  <c r="N170" i="21"/>
  <c r="V169" i="21"/>
  <c r="U169" i="21"/>
  <c r="T169" i="21"/>
  <c r="S169" i="21"/>
  <c r="Q169" i="21"/>
  <c r="P169" i="21"/>
  <c r="O169" i="21"/>
  <c r="N169" i="21"/>
  <c r="V168" i="21"/>
  <c r="U168" i="21"/>
  <c r="T168" i="21"/>
  <c r="S168" i="21"/>
  <c r="Q168" i="21"/>
  <c r="P168" i="21"/>
  <c r="O168" i="21"/>
  <c r="N168" i="21"/>
  <c r="V165" i="21"/>
  <c r="U165" i="21"/>
  <c r="T165" i="21"/>
  <c r="S165" i="21"/>
  <c r="Q165" i="21"/>
  <c r="P165" i="21"/>
  <c r="O165" i="21"/>
  <c r="N165" i="21"/>
  <c r="V164" i="21"/>
  <c r="U164" i="21"/>
  <c r="T164" i="21"/>
  <c r="S164" i="21"/>
  <c r="Q164" i="21"/>
  <c r="P164" i="21"/>
  <c r="O164" i="21"/>
  <c r="N164" i="21"/>
  <c r="V163" i="21"/>
  <c r="U163" i="21"/>
  <c r="T163" i="21"/>
  <c r="S163" i="21"/>
  <c r="Q163" i="21"/>
  <c r="P163" i="21"/>
  <c r="O163" i="21"/>
  <c r="N163" i="21"/>
  <c r="V162" i="21"/>
  <c r="U162" i="21"/>
  <c r="T162" i="21"/>
  <c r="S162" i="21"/>
  <c r="Q162" i="21"/>
  <c r="P162" i="21"/>
  <c r="O162" i="21"/>
  <c r="N162" i="21"/>
  <c r="V161" i="21"/>
  <c r="U161" i="21"/>
  <c r="T161" i="21"/>
  <c r="S161" i="21"/>
  <c r="Q161" i="21"/>
  <c r="P161" i="21"/>
  <c r="O161" i="21"/>
  <c r="N161" i="21"/>
  <c r="V160" i="21"/>
  <c r="U160" i="21"/>
  <c r="T160" i="21"/>
  <c r="S160" i="21"/>
  <c r="Q160" i="21"/>
  <c r="P160" i="21"/>
  <c r="O160" i="21"/>
  <c r="N160" i="21"/>
  <c r="V159" i="21"/>
  <c r="U159" i="21"/>
  <c r="T159" i="21"/>
  <c r="S159" i="21"/>
  <c r="Q159" i="21"/>
  <c r="P159" i="21"/>
  <c r="O159" i="21"/>
  <c r="N159" i="21"/>
  <c r="V158" i="21"/>
  <c r="U158" i="21"/>
  <c r="T158" i="21"/>
  <c r="S158" i="21"/>
  <c r="Q158" i="21"/>
  <c r="P158" i="21"/>
  <c r="O158" i="21"/>
  <c r="N158" i="21"/>
  <c r="V157" i="21"/>
  <c r="U157" i="21"/>
  <c r="T157" i="21"/>
  <c r="S157" i="21"/>
  <c r="Q157" i="21"/>
  <c r="P157" i="21"/>
  <c r="O157" i="21"/>
  <c r="N157" i="21"/>
  <c r="V156" i="21"/>
  <c r="U156" i="21"/>
  <c r="T156" i="21"/>
  <c r="S156" i="21"/>
  <c r="Q156" i="21"/>
  <c r="P156" i="21"/>
  <c r="O156" i="21"/>
  <c r="N156" i="21"/>
  <c r="V153" i="21"/>
  <c r="U153" i="21"/>
  <c r="T153" i="21"/>
  <c r="S153" i="21"/>
  <c r="Q153" i="21"/>
  <c r="P153" i="21"/>
  <c r="O153" i="21"/>
  <c r="N153" i="21"/>
  <c r="V152" i="21"/>
  <c r="U152" i="21"/>
  <c r="T152" i="21"/>
  <c r="S152" i="21"/>
  <c r="Q152" i="21"/>
  <c r="P152" i="21"/>
  <c r="O152" i="21"/>
  <c r="N152" i="21"/>
  <c r="V151" i="21"/>
  <c r="U151" i="21"/>
  <c r="T151" i="21"/>
  <c r="S151" i="21"/>
  <c r="Q151" i="21"/>
  <c r="P151" i="21"/>
  <c r="O151" i="21"/>
  <c r="N151" i="21"/>
  <c r="V150" i="21"/>
  <c r="U150" i="21"/>
  <c r="T150" i="21"/>
  <c r="S150" i="21"/>
  <c r="Q150" i="21"/>
  <c r="P150" i="21"/>
  <c r="O150" i="21"/>
  <c r="N150" i="21"/>
  <c r="V149" i="21"/>
  <c r="U149" i="21"/>
  <c r="T149" i="21"/>
  <c r="S149" i="21"/>
  <c r="Q149" i="21"/>
  <c r="P149" i="21"/>
  <c r="O149" i="21"/>
  <c r="N149" i="21"/>
  <c r="V145" i="21"/>
  <c r="U145" i="21"/>
  <c r="T145" i="21"/>
  <c r="S145" i="21"/>
  <c r="Q145" i="21"/>
  <c r="P145" i="21"/>
  <c r="O145" i="21"/>
  <c r="N145" i="21"/>
  <c r="V142" i="21"/>
  <c r="U142" i="21"/>
  <c r="T142" i="21"/>
  <c r="S142" i="21"/>
  <c r="Q142" i="21"/>
  <c r="P142" i="21"/>
  <c r="O142" i="21"/>
  <c r="N142" i="21"/>
  <c r="V140" i="21"/>
  <c r="U140" i="21"/>
  <c r="T140" i="21"/>
  <c r="S140" i="21"/>
  <c r="Q140" i="21"/>
  <c r="P140" i="21"/>
  <c r="O140" i="21"/>
  <c r="N140" i="21"/>
  <c r="V138" i="21"/>
  <c r="U138" i="21"/>
  <c r="T138" i="21"/>
  <c r="S138" i="21"/>
  <c r="Q138" i="21"/>
  <c r="P138" i="21"/>
  <c r="O138" i="21"/>
  <c r="N138" i="21"/>
  <c r="V137" i="21"/>
  <c r="U137" i="21"/>
  <c r="T137" i="21"/>
  <c r="S137" i="21"/>
  <c r="Q137" i="21"/>
  <c r="P137" i="21"/>
  <c r="O137" i="21"/>
  <c r="N137" i="21"/>
  <c r="V135" i="21"/>
  <c r="U135" i="21"/>
  <c r="T135" i="21"/>
  <c r="S135" i="21"/>
  <c r="Q135" i="21"/>
  <c r="P135" i="21"/>
  <c r="O135" i="21"/>
  <c r="N135" i="21"/>
  <c r="V132" i="21"/>
  <c r="U132" i="21"/>
  <c r="T132" i="21"/>
  <c r="S132" i="21"/>
  <c r="Q132" i="21"/>
  <c r="P132" i="21"/>
  <c r="O132" i="21"/>
  <c r="N132" i="21"/>
  <c r="V131" i="21"/>
  <c r="U131" i="21"/>
  <c r="T131" i="21"/>
  <c r="S131" i="21"/>
  <c r="Q131" i="21"/>
  <c r="P131" i="21"/>
  <c r="O131" i="21"/>
  <c r="N131" i="21"/>
  <c r="V130" i="21"/>
  <c r="U130" i="21"/>
  <c r="T130" i="21"/>
  <c r="S130" i="21"/>
  <c r="Q130" i="21"/>
  <c r="P130" i="21"/>
  <c r="O130" i="21"/>
  <c r="N130" i="21"/>
  <c r="V129" i="21"/>
  <c r="U129" i="21"/>
  <c r="T129" i="21"/>
  <c r="S129" i="21"/>
  <c r="Q129" i="21"/>
  <c r="P129" i="21"/>
  <c r="O129" i="21"/>
  <c r="N129" i="21"/>
  <c r="V128" i="21"/>
  <c r="U128" i="21"/>
  <c r="T128" i="21"/>
  <c r="S128" i="21"/>
  <c r="Q128" i="21"/>
  <c r="P128" i="21"/>
  <c r="O128" i="21"/>
  <c r="N128" i="21"/>
  <c r="V127" i="21"/>
  <c r="U127" i="21"/>
  <c r="T127" i="21"/>
  <c r="S127" i="21"/>
  <c r="Q127" i="21"/>
  <c r="P127" i="21"/>
  <c r="O127" i="21"/>
  <c r="N127" i="21"/>
  <c r="V126" i="21"/>
  <c r="U126" i="21"/>
  <c r="T126" i="21"/>
  <c r="S126" i="21"/>
  <c r="Q126" i="21"/>
  <c r="P126" i="21"/>
  <c r="O126" i="21"/>
  <c r="N126" i="21"/>
  <c r="V124" i="21"/>
  <c r="U124" i="21"/>
  <c r="T124" i="21"/>
  <c r="S124" i="21"/>
  <c r="Q124" i="21"/>
  <c r="P124" i="21"/>
  <c r="O124" i="21"/>
  <c r="N124" i="21"/>
  <c r="V122" i="21"/>
  <c r="U122" i="21"/>
  <c r="T122" i="21"/>
  <c r="S122" i="21"/>
  <c r="Q122" i="21"/>
  <c r="P122" i="21"/>
  <c r="O122" i="21"/>
  <c r="N122" i="21"/>
  <c r="V121" i="21"/>
  <c r="U121" i="21"/>
  <c r="T121" i="21"/>
  <c r="S121" i="21"/>
  <c r="Q121" i="21"/>
  <c r="P121" i="21"/>
  <c r="O121" i="21"/>
  <c r="N121" i="21"/>
  <c r="V120" i="21"/>
  <c r="U120" i="21"/>
  <c r="T120" i="21"/>
  <c r="S120" i="21"/>
  <c r="Q120" i="21"/>
  <c r="P120" i="21"/>
  <c r="O120" i="21"/>
  <c r="N120" i="21"/>
  <c r="V119" i="21"/>
  <c r="U119" i="21"/>
  <c r="T119" i="21"/>
  <c r="S119" i="21"/>
  <c r="Q119" i="21"/>
  <c r="P119" i="21"/>
  <c r="O119" i="21"/>
  <c r="N119" i="21"/>
  <c r="V118" i="21"/>
  <c r="U118" i="21"/>
  <c r="T118" i="21"/>
  <c r="S118" i="21"/>
  <c r="Q118" i="21"/>
  <c r="P118" i="21"/>
  <c r="O118" i="21"/>
  <c r="N118" i="21"/>
  <c r="V117" i="21"/>
  <c r="U117" i="21"/>
  <c r="T117" i="21"/>
  <c r="S117" i="21"/>
  <c r="Q117" i="21"/>
  <c r="P117" i="21"/>
  <c r="O117" i="21"/>
  <c r="N117" i="21"/>
  <c r="V116" i="21"/>
  <c r="U116" i="21"/>
  <c r="T116" i="21"/>
  <c r="S116" i="21"/>
  <c r="Q116" i="21"/>
  <c r="P116" i="21"/>
  <c r="O116" i="21"/>
  <c r="N116" i="21"/>
  <c r="V115" i="21"/>
  <c r="U115" i="21"/>
  <c r="T115" i="21"/>
  <c r="S115" i="21"/>
  <c r="Q115" i="21"/>
  <c r="P115" i="21"/>
  <c r="O115" i="21"/>
  <c r="N115" i="21"/>
  <c r="V113" i="21"/>
  <c r="U113" i="21"/>
  <c r="T113" i="21"/>
  <c r="S113" i="21"/>
  <c r="Q113" i="21"/>
  <c r="P113" i="21"/>
  <c r="O113" i="21"/>
  <c r="N113" i="21"/>
  <c r="N111" i="21"/>
  <c r="V107" i="21"/>
  <c r="U107" i="21"/>
  <c r="T107" i="21"/>
  <c r="S107" i="21"/>
  <c r="Q107" i="21"/>
  <c r="P107" i="21"/>
  <c r="O107" i="21"/>
  <c r="N107" i="21"/>
  <c r="V105" i="21"/>
  <c r="U105" i="21"/>
  <c r="T105" i="21"/>
  <c r="S105" i="21"/>
  <c r="Q105" i="21"/>
  <c r="P105" i="21"/>
  <c r="O105" i="21"/>
  <c r="N105" i="21"/>
  <c r="V103" i="21"/>
  <c r="U103" i="21"/>
  <c r="T103" i="21"/>
  <c r="S103" i="21"/>
  <c r="Q103" i="21"/>
  <c r="P103" i="21"/>
  <c r="O103" i="21"/>
  <c r="N103" i="21"/>
  <c r="V101" i="21"/>
  <c r="U101" i="21"/>
  <c r="T101" i="21"/>
  <c r="S101" i="21"/>
  <c r="Q101" i="21"/>
  <c r="P101" i="21"/>
  <c r="O101" i="21"/>
  <c r="N101" i="21"/>
  <c r="V99" i="21"/>
  <c r="U99" i="21"/>
  <c r="T99" i="21"/>
  <c r="S99" i="21"/>
  <c r="Q99" i="21"/>
  <c r="P99" i="21"/>
  <c r="O99" i="21"/>
  <c r="N99" i="21"/>
  <c r="V93" i="21"/>
  <c r="U93" i="21"/>
  <c r="T93" i="21"/>
  <c r="S93" i="21"/>
  <c r="Q93" i="21"/>
  <c r="P93" i="21"/>
  <c r="O93" i="21"/>
  <c r="N93" i="21"/>
  <c r="V92" i="21"/>
  <c r="U92" i="21"/>
  <c r="T92" i="21"/>
  <c r="S92" i="21"/>
  <c r="Q92" i="21"/>
  <c r="P92" i="21"/>
  <c r="O92" i="21"/>
  <c r="N92" i="21"/>
  <c r="V91" i="21"/>
  <c r="U91" i="21"/>
  <c r="T91" i="21"/>
  <c r="S91" i="21"/>
  <c r="Q91" i="21"/>
  <c r="P91" i="21"/>
  <c r="O91" i="21"/>
  <c r="N91" i="21"/>
  <c r="V90" i="21"/>
  <c r="U90" i="21"/>
  <c r="T90" i="21"/>
  <c r="S90" i="21"/>
  <c r="Q90" i="21"/>
  <c r="P90" i="21"/>
  <c r="O90" i="21"/>
  <c r="N90" i="21"/>
  <c r="V87" i="21"/>
  <c r="U87" i="21"/>
  <c r="T87" i="21"/>
  <c r="S87" i="21"/>
  <c r="Q87" i="21"/>
  <c r="P87" i="21"/>
  <c r="O87" i="21"/>
  <c r="N87" i="21"/>
  <c r="V84" i="21"/>
  <c r="U84" i="21"/>
  <c r="T84" i="21"/>
  <c r="S84" i="21"/>
  <c r="Q84" i="21"/>
  <c r="P84" i="21"/>
  <c r="O84" i="21"/>
  <c r="N84" i="21"/>
  <c r="V81" i="21"/>
  <c r="U81" i="21"/>
  <c r="T81" i="21"/>
  <c r="S81" i="21"/>
  <c r="Q81" i="21"/>
  <c r="P81" i="21"/>
  <c r="O81" i="21"/>
  <c r="N81" i="21"/>
  <c r="V78" i="21"/>
  <c r="U78" i="21"/>
  <c r="T78" i="21"/>
  <c r="S78" i="21"/>
  <c r="Q78" i="21"/>
  <c r="P78" i="21"/>
  <c r="O78" i="21"/>
  <c r="N78" i="21"/>
  <c r="V77" i="21"/>
  <c r="U77" i="21"/>
  <c r="T77" i="21"/>
  <c r="S77" i="21"/>
  <c r="Q77" i="21"/>
  <c r="P77" i="21"/>
  <c r="O77" i="21"/>
  <c r="N77" i="21"/>
  <c r="V74" i="21"/>
  <c r="U74" i="21"/>
  <c r="T74" i="21"/>
  <c r="S74" i="21"/>
  <c r="Q74" i="21"/>
  <c r="P74" i="21"/>
  <c r="O74" i="21"/>
  <c r="N74" i="21"/>
  <c r="V71" i="21"/>
  <c r="U71" i="21"/>
  <c r="T71" i="21"/>
  <c r="S71" i="21"/>
  <c r="Q71" i="21"/>
  <c r="P71" i="21"/>
  <c r="O71" i="21"/>
  <c r="N71" i="21"/>
  <c r="V70" i="21"/>
  <c r="U70" i="21"/>
  <c r="T70" i="21"/>
  <c r="S70" i="21"/>
  <c r="Q70" i="21"/>
  <c r="P70" i="21"/>
  <c r="O70" i="21"/>
  <c r="N70" i="21"/>
  <c r="V67" i="21"/>
  <c r="U67" i="21"/>
  <c r="T67" i="21"/>
  <c r="S67" i="21"/>
  <c r="Q67" i="21"/>
  <c r="P67" i="21"/>
  <c r="O67" i="21"/>
  <c r="N67" i="21"/>
  <c r="V64" i="21"/>
  <c r="U64" i="21"/>
  <c r="T64" i="21"/>
  <c r="S64" i="21"/>
  <c r="Q64" i="21"/>
  <c r="P64" i="21"/>
  <c r="O64" i="21"/>
  <c r="N64" i="21"/>
  <c r="V63" i="21"/>
  <c r="U63" i="21"/>
  <c r="T63" i="21"/>
  <c r="S63" i="21"/>
  <c r="Q63" i="21"/>
  <c r="P63" i="21"/>
  <c r="O63" i="21"/>
  <c r="N63" i="21"/>
  <c r="V62" i="21"/>
  <c r="U62" i="21"/>
  <c r="T62" i="21"/>
  <c r="S62" i="21"/>
  <c r="Q62" i="21"/>
  <c r="P62" i="21"/>
  <c r="O62" i="21"/>
  <c r="N62" i="21"/>
  <c r="V59" i="21"/>
  <c r="U59" i="21"/>
  <c r="T59" i="21"/>
  <c r="S59" i="21"/>
  <c r="Q59" i="21"/>
  <c r="P59" i="21"/>
  <c r="O59" i="21"/>
  <c r="N59" i="21"/>
  <c r="V58" i="21"/>
  <c r="U58" i="21"/>
  <c r="T58" i="21"/>
  <c r="S58" i="21"/>
  <c r="Q58" i="21"/>
  <c r="P58" i="21"/>
  <c r="O58" i="21"/>
  <c r="N58" i="21"/>
  <c r="V57" i="21"/>
  <c r="U57" i="21"/>
  <c r="T57" i="21"/>
  <c r="S57" i="21"/>
  <c r="Q57" i="21"/>
  <c r="P57" i="21"/>
  <c r="O57" i="21"/>
  <c r="N57" i="21"/>
  <c r="V56" i="21"/>
  <c r="U56" i="21"/>
  <c r="T56" i="21"/>
  <c r="S56" i="21"/>
  <c r="Q56" i="21"/>
  <c r="P56" i="21"/>
  <c r="O56" i="21"/>
  <c r="N56" i="21"/>
  <c r="V55" i="21"/>
  <c r="U55" i="21"/>
  <c r="T55" i="21"/>
  <c r="S55" i="21"/>
  <c r="Q55" i="21"/>
  <c r="P55" i="21"/>
  <c r="O55" i="21"/>
  <c r="N55" i="21"/>
  <c r="V52" i="21"/>
  <c r="U52" i="21"/>
  <c r="T52" i="21"/>
  <c r="S52" i="21"/>
  <c r="Q52" i="21"/>
  <c r="P52" i="21"/>
  <c r="O52" i="21"/>
  <c r="N52" i="21"/>
  <c r="V51" i="21"/>
  <c r="U51" i="21"/>
  <c r="T51" i="21"/>
  <c r="S51" i="21"/>
  <c r="Q51" i="21"/>
  <c r="P51" i="21"/>
  <c r="O51" i="21"/>
  <c r="N51" i="21"/>
  <c r="V50" i="21"/>
  <c r="U50" i="21"/>
  <c r="T50" i="21"/>
  <c r="S50" i="21"/>
  <c r="Q50" i="21"/>
  <c r="P50" i="21"/>
  <c r="O50" i="21"/>
  <c r="N50" i="21"/>
  <c r="V49" i="21"/>
  <c r="U49" i="21"/>
  <c r="T49" i="21"/>
  <c r="S49" i="21"/>
  <c r="Q49" i="21"/>
  <c r="P49" i="21"/>
  <c r="O49" i="21"/>
  <c r="N49" i="21"/>
  <c r="V48" i="21"/>
  <c r="U48" i="21"/>
  <c r="T48" i="21"/>
  <c r="S48" i="21"/>
  <c r="Q48" i="21"/>
  <c r="P48" i="21"/>
  <c r="O48" i="21"/>
  <c r="N48" i="21"/>
  <c r="V47" i="21"/>
  <c r="U47" i="21"/>
  <c r="T47" i="21"/>
  <c r="S47" i="21"/>
  <c r="Q47" i="21"/>
  <c r="P47" i="21"/>
  <c r="O47" i="21"/>
  <c r="N47" i="21"/>
  <c r="V44" i="21"/>
  <c r="U44" i="21"/>
  <c r="T44" i="21"/>
  <c r="S44" i="21"/>
  <c r="Q44" i="21"/>
  <c r="P44" i="21"/>
  <c r="O44" i="21"/>
  <c r="N44" i="21"/>
  <c r="V43" i="21"/>
  <c r="U43" i="21"/>
  <c r="T43" i="21"/>
  <c r="S43" i="21"/>
  <c r="Q43" i="21"/>
  <c r="P43" i="21"/>
  <c r="O43" i="21"/>
  <c r="N43" i="21"/>
  <c r="V42" i="21"/>
  <c r="U42" i="21"/>
  <c r="T42" i="21"/>
  <c r="S42" i="21"/>
  <c r="Q42" i="21"/>
  <c r="P42" i="21"/>
  <c r="O42" i="21"/>
  <c r="N42" i="21"/>
  <c r="V41" i="21"/>
  <c r="U41" i="21"/>
  <c r="T41" i="21"/>
  <c r="S41" i="21"/>
  <c r="Q41" i="21"/>
  <c r="P41" i="21"/>
  <c r="O41" i="21"/>
  <c r="N41" i="21"/>
  <c r="V38" i="21"/>
  <c r="U38" i="21"/>
  <c r="T38" i="21"/>
  <c r="S38" i="21"/>
  <c r="Q38" i="21"/>
  <c r="P38" i="21"/>
  <c r="O38" i="21"/>
  <c r="N38" i="21"/>
  <c r="V37" i="21"/>
  <c r="U37" i="21"/>
  <c r="T37" i="21"/>
  <c r="S37" i="21"/>
  <c r="Q37" i="21"/>
  <c r="P37" i="21"/>
  <c r="O37" i="21"/>
  <c r="N37" i="21"/>
  <c r="V34" i="21"/>
  <c r="U34" i="21"/>
  <c r="T34" i="21"/>
  <c r="S34" i="21"/>
  <c r="Q34" i="21"/>
  <c r="P34" i="21"/>
  <c r="O34" i="21"/>
  <c r="N34" i="21"/>
  <c r="V33" i="21"/>
  <c r="U33" i="21"/>
  <c r="T33" i="21"/>
  <c r="S33" i="21"/>
  <c r="Q33" i="21"/>
  <c r="P33" i="21"/>
  <c r="O33" i="21"/>
  <c r="N33" i="21"/>
  <c r="V32" i="21"/>
  <c r="U32" i="21"/>
  <c r="T32" i="21"/>
  <c r="S32" i="21"/>
  <c r="Q32" i="21"/>
  <c r="P32" i="21"/>
  <c r="O32" i="21"/>
  <c r="N32" i="21"/>
  <c r="V30" i="21"/>
  <c r="U30" i="21"/>
  <c r="T30" i="21"/>
  <c r="S30" i="21"/>
  <c r="Q30" i="21"/>
  <c r="P30" i="21"/>
  <c r="O30" i="21"/>
  <c r="N30" i="21"/>
  <c r="V28" i="21"/>
  <c r="U28" i="21"/>
  <c r="T28" i="21"/>
  <c r="S28" i="21"/>
  <c r="Q28" i="21"/>
  <c r="P28" i="21"/>
  <c r="O28" i="21"/>
  <c r="N28" i="21"/>
  <c r="V27" i="21"/>
  <c r="U27" i="21"/>
  <c r="T27" i="21"/>
  <c r="S27" i="21"/>
  <c r="Q27" i="21"/>
  <c r="P27" i="21"/>
  <c r="O27" i="21"/>
  <c r="N27" i="21"/>
  <c r="V26" i="21"/>
  <c r="U26" i="21"/>
  <c r="T26" i="21"/>
  <c r="S26" i="21"/>
  <c r="Q26" i="21"/>
  <c r="P26" i="21"/>
  <c r="O26" i="21"/>
  <c r="N26" i="21"/>
  <c r="V23" i="21"/>
  <c r="U23" i="21"/>
  <c r="T23" i="21"/>
  <c r="S23" i="21"/>
  <c r="Q23" i="21"/>
  <c r="P23" i="21"/>
  <c r="O23" i="21"/>
  <c r="N23" i="21"/>
  <c r="V19" i="21"/>
  <c r="U19" i="21"/>
  <c r="T19" i="21"/>
  <c r="S19" i="21"/>
  <c r="Q19" i="21"/>
  <c r="P19" i="21"/>
  <c r="O19" i="21"/>
  <c r="N19" i="21"/>
  <c r="V17" i="21"/>
  <c r="U17" i="21"/>
  <c r="T17" i="21"/>
  <c r="S17" i="21"/>
  <c r="Q17" i="21"/>
  <c r="P17" i="21"/>
  <c r="O17" i="21"/>
  <c r="N17" i="21"/>
  <c r="V15" i="21"/>
  <c r="U15" i="21"/>
  <c r="T15" i="21"/>
  <c r="S15" i="21"/>
  <c r="Q15" i="21"/>
  <c r="P15" i="21"/>
  <c r="O15" i="21"/>
  <c r="N15" i="21"/>
  <c r="V13" i="21"/>
  <c r="U13" i="21"/>
  <c r="T13" i="21"/>
  <c r="S13" i="21"/>
  <c r="Q13" i="21"/>
  <c r="P13" i="21"/>
  <c r="O13" i="21"/>
  <c r="N13" i="21"/>
  <c r="V11" i="21"/>
  <c r="U11" i="21"/>
  <c r="T11" i="21"/>
  <c r="S11" i="21"/>
  <c r="Q11" i="21"/>
  <c r="P11" i="21"/>
  <c r="O11" i="21"/>
  <c r="N11" i="21"/>
  <c r="H40" i="2"/>
  <c r="H39" i="2"/>
  <c r="H38" i="2"/>
  <c r="P12" i="20" l="1"/>
  <c r="Q12" i="20"/>
  <c r="R12" i="20"/>
  <c r="S12" i="20"/>
  <c r="T12" i="20"/>
  <c r="U12" i="20"/>
  <c r="V12" i="20"/>
  <c r="P12" i="16"/>
  <c r="Q12" i="16"/>
  <c r="R12" i="16"/>
  <c r="S12" i="16"/>
  <c r="U12" i="16"/>
  <c r="V12" i="16"/>
  <c r="W12" i="16"/>
  <c r="X12" i="16"/>
  <c r="V11" i="20" l="1"/>
  <c r="U11" i="20"/>
  <c r="T11" i="20"/>
  <c r="S11" i="20"/>
  <c r="R11" i="20"/>
  <c r="Q11" i="20"/>
  <c r="P11" i="20"/>
  <c r="S11" i="16"/>
  <c r="X11" i="16"/>
  <c r="W11" i="16"/>
  <c r="V11" i="16"/>
  <c r="U11" i="16"/>
  <c r="R11" i="16"/>
  <c r="Q11" i="16"/>
  <c r="P11" i="16"/>
</calcChain>
</file>

<file path=xl/sharedStrings.xml><?xml version="1.0" encoding="utf-8"?>
<sst xmlns="http://schemas.openxmlformats.org/spreadsheetml/2006/main" count="6035" uniqueCount="1714">
  <si>
    <t>Date de soumission du projet de BPU par le titulaire</t>
  </si>
  <si>
    <t>Date de validation du BPU</t>
  </si>
  <si>
    <t>Version</t>
  </si>
  <si>
    <t>Mise à jour des Tarifs Matinfo 5</t>
  </si>
  <si>
    <t>V1</t>
  </si>
  <si>
    <t>Démarrage Matinfo 5</t>
  </si>
  <si>
    <t>29/10/2021</t>
  </si>
  <si>
    <t>V2</t>
  </si>
  <si>
    <t>Ajouts configurations Stock</t>
  </si>
  <si>
    <t>Correction des anomalies de références et prix</t>
  </si>
  <si>
    <t>15/02/2022</t>
  </si>
  <si>
    <t>V3</t>
  </si>
  <si>
    <t>Ajout des garanties 7 ans</t>
  </si>
  <si>
    <t>ADP</t>
  </si>
  <si>
    <t>Windows 11</t>
  </si>
  <si>
    <t>Clients légers garanties 5 ans</t>
  </si>
  <si>
    <t>Bundle station d'accueil garantie 5 ans</t>
  </si>
  <si>
    <t>Mise à jour de certains accessoires</t>
  </si>
  <si>
    <t>Retrait de certaines configurations stock express épuisées</t>
  </si>
  <si>
    <t>Mise à jour configuration standard 1040 - FreeDos et dalle matte tactile</t>
  </si>
  <si>
    <t>28/03/2022</t>
  </si>
  <si>
    <t>V4</t>
  </si>
  <si>
    <t>Hausse de prix 5% hors logiciels, garanties et services (application de la parité €/$)
Le nouveau taux de parité pris en compte est celui du mois de mars 2022 : 1,1019 arrondi au dixième soit 1,1</t>
  </si>
  <si>
    <t xml:space="preserve">Transition des Cat1Conf Intel 440/450 G9, ajout références accessoires, </t>
  </si>
  <si>
    <t>Ajout de configurations avec une garantie 7 ans</t>
  </si>
  <si>
    <t>Ajout de l'offre Location</t>
  </si>
  <si>
    <t>Ajout de l'offre DROM COM</t>
  </si>
  <si>
    <t>Introduction de deux plateformes préconfigurées avec Intel vPro : 840/850G8</t>
  </si>
  <si>
    <t>23/05/2022</t>
  </si>
  <si>
    <t>V5</t>
  </si>
  <si>
    <t>Ajout Bundle ID des écrans et stations d'accueil</t>
  </si>
  <si>
    <t>Ajout des écrans docking E24M et E27M</t>
  </si>
  <si>
    <t>Ajout de la mini station d'accueil USB-C Multiport Hub</t>
  </si>
  <si>
    <t>Précision de compatibilité des stylets et filtres de confidentialité</t>
  </si>
  <si>
    <t>Aucun impact sur la validité des devis en cours car les Config ID n'évoluent pas</t>
  </si>
  <si>
    <t>V6</t>
  </si>
  <si>
    <t>Hausse de prix 2,5% hors logiciels et services</t>
  </si>
  <si>
    <t xml:space="preserve">Transition plateformes en G9 </t>
  </si>
  <si>
    <t>Retrait des modèles EliteBook X360 1030 G8 et 635 Aero G8 (catégorie 4)</t>
  </si>
  <si>
    <t>Introduction de nouveaux modèles : ProBook X360 435 G9 (catégorie 1), EliteBook 645 et 655 G9 (catégorie 2), et Dragonfly G3 (catégorie 4)</t>
  </si>
  <si>
    <t>Ajout Elitebook 640 et 840 avec Linux préinstallé (Cat2Conf4A et Cat3Conf6A)</t>
  </si>
  <si>
    <t xml:space="preserve">Ajout de l'option garantie 7ans DMR pour les configurations en garantie de base 7 ans </t>
  </si>
  <si>
    <t xml:space="preserve">Retrait références fin de vie </t>
  </si>
  <si>
    <t>V7</t>
  </si>
  <si>
    <t>Hausse de prix de 5% hors logiciels et services (application de la parité €/$)
Le nouveau taux de parité pris en compte est celui du mois de novembre 2022 : 1,0201 arrondi au dixième soit 1,0</t>
  </si>
  <si>
    <t xml:space="preserve">Client léger : référence 11D18EA fin de vie en Mars prochain, référence de remplacement 11D37EA </t>
  </si>
  <si>
    <t xml:space="preserve">Ré-ajout 2 références stock express en catégorie 2 </t>
  </si>
  <si>
    <t xml:space="preserve">Mise à jour des références garanties DMR et travel pour l'EliteBook X360 1040 G9 et la garantie travel + DMR pour la catégorie 4 </t>
  </si>
  <si>
    <t>Introduction de la station d'accueil Essential dock G5 72C71AA</t>
  </si>
  <si>
    <t xml:space="preserve">Retrait et remplacement des références écrans/ accessoires fin de vie </t>
  </si>
  <si>
    <t>V8</t>
  </si>
  <si>
    <t xml:space="preserve">Baisse de prix de 5% hors logiciels et services (application de la parité €/$)
Le nouveau taux de parité pris en compte est celui du mois de mars 2023 : 1,0706 arrondi au dixième soit 1,1
Transition des plateformes en G10 pour les 4 catégories 
Ajout de l’option 32GB de mémoire pour l’EliteBook X360 1040 G10
Ajout des options Ryzen 7 pour les EliteBooks 645 et 655 G10
Retrait options non disponibles en G10
Ajout du Carepack ActiveCare et Protect &amp; Trace pour les catégories 2, 3 et 4 
Références accessoires fin de vie et ajout des références de remplacement
Ajout des casques audio Poly (HP) 
Ajout deux références webcams HP 
Ajout du service gravure logo UV printing </t>
  </si>
  <si>
    <t>V9</t>
  </si>
  <si>
    <t>Régularisation des anomalies du BPU V8 :
Nouvelle règle du configurateur pour les 405 et 605 G10 pour la compatibilité processeur et webcam infrarouge 5MP pour sélectionner certaines dalles d'écran 
Nouvelle règle pour l'option 64GB pour le 860 G10 - changement de la batterie et de l'alimentation 
Ajout de l'option i7-1355U avec carte graphique NVIDIA® GeForce® RTX 2050 4GB pour les EliteBooks 640 et 650 G10</t>
  </si>
  <si>
    <t>V10</t>
  </si>
  <si>
    <t>Hausse de prix +50€ license Microsft Windows 11 Pro Downgrade 10 
Mise à jour références accessoires</t>
  </si>
  <si>
    <t>Retrait des références plus disponibles dans les extensions pour la catégorie 4</t>
  </si>
  <si>
    <t>Correction des réferences pour le EB 640 G10 et le EB 840 G10 Linux</t>
  </si>
  <si>
    <t>Retrait des références plus disponibles dans les extensions communes</t>
  </si>
  <si>
    <t>Mise a jour du fichier Récapitulatif</t>
  </si>
  <si>
    <t>Pc portable</t>
  </si>
  <si>
    <t>Extensions CAT1</t>
  </si>
  <si>
    <t>Extensions CAT2</t>
  </si>
  <si>
    <t>Extensions CAT3</t>
  </si>
  <si>
    <t>Extensions CAT4</t>
  </si>
  <si>
    <t>Processeur Intel</t>
  </si>
  <si>
    <t>Passage à i5-1335U</t>
  </si>
  <si>
    <t>Intel Core i5-1345U</t>
  </si>
  <si>
    <t xml:space="preserve">Intel Core i5-1345U 32GB compatible vPro pour 830 G10 (mémoire soudée) </t>
  </si>
  <si>
    <t xml:space="preserve">Intel Core i7-1355U </t>
  </si>
  <si>
    <t>Passage à i7-1365U</t>
  </si>
  <si>
    <t xml:space="preserve">Intel Core i7-1365U 32GB compatible vPro pour 830 G10 (mémoire soudée) </t>
  </si>
  <si>
    <t xml:space="preserve">Passage à i7-1370P
 </t>
  </si>
  <si>
    <t>Processeur AMD</t>
  </si>
  <si>
    <t>Passage à Ryzen 5 7530U</t>
  </si>
  <si>
    <t>Passage à Ryzen 5 Pro 7530U</t>
  </si>
  <si>
    <t>Passage à Ryzen 7 7730U</t>
  </si>
  <si>
    <t>AMD R7 PRO 7840U 835/845/865 G10 BNBPC</t>
  </si>
  <si>
    <t xml:space="preserve">AMD R7 PRO 7840U 32GB 835 G10 (mémoire soudée) </t>
  </si>
  <si>
    <t>RAM</t>
  </si>
  <si>
    <t>Passage à 16GB</t>
  </si>
  <si>
    <t>Passage à 32GB</t>
  </si>
  <si>
    <t xml:space="preserve">passage à 64GB </t>
  </si>
  <si>
    <t>Disque Dur</t>
  </si>
  <si>
    <t>Passage à 512GB SSD</t>
  </si>
  <si>
    <t>Passage à 1TB SSD</t>
  </si>
  <si>
    <t>Ecrans</t>
  </si>
  <si>
    <t>Passage au 400 nits</t>
  </si>
  <si>
    <t>Passage au 1000 nits</t>
  </si>
  <si>
    <t>Webcam HD infrarouge (hors dalle compatible)</t>
  </si>
  <si>
    <t>Lecteur d'empreinte digitale</t>
  </si>
  <si>
    <t>Antenne 4G (hors processeur/dalle compatible 4G)</t>
  </si>
  <si>
    <t>Antenne 5G (hors processeur/dalle compatible 4G)</t>
  </si>
  <si>
    <t>Garanties 5ans J+1 sur site La durée de garantie des batteries du lot2 ne peut excéder 5 ans.</t>
  </si>
  <si>
    <t>Catégorie</t>
  </si>
  <si>
    <t>5ans DMR*</t>
  </si>
  <si>
    <t>5ans Travel*</t>
  </si>
  <si>
    <t>5ans DMR* + Travel*</t>
  </si>
  <si>
    <t>5ans ADP*</t>
  </si>
  <si>
    <t>5ans Active Care et Protect &amp; Trace</t>
  </si>
  <si>
    <t>7ans J+1 sur site</t>
  </si>
  <si>
    <t>7ans J+1 sur site DMR</t>
  </si>
  <si>
    <t>Lot 2  : Cat 1</t>
  </si>
  <si>
    <t>Lot 2  : Cat 2</t>
  </si>
  <si>
    <t>Lot 2  : Cat 3</t>
  </si>
  <si>
    <t>Lot 2  : Cat 4</t>
  </si>
  <si>
    <t>*DMR : Defective Media Retention : rétention du disque dur défectueux par le client</t>
  </si>
  <si>
    <t>*Travel : Garantie internationale dans 80 pays</t>
  </si>
  <si>
    <t>*ADP : Accidental damage protection : assurance dommage accidentel</t>
  </si>
  <si>
    <t>Conditions Garantie 7 ans J+1 sur site</t>
  </si>
  <si>
    <t>La durée de la batterie dans le cas d’un PC Portable reste à 5 ans</t>
  </si>
  <si>
    <t>La couverture est uniquement en France Métropolitaine</t>
  </si>
  <si>
    <t>La garantie des accessoires DIB et/ou d’un accessoire sur le même bon de commande reste à 5 ans</t>
  </si>
  <si>
    <t>sous</t>
  </si>
  <si>
    <t>Bordereau de prix</t>
  </si>
  <si>
    <t>Acquisition de matériel informatique - MATINFO 5
LOT 2 - Postes de travail portables et leurs extensions</t>
  </si>
  <si>
    <t>CATEGORIE 1 : Portable basique/Pédagogique</t>
  </si>
  <si>
    <t>Désignation/Description des matériels</t>
  </si>
  <si>
    <t>Référence constructeur</t>
  </si>
  <si>
    <t>vPro</t>
  </si>
  <si>
    <t>Référence</t>
  </si>
  <si>
    <t xml:space="preserve">Tarif HT avec garantie 5 ans 
intervention sur site J+1 en France métropolitaine </t>
  </si>
  <si>
    <t xml:space="preserve">Tarif HT avec garantie 7 ans 
intervention sur site J+1 en France métropolitaine </t>
  </si>
  <si>
    <r>
      <rPr>
        <b/>
        <sz val="10"/>
        <color theme="1"/>
        <rFont val="Arial"/>
        <family val="2"/>
      </rPr>
      <t xml:space="preserve">Cat1conf1A_440G10_14-HD-250n_i3-8Go-256Go
Intel Core i3-1315U (2 cores - jusqu'à 4,4Ghz TurboBoost, 10MB L3 cache)
</t>
    </r>
    <r>
      <rPr>
        <sz val="10"/>
        <color theme="1"/>
        <rFont val="Arial"/>
        <family val="2"/>
      </rPr>
      <t>Écran non tactile, 14' (35,56cm), HD (1920 x 1080), 16/9, IPS Mat, 250 cd/m²
8Go 3200MHz DDR4 (1x8Go)
SSD 256Go M.2 PCIe
Intel AX211 Wi-Fi6e 160MHz +BT5.2 WLAN, Bluetooth 5.0
Controleur Ethernet Realtek 10/100/1000 Mbps
Clavier non rétro éclairé - Sans lecteur d‘empreintes digitales et sans lecteur de cartes à puce
Camera 720p Cache Physique
Batterie 3 cellules 51 Whr, HP Long Life 1000 Cycles
Chargeur 65W USB-C
FreeDOS</t>
    </r>
  </si>
  <si>
    <t>HP ProBook 440 G10</t>
  </si>
  <si>
    <r>
      <rPr>
        <b/>
        <sz val="10"/>
        <color theme="1"/>
        <rFont val="Arial"/>
        <family val="2"/>
      </rPr>
      <t xml:space="preserve">Cat1conf1B_445G10_14-HD-250n_r3-8Go-256Go
AMD Ryzen 3 7330U (4 Cores / 8 Threads, 2,7Ghz - 4 Ghz, L3 8MB)
</t>
    </r>
    <r>
      <rPr>
        <sz val="10"/>
        <color theme="1"/>
        <rFont val="Arial"/>
        <family val="2"/>
      </rPr>
      <t>Écran non tactile, 14' (35,56cm), HD (1366 x 768), 16/9, IPS Mat, 250 cd/m²
8Go 3200MHz DDR4 (1x8Go)
SSD 256Go M.2 PCIe
Mediatek RZ616 Wi-Fi 6 + BT 5 WW
Controleur Ethernet Realtek 10/100/1000 Mbps
Clavier non rétro éclairé - Sans lecteur d‘empreintes digitales et sans lecteur de cartes à puce
Camera 720p Cache Physique
Batterie 3 cellules 51 Whr, HP Long Life 1000 Cycles
Chargeur 65W USB-C
FreeDOS</t>
    </r>
  </si>
  <si>
    <t>HP ProBook 445 G10</t>
  </si>
  <si>
    <r>
      <rPr>
        <b/>
        <sz val="10"/>
        <color theme="1"/>
        <rFont val="Arial"/>
        <family val="2"/>
      </rPr>
      <t xml:space="preserve">Cat1conf2A_450G10_15-HD-250n_i3-8Go-256Go
Intel Core i3-1315U (2 cores - jusqu'à 4,4Ghz TurboBoost, 10MB L3 cache)
</t>
    </r>
    <r>
      <rPr>
        <sz val="10"/>
        <color theme="1"/>
        <rFont val="Arial"/>
        <family val="2"/>
      </rPr>
      <t>Écran non tactile, 15,6' (39,6 cm), HD (1366 x 768), 16/9, IPS Mat, 250 cd/m²
8Go 3200MHz DDR4 (1x8Go)
SSD 256Go M.2 PCIe
Intel AX211 Wi-Fi6e 160MHz +BT5.2 WLAN, Bluetooth 5.0
Controleur Ethernet Realtek 10/100/1000 Mbps
Clavier non rétro éclairé - Sans lecteur d‘empreintes digitales et sans lecteur de cartes à puce
Camera 720p Cache Physique
Batterie 3 cellules 51 Whr, HP Long Life 1000 Cycles
Chargeur 65W USB-C
FreeDOS</t>
    </r>
  </si>
  <si>
    <t>HP ProBook 450 G10</t>
  </si>
  <si>
    <r>
      <rPr>
        <b/>
        <sz val="10"/>
        <color theme="1"/>
        <rFont val="Arial"/>
        <family val="2"/>
      </rPr>
      <t xml:space="preserve">Cat1conf2B_455G10_15-HD-250n_r3-8Go-256Go
AMD Ryzen 3 7330U (4 Cores / 8 Threads, 2,7Ghz - 4 Ghz, L3 8MB)
</t>
    </r>
    <r>
      <rPr>
        <sz val="10"/>
        <color theme="1"/>
        <rFont val="Arial"/>
        <family val="2"/>
      </rPr>
      <t>Ecran non tactile, 15" (39,6 cm),  HD (1360 x 766), 16/9, IPS Mat, 250 cd/m²
8Go 3200MHz DDR4 (1x8Go)
SSD 256Go M.2 PCIe
Mediatek RZ616 Wi-Fi 6 + BT 5 WW
Controleur Ethernet Realtek 10/100/1000 Mbps
Clavier non rétro éclairé - Sans lecteur d‘empreintes digitales et sans lecteur de cartes à puce
Camera 720p Cache physique
Batterie 3 cellules 51 Whr, HP Long Life 1000 Cycles
Chargeur 65W USB-C
FreeDOS</t>
    </r>
  </si>
  <si>
    <t>HP ProBook 455 G10</t>
  </si>
  <si>
    <t>HP ProBook X360 435 G10</t>
  </si>
  <si>
    <t xml:space="preserve">Extensions Catégorie 1 </t>
  </si>
  <si>
    <t>440 G10</t>
  </si>
  <si>
    <t>445 G10</t>
  </si>
  <si>
    <t>450 G10</t>
  </si>
  <si>
    <t>455 G10</t>
  </si>
  <si>
    <t>X360 435 G10</t>
  </si>
  <si>
    <t xml:space="preserve">Référence </t>
  </si>
  <si>
    <t xml:space="preserve">Tarif HT
</t>
  </si>
  <si>
    <t>Processeurs (passages)</t>
  </si>
  <si>
    <t>AMD Ryzen5 7530U 445/455/435 G10 BNBPC</t>
  </si>
  <si>
    <t>HP IDS UMA R5 7530U RTK USBC 445/455 G10 BNBPC</t>
  </si>
  <si>
    <t>70Z74AV</t>
  </si>
  <si>
    <t>719F6AV</t>
  </si>
  <si>
    <t>71C20AV</t>
  </si>
  <si>
    <t>AMD Ryzen5 7530U 445/455/435 G10 BNBPC compatible webcam infrarouge 5MP</t>
  </si>
  <si>
    <t>HP IDS UMA R5 7530U f5MP Cam IR RTK USBC 445/ 455 G10BN</t>
  </si>
  <si>
    <t>70Z75AV</t>
  </si>
  <si>
    <t>719F8AV</t>
  </si>
  <si>
    <t>AMD Ryzen5 7530U 435 G10 BNBPC compatible HD webcam infrarouge</t>
  </si>
  <si>
    <t>HP IDS UMA R5 PRO 7530U  fHDC IR RTK USBC x360 435G</t>
  </si>
  <si>
    <t>71C23AV</t>
  </si>
  <si>
    <t>Intel Core  i5-1335U non compatible 4G 440 G10 BNBPC</t>
  </si>
  <si>
    <t>HP IDS UMA i5-1335U RTK USBC 440 G10BNBPC</t>
  </si>
  <si>
    <t>717Q3AV</t>
  </si>
  <si>
    <t>71H58AV</t>
  </si>
  <si>
    <t>Intel Core  i5-1335U compatible 4G 440 G10 BNBPC</t>
  </si>
  <si>
    <t>HP IDS UMA i5-1335U fWW 440 G10B NBPC</t>
  </si>
  <si>
    <t xml:space="preserve">717Q5AV </t>
  </si>
  <si>
    <t>71H57AV</t>
  </si>
  <si>
    <t xml:space="preserve">AMD Ryzen7 7730U 445 G10  BNBPC </t>
  </si>
  <si>
    <t>HP IDS UMA R7 7730U RTKUSBC 445 G10 BNBPC</t>
  </si>
  <si>
    <t>70Z78AV</t>
  </si>
  <si>
    <t>71C24AV</t>
  </si>
  <si>
    <t>AMD Ryzen7 7730U 445 G10  BNBPC compatible webcam infrarouge 5MP</t>
  </si>
  <si>
    <t>HP IDS UMA Ryzen 7 7730U for 5MP Camera + IR Realtek USBC 445 G10 Base NB PC</t>
  </si>
  <si>
    <t>70Z76AV</t>
  </si>
  <si>
    <t>AMD Ryzen7 7730U 455 G10 BNBPC</t>
  </si>
  <si>
    <t>HP IDS UMA R7 7730U RTKUSBC 455 G10 BNBPC</t>
  </si>
  <si>
    <t>719F9AV</t>
  </si>
  <si>
    <t>AMD Ryzen7 7730U 455 G10 BNBPC compatible webcam infrarouge 5MP</t>
  </si>
  <si>
    <t>HP IDS UMA Ryzen 7 7730U for 5MP Camera + IR Realtek USBC 455 G10 Base NB PC</t>
  </si>
  <si>
    <t>719G1AV</t>
  </si>
  <si>
    <t>Intel Core i5-1335U avec Nvidia Geforce RTX 2050 4GB DDR6 non compatible 4G</t>
  </si>
  <si>
    <t>HP IDS DSC RTX 2050 4GB i5-1335U RTK USBC 440 G10</t>
  </si>
  <si>
    <t>717Q9AV</t>
  </si>
  <si>
    <t>71H54AV</t>
  </si>
  <si>
    <t>Intel Core i7-1355U 440 G10 BNBPC non compatible 4G</t>
  </si>
  <si>
    <t>HP IDS UMA i7-1355U RTKUSBC 440 G10BNBPC</t>
  </si>
  <si>
    <t>717Q6AV</t>
  </si>
  <si>
    <t>71H61AV</t>
  </si>
  <si>
    <t>Intel Core i7-1355U avec Nvidia Geforce RTX 2050 4GB DDR6 non compatible 4G</t>
  </si>
  <si>
    <t>HP IDS DSC RTX 2050 4GBi7-1355U RTK USB C 440G10</t>
  </si>
  <si>
    <t>717R0AV</t>
  </si>
  <si>
    <t>71H55AV</t>
  </si>
  <si>
    <t>Mémoire (passages)</t>
  </si>
  <si>
    <t>16GB (1x16GB) DDR4 3200</t>
  </si>
  <si>
    <t>717V7AV</t>
  </si>
  <si>
    <t>70W39AV</t>
  </si>
  <si>
    <t>726W2AV</t>
  </si>
  <si>
    <t>719L2AV</t>
  </si>
  <si>
    <t>71C56AV</t>
  </si>
  <si>
    <t>32GB (2x16GB) DDR4 3200</t>
  </si>
  <si>
    <t>717V9AV</t>
  </si>
  <si>
    <t>726W4AV</t>
  </si>
  <si>
    <t>71C58AV</t>
  </si>
  <si>
    <t>Ecrans 13'' (passages)</t>
  </si>
  <si>
    <t xml:space="preserve">Ecran 13,3" Très Haute-Définition Tactile 250 nitz pour Caméra HD Infrarouge </t>
  </si>
  <si>
    <t>13.3 FHD BV LED UWVA 250 fHDC IR slim TS</t>
  </si>
  <si>
    <t>71C41AV</t>
  </si>
  <si>
    <t>Ecran 13,3" Très Haute-Définition Tactile 400 nitz pour Caméra HD Faible Capteur de luminosité ambiante</t>
  </si>
  <si>
    <t>13.3 FHD BV LED UWVA 400 wHDC uslim TSLP</t>
  </si>
  <si>
    <t>71C42AV</t>
  </si>
  <si>
    <t>Ecran 13,3" Très Haute-Définition Tactile 400 nitz pour Caméra HD Infrarouge Faible Capteur de luminosité ambiante</t>
  </si>
  <si>
    <t>13.3 FHD BV LED UWVA 400 wHDCIRuslimTSLP</t>
  </si>
  <si>
    <t>71C43AV</t>
  </si>
  <si>
    <t>Ecran 13,3" Très Haute-Définition Anti-reflets Tactile 1000 nitz pour Caméra HD Infrarouge HP SureView Reflect</t>
  </si>
  <si>
    <t>13.3BVFHDUWVALwBluLt1000fHDCIRTouchPVG4P</t>
  </si>
  <si>
    <t>71C44AV</t>
  </si>
  <si>
    <t>Ecrans 14'' (passages)</t>
  </si>
  <si>
    <t xml:space="preserve">Ecran 14" Très Haute-Définition Anti-reflets LED 250 nitz pour Caméra HD </t>
  </si>
  <si>
    <t>14 FHD AG LED UWVA 250 fHDC NWBZ bent</t>
  </si>
  <si>
    <t>717T5AV</t>
  </si>
  <si>
    <t>70W23AV</t>
  </si>
  <si>
    <t>Ecran 14" Très Haute-Définition Anti-reflets LED 250 nitz pour Caméra HD Infrarouge</t>
  </si>
  <si>
    <t>14 AG FHD UWVA LED 250 f5MP IR bnt LCD Panel</t>
  </si>
  <si>
    <t>717U3AV</t>
  </si>
  <si>
    <t>70W31AV</t>
  </si>
  <si>
    <t xml:space="preserve">Ecran 14" Très Haute-Définition Anti-reflets LED 250 nitz Compatible 4G pour Caméra HD </t>
  </si>
  <si>
    <t>14 FHD AG LED UWVA 250 fWWANfHDCNWBZbent</t>
  </si>
  <si>
    <t>717U0AV</t>
  </si>
  <si>
    <t>Ecran 14" Très Haute-Définition Anti-reflets LED Tactile 250 nitz pour Caméra HD</t>
  </si>
  <si>
    <t>14 FHD AG LED UWVA 250 fHDC TOP NWBZbent</t>
  </si>
  <si>
    <t>717T7AV</t>
  </si>
  <si>
    <t>Ecran 14" Très Haute-Définition Anti-reflets LED 400 nitz pour Caméra 5MP Infrarouge Consommation Faible</t>
  </si>
  <si>
    <t>LCD 14 FHD AG LwBluLt 400 UWVA f5MP IR bnt</t>
  </si>
  <si>
    <t>717T8AV</t>
  </si>
  <si>
    <t>Ecran 14" Très Haute-Définition Anti-reflets LED 400 nitz pour Caméra HD Consommation Faible</t>
  </si>
  <si>
    <t>14 AG FHD UWVA LwBluLt 400 fHD CbntLCDPanel</t>
  </si>
  <si>
    <t>717T9AV</t>
  </si>
  <si>
    <t>70W27AV</t>
  </si>
  <si>
    <t>Ecrans 15.6'' (passages)</t>
  </si>
  <si>
    <t>Ecran 15,6" Très Haute-Définition Anti-reflets LED 250 nitz pour Caméra HD</t>
  </si>
  <si>
    <t>15.6 FHD AG LED UWVA 250 fHDC NWBZ bent</t>
  </si>
  <si>
    <t>726U8AV</t>
  </si>
  <si>
    <t>719J3AV</t>
  </si>
  <si>
    <t>Ecran 15,6" Très Haute-Définition Anti-reflets LED 250 nitz pour Caméra HD Infrarouge 5MP</t>
  </si>
  <si>
    <t>15.6 AG FHD UWVA LED 250 f5MP IR bntLCDPanel</t>
  </si>
  <si>
    <t>726U6AV</t>
  </si>
  <si>
    <t>719J5AV</t>
  </si>
  <si>
    <t xml:space="preserve">Ecran 15,6" Très Haute-Définition Anti-reflets LED 250 nitz Compatible 4G pour Caméra HD  </t>
  </si>
  <si>
    <t>15.6 FHD AG LED UWVA 250 fWWAN fHDC NWBZ bent</t>
  </si>
  <si>
    <t>726V5AV</t>
  </si>
  <si>
    <t>Ecran 15,6" Très Haute-Définition Anti-reflets LED Tactile 250 nitz pour Caméra HD</t>
  </si>
  <si>
    <t>15.6 FHD AG LED UWVA 250 fHDC TOP NWBZ bent</t>
  </si>
  <si>
    <t>726V1AV</t>
  </si>
  <si>
    <t>Ecran 15.6" Très Haute-Définition Anti-reflets LED 400 nitz pour Caméra HD Consommation Faible</t>
  </si>
  <si>
    <t>15.6 AG FHD UWVA LwBlu Lt 400 fHDC bnt LCDPanel</t>
  </si>
  <si>
    <t>726U9AV</t>
  </si>
  <si>
    <t>719J8AV</t>
  </si>
  <si>
    <t>Unités de stockage de masse (passages)</t>
  </si>
  <si>
    <t xml:space="preserve"> 512GB PCIe NVMe Value SSD</t>
  </si>
  <si>
    <t>512GB PCIe NVMe Value SSD</t>
  </si>
  <si>
    <t>717V1AV</t>
  </si>
  <si>
    <t>70W34AV</t>
  </si>
  <si>
    <t>71K04AV</t>
  </si>
  <si>
    <t>719K6AV</t>
  </si>
  <si>
    <t>71C50AV</t>
  </si>
  <si>
    <t xml:space="preserve"> 1TB PCIe NVMe TLC SSD</t>
  </si>
  <si>
    <t>1TB PCIe 2280 NVMe TLC SSD</t>
  </si>
  <si>
    <t>717V2AV</t>
  </si>
  <si>
    <t>70W35AV</t>
  </si>
  <si>
    <t>71K05AV</t>
  </si>
  <si>
    <t>719K7AV</t>
  </si>
  <si>
    <t>71C51AV</t>
  </si>
  <si>
    <t>Ajout second disque dur 256GB PCIe 2230 NVMe Value 2nd Solid State Drive</t>
  </si>
  <si>
    <t>256GB PCIe 2230 NVMe Val 2nd SSD</t>
  </si>
  <si>
    <t>71K02AV</t>
  </si>
  <si>
    <t>Webcam (passages)</t>
  </si>
  <si>
    <t xml:space="preserve"> Webcam Infrarouge HD ou 5MP</t>
  </si>
  <si>
    <t>DM 5MP USB2 IR WFOV Intgrtd Cam</t>
  </si>
  <si>
    <t>717Y3AV 
717U9AV</t>
  </si>
  <si>
    <t>711K8AV</t>
  </si>
  <si>
    <t>726V7AV</t>
  </si>
  <si>
    <t>719K4AV</t>
  </si>
  <si>
    <t>Changement de la localisation du clavier (étrangers) et rétroéclairage</t>
  </si>
  <si>
    <t> </t>
  </si>
  <si>
    <t>Passage au clavier Rétro-éclairé Anti-éclaboussures (AZERTY et QWERTY)</t>
  </si>
  <si>
    <t>Clickpad BL SR</t>
  </si>
  <si>
    <t>718B0AV</t>
  </si>
  <si>
    <t>71J51AV</t>
  </si>
  <si>
    <t>72M12AV</t>
  </si>
  <si>
    <t>719R3AV</t>
  </si>
  <si>
    <t>Passage au clavier Rétro-éclairé Anti-éclaboussures HP SureView (AZERTY &amp; QWERTY) pour écran 1000 nits</t>
  </si>
  <si>
    <t>Clickpad BL SR Premium KBD PVCY</t>
  </si>
  <si>
    <t>71D02AV</t>
  </si>
  <si>
    <t>Module de sécurité (biométrique …)</t>
  </si>
  <si>
    <t>Fingerprint Sensor</t>
  </si>
  <si>
    <t>717U6AV</t>
  </si>
  <si>
    <t>716L7AV</t>
  </si>
  <si>
    <t>71K01AV</t>
  </si>
  <si>
    <t>719K1AV</t>
  </si>
  <si>
    <t>71C46AV</t>
  </si>
  <si>
    <t>Communication (wifi, 4G ...) - Configuration Intel</t>
  </si>
  <si>
    <t>Module Données Mobiles 4G - 440</t>
  </si>
  <si>
    <t>Intel LTE-AP WWAN</t>
  </si>
  <si>
    <t>718A3AV</t>
  </si>
  <si>
    <t>Module Données Mobiles 4G - 450</t>
  </si>
  <si>
    <t>72F55AV</t>
  </si>
  <si>
    <t>Sécurité - Configuration Intel</t>
  </si>
  <si>
    <t>Fonctionnalité HP Tamper Lock - Détecte les attaques physiques d'un capot d'ordinateur portable</t>
  </si>
  <si>
    <t xml:space="preserve">HP Tamper Lock </t>
  </si>
  <si>
    <t>4N733AV</t>
  </si>
  <si>
    <t>Alimentations  (passages)</t>
  </si>
  <si>
    <t>Alimentation 65 Watt connecteur 4,5 mm</t>
  </si>
  <si>
    <t>65 Watt Smart nPFC RA AC Adapter</t>
  </si>
  <si>
    <t>717Z5AV</t>
  </si>
  <si>
    <t>70W21AV</t>
  </si>
  <si>
    <t>727N4AV</t>
  </si>
  <si>
    <t>719P9AV</t>
  </si>
  <si>
    <t>71C93AV</t>
  </si>
  <si>
    <t>Stylets (ajouts) - X360 435 G9</t>
  </si>
  <si>
    <t>Stylet rechargeable</t>
  </si>
  <si>
    <t>HP Slim RECHBL Pen</t>
  </si>
  <si>
    <t>71C38AV</t>
  </si>
  <si>
    <t>Extensions de garantie acquises lors de l'achat initial</t>
  </si>
  <si>
    <t>Passage en garantie 5 ans sur site J+1 internationale dans 80 pays</t>
  </si>
  <si>
    <t>HP 5y TravelNextBusDay Notebook Only SVC</t>
  </si>
  <si>
    <t>UL655E</t>
  </si>
  <si>
    <t>Passage en garantie 5 ans sur site J+1 DMR avec conservation du disque de données défectueux en France Métropolitaine</t>
  </si>
  <si>
    <t>HP 5y NextBusDay OnsiteDMR NB Only SVC</t>
  </si>
  <si>
    <t>UL659E</t>
  </si>
  <si>
    <t xml:space="preserve">Passage en garantie 5 ans sur site J+1 Internationale + DMR avec conservation du disque de données défectueux </t>
  </si>
  <si>
    <t>HP 5y Travel Nbd Onsite/DMR NB Only SVC</t>
  </si>
  <si>
    <t>UL669E</t>
  </si>
  <si>
    <t>Ajout Protection Dommages Accidentels pendant 5 ans (ADP)</t>
  </si>
  <si>
    <t>HP 5yrADP Select EU Direct Only SVC</t>
  </si>
  <si>
    <t>U7D35E</t>
  </si>
  <si>
    <t>Passage en garantie 7 ans sur site J+1 DMR avec conservation du disque de données défectueux en France Métropolitaine</t>
  </si>
  <si>
    <t>HP 7y NextBusDay OnsiteDMR NB Only SVC</t>
  </si>
  <si>
    <t>CATEGORIE 2 : Portable Bureautique</t>
  </si>
  <si>
    <t>HP EliteBook 630 G10</t>
  </si>
  <si>
    <t>HP EliteBook 640 G10</t>
  </si>
  <si>
    <t>HP EliteBook 645 G10</t>
  </si>
  <si>
    <t>HP EliteBook 650 G10</t>
  </si>
  <si>
    <t>HP EliteBook 655 G10</t>
  </si>
  <si>
    <t>Extensions Catégorie 2</t>
  </si>
  <si>
    <t>Référence constructeur
(le cas échéant)</t>
  </si>
  <si>
    <t>630 G10</t>
  </si>
  <si>
    <t>640 G10</t>
  </si>
  <si>
    <t>645 G10</t>
  </si>
  <si>
    <t>650 G10</t>
  </si>
  <si>
    <t>655 G10</t>
  </si>
  <si>
    <t>New</t>
  </si>
  <si>
    <t>Intel Core i5-1335U 630 G10 BNBPC</t>
  </si>
  <si>
    <t>HP IDS UMA i5-1335U TIPD 630 G10 BNBPC</t>
  </si>
  <si>
    <t>735X2AV</t>
  </si>
  <si>
    <t>Intel Core i5-1345U nWWAN 830 G10 BNBPC non compatible 4G et compatibke vPro</t>
  </si>
  <si>
    <t>HP IDS UMA i5-1345U RTKUSBC 830 G10BNBPC</t>
  </si>
  <si>
    <t>X</t>
  </si>
  <si>
    <t>735X3AV</t>
  </si>
  <si>
    <t>Intel Core i7-1355U 630 G10 BNBPC</t>
  </si>
  <si>
    <t>HP IDS UMA i7-1355U TIPD 630 G10 BNBPC</t>
  </si>
  <si>
    <t>735X4AV</t>
  </si>
  <si>
    <t>Intel  i3-1315U fWWAN 640 G10 BNBPC compatible 4G</t>
  </si>
  <si>
    <t>HP IDS UMA i3-1315U fWWAN TI PD 640 G10 BNBPC</t>
  </si>
  <si>
    <t>736H3AV</t>
  </si>
  <si>
    <t>Intel  i5-1335U fWWAN 640 G10 BNBPC compatible 4G</t>
  </si>
  <si>
    <t>HP IDS UMA i5-1335U fWWANTIPD640G10BNBPC</t>
  </si>
  <si>
    <t>736H7AV</t>
  </si>
  <si>
    <t>Intel i5-1335U nWWAN 640 G10 BNBPC non compatible 4G</t>
  </si>
  <si>
    <t>HP IDS UMA i5-1335U TIPD 640 G10 BNBPC</t>
  </si>
  <si>
    <t>736H9AV</t>
  </si>
  <si>
    <t>Intel i5-1335U nWWAN 640 G10 BNBPC avec NVIDIA® GeForce® RTX 2050 4GB non compatible 4G</t>
  </si>
  <si>
    <t>HP IDSDSCRTX20504GBi5-1335UTIPD640G10BNB</t>
  </si>
  <si>
    <t>736G4AV</t>
  </si>
  <si>
    <t>Intel  i7-1365U fWWAN 640 G10 BNBPC compatible 4G vPro</t>
  </si>
  <si>
    <t>HP IDS UMA i7-1365U fWWAN TI PD 640 G10 BNBPC</t>
  </si>
  <si>
    <t>736K5AV</t>
  </si>
  <si>
    <t>Intel i7-1365U nWWAN 640 G10 BNBPC non compatible 4G vPro</t>
  </si>
  <si>
    <t>HP IDS UMA i7-1365U TIPD 640 G10 BNBPC</t>
  </si>
  <si>
    <t>736K7AV</t>
  </si>
  <si>
    <t>Intel i5-1345U nWWAN 640 G10 BNBPC non compatible 4G compatible vPro</t>
  </si>
  <si>
    <t>HP IDS UMA i5-1345U TIPD 640 G10 BNBPC</t>
  </si>
  <si>
    <t>736J7AV</t>
  </si>
  <si>
    <t>Intel i5-1345U fWWAN 640 G10 BNBPC compatible 4G compatible vPro</t>
  </si>
  <si>
    <t>HP IDS UMA i5-1345U fWWAN TI PD 640G10 BNBPC</t>
  </si>
  <si>
    <t>736J5AV</t>
  </si>
  <si>
    <t>Intel i7-1355U nWWAN 640 G10 BNBPC avec NVIDIA® GeForce® RTX 2050 4GB non compatible 4G</t>
  </si>
  <si>
    <t>HP IDSDSCRTX20504GBi7-1355UTIPD640G10BNB</t>
  </si>
  <si>
    <t>736G8AV</t>
  </si>
  <si>
    <t>Intel i7-1370P fWWAN 640 G10 BNBPC compatible 4G compatible vPro</t>
  </si>
  <si>
    <t>HP IDS UMA i7-1370P fWWAN TI PD 640G10 BNBPC</t>
  </si>
  <si>
    <t>736K9AV</t>
  </si>
  <si>
    <t>Intel Core i3-1315U fWWAN 650 G10 BNBPC compatible 4G</t>
  </si>
  <si>
    <t>HP IDS UMA i3-1315U fWWAN TI PD 650G10BNBPC</t>
  </si>
  <si>
    <t>736W0AV</t>
  </si>
  <si>
    <t>Intel Core i5-1335U fWWAN 650 G10 BNBPC compatible 4G</t>
  </si>
  <si>
    <t>HP IDS UMA i5-1335U fWWANTIPD650G10BNBPC</t>
  </si>
  <si>
    <t>736W4AV</t>
  </si>
  <si>
    <t>Intel Core i5-1335U nWWAN 650 G10 BNBPC non compatible 4G</t>
  </si>
  <si>
    <t>HP IDS UMA i5-1335U TIPD 650 G10 BNBPC</t>
  </si>
  <si>
    <t>736W6AV</t>
  </si>
  <si>
    <t>Intel Core i5-1335U nWWAN 650 G10 BNBPC avec NVIDIA® GeForce® RTX 2050 4GB  non compatible 4G</t>
  </si>
  <si>
    <t>HP IDS DSC RTX 2050 4 GB i5-1335U RTK USBC 650 G10</t>
  </si>
  <si>
    <t>736V1AV</t>
  </si>
  <si>
    <t>Intel Core i7-1365U fWWAN 650 G10 BNBPC compatible 4G et vPro</t>
  </si>
  <si>
    <t>HP IDS UMA i7-1365U fWWAN TI PD 650 G10 BNBPC</t>
  </si>
  <si>
    <t>736Y2AV</t>
  </si>
  <si>
    <t>Intel Core i5-1345U nWWAN 650 G10 BNBPC non compatible 4G et compatibke vPro</t>
  </si>
  <si>
    <t>HP IDS UMA i5-1345U TIPD 650 G10 BNBPC</t>
  </si>
  <si>
    <t>736X4AV</t>
  </si>
  <si>
    <t>Intel Core i7-1355U nWWAN 650 G10 BNBPC avec NVIDIA® GeForce® RTX 2050 4GB  non compatible 4G</t>
  </si>
  <si>
    <t>HP IDS DSC RTX 2050 4GBi7-1355U RTK USB C 650G10</t>
  </si>
  <si>
    <t>736V5AV</t>
  </si>
  <si>
    <t>Intel Core i7-1370P fWWAN 650 G10 BNBPC compatible 4G compatible vPro</t>
  </si>
  <si>
    <t>HP IDS UMA i7-1370P fWWAN TI PD 650 G10BNBPC</t>
  </si>
  <si>
    <t>736Y6AV</t>
  </si>
  <si>
    <t>AMD  Ryzen 3 7330U fWWAN 645/ 655 G10 BNBPC compatible 4G</t>
  </si>
  <si>
    <t>HP IDS UMA R3 7330U fWWAN TI PD 645/655 G10 BNBPC</t>
  </si>
  <si>
    <t>75C05AV</t>
  </si>
  <si>
    <t>75G64AV</t>
  </si>
  <si>
    <t>AMD  Ryzen 3 7330U A121645/ 655 G10 BNBPC non compatible 4G webcam infrarouge 5MP</t>
  </si>
  <si>
    <t>HP IDS UMA Ryzen 3 7330U for 5MP Camera + IR TI PD IC 645 G10 Base NB PC</t>
  </si>
  <si>
    <t xml:space="preserve">75C02AV </t>
  </si>
  <si>
    <t xml:space="preserve">75G61AV </t>
  </si>
  <si>
    <t>AMD  Ryzen 5 7530U fWWAN 645/ 655 G10 BNBPC compatible 4G</t>
  </si>
  <si>
    <t>HP IDS UMA R5 7530U fWWAN TI PD 645/655 G10 BNBPC</t>
  </si>
  <si>
    <t>75C11AV</t>
  </si>
  <si>
    <t>75G70AV</t>
  </si>
  <si>
    <t>AMD  Ryzen 5 7530U nWWAN 645/ 655 G10 BNBPC non compatible 4G</t>
  </si>
  <si>
    <t>HP IDS UMA R5 7530U TIPD 645/655 G10 BNBPC</t>
  </si>
  <si>
    <t>75C13AV</t>
  </si>
  <si>
    <t>75G72AV</t>
  </si>
  <si>
    <t>AMD  Ryzen 5 7530U nWWAN 645/ 655 G10 BNBPC non compatible 4G webcam infrarouge 5MP</t>
  </si>
  <si>
    <t>HP IDS UMA Ryzen 5 7530U for 5MP Camera + IR TI PD IC 645 G10 Base NB PC</t>
  </si>
  <si>
    <t xml:space="preserve">75C08AV </t>
  </si>
  <si>
    <t xml:space="preserve">75G67AV </t>
  </si>
  <si>
    <t>AMD Ryzen 7 7730U 645/655 G10 BNBPC non compatible 4G</t>
  </si>
  <si>
    <t>HP IDS UMA R7 7730U TIPD 645 G10</t>
  </si>
  <si>
    <t>75C25AV</t>
  </si>
  <si>
    <t>75G84AV</t>
  </si>
  <si>
    <t>AMD Ryzen 7 7730U 645/655 G10 BNBPC non compatible 4G webcam infrarouge 5MP</t>
  </si>
  <si>
    <t>HP IDS UMA Ryzen 7 7730U for 5MP Camera + IR TI PD IC 645 G10 Base NB PC</t>
  </si>
  <si>
    <t xml:space="preserve">75C20AV </t>
  </si>
  <si>
    <t xml:space="preserve">75G79AV </t>
  </si>
  <si>
    <t>HP IDS UMA R7 7730U fWWAN TIPD 645 G10</t>
  </si>
  <si>
    <t>75C23AV</t>
  </si>
  <si>
    <t>75G82AV</t>
  </si>
  <si>
    <t>AMD Ryzen 7 7730U 645/655 G10 BNBPC compatible 4G</t>
  </si>
  <si>
    <t>Mémoires (passages)</t>
  </si>
  <si>
    <t>74X37AV</t>
  </si>
  <si>
    <t>753F3AV</t>
  </si>
  <si>
    <t>75C90AV</t>
  </si>
  <si>
    <t>757D7AV</t>
  </si>
  <si>
    <t>75H47AV</t>
  </si>
  <si>
    <t>64GB (2x32GB)  DDR4 3200</t>
  </si>
  <si>
    <t>753F4AV</t>
  </si>
  <si>
    <t>Ecrans 13.3'' (passages)</t>
  </si>
  <si>
    <t xml:space="preserve">Ecran 13,3" Très Haute-Définition Anti-reflets LED 250 nitz pour Caméra HD Infrarouge </t>
  </si>
  <si>
    <t>13.3 FHD AG LCD UWVA LED 250 fHDC IR slm Panel</t>
  </si>
  <si>
    <t>74W93AV</t>
  </si>
  <si>
    <t xml:space="preserve">Ecran 13,3" Très Haute-Définition Anti-reflets LED Tactile 250 nitz pour Caméra HD  </t>
  </si>
  <si>
    <t>13.3 AG FHD UWVA LED 250 fHDC Touch slm LCD Panel</t>
  </si>
  <si>
    <t>74W95AV</t>
  </si>
  <si>
    <t>Ecran 13,3" Très Haute-Définition Anti-reflets LED 400 nitz pour Caméra HD Consommation Faible</t>
  </si>
  <si>
    <t>13.3 AG FHD UWVA LED 400 fHDC uslm LCD Panel</t>
  </si>
  <si>
    <t>74W94AV</t>
  </si>
  <si>
    <t>Ecran 13,3" Très Haute-Définition Anti-reflets LED 400 nitz pour Caméra HD Infrarouge Consommation Faible</t>
  </si>
  <si>
    <t>13.3 AG FHD UWVA LED 400 fHDC IR uslm LCD Panel</t>
  </si>
  <si>
    <t>74W96AV</t>
  </si>
  <si>
    <t xml:space="preserve">Ecran 13,3" Très Haute-Définition Anti-reflets LED 1000 nitz pour Caméra HD Infrarouge HP SureView G3  </t>
  </si>
  <si>
    <t>13.3 AG FHD UWVA Lw Blu Lt 1000 fHDC IR PV G4 PfltLC</t>
  </si>
  <si>
    <t>74X00AV</t>
  </si>
  <si>
    <t>Ecran 14" Très Haute-Définition Anti-reflets LED 250 nitz</t>
  </si>
  <si>
    <t>14 FHD AG LED UWVA 250 bent NWBZ</t>
  </si>
  <si>
    <t>752Z5AV</t>
  </si>
  <si>
    <t>75C37AV</t>
  </si>
  <si>
    <t>Ecran 14" Haute-Définition Anti-reflets LED 250 nitz pour Caméra HD</t>
  </si>
  <si>
    <t>14 HD AG LED SVA 250 fHDC NWBZ bent</t>
  </si>
  <si>
    <t>753A0AV</t>
  </si>
  <si>
    <t>75C42AV</t>
  </si>
  <si>
    <t>Ecran 14" Haute-Définition Anti-reflets LED 250 nitz</t>
  </si>
  <si>
    <t>14 HD AG LED SVA 250 NWBZ bent</t>
  </si>
  <si>
    <t>753A1AV</t>
  </si>
  <si>
    <t>Ecran 14" Très Haute-Définition Anti-reflets LED 250 nitz Comptabile 4G pour Caméra HD</t>
  </si>
  <si>
    <t>14 FHD AG LED UWVA 250 fWWAN fHDC NWBZ bent</t>
  </si>
  <si>
    <t>752Z9AV</t>
  </si>
  <si>
    <t>75C41AV</t>
  </si>
  <si>
    <t>Ecran 14" Très Haute-Définition Anti-reflets LED 250 nitz Compatible 4G pour Caméra HD Infrarouge</t>
  </si>
  <si>
    <t>14.0 FHD AG UWVA LED 250 fWAN fHDC IR bnt LCD Panel</t>
  </si>
  <si>
    <t>7C201AV</t>
  </si>
  <si>
    <t>7D209AV</t>
  </si>
  <si>
    <t>752Z6AV</t>
  </si>
  <si>
    <t>75C38AV</t>
  </si>
  <si>
    <t>Ecran 14" Très Haute-Définition Anti-reflets LED Tactile 250 nitz Compatible 4G pour Caméra HD Infrarouge</t>
  </si>
  <si>
    <t>14 FHD AG UWVA LED 250 fWAN 4G fHDC IR Touch bnt LCD Panel</t>
  </si>
  <si>
    <t>89S69AV</t>
  </si>
  <si>
    <t>14 AG FHD UWVA Lw Blu Lt 400 fHDC bnt LCD Panel</t>
  </si>
  <si>
    <t>752Z8AV</t>
  </si>
  <si>
    <t>75C39AV</t>
  </si>
  <si>
    <t>Ecran 14" Très Haute-Définition Anti-reflets LED 400 nitz Compatible 4G pour Caméra HD Infrarouge</t>
  </si>
  <si>
    <t>14 AG FHD UWVA Lw Blu Lt 400 fWWAN fHDC IR bnt LCD Pa</t>
  </si>
  <si>
    <t>7C202AV</t>
  </si>
  <si>
    <t>7D210AV</t>
  </si>
  <si>
    <t>Ecran 14" Très Haute-Définition Anti-reflets LED 1000 nitz Compatible 4G pour Caméra 5MP Infrarouge HP SureView G3</t>
  </si>
  <si>
    <t>14 AG FHD UWVA Lw Blu Lt 1000 f5MP IR SV G4 bntLCDP</t>
  </si>
  <si>
    <t>753A4AV</t>
  </si>
  <si>
    <t>75C46AV</t>
  </si>
  <si>
    <t>Ecran 15,6" Très Haute-Définition Anti-reflets LED 250 nitz Compatible 4G pour Caméra HD Infrarouge</t>
  </si>
  <si>
    <t>15.6 FHD AG UWVA LED 250 fWAN fHDC IR bnt LCD Panel</t>
  </si>
  <si>
    <t>7C210AV</t>
  </si>
  <si>
    <t>75H11AV</t>
  </si>
  <si>
    <t xml:space="preserve">Ecran 15,6" Très Haute-Définition Anti-reflets LED 250 nitz Compatible 4G pour Caméra HD </t>
  </si>
  <si>
    <t>756Z8AV</t>
  </si>
  <si>
    <t xml:space="preserve">Ecran 15,6" Très Haute-Définition Anti-reflets LED Tactile 250 nitz pour Caméra HD </t>
  </si>
  <si>
    <t>15.6 FHD AG LED UWVA 250 fHDC TOP NWB Zbent</t>
  </si>
  <si>
    <t>756Z5AV</t>
  </si>
  <si>
    <t>75H08AV</t>
  </si>
  <si>
    <t>Ecran 15,6" Très Haute-Définition Anti-reflets LED 400 nitz pour Caméra 5MP Consommation Faible</t>
  </si>
  <si>
    <t>15.6 AG FHD UWVA Lw Blu Lt 400 f5MP IR bnt LCD Panel</t>
  </si>
  <si>
    <t>756Z4AV</t>
  </si>
  <si>
    <t>75H07AV</t>
  </si>
  <si>
    <t>Ecran 15,6" Très Haute-Définition Anti-reflets LED 400 nitz Compatible 4G pour Caméra HD Infrarouge</t>
  </si>
  <si>
    <t>15.6 AG FHD UWVA Lw Blu Lt 400 fWWAN fHDC IR bnt LCD</t>
  </si>
  <si>
    <t>7C211AV</t>
  </si>
  <si>
    <t>7D219AV</t>
  </si>
  <si>
    <t>74X49AV</t>
  </si>
  <si>
    <t>753G6AV</t>
  </si>
  <si>
    <t>75D03AV</t>
  </si>
  <si>
    <t>757G0AV</t>
  </si>
  <si>
    <t>75H60AV</t>
  </si>
  <si>
    <t>1TB PCIe NVMe TLC SSD</t>
  </si>
  <si>
    <t>6V524AV</t>
  </si>
  <si>
    <t>753G0AV</t>
  </si>
  <si>
    <t>75C97AV</t>
  </si>
  <si>
    <t>757F4AV</t>
  </si>
  <si>
    <t>75H54AV</t>
  </si>
  <si>
    <t xml:space="preserve"> Webcam Infrarouge HD 720p ou 5MP</t>
  </si>
  <si>
    <t>DM HD USB2 IR WFOV Intgrtd Cam/
DM 5MP USB2 IR WFOV Intgrtd Cam</t>
  </si>
  <si>
    <t>74W90AV</t>
  </si>
  <si>
    <t>752Z0AV 7C200AV</t>
  </si>
  <si>
    <t>75C32AV
7D208AV</t>
  </si>
  <si>
    <t>7C209AV
756Y6AV</t>
  </si>
  <si>
    <t>7D217AV
75G99AV</t>
  </si>
  <si>
    <t>fTBT CP BL SR PVCY KBD</t>
  </si>
  <si>
    <t>750J0AV</t>
  </si>
  <si>
    <t>753U4AV</t>
  </si>
  <si>
    <t>75J40AV</t>
  </si>
  <si>
    <t>Lecteur de carte à puce</t>
  </si>
  <si>
    <t>Active SmartCard</t>
  </si>
  <si>
    <t>74X41AV</t>
  </si>
  <si>
    <t>753F7AV</t>
  </si>
  <si>
    <t>75C94AV</t>
  </si>
  <si>
    <t>757F1AV</t>
  </si>
  <si>
    <t>75H51AV</t>
  </si>
  <si>
    <t>74X42AV</t>
  </si>
  <si>
    <t>753F8AV</t>
  </si>
  <si>
    <t>75C95AV</t>
  </si>
  <si>
    <t>757F2AV</t>
  </si>
  <si>
    <t>75H52AV</t>
  </si>
  <si>
    <t>Communication (wifi, 4G ...)</t>
  </si>
  <si>
    <t>Module Wi-Fi Intel AX 211 2x2 bandes &amp; Bluetooth compatible vPro</t>
  </si>
  <si>
    <t>Intel AX211 Wi-Fi 6EvPro160MHz+BT5.3WLAN</t>
  </si>
  <si>
    <t>74X61AV</t>
  </si>
  <si>
    <t>753J0AV</t>
  </si>
  <si>
    <t>757H2AV</t>
  </si>
  <si>
    <t>Module Données Mobiles 4G pour 640 et 650 G10</t>
  </si>
  <si>
    <t>753J1AV</t>
  </si>
  <si>
    <t>786W7AV</t>
  </si>
  <si>
    <t>Module Données Mobiles 4G pour 645 et 655 G10</t>
  </si>
  <si>
    <t>75D18AV</t>
  </si>
  <si>
    <t>75H75AV</t>
  </si>
  <si>
    <t>Alimentations (passages)</t>
  </si>
  <si>
    <t xml:space="preserve">Alimentation 65 Watt connecteur 4,5 mm </t>
  </si>
  <si>
    <t>74W84AV</t>
  </si>
  <si>
    <t>752Y3AV</t>
  </si>
  <si>
    <t>75C85AV</t>
  </si>
  <si>
    <t>756Y0AV</t>
  </si>
  <si>
    <t>75G93AV</t>
  </si>
  <si>
    <t>UA6C5E</t>
  </si>
  <si>
    <t>UA6B5E</t>
  </si>
  <si>
    <t>UA6D0E</t>
  </si>
  <si>
    <t xml:space="preserve">Passage en garantie 5 ans sur site J+1 Active Care et Protect and Trace </t>
  </si>
  <si>
    <t xml:space="preserve">HP 5y Active Care/Wolf Protect and Trace Next Bus Day Response Onsite </t>
  </si>
  <si>
    <t>U05GFE</t>
  </si>
  <si>
    <t>CATEGORIE 3 : Mobilité et performance</t>
  </si>
  <si>
    <r>
      <rPr>
        <b/>
        <sz val="10"/>
        <color theme="1"/>
        <rFont val="Arial"/>
        <family val="2"/>
      </rPr>
      <t xml:space="preserve">Cat3Conf1A_830G10_13-FHD-250n_i5-16Go-512Go
Intel core i5-1335U (4 cores - L3 cache 8M - jusqu'à 4.2 Ghz) 
</t>
    </r>
    <r>
      <rPr>
        <sz val="10"/>
        <color theme="1"/>
        <rFont val="Arial"/>
        <family val="2"/>
      </rPr>
      <t>Écran non tactile, 13,3" (33,8cm), FHD (1920 x 1080), 16/10, IPS Mat, 250 cd/m²
16Go 4800 SODIMM DDR5 (1x16Go) soudé
SSD 512Go M.2 TLC
Intel Wifi6 Ax211 (2x2 antennes), Bluetooth 5.0
Clavier rétro éclairé - Sans lecteur d‘empreintes digitales et sans lecteur de cartes à puce
Camera 5MP Cache Mécanique
Batterie 3 cellules 51 Whr, HP Long Life 1000 Cycles
Chargeur 65W USB-C
FreeDOS</t>
    </r>
  </si>
  <si>
    <t>HP EliteBook 830 G10</t>
  </si>
  <si>
    <r>
      <rPr>
        <b/>
        <sz val="10"/>
        <color theme="1"/>
        <rFont val="Arial"/>
        <family val="2"/>
      </rPr>
      <t xml:space="preserve">Cat3conf1B_835G10_13-FHD-250n_r5-16Go-512Go
AMD Ryzen 5 PRO 7540U (6 Cores / 12 Threads, 2,3Ghz - 4,2 Ghz, L3 16MB)
</t>
    </r>
    <r>
      <rPr>
        <sz val="10"/>
        <color theme="1"/>
        <rFont val="Arial"/>
        <family val="2"/>
      </rPr>
      <t>Écran non tactile, 13,3" (33,8cm), FHD (1920 x 1080), 16/10, IPS Mat, 250 cd/m²
16Go 4800 SODIMM DDR5 (1x16Go) soudé
SSD 512Go M.2 TLC
Realtek 8852CE WiFi6 ac 2x2 +BT 5 WW 
Clavier rétro éclairé - Sans lecteur d‘empreintes digitales et sans lecteur de cartes à puce
Camera 5MP Cache Mécanique
Batterie 3 cellules 51 Whr, HP Long Life 1000 Cycles
Chargeur 65W USB-C
FreeDOS</t>
    </r>
  </si>
  <si>
    <t>HP EliteBook 835 G10</t>
  </si>
  <si>
    <r>
      <rPr>
        <b/>
        <sz val="10"/>
        <color theme="1"/>
        <rFont val="Arial"/>
        <family val="2"/>
      </rPr>
      <t xml:space="preserve">Cat3Conf2A_840G10_14-FHD-250n_i5-16Go-512Go
Intel core i5-1335U (4 cores - L3 cache 8M- jusqu'à 4.2 Ghz) 
</t>
    </r>
    <r>
      <rPr>
        <sz val="10"/>
        <color theme="1"/>
        <rFont val="Arial"/>
        <family val="2"/>
      </rPr>
      <t>Écran non tactile, 14" (35,56cm), FHD (1920 x 1080), 16/10, IPS Mat, 250 cd/m²
16Go 4800 SODIMM DDR5 (1x16Go)
SSD 512Go M.2 TLC
Intel Wifi6 Ax211 (2x2 antennes), Bluetooth 5.0
AMT Enabled
Clavier rétro éclairé - Sans lecteur d‘empreintes digitales et sans lecteur de cartes à puce
Camera 5MP Cache Mécanique
Batterie 3 cellules 51 Whr, HP Long Life 1000 Cycles
Chargeur 65W USB-C
FreeDOS</t>
    </r>
  </si>
  <si>
    <t>HP EliteBook 840 G10</t>
  </si>
  <si>
    <r>
      <rPr>
        <b/>
        <sz val="10"/>
        <color theme="1"/>
        <rFont val="Arial"/>
        <family val="2"/>
      </rPr>
      <t xml:space="preserve">Cat3conf2B_845G10_14-FHD-250n_r5-16Go-512Go
AMD Ryzen 5 PRO 7540U (6 Cores / 12 Threads, 2,3Ghz - 4,2 Ghz, L3 16MB)
</t>
    </r>
    <r>
      <rPr>
        <sz val="10"/>
        <color theme="1"/>
        <rFont val="Arial"/>
        <family val="2"/>
      </rPr>
      <t>Écran non tactile, 14" (35,56cm), FHD (1920 x 1080), 16/10, IPS Mat, 250 cd/m²
16Go 4800 SODIMM DDR5 (1x16Go)
SSD 512Go M.2 TLC
Realtek 8852CE WiFi6 ac 2x2 +BT 5 WW 
Clavier rétro éclairé - Sans lecteur d‘empreintes digitales et sans lecteur de cartes à puce
Camera 5MP Cache Mécanique
Batterie 3 cellules 51 Whr, HP Long Life 1000 Cycles
Chargeur 65W USB-C
FreeDOS</t>
    </r>
  </si>
  <si>
    <t>HP EliteBook 845 G10</t>
  </si>
  <si>
    <r>
      <rPr>
        <b/>
        <sz val="10"/>
        <color rgb="FF000000"/>
        <rFont val="Arial"/>
        <family val="2"/>
      </rPr>
      <t xml:space="preserve">Cat3Conf3A_860G10_16-FHD-250n_i5-16Go-512Go
Intel core i5-1335U (4 cores - L3 cache 8M- jusqu'à 4.2 Ghz) 
</t>
    </r>
    <r>
      <rPr>
        <sz val="10"/>
        <color rgb="FF000000"/>
        <rFont val="Arial"/>
        <family val="2"/>
      </rPr>
      <t>Écran non tactile, 16" (39,6cm), FHD (1920 x 1080), 16/10, IPS Mat, 250 cd/m²
16Go 4800 SODIMM DDR5 (1x16Go)
SSD 512Go M.2 TLC
Intel Wifi6 Ax211 (2x2 antennes), Bluetooth 5.0
Clavier rétro éclairé - Sans lecteur d‘empreintes digitales et sans lecteur de cartes à puce
Camera 5MP Cache Mécanique
Batterie 3 cellules 51 Whr, HP Long Life 1000 Cycles
Chargeur 65W USB-C
FreeDOS</t>
    </r>
  </si>
  <si>
    <t>HP EliteBook 860 G10</t>
  </si>
  <si>
    <r>
      <rPr>
        <b/>
        <sz val="10"/>
        <color theme="1"/>
        <rFont val="Arial"/>
        <family val="2"/>
      </rPr>
      <t xml:space="preserve">Cat3conf3B_865G10_16-FHD-250n_r5-16Go-512Go
AMD Ryzen 5 PRO 7540U (6 Cores / 12 Threads, 2,3Ghz - 4,2 Ghz, L3 16MB)
</t>
    </r>
    <r>
      <rPr>
        <sz val="10"/>
        <color theme="1"/>
        <rFont val="Arial"/>
        <family val="2"/>
      </rPr>
      <t>Écran non tactile, 16" (39,6cm), FHD (1920 x 1080), 16/10, IPS Mat, 250 cd/m²
16Go 4800 SODIMM DDR5 (1x16Go)
SSD 512Go M.2 TLC
Realtek 8852CE WiFi6 ac 2x2 +BT 5 WW 
Clavier rétro éclairé - Sans lecteur d‘empreintes digitales et sans lecteur de cartes à puce
Camera 5MP Cache Mécanique
Batterie 3 cellules 51 Whr, HP Long Life 1000 Cycles
Chargeur 65W USB-C
FreeDOS</t>
    </r>
  </si>
  <si>
    <t>HP EliteBook 865 G10</t>
  </si>
  <si>
    <t>Extensions catégorie 3</t>
  </si>
  <si>
    <t>830 G10</t>
  </si>
  <si>
    <t>835 G10</t>
  </si>
  <si>
    <t>840 G10</t>
  </si>
  <si>
    <t>845 G10</t>
  </si>
  <si>
    <t>860 G10</t>
  </si>
  <si>
    <t>865 G10</t>
  </si>
  <si>
    <t>Processeurs Intel (passages)</t>
  </si>
  <si>
    <t xml:space="preserve"> Intel Core i5-1345U compatible vPro</t>
  </si>
  <si>
    <t>HP IDS UMA i5-1345U 16GB Realtek USBC 830 G10 Base NB PC
HP IDS UMA i5-1345U TIPD 840 G10 BNBPC
HP IDS UMA i5-1345U Realtek USBC 860 G10 Base NB PC</t>
  </si>
  <si>
    <t xml:space="preserve">6V4V2AV
</t>
  </si>
  <si>
    <t>6V5X8AV</t>
  </si>
  <si>
    <t>6V8V9AV</t>
  </si>
  <si>
    <t xml:space="preserve"> Intel Core i5-1345U 32GB compatible vPro pour 830 G10 (mémoire soudée) </t>
  </si>
  <si>
    <t>HP IDS UMA i5-1345U 32GB Realtek USBC 830 G10 Base NB PC</t>
  </si>
  <si>
    <t>6V4V5AV</t>
  </si>
  <si>
    <t xml:space="preserve"> Intel Core i7-1365U compatible vPro</t>
  </si>
  <si>
    <t>HP IDS UMA i7-1365U 16GB Realtek USBC 830 G10 Base NB PC
HP IDS UMA i7-1365U TIPD 840/860 G10 BNBPC
HP IDS UMA i7-1365U Realtek USBC 860 G10 Base NB PC</t>
  </si>
  <si>
    <t>6V4W4AV</t>
  </si>
  <si>
    <t>6V5Z4AV</t>
  </si>
  <si>
    <t>6V8X5AV</t>
  </si>
  <si>
    <t>HP IDS UMA i7-1365U 32GB Realtek USBC 830 G10 Base NB PC</t>
  </si>
  <si>
    <t>6V4W7AV</t>
  </si>
  <si>
    <t xml:space="preserve"> Intel Core i7-1370P compatible vPro</t>
  </si>
  <si>
    <t>HP IDS UMA i7-1370P TIPD 840/860 G10 BNBPC
HP IDS UMA i7-1370P Realtek USBC 860 G10 Base NB PC</t>
  </si>
  <si>
    <t>6V5Y9AV</t>
  </si>
  <si>
    <t>6V8W8AV</t>
  </si>
  <si>
    <t>Processeurs AMD (passages)</t>
  </si>
  <si>
    <t>HP IDS UMA Ryzen 7 PRO 7840U 16GB TI PD IC 835 G10 Base NB PC
HP IDS UMA Ryzen 7 PRO 7840U TI PD IC 845 G10 Base NB PC
HP IDS UMA Ryzen 7 PRO 7840U TI PD IC 865 G10 Base NB PC</t>
  </si>
  <si>
    <t xml:space="preserve">
709Z6AV
</t>
  </si>
  <si>
    <t>70A43AV</t>
  </si>
  <si>
    <t>70A94AV</t>
  </si>
  <si>
    <t>HP IDS UMA Ryzen 7 PRO 7840U 32GB TI PD IC 835 G10 Base NB PC</t>
  </si>
  <si>
    <t>709Z7AV</t>
  </si>
  <si>
    <t>16GB (2x8GB) DDR5 5200</t>
  </si>
  <si>
    <t>16GB (2x8GB) DDR5 5200 SODIMM Mem</t>
  </si>
  <si>
    <t>804P0AV</t>
  </si>
  <si>
    <t>7H3K0AV</t>
  </si>
  <si>
    <t>804Q9AV</t>
  </si>
  <si>
    <t>7H3L8AV</t>
  </si>
  <si>
    <t xml:space="preserve">32GB (2x16GB) DDR5 5200 </t>
  </si>
  <si>
    <t>32GB (2x16GB) DDR5 5200 SODIMM Mem</t>
  </si>
  <si>
    <t>804P2AV</t>
  </si>
  <si>
    <t>7H3K2AV</t>
  </si>
  <si>
    <t>804R1AV</t>
  </si>
  <si>
    <t>7H3M0AV</t>
  </si>
  <si>
    <t>64GB (2x32GB) DDR5 5200</t>
  </si>
  <si>
    <t>64GB (2x32GB) DDR5 5200 SODIMM Mem</t>
  </si>
  <si>
    <t>804P3AV</t>
  </si>
  <si>
    <t>7H3K4AV</t>
  </si>
  <si>
    <t>804R2AV</t>
  </si>
  <si>
    <t>7H3M2AV</t>
  </si>
  <si>
    <t>13.3 AG WUXGA UWVA LED 250 f5MP IR bnt LCD Panel</t>
  </si>
  <si>
    <t>6V4X2AV</t>
  </si>
  <si>
    <t>749D4AV</t>
  </si>
  <si>
    <t xml:space="preserve">Ecran 13,3" Très Haute-Définition Anti-reflets LED 250 nitz pour Caméra 5MP Infrarouge </t>
  </si>
  <si>
    <t>13.3 inch AG WUXGA (1920x1200) LED UWVA 250 for WWAN f5MP bnt LCD Panel</t>
  </si>
  <si>
    <t>6V4X6AV</t>
  </si>
  <si>
    <t xml:space="preserve">Ecran 13,3" Très Haute-Définition Anti-reflets LED 250 nitz Compatible 4G ou 5G pour Caméra HD </t>
  </si>
  <si>
    <t>13.3 AG WUXGA UWVA LED 250 fWWAN bnt LCD Panel</t>
  </si>
  <si>
    <t>749D5AV</t>
  </si>
  <si>
    <t>Ecran 13,3" Très Haute-Définition Anti-reflets LED 250 nitz Compatible 4G ou 5G pour Caméra 5MP Infrarouge</t>
  </si>
  <si>
    <t>13.3 AG WUXGA UWVA LED 250 fWAN f5MP IR bnt LCD Pan</t>
  </si>
  <si>
    <t>6V4X7AV</t>
  </si>
  <si>
    <t>749D7AV</t>
  </si>
  <si>
    <t xml:space="preserve">Ecran 13,3" Très Haute-Définition Anti-reflets LED Tactile 250 nitz pour Caméra 5MP Infrarouge </t>
  </si>
  <si>
    <t>13.3 AG WUXGA UWVA LED 250 f5MP IR Touch bnt LCD Pa</t>
  </si>
  <si>
    <t>6V4X5AV</t>
  </si>
  <si>
    <t>749D8AV</t>
  </si>
  <si>
    <t>Ecran 13,3" Très Haute-Définition Anti-reflets LED 400 nitz pour Caméra 5MP Infrarouge Consommation faible Capteur de luminosité ambiante</t>
  </si>
  <si>
    <t>13.3 AG WUXGA UWVA WLED + LBL 400 f5MP IR bnt LCD Pa</t>
  </si>
  <si>
    <t>6V4Y3AV</t>
  </si>
  <si>
    <t>749F1AV</t>
  </si>
  <si>
    <t xml:space="preserve">Ecran 13,3" Très Haute-Définition Anti-reflets LED Tactile 250 nitz Compatible 4G ou 5G pour Caméra 5MP Infrarouge </t>
  </si>
  <si>
    <t>13.3 inch AG WUXGA (1920x1200) LED UWVA 250 for WWAN f5MP IR Touchscreen bnt LCD Panel</t>
  </si>
  <si>
    <t>6V4X8AV</t>
  </si>
  <si>
    <t>749D9AV</t>
  </si>
  <si>
    <t>Ecran 13,3" Très Haute-Définition Anti-reflets LED 400 nitz Compatible 4G ou 5G pour Caméra 5MP Infrarouge Consommation Faible Capteur de luminosité ambiante</t>
  </si>
  <si>
    <t>13.3 AG WUXGA UWVA WLED+LBL 400 fWAN f5MP IR bnt L</t>
  </si>
  <si>
    <t>6V4Y4AV</t>
  </si>
  <si>
    <t>749F2AV</t>
  </si>
  <si>
    <t>Ecran 13,3" Très Haute-Définition Anti-reflets LED 1000 nitz pour Caméra 5MP Infrarouge HP SureView Reflect Capteur de luminosité ambiante</t>
  </si>
  <si>
    <t>13.3 AG WUXGA UWVA WLED + LBL 1000 f5MP IR SVR bntL</t>
  </si>
  <si>
    <t>6V4X9AV</t>
  </si>
  <si>
    <t>749F5AV</t>
  </si>
  <si>
    <t>Ecran 13,3" Très Haute-Définition Anti-reflets LED 1000 nitz pour Caméra 5MP SureView Reflect Capteur de luminosité ambiante</t>
  </si>
  <si>
    <t>13.3 AG WUXGA UWVA WLED + LBL 1000 f5MP SVR bnt LCD</t>
  </si>
  <si>
    <t>6V4Y0AV</t>
  </si>
  <si>
    <t>Ecran 13,3" Très Haute-Définition Anti-reflets LED 1000 nitz Compatible 4G ou 5G pour Caméra 5MP Infrarouge HP SureView Reflect Capteur de luminosité ambiante</t>
  </si>
  <si>
    <t>13.3AGWUXGAUWVAWLED+LBL1000fWWANf5MPIRSV</t>
  </si>
  <si>
    <t>749F6AV</t>
  </si>
  <si>
    <t>Ecran 14" Très Haute-Définition Anti-reflets LED 250 nitz pour Caméra 5MP Infrarouge</t>
  </si>
  <si>
    <t>14.0 AG WUXGA UWVA LED 250 f5MP IR bnt LCD Panel</t>
  </si>
  <si>
    <t>6V602AV</t>
  </si>
  <si>
    <t>74A23AV</t>
  </si>
  <si>
    <t>Ecran 14" Très Haute-Définition Anti-reflets LED 250 nitz Compatible 4G ou 5G</t>
  </si>
  <si>
    <t>14.0 AG WUXGA UWVA LED 250 fWWAN bnt LCD Panel</t>
  </si>
  <si>
    <t>6V603AV</t>
  </si>
  <si>
    <t>74A24AV</t>
  </si>
  <si>
    <t>Ecran 14" Très Haute-Définition Anti-reflets LED 250 nitz Compatible 4G ou 5G pour Caméra 5MP</t>
  </si>
  <si>
    <t>14.0 AG WUXGA UWVA LED 250 fWAN f5MP bntLCDPanel</t>
  </si>
  <si>
    <t>6V606AV</t>
  </si>
  <si>
    <t>74A25AV</t>
  </si>
  <si>
    <t>Ecran 14" Très Haute-Définition Anti-reflets LED 250 nitz Compatible 4G ou 5G pour Caméra 5MP Infrarouge</t>
  </si>
  <si>
    <t>14.0AG WUXGA UWVA LED 250 fWAN f5MP IR bnt LCD Pan</t>
  </si>
  <si>
    <t>6V607AV</t>
  </si>
  <si>
    <t>74A26AV</t>
  </si>
  <si>
    <t>Ecran 14" Très Haute-Définition Anti-reflets LED Tactile 250 nitz pour Caméra 5MP Infrarouge</t>
  </si>
  <si>
    <t>14.0 AG WUXGA UWVA LED 250 f5MP IR Touchbnt LCD Pan</t>
  </si>
  <si>
    <t>6V605AV</t>
  </si>
  <si>
    <t xml:space="preserve">74A27AV	</t>
  </si>
  <si>
    <t>Ecran 14" Très Haute-Définition Anti-reflets LED Tactile 250 nitz Compatible 4G ou 5G pour Caméra 5MP</t>
  </si>
  <si>
    <t>14.0 AG WUXGA UWVA LED 250 fWAN f5MP IR Touch bnt L</t>
  </si>
  <si>
    <t>6V610AV</t>
  </si>
  <si>
    <t>74A28AV</t>
  </si>
  <si>
    <t>Ecran 14" Très Haute-Définition Anti-reflets LED 400 nitz pour Caméra 5MP Infrarouge Consommation faible Capteur de luminosité ambiante</t>
  </si>
  <si>
    <t>14.0 AG WUXGA UWVA WLED + LBL 400 f5MP IR bnt LCD Pa</t>
  </si>
  <si>
    <t>6V615AV</t>
  </si>
  <si>
    <t>74A30AV</t>
  </si>
  <si>
    <t>Ecran 14" Très Haute-Définition Anti-reflets LED 400 nitz Compatible 4G ou 5G pour Caméra 5MP Infrarouge</t>
  </si>
  <si>
    <t>14.0 AG WUXGA UWVA WLED + LBL 400 fWAN f5MP IR bnt L</t>
  </si>
  <si>
    <t>6V616AV</t>
  </si>
  <si>
    <t>74A31AV</t>
  </si>
  <si>
    <t>Ecran 14" Très Haute-Définition Anti-reflets LED 1000 nitz pour Caméra 5MP HP SureView Reflect Capteur de luminosité ambiante</t>
  </si>
  <si>
    <t>14.0 AG WUXGA UWVA WLED + LBL 1000 f5MP SVR bntLCD</t>
  </si>
  <si>
    <t>6V612AV</t>
  </si>
  <si>
    <t>Ecran 14" Très Haute-Définition Anti-reflets LED 1000 nitz pour Caméra 5MP Infrarouge HP SureView Reflect Capteur de luminosité ambiante</t>
  </si>
  <si>
    <t>14.0 AG WUXGA UWVA WLED + LBL 1000 f5MP IR SVR bntL</t>
  </si>
  <si>
    <t>6V611AV</t>
  </si>
  <si>
    <t>74A34AV</t>
  </si>
  <si>
    <t>Ecran 14" Très Haute-Définition Anti-reflets LED 1000 nitz Compatible 4G ou 5G pour Caméra 5MP Infrarouge HP SureView Reflect</t>
  </si>
  <si>
    <t>14.0 AG WUXGA UWVA WLED + LBL 1000 fWWAN f5MP IR SV</t>
  </si>
  <si>
    <t>6V613AV</t>
  </si>
  <si>
    <t>74A36AV</t>
  </si>
  <si>
    <t>Ecrans 16.0'' (passages)</t>
  </si>
  <si>
    <t>Ecran 16,0" Très Haute-Définition Anti-reflets LED 250 nitz pour Caméra 5MP Infrarouge</t>
  </si>
  <si>
    <t>16.0 AG WUXGA UWVA LED 250 f5MP IR bnt LCD Panel</t>
  </si>
  <si>
    <t>6V8Y4AV</t>
  </si>
  <si>
    <t>749Q7AV</t>
  </si>
  <si>
    <t>Ecran 16,0" Très Haute-Définition Anti-reflets LED 250 nitz Compatible 4G ou 5G pour Caméra 5MP Infrarouge</t>
  </si>
  <si>
    <t>16 WUXGA AG LCD UWVA LED 250 fWWAN f5MP IR bn Panel</t>
  </si>
  <si>
    <t>6V8Y9AV</t>
  </si>
  <si>
    <t xml:space="preserve">Ecran 16,0" Très Haute-Définition Anti-reflets LED 250 nitz Compatible 4G ou 5G </t>
  </si>
  <si>
    <t>16.0 AG WUXGA UWVA LED 250 fWWAN bnt LCD Panel</t>
  </si>
  <si>
    <t>749Q8AV</t>
  </si>
  <si>
    <t>Ecran 16,0" Très Haute-Définition Anti-reflets LED 250 nitz Compatible 4G ou 5G pour Caméra 5MP</t>
  </si>
  <si>
    <t>16WUXGAAGLCDUWVALED250fWWANf5MPIRbnPanel</t>
  </si>
  <si>
    <t>749R0AV</t>
  </si>
  <si>
    <t>Ecran 16,0" Très Haute-Définition Anti-reflets LED Tactile 250 nitz pour Caméra 5MP Infrarouge</t>
  </si>
  <si>
    <t>16.0 AG WUXGA UWVA LED 250 f5MP IR Touch bnt LCD Pa</t>
  </si>
  <si>
    <t>6V8Y7AV</t>
  </si>
  <si>
    <t>Ecran 16,0" Très Haute-Définition Anti-reflets LED Tactile 250 nitz Compatible 4G ou 5G pour Caméra 5MP Infrarouge</t>
  </si>
  <si>
    <t>16.0 AG WUXGA UWVA LED 250 fWWAN 5MP IR Touch bnt LCD Pa</t>
  </si>
  <si>
    <t>6V8Z0AV</t>
  </si>
  <si>
    <t>749R1AV</t>
  </si>
  <si>
    <t>16.0 AG WUXGA UWVA LED 250 fWWAN f5MP IR Touch bnt</t>
  </si>
  <si>
    <t>749R2AV</t>
  </si>
  <si>
    <t>Ecran 16,0" Très Haute-Définition Anti-reflets LED 400 nitz pour Caméra 5MP Infrarouge Consommation faible Capteur de luminosité ambiante</t>
  </si>
  <si>
    <t>16.0AGWUXGA UWVA WLED + LBL 400 f5MP IR bnt LCD Pa</t>
  </si>
  <si>
    <t>75Q36AV</t>
  </si>
  <si>
    <t>Ecran 16,0" Très Haute-Définition Anti-reflets LED 400 nitz Compatible 4G ou 5G pour Caméra 5MP Infrarouge Consommation faible Capteur de luminosité ambiante</t>
  </si>
  <si>
    <t>16 AG WUXGA UWVA WLED + LBL 400 fWWAN f5MP IR bnt LC</t>
  </si>
  <si>
    <t>75Q37AV</t>
  </si>
  <si>
    <t>749R4AV</t>
  </si>
  <si>
    <t>749R5AV</t>
  </si>
  <si>
    <t>Ecran 16,0" Très Haute-Définition Anti-reflets LED 1000 nitz pour Caméra 5MP Infrarouge HP SureView Capteur de luminosité ambiante</t>
  </si>
  <si>
    <t>16.0 AG WUXGA UWVA WLED + LBL 1000 f5MP IR SVR bnt L</t>
  </si>
  <si>
    <t>6V8Z1AV</t>
  </si>
  <si>
    <t>Ecran 16,0" Très Haute-Définition Anti-reflets LED 1000 nitz Compatible 4G ou 5G pour Caméra 5MP HP SureView Capteur de luminosité ambiante</t>
  </si>
  <si>
    <t>16.0AGWUXGAUWVAWLED+LBL1000 f5MP SVR bnt LCD</t>
  </si>
  <si>
    <t>6V8Z2AV</t>
  </si>
  <si>
    <t>Ecran 16,0" Très Haute-Définition Anti-reflets LED 1000 nitz Compatible 4G ou 5G pour Caméra 5MP Infrarouge HP SureView Capteur de luminosité ambiante</t>
  </si>
  <si>
    <t>16.0 AG WUXGA UWVA WLED+LBL 1000 f5MP IR SV R bnt L</t>
  </si>
  <si>
    <t>6V8Z3AV</t>
  </si>
  <si>
    <t>749R7AV</t>
  </si>
  <si>
    <t>Ecran 16,0" Très Haute-Définition Anti-reflets LED 1000 nitz Compatible 4G ou 5G pour Caméra 5MP 5MP Infrarouge HP SureView Reflect Capteur de luminosité ambiante</t>
  </si>
  <si>
    <t>16.0 AG WUXGA UWVA WLED + LBL 1000 fWWAN f5MP IR SV</t>
  </si>
  <si>
    <t>749R8AV</t>
  </si>
  <si>
    <t xml:space="preserve"> 1To PCIe NVMe TLC SSD</t>
  </si>
  <si>
    <t>749G7AV</t>
  </si>
  <si>
    <t>6V662AV</t>
  </si>
  <si>
    <t>74A48AV</t>
  </si>
  <si>
    <t>6V944AV</t>
  </si>
  <si>
    <t>749T1AV</t>
  </si>
  <si>
    <t>Batteries (passages)</t>
  </si>
  <si>
    <t>Batterie Long Life 76Whr Fast Charge 6 cell</t>
  </si>
  <si>
    <t xml:space="preserve">Long Life 76Whr Fast Charge 6 cell Battery	</t>
  </si>
  <si>
    <t>6V8U5AV</t>
  </si>
  <si>
    <t>749Y0AV</t>
  </si>
  <si>
    <t xml:space="preserve">Webcam (passages) </t>
  </si>
  <si>
    <t xml:space="preserve"> Webcam Infrarouge 5MP</t>
  </si>
  <si>
    <t>6V4X0AV</t>
  </si>
  <si>
    <t>749G1AV</t>
  </si>
  <si>
    <t>6V5Z7AV</t>
  </si>
  <si>
    <t>74A42AV</t>
  </si>
  <si>
    <t>6V8X9AV</t>
  </si>
  <si>
    <t>749S5AV</t>
  </si>
  <si>
    <t>Passage au clavier Rétro-éclairé Anti-éclaboussures Premium HP SureView (AZERTY &amp; QWERTY)</t>
  </si>
  <si>
    <t>6Y3N6AV</t>
  </si>
  <si>
    <t>749N6AV</t>
  </si>
  <si>
    <t>701R1AV</t>
  </si>
  <si>
    <t>74B18AV</t>
  </si>
  <si>
    <t>75Q41AV</t>
  </si>
  <si>
    <t>74A01AV</t>
  </si>
  <si>
    <t>6V521AV</t>
  </si>
  <si>
    <t>749M0AV</t>
  </si>
  <si>
    <t>6V659AV</t>
  </si>
  <si>
    <t>74B01AV</t>
  </si>
  <si>
    <t>6V941AV</t>
  </si>
  <si>
    <t>749Y4AV</t>
  </si>
  <si>
    <t>6V522AV</t>
  </si>
  <si>
    <t>749F8AV</t>
  </si>
  <si>
    <t>6V660AV</t>
  </si>
  <si>
    <t>74A38AV</t>
  </si>
  <si>
    <t>6V942AV</t>
  </si>
  <si>
    <t>749S2AV</t>
  </si>
  <si>
    <t>Lecteur NFC</t>
  </si>
  <si>
    <t>WNC XRAV-1 NFC</t>
  </si>
  <si>
    <t>6V4Z6AV</t>
  </si>
  <si>
    <t>749H1AV</t>
  </si>
  <si>
    <t>6V628AV</t>
  </si>
  <si>
    <t>74A58AV</t>
  </si>
  <si>
    <t>6V908AV</t>
  </si>
  <si>
    <t>749U1AV</t>
  </si>
  <si>
    <t>Module Qualcomm WCN6856 Wi-Fi 6</t>
  </si>
  <si>
    <t>Mediatek RZ 616 Wi-Fi 6 EAIM-T160MHz+BT5.3WLA</t>
  </si>
  <si>
    <t>749H3AV</t>
  </si>
  <si>
    <t>74A60AV</t>
  </si>
  <si>
    <t>749U3AV</t>
  </si>
  <si>
    <t>Intel AX211 Wi-Fi 6E vPro 160 MHz + BT5.3 WLAN</t>
  </si>
  <si>
    <t>6V541AV</t>
  </si>
  <si>
    <t>6V679AV</t>
  </si>
  <si>
    <t>6V961AV</t>
  </si>
  <si>
    <t>Module Données Mobiles  4G</t>
  </si>
  <si>
    <t>6V544AV</t>
  </si>
  <si>
    <t>749M4AV</t>
  </si>
  <si>
    <t>6V682AV</t>
  </si>
  <si>
    <t>74B05AV</t>
  </si>
  <si>
    <t>6V964AV</t>
  </si>
  <si>
    <t>749Y8AV</t>
  </si>
  <si>
    <t>Module Données Mobiles 5G</t>
  </si>
  <si>
    <t>Intel 5G Solution WWAN</t>
  </si>
  <si>
    <t>6V543AV</t>
  </si>
  <si>
    <t>6V681AV</t>
  </si>
  <si>
    <t>6V963AV</t>
  </si>
  <si>
    <t>Cordon d'alimentation 1 mètre Premium</t>
  </si>
  <si>
    <t>C5 1.0m stkr PRM Power Cord</t>
  </si>
  <si>
    <t>6Y3N2AV</t>
  </si>
  <si>
    <t>6B664AV</t>
  </si>
  <si>
    <t>701R3AV</t>
  </si>
  <si>
    <t>75Q46AV</t>
  </si>
  <si>
    <t>Alimentation 65 Watt Connecteur USB-C Slim</t>
  </si>
  <si>
    <t>HP 65W SLM USB-C AC ADPT</t>
  </si>
  <si>
    <t>76Q70AV</t>
  </si>
  <si>
    <t>749L1AV</t>
  </si>
  <si>
    <t>77N12AV</t>
  </si>
  <si>
    <t>74A92AV</t>
  </si>
  <si>
    <t>77N20AV</t>
  </si>
  <si>
    <t>749X5AV</t>
  </si>
  <si>
    <t>Alimentation 110 Watt Connecteur USB-C Slim</t>
  </si>
  <si>
    <t xml:space="preserve">HP 100W+10W Slim USB-C+USB-A AC Adapter	</t>
  </si>
  <si>
    <t>6V8U3AV</t>
  </si>
  <si>
    <t>749X7AV</t>
  </si>
  <si>
    <t>Extensions de garantie acquises lors de l'achat initial pour série 800</t>
  </si>
  <si>
    <t>UC911E</t>
  </si>
  <si>
    <t>UE341E</t>
  </si>
  <si>
    <t>UJ335E</t>
  </si>
  <si>
    <t>U05G7E</t>
  </si>
  <si>
    <t>CATEGORIE 4 : Usager VIP</t>
  </si>
  <si>
    <r>
      <rPr>
        <b/>
        <sz val="10"/>
        <color theme="1"/>
        <rFont val="Arial"/>
        <family val="2"/>
      </rPr>
      <t xml:space="preserve">Cat4Conf1A_X360_1040G10_14-FHD-400n_i5-16Go-512Go
Intel Core i5-1335U (2 cores - jusqu'à 4,4Ghz TurboBoost, 12MB L3 cache)
</t>
    </r>
    <r>
      <rPr>
        <sz val="10"/>
        <color theme="1"/>
        <rFont val="Arial"/>
        <family val="2"/>
      </rPr>
      <t>FreeDos
Écran tactile réversible à 360°, 14" (35,6cm), FHD (1920 x 1200), 16/10, IPS MAT, 400 cd/m²
16Go 4800 SODIMM LPDDR5 soudé
SSD 512Go M.2 TLC
Intel Wifi6 Ax211 (2x2 antennes), Bluetooth 5.3
Clavier premium rétro éclairé - Sans lecteur d‘empreintes digitales et sans lecteur de cartes à puce
Camera 5MP
65W nPFC USB-C
Batterie 3 cellules 51 Whr, HP Long Life 1000 Cycles</t>
    </r>
  </si>
  <si>
    <t>HP EliteBook x360 1040 G10</t>
  </si>
  <si>
    <r>
      <rPr>
        <b/>
        <sz val="10"/>
        <color rgb="FF000000"/>
        <rFont val="Arial"/>
        <family val="2"/>
      </rPr>
      <t xml:space="preserve">Cat4Conf2A_DragonflyG4_13-FHD-400n_i5-16Go-512Go
Intel Core i5-1335U (2 cores - jusqu'à 4,4Ghz TurboBoost, 12MB L3 cache)
</t>
    </r>
    <r>
      <rPr>
        <sz val="10"/>
        <color rgb="FF000000"/>
        <rFont val="Arial"/>
        <family val="2"/>
      </rPr>
      <t>Écran tactile, 13,5" (34,3cm), FHD (1920 x 1080), 3:2, IPS MAT, 400 cd/m²
16Go 3200 SODIMM LPDDR5 soudé
SSD 512Go M.2 TLC
Intel Wifi6 Ax211 (2x2 antennes), Bluetooth 5.0
Clavier premium rétro éclairé - Sans lecteur d‘empreintes digitales et sans lecteur de cartes à puce
Camera 5MP
65W nPFC USB-C
FreeDOS
Batterie 4 cellules 45 Whr, HP Long Life 1000 Cycles</t>
    </r>
  </si>
  <si>
    <t>Dragonfly G4</t>
  </si>
  <si>
    <t xml:space="preserve">Extensions Catégorie 4 </t>
  </si>
  <si>
    <t>X360 1040 G10</t>
  </si>
  <si>
    <t xml:space="preserve"> Intel Core i7-1365U compatible vPro 16GB pour X360 1040 et Dragonfly</t>
  </si>
  <si>
    <t>HP IDS UMA i7-1365U 16GB TI PD x3601040 G10 BNBP</t>
  </si>
  <si>
    <t>6V7T1AV</t>
  </si>
  <si>
    <t>6Q258AV</t>
  </si>
  <si>
    <t xml:space="preserve"> Intel Core i7-1365U compatible vPro 16GB 16Go pour OLED </t>
  </si>
  <si>
    <t>HP IDS UMA i7-1365U 16GB fOLED Dfly G4 BNBPC</t>
  </si>
  <si>
    <t>6Q259AV</t>
  </si>
  <si>
    <t xml:space="preserve"> Intel Core i7-1365U compatible vPro 32GB pour X360 1040 </t>
  </si>
  <si>
    <t>HP IDS UMA i7-1365U 32GB x3601040 G10  BNBPC</t>
  </si>
  <si>
    <t>6V7T2AV</t>
  </si>
  <si>
    <t xml:space="preserve"> Intel Core i7-1365U compatible vPro 32GB pour Dragonfly </t>
  </si>
  <si>
    <t>HP IDS UMA i7-1365U 32GB Dfly G4 BNBPC</t>
  </si>
  <si>
    <t>6Q261AV</t>
  </si>
  <si>
    <t>Ecrans 14'' (passages) - X360 1040 G10</t>
  </si>
  <si>
    <t xml:space="preserve">Ecran 14'' Très Haute-Définition Ecran Brillant LED Tactile 1000 nitz HP SureView Reflect compatible 4G et 5G pour Caméra 5MP Infrarouge </t>
  </si>
  <si>
    <t>14.0 BV WUXGA UWVA WLED + LBL 1000 fWWAN w5MP IR TO</t>
  </si>
  <si>
    <t>6V7V5AV</t>
  </si>
  <si>
    <t xml:space="preserve">Ecran 14'' Très Haute-Définition Anti-reflets LED Tactile 1000 nitz HP SureView Reflect compatible 4G et 5G pour Caméra 5MP Infrarouge </t>
  </si>
  <si>
    <t>14.0 AG WUXGA UWVA WLED + LBL 1000 fWWAN w5MP IR TO</t>
  </si>
  <si>
    <t>6V7V1AV</t>
  </si>
  <si>
    <t xml:space="preserve">Ecran 14'' Ultra Haute-Définition Ecran Brillant LED Tactile 400  compatible 4G et 5G pour Caméra 5MP Infrarouge </t>
  </si>
  <si>
    <t>14.0 BV WUXGA UWVA WLED + LBL 400 fWAN w5MP IR TO FT</t>
  </si>
  <si>
    <t>6V7V6AV</t>
  </si>
  <si>
    <t>Ecrans 13.5'' (passages) - Dragonfly G4</t>
  </si>
  <si>
    <t xml:space="preserve">Ecran 13,5" Très Haute-Définition Ecran Brillant LED Tactile 1000 nitz HP SureView Reflect </t>
  </si>
  <si>
    <t>13.5 BV WUXGA + UWVA WLED + LBL 1000 Touch SVR bntL</t>
  </si>
  <si>
    <t>6Q280AV</t>
  </si>
  <si>
    <t xml:space="preserve">Ecran 13,5" Très Haute-Définition Anti-reflets LED Tactile 1000 nitz HP SureView Reflect </t>
  </si>
  <si>
    <t>13.5 AG WUXGA + UWVA WLED + LBL 1000 SVR bnt LCD Pan</t>
  </si>
  <si>
    <t>6Q278AV</t>
  </si>
  <si>
    <t>Stylets (ajouts) - X360 1040 G9</t>
  </si>
  <si>
    <t>Stylet Wacom AES 2.0 Pen wApp Btn G3</t>
  </si>
  <si>
    <t>Wacom AES 2.0 Pen wApp Btn G3</t>
  </si>
  <si>
    <t>6V7W8AV</t>
  </si>
  <si>
    <t>75U38AV</t>
  </si>
  <si>
    <t>6Y8D7AV</t>
  </si>
  <si>
    <t xml:space="preserve"> 512GB PCIe NVMe SED OPAL2 TLC SSD</t>
  </si>
  <si>
    <t>512GB PCIe 2280 OPAL2 NVME TLC SSD</t>
  </si>
  <si>
    <t>6V800AV</t>
  </si>
  <si>
    <t>6Q2B5AV</t>
  </si>
  <si>
    <t xml:space="preserve"> 512GB PCIe NVMe TLC SSD</t>
  </si>
  <si>
    <t>512GB PCIe NVMe TLC SSD</t>
  </si>
  <si>
    <t>6V802AV</t>
  </si>
  <si>
    <t>6Q2B7AV</t>
  </si>
  <si>
    <t>6V7Z7AV</t>
  </si>
  <si>
    <t>6Q2B2AV</t>
  </si>
  <si>
    <t>Batterie Longue Durée 6 cellules 68 WHr</t>
  </si>
  <si>
    <t>SS Long Life 68Whr FstCrg 6 cell Batt</t>
  </si>
  <si>
    <t>6V2G8AV</t>
  </si>
  <si>
    <t>6V7W9AV</t>
  </si>
  <si>
    <t>6Q291AV</t>
  </si>
  <si>
    <t>Module Wi-Fi Intel AX211 2x2 bandes &amp; Bluetooth compatible vPro</t>
  </si>
  <si>
    <t>6V814AV</t>
  </si>
  <si>
    <t>6Q2D0AV</t>
  </si>
  <si>
    <t>Module Données Mobiles 4G</t>
  </si>
  <si>
    <t>6V823AV</t>
  </si>
  <si>
    <t>6Q2D3AV 6Q2D4AV</t>
  </si>
  <si>
    <t>6V822AV</t>
  </si>
  <si>
    <t>6Q2D1AV 6Q2D2AV</t>
  </si>
  <si>
    <t>76T67AV</t>
  </si>
  <si>
    <t>75U42AV</t>
  </si>
  <si>
    <t>68V61AV</t>
  </si>
  <si>
    <t>SEC Fingerprint Sensor</t>
  </si>
  <si>
    <t>6V7Z5AV</t>
  </si>
  <si>
    <t xml:space="preserve">Extensions de garantie acquises lors de l'achat initial - X360 1040 et Dragonfly </t>
  </si>
  <si>
    <t>UA9Z3E</t>
  </si>
  <si>
    <t>UA7A5E</t>
  </si>
  <si>
    <t xml:space="preserve">UA9Z7E </t>
  </si>
  <si>
    <t>U04U4E</t>
  </si>
  <si>
    <t>Bordereau de prix Annexe - Lot 2</t>
  </si>
  <si>
    <t>Extensions communes</t>
  </si>
  <si>
    <t>Libellé</t>
  </si>
  <si>
    <t>Description</t>
  </si>
  <si>
    <t>Tarif HT</t>
  </si>
  <si>
    <t xml:space="preserve">Barettes mémoire achetées dans la boîte </t>
  </si>
  <si>
    <t>Barette mémoire 8GB 3200MHz DDR4</t>
  </si>
  <si>
    <t>HP 8GB 3200MHz DDR4 Memory</t>
  </si>
  <si>
    <t>286H8AA</t>
  </si>
  <si>
    <t xml:space="preserve">Barette mémoire 16GB 3200MHz DDR4 </t>
  </si>
  <si>
    <t>HP 16GB 3200MHz DDR4 Memory</t>
  </si>
  <si>
    <t>286J1AA</t>
  </si>
  <si>
    <t>Stockages internes en remplacement et graveurs externes</t>
  </si>
  <si>
    <t>Disque dur HP 1TB TLC PCIe3x4 NVMe M2 SSD</t>
  </si>
  <si>
    <t>HP 1TB TLC PCIe3x4 NVMe M2 SSD</t>
  </si>
  <si>
    <t>5R8Y0AA</t>
  </si>
  <si>
    <t>HP Lecteur/graveur Externe USB DVDRW</t>
  </si>
  <si>
    <t>HP USB External DVDRW Drive</t>
  </si>
  <si>
    <t>F2B56AA</t>
  </si>
  <si>
    <t>Disque dur HP 2TB TLC PCIe3x4 NVMe M2 SSD</t>
  </si>
  <si>
    <t>HP 2TB TLC PCIe3x4 NVMe M2 SSD</t>
  </si>
  <si>
    <t>6D8L6AA</t>
  </si>
  <si>
    <t>Claviers et combos</t>
  </si>
  <si>
    <t>HP 320K Wired KBD</t>
  </si>
  <si>
    <t>HP 320K WD KBD</t>
  </si>
  <si>
    <t>9SR37AA</t>
  </si>
  <si>
    <t>HP Bulk 12x 320K Clavier</t>
  </si>
  <si>
    <t>HP Bulk 12x Wired 320K Keyboard</t>
  </si>
  <si>
    <t>9SR37A6</t>
  </si>
  <si>
    <t xml:space="preserve">HP 235 Combo souris &amp; Clavier sans fil </t>
  </si>
  <si>
    <t>HP 235 WL Mouse and KB Combo</t>
  </si>
  <si>
    <t>1Y4D0AA</t>
  </si>
  <si>
    <t>HP Wired 320MK combo</t>
  </si>
  <si>
    <t>9SR36AA</t>
  </si>
  <si>
    <t xml:space="preserve">HP Slim USB Clavier &amp; Souris </t>
  </si>
  <si>
    <t>HP Slim USB Keyboard and Mouse</t>
  </si>
  <si>
    <t xml:space="preserve">HP 655 Clavier et souris sans fil </t>
  </si>
  <si>
    <t>HP 655 Wireless Keyboard and Mouse Combo-FR</t>
  </si>
  <si>
    <t>4R009AA</t>
  </si>
  <si>
    <t xml:space="preserve">HP 455 Clavier sans fil </t>
  </si>
  <si>
    <t xml:space="preserve"> HP 455 Programmable Wireless Keyboard-FR</t>
  </si>
  <si>
    <t>4R177AA</t>
  </si>
  <si>
    <t xml:space="preserve">HP Clavier Premium sans fil </t>
  </si>
  <si>
    <t>HP sans fil Premium Keyboard</t>
  </si>
  <si>
    <t>Z9N41AA</t>
  </si>
  <si>
    <t>HP Clavier &amp; souris sans fil 950MK</t>
  </si>
  <si>
    <t>HP WLess 950MK Keyboard souris</t>
  </si>
  <si>
    <t>3M165AA</t>
  </si>
  <si>
    <t>Clavier HP USB Slim avec lecteur de carte à puce</t>
  </si>
  <si>
    <t>HP USB Bus Slim CCID SmartCard Kyd</t>
  </si>
  <si>
    <t>Z9H48AA</t>
  </si>
  <si>
    <t>Périphérique de pointage 2D/3D et dispositif complémentaire associés (tapis. repose main. ...)</t>
  </si>
  <si>
    <t>HP 320M Souris</t>
  </si>
  <si>
    <t>HP Wired 320M souris</t>
  </si>
  <si>
    <t>9VA80AA</t>
  </si>
  <si>
    <t xml:space="preserve">HP souris sans fil Comfort Grip </t>
  </si>
  <si>
    <t>HP Comfort Grip Wireless Mouse</t>
  </si>
  <si>
    <t>3B4Q5AA</t>
  </si>
  <si>
    <t>HP souris de voyage bleutooth</t>
  </si>
  <si>
    <t xml:space="preserve">HP souris sans fil Premium </t>
  </si>
  <si>
    <t>HP Wireless Premium Mouse</t>
  </si>
  <si>
    <t>1JR31AA</t>
  </si>
  <si>
    <t>Kensington Souris sans fil Pro Fit Ergo Noire</t>
  </si>
  <si>
    <t>3PO-C KensMouseProFitvertical W K75501EU</t>
  </si>
  <si>
    <t>1X472AA</t>
  </si>
  <si>
    <t>Kensington Souris Ergonomique Sans Fil</t>
  </si>
  <si>
    <t>3PO-C KensWirelessMouseProFit E K75404EU</t>
  </si>
  <si>
    <t>1X473AA</t>
  </si>
  <si>
    <t xml:space="preserve">HP Stylet actif rechargeable USI pour ProBook X360 435 </t>
  </si>
  <si>
    <t>630W7AA</t>
  </si>
  <si>
    <t>HP Mult-Dvc 635 BLK WRLS souris</t>
  </si>
  <si>
    <t>HP Mult-Dvc 635 BLK WRLS Mouse</t>
  </si>
  <si>
    <t>1D0K2AA</t>
  </si>
  <si>
    <t>HP Creator 935 BLK WRLS souris</t>
  </si>
  <si>
    <t>HP Creator 935 BLK WRLS Mouse</t>
  </si>
  <si>
    <t>1D0K8AA</t>
  </si>
  <si>
    <t>HP USB souris de voyage</t>
  </si>
  <si>
    <t>HP USB Travel Mouse</t>
  </si>
  <si>
    <t>G1K28AA</t>
  </si>
  <si>
    <t>HP Stylet actif rechargeable G3 pour X360 1040</t>
  </si>
  <si>
    <t>HP Rechargeable Active Pen G3</t>
  </si>
  <si>
    <t>6SG43AA</t>
  </si>
  <si>
    <t>HP Bulk 120x 320M Souris</t>
  </si>
  <si>
    <t>HP Bulk 120x Wired 320M souris</t>
  </si>
  <si>
    <t>9VA80A6</t>
  </si>
  <si>
    <t>Webcams</t>
  </si>
  <si>
    <t>Webcam HP 325</t>
  </si>
  <si>
    <t>HP 325</t>
  </si>
  <si>
    <t>53X27AA</t>
  </si>
  <si>
    <t>Webcam HP 625</t>
  </si>
  <si>
    <t>HP 625</t>
  </si>
  <si>
    <t>6Y7L1AA</t>
  </si>
  <si>
    <t>Hauts-parleurs. Microphones et Casques audio</t>
  </si>
  <si>
    <t xml:space="preserve">HP Casque audio stereo 3.5mm </t>
  </si>
  <si>
    <t>428K7AA</t>
  </si>
  <si>
    <t>HP Casque audio stereo USB</t>
  </si>
  <si>
    <t>428K6AA</t>
  </si>
  <si>
    <t>HP S101 barre de son pour EliteDisplay</t>
  </si>
  <si>
    <t>5UU40AA</t>
  </si>
  <si>
    <t>HP S100 barre de son pour Zdisplay</t>
  </si>
  <si>
    <t>32C42AA</t>
  </si>
  <si>
    <t>Jabra Evolve 20 MS Stereo - micro-casque Stereo 4999-823-109</t>
  </si>
  <si>
    <t>JABRA EVOLVE 20 MS Stereo - micro-casque Stereo 4999-823-109</t>
  </si>
  <si>
    <t>3VM08AA</t>
  </si>
  <si>
    <t>Casque Poly Filaire Mono - Blackwire 3315-M usb A</t>
  </si>
  <si>
    <t>Blackwire 3315-M usb A</t>
  </si>
  <si>
    <t>Jabra Evolve 40 MS - casque audio Stereo</t>
  </si>
  <si>
    <t>3PO-C Jab Evolve40MS Stereo 6399-823-109</t>
  </si>
  <si>
    <t>V9H78AA</t>
  </si>
  <si>
    <t>Casque Poly Filaire Blackwire 3325-M  usb A</t>
  </si>
  <si>
    <t>Blackwire 3325-M  usb A</t>
  </si>
  <si>
    <t>Casque Poly Sans Fil Mono - Voyager 4310 UC M - usb A</t>
  </si>
  <si>
    <t>Voyager 4310 UC M - usb A</t>
  </si>
  <si>
    <t xml:space="preserve">Jabra Evolve 65 MS stereo - micro-casque Duo 6599-823-309 </t>
  </si>
  <si>
    <t>Jabra Evolve 65 MS stereo - micro-casque Duo 6599-823-309</t>
  </si>
  <si>
    <t>V9H80AA</t>
  </si>
  <si>
    <t xml:space="preserve">Casque Poly Sans fil - Voyager 4320 UC M - usb A </t>
  </si>
  <si>
    <t>Voyager 4320 UC M - usb A</t>
  </si>
  <si>
    <t>Casque Poly Sans fil - Voyager 4320 UC M - usb A avec station de recharge</t>
  </si>
  <si>
    <t>PLY V4320-M C USB-A CHRG STAND WW</t>
  </si>
  <si>
    <t xml:space="preserve">Jabra Evolve 75 MS Stereo - micro-casque 7599-832-109 </t>
  </si>
  <si>
    <t>Jabra Evolve 75 MS Stereo - micro-casque 7599-832-109</t>
  </si>
  <si>
    <t>3VM09AA</t>
  </si>
  <si>
    <t xml:space="preserve">Casque Poly Premium Sans fil - Voyager Focus 2 - M usb A  </t>
  </si>
  <si>
    <t>Voyager Focus 2 - M usb A</t>
  </si>
  <si>
    <t xml:space="preserve">Casque Poly Premium Sans fil - Voyager Focus 2 - M usb A avec station de recharge </t>
  </si>
  <si>
    <t>PLY VFOCUS2-M C + CHRG STAND USB-A WW</t>
  </si>
  <si>
    <t xml:space="preserve">Haut parleur Jabra 510 </t>
  </si>
  <si>
    <t>3PO-C Jab 510 Speaker 7510-109</t>
  </si>
  <si>
    <t>V9H18AA</t>
  </si>
  <si>
    <t>Haut-parleur Poly intelligent Bluetooth - Sync 20-M usb A</t>
  </si>
  <si>
    <t>Sync 20-M usb A</t>
  </si>
  <si>
    <t>Filtres de confidentialité</t>
  </si>
  <si>
    <t>HP 15.6 NB Privacy Filter</t>
  </si>
  <si>
    <t>J7H71AA</t>
  </si>
  <si>
    <t>HP 14.0 NB Privacy Filter</t>
  </si>
  <si>
    <t>J6E65AA</t>
  </si>
  <si>
    <t>Câble de sécurité</t>
  </si>
  <si>
    <t>Câble antivol HP Sure Key - compatible uniquement sur les stations d'accueil</t>
  </si>
  <si>
    <t>HP Sure Key Cable Lock</t>
  </si>
  <si>
    <t>6UW42AA</t>
  </si>
  <si>
    <t>Câble de verrouillage à clé HP Nano Master - compatible sur tous les portables du lot 2</t>
  </si>
  <si>
    <t>HP Nano MK Lock</t>
  </si>
  <si>
    <t>1AJ40AA</t>
  </si>
  <si>
    <t>HP Nano câble de sécurité - compatible sur tous les portables du lot 2</t>
  </si>
  <si>
    <t>HP Nano Lock</t>
  </si>
  <si>
    <t>1AJ39AA</t>
  </si>
  <si>
    <t>HP HP Essential Combination Lock - compatible uniquement sur les stations d'accueil</t>
  </si>
  <si>
    <t>HP Essential Combination Lock</t>
  </si>
  <si>
    <t>T0Y16AA</t>
  </si>
  <si>
    <t>Moniteurs</t>
  </si>
  <si>
    <t>HP Z32 G3 UHD 4K  3840 x 2160 - 1 DP + 1 HDMI + 1 USB-C + 3 USB 3.0</t>
  </si>
  <si>
    <t>HP Z32 UHD 4k Écran EURO Garantie 5 ans sur site en J+1</t>
  </si>
  <si>
    <t>427581 /50U19AA</t>
  </si>
  <si>
    <t>HP Z27q 27" -  QHD 2560 x 1440 - 1 DP + 1 HDMI + 1 USB-C + 3 USB 3.0</t>
  </si>
  <si>
    <t>HP Z27q G3 Ecran EURO Garantie 5 ans sur site en J+1</t>
  </si>
  <si>
    <t xml:space="preserve">286107 / 1C4Z7AA </t>
  </si>
  <si>
    <t>HP E27q G5 27" - QHD 2560 x 1440 -  1 DP + 1 HDMI + 1 VGA + 5 USB</t>
  </si>
  <si>
    <t>MNTR HP E27q G5 QHD Garantie 5 ans sur site en J+1</t>
  </si>
  <si>
    <t>432091 / 6N6F2AA</t>
  </si>
  <si>
    <t>HP E27 G5 27" -  Full HD 1920 x 1080  -  1 DP + 1 HDMI + 1 VGA + 5 USB</t>
  </si>
  <si>
    <t>HP E27 G5 FHD Moniteur Garantie 5 ans sur site en J+1</t>
  </si>
  <si>
    <t>432092 / 6N4E2AA</t>
  </si>
  <si>
    <t>HP E24q G5 24" - QHD  2560 x 1440  -  1 DP + 1 HDMI + 1 VGA + 5 USB</t>
  </si>
  <si>
    <t>MNTR HP E24q G5 QHD Garantie 5 ans sur site en J+1</t>
  </si>
  <si>
    <t>432094 / 6N4F1AA</t>
  </si>
  <si>
    <t>HP E24i G4 24'' - WUXGA 1920 x 1200 - 1 DP + 1 HDMI + 1 VGA + 5 USB</t>
  </si>
  <si>
    <t>HP E24i G4 WUXGA Moniteur Garantie 5 ans sur site en J+1</t>
  </si>
  <si>
    <t>287546 / 9VJ40AA</t>
  </si>
  <si>
    <t>HP E24 G5 23,8" - Full HD 1920 x 1080  -  1 DP + 1 HDMI + 1 VGA + 5 USB</t>
  </si>
  <si>
    <t>HP E24 G5 FHD Moniteur Garantie 5 ans sur site en J+1</t>
  </si>
  <si>
    <t>432096 / 6N6E9AA</t>
  </si>
  <si>
    <t>HP E22 G5 21,5'' - Full HD 1920 x 1080  -  1 DP + 1 HDMI + 1 VGA + 1 USB-C + 4 USB-A</t>
  </si>
  <si>
    <t>MNTR HP E22 G5 FHD Garantie 5 ans sur site en J+1</t>
  </si>
  <si>
    <t>432098 / 6N4E8AA</t>
  </si>
  <si>
    <t>Moniteurs avancés (multimédia, station d'accueil ...) Maximum 50 pouces</t>
  </si>
  <si>
    <t>Ecran Docking HP E27m G4 27" -  QHD 2560 x 1440  -   1 DP + 1 HDMI + 1 RJ45 + 4 USB + 1 USB-C</t>
  </si>
  <si>
    <t>HP Écran E27m G4 Moniteur Garantie 5 ans sur site en J+1</t>
  </si>
  <si>
    <t>319864 / 40Z29AA</t>
  </si>
  <si>
    <t xml:space="preserve">Ecran Multimédia HP Elite E24mv G4 23,8" - Full HD 1920 x 1080  -  1 DP + 1 HDMI + 1 VGA </t>
  </si>
  <si>
    <t>HP Écran Elite E24mv G4 Moniteur Garantie 5 ans sur site en J+1</t>
  </si>
  <si>
    <t xml:space="preserve">359147 / 169L0AA </t>
  </si>
  <si>
    <t xml:space="preserve">Ecran Docking HP  E24m G4 23,8" - Full HD 1920 x 1080  -  1 DP + 1 HDMI + 1 RJ45 + 4 USB + 1 USB-C </t>
  </si>
  <si>
    <t>HP Écran E24m G4 Moniteur Garantie 5 ans sur site en J+1</t>
  </si>
  <si>
    <t>319865 / 40Z32AA</t>
  </si>
  <si>
    <t>Ecran tactile HP E24t G5  23,8" - Full HD 1920 x 1080  -  1 DP + 1 HDMI + 1 VGA + 5 USB</t>
  </si>
  <si>
    <t>MNTR HP E24t G5 FHD Touch Garantie 5 ans sur site en J+1</t>
  </si>
  <si>
    <t>432100 / 6N6E6AA</t>
  </si>
  <si>
    <t>Ecran Multimédia HP P27h G5 27" - Full HD 1920 x 1080 - 1 HDMI + 1 VGA + 1 DP</t>
  </si>
  <si>
    <t>HP P27h G5 FHD Moniteur HE Garantie 5 ans sur site en J+1</t>
  </si>
  <si>
    <t>432103 /64W41AA</t>
  </si>
  <si>
    <t>Ecran Multimédia HP P24h G5 23,8" - Full HD 1920 x 1080 - 1 HDMI + 1 VGA + 1 DP</t>
  </si>
  <si>
    <t>HP P24h G5 FHD Moniteur EURO Garantie 5 ans sur site en J+1</t>
  </si>
  <si>
    <t>432104 /64W34AA</t>
  </si>
  <si>
    <t>Ecran Multimédia HP P22h G5 21,5" - Full HD 1920 x 1080 - 1 HDMI + 1 VGA + 1 DP</t>
  </si>
  <si>
    <t>HP P22h G5 FHD Moniteur EURO Garantie 5 ans sur site en J+1</t>
  </si>
  <si>
    <t xml:space="preserve">432105 /64W30AA </t>
  </si>
  <si>
    <t>Supports de fixation, multi-écrans et bras articulés</t>
  </si>
  <si>
    <t xml:space="preserve">Support de montage pour écran HP Z Display </t>
  </si>
  <si>
    <t>HP B550 Z Display PC Mounting Bracket</t>
  </si>
  <si>
    <t>16U00AA</t>
  </si>
  <si>
    <t xml:space="preserve">Support de montage pour écran HP E Display </t>
  </si>
  <si>
    <t>HP B560 E Display PC Mounting Bracket</t>
  </si>
  <si>
    <t>763U8AA</t>
  </si>
  <si>
    <t xml:space="preserve">Support de montage pour écran HP P Display </t>
  </si>
  <si>
    <t>HP B200 E Display PC Mounting Bracket</t>
  </si>
  <si>
    <t>762T5AA</t>
  </si>
  <si>
    <t>Support de montage pour ordinateurs HP B300 - écrans Elite et écrans Z (hors Z38c et Z27 et Z32)</t>
  </si>
  <si>
    <t>HP B300 PC Mounting Bracket</t>
  </si>
  <si>
    <t>2DW53AA</t>
    <phoneticPr fontId="0" type="noConversion"/>
  </si>
  <si>
    <t>Support de montage pour ordinateurs B500/600</t>
  </si>
  <si>
    <t>HP B500/600 PC Mounting Bracket</t>
  </si>
  <si>
    <t>529H3AA</t>
  </si>
  <si>
    <t>Bras pour écran HP simple</t>
  </si>
  <si>
    <t>HP Single Monitor Arm</t>
  </si>
  <si>
    <t>762U0AA</t>
  </si>
  <si>
    <t>Support de montage pour ordinateurs HP B250 - écrans P</t>
  </si>
  <si>
    <t>HP B250 PC Mounting Bracket</t>
  </si>
  <si>
    <t>8RA46AA</t>
  </si>
  <si>
    <t xml:space="preserve">Station d'accueil </t>
  </si>
  <si>
    <t>Station d'accueil HP Thunderbolt 120 W G4</t>
  </si>
  <si>
    <t>HP Thunderbolt Dock 120W G4</t>
  </si>
  <si>
    <t>4J0A2AA / 441881</t>
  </si>
  <si>
    <t>Station d'accueil HP USB-C Dock G5</t>
  </si>
  <si>
    <t xml:space="preserve">HP USB-C Dock G5 EURO </t>
  </si>
  <si>
    <t>5TW10AA / 449621</t>
  </si>
  <si>
    <t>Station d'accueil HP USB-C Essential Dock G5</t>
  </si>
  <si>
    <t xml:space="preserve">HP USB-C Essential Dock G5 </t>
  </si>
  <si>
    <t xml:space="preserve">72C71AA / 427692 </t>
  </si>
  <si>
    <t>Station d'accueil universelle HP USB-C/A G2</t>
  </si>
  <si>
    <t xml:space="preserve">HP USB-C/A Universal Dock G2 </t>
  </si>
  <si>
    <t>5TW13AA / 449622</t>
  </si>
  <si>
    <t>Station d'accueil mini USB-C</t>
  </si>
  <si>
    <t>HP Universal USB-C Multiport Hub</t>
  </si>
  <si>
    <t>50H55AA / 320659</t>
  </si>
  <si>
    <t>Adaptateurs et câbles vidéo</t>
  </si>
  <si>
    <t>Adaptateur HP USB-C to VGA</t>
  </si>
  <si>
    <t>HP USB-C to VGA Adapter</t>
  </si>
  <si>
    <t>N9K76AA</t>
  </si>
  <si>
    <t>Adaptateur HP USB-C to USB 3.0</t>
  </si>
  <si>
    <t>HP USB-C to USB 3.0 Adapter</t>
  </si>
  <si>
    <t>N2Z63AA</t>
  </si>
  <si>
    <t>Adaptateur DisplayPort  vers HDMI True 4K</t>
  </si>
  <si>
    <t>HP DisplayPort To HDMI True 4k Adapter</t>
  </si>
  <si>
    <t>2JA63AA</t>
  </si>
  <si>
    <t>Adaptateur DisplayPort vers VGA</t>
  </si>
  <si>
    <t>HP DisplayPort To VGA Adapter</t>
  </si>
  <si>
    <t>AS615AA</t>
  </si>
  <si>
    <t>Adaptateur DisplayPort vers DVI-D</t>
  </si>
  <si>
    <t>HP DisplayPort To DVI-D Adapter</t>
  </si>
  <si>
    <t>FH973AA</t>
  </si>
  <si>
    <t>Adaptateur HP USB-C to HDMI 2.0</t>
  </si>
  <si>
    <t>HP USB-C to HDMI 2.0 Adapter</t>
  </si>
  <si>
    <t>1WC36AA</t>
  </si>
  <si>
    <t>Adaptateur HP USB-C to DisplayPort</t>
  </si>
  <si>
    <t>HP USB-C to DisplayPort Adapter</t>
  </si>
  <si>
    <t>N9K78AA</t>
  </si>
  <si>
    <t>Hub HP USB-C to USB-A</t>
  </si>
  <si>
    <t>HP USB-C to USB-A Hub</t>
  </si>
  <si>
    <t>Z6A00AA</t>
  </si>
  <si>
    <t>Hub HP USB-C de voyage G2</t>
  </si>
  <si>
    <t>HP USB-C Travel Hub G2</t>
  </si>
  <si>
    <t>7PJ38AA</t>
  </si>
  <si>
    <t>Adaptateur HP HDMI to VGA</t>
  </si>
  <si>
    <t>HP HDMI to VGA Adapter</t>
  </si>
  <si>
    <t>H4F02ET</t>
  </si>
  <si>
    <t>Adaptateur HP Display Port to VGA</t>
  </si>
  <si>
    <t>HP Display Port to VGA Adapter</t>
  </si>
  <si>
    <t>F7W97AA</t>
  </si>
  <si>
    <t>Adaptateur HP DP to HDMI 1.4</t>
  </si>
  <si>
    <t>HP DP to HDMI 1.4 Adapter</t>
  </si>
  <si>
    <t>F3W43AA</t>
  </si>
  <si>
    <t>Adaptateur HP Display Port to DVI SL</t>
  </si>
  <si>
    <t>HP Display Port to DVI SL Adapter</t>
  </si>
  <si>
    <t>F7W96AA</t>
  </si>
  <si>
    <t xml:space="preserve">Câble HP USB-C to USB-C 100W </t>
  </si>
  <si>
    <t>HP USB-C to USB-C 100W Cable</t>
  </si>
  <si>
    <t>5AR72AA</t>
  </si>
  <si>
    <t>Kit de câble d'extension HP USB Type-C (5M)</t>
  </si>
  <si>
    <t>HP USB Type-C Extension Cable Kit (5M)</t>
  </si>
  <si>
    <t>9JH45AA</t>
  </si>
  <si>
    <t>Câble Display Port Mâle vers Display Port Mâle - 2 mètres</t>
  </si>
  <si>
    <t>HP DisplayPort Cable Kit</t>
  </si>
  <si>
    <t>VN567AA</t>
  </si>
  <si>
    <t>Câble HDMI Mâle vers HDMI Mâle - 1,8 mètre</t>
  </si>
  <si>
    <t>HP HDMI Standard Cable Kit</t>
  </si>
  <si>
    <t>T6F94AA</t>
  </si>
  <si>
    <t>Adaptateurs et câbles réseau</t>
  </si>
  <si>
    <t>Adaptateur HP USB-C to RJ45</t>
  </si>
  <si>
    <t>HP USB-C to RJ45 Adapter</t>
  </si>
  <si>
    <t>4Z527AA</t>
  </si>
  <si>
    <t>Adaptateur HP USB 3.0 to Gigabit</t>
  </si>
  <si>
    <t>HP USB 3.0 to Gigabit Adapter</t>
  </si>
  <si>
    <t>4Z7Z7AA</t>
  </si>
  <si>
    <t xml:space="preserve">Adaptateurs mobilité et chargeurs </t>
  </si>
  <si>
    <t xml:space="preserve">Adaptateur intelligent 90 Watt </t>
  </si>
  <si>
    <t xml:space="preserve">HP 90W Smart AC Adapter </t>
  </si>
  <si>
    <t>H6Y90AA</t>
  </si>
  <si>
    <t xml:space="preserve">Adaptateur secteur USB-C 65 Watt </t>
  </si>
  <si>
    <t xml:space="preserve">HP 65W USB-C Power Adapter </t>
  </si>
  <si>
    <t>671R3AA</t>
  </si>
  <si>
    <t>Adaptateur secteur intelligent 65 Watt</t>
  </si>
  <si>
    <t xml:space="preserve">HP 65W Smart AC Adapter </t>
  </si>
  <si>
    <t>H6Y89AA</t>
  </si>
  <si>
    <t>Adaptateur voyage  USB-C 65 Watt</t>
  </si>
  <si>
    <t xml:space="preserve">HP 65W USB-C Slim Power Adapter </t>
  </si>
  <si>
    <t>600Q8AA</t>
  </si>
  <si>
    <t>Adaptateur secteur USB-C - 65 Watt</t>
  </si>
  <si>
    <t>1P3K6AA</t>
  </si>
  <si>
    <t>Sacs de transport (housses. sacoches ...)</t>
  </si>
  <si>
    <t xml:space="preserve">Sacoche HP Prelude 15.6 pouces </t>
  </si>
  <si>
    <t xml:space="preserve">HP Prelude 15.6 Top Load </t>
  </si>
  <si>
    <t>1E7D7AA</t>
  </si>
  <si>
    <t>Sacoche HP Prelude 15.6 pouces Bulk 20 unités</t>
  </si>
  <si>
    <t>HP Prelude 15.6 Top Load</t>
  </si>
  <si>
    <t>1E7D7A6</t>
  </si>
  <si>
    <t>Sac à dos HP Prelude 15.6 pouces</t>
  </si>
  <si>
    <t xml:space="preserve">HP Prelude 15.6 Backpack </t>
  </si>
  <si>
    <t>1E7D6AA</t>
  </si>
  <si>
    <t>Sac à dos HP Prelude 15.6 pouces Bulk 15 unités</t>
  </si>
  <si>
    <t>1E7D6A6</t>
  </si>
  <si>
    <t>Sacoche HP Business 16 pouces</t>
  </si>
  <si>
    <t>HP Renew Executive 16 Laptop Bag</t>
  </si>
  <si>
    <t>6B8Y2AA</t>
  </si>
  <si>
    <t xml:space="preserve">Sacoche HP Prelude 15.6 pouces gris foncé </t>
  </si>
  <si>
    <t xml:space="preserve">HP Prelude Pro Recycle Top Load </t>
  </si>
  <si>
    <t>1X645AA</t>
  </si>
  <si>
    <t>Sac à dos HP Prelude 15.6 pouces gris foncé</t>
  </si>
  <si>
    <t xml:space="preserve">HP Prelude Pro Recycle Backpack </t>
  </si>
  <si>
    <t>1X644AA</t>
  </si>
  <si>
    <t>Housse de protection HP 14.1</t>
  </si>
  <si>
    <t>HP 14 ReversP Blk/Slv Sleeve</t>
  </si>
  <si>
    <t xml:space="preserve">2F2J1AA </t>
  </si>
  <si>
    <t>Housse de protection HP 14.1 Business</t>
  </si>
  <si>
    <t>HP Rnw Business 14.1 Laptop Slv</t>
  </si>
  <si>
    <t>3E2U7AA</t>
  </si>
  <si>
    <t>Saoche HP 14.1 Business ultra-mince avec chargement par le haut</t>
  </si>
  <si>
    <t xml:space="preserve">HP 14.1 Business Slim Top Load </t>
  </si>
  <si>
    <t>3E5F9AA</t>
  </si>
  <si>
    <t>HP Executive Slim Top Load sacoche pour ordinateur</t>
  </si>
  <si>
    <t xml:space="preserve">HP Executive 14.1 Slim Top Load </t>
  </si>
  <si>
    <t>6B8Y3AA</t>
  </si>
  <si>
    <t>HP Executive sac à dos pour ordinateur portable 16 pouces</t>
  </si>
  <si>
    <t>HP Renew Executive 16 Laptop Backpack</t>
  </si>
  <si>
    <t>6B8Y1AA</t>
  </si>
  <si>
    <t xml:space="preserve">Sac à dos HP Prelude 15.6 pouces gris foncé BULK 12 </t>
  </si>
  <si>
    <t xml:space="preserve">HP Prelude Pro Recycle Backpack BULK 12 </t>
  </si>
  <si>
    <t>1X44A6</t>
  </si>
  <si>
    <t xml:space="preserve">Sacoche HP Prelude 15.6 pouces gris foncé BULK 12 </t>
  </si>
  <si>
    <t xml:space="preserve">HP Prelude Pro Recycle Top Load BULK 12 </t>
  </si>
  <si>
    <t>1X645A6</t>
  </si>
  <si>
    <t>Sacoche Mobilis Basic 12.5-14'' - Noire</t>
  </si>
  <si>
    <t>Basic Netcover 12.5-14'' - Black</t>
  </si>
  <si>
    <t xml:space="preserve">5S829E3	</t>
  </si>
  <si>
    <t>Sacoche Mobilis Basic 14-16'' - Noire</t>
  </si>
  <si>
    <t>Basic Netcover 14-16'' - Black</t>
  </si>
  <si>
    <t xml:space="preserve">5S830E3	</t>
  </si>
  <si>
    <t>Sacoche Mobilis TheOne Basic Briefcase Clamshell zipped pocket 11-14''</t>
  </si>
  <si>
    <t>TheOne Basic Briefcase Clamshell zipped pocket 11-14''</t>
  </si>
  <si>
    <t xml:space="preserve">5S831E3	</t>
  </si>
  <si>
    <t>Sacoche Mobilis TheOne Basic Briefcase Toploading 11-14''</t>
  </si>
  <si>
    <t>TheOne Basic Briefcase Toploading 11-14''</t>
  </si>
  <si>
    <t xml:space="preserve">5S832E3	</t>
  </si>
  <si>
    <t>Sacoche Mobilis TheOne Basic Briefcase Clamshell zipped pocket 14-15.6''</t>
  </si>
  <si>
    <t>TheOne Basic Briefcase Clamshell zipped pocket 14-15.6''</t>
  </si>
  <si>
    <t xml:space="preserve">5S833E3	</t>
  </si>
  <si>
    <t>Sacoche Mobilis TheOne Basic Briefcase Toploading 14-16''</t>
  </si>
  <si>
    <t>TheOne Basic Briefcase Toploading 14-16''</t>
  </si>
  <si>
    <t xml:space="preserve">5S834E3	</t>
  </si>
  <si>
    <t>Sac à dos Mobilis TheOne Basic Backpack 14-15.6''</t>
  </si>
  <si>
    <t>TheOne Basic Backpack 14-15.6''</t>
  </si>
  <si>
    <t xml:space="preserve">5S835E3	</t>
  </si>
  <si>
    <t>Sac à dos Mobilis TheOne Backpack 14-15.6'' Blue zip</t>
  </si>
  <si>
    <t>TheOne Backpack 14-15.6'' Blue zip</t>
  </si>
  <si>
    <t xml:space="preserve">5S838E3	</t>
  </si>
  <si>
    <t>Sacoche Mobilis Executive 3 Twice Briefcase 11-14''</t>
  </si>
  <si>
    <t>Executive 3 Twice Briefcase 11-14''</t>
  </si>
  <si>
    <t xml:space="preserve">5S839E3	</t>
  </si>
  <si>
    <t>Sacoche Mobilis Executive 3 Twice Briefcase 14-16''</t>
  </si>
  <si>
    <t>Executive 3 Twice Briefcase 14-16''</t>
  </si>
  <si>
    <t xml:space="preserve">5S840E3	</t>
  </si>
  <si>
    <t>Sacoche Mobilis Executive 3 BackPack 14-16''</t>
  </si>
  <si>
    <t>Executive 3 BackPack 14-16''</t>
  </si>
  <si>
    <t xml:space="preserve">5S841E3	</t>
  </si>
  <si>
    <t>Sacoche Mobilis Executive 3 Roller 14-17''</t>
  </si>
  <si>
    <t>Executive 3 Roller 14-17''</t>
  </si>
  <si>
    <t xml:space="preserve">5S842E3	</t>
  </si>
  <si>
    <t>Chariot de stockage/recharge</t>
  </si>
  <si>
    <t>Classe mobile de charge et gestion ZIP40</t>
  </si>
  <si>
    <t>3PO-C ErgoZip40 Charging and Mngt CartEU</t>
  </si>
  <si>
    <t>8RB61AA</t>
  </si>
  <si>
    <t>Prestations de marquage et étiquetage (Gravure. Etiquetage. Rapports. Marquage Antivol. …)</t>
  </si>
  <si>
    <t>Service d'étiquetage des actifs HP PC BIOS (HP PC BIOS Asset Tagging Service) (voir 6.1.11 QS)</t>
  </si>
  <si>
    <t>HP PC BIOS Asset Tagging Service</t>
  </si>
  <si>
    <t>AY109AV</t>
  </si>
  <si>
    <t>Service d’étiquetage standardisé - Option 2 (Numéro commande Client ; Date fin de garantie ; Numéro de série ; MAC Address 1 ; MAC Address 2)</t>
  </si>
  <si>
    <t>HP Standard Asset Tagging Service</t>
  </si>
  <si>
    <t>AY111AV</t>
  </si>
  <si>
    <t>Service d’étiquetage personnalisé - Option 3</t>
  </si>
  <si>
    <t>Service d’étiquetage des actifs avec étiquettes fournies par les clients (Asset tag customer supplied)  (voir 6.1.13 QS)</t>
  </si>
  <si>
    <t>HP Customer-Supplied Asset Tagging SVC</t>
  </si>
  <si>
    <t>AY112AV</t>
  </si>
  <si>
    <t xml:space="preserve">Service de marquage de sécurité prédéfini HP (Asset tag security) : marquage antivol pré-défini réalisé par https://stoptrack.com/ </t>
  </si>
  <si>
    <t>HP Security Tagging Service</t>
  </si>
  <si>
    <t>AY131AV</t>
  </si>
  <si>
    <t xml:space="preserve">Service de marquage de sécurité personnalisé HP (Asset tag custom security)  (voir 6.1.14 QS) - marquage antivol spécifique réalisé par https://stoptrack.com/ </t>
  </si>
  <si>
    <t>HP Custom Security Tagging Service</t>
  </si>
  <si>
    <t>AY114AV</t>
  </si>
  <si>
    <t xml:space="preserve">Service de marquage prédéfini - Option 1a Chassis SN+MAC1+UUID </t>
  </si>
  <si>
    <t>HP Chassis Tagging SN+MAC1+UUID service</t>
  </si>
  <si>
    <t>AY128AV + YT924AV</t>
  </si>
  <si>
    <t>Service de marquage prédéfini - Option 1b Chassis SN+MAC1+MAC2 service</t>
  </si>
  <si>
    <t>HP Chassis Tagging SN+MAC1+MAC2 service</t>
  </si>
  <si>
    <t>AY129AV + YT925AV</t>
  </si>
  <si>
    <t>Service de marquage emballage - Option 1c SN+MAC1+MAC2+UUID SVC</t>
  </si>
  <si>
    <t>HP Packaging Tag SN+MAC1+MAC2+UUID SVC</t>
  </si>
  <si>
    <t>AY130AV + YT926AV</t>
  </si>
  <si>
    <t>Service d’étiquetage socredard  (voir 6.1.12 QS)</t>
  </si>
  <si>
    <t>HP Socredard Asset Tagging Service</t>
  </si>
  <si>
    <t>MAT230</t>
  </si>
  <si>
    <t xml:space="preserve">Service de gravure logo UV Printing </t>
  </si>
  <si>
    <t xml:space="preserve">Gravure Logo UV Printing </t>
  </si>
  <si>
    <t>AY116AV</t>
  </si>
  <si>
    <t>Prestations de gestion des emballages (évacuation et recyclage hors site de l'établissement...)</t>
  </si>
  <si>
    <t>HP Standalone Recycling 5-20units</t>
  </si>
  <si>
    <t>4WB13AA</t>
  </si>
  <si>
    <t>HP Standalone Recycling 21+units</t>
  </si>
  <si>
    <t>3AZ77AA</t>
  </si>
  <si>
    <t>HP Unpack &amp; Waste Removal</t>
  </si>
  <si>
    <t>W9G29AA</t>
  </si>
  <si>
    <t>Prestations transfert de données utilisateurs (transfert de données, destruction des disques dur, …)</t>
  </si>
  <si>
    <t xml:space="preserve">Service de destruction de données sur site de 5 à 20 unités </t>
  </si>
  <si>
    <t>HP Onsite Data Destruction 5-20units</t>
  </si>
  <si>
    <t>MAT106</t>
  </si>
  <si>
    <t xml:space="preserve">Service de destruction de données sur site plus de 21 unités </t>
  </si>
  <si>
    <t>HP Onsite Data Destruction 21+units</t>
  </si>
  <si>
    <t>MAT107</t>
  </si>
  <si>
    <t>Nettoyage des données sur site 5-20 unités</t>
  </si>
  <si>
    <t>HP Onsite Data Wipe 5-20 units</t>
  </si>
  <si>
    <t>MAT108</t>
  </si>
  <si>
    <t>Nettoyage des données sur site 21+ unités</t>
  </si>
  <si>
    <t>HP Onsite Data Wipe 21+ units</t>
  </si>
  <si>
    <t>MAT109</t>
  </si>
  <si>
    <t>Prestations de préparation des matériels en usine (bios, partitionnement, gestion des images d'OS, …)</t>
  </si>
  <si>
    <t>HP Backup Media Design + Replication Svc</t>
  </si>
  <si>
    <t>AY107AV</t>
  </si>
  <si>
    <t>Installation d’applications logicielles sur une image PC</t>
  </si>
  <si>
    <t>Service de paramètres BIOS (PC BIOS setting)</t>
  </si>
  <si>
    <t>HP PC BIOS Settings Service</t>
  </si>
  <si>
    <t>AY103AV</t>
  </si>
  <si>
    <t>Configuration et personnalisation de Intel® vPro®</t>
  </si>
  <si>
    <t>HP Intel vPro Setup + Configuration Svc</t>
  </si>
  <si>
    <t>AY106AV</t>
  </si>
  <si>
    <t>Service de contrôle de révision du BIOS (BIOS revision control)</t>
  </si>
  <si>
    <t>HP PC BIOS Revision Control Service</t>
  </si>
  <si>
    <t>AY108AV</t>
  </si>
  <si>
    <t>Inclusion du logo Client dans le BIOS (Customer logo bios settings)</t>
  </si>
  <si>
    <t>HP Custom Logo at Boot Service</t>
  </si>
  <si>
    <t>AY122AV</t>
  </si>
  <si>
    <t xml:space="preserve">Service d'intégration d'accessoires dans le carton </t>
  </si>
  <si>
    <t>HP Drop-in PC Packaging Service</t>
  </si>
  <si>
    <t>AY115AV</t>
  </si>
  <si>
    <t>Support avec engagement</t>
  </si>
  <si>
    <t>Service de support d'assistance matérielle sur site avec engagement de délai de réparation pour différents besoins (ici 2 jours ouvrables max)</t>
  </si>
  <si>
    <t>HP 5y CTR 2BD Laptop High with Monitor (AN)</t>
  </si>
  <si>
    <t>MAT250</t>
  </si>
  <si>
    <t>HP 5y CTR 2BD Laptop Low with Monitor (6U)</t>
  </si>
  <si>
    <t>MAT251</t>
  </si>
  <si>
    <t>Collecte. logistique. audit. nettoyage certifié des données et traitement des équipements. avec un minimum de 60 unités par collecte (par unité) ET 20% de moniteurs par lot</t>
  </si>
  <si>
    <t>HP 5y Device Recovery Service</t>
  </si>
  <si>
    <t>MAT252</t>
  </si>
  <si>
    <t>Prestations d'installation physique (vérification de l'état des composants. déballage. installation. connexion réseau. contrôle du bon démarrage...)</t>
  </si>
  <si>
    <t>Déploiement sur site (plus de 10 équipements par jour sur un même site)
sans remplacement des anciens matériels et sans configuration des unités</t>
  </si>
  <si>
    <t>HP Deployment Services</t>
  </si>
  <si>
    <t>U49CTZ</t>
  </si>
  <si>
    <t>Extension de durée de 15 mn (prise en main du nouvel équipement, temps additionnel  requête supplémentaire)</t>
  </si>
  <si>
    <t>U49CVZ</t>
  </si>
  <si>
    <t>Extension de durée de 30 mn (transfer de données, temps additionel  requête supplémentaire)</t>
  </si>
  <si>
    <t>U49CWZ</t>
  </si>
  <si>
    <t>Prestations d'installation logicielle (préparation du support. installation système exploitations. vérification clé. pilotes. tests des fonctionnalités...)</t>
  </si>
  <si>
    <t>IMACD for activities with PCs (moins de 10 équipements par jour sur un même site)</t>
  </si>
  <si>
    <t>MAT234</t>
  </si>
  <si>
    <t>Extension de durée de 15 mn (temps additionel pour requête supplémentaire)</t>
  </si>
  <si>
    <t>MAT235</t>
  </si>
  <si>
    <t>Extension de durée de 30 mn (temps additionel pour requête supplémentaire)</t>
  </si>
  <si>
    <t>MAT236</t>
  </si>
  <si>
    <t>Autres prestations de services spécifiques (Coût journée : Chef de projet. Technicien de déploiement. …)</t>
  </si>
  <si>
    <t xml:space="preserve">Atelier de 2 heures par jour sur 6 jours pour l'analyse et usage de Personae. et de préparation à la conduite de changement pour création d’images. de conception et de planification de l'intégration </t>
  </si>
  <si>
    <t>HP Atelier de planification DDI (Discovery. Design and Integration</t>
  </si>
  <si>
    <t>MAT238</t>
  </si>
  <si>
    <t>Service de gestion des expériences numériques (Digital Experience) des employés. avec la technologie de Nexthink pour l’amélioration de ces expériences basé sur un projet d'implémentation de 5 000 à 10 000 équipements (prix par unité. par mois).</t>
  </si>
  <si>
    <t>HP Digital eXperience (HP DX) - 5k/10k devices</t>
  </si>
  <si>
    <t>MAT239</t>
  </si>
  <si>
    <t>Service de gestion des expériences numériques (Digital Experience) des employés. avec la technologie de Nexthink pour l’amélioration de ces expériences basé sur un projet d'implémentation de 10 000 à 15 000 équipements (prix par unité. par mois).</t>
  </si>
  <si>
    <t>HP Digital eXperience (HP DX) - 10k/15k devices</t>
  </si>
  <si>
    <t>MAT240</t>
  </si>
  <si>
    <t>Service de gestion des expériences numériques (Digital Experience) des employés. avec la technologie de Nexthink pour l’amélioration de ces expériences basé sur un projet d'implémentation de 15 000 à 20 000 équipements (prix par unité. par mois).</t>
  </si>
  <si>
    <t>HP Digital eXperience (HP DX) - 15k/20k devices</t>
  </si>
  <si>
    <t>MAT241</t>
  </si>
  <si>
    <t>Service de gestion des expériences numériques (Digital Experience) des employés. avec la technologie de Nexthink pour l’amélioration de ces expériences basé sur un projet d'implémentation de plus de 20 000 équipements (prix par unité. par mois).</t>
  </si>
  <si>
    <t>HP Digital eXperience (HP DX) - 20k+</t>
  </si>
  <si>
    <t>MAT242</t>
  </si>
  <si>
    <t>Solution certifiée de suppression de données sous license YouWipe. Licence annuelle par equipement. avec usage illimitépour un volume d'equipement entre 500 et 1 000.</t>
  </si>
  <si>
    <t>YouWipe Data erasure Premium edition 500/1k</t>
  </si>
  <si>
    <t>MAT243</t>
  </si>
  <si>
    <t>Solution certifiée de suppression de données sous license YouWipe. avec usage illimité (par unité). Le prix fourni est par équipements. par an et pour un volume entre 1 000 et 5 000.</t>
  </si>
  <si>
    <t>YouWipe Data erasure Premium edition 1k/5k</t>
  </si>
  <si>
    <t>MAT244</t>
  </si>
  <si>
    <t>Solution certifiée de suppression de données sous license YouWipe. avec usage illimité (par unité). Le prix fourni est par équipements. par an et pour un volume entre 5 000 et 10 000.</t>
  </si>
  <si>
    <t>YouWipe Data erasure Premium edition 5k/10k</t>
  </si>
  <si>
    <t>MAT245</t>
  </si>
  <si>
    <t>Solution certifiée de suppression de données sous license YouWipe. avec usage illimité (par unité). Le prix fourni est par équipements. par an et pour un volume entre 10 000 et 25 000.</t>
  </si>
  <si>
    <t>YouWipe Data erasure Premium edition 10k/25k</t>
  </si>
  <si>
    <t>MAT246</t>
  </si>
  <si>
    <t>Solution certifiée de suppression de données sous license YouWipe. avec usage illimité (par unité). Le prix fourni est par équipements. par an et pour un volume entre 25 000 et 50 000.</t>
  </si>
  <si>
    <t>YouWipe Data erasure Premium edition 25k/50k</t>
  </si>
  <si>
    <t>MAT247</t>
  </si>
  <si>
    <t>Service de configuration dynamique (voir 6.1.10 QS)</t>
  </si>
  <si>
    <t>HP Dynamic Configuration Service</t>
  </si>
  <si>
    <t>AY150AV</t>
  </si>
  <si>
    <t>Service optionnel de stockage pour les établissements :  en mode super express  (voir 6.2.1 QS)</t>
  </si>
  <si>
    <t>HP Stock Express</t>
  </si>
  <si>
    <t>AY200AV</t>
  </si>
  <si>
    <t xml:space="preserve">Service de palette personnalisée </t>
  </si>
  <si>
    <t>HP Custom Pallet Service</t>
  </si>
  <si>
    <t>W9G30AA</t>
  </si>
  <si>
    <t xml:space="preserve">Service d'équipement spécial </t>
  </si>
  <si>
    <t>HP Special Equipment Service</t>
  </si>
  <si>
    <t>W9G31AA</t>
  </si>
  <si>
    <t xml:space="preserve">Service de livraison jour non-ouvré </t>
  </si>
  <si>
    <t>HP Non-Work Day Delivery</t>
  </si>
  <si>
    <t>W9G32AA</t>
  </si>
  <si>
    <t xml:space="preserve">Service de livraison consolidée </t>
  </si>
  <si>
    <t>HP Consolidated Delivery</t>
  </si>
  <si>
    <t>V1H71AA</t>
  </si>
  <si>
    <t xml:space="preserve">Licence 5 ans Proactive Security </t>
  </si>
  <si>
    <t>HP 5y Proactive Security Svc E-LTU</t>
  </si>
  <si>
    <t>UB6R2AAE</t>
  </si>
  <si>
    <t xml:space="preserve">Service de livraison eco packaging par 5 unités </t>
  </si>
  <si>
    <t>MULTI-UNIT 5units Eco- Packaging</t>
  </si>
  <si>
    <t>19X65AV</t>
  </si>
  <si>
    <t xml:space="preserve">Emballage socredard </t>
  </si>
  <si>
    <t>Socredard Packaging</t>
  </si>
  <si>
    <t>MAT248</t>
  </si>
  <si>
    <t>MAT249</t>
  </si>
  <si>
    <t>Service de destruction de données sur site de 5 à 20 unités (par occurrence)</t>
  </si>
  <si>
    <t>4WB12AA</t>
  </si>
  <si>
    <t>Service de destruction de données sur site plus de 21 unités (par occurrence)</t>
  </si>
  <si>
    <t>2ZW91AA</t>
  </si>
  <si>
    <t>Nettoyage des données sur site 5-20 unités (par occurrence)</t>
  </si>
  <si>
    <t>4WB11AA</t>
  </si>
  <si>
    <t>Nettoyage des données sur site 21+ unités (par occurrence)</t>
  </si>
  <si>
    <t>2ZW89AA</t>
  </si>
  <si>
    <t>HP Home Delivery Svc Monitors</t>
  </si>
  <si>
    <t>1L1G4AA</t>
  </si>
  <si>
    <t>HP Home Delivery Svc Accessories</t>
  </si>
  <si>
    <t>1L1G5AA</t>
  </si>
  <si>
    <t>HP Pre-alert with Booking Slot Timed</t>
  </si>
  <si>
    <t>1K4R9A</t>
  </si>
  <si>
    <t>HP Forklift</t>
  </si>
  <si>
    <t>1S4Q7AA</t>
  </si>
  <si>
    <t>HP Delivery Site Not on Ground Floor</t>
  </si>
  <si>
    <t>1S4Q8AA</t>
  </si>
  <si>
    <t>HP Carrier Unloading Service</t>
  </si>
  <si>
    <t>1S4Q9AA</t>
  </si>
  <si>
    <t>HP Two People at Delivery</t>
  </si>
  <si>
    <t>1K4R2A</t>
  </si>
  <si>
    <t>850 G10</t>
  </si>
  <si>
    <t>855 G10</t>
  </si>
  <si>
    <t>Logiciels d'exploitation</t>
  </si>
  <si>
    <t>Système d'exploitation Windows 11 Professionnel (à commander obligatoirement avec la machine. OS OEM)</t>
  </si>
  <si>
    <t>Windows 11 Pro 64</t>
  </si>
  <si>
    <t>717Y1AV</t>
  </si>
  <si>
    <t>719N5AV</t>
  </si>
  <si>
    <t>71C79AV</t>
  </si>
  <si>
    <t>74X28AV</t>
  </si>
  <si>
    <t>753D3AV</t>
  </si>
  <si>
    <t>75C73AV</t>
  </si>
  <si>
    <t>757C7AV</t>
  </si>
  <si>
    <t>75H38AV</t>
  </si>
  <si>
    <t>6V514AV</t>
  </si>
  <si>
    <t>749K2AV</t>
  </si>
  <si>
    <t>6V646AV</t>
  </si>
  <si>
    <t>74A79AV</t>
  </si>
  <si>
    <t>6V928AV</t>
  </si>
  <si>
    <t>749W2AV</t>
  </si>
  <si>
    <t>6V7Y7AV</t>
  </si>
  <si>
    <t>6Q2A3AV</t>
  </si>
  <si>
    <t>Windows 11 Pro 64 Downgrade Win 10 Pro 64</t>
  </si>
  <si>
    <t>717Y3AV</t>
  </si>
  <si>
    <t>719N7AV</t>
  </si>
  <si>
    <t>71C81AV</t>
  </si>
  <si>
    <t>74X30AV</t>
  </si>
  <si>
    <t>753D5AV</t>
  </si>
  <si>
    <t>75C75AV</t>
  </si>
  <si>
    <t>757C9AV</t>
  </si>
  <si>
    <t>75H40AV</t>
  </si>
  <si>
    <t>6V516AV</t>
  </si>
  <si>
    <t>749K4AV</t>
  </si>
  <si>
    <t>6V648AV</t>
  </si>
  <si>
    <t>74A81AV</t>
  </si>
  <si>
    <t>6V930AV</t>
  </si>
  <si>
    <t>749W4AV</t>
  </si>
  <si>
    <t>6V7Y9AV</t>
  </si>
  <si>
    <t>6Q2A5AV</t>
  </si>
  <si>
    <t>CATEGORIE : CLIENTS LEGERS</t>
  </si>
  <si>
    <t>Plateforme</t>
  </si>
  <si>
    <t>Format</t>
  </si>
  <si>
    <t>Processeur</t>
  </si>
  <si>
    <t>Mémoire</t>
  </si>
  <si>
    <t>Stockage</t>
  </si>
  <si>
    <t>Accessoires inclus</t>
  </si>
  <si>
    <t>WiFi</t>
  </si>
  <si>
    <t>OS</t>
  </si>
  <si>
    <t xml:space="preserve">Type de plateforme </t>
  </si>
  <si>
    <t>OS2</t>
  </si>
  <si>
    <t>Wifi2</t>
  </si>
  <si>
    <t>Support</t>
  </si>
  <si>
    <t>mt46</t>
  </si>
  <si>
    <t>Client léger mobile</t>
  </si>
  <si>
    <t>-</t>
  </si>
  <si>
    <t>11D12EA</t>
  </si>
  <si>
    <t>14'' Full HD (1920x1080) Anti-Reflets</t>
  </si>
  <si>
    <t>AMD Ryzen 3 PRO 4450U</t>
  </si>
  <si>
    <t>8 Go</t>
  </si>
  <si>
    <t>128 Go SSD</t>
  </si>
  <si>
    <t>Fingerprint</t>
  </si>
  <si>
    <t>Windows 10 IOT Enterprise 2020</t>
  </si>
  <si>
    <t>W10 IOT Enterprise </t>
  </si>
  <si>
    <t>Wifi</t>
  </si>
  <si>
    <t>5 ans J+1  sur site</t>
  </si>
  <si>
    <t>mt645</t>
  </si>
  <si>
    <t>11D37EA</t>
  </si>
  <si>
    <t>HP Thin Pro</t>
  </si>
  <si>
    <t>HP ThinPro</t>
  </si>
  <si>
    <t>Tarif HT
avec garantie 5 ans intervention sur site J+1 en France Métropolitaine</t>
  </si>
  <si>
    <t>Coefficient 
locatif</t>
  </si>
  <si>
    <t>Loyer trimestriel HT terme à échoir sans assurance</t>
  </si>
  <si>
    <t>Loyer trimestriel HT terme à échoir avec assurance</t>
  </si>
  <si>
    <t>Tarif HT 
avec garantie pendant toute la durée du marché avec intervention sur site J+1 en France métropolitaine </t>
  </si>
  <si>
    <t>4 trimestres</t>
  </si>
  <si>
    <t>8 trimestres</t>
  </si>
  <si>
    <t>12 trimestres</t>
  </si>
  <si>
    <t>16 trimestres</t>
  </si>
  <si>
    <t>AMD Ryzen5 7530U 445 G10 BNBPC</t>
  </si>
  <si>
    <t xml:space="preserve">AMD Ryzen7 7730U 445 G10  BNBPC - 445/ X360 435 </t>
  </si>
  <si>
    <t>AMD Ryzen7 7730U 455 G10 BNBPC - 455</t>
  </si>
  <si>
    <t>Intel Core i5-1345U nWWAN 650 G10 BNBPC non compatible 4G et vPro</t>
  </si>
  <si>
    <t>75C43AV</t>
  </si>
  <si>
    <r>
      <rPr>
        <b/>
        <sz val="10"/>
        <color rgb="FF000000"/>
        <rFont val="Arial"/>
        <family val="2"/>
      </rPr>
      <t xml:space="preserve">Cat3Conf3A_860G10_15-FHD-250n_i5-16Go-512Go
Intel core i5-1335U (4 cores - L3 cache 8M- jusqu'à 4.2 Ghz) 
</t>
    </r>
    <r>
      <rPr>
        <sz val="10"/>
        <color rgb="FF000000"/>
        <rFont val="Arial"/>
        <family val="2"/>
      </rPr>
      <t>Écran non tactile, 16" (39,6cm), FHD (1920 x 1080), 16/10, IPS Mat, 250 cd/m²
16Go 4800 SODIMM DDR5 (1x16Go)
SSD 512Go M.2 TLC
Intel Wifi6 Ax211 (2x2 antennes), Bluetooth 5.0
Clavier rétro éclairé - Sans lecteur d‘empreintes digitales et sans lecteur de cartes à puce
Camera 5MP Cache Mécanique
Batterie 3 cellules 51 Whr, HP Long Life 1000 Cycles
Chargeur 65W USB-C
FreeDOS</t>
    </r>
  </si>
  <si>
    <r>
      <rPr>
        <b/>
        <sz val="10"/>
        <color theme="1"/>
        <rFont val="Arial"/>
        <family val="2"/>
      </rPr>
      <t xml:space="preserve">Cat3conf3B_865G10_15-FHD-250n_r5-16Go-512Go
AMD Ryzen 5 PRO 7540U (6 Cores / 12 Threads, 2,3Ghz - 4,2 Ghz, L3 16MB)
</t>
    </r>
    <r>
      <rPr>
        <sz val="10"/>
        <color theme="1"/>
        <rFont val="Arial"/>
        <family val="2"/>
      </rPr>
      <t>Écran non tactile, 16" (39,6cm), FHD (1920 x 1080), 16/10, IPS Mat, 250 cd/m²
16Go 4800 SODIMM DDR5 (1x16Go)
SSD 512Go M.2 TLC
Realtek 8852CE WiFi6 ac 2x2 +BT 5 WW 
Clavier rétro éclairé - Sans lecteur d‘empreintes digitales et sans lecteur de cartes à puce
Camera 5MP Cache Mécanique
Batterie 3 cellules 51 Whr, HP Long Life 1000 Cycles
Chargeur 65W USB-C
FreeDOS</t>
    </r>
  </si>
  <si>
    <t>X360 1040 G9</t>
  </si>
  <si>
    <t>Dragonfly G3</t>
  </si>
  <si>
    <t>Ecrans 14'' (passages) - X360 1040 G9</t>
  </si>
  <si>
    <t>Loyer trimestriel HT terme à échoir</t>
  </si>
  <si>
    <t>Coefficient trimestriel</t>
  </si>
  <si>
    <t>71A04AV</t>
  </si>
  <si>
    <t>72F47AV</t>
  </si>
  <si>
    <t>71A06AV</t>
  </si>
  <si>
    <t>72F49AV</t>
  </si>
  <si>
    <t xml:space="preserve">Plateforme </t>
  </si>
  <si>
    <t>Les tarifs indiqués ci-après sont des prix plafonds et sont dégressifs selon les quantités approvisionnées sur une même commande. Le tarif indiqué correspond à un prix de transport DDP maritime. 
(le transport correspond en moyenne à 1/3 du prix).
Les prix contractuels sont les prix des devis de transport fournis par IS2.</t>
  </si>
  <si>
    <t>Guadeloupe</t>
  </si>
  <si>
    <t>Martinique</t>
  </si>
  <si>
    <t>Guyane</t>
  </si>
  <si>
    <t>Réunion</t>
  </si>
  <si>
    <t>Mayotte</t>
  </si>
  <si>
    <t>Polynésie</t>
  </si>
  <si>
    <t>Nouvelle Calédonie</t>
  </si>
  <si>
    <t>Frais Transport + Frais de Douane + Assurance</t>
  </si>
  <si>
    <t>Tarif HT avec garantie 5 ans</t>
  </si>
  <si>
    <t>Surcout HT 
en €</t>
  </si>
  <si>
    <t xml:space="preserve">  32GB (2x16GB) DDR4 3200</t>
  </si>
  <si>
    <t>Nouvelle 
Calédonie</t>
  </si>
  <si>
    <t>SERVICE de SUPPORT OPTIONNELS DROM COM</t>
  </si>
  <si>
    <t>Unités D'œuvre</t>
  </si>
  <si>
    <t>Prestations</t>
  </si>
  <si>
    <t>Références</t>
  </si>
  <si>
    <t>UO STOCKAGE</t>
  </si>
  <si>
    <t>au produit</t>
  </si>
  <si>
    <t>STO01</t>
  </si>
  <si>
    <t>à la Palette</t>
  </si>
  <si>
    <t>STO02</t>
  </si>
  <si>
    <t>UO DESTRUCTION</t>
  </si>
  <si>
    <t>au kilo</t>
  </si>
  <si>
    <t>DES01</t>
  </si>
  <si>
    <t>UO ASSISTANCE sur site</t>
  </si>
  <si>
    <t>Technicien Installation /Jour</t>
  </si>
  <si>
    <t>ASS01</t>
  </si>
  <si>
    <t>Techncien Bureautique / Jour</t>
  </si>
  <si>
    <t>ASS02</t>
  </si>
  <si>
    <t>UO DRG à l'année *</t>
  </si>
  <si>
    <t>Portable</t>
  </si>
  <si>
    <t>DRG01</t>
  </si>
  <si>
    <t>Desktop</t>
  </si>
  <si>
    <t>DRG02</t>
  </si>
  <si>
    <t>Client Léger</t>
  </si>
  <si>
    <t>DRG03</t>
  </si>
  <si>
    <t>UO BACKUP à l'année*</t>
  </si>
  <si>
    <t>BCK01</t>
  </si>
  <si>
    <t>BCK02</t>
  </si>
  <si>
    <t>BCK03</t>
  </si>
  <si>
    <t>* Pour ces options, le pourcentage est à appliquer sur le prix rendu sur le territoire du matériel concerné.</t>
  </si>
  <si>
    <t xml:space="preserve">Filtre de confidentialité HP 14 pouces pour ProBook 400 et EliteBook 600 (dalle 16:9) </t>
  </si>
  <si>
    <t xml:space="preserve">Filtre de confidentialité HP 13 pouces pour ProBook 400 et EliteBook 600 (dalle 16:9) </t>
  </si>
  <si>
    <t xml:space="preserve">Filtre de confidentialité HP 15.6 pouces pour ProBook 400 et EliteBook 600 (dalle 16:9) </t>
  </si>
  <si>
    <t xml:space="preserve">Filtre de confidentialité HP 14 pouces pour EliteBook 800 (dalle 16:10) </t>
  </si>
  <si>
    <t xml:space="preserve">Filtre de confidentialité HP 16 pouces pour EliteBook 800 (dalle 16:10) </t>
  </si>
  <si>
    <t>7M1D5AA</t>
  </si>
  <si>
    <t>74X09AV</t>
  </si>
  <si>
    <t>753B5AV</t>
  </si>
  <si>
    <t>757A9AV</t>
  </si>
  <si>
    <t>75C55AV</t>
  </si>
  <si>
    <t>75H20AV</t>
  </si>
  <si>
    <r>
      <rPr>
        <b/>
        <sz val="10"/>
        <color theme="1"/>
        <rFont val="Arial"/>
        <family val="2"/>
      </rPr>
      <t xml:space="preserve">Cat2Conf3B_655G10_14-FHD-250n_r3-16Go-256Go
AMD Ryzen 3 7330U (4 Cores / 8 Threads, 2,7Ghz - 4 Ghz, L3 8MB)
</t>
    </r>
    <r>
      <rPr>
        <sz val="10"/>
        <color theme="1"/>
        <rFont val="Arial"/>
        <family val="2"/>
      </rPr>
      <t>Écran non tactile, 15,6' (39,6 cm), FHD (1920 x 1080), 16/9, IPS Mat, 250 cd/m²
16Go 3200 SODIMM DDR4 (1x16Go)
SSD 256Go M.2 PCIe
Mediatek RZ616 Wi-Fi 6 + BT 5 WW
Clavier rétro éclairé - Sans lecteur d‘empreintes digitales et sans lecteur de cartes à puce
Camera 720p Cache Physique
Batterie 3 cellules 51 Whr, HP Long Life 1000 Cycles
Chargeur 65W USB-C
FreeDOS</t>
    </r>
  </si>
  <si>
    <r>
      <rPr>
        <b/>
        <sz val="10"/>
        <color theme="1"/>
        <rFont val="Arial"/>
        <family val="2"/>
      </rPr>
      <t xml:space="preserve">Cat2Conf3A_650G10_15-FHD-250n_i3-16Go-256Go
Intel Core i3-1315U (2 cores - jusqu'à 4,4Ghz TurboBoost, 10MB L3 cache)
</t>
    </r>
    <r>
      <rPr>
        <sz val="10"/>
        <color theme="1"/>
        <rFont val="Arial"/>
        <family val="2"/>
      </rPr>
      <t>Écran non tactile, 15,6' (39,6cm), FHD (1920 x 1080), 16/9, IPS Mat, 250 cd/m²
16Go 3200 SODIMM DDR4 (1x16Go)
SSD 256Go M.2 PCIe
Intel Wifi6 Ax211 (2x2 antennes), Bluetooth 5.0
Clavier rétro éclairé - Sans lecteur d‘empreintes digitales et sans lecteur de cartes à puce
Camera 720p Cache Physique
Batterie 3 cellules 51 Whr, HP Long Life 1000 Cycles
Chargeur 65W USB-C
FreeDOS</t>
    </r>
  </si>
  <si>
    <r>
      <rPr>
        <b/>
        <sz val="10"/>
        <color theme="1"/>
        <rFont val="Arial"/>
        <family val="2"/>
      </rPr>
      <t xml:space="preserve">Cat2Conf2B_645G10_14-FHD-250n_r3-16Go-256Go
AMD Ryzen 3 7330U (4 Cores / 8 Threads, 2,7Ghz - 4 Ghz, L3 8MB)
</t>
    </r>
    <r>
      <rPr>
        <sz val="10"/>
        <color theme="1"/>
        <rFont val="Arial"/>
        <family val="2"/>
      </rPr>
      <t>Écran non tactile, 14' (35,56 cm), FHD (1920 x 1080), 16/9, IPS Mat, 250 cd/m²
16Go 3200 SODIMM DDR4 (1x16Go)
SSD 256Go M.2 PCIe
Mediatek RZ616 Wi-Fi 6 + BT 5 WW
Clavier rétro éclairé - Sans lecteur d‘empreintes digitales et sans lecteur de cartes à puce
Camera 720p Cache Physique
Batterie 3 cellules 51 Whr, HP Long Life 1000 Cycles
Chargeur 65W USB-C
FreeDOS</t>
    </r>
  </si>
  <si>
    <r>
      <rPr>
        <b/>
        <sz val="10"/>
        <color theme="1"/>
        <rFont val="Arial"/>
        <family val="2"/>
      </rPr>
      <t xml:space="preserve">Cat2Conf2A_640G10_14-FHD-250n_i3-16Go-256Go
Intel Core i3-1315U (2 cores - jusqu'à 4,4Ghz TurboBoost, 10MB L3 cache)
</t>
    </r>
    <r>
      <rPr>
        <sz val="10"/>
        <color theme="1"/>
        <rFont val="Arial"/>
        <family val="2"/>
      </rPr>
      <t>Écran non tactile, 14' (35,56 cm), FHD (1920 x 1080), 16/9, IPS Mat, 250 cd/m²
16Go 3200 SODIMM DDR4 (1x16Go)
SSD 256Go M.2 PCIe
Intel Wifi6 Ax211 (2x2 antennes), Bluetooth 5.0
Clavier rétro éclairé - Sans lecteur d‘empreintes digitales et sans lecteur de cartes à puce
Camera 720p Cache Physique
Batterie 3 cellules 51 Whr, HP Long Life 1000 Cycles
Chargeur 65W USB-C
FreeDOS</t>
    </r>
  </si>
  <si>
    <r>
      <rPr>
        <b/>
        <sz val="10"/>
        <color theme="1"/>
        <rFont val="Arial"/>
        <family val="2"/>
      </rPr>
      <t xml:space="preserve">Cat2Conf1A_630G10_13-FHD-250n_i3-16Go-256Go
Intel Core i3-1315U (2 cores - jusqu'à 4,4Ghz TurboBoost, 10MB L3 cache)
</t>
    </r>
    <r>
      <rPr>
        <sz val="10"/>
        <color theme="1"/>
        <rFont val="Arial"/>
        <family val="2"/>
      </rPr>
      <t>Écran non tactile, 13,3" (33,8cm), FHD (1920 x 1080), 16/9, IPS Mat, 250 cd/m²
16Go 3200 SODIMM DDR4 (1x16Go)
SSD 256Go M.2 PCIe
Intel Wifi6 Ax211 (2x2 antennes), Bluetooth 5.0
Clavier rétro éclairé - Sans lecteur d‘empreintes digitales et sans lecteur de cartes à puce
Camera 720p Cache Mécanique
Batterie 3 cellules 51 Whr, HP Long Life 1000 Cycles
Chargeur 65W USB-C
FreeDOS</t>
    </r>
  </si>
  <si>
    <r>
      <t>Cat1Conf3B_X360435G10_13-FHD-250n_r3-8Go-256Go
AMD Ryzen 3 7330U (4 Cores / 8 Threads, 2,7Ghz - 4 Ghz, L3 8MB)
Écran tactile, 13,3" (33,8cm), FHD (1920 x 1080), 16/9, IPS Mat, 250 cd/m²</t>
    </r>
    <r>
      <rPr>
        <sz val="10"/>
        <color theme="1"/>
        <rFont val="Arial"/>
        <family val="2"/>
      </rPr>
      <t xml:space="preserve">
8Go 3200 SODIMM DDR4 (1x8Go)
SSD 256Go M.2 PCIe
Mediatek RZ616 Wi-Fi 6 + BT 5 WW
Clavier rétro éclairé - Sans lecteur d‘empreintes digitales et sans lecteur de cartes à puce
Camera 720p Cache Mécanique
Batterie 3 cellules 51 Whr, HP Long Life 1000 Cycles
Chargeur 65W USB-C
FreeDOS</t>
    </r>
  </si>
  <si>
    <t>HP 425 Programmable Wireless</t>
  </si>
  <si>
    <t>76J13AA</t>
  </si>
  <si>
    <t>Sync 40-M usb A</t>
  </si>
  <si>
    <t>76J21AA</t>
  </si>
  <si>
    <t>76U48AA</t>
  </si>
  <si>
    <t>76U49AA</t>
  </si>
  <si>
    <t>77Z00AA</t>
  </si>
  <si>
    <t>77Y85AA</t>
  </si>
  <si>
    <t>77Y87AA</t>
  </si>
  <si>
    <t>V11</t>
  </si>
  <si>
    <t>Chargement de l'image Linux Ubuntu 22.04</t>
  </si>
  <si>
    <t xml:space="preserve">Chargement de l'image Linux Ubuntu version 22.04 pour les plateformes certifiées </t>
  </si>
  <si>
    <t>HP 7y NextBusDay Onsite NB Only SVC</t>
  </si>
  <si>
    <t>Haut-parleur Poly intelligent Bluetooth - Sync 40-M usb A</t>
  </si>
  <si>
    <t>772C8AA</t>
  </si>
  <si>
    <t>Service de chargement et modification d’image PC</t>
  </si>
  <si>
    <t>HP Imaging Service</t>
  </si>
  <si>
    <t>AY307AV</t>
  </si>
  <si>
    <t>Service de construction et chargement d’image PC</t>
  </si>
  <si>
    <t>HP Advanced Imaging Service</t>
  </si>
  <si>
    <t>AY802AV</t>
  </si>
  <si>
    <t>Application &amp; Package Installation Service</t>
  </si>
  <si>
    <t>AY709AV</t>
  </si>
  <si>
    <t>Service d'intégration de produits dans le PC</t>
  </si>
  <si>
    <t xml:space="preserve">Hardware Integration and Management Service </t>
  </si>
  <si>
    <t>AY225AV</t>
  </si>
  <si>
    <t>AY158AV</t>
  </si>
  <si>
    <t>77P35AA</t>
  </si>
  <si>
    <t xml:space="preserve">Passage en garantie 7 ans sur site J+1 </t>
  </si>
  <si>
    <t xml:space="preserve">AY802AV </t>
  </si>
  <si>
    <t>9U401E3</t>
  </si>
  <si>
    <t xml:space="preserve">Mobilis HP 16.0 NB Privacy Filter </t>
  </si>
  <si>
    <t>9U403E3</t>
  </si>
  <si>
    <t>9U404E3</t>
  </si>
  <si>
    <t>9U402E3</t>
  </si>
  <si>
    <t xml:space="preserve">Filtre de confidentialité HP 13 pouces pour EliteBook 800 (dalle 16:10) </t>
  </si>
  <si>
    <t>14 pouces 80€
15 pouces 89€</t>
  </si>
  <si>
    <t xml:space="preserve">13.3 pouces 89€
</t>
  </si>
  <si>
    <t>114€ 1B
109€ 2B</t>
  </si>
  <si>
    <t>131 € 2B/3B</t>
  </si>
  <si>
    <t>13.3 pouces 45€
14 pouces 69€
15 pouces 74€</t>
  </si>
  <si>
    <t xml:space="preserve">13.3 pouces 56€
14 pouces 114€
</t>
  </si>
  <si>
    <t>13.3 pouces 35€
14 pouces 69€
16 pouces 74€ Intel / 80€ AMD</t>
  </si>
  <si>
    <t>13.3 pouces 89€
14 pouces 114€
16 pouces 147€</t>
  </si>
  <si>
    <t xml:space="preserve">
14 pouces 101€</t>
  </si>
  <si>
    <t>13.5 pouces 56€
14 pouces 45€</t>
  </si>
  <si>
    <t>119€ (avec 16GB)
243€ (avec 32GB)</t>
  </si>
  <si>
    <t xml:space="preserve">Hausse de prix contractuelle 2,5% hors logiciels, garanties et services
Ajout de l'option NFC pour les modèles 600 
Retrait des 2 SKUs Linux - Ajout du service usine pour les plateformes certifiées dans l'onglet "extensions communes" 
Ajout dans le configurateur l'option 7 ans et 7 ans DMR dans les configurations de base 5 ans - Retrait des configurations 7 ans 
Retrait et remplacement des références écrans et accessoires fin de vie 
Ajout des filtres de confidentialité plastiques 
Retrait Windows 11 Pro Downgrade le 29 février 2024 - fin de vie </t>
  </si>
  <si>
    <t>Mobilis HP 14.0 NB Privacy Filter</t>
  </si>
  <si>
    <t xml:space="preserve">Mobilis HP 13.3 NB Privacy Filter </t>
  </si>
  <si>
    <r>
      <t>Système d'exploitation Windows 11 Professionnel Downgrade Win 10 Pro (à commander obligatoirement avec la machine. OS OEM) -</t>
    </r>
    <r>
      <rPr>
        <b/>
        <sz val="10"/>
        <color rgb="FF000000"/>
        <rFont val="Arial"/>
        <family val="2"/>
      </rPr>
      <t xml:space="preserve"> Retrait </t>
    </r>
    <r>
      <rPr>
        <b/>
        <sz val="10"/>
        <rFont val="Arial"/>
        <family val="2"/>
      </rPr>
      <t>Winsows</t>
    </r>
    <r>
      <rPr>
        <b/>
        <sz val="10"/>
        <color rgb="FF000000"/>
        <rFont val="Arial"/>
        <family val="2"/>
      </rPr>
      <t xml:space="preserve"> 11 Pro Downgrade le 29 février 2024 - fin de vie </t>
    </r>
  </si>
  <si>
    <t>U73VQB</t>
  </si>
  <si>
    <t>U73VMB</t>
  </si>
  <si>
    <t>U73VRB</t>
  </si>
  <si>
    <t>U73VNB</t>
  </si>
  <si>
    <t>U73VYB / U06T9B</t>
  </si>
  <si>
    <t>U73VWB / U06T9B</t>
  </si>
  <si>
    <t>U73VZB /U06T9B</t>
  </si>
  <si>
    <t>U73VXB / U06TCB</t>
  </si>
  <si>
    <t>U73VWB / U06TCB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</si>
</sst>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6" formatCode="#,##0\ &quot;€&quot;;[Red]\-#,##0\ &quot;€&quot;"/>
    <numFmt numFmtId="44" formatCode="_-* #,##0.00\ &quot;€&quot;_-;\-* #,##0.00\ &quot;€&quot;_-;_-* &quot;-&quot;??\ &quot;€&quot;_-;_-@_-"/>
    <numFmt numFmtId="164" formatCode="_-* #,##0.00_-;\-* #,##0.00_-;_-* &quot;-&quot;??_-;_-@_-"/>
    <numFmt numFmtId="165" formatCode="_(&quot;$&quot;* #,##0.00_);_(&quot;$&quot;* \(#,##0.00\);_(&quot;$&quot;* &quot;-&quot;??_);_(@_)"/>
    <numFmt numFmtId="166" formatCode="_(* #,##0.00_);_(* \(#,##0.00\);_(* &quot;-&quot;??_);_(@_)"/>
    <numFmt numFmtId="167" formatCode="dd/mm/yy;@"/>
    <numFmt numFmtId="168" formatCode="0.000%"/>
    <numFmt numFmtId="169" formatCode="0.0000"/>
    <numFmt numFmtId="170" formatCode="#,##0.00\ [$€-40C]"/>
    <numFmt numFmtId="171" formatCode="_-* #,##0.00\ [$€-40C]_-;\-* #,##0.00\ [$€-40C]_-;_-* &quot;-&quot;??\ [$€-40C]_-;_-@_-"/>
    <numFmt numFmtId="172" formatCode="_-* #,##0\ &quot;€&quot;_-;\-* #,##0\ &quot;€&quot;_-;_-* &quot;-&quot;??\ &quot;€&quot;_-;_-@_-"/>
    <numFmt numFmtId="173" formatCode="_-* #,##0.00000\ [$€-40C]_-;\-* #,##0.00000\ [$€-40C]_-;_-* &quot;-&quot;??\ [$€-40C]_-;_-@_-"/>
    <numFmt numFmtId="174" formatCode="_(&quot;€&quot;* #,##0.00_);_(&quot;€&quot;* \(#,##0.00\);_(&quot;€&quot;* &quot;-&quot;??_);_(@_)"/>
    <numFmt numFmtId="175" formatCode="[$$-409]#,##0.00;[Red]\-[$$-409]#,##0.00"/>
    <numFmt numFmtId="176" formatCode="#,##0\ [$€-1];[Red]\-#,##0\ [$€-1]"/>
  </numFmts>
  <fonts count="61">
    <font>
      <sz val="11"/>
      <color theme="1"/>
      <name val="Calibri"/>
      <family val="2"/>
      <scheme val="minor"/>
    </font>
    <font>
      <sz val="11"/>
      <color theme="1"/>
      <name val="Calibri"/>
      <family val="2"/>
      <scheme val="minor"/>
    </font>
    <font>
      <sz val="11"/>
      <color theme="1"/>
      <name val="Arial"/>
      <family val="2"/>
    </font>
    <font>
      <b/>
      <sz val="10"/>
      <name val="Arial"/>
      <family val="2"/>
    </font>
    <font>
      <b/>
      <sz val="16"/>
      <color indexed="12"/>
      <name val="Arial"/>
      <family val="2"/>
    </font>
    <font>
      <sz val="10"/>
      <color theme="1"/>
      <name val="Arial"/>
      <family val="2"/>
    </font>
    <font>
      <sz val="10"/>
      <name val="Arial"/>
      <family val="2"/>
    </font>
    <font>
      <b/>
      <sz val="16"/>
      <name val="Arial"/>
      <family val="2"/>
    </font>
    <font>
      <b/>
      <sz val="10"/>
      <color theme="1"/>
      <name val="Arial"/>
      <family val="2"/>
    </font>
    <font>
      <b/>
      <sz val="12"/>
      <color rgb="FF000000"/>
      <name val="Arial"/>
      <family val="2"/>
    </font>
    <font>
      <b/>
      <sz val="10"/>
      <color indexed="64"/>
      <name val="Arial"/>
      <family val="2"/>
    </font>
    <font>
      <sz val="10"/>
      <color indexed="64"/>
      <name val="Arial"/>
      <family val="2"/>
    </font>
    <font>
      <sz val="10"/>
      <color rgb="FF000000"/>
      <name val="Arial"/>
      <family val="2"/>
    </font>
    <font>
      <sz val="10"/>
      <color rgb="FFFF0000"/>
      <name val="Arial"/>
      <family val="2"/>
    </font>
    <font>
      <b/>
      <sz val="10"/>
      <color indexed="12"/>
      <name val="Arial"/>
      <family val="2"/>
    </font>
    <font>
      <sz val="11"/>
      <color rgb="FF9C6500"/>
      <name val="Calibri"/>
      <family val="2"/>
      <scheme val="minor"/>
    </font>
    <font>
      <b/>
      <sz val="10"/>
      <color rgb="FF000000"/>
      <name val="Arial"/>
      <family val="2"/>
    </font>
    <font>
      <b/>
      <sz val="10"/>
      <color theme="0"/>
      <name val="Arial"/>
      <family val="2"/>
    </font>
    <font>
      <b/>
      <sz val="10"/>
      <color rgb="FF00B0F0"/>
      <name val="Arial"/>
      <family val="2"/>
    </font>
    <font>
      <sz val="10"/>
      <color rgb="FF9C6500"/>
      <name val="Arial"/>
      <family val="2"/>
    </font>
    <font>
      <b/>
      <sz val="12"/>
      <color indexed="12"/>
      <name val="Arial"/>
      <family val="2"/>
    </font>
    <font>
      <sz val="28"/>
      <color theme="1"/>
      <name val="Calibri"/>
      <family val="2"/>
      <scheme val="minor"/>
    </font>
    <font>
      <sz val="8"/>
      <name val="Calibri"/>
      <family val="2"/>
      <scheme val="minor"/>
    </font>
    <font>
      <sz val="10"/>
      <color theme="1"/>
      <name val="Calibri"/>
      <family val="2"/>
      <scheme val="minor"/>
    </font>
    <font>
      <b/>
      <sz val="11"/>
      <color theme="1"/>
      <name val="Arial"/>
      <family val="2"/>
    </font>
    <font>
      <sz val="10"/>
      <color rgb="FF000000"/>
      <name val="Times New Roman"/>
      <family val="1"/>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2"/>
      <name val="Times New Roman"/>
      <family val="1"/>
    </font>
    <font>
      <b/>
      <sz val="18"/>
      <color indexed="56"/>
      <name val="Cambria"/>
      <family val="2"/>
    </font>
    <font>
      <b/>
      <sz val="11"/>
      <color indexed="8"/>
      <name val="Calibri"/>
      <family val="2"/>
    </font>
    <font>
      <sz val="11"/>
      <color indexed="10"/>
      <name val="Calibri"/>
      <family val="2"/>
    </font>
    <font>
      <sz val="11"/>
      <color rgb="FFC00000"/>
      <name val="Arial"/>
      <family val="2"/>
    </font>
    <font>
      <sz val="18"/>
      <color theme="3"/>
      <name val="Calibri Light"/>
      <family val="2"/>
      <scheme val="major"/>
    </font>
    <font>
      <sz val="11"/>
      <color rgb="FF3F3F76"/>
      <name val="Calibri"/>
      <family val="2"/>
      <scheme val="minor"/>
    </font>
    <font>
      <sz val="11"/>
      <color indexed="64"/>
      <name val="Calibri"/>
      <family val="2"/>
    </font>
    <font>
      <sz val="11"/>
      <color indexed="65"/>
      <name val="Calibri"/>
      <family val="2"/>
    </font>
    <font>
      <u/>
      <sz val="10"/>
      <color theme="10"/>
      <name val="Arial"/>
      <family val="2"/>
    </font>
    <font>
      <u/>
      <sz val="10"/>
      <color indexed="4"/>
      <name val="Arial"/>
      <family val="2"/>
    </font>
    <font>
      <b/>
      <sz val="18"/>
      <color indexed="56"/>
      <name val="Cambria"/>
      <family val="1"/>
    </font>
    <font>
      <b/>
      <sz val="11"/>
      <color indexed="65"/>
      <name val="Calibri"/>
      <family val="2"/>
    </font>
    <font>
      <sz val="11"/>
      <name val="Arial"/>
      <family val="2"/>
    </font>
    <font>
      <sz val="11"/>
      <name val="Calibri"/>
      <family val="2"/>
      <scheme val="minor"/>
    </font>
    <font>
      <sz val="11"/>
      <name val="HP Simplified Light"/>
      <family val="2"/>
    </font>
    <font>
      <sz val="9"/>
      <name val="Arial"/>
      <family val="2"/>
    </font>
    <font>
      <b/>
      <sz val="12"/>
      <name val="HP Simplified Light"/>
      <family val="2"/>
    </font>
    <font>
      <b/>
      <sz val="11"/>
      <name val="HP Simplified Light"/>
      <family val="2"/>
    </font>
  </fonts>
  <fills count="70">
    <fill>
      <patternFill patternType="none"/>
    </fill>
    <fill>
      <patternFill patternType="gray125"/>
    </fill>
    <fill>
      <patternFill patternType="solid">
        <fgColor rgb="FFFFEB9C"/>
      </patternFill>
    </fill>
    <fill>
      <patternFill patternType="solid">
        <fgColor theme="8" tint="-0.249977111117893"/>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bgColor indexed="64"/>
      </patternFill>
    </fill>
    <fill>
      <patternFill patternType="solid">
        <fgColor theme="7" tint="0.59999389629810485"/>
        <bgColor indexed="13"/>
      </patternFill>
    </fill>
    <fill>
      <patternFill patternType="solid">
        <fgColor theme="7" tint="0.59999389629810485"/>
        <bgColor indexed="22"/>
      </patternFill>
    </fill>
    <fill>
      <patternFill patternType="solid">
        <fgColor theme="7" tint="0.59999389629810485"/>
        <bgColor indexed="64"/>
      </patternFill>
    </fill>
    <fill>
      <patternFill patternType="solid">
        <fgColor rgb="FFD8D8D8"/>
        <bgColor indexed="64"/>
      </patternFill>
    </fill>
    <fill>
      <patternFill patternType="solid">
        <fgColor theme="8" tint="0.59999389629810485"/>
        <bgColor indexed="13"/>
      </patternFill>
    </fill>
    <fill>
      <patternFill patternType="solid">
        <fgColor theme="8" tint="0.59999389629810485"/>
        <bgColor indexed="22"/>
      </patternFill>
    </fill>
    <fill>
      <patternFill patternType="solid">
        <fgColor theme="8" tint="0.59999389629810485"/>
        <bgColor indexed="64"/>
      </patternFill>
    </fill>
    <fill>
      <patternFill patternType="solid">
        <fgColor theme="9" tint="0.59999389629810485"/>
        <bgColor indexed="13"/>
      </patternFill>
    </fill>
    <fill>
      <patternFill patternType="solid">
        <fgColor theme="9" tint="0.59999389629810485"/>
        <bgColor indexed="22"/>
      </patternFill>
    </fill>
    <fill>
      <patternFill patternType="solid">
        <fgColor theme="9" tint="0.59999389629810485"/>
        <bgColor indexed="64"/>
      </patternFill>
    </fill>
    <fill>
      <patternFill patternType="solid">
        <fgColor theme="5" tint="0.59999389629810485"/>
        <bgColor indexed="13"/>
      </patternFill>
    </fill>
    <fill>
      <patternFill patternType="solid">
        <fgColor theme="5" tint="0.59999389629810485"/>
        <bgColor indexed="22"/>
      </patternFill>
    </fill>
    <fill>
      <patternFill patternType="solid">
        <fgColor theme="5" tint="0.59999389629810485"/>
        <bgColor indexed="64"/>
      </patternFill>
    </fill>
    <fill>
      <patternFill patternType="solid">
        <fgColor rgb="FFFFFFFF"/>
        <bgColor indexed="64"/>
      </patternFill>
    </fill>
    <fill>
      <patternFill patternType="solid">
        <fgColor rgb="FFFFFFFF"/>
        <bgColor rgb="FFFFFFFF"/>
      </patternFill>
    </fill>
    <fill>
      <patternFill patternType="solid">
        <fgColor theme="4" tint="0.79998168889431442"/>
        <bgColor indexed="64"/>
      </patternFill>
    </fill>
    <fill>
      <patternFill patternType="solid">
        <fgColor rgb="FF00B0F0"/>
        <bgColor indexed="64"/>
      </patternFill>
    </fill>
    <fill>
      <patternFill patternType="solid">
        <fgColor rgb="FFDDEBF7"/>
        <bgColor indexed="64"/>
      </patternFill>
    </fill>
    <fill>
      <patternFill patternType="solid">
        <fgColor rgb="FFFFFF00"/>
        <bgColor indexed="64"/>
      </patternFill>
    </fill>
    <fill>
      <patternFill patternType="solid">
        <fgColor theme="0"/>
        <bgColor rgb="FFFFFFFF"/>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14996795556505021"/>
        <bgColor indexed="64"/>
      </patternFill>
    </fill>
    <fill>
      <patternFill patternType="solid">
        <fgColor indexed="31"/>
        <bgColor indexed="31"/>
      </patternFill>
    </fill>
    <fill>
      <patternFill patternType="solid">
        <fgColor indexed="45"/>
        <bgColor indexed="45"/>
      </patternFill>
    </fill>
    <fill>
      <patternFill patternType="solid">
        <fgColor indexed="42"/>
        <bgColor indexed="42"/>
      </patternFill>
    </fill>
    <fill>
      <patternFill patternType="solid">
        <fgColor indexed="46"/>
        <bgColor indexed="46"/>
      </patternFill>
    </fill>
    <fill>
      <patternFill patternType="solid">
        <fgColor indexed="27"/>
        <bgColor indexed="27"/>
      </patternFill>
    </fill>
    <fill>
      <patternFill patternType="solid">
        <fgColor indexed="47"/>
        <bgColor indexed="47"/>
      </patternFill>
    </fill>
    <fill>
      <patternFill patternType="solid">
        <fgColor indexed="44"/>
        <bgColor indexed="44"/>
      </patternFill>
    </fill>
    <fill>
      <patternFill patternType="solid">
        <fgColor indexed="29"/>
        <bgColor indexed="29"/>
      </patternFill>
    </fill>
    <fill>
      <patternFill patternType="solid">
        <fgColor indexed="3"/>
        <bgColor indexed="3"/>
      </patternFill>
    </fill>
    <fill>
      <patternFill patternType="solid">
        <fgColor indexed="51"/>
        <bgColor indexed="51"/>
      </patternFill>
    </fill>
    <fill>
      <patternFill patternType="solid">
        <fgColor indexed="30"/>
        <bgColor indexed="30"/>
      </patternFill>
    </fill>
    <fill>
      <patternFill patternType="solid">
        <fgColor indexed="20"/>
        <bgColor indexed="20"/>
      </patternFill>
    </fill>
    <fill>
      <patternFill patternType="solid">
        <fgColor indexed="49"/>
        <bgColor indexed="49"/>
      </patternFill>
    </fill>
    <fill>
      <patternFill patternType="solid">
        <fgColor indexed="52"/>
        <bgColor indexed="52"/>
      </patternFill>
    </fill>
    <fill>
      <patternFill patternType="solid">
        <fgColor indexed="62"/>
        <bgColor indexed="62"/>
      </patternFill>
    </fill>
    <fill>
      <patternFill patternType="solid">
        <fgColor indexed="2"/>
        <bgColor indexed="2"/>
      </patternFill>
    </fill>
    <fill>
      <patternFill patternType="solid">
        <fgColor indexed="57"/>
        <bgColor indexed="57"/>
      </patternFill>
    </fill>
    <fill>
      <patternFill patternType="solid">
        <fgColor indexed="53"/>
        <bgColor indexed="53"/>
      </patternFill>
    </fill>
    <fill>
      <patternFill patternType="solid">
        <fgColor indexed="22"/>
        <bgColor indexed="22"/>
      </patternFill>
    </fill>
    <fill>
      <patternFill patternType="solid">
        <fgColor indexed="43"/>
        <bgColor indexed="43"/>
      </patternFill>
    </fill>
  </fills>
  <borders count="3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D3D3D3"/>
      </left>
      <right style="thin">
        <color rgb="FFD3D3D3"/>
      </right>
      <top/>
      <bottom style="thin">
        <color rgb="FFD3D3D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top style="thin">
        <color indexed="64"/>
      </top>
      <bottom style="thin">
        <color theme="4" tint="0.39997558519241921"/>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top style="thin">
        <color indexed="64"/>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7F7F7F"/>
      </left>
      <right style="thin">
        <color rgb="FF7F7F7F"/>
      </right>
      <top style="thin">
        <color rgb="FF7F7F7F"/>
      </top>
      <bottom style="thin">
        <color rgb="FF7F7F7F"/>
      </bottom>
      <diagonal/>
    </border>
  </borders>
  <cellStyleXfs count="275">
    <xf numFmtId="0" fontId="0" fillId="0" borderId="0"/>
    <xf numFmtId="9" fontId="1" fillId="0" borderId="0" applyFont="0" applyFill="0" applyBorder="0" applyAlignment="0" applyProtection="0"/>
    <xf numFmtId="0" fontId="6" fillId="0" borderId="0"/>
    <xf numFmtId="0" fontId="5" fillId="0" borderId="0"/>
    <xf numFmtId="0" fontId="15" fillId="2" borderId="0" applyNumberFormat="0" applyBorder="0" applyAlignment="0" applyProtection="0"/>
    <xf numFmtId="0" fontId="15" fillId="2" borderId="0" applyNumberFormat="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25" fillId="0" borderId="0"/>
    <xf numFmtId="0" fontId="26" fillId="0" borderId="0"/>
    <xf numFmtId="0" fontId="6" fillId="0" borderId="0"/>
    <xf numFmtId="0" fontId="6" fillId="0" borderId="0"/>
    <xf numFmtId="0" fontId="6" fillId="0" borderId="0"/>
    <xf numFmtId="0" fontId="6" fillId="0" borderId="0"/>
    <xf numFmtId="0" fontId="6" fillId="0" borderId="0"/>
    <xf numFmtId="0" fontId="27" fillId="27"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8" borderId="0" applyNumberFormat="0" applyBorder="0" applyAlignment="0" applyProtection="0"/>
    <xf numFmtId="0" fontId="27" fillId="29" borderId="0" applyNumberFormat="0" applyBorder="0" applyAlignment="0" applyProtection="0"/>
    <xf numFmtId="0" fontId="27" fillId="29"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27" fillId="30" borderId="0" applyNumberFormat="0" applyBorder="0" applyAlignment="0" applyProtection="0"/>
    <xf numFmtId="0" fontId="27" fillId="30" borderId="0" applyNumberFormat="0" applyBorder="0" applyAlignment="0" applyProtection="0"/>
    <xf numFmtId="0" fontId="27" fillId="31" borderId="0" applyNumberFormat="0" applyBorder="0" applyAlignment="0" applyProtection="0"/>
    <xf numFmtId="0" fontId="27" fillId="31" borderId="0" applyNumberFormat="0" applyBorder="0" applyAlignment="0" applyProtection="0"/>
    <xf numFmtId="0" fontId="27" fillId="31" borderId="0" applyNumberFormat="0" applyBorder="0" applyAlignment="0" applyProtection="0"/>
    <xf numFmtId="0" fontId="27" fillId="32" borderId="0" applyNumberFormat="0" applyBorder="0" applyAlignment="0" applyProtection="0"/>
    <xf numFmtId="0" fontId="27" fillId="32" borderId="0" applyNumberFormat="0" applyBorder="0" applyAlignment="0" applyProtection="0"/>
    <xf numFmtId="0" fontId="27" fillId="32"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4" borderId="0" applyNumberFormat="0" applyBorder="0" applyAlignment="0" applyProtection="0"/>
    <xf numFmtId="0" fontId="27" fillId="34" borderId="0" applyNumberFormat="0" applyBorder="0" applyAlignment="0" applyProtection="0"/>
    <xf numFmtId="0" fontId="27" fillId="34"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0" borderId="0" applyNumberFormat="0" applyBorder="0" applyAlignment="0" applyProtection="0"/>
    <xf numFmtId="0" fontId="27" fillId="30" borderId="0" applyNumberFormat="0" applyBorder="0" applyAlignment="0" applyProtection="0"/>
    <xf numFmtId="0" fontId="27" fillId="30"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3"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8" fillId="37" borderId="0" applyNumberFormat="0" applyBorder="0" applyAlignment="0" applyProtection="0"/>
    <xf numFmtId="0" fontId="28" fillId="37" borderId="0" applyNumberFormat="0" applyBorder="0" applyAlignment="0" applyProtection="0"/>
    <xf numFmtId="0" fontId="28" fillId="37" borderId="0" applyNumberFormat="0" applyBorder="0" applyAlignment="0" applyProtection="0"/>
    <xf numFmtId="0" fontId="28" fillId="34" borderId="0" applyNumberFormat="0" applyBorder="0" applyAlignment="0" applyProtection="0"/>
    <xf numFmtId="0" fontId="28" fillId="34" borderId="0" applyNumberFormat="0" applyBorder="0" applyAlignment="0" applyProtection="0"/>
    <xf numFmtId="0" fontId="28" fillId="34" borderId="0" applyNumberFormat="0" applyBorder="0" applyAlignment="0" applyProtection="0"/>
    <xf numFmtId="0" fontId="28" fillId="35" borderId="0" applyNumberFormat="0" applyBorder="0" applyAlignment="0" applyProtection="0"/>
    <xf numFmtId="0" fontId="28" fillId="35" borderId="0" applyNumberFormat="0" applyBorder="0" applyAlignment="0" applyProtection="0"/>
    <xf numFmtId="0" fontId="28" fillId="35" borderId="0" applyNumberFormat="0" applyBorder="0" applyAlignment="0" applyProtection="0"/>
    <xf numFmtId="0" fontId="28" fillId="38" borderId="0" applyNumberFormat="0" applyBorder="0" applyAlignment="0" applyProtection="0"/>
    <xf numFmtId="0" fontId="28" fillId="38"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39"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0" borderId="0" applyNumberFormat="0" applyBorder="0" applyAlignment="0" applyProtection="0"/>
    <xf numFmtId="0" fontId="28" fillId="40" borderId="0" applyNumberFormat="0" applyBorder="0" applyAlignment="0" applyProtection="0"/>
    <xf numFmtId="0" fontId="28" fillId="41" borderId="0" applyNumberFormat="0" applyBorder="0" applyAlignment="0" applyProtection="0"/>
    <xf numFmtId="0" fontId="28" fillId="41" borderId="0" applyNumberFormat="0" applyBorder="0" applyAlignment="0" applyProtection="0"/>
    <xf numFmtId="0" fontId="28" fillId="41" borderId="0" applyNumberFormat="0" applyBorder="0" applyAlignment="0" applyProtection="0"/>
    <xf numFmtId="0" fontId="28" fillId="42" borderId="0" applyNumberFormat="0" applyBorder="0" applyAlignment="0" applyProtection="0"/>
    <xf numFmtId="0" fontId="28" fillId="42"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38" borderId="0" applyNumberFormat="0" applyBorder="0" applyAlignment="0" applyProtection="0"/>
    <xf numFmtId="0" fontId="28" fillId="38"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39" borderId="0" applyNumberFormat="0" applyBorder="0" applyAlignment="0" applyProtection="0"/>
    <xf numFmtId="0" fontId="28" fillId="39"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9" fillId="28" borderId="0" applyNumberFormat="0" applyBorder="0" applyAlignment="0" applyProtection="0"/>
    <xf numFmtId="0" fontId="29" fillId="28" borderId="0" applyNumberFormat="0" applyBorder="0" applyAlignment="0" applyProtection="0"/>
    <xf numFmtId="0" fontId="29" fillId="28" borderId="0" applyNumberFormat="0" applyBorder="0" applyAlignment="0" applyProtection="0"/>
    <xf numFmtId="0" fontId="30" fillId="45" borderId="26" applyNumberFormat="0" applyAlignment="0" applyProtection="0"/>
    <xf numFmtId="0" fontId="30" fillId="45" borderId="26" applyNumberFormat="0" applyAlignment="0" applyProtection="0"/>
    <xf numFmtId="0" fontId="30" fillId="45" borderId="26" applyNumberFormat="0" applyAlignment="0" applyProtection="0"/>
    <xf numFmtId="0" fontId="31" fillId="46" borderId="27" applyNumberFormat="0" applyAlignment="0" applyProtection="0"/>
    <xf numFmtId="0" fontId="31" fillId="46" borderId="27" applyNumberFormat="0" applyAlignment="0" applyProtection="0"/>
    <xf numFmtId="0" fontId="31" fillId="46" borderId="27" applyNumberFormat="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3" fillId="29" borderId="0" applyNumberFormat="0" applyBorder="0" applyAlignment="0" applyProtection="0"/>
    <xf numFmtId="0" fontId="33" fillId="29" borderId="0" applyNumberFormat="0" applyBorder="0" applyAlignment="0" applyProtection="0"/>
    <xf numFmtId="0" fontId="33" fillId="29" borderId="0" applyNumberFormat="0" applyBorder="0" applyAlignment="0" applyProtection="0"/>
    <xf numFmtId="0" fontId="34" fillId="0" borderId="28" applyNumberFormat="0" applyFill="0" applyAlignment="0" applyProtection="0"/>
    <xf numFmtId="0" fontId="34" fillId="0" borderId="28" applyNumberFormat="0" applyFill="0" applyAlignment="0" applyProtection="0"/>
    <xf numFmtId="0" fontId="34" fillId="0" borderId="28" applyNumberFormat="0" applyFill="0" applyAlignment="0" applyProtection="0"/>
    <xf numFmtId="0" fontId="35" fillId="0" borderId="29" applyNumberFormat="0" applyFill="0" applyAlignment="0" applyProtection="0"/>
    <xf numFmtId="0" fontId="35" fillId="0" borderId="29" applyNumberFormat="0" applyFill="0" applyAlignment="0" applyProtection="0"/>
    <xf numFmtId="0" fontId="35" fillId="0" borderId="29" applyNumberFormat="0" applyFill="0" applyAlignment="0" applyProtection="0"/>
    <xf numFmtId="0" fontId="36" fillId="0" borderId="30" applyNumberFormat="0" applyFill="0" applyAlignment="0" applyProtection="0"/>
    <xf numFmtId="0" fontId="36" fillId="0" borderId="30" applyNumberFormat="0" applyFill="0" applyAlignment="0" applyProtection="0"/>
    <xf numFmtId="0" fontId="36" fillId="0" borderId="30" applyNumberFormat="0" applyFill="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38" fillId="32" borderId="26" applyNumberFormat="0" applyAlignment="0" applyProtection="0"/>
    <xf numFmtId="0" fontId="38" fillId="32" borderId="26" applyNumberFormat="0" applyAlignment="0" applyProtection="0"/>
    <xf numFmtId="0" fontId="38" fillId="32" borderId="26" applyNumberFormat="0" applyAlignment="0" applyProtection="0"/>
    <xf numFmtId="0" fontId="39" fillId="0" borderId="31" applyNumberFormat="0" applyFill="0" applyAlignment="0" applyProtection="0"/>
    <xf numFmtId="0" fontId="39" fillId="0" borderId="31" applyNumberFormat="0" applyFill="0" applyAlignment="0" applyProtection="0"/>
    <xf numFmtId="0" fontId="39" fillId="0" borderId="31" applyNumberFormat="0" applyFill="0" applyAlignment="0" applyProtection="0"/>
    <xf numFmtId="0" fontId="40" fillId="47" borderId="0" applyNumberFormat="0" applyBorder="0" applyAlignment="0" applyProtection="0"/>
    <xf numFmtId="0" fontId="40" fillId="47" borderId="0" applyNumberFormat="0" applyBorder="0" applyAlignment="0" applyProtection="0"/>
    <xf numFmtId="0" fontId="40" fillId="47" borderId="0" applyNumberFormat="0" applyBorder="0" applyAlignment="0" applyProtection="0"/>
    <xf numFmtId="0" fontId="6" fillId="0" borderId="0"/>
    <xf numFmtId="0" fontId="6" fillId="0" borderId="0"/>
    <xf numFmtId="0" fontId="1" fillId="0" borderId="0"/>
    <xf numFmtId="0" fontId="6" fillId="48" borderId="32" applyNumberFormat="0" applyFont="0" applyAlignment="0" applyProtection="0"/>
    <xf numFmtId="0" fontId="6" fillId="48" borderId="32" applyNumberFormat="0" applyFont="0" applyAlignment="0" applyProtection="0"/>
    <xf numFmtId="0" fontId="6" fillId="48" borderId="32" applyNumberFormat="0" applyFont="0" applyAlignment="0" applyProtection="0"/>
    <xf numFmtId="0" fontId="41" fillId="45" borderId="33" applyNumberFormat="0" applyAlignment="0" applyProtection="0"/>
    <xf numFmtId="0" fontId="41" fillId="45" borderId="33" applyNumberFormat="0" applyAlignment="0" applyProtection="0"/>
    <xf numFmtId="0" fontId="41" fillId="45" borderId="33" applyNumberFormat="0" applyAlignment="0" applyProtection="0"/>
    <xf numFmtId="0" fontId="42" fillId="0" borderId="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4" fillId="0" borderId="34" applyNumberFormat="0" applyFill="0" applyAlignment="0" applyProtection="0"/>
    <xf numFmtId="0" fontId="44" fillId="0" borderId="34" applyNumberFormat="0" applyFill="0" applyAlignment="0" applyProtection="0"/>
    <xf numFmtId="0" fontId="44" fillId="0" borderId="34" applyNumberFormat="0" applyFill="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30" fillId="45" borderId="26" applyNumberFormat="0" applyAlignment="0" applyProtection="0"/>
    <xf numFmtId="0" fontId="30" fillId="45" borderId="26" applyNumberFormat="0" applyAlignment="0" applyProtection="0"/>
    <xf numFmtId="0" fontId="30" fillId="45" borderId="26" applyNumberFormat="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4" fillId="0" borderId="28" applyNumberFormat="0" applyFill="0" applyAlignment="0" applyProtection="0"/>
    <xf numFmtId="0" fontId="34" fillId="0" borderId="28" applyNumberFormat="0" applyFill="0" applyAlignment="0" applyProtection="0"/>
    <xf numFmtId="0" fontId="34" fillId="0" borderId="28" applyNumberFormat="0" applyFill="0" applyAlignment="0" applyProtection="0"/>
    <xf numFmtId="0" fontId="35" fillId="0" borderId="29" applyNumberFormat="0" applyFill="0" applyAlignment="0" applyProtection="0"/>
    <xf numFmtId="0" fontId="35" fillId="0" borderId="29" applyNumberFormat="0" applyFill="0" applyAlignment="0" applyProtection="0"/>
    <xf numFmtId="0" fontId="35" fillId="0" borderId="29" applyNumberFormat="0" applyFill="0" applyAlignment="0" applyProtection="0"/>
    <xf numFmtId="0" fontId="36" fillId="0" borderId="30" applyNumberFormat="0" applyFill="0" applyAlignment="0" applyProtection="0"/>
    <xf numFmtId="0" fontId="36" fillId="0" borderId="30" applyNumberFormat="0" applyFill="0" applyAlignment="0" applyProtection="0"/>
    <xf numFmtId="0" fontId="36" fillId="0" borderId="30" applyNumberFormat="0" applyFill="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39" fillId="0" borderId="31" applyNumberFormat="0" applyFill="0" applyAlignment="0" applyProtection="0"/>
    <xf numFmtId="0" fontId="39" fillId="0" borderId="31" applyNumberFormat="0" applyFill="0" applyAlignment="0" applyProtection="0"/>
    <xf numFmtId="0" fontId="39" fillId="0" borderId="31" applyNumberFormat="0" applyFill="0" applyAlignment="0" applyProtection="0"/>
    <xf numFmtId="0" fontId="6" fillId="0" borderId="0"/>
    <xf numFmtId="0" fontId="6" fillId="0" borderId="0"/>
    <xf numFmtId="0" fontId="1" fillId="0" borderId="0"/>
    <xf numFmtId="0" fontId="6" fillId="48" borderId="32" applyNumberFormat="0" applyFont="0" applyAlignment="0" applyProtection="0"/>
    <xf numFmtId="0" fontId="6" fillId="48" borderId="32" applyNumberFormat="0" applyFont="0" applyAlignment="0" applyProtection="0"/>
    <xf numFmtId="0" fontId="41" fillId="45" borderId="33" applyNumberFormat="0" applyAlignment="0" applyProtection="0"/>
    <xf numFmtId="0" fontId="41" fillId="45" borderId="33" applyNumberFormat="0" applyAlignment="0" applyProtection="0"/>
    <xf numFmtId="0" fontId="41" fillId="45" borderId="33" applyNumberFormat="0" applyAlignment="0" applyProtection="0"/>
    <xf numFmtId="0" fontId="42" fillId="0" borderId="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4" fillId="0" borderId="34" applyNumberFormat="0" applyFill="0" applyAlignment="0" applyProtection="0"/>
    <xf numFmtId="0" fontId="44" fillId="0" borderId="34" applyNumberFormat="0" applyFill="0" applyAlignment="0" applyProtection="0"/>
    <xf numFmtId="0" fontId="44" fillId="0" borderId="34" applyNumberFormat="0" applyFill="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1" fillId="0" borderId="0"/>
    <xf numFmtId="165" fontId="26" fillId="0" borderId="0" applyFont="0" applyFill="0" applyBorder="0" applyAlignment="0" applyProtection="0"/>
    <xf numFmtId="0" fontId="48" fillId="49" borderId="35" applyAlignment="0">
      <alignment horizontal="center" vertical="top" wrapText="1"/>
    </xf>
    <xf numFmtId="0" fontId="47" fillId="0" borderId="0" applyNumberFormat="0" applyFill="0" applyBorder="0" applyAlignment="0" applyProtection="0"/>
    <xf numFmtId="175" fontId="6" fillId="0" borderId="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49" fillId="50" borderId="0" applyNumberFormat="0" applyBorder="0"/>
    <xf numFmtId="0" fontId="49" fillId="51" borderId="0" applyNumberFormat="0" applyBorder="0"/>
    <xf numFmtId="0" fontId="49" fillId="52" borderId="0" applyNumberFormat="0" applyBorder="0"/>
    <xf numFmtId="0" fontId="49" fillId="53" borderId="0" applyNumberFormat="0" applyBorder="0"/>
    <xf numFmtId="0" fontId="49" fillId="54" borderId="0" applyNumberFormat="0" applyBorder="0"/>
    <xf numFmtId="0" fontId="49" fillId="55" borderId="0" applyNumberFormat="0" applyBorder="0"/>
    <xf numFmtId="0" fontId="49" fillId="56" borderId="0" applyNumberFormat="0" applyBorder="0"/>
    <xf numFmtId="0" fontId="49" fillId="57" borderId="0" applyNumberFormat="0" applyBorder="0"/>
    <xf numFmtId="0" fontId="49" fillId="58" borderId="0" applyNumberFormat="0" applyBorder="0"/>
    <xf numFmtId="0" fontId="49" fillId="53" borderId="0" applyNumberFormat="0" applyBorder="0"/>
    <xf numFmtId="0" fontId="49" fillId="56" borderId="0" applyNumberFormat="0" applyBorder="0"/>
    <xf numFmtId="0" fontId="49" fillId="59" borderId="0" applyNumberFormat="0" applyBorder="0"/>
    <xf numFmtId="0" fontId="50" fillId="60" borderId="0" applyNumberFormat="0" applyBorder="0"/>
    <xf numFmtId="0" fontId="50" fillId="57" borderId="0" applyNumberFormat="0" applyBorder="0"/>
    <xf numFmtId="0" fontId="50" fillId="58" borderId="0" applyNumberFormat="0" applyBorder="0"/>
    <xf numFmtId="0" fontId="50" fillId="61" borderId="0" applyNumberFormat="0" applyBorder="0"/>
    <xf numFmtId="0" fontId="50" fillId="62" borderId="0" applyNumberFormat="0" applyBorder="0"/>
    <xf numFmtId="0" fontId="50" fillId="63" borderId="0" applyNumberFormat="0" applyBorder="0"/>
    <xf numFmtId="0" fontId="50" fillId="64" borderId="0" applyNumberFormat="0" applyBorder="0"/>
    <xf numFmtId="0" fontId="50" fillId="65" borderId="0" applyNumberFormat="0" applyBorder="0"/>
    <xf numFmtId="0" fontId="50" fillId="66" borderId="0" applyNumberFormat="0" applyBorder="0"/>
    <xf numFmtId="0" fontId="50" fillId="61" borderId="0" applyNumberFormat="0" applyBorder="0"/>
    <xf numFmtId="0" fontId="50" fillId="62" borderId="0" applyNumberFormat="0" applyBorder="0"/>
    <xf numFmtId="0" fontId="50" fillId="67" borderId="0" applyNumberFormat="0" applyBorder="0"/>
    <xf numFmtId="0" fontId="30" fillId="68" borderId="26" applyNumberFormat="0"/>
    <xf numFmtId="0" fontId="38" fillId="55" borderId="26" applyNumberFormat="0"/>
    <xf numFmtId="0" fontId="51" fillId="0" borderId="0" applyNumberFormat="0" applyFill="0" applyBorder="0"/>
    <xf numFmtId="0" fontId="29" fillId="51" borderId="0" applyNumberFormat="0" applyBorder="0"/>
    <xf numFmtId="0" fontId="52" fillId="0" borderId="0" applyNumberFormat="0" applyFill="0" applyBorder="0">
      <alignment vertical="top"/>
    </xf>
    <xf numFmtId="0" fontId="40" fillId="69" borderId="0" applyNumberFormat="0" applyBorder="0"/>
    <xf numFmtId="0" fontId="1" fillId="0" borderId="0"/>
    <xf numFmtId="0" fontId="33" fillId="52" borderId="0" applyNumberFormat="0" applyBorder="0"/>
    <xf numFmtId="0" fontId="41" fillId="68" borderId="33" applyNumberFormat="0"/>
    <xf numFmtId="0" fontId="53" fillId="0" borderId="0" applyNumberFormat="0" applyFill="0" applyBorder="0"/>
    <xf numFmtId="0" fontId="54" fillId="0" borderId="0" applyFont="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25" fillId="0" borderId="0"/>
    <xf numFmtId="0" fontId="6" fillId="0" borderId="0"/>
    <xf numFmtId="0" fontId="28" fillId="41" borderId="0" applyNumberFormat="0" applyBorder="0" applyAlignment="0" applyProtection="0"/>
    <xf numFmtId="0" fontId="28" fillId="42" borderId="0" applyNumberFormat="0" applyBorder="0" applyAlignment="0" applyProtection="0"/>
    <xf numFmtId="0" fontId="28" fillId="43" borderId="0" applyNumberFormat="0" applyBorder="0" applyAlignment="0" applyProtection="0"/>
    <xf numFmtId="0" fontId="28" fillId="38" borderId="0" applyNumberFormat="0" applyBorder="0" applyAlignment="0" applyProtection="0"/>
    <xf numFmtId="0" fontId="28" fillId="39" borderId="0" applyNumberFormat="0" applyBorder="0" applyAlignment="0" applyProtection="0"/>
    <xf numFmtId="0" fontId="28" fillId="44" borderId="0" applyNumberFormat="0" applyBorder="0" applyAlignment="0" applyProtection="0"/>
    <xf numFmtId="0" fontId="37" fillId="0" borderId="0" applyNumberFormat="0" applyFill="0" applyBorder="0" applyAlignment="0" applyProtection="0">
      <alignment vertical="top"/>
      <protection locked="0"/>
    </xf>
    <xf numFmtId="0" fontId="42" fillId="0" borderId="0"/>
    <xf numFmtId="0" fontId="43" fillId="0" borderId="0" applyNumberFormat="0" applyFill="0" applyBorder="0" applyAlignment="0" applyProtection="0"/>
    <xf numFmtId="0" fontId="6" fillId="0" borderId="0"/>
    <xf numFmtId="165" fontId="6" fillId="0" borderId="0" applyFont="0" applyFill="0" applyBorder="0" applyAlignment="0" applyProtection="0"/>
    <xf numFmtId="0" fontId="6" fillId="0" borderId="0"/>
    <xf numFmtId="165" fontId="6" fillId="0" borderId="0" applyFont="0" applyFill="0" applyBorder="0" applyAlignment="0" applyProtection="0"/>
  </cellStyleXfs>
  <cellXfs count="361">
    <xf numFmtId="0" fontId="0" fillId="0" borderId="0" xfId="0"/>
    <xf numFmtId="0" fontId="2" fillId="0" borderId="0" xfId="0" applyFont="1"/>
    <xf numFmtId="0" fontId="4" fillId="0" borderId="0" xfId="0" applyFont="1" applyAlignment="1">
      <alignment vertical="center" wrapText="1"/>
    </xf>
    <xf numFmtId="0" fontId="2" fillId="0" borderId="0" xfId="0" applyFont="1" applyAlignment="1">
      <alignment vertical="top" wrapText="1" readingOrder="1"/>
    </xf>
    <xf numFmtId="0" fontId="4" fillId="0" borderId="0" xfId="0" applyFont="1" applyAlignment="1">
      <alignment horizontal="center" vertical="center" wrapText="1"/>
    </xf>
    <xf numFmtId="0" fontId="6" fillId="8" borderId="2" xfId="2" applyFill="1" applyBorder="1" applyAlignment="1">
      <alignment horizontal="center" vertical="center" wrapText="1"/>
    </xf>
    <xf numFmtId="2" fontId="6" fillId="8" borderId="2" xfId="2" applyNumberFormat="1" applyFill="1" applyBorder="1" applyAlignment="1">
      <alignment horizontal="center" vertical="center" wrapText="1"/>
    </xf>
    <xf numFmtId="0" fontId="5" fillId="0" borderId="2" xfId="0" applyFont="1" applyBorder="1" applyAlignment="1">
      <alignment vertical="center" wrapText="1"/>
    </xf>
    <xf numFmtId="0" fontId="2" fillId="0" borderId="0" xfId="0" applyFont="1" applyAlignment="1">
      <alignment vertical="center"/>
    </xf>
    <xf numFmtId="0" fontId="9" fillId="9" borderId="2" xfId="0" applyFont="1" applyFill="1" applyBorder="1" applyAlignment="1">
      <alignment vertical="center" wrapText="1"/>
    </xf>
    <xf numFmtId="0" fontId="5" fillId="0" borderId="0" xfId="0" applyFont="1" applyAlignment="1">
      <alignment vertical="center"/>
    </xf>
    <xf numFmtId="0" fontId="6" fillId="12" borderId="2" xfId="2" applyFill="1" applyBorder="1" applyAlignment="1">
      <alignment horizontal="center" vertical="center" wrapText="1"/>
    </xf>
    <xf numFmtId="0" fontId="5" fillId="0" borderId="0" xfId="0" applyFont="1" applyAlignment="1">
      <alignment horizontal="left" vertical="center"/>
    </xf>
    <xf numFmtId="0" fontId="2" fillId="0" borderId="0" xfId="0" applyFont="1" applyAlignment="1">
      <alignment horizontal="center" vertical="center"/>
    </xf>
    <xf numFmtId="0" fontId="6" fillId="15" borderId="2" xfId="2" applyFill="1" applyBorder="1" applyAlignment="1">
      <alignment horizontal="center" vertical="center" wrapText="1"/>
    </xf>
    <xf numFmtId="0" fontId="9" fillId="16" borderId="2" xfId="0" applyFont="1" applyFill="1" applyBorder="1" applyAlignment="1">
      <alignment vertical="center" wrapText="1"/>
    </xf>
    <xf numFmtId="0" fontId="5" fillId="0" borderId="0" xfId="0" applyFont="1" applyAlignment="1">
      <alignment vertical="center" wrapText="1"/>
    </xf>
    <xf numFmtId="0" fontId="6" fillId="18" borderId="2" xfId="2" applyFill="1" applyBorder="1" applyAlignment="1">
      <alignment horizontal="center" vertical="center" wrapText="1"/>
    </xf>
    <xf numFmtId="0" fontId="9" fillId="19" borderId="2" xfId="0" applyFont="1" applyFill="1" applyBorder="1" applyAlignment="1">
      <alignment vertical="center" wrapText="1"/>
    </xf>
    <xf numFmtId="0" fontId="5" fillId="0" borderId="0" xfId="0" applyFont="1"/>
    <xf numFmtId="0" fontId="5" fillId="0" borderId="0" xfId="0" applyFont="1" applyAlignment="1">
      <alignment horizontal="left"/>
    </xf>
    <xf numFmtId="0" fontId="2" fillId="0" borderId="0" xfId="0" applyFont="1" applyAlignment="1">
      <alignment vertical="center" wrapText="1"/>
    </xf>
    <xf numFmtId="0" fontId="14" fillId="0" borderId="0" xfId="0" applyFont="1" applyAlignment="1">
      <alignment horizontal="center" vertical="center" wrapText="1"/>
    </xf>
    <xf numFmtId="0" fontId="3" fillId="7" borderId="3" xfId="2" applyFont="1" applyFill="1" applyBorder="1" applyAlignment="1">
      <alignment vertical="center"/>
    </xf>
    <xf numFmtId="0" fontId="3" fillId="7" borderId="4" xfId="2" applyFont="1" applyFill="1" applyBorder="1" applyAlignment="1">
      <alignment vertical="center"/>
    </xf>
    <xf numFmtId="0" fontId="3" fillId="7" borderId="4" xfId="2" applyFont="1" applyFill="1" applyBorder="1" applyAlignment="1">
      <alignment horizontal="center" vertical="center"/>
    </xf>
    <xf numFmtId="0" fontId="16" fillId="9" borderId="2" xfId="0" applyFont="1" applyFill="1" applyBorder="1" applyAlignment="1">
      <alignment vertical="center" wrapText="1"/>
    </xf>
    <xf numFmtId="0" fontId="2" fillId="0" borderId="0" xfId="0" applyFont="1" applyAlignment="1">
      <alignment wrapText="1"/>
    </xf>
    <xf numFmtId="0" fontId="3" fillId="6" borderId="12" xfId="0" applyFont="1" applyFill="1" applyBorder="1" applyAlignment="1">
      <alignment horizontal="center" vertical="center" textRotation="90" wrapText="1"/>
    </xf>
    <xf numFmtId="0" fontId="3" fillId="22" borderId="13" xfId="0" applyFont="1" applyFill="1" applyBorder="1" applyAlignment="1">
      <alignment horizontal="center" vertical="center" textRotation="90" wrapText="1"/>
    </xf>
    <xf numFmtId="0" fontId="3" fillId="6" borderId="13" xfId="0" applyFont="1" applyFill="1" applyBorder="1" applyAlignment="1">
      <alignment horizontal="center" vertical="center" textRotation="90" wrapText="1"/>
    </xf>
    <xf numFmtId="0" fontId="3" fillId="0" borderId="13" xfId="0" applyFont="1" applyBorder="1" applyAlignment="1">
      <alignment horizontal="center" vertical="center" textRotation="90" wrapText="1"/>
    </xf>
    <xf numFmtId="0" fontId="3" fillId="0" borderId="14" xfId="0" applyFont="1" applyBorder="1" applyAlignment="1">
      <alignment horizontal="center" vertical="center" textRotation="90" wrapText="1"/>
    </xf>
    <xf numFmtId="0" fontId="17" fillId="23" borderId="15" xfId="0" applyFont="1" applyFill="1" applyBorder="1" applyAlignment="1">
      <alignment horizontal="center" vertical="center" wrapText="1"/>
    </xf>
    <xf numFmtId="0" fontId="17" fillId="23" borderId="16" xfId="0" applyFont="1" applyFill="1" applyBorder="1" applyAlignment="1">
      <alignment horizontal="center" vertical="center" wrapText="1"/>
    </xf>
    <xf numFmtId="0" fontId="18" fillId="23" borderId="16" xfId="0" quotePrefix="1" applyFont="1" applyFill="1" applyBorder="1" applyAlignment="1">
      <alignment horizontal="center" vertical="center" wrapText="1"/>
    </xf>
    <xf numFmtId="0" fontId="17" fillId="23" borderId="17" xfId="0" applyFont="1" applyFill="1" applyBorder="1" applyAlignment="1">
      <alignment horizontal="center" vertical="center" wrapText="1"/>
    </xf>
    <xf numFmtId="0" fontId="6" fillId="0" borderId="15" xfId="0" applyFont="1" applyBorder="1" applyAlignment="1">
      <alignment horizontal="center" vertical="center" wrapText="1"/>
    </xf>
    <xf numFmtId="0" fontId="5" fillId="24" borderId="16" xfId="0" applyFont="1" applyFill="1" applyBorder="1" applyAlignment="1">
      <alignment horizontal="center" vertical="center" wrapText="1"/>
    </xf>
    <xf numFmtId="0" fontId="5"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5" fillId="0" borderId="0" xfId="0" applyFont="1" applyAlignment="1">
      <alignment horizontal="center" vertical="center"/>
    </xf>
    <xf numFmtId="2" fontId="5" fillId="0" borderId="0" xfId="0" applyNumberFormat="1" applyFont="1"/>
    <xf numFmtId="0" fontId="2" fillId="0" borderId="2" xfId="0" applyFont="1" applyBorder="1" applyAlignment="1">
      <alignment horizontal="center" vertical="center"/>
    </xf>
    <xf numFmtId="2" fontId="5" fillId="0" borderId="0" xfId="0" applyNumberFormat="1" applyFont="1" applyAlignment="1">
      <alignment wrapText="1"/>
    </xf>
    <xf numFmtId="0" fontId="5" fillId="0" borderId="17" xfId="0" quotePrefix="1" applyFont="1" applyBorder="1" applyAlignment="1">
      <alignment horizontal="center" vertical="center" wrapText="1"/>
    </xf>
    <xf numFmtId="0" fontId="14" fillId="0" borderId="0" xfId="0" applyFont="1" applyAlignment="1">
      <alignment vertical="center"/>
    </xf>
    <xf numFmtId="0" fontId="19" fillId="0" borderId="8" xfId="4" applyFont="1" applyFill="1" applyBorder="1" applyAlignment="1">
      <alignment horizontal="center" vertical="center" wrapText="1"/>
    </xf>
    <xf numFmtId="2" fontId="19" fillId="0" borderId="8" xfId="4" applyNumberFormat="1" applyFont="1" applyFill="1" applyBorder="1" applyAlignment="1">
      <alignment horizontal="right" vertical="center" wrapText="1"/>
    </xf>
    <xf numFmtId="0" fontId="19" fillId="0" borderId="0" xfId="4" applyFont="1" applyFill="1" applyBorder="1" applyAlignment="1">
      <alignment horizontal="center" vertical="center" wrapText="1"/>
    </xf>
    <xf numFmtId="2" fontId="19" fillId="0" borderId="0" xfId="4" applyNumberFormat="1" applyFont="1" applyFill="1" applyBorder="1" applyAlignment="1">
      <alignment horizontal="right" vertical="center" wrapText="1"/>
    </xf>
    <xf numFmtId="0" fontId="19" fillId="0" borderId="8" xfId="4" applyFont="1" applyFill="1" applyBorder="1" applyAlignment="1">
      <alignment horizontal="left" vertical="center" wrapText="1"/>
    </xf>
    <xf numFmtId="0" fontId="19" fillId="0" borderId="0" xfId="4" applyFont="1" applyFill="1" applyBorder="1" applyAlignment="1">
      <alignment horizontal="left" vertical="center" wrapText="1"/>
    </xf>
    <xf numFmtId="0" fontId="20" fillId="0" borderId="2" xfId="0" applyFont="1" applyBorder="1" applyAlignment="1">
      <alignment horizontal="center" vertical="center" wrapText="1"/>
    </xf>
    <xf numFmtId="0" fontId="0" fillId="0" borderId="0" xfId="0" applyAlignment="1">
      <alignment horizontal="center"/>
    </xf>
    <xf numFmtId="0" fontId="0" fillId="0" borderId="2" xfId="0" applyBorder="1" applyAlignment="1">
      <alignment horizontal="center" vertical="center"/>
    </xf>
    <xf numFmtId="44" fontId="0" fillId="0" borderId="2" xfId="6" applyFont="1" applyBorder="1" applyAlignment="1">
      <alignment vertical="center"/>
    </xf>
    <xf numFmtId="9" fontId="0" fillId="0" borderId="2" xfId="0" applyNumberFormat="1" applyBorder="1" applyAlignment="1">
      <alignment horizontal="center"/>
    </xf>
    <xf numFmtId="0" fontId="2" fillId="0" borderId="2" xfId="0" applyFont="1" applyBorder="1" applyAlignment="1">
      <alignment vertical="top" wrapText="1" readingOrder="1"/>
    </xf>
    <xf numFmtId="0" fontId="10" fillId="10" borderId="2" xfId="0" applyFont="1" applyFill="1" applyBorder="1" applyAlignment="1">
      <alignment horizontal="left" vertical="center" wrapText="1"/>
    </xf>
    <xf numFmtId="0" fontId="10" fillId="10" borderId="2" xfId="0" applyFont="1" applyFill="1" applyBorder="1" applyAlignment="1">
      <alignment horizontal="center" vertical="center" wrapText="1"/>
    </xf>
    <xf numFmtId="2" fontId="10" fillId="10" borderId="2" xfId="0" applyNumberFormat="1" applyFont="1" applyFill="1" applyBorder="1" applyAlignment="1">
      <alignment horizontal="center" vertical="center" wrapText="1"/>
    </xf>
    <xf numFmtId="0" fontId="10" fillId="10" borderId="2" xfId="0" applyFont="1" applyFill="1" applyBorder="1" applyAlignment="1">
      <alignment horizontal="center" vertical="center"/>
    </xf>
    <xf numFmtId="0" fontId="12" fillId="0" borderId="2" xfId="0" applyFont="1" applyBorder="1" applyAlignment="1">
      <alignment vertical="center" wrapText="1"/>
    </xf>
    <xf numFmtId="0" fontId="12" fillId="0" borderId="2" xfId="0" applyFont="1" applyBorder="1" applyAlignment="1">
      <alignment horizontal="left" vertical="center" wrapText="1"/>
    </xf>
    <xf numFmtId="0" fontId="5" fillId="0" borderId="2" xfId="0" applyFont="1" applyBorder="1" applyAlignment="1">
      <alignment horizontal="center" vertical="center"/>
    </xf>
    <xf numFmtId="0" fontId="12" fillId="0" borderId="2" xfId="0" applyFont="1" applyBorder="1" applyAlignment="1">
      <alignment horizontal="center" vertical="center"/>
    </xf>
    <xf numFmtId="0" fontId="14" fillId="0" borderId="0" xfId="0" applyFont="1" applyAlignment="1">
      <alignment horizontal="left" vertical="center" wrapText="1"/>
    </xf>
    <xf numFmtId="0" fontId="6" fillId="8" borderId="2" xfId="2" applyFill="1" applyBorder="1" applyAlignment="1">
      <alignment horizontal="left" vertical="center" wrapText="1"/>
    </xf>
    <xf numFmtId="0" fontId="6" fillId="12" borderId="2" xfId="2" applyFill="1" applyBorder="1" applyAlignment="1">
      <alignment horizontal="left" vertical="center" wrapText="1"/>
    </xf>
    <xf numFmtId="0" fontId="5" fillId="0" borderId="2" xfId="0" applyFont="1" applyBorder="1" applyAlignment="1">
      <alignment horizontal="center"/>
    </xf>
    <xf numFmtId="0" fontId="6" fillId="18" borderId="2" xfId="2" applyFill="1" applyBorder="1" applyAlignment="1">
      <alignment horizontal="left" vertical="center" wrapText="1"/>
    </xf>
    <xf numFmtId="0" fontId="5" fillId="0" borderId="2" xfId="0" applyFont="1" applyBorder="1"/>
    <xf numFmtId="0" fontId="7" fillId="17" borderId="0" xfId="2" applyFont="1" applyFill="1" applyAlignment="1">
      <alignment horizontal="center" vertical="center"/>
    </xf>
    <xf numFmtId="0" fontId="12" fillId="0" borderId="2" xfId="0" applyFont="1" applyBorder="1" applyAlignment="1">
      <alignment horizontal="center" vertical="center" wrapText="1"/>
    </xf>
    <xf numFmtId="2" fontId="12" fillId="0" borderId="2" xfId="0" applyNumberFormat="1" applyFont="1" applyBorder="1" applyAlignment="1">
      <alignment horizontal="center" vertical="center" wrapText="1"/>
    </xf>
    <xf numFmtId="0" fontId="6" fillId="8" borderId="2" xfId="2" applyFill="1" applyBorder="1" applyAlignment="1">
      <alignment vertical="center" wrapText="1"/>
    </xf>
    <xf numFmtId="2" fontId="10" fillId="10" borderId="2" xfId="0" applyNumberFormat="1" applyFont="1" applyFill="1" applyBorder="1" applyAlignment="1">
      <alignment horizontal="center" vertical="center"/>
    </xf>
    <xf numFmtId="0" fontId="12" fillId="20" borderId="2" xfId="0" applyFont="1" applyFill="1" applyBorder="1" applyAlignment="1">
      <alignment horizontal="left" vertical="center" wrapText="1"/>
    </xf>
    <xf numFmtId="0" fontId="12" fillId="20" borderId="2" xfId="0" applyFont="1" applyFill="1" applyBorder="1" applyAlignment="1">
      <alignment horizontal="center" vertical="center"/>
    </xf>
    <xf numFmtId="0" fontId="12" fillId="0" borderId="2" xfId="3" applyFont="1" applyBorder="1" applyAlignment="1">
      <alignment vertical="center"/>
    </xf>
    <xf numFmtId="0" fontId="10" fillId="10" borderId="2" xfId="0" applyFont="1" applyFill="1" applyBorder="1" applyAlignment="1">
      <alignment horizontal="left" vertical="center"/>
    </xf>
    <xf numFmtId="2" fontId="5" fillId="0" borderId="2" xfId="0" applyNumberFormat="1" applyFont="1" applyBorder="1"/>
    <xf numFmtId="0" fontId="12" fillId="20" borderId="2" xfId="3" applyFont="1" applyFill="1" applyBorder="1" applyAlignment="1">
      <alignment vertical="center"/>
    </xf>
    <xf numFmtId="0" fontId="8" fillId="0" borderId="2" xfId="0" applyFont="1" applyBorder="1" applyAlignment="1">
      <alignment horizontal="center"/>
    </xf>
    <xf numFmtId="0" fontId="12" fillId="0" borderId="2" xfId="3" applyFont="1" applyBorder="1" applyAlignment="1">
      <alignment horizontal="left" vertical="center"/>
    </xf>
    <xf numFmtId="0" fontId="7" fillId="7" borderId="2" xfId="2" applyFont="1" applyFill="1" applyBorder="1" applyAlignment="1">
      <alignment horizontal="center" vertical="center"/>
    </xf>
    <xf numFmtId="0" fontId="7" fillId="7" borderId="2" xfId="2" applyFont="1" applyFill="1" applyBorder="1" applyAlignment="1">
      <alignment vertical="center"/>
    </xf>
    <xf numFmtId="0" fontId="3" fillId="7" borderId="2" xfId="2" applyFont="1" applyFill="1" applyBorder="1" applyAlignment="1">
      <alignment vertical="center"/>
    </xf>
    <xf numFmtId="0" fontId="10" fillId="10" borderId="2" xfId="0" applyFont="1" applyFill="1" applyBorder="1" applyAlignment="1">
      <alignment vertical="center"/>
    </xf>
    <xf numFmtId="0" fontId="11" fillId="10" borderId="2" xfId="0" applyFont="1" applyFill="1" applyBorder="1" applyAlignment="1">
      <alignment horizontal="center" vertical="center"/>
    </xf>
    <xf numFmtId="0" fontId="11" fillId="10" borderId="2" xfId="0" applyFont="1" applyFill="1" applyBorder="1" applyAlignment="1">
      <alignment horizontal="left" vertical="center"/>
    </xf>
    <xf numFmtId="0" fontId="7" fillId="11" borderId="2" xfId="2" applyFont="1" applyFill="1" applyBorder="1" applyAlignment="1">
      <alignment horizontal="center" vertical="center"/>
    </xf>
    <xf numFmtId="0" fontId="7" fillId="11" borderId="2" xfId="2" applyFont="1" applyFill="1" applyBorder="1" applyAlignment="1">
      <alignment vertical="center"/>
    </xf>
    <xf numFmtId="0" fontId="3" fillId="11" borderId="2" xfId="2" applyFont="1" applyFill="1" applyBorder="1" applyAlignment="1">
      <alignment horizontal="center" vertical="center"/>
    </xf>
    <xf numFmtId="0" fontId="3" fillId="11" borderId="2" xfId="2" applyFont="1" applyFill="1" applyBorder="1" applyAlignment="1">
      <alignment horizontal="left" vertical="center"/>
    </xf>
    <xf numFmtId="0" fontId="7" fillId="14" borderId="2" xfId="2" applyFont="1" applyFill="1" applyBorder="1" applyAlignment="1">
      <alignment horizontal="center" vertical="center"/>
    </xf>
    <xf numFmtId="0" fontId="3" fillId="14" borderId="2" xfId="2" applyFont="1" applyFill="1" applyBorder="1" applyAlignment="1">
      <alignment horizontal="center" vertical="center"/>
    </xf>
    <xf numFmtId="0" fontId="3" fillId="14" borderId="2" xfId="2" applyFont="1" applyFill="1" applyBorder="1" applyAlignment="1">
      <alignment horizontal="left" vertical="center"/>
    </xf>
    <xf numFmtId="0" fontId="10" fillId="10" borderId="2" xfId="0" applyFont="1" applyFill="1" applyBorder="1"/>
    <xf numFmtId="0" fontId="10" fillId="10" borderId="2" xfId="0" applyFont="1" applyFill="1" applyBorder="1" applyAlignment="1">
      <alignment horizontal="left"/>
    </xf>
    <xf numFmtId="0" fontId="7" fillId="17" borderId="2" xfId="2" applyFont="1" applyFill="1" applyBorder="1" applyAlignment="1">
      <alignment horizontal="center" vertical="center"/>
    </xf>
    <xf numFmtId="0" fontId="3" fillId="17" borderId="2" xfId="2" applyFont="1" applyFill="1" applyBorder="1" applyAlignment="1">
      <alignment horizontal="center" vertical="center"/>
    </xf>
    <xf numFmtId="0" fontId="3" fillId="17" borderId="2" xfId="2" applyFont="1" applyFill="1" applyBorder="1" applyAlignment="1">
      <alignment horizontal="left" vertical="center"/>
    </xf>
    <xf numFmtId="0" fontId="5" fillId="6" borderId="2" xfId="0" applyFont="1" applyFill="1" applyBorder="1" applyAlignment="1">
      <alignment horizontal="left" vertical="center"/>
    </xf>
    <xf numFmtId="0" fontId="12" fillId="6" borderId="2" xfId="0" applyFont="1" applyFill="1" applyBorder="1" applyAlignment="1">
      <alignment horizontal="left" vertical="center" wrapText="1"/>
    </xf>
    <xf numFmtId="0" fontId="5" fillId="6" borderId="2" xfId="0" applyFont="1" applyFill="1" applyBorder="1" applyAlignment="1">
      <alignment vertical="center"/>
    </xf>
    <xf numFmtId="0" fontId="5" fillId="6" borderId="2" xfId="0" applyFont="1" applyFill="1" applyBorder="1" applyAlignment="1">
      <alignment horizontal="center" vertical="center"/>
    </xf>
    <xf numFmtId="2" fontId="5" fillId="0" borderId="2" xfId="0" applyNumberFormat="1" applyFont="1" applyBorder="1" applyAlignment="1">
      <alignment vertical="center" wrapText="1"/>
    </xf>
    <xf numFmtId="0" fontId="12" fillId="6" borderId="2" xfId="0" applyFont="1" applyFill="1" applyBorder="1" applyAlignment="1">
      <alignment vertical="center" wrapText="1"/>
    </xf>
    <xf numFmtId="0" fontId="12" fillId="6" borderId="2" xfId="0" applyFont="1" applyFill="1" applyBorder="1" applyAlignment="1">
      <alignment vertical="center"/>
    </xf>
    <xf numFmtId="0" fontId="12" fillId="6" borderId="2" xfId="0" applyFont="1" applyFill="1" applyBorder="1" applyAlignment="1">
      <alignment horizontal="center" vertical="center"/>
    </xf>
    <xf numFmtId="0" fontId="9" fillId="13" borderId="2" xfId="0" applyFont="1" applyFill="1" applyBorder="1" applyAlignment="1">
      <alignment horizontal="left" vertical="center" wrapText="1"/>
    </xf>
    <xf numFmtId="0" fontId="5" fillId="6" borderId="2" xfId="0" applyFont="1" applyFill="1" applyBorder="1" applyAlignment="1">
      <alignment vertical="center" wrapText="1"/>
    </xf>
    <xf numFmtId="0" fontId="3" fillId="6" borderId="2" xfId="2" applyFont="1" applyFill="1" applyBorder="1" applyAlignment="1">
      <alignment vertical="center" wrapText="1"/>
    </xf>
    <xf numFmtId="0" fontId="3" fillId="6" borderId="2" xfId="2" applyFont="1" applyFill="1" applyBorder="1" applyAlignment="1">
      <alignment horizontal="center" vertical="center" wrapText="1"/>
    </xf>
    <xf numFmtId="49" fontId="3" fillId="6" borderId="2" xfId="2" applyNumberFormat="1" applyFont="1" applyFill="1" applyBorder="1" applyAlignment="1">
      <alignment horizontal="left" vertical="center"/>
    </xf>
    <xf numFmtId="49" fontId="5" fillId="6" borderId="2" xfId="0" applyNumberFormat="1" applyFont="1" applyFill="1" applyBorder="1" applyAlignment="1">
      <alignment vertical="center" wrapText="1"/>
    </xf>
    <xf numFmtId="0" fontId="12" fillId="6" borderId="2" xfId="0" applyFont="1" applyFill="1" applyBorder="1" applyAlignment="1">
      <alignment horizontal="center" vertical="center" wrapText="1"/>
    </xf>
    <xf numFmtId="0" fontId="6" fillId="6" borderId="2" xfId="0" applyFont="1" applyFill="1" applyBorder="1" applyAlignment="1">
      <alignment vertical="center" wrapText="1"/>
    </xf>
    <xf numFmtId="0" fontId="6" fillId="6" borderId="2" xfId="0" applyFont="1" applyFill="1" applyBorder="1" applyAlignment="1">
      <alignment horizontal="center" vertical="center" wrapText="1"/>
    </xf>
    <xf numFmtId="0" fontId="3" fillId="7" borderId="2" xfId="2" applyFont="1" applyFill="1" applyBorder="1" applyAlignment="1">
      <alignment horizontal="center" vertical="center"/>
    </xf>
    <xf numFmtId="0" fontId="5" fillId="6" borderId="2" xfId="0" applyFont="1" applyFill="1" applyBorder="1" applyAlignment="1">
      <alignment horizontal="center" vertical="top" wrapText="1" readingOrder="1"/>
    </xf>
    <xf numFmtId="0" fontId="10" fillId="4" borderId="2" xfId="0" applyFont="1" applyFill="1" applyBorder="1" applyAlignment="1">
      <alignment vertical="center"/>
    </xf>
    <xf numFmtId="0" fontId="11" fillId="4" borderId="2" xfId="0" applyFont="1" applyFill="1" applyBorder="1" applyAlignment="1">
      <alignment horizontal="center" vertical="center"/>
    </xf>
    <xf numFmtId="0" fontId="10" fillId="4" borderId="2" xfId="0" applyFont="1" applyFill="1" applyBorder="1" applyAlignment="1">
      <alignment horizontal="left" vertical="center"/>
    </xf>
    <xf numFmtId="0" fontId="10" fillId="4" borderId="2" xfId="0" applyFont="1" applyFill="1" applyBorder="1" applyAlignment="1">
      <alignment horizontal="right" vertical="center"/>
    </xf>
    <xf numFmtId="0" fontId="11" fillId="4" borderId="2" xfId="0" applyFont="1" applyFill="1" applyBorder="1" applyAlignment="1">
      <alignment horizontal="left" vertical="center"/>
    </xf>
    <xf numFmtId="0" fontId="11" fillId="4" borderId="2" xfId="0" applyFont="1" applyFill="1" applyBorder="1" applyAlignment="1">
      <alignment horizontal="right" vertical="center"/>
    </xf>
    <xf numFmtId="0" fontId="2" fillId="0" borderId="2" xfId="0" applyFont="1" applyBorder="1" applyAlignment="1">
      <alignment horizontal="left" vertical="center"/>
    </xf>
    <xf numFmtId="0" fontId="5" fillId="0" borderId="0" xfId="0" applyFont="1" applyAlignment="1">
      <alignment vertical="top" wrapText="1" readingOrder="1"/>
    </xf>
    <xf numFmtId="0" fontId="6" fillId="0" borderId="2" xfId="2" applyBorder="1" applyAlignment="1">
      <alignment horizontal="center" vertical="center" wrapText="1"/>
    </xf>
    <xf numFmtId="10" fontId="8" fillId="9" borderId="2" xfId="0" applyNumberFormat="1" applyFont="1" applyFill="1" applyBorder="1" applyAlignment="1">
      <alignment horizontal="center" vertical="center"/>
    </xf>
    <xf numFmtId="0" fontId="8" fillId="9" borderId="2" xfId="0" applyFont="1" applyFill="1" applyBorder="1" applyAlignment="1">
      <alignment horizontal="center" vertical="center"/>
    </xf>
    <xf numFmtId="0" fontId="5" fillId="9" borderId="2" xfId="0" applyFont="1" applyFill="1" applyBorder="1" applyAlignment="1">
      <alignment horizontal="center" vertical="center"/>
    </xf>
    <xf numFmtId="168" fontId="13" fillId="0" borderId="2" xfId="0" applyNumberFormat="1" applyFont="1" applyBorder="1" applyAlignment="1">
      <alignment horizontal="center"/>
    </xf>
    <xf numFmtId="168" fontId="13" fillId="0" borderId="2" xfId="1" applyNumberFormat="1" applyFont="1" applyBorder="1" applyAlignment="1">
      <alignment horizontal="center"/>
    </xf>
    <xf numFmtId="168" fontId="13" fillId="0" borderId="2" xfId="1" applyNumberFormat="1" applyFont="1" applyFill="1" applyBorder="1" applyAlignment="1">
      <alignment horizontal="center"/>
    </xf>
    <xf numFmtId="168" fontId="13" fillId="0" borderId="2" xfId="0" applyNumberFormat="1" applyFont="1" applyBorder="1" applyAlignment="1">
      <alignment horizontal="center" vertical="center"/>
    </xf>
    <xf numFmtId="0" fontId="5" fillId="13" borderId="2" xfId="0" applyFont="1" applyFill="1" applyBorder="1" applyAlignment="1">
      <alignment horizontal="center" vertical="center"/>
    </xf>
    <xf numFmtId="10" fontId="8" fillId="13" borderId="2" xfId="0" applyNumberFormat="1" applyFont="1" applyFill="1" applyBorder="1" applyAlignment="1">
      <alignment horizontal="center" vertical="center"/>
    </xf>
    <xf numFmtId="0" fontId="8" fillId="13" borderId="2" xfId="0" applyFont="1" applyFill="1" applyBorder="1" applyAlignment="1">
      <alignment horizontal="center" vertical="center"/>
    </xf>
    <xf numFmtId="0" fontId="5" fillId="16" borderId="2" xfId="0" applyFont="1" applyFill="1" applyBorder="1" applyAlignment="1">
      <alignment horizontal="center" vertical="center"/>
    </xf>
    <xf numFmtId="10" fontId="8" fillId="16" borderId="2" xfId="0" applyNumberFormat="1" applyFont="1" applyFill="1" applyBorder="1" applyAlignment="1">
      <alignment horizontal="center" vertical="center"/>
    </xf>
    <xf numFmtId="0" fontId="8" fillId="16" borderId="2" xfId="0" applyFont="1" applyFill="1" applyBorder="1" applyAlignment="1">
      <alignment horizontal="center" vertical="center"/>
    </xf>
    <xf numFmtId="0" fontId="5" fillId="19" borderId="2" xfId="0" applyFont="1" applyFill="1" applyBorder="1" applyAlignment="1">
      <alignment horizontal="center" vertical="center"/>
    </xf>
    <xf numFmtId="10" fontId="8" fillId="19" borderId="2" xfId="0" applyNumberFormat="1" applyFont="1" applyFill="1" applyBorder="1" applyAlignment="1">
      <alignment horizontal="center" vertical="center"/>
    </xf>
    <xf numFmtId="0" fontId="8" fillId="19" borderId="2" xfId="0" applyFont="1" applyFill="1" applyBorder="1" applyAlignment="1">
      <alignment horizontal="center" vertical="center"/>
    </xf>
    <xf numFmtId="0" fontId="8" fillId="0" borderId="2" xfId="0" applyFont="1" applyBorder="1" applyAlignment="1">
      <alignment vertical="center"/>
    </xf>
    <xf numFmtId="0" fontId="8" fillId="9" borderId="2" xfId="0" applyFont="1" applyFill="1" applyBorder="1" applyAlignment="1">
      <alignment horizontal="center" vertical="center" wrapText="1"/>
    </xf>
    <xf numFmtId="169" fontId="13" fillId="0" borderId="2" xfId="0" applyNumberFormat="1" applyFont="1" applyBorder="1" applyAlignment="1">
      <alignment horizontal="center" vertical="center"/>
    </xf>
    <xf numFmtId="0" fontId="20" fillId="13" borderId="2" xfId="0" applyFont="1" applyFill="1" applyBorder="1" applyAlignment="1">
      <alignment horizontal="center" vertical="center" wrapText="1"/>
    </xf>
    <xf numFmtId="0" fontId="8" fillId="13" borderId="2" xfId="0" applyFont="1" applyFill="1" applyBorder="1" applyAlignment="1">
      <alignment horizontal="center" vertical="center" wrapText="1"/>
    </xf>
    <xf numFmtId="0" fontId="20" fillId="16" borderId="2" xfId="0" applyFont="1" applyFill="1" applyBorder="1" applyAlignment="1">
      <alignment horizontal="center" vertical="center" wrapText="1"/>
    </xf>
    <xf numFmtId="0" fontId="8" fillId="16" borderId="2" xfId="0" applyFont="1" applyFill="1" applyBorder="1" applyAlignment="1">
      <alignment horizontal="center" vertical="center" wrapText="1"/>
    </xf>
    <xf numFmtId="0" fontId="20" fillId="19" borderId="2" xfId="0" applyFont="1" applyFill="1" applyBorder="1" applyAlignment="1">
      <alignment horizontal="center" vertical="center" wrapText="1"/>
    </xf>
    <xf numFmtId="0" fontId="8" fillId="19" borderId="2" xfId="0" applyFont="1" applyFill="1" applyBorder="1" applyAlignment="1">
      <alignment horizontal="center" vertical="center" wrapText="1"/>
    </xf>
    <xf numFmtId="0" fontId="8" fillId="9" borderId="7" xfId="0" applyFont="1" applyFill="1" applyBorder="1" applyAlignment="1">
      <alignment horizontal="center" vertical="center" wrapText="1"/>
    </xf>
    <xf numFmtId="168" fontId="13" fillId="0" borderId="7" xfId="0" applyNumberFormat="1" applyFont="1" applyBorder="1" applyAlignment="1">
      <alignment horizontal="center"/>
    </xf>
    <xf numFmtId="168" fontId="13" fillId="0" borderId="7" xfId="1" applyNumberFormat="1" applyFont="1" applyBorder="1" applyAlignment="1">
      <alignment horizontal="center"/>
    </xf>
    <xf numFmtId="168" fontId="13" fillId="0" borderId="7" xfId="1" applyNumberFormat="1" applyFont="1" applyFill="1" applyBorder="1" applyAlignment="1">
      <alignment horizontal="center"/>
    </xf>
    <xf numFmtId="0" fontId="8" fillId="9" borderId="1" xfId="0" applyFont="1" applyFill="1" applyBorder="1" applyAlignment="1">
      <alignment horizontal="center" vertical="center"/>
    </xf>
    <xf numFmtId="10" fontId="8" fillId="9" borderId="1" xfId="0" applyNumberFormat="1" applyFont="1" applyFill="1" applyBorder="1" applyAlignment="1">
      <alignment horizontal="center" vertical="center"/>
    </xf>
    <xf numFmtId="0" fontId="8" fillId="0" borderId="2" xfId="0" applyFont="1" applyBorder="1" applyAlignment="1">
      <alignment horizontal="center" vertical="center" wrapText="1"/>
    </xf>
    <xf numFmtId="0" fontId="5" fillId="9" borderId="4" xfId="0" applyFont="1" applyFill="1" applyBorder="1" applyAlignment="1">
      <alignment horizontal="center" vertical="center"/>
    </xf>
    <xf numFmtId="0" fontId="8" fillId="9" borderId="3" xfId="0" applyFont="1" applyFill="1" applyBorder="1" applyAlignment="1">
      <alignment vertical="center"/>
    </xf>
    <xf numFmtId="0" fontId="8" fillId="9" borderId="4" xfId="0" applyFont="1" applyFill="1" applyBorder="1" applyAlignment="1">
      <alignment vertical="center"/>
    </xf>
    <xf numFmtId="0" fontId="8" fillId="9" borderId="5" xfId="0" applyFont="1" applyFill="1" applyBorder="1" applyAlignment="1">
      <alignment vertical="center"/>
    </xf>
    <xf numFmtId="0" fontId="11" fillId="10" borderId="2" xfId="0" applyFont="1" applyFill="1" applyBorder="1" applyAlignment="1">
      <alignment horizontal="right" vertical="center"/>
    </xf>
    <xf numFmtId="0" fontId="10" fillId="10" borderId="2" xfId="0" applyFont="1" applyFill="1" applyBorder="1" applyAlignment="1">
      <alignment horizontal="right" vertical="center"/>
    </xf>
    <xf numFmtId="0" fontId="10" fillId="10" borderId="2" xfId="0" applyFont="1" applyFill="1" applyBorder="1" applyAlignment="1">
      <alignment horizontal="right"/>
    </xf>
    <xf numFmtId="171" fontId="5" fillId="0" borderId="0" xfId="0" applyNumberFormat="1" applyFont="1" applyAlignment="1">
      <alignment vertical="top" wrapText="1" readingOrder="1"/>
    </xf>
    <xf numFmtId="0" fontId="5" fillId="6" borderId="2" xfId="0" applyFont="1" applyFill="1" applyBorder="1"/>
    <xf numFmtId="2" fontId="5" fillId="6" borderId="2" xfId="0" applyNumberFormat="1" applyFont="1" applyFill="1" applyBorder="1" applyAlignment="1">
      <alignment horizontal="right"/>
    </xf>
    <xf numFmtId="2" fontId="6" fillId="12" borderId="2" xfId="2" applyNumberFormat="1" applyFill="1" applyBorder="1" applyAlignment="1">
      <alignment horizontal="center" vertical="center" wrapText="1"/>
    </xf>
    <xf numFmtId="2" fontId="6" fillId="15" borderId="2" xfId="2" applyNumberFormat="1" applyFill="1" applyBorder="1" applyAlignment="1">
      <alignment horizontal="center" vertical="center" wrapText="1"/>
    </xf>
    <xf numFmtId="2" fontId="6" fillId="18" borderId="2" xfId="2" applyNumberFormat="1" applyFill="1" applyBorder="1" applyAlignment="1">
      <alignment horizontal="center" vertical="center" wrapText="1"/>
    </xf>
    <xf numFmtId="0" fontId="8" fillId="9" borderId="6" xfId="0" applyFont="1" applyFill="1" applyBorder="1" applyAlignment="1">
      <alignment horizontal="center" vertical="center"/>
    </xf>
    <xf numFmtId="10" fontId="8" fillId="9" borderId="6" xfId="0" applyNumberFormat="1" applyFont="1" applyFill="1" applyBorder="1" applyAlignment="1">
      <alignment horizontal="center" vertical="center"/>
    </xf>
    <xf numFmtId="170" fontId="5" fillId="0" borderId="2" xfId="0" applyNumberFormat="1" applyFont="1" applyBorder="1"/>
    <xf numFmtId="0" fontId="20" fillId="9" borderId="2" xfId="0" applyFont="1" applyFill="1" applyBorder="1" applyAlignment="1">
      <alignment horizontal="center" vertical="center" wrapText="1"/>
    </xf>
    <xf numFmtId="0" fontId="10" fillId="4" borderId="2" xfId="0" applyFont="1" applyFill="1" applyBorder="1" applyAlignment="1">
      <alignment horizontal="center" vertical="center"/>
    </xf>
    <xf numFmtId="49" fontId="3" fillId="6" borderId="2" xfId="2" applyNumberFormat="1" applyFont="1" applyFill="1" applyBorder="1" applyAlignment="1">
      <alignment horizontal="center" vertical="center"/>
    </xf>
    <xf numFmtId="49" fontId="6" fillId="6" borderId="2" xfId="2" applyNumberFormat="1" applyFill="1" applyBorder="1" applyAlignment="1">
      <alignment horizontal="center" vertical="center"/>
    </xf>
    <xf numFmtId="0" fontId="2" fillId="0" borderId="0" xfId="0" applyFont="1" applyAlignment="1">
      <alignment horizontal="center"/>
    </xf>
    <xf numFmtId="0" fontId="10" fillId="10" borderId="2" xfId="0" applyFont="1" applyFill="1" applyBorder="1" applyAlignment="1">
      <alignment horizontal="center"/>
    </xf>
    <xf numFmtId="0" fontId="8" fillId="13" borderId="2" xfId="0" applyFont="1" applyFill="1" applyBorder="1" applyAlignment="1">
      <alignment vertical="top"/>
    </xf>
    <xf numFmtId="0" fontId="8" fillId="13" borderId="2" xfId="0" applyFont="1" applyFill="1" applyBorder="1" applyAlignment="1">
      <alignment vertical="center"/>
    </xf>
    <xf numFmtId="0" fontId="8" fillId="16" borderId="2" xfId="0" applyFont="1" applyFill="1" applyBorder="1" applyAlignment="1">
      <alignment vertical="center"/>
    </xf>
    <xf numFmtId="0" fontId="8" fillId="19" borderId="2" xfId="0" applyFont="1" applyFill="1" applyBorder="1" applyAlignment="1">
      <alignment vertical="center"/>
    </xf>
    <xf numFmtId="0" fontId="8" fillId="22" borderId="4" xfId="0" applyFont="1" applyFill="1" applyBorder="1" applyAlignment="1">
      <alignment wrapText="1"/>
    </xf>
    <xf numFmtId="0" fontId="8" fillId="22" borderId="5" xfId="0" applyFont="1" applyFill="1" applyBorder="1" applyAlignment="1">
      <alignment wrapText="1"/>
    </xf>
    <xf numFmtId="0" fontId="8" fillId="22" borderId="3" xfId="0" applyFont="1" applyFill="1" applyBorder="1"/>
    <xf numFmtId="0" fontId="8" fillId="22" borderId="3" xfId="0" applyFont="1" applyFill="1" applyBorder="1" applyAlignment="1">
      <alignment horizontal="left" vertical="center"/>
    </xf>
    <xf numFmtId="0" fontId="8" fillId="0" borderId="3" xfId="0" applyFont="1" applyBorder="1" applyAlignment="1">
      <alignment vertical="center"/>
    </xf>
    <xf numFmtId="0" fontId="8" fillId="0" borderId="4" xfId="0" applyFont="1" applyBorder="1" applyAlignment="1">
      <alignment vertical="center"/>
    </xf>
    <xf numFmtId="0" fontId="8" fillId="0" borderId="5" xfId="0" applyFont="1" applyBorder="1" applyAlignment="1">
      <alignment vertical="center"/>
    </xf>
    <xf numFmtId="0" fontId="8" fillId="22" borderId="4" xfId="0" applyFont="1" applyFill="1" applyBorder="1"/>
    <xf numFmtId="0" fontId="8" fillId="22" borderId="5" xfId="0" applyFont="1" applyFill="1" applyBorder="1"/>
    <xf numFmtId="0" fontId="5" fillId="6" borderId="24" xfId="3" applyFill="1" applyBorder="1" applyAlignment="1">
      <alignment vertical="center" wrapText="1"/>
    </xf>
    <xf numFmtId="0" fontId="5" fillId="6" borderId="25" xfId="3" applyFill="1" applyBorder="1" applyAlignment="1">
      <alignment vertical="center"/>
    </xf>
    <xf numFmtId="0" fontId="5" fillId="6" borderId="3" xfId="0" applyFont="1" applyFill="1" applyBorder="1" applyAlignment="1">
      <alignment horizontal="center" vertical="center"/>
    </xf>
    <xf numFmtId="0" fontId="5" fillId="6" borderId="2" xfId="3" applyFill="1" applyBorder="1" applyAlignment="1">
      <alignment vertical="center" wrapText="1"/>
    </xf>
    <xf numFmtId="0" fontId="5" fillId="6" borderId="2" xfId="3" applyFill="1" applyBorder="1" applyAlignment="1">
      <alignment vertical="center"/>
    </xf>
    <xf numFmtId="14" fontId="2" fillId="0" borderId="2" xfId="0" applyNumberFormat="1" applyFont="1" applyBorder="1" applyAlignment="1">
      <alignment horizontal="center" vertical="center"/>
    </xf>
    <xf numFmtId="0" fontId="5" fillId="0" borderId="0" xfId="0" applyFont="1" applyAlignment="1">
      <alignment wrapText="1"/>
    </xf>
    <xf numFmtId="0" fontId="5" fillId="6" borderId="2" xfId="0" applyFont="1" applyFill="1" applyBorder="1" applyAlignment="1">
      <alignment horizontal="left" vertical="top" wrapText="1" readingOrder="1"/>
    </xf>
    <xf numFmtId="0" fontId="23" fillId="6" borderId="2" xfId="0" applyFont="1" applyFill="1" applyBorder="1"/>
    <xf numFmtId="0" fontId="6" fillId="6" borderId="2" xfId="3" applyFont="1" applyFill="1" applyBorder="1" applyAlignment="1">
      <alignment vertical="center" wrapText="1"/>
    </xf>
    <xf numFmtId="0" fontId="6" fillId="6" borderId="2" xfId="3" applyFont="1" applyFill="1" applyBorder="1" applyAlignment="1">
      <alignment vertical="center"/>
    </xf>
    <xf numFmtId="0" fontId="5" fillId="6" borderId="2" xfId="0" applyFont="1" applyFill="1" applyBorder="1" applyAlignment="1">
      <alignment wrapText="1"/>
    </xf>
    <xf numFmtId="0" fontId="12" fillId="6" borderId="3" xfId="0" applyFont="1" applyFill="1" applyBorder="1" applyAlignment="1">
      <alignment horizontal="center" vertical="center"/>
    </xf>
    <xf numFmtId="0" fontId="5" fillId="6" borderId="2" xfId="0" applyFont="1" applyFill="1" applyBorder="1" applyAlignment="1">
      <alignment horizontal="center"/>
    </xf>
    <xf numFmtId="0" fontId="5" fillId="6" borderId="0" xfId="0" applyFont="1" applyFill="1" applyAlignment="1">
      <alignment horizontal="center" vertical="center"/>
    </xf>
    <xf numFmtId="0" fontId="0" fillId="6" borderId="2" xfId="0" applyFill="1" applyBorder="1" applyAlignment="1">
      <alignment horizontal="center"/>
    </xf>
    <xf numFmtId="2" fontId="12" fillId="6" borderId="2" xfId="0" applyNumberFormat="1" applyFont="1" applyFill="1" applyBorder="1" applyAlignment="1">
      <alignment horizontal="center" vertical="center" wrapText="1"/>
    </xf>
    <xf numFmtId="2" fontId="6" fillId="8" borderId="3" xfId="2" applyNumberFormat="1" applyFill="1" applyBorder="1" applyAlignment="1">
      <alignment horizontal="center" vertical="center" wrapText="1"/>
    </xf>
    <xf numFmtId="2" fontId="10" fillId="10" borderId="3" xfId="0" applyNumberFormat="1" applyFont="1" applyFill="1" applyBorder="1" applyAlignment="1">
      <alignment horizontal="center" vertical="center"/>
    </xf>
    <xf numFmtId="2" fontId="5" fillId="0" borderId="3" xfId="0" applyNumberFormat="1" applyFont="1" applyBorder="1" applyAlignment="1">
      <alignment vertical="center"/>
    </xf>
    <xf numFmtId="2" fontId="5" fillId="6" borderId="3" xfId="0" applyNumberFormat="1" applyFont="1" applyFill="1" applyBorder="1" applyAlignment="1">
      <alignment vertical="center"/>
    </xf>
    <xf numFmtId="172" fontId="5" fillId="6" borderId="3" xfId="6" applyNumberFormat="1" applyFont="1" applyFill="1" applyBorder="1"/>
    <xf numFmtId="172" fontId="6" fillId="6" borderId="3" xfId="6" applyNumberFormat="1" applyFont="1" applyFill="1" applyBorder="1"/>
    <xf numFmtId="2" fontId="5" fillId="0" borderId="3" xfId="0" applyNumberFormat="1" applyFont="1" applyBorder="1"/>
    <xf numFmtId="2" fontId="12" fillId="0" borderId="3" xfId="0" applyNumberFormat="1" applyFont="1" applyBorder="1" applyAlignment="1">
      <alignment horizontal="right" vertical="center" wrapText="1"/>
    </xf>
    <xf numFmtId="2" fontId="12" fillId="21" borderId="3" xfId="0" applyNumberFormat="1" applyFont="1" applyFill="1" applyBorder="1" applyAlignment="1">
      <alignment horizontal="right" vertical="center" wrapText="1"/>
    </xf>
    <xf numFmtId="2" fontId="12" fillId="6" borderId="3" xfId="0" applyNumberFormat="1" applyFont="1" applyFill="1" applyBorder="1" applyAlignment="1">
      <alignment horizontal="right" vertical="center" wrapText="1"/>
    </xf>
    <xf numFmtId="2" fontId="12" fillId="26" borderId="3" xfId="0" applyNumberFormat="1" applyFont="1" applyFill="1" applyBorder="1" applyAlignment="1">
      <alignment horizontal="right" vertical="center" wrapText="1"/>
    </xf>
    <xf numFmtId="0" fontId="3" fillId="7" borderId="0" xfId="2" applyFont="1" applyFill="1" applyAlignment="1">
      <alignment vertical="center"/>
    </xf>
    <xf numFmtId="0" fontId="5" fillId="6" borderId="2" xfId="0" applyFont="1" applyFill="1" applyBorder="1" applyAlignment="1">
      <alignment horizontal="left"/>
    </xf>
    <xf numFmtId="0" fontId="2" fillId="6" borderId="2" xfId="0" applyFont="1" applyFill="1" applyBorder="1" applyAlignment="1">
      <alignment horizontal="center"/>
    </xf>
    <xf numFmtId="167" fontId="2" fillId="0" borderId="2" xfId="0" applyNumberFormat="1" applyFont="1" applyBorder="1" applyAlignment="1">
      <alignment horizontal="center" vertical="center"/>
    </xf>
    <xf numFmtId="0" fontId="2" fillId="6" borderId="2" xfId="0" applyFont="1" applyFill="1" applyBorder="1"/>
    <xf numFmtId="0" fontId="6" fillId="6" borderId="2" xfId="0" applyFont="1" applyFill="1" applyBorder="1" applyAlignment="1">
      <alignment vertical="center"/>
    </xf>
    <xf numFmtId="49" fontId="8" fillId="6" borderId="2" xfId="0" applyNumberFormat="1" applyFont="1" applyFill="1" applyBorder="1" applyAlignment="1">
      <alignment vertical="center" wrapText="1"/>
    </xf>
    <xf numFmtId="0" fontId="12" fillId="6" borderId="2" xfId="0" applyFont="1" applyFill="1" applyBorder="1" applyAlignment="1">
      <alignment horizontal="center" vertical="top" wrapText="1"/>
    </xf>
    <xf numFmtId="0" fontId="24" fillId="0" borderId="2" xfId="0" applyFont="1" applyBorder="1" applyAlignment="1">
      <alignment vertical="center" wrapText="1"/>
    </xf>
    <xf numFmtId="0" fontId="3" fillId="0" borderId="2" xfId="0" applyFont="1" applyBorder="1" applyAlignment="1">
      <alignment vertical="center"/>
    </xf>
    <xf numFmtId="0" fontId="2" fillId="0" borderId="2" xfId="0" applyFont="1" applyBorder="1" applyAlignment="1">
      <alignment horizontal="left" vertical="center" wrapText="1"/>
    </xf>
    <xf numFmtId="171" fontId="11" fillId="10" borderId="2" xfId="0" applyNumberFormat="1" applyFont="1" applyFill="1" applyBorder="1" applyAlignment="1">
      <alignment horizontal="right" vertical="center"/>
    </xf>
    <xf numFmtId="171" fontId="5" fillId="6" borderId="2" xfId="0" applyNumberFormat="1" applyFont="1" applyFill="1" applyBorder="1" applyAlignment="1">
      <alignment horizontal="right"/>
    </xf>
    <xf numFmtId="171" fontId="10" fillId="4" borderId="2" xfId="0" applyNumberFormat="1" applyFont="1" applyFill="1" applyBorder="1" applyAlignment="1">
      <alignment horizontal="right" vertical="center"/>
    </xf>
    <xf numFmtId="171" fontId="11" fillId="4" borderId="2" xfId="0" applyNumberFormat="1" applyFont="1" applyFill="1" applyBorder="1" applyAlignment="1">
      <alignment horizontal="right" vertical="center"/>
    </xf>
    <xf numFmtId="171" fontId="10" fillId="10" borderId="2" xfId="0" applyNumberFormat="1" applyFont="1" applyFill="1" applyBorder="1" applyAlignment="1">
      <alignment horizontal="right" vertical="center"/>
    </xf>
    <xf numFmtId="171" fontId="3" fillId="11" borderId="2" xfId="2" applyNumberFormat="1" applyFont="1" applyFill="1" applyBorder="1" applyAlignment="1">
      <alignment horizontal="left" vertical="center"/>
    </xf>
    <xf numFmtId="171" fontId="6" fillId="12" borderId="2" xfId="2" applyNumberFormat="1" applyFill="1" applyBorder="1" applyAlignment="1">
      <alignment horizontal="center" vertical="center" wrapText="1"/>
    </xf>
    <xf numFmtId="171" fontId="3" fillId="14" borderId="2" xfId="2" applyNumberFormat="1" applyFont="1" applyFill="1" applyBorder="1" applyAlignment="1">
      <alignment horizontal="left" vertical="center"/>
    </xf>
    <xf numFmtId="171" fontId="6" fillId="15" borderId="2" xfId="2" applyNumberFormat="1" applyFill="1" applyBorder="1" applyAlignment="1">
      <alignment horizontal="center" vertical="center" wrapText="1"/>
    </xf>
    <xf numFmtId="171" fontId="10" fillId="10" borderId="2" xfId="0" applyNumberFormat="1" applyFont="1" applyFill="1" applyBorder="1" applyAlignment="1">
      <alignment horizontal="right"/>
    </xf>
    <xf numFmtId="171" fontId="5" fillId="6" borderId="2" xfId="0" applyNumberFormat="1" applyFont="1" applyFill="1" applyBorder="1" applyAlignment="1">
      <alignment vertical="center"/>
    </xf>
    <xf numFmtId="171" fontId="5" fillId="0" borderId="2" xfId="0" applyNumberFormat="1" applyFont="1" applyBorder="1"/>
    <xf numFmtId="171" fontId="2" fillId="0" borderId="2" xfId="0" applyNumberFormat="1" applyFont="1" applyBorder="1" applyAlignment="1">
      <alignment vertical="top" wrapText="1" readingOrder="1"/>
    </xf>
    <xf numFmtId="173" fontId="5" fillId="6" borderId="2" xfId="0" applyNumberFormat="1" applyFont="1" applyFill="1" applyBorder="1" applyAlignment="1">
      <alignment horizontal="right"/>
    </xf>
    <xf numFmtId="171" fontId="5" fillId="0" borderId="3" xfId="0" applyNumberFormat="1" applyFont="1" applyBorder="1" applyAlignment="1">
      <alignment vertical="center"/>
    </xf>
    <xf numFmtId="171" fontId="5" fillId="0" borderId="2" xfId="0" applyNumberFormat="1" applyFont="1" applyBorder="1" applyAlignment="1">
      <alignment vertical="center"/>
    </xf>
    <xf numFmtId="171" fontId="10" fillId="10" borderId="3" xfId="0" applyNumberFormat="1" applyFont="1" applyFill="1" applyBorder="1" applyAlignment="1">
      <alignment horizontal="center" vertical="center"/>
    </xf>
    <xf numFmtId="171" fontId="10" fillId="10" borderId="2" xfId="0" applyNumberFormat="1" applyFont="1" applyFill="1" applyBorder="1" applyAlignment="1">
      <alignment horizontal="center" vertical="center"/>
    </xf>
    <xf numFmtId="171" fontId="5" fillId="6" borderId="3" xfId="0" applyNumberFormat="1" applyFont="1" applyFill="1" applyBorder="1" applyAlignment="1">
      <alignment vertical="center"/>
    </xf>
    <xf numFmtId="171" fontId="5" fillId="6" borderId="3" xfId="6" applyNumberFormat="1" applyFont="1" applyFill="1" applyBorder="1"/>
    <xf numFmtId="171" fontId="5" fillId="6" borderId="2" xfId="6" applyNumberFormat="1" applyFont="1" applyFill="1" applyBorder="1"/>
    <xf numFmtId="171" fontId="6" fillId="6" borderId="3" xfId="6" applyNumberFormat="1" applyFont="1" applyFill="1" applyBorder="1"/>
    <xf numFmtId="171" fontId="6" fillId="6" borderId="2" xfId="6" applyNumberFormat="1" applyFont="1" applyFill="1" applyBorder="1"/>
    <xf numFmtId="171" fontId="5" fillId="0" borderId="3" xfId="0" applyNumberFormat="1" applyFont="1" applyBorder="1"/>
    <xf numFmtId="171" fontId="12" fillId="0" borderId="3" xfId="0" applyNumberFormat="1" applyFont="1" applyBorder="1" applyAlignment="1">
      <alignment horizontal="right" vertical="center" wrapText="1"/>
    </xf>
    <xf numFmtId="171" fontId="12" fillId="0" borderId="2" xfId="0" applyNumberFormat="1" applyFont="1" applyBorder="1" applyAlignment="1">
      <alignment horizontal="right" vertical="center" wrapText="1"/>
    </xf>
    <xf numFmtId="171" fontId="12" fillId="21" borderId="3" xfId="0" applyNumberFormat="1" applyFont="1" applyFill="1" applyBorder="1" applyAlignment="1">
      <alignment horizontal="right" vertical="center" wrapText="1"/>
    </xf>
    <xf numFmtId="171" fontId="12" fillId="21" borderId="2" xfId="0" applyNumberFormat="1" applyFont="1" applyFill="1" applyBorder="1" applyAlignment="1">
      <alignment horizontal="right" vertical="center" wrapText="1"/>
    </xf>
    <xf numFmtId="171" fontId="12" fillId="6" borderId="3" xfId="0" applyNumberFormat="1" applyFont="1" applyFill="1" applyBorder="1" applyAlignment="1">
      <alignment horizontal="right" vertical="center" wrapText="1"/>
    </xf>
    <xf numFmtId="171" fontId="12" fillId="6" borderId="2" xfId="0" applyNumberFormat="1" applyFont="1" applyFill="1" applyBorder="1" applyAlignment="1">
      <alignment horizontal="right" vertical="center" wrapText="1"/>
    </xf>
    <xf numFmtId="171" fontId="12" fillId="26" borderId="3" xfId="0" applyNumberFormat="1" applyFont="1" applyFill="1" applyBorder="1" applyAlignment="1">
      <alignment horizontal="right" vertical="center" wrapText="1"/>
    </xf>
    <xf numFmtId="171" fontId="12" fillId="26" borderId="2" xfId="0" applyNumberFormat="1" applyFont="1" applyFill="1" applyBorder="1" applyAlignment="1">
      <alignment horizontal="right" vertical="center" wrapText="1"/>
    </xf>
    <xf numFmtId="171" fontId="12" fillId="6" borderId="2" xfId="0" applyNumberFormat="1" applyFont="1" applyFill="1" applyBorder="1" applyAlignment="1">
      <alignment horizontal="center" vertical="center"/>
    </xf>
    <xf numFmtId="171" fontId="5" fillId="0" borderId="2" xfId="0" applyNumberFormat="1" applyFont="1" applyBorder="1" applyAlignment="1">
      <alignment wrapText="1" readingOrder="1"/>
    </xf>
    <xf numFmtId="0" fontId="14" fillId="0" borderId="0" xfId="0" applyFont="1" applyAlignment="1">
      <alignment vertical="center" wrapText="1"/>
    </xf>
    <xf numFmtId="49" fontId="3" fillId="6" borderId="2" xfId="2" applyNumberFormat="1" applyFont="1" applyFill="1" applyBorder="1" applyAlignment="1">
      <alignment vertical="center"/>
    </xf>
    <xf numFmtId="0" fontId="11" fillId="10" borderId="2" xfId="0" applyFont="1" applyFill="1" applyBorder="1" applyAlignment="1">
      <alignment vertical="center"/>
    </xf>
    <xf numFmtId="0" fontId="11" fillId="4" borderId="2" xfId="0" applyFont="1" applyFill="1" applyBorder="1" applyAlignment="1">
      <alignment vertical="center"/>
    </xf>
    <xf numFmtId="0" fontId="3" fillId="11" borderId="2" xfId="2" applyFont="1" applyFill="1" applyBorder="1" applyAlignment="1">
      <alignment vertical="center"/>
    </xf>
    <xf numFmtId="0" fontId="6" fillId="12" borderId="2" xfId="2" applyFill="1" applyBorder="1" applyAlignment="1">
      <alignment vertical="center" wrapText="1"/>
    </xf>
    <xf numFmtId="0" fontId="3" fillId="14" borderId="2" xfId="2" applyFont="1" applyFill="1" applyBorder="1" applyAlignment="1">
      <alignment vertical="center"/>
    </xf>
    <xf numFmtId="0" fontId="6" fillId="15" borderId="2" xfId="2" applyFill="1" applyBorder="1" applyAlignment="1">
      <alignment vertical="center" wrapText="1"/>
    </xf>
    <xf numFmtId="0" fontId="3" fillId="17" borderId="2" xfId="2" applyFont="1" applyFill="1" applyBorder="1" applyAlignment="1">
      <alignment vertical="center"/>
    </xf>
    <xf numFmtId="0" fontId="6" fillId="18" borderId="2" xfId="2" applyFill="1" applyBorder="1" applyAlignment="1">
      <alignment vertical="center" wrapText="1"/>
    </xf>
    <xf numFmtId="0" fontId="5" fillId="6" borderId="2" xfId="0" applyFont="1" applyFill="1" applyBorder="1" applyAlignment="1">
      <alignment vertical="top" wrapText="1" readingOrder="1"/>
    </xf>
    <xf numFmtId="0" fontId="5" fillId="6" borderId="2" xfId="0" applyFont="1" applyFill="1" applyBorder="1" applyAlignment="1">
      <alignment horizontal="center" vertical="center" wrapText="1"/>
    </xf>
    <xf numFmtId="0" fontId="5" fillId="6" borderId="2" xfId="0" applyFont="1" applyFill="1" applyBorder="1" applyAlignment="1">
      <alignment horizontal="left" vertical="center" wrapText="1"/>
    </xf>
    <xf numFmtId="0" fontId="46" fillId="0" borderId="0" xfId="0" applyFont="1" applyAlignment="1">
      <alignment vertical="center"/>
    </xf>
    <xf numFmtId="0" fontId="46" fillId="0" borderId="0" xfId="0" applyFont="1"/>
    <xf numFmtId="0" fontId="57" fillId="0" borderId="2" xfId="0" applyFont="1" applyBorder="1" applyAlignment="1">
      <alignment vertical="center" wrapText="1"/>
    </xf>
    <xf numFmtId="0" fontId="58" fillId="0" borderId="0" xfId="0" applyFont="1" applyAlignment="1">
      <alignment vertical="center"/>
    </xf>
    <xf numFmtId="6" fontId="57" fillId="0" borderId="2" xfId="0" applyNumberFormat="1" applyFont="1" applyBorder="1" applyAlignment="1">
      <alignment horizontal="center" vertical="center"/>
    </xf>
    <xf numFmtId="0" fontId="55" fillId="0" borderId="0" xfId="0" applyFont="1"/>
    <xf numFmtId="6" fontId="57" fillId="5" borderId="3" xfId="0" applyNumberFormat="1" applyFont="1" applyFill="1" applyBorder="1" applyAlignment="1">
      <alignment horizontal="center" vertical="center" wrapText="1"/>
    </xf>
    <xf numFmtId="0" fontId="55" fillId="4" borderId="2" xfId="0" applyFont="1" applyFill="1" applyBorder="1" applyAlignment="1">
      <alignment vertical="center"/>
    </xf>
    <xf numFmtId="0" fontId="55" fillId="0" borderId="2" xfId="0" applyFont="1" applyBorder="1" applyAlignment="1">
      <alignment vertical="center"/>
    </xf>
    <xf numFmtId="0" fontId="57" fillId="5" borderId="3" xfId="0" applyFont="1" applyFill="1" applyBorder="1" applyAlignment="1">
      <alignment vertical="center"/>
    </xf>
    <xf numFmtId="0" fontId="60" fillId="4" borderId="2" xfId="0" applyFont="1" applyFill="1" applyBorder="1" applyAlignment="1">
      <alignment vertical="center" wrapText="1"/>
    </xf>
    <xf numFmtId="0" fontId="57" fillId="5" borderId="2" xfId="0" applyFont="1" applyFill="1" applyBorder="1" applyAlignment="1">
      <alignment vertical="center"/>
    </xf>
    <xf numFmtId="6" fontId="57" fillId="5" borderId="2" xfId="0" applyNumberFormat="1" applyFont="1" applyFill="1" applyBorder="1" applyAlignment="1">
      <alignment vertical="center"/>
    </xf>
    <xf numFmtId="0" fontId="57" fillId="5" borderId="2" xfId="0" applyFont="1" applyFill="1" applyBorder="1" applyAlignment="1">
      <alignment horizontal="center" vertical="center"/>
    </xf>
    <xf numFmtId="0" fontId="56" fillId="0" borderId="0" xfId="0" applyFont="1" applyAlignment="1">
      <alignment vertical="center"/>
    </xf>
    <xf numFmtId="6" fontId="57" fillId="5" borderId="3" xfId="0" applyNumberFormat="1" applyFont="1" applyFill="1" applyBorder="1" applyAlignment="1">
      <alignment horizontal="center" vertical="center"/>
    </xf>
    <xf numFmtId="0" fontId="57" fillId="3" borderId="2" xfId="0" applyFont="1" applyFill="1" applyBorder="1" applyAlignment="1">
      <alignment vertical="center"/>
    </xf>
    <xf numFmtId="6" fontId="57" fillId="0" borderId="2" xfId="0" applyNumberFormat="1" applyFont="1" applyBorder="1" applyAlignment="1">
      <alignment horizontal="center" vertical="center" wrapText="1"/>
    </xf>
    <xf numFmtId="176" fontId="57" fillId="6" borderId="3" xfId="0" applyNumberFormat="1" applyFont="1" applyFill="1" applyBorder="1" applyAlignment="1">
      <alignment horizontal="center" vertical="center"/>
    </xf>
    <xf numFmtId="6" fontId="57" fillId="0" borderId="3" xfId="0" applyNumberFormat="1" applyFont="1" applyBorder="1" applyAlignment="1">
      <alignment horizontal="center" vertical="center" wrapText="1"/>
    </xf>
    <xf numFmtId="6" fontId="57" fillId="0" borderId="3" xfId="0" applyNumberFormat="1" applyFont="1" applyBorder="1" applyAlignment="1">
      <alignment horizontal="center" vertical="center"/>
    </xf>
    <xf numFmtId="14" fontId="2" fillId="0" borderId="7" xfId="0" applyNumberFormat="1" applyFont="1" applyBorder="1" applyAlignment="1">
      <alignment horizontal="center" vertical="center"/>
    </xf>
    <xf numFmtId="0" fontId="2" fillId="0" borderId="5" xfId="0" applyFont="1" applyBorder="1" applyAlignment="1">
      <alignment horizontal="left" vertical="center" wrapText="1"/>
    </xf>
    <xf numFmtId="0" fontId="57" fillId="0" borderId="2" xfId="0" applyFont="1" applyBorder="1" applyAlignment="1">
      <alignment vertical="center"/>
    </xf>
    <xf numFmtId="6" fontId="55" fillId="0" borderId="2" xfId="0" applyNumberFormat="1" applyFont="1" applyBorder="1" applyAlignment="1">
      <alignment vertical="center"/>
    </xf>
    <xf numFmtId="176" fontId="57" fillId="5" borderId="5" xfId="0" applyNumberFormat="1" applyFont="1" applyFill="1" applyBorder="1" applyAlignment="1">
      <alignment vertical="center"/>
    </xf>
    <xf numFmtId="0" fontId="60" fillId="4" borderId="2" xfId="0" applyFont="1" applyFill="1" applyBorder="1" applyAlignment="1">
      <alignment vertical="center"/>
    </xf>
    <xf numFmtId="0" fontId="57" fillId="5" borderId="5" xfId="0" applyFont="1" applyFill="1" applyBorder="1" applyAlignment="1">
      <alignment horizontal="center" vertical="center"/>
    </xf>
    <xf numFmtId="0" fontId="57" fillId="5" borderId="3" xfId="0" applyFont="1" applyFill="1" applyBorder="1" applyAlignment="1">
      <alignment horizontal="center" vertical="center"/>
    </xf>
    <xf numFmtId="6" fontId="57" fillId="0" borderId="5" xfId="0" applyNumberFormat="1" applyFont="1" applyBorder="1" applyAlignment="1">
      <alignment horizontal="center" vertical="center" wrapText="1"/>
    </xf>
    <xf numFmtId="0" fontId="55" fillId="0" borderId="0" xfId="0" applyFont="1" applyAlignment="1">
      <alignment vertical="center"/>
    </xf>
    <xf numFmtId="0" fontId="59" fillId="3" borderId="2" xfId="0" applyFont="1" applyFill="1" applyBorder="1" applyAlignment="1">
      <alignment vertical="center"/>
    </xf>
    <xf numFmtId="6" fontId="57" fillId="0" borderId="2" xfId="0" applyNumberFormat="1" applyFont="1" applyBorder="1" applyAlignment="1">
      <alignment horizontal="center" wrapText="1"/>
    </xf>
    <xf numFmtId="6" fontId="57" fillId="5" borderId="2" xfId="0" applyNumberFormat="1" applyFont="1" applyFill="1" applyBorder="1" applyAlignment="1">
      <alignment horizontal="center" vertical="center"/>
    </xf>
    <xf numFmtId="0" fontId="2" fillId="0" borderId="7" xfId="0" applyFont="1" applyBorder="1" applyAlignment="1">
      <alignment horizontal="left" vertical="center" wrapText="1"/>
    </xf>
    <xf numFmtId="0" fontId="2" fillId="0" borderId="5" xfId="0" applyFont="1" applyBorder="1"/>
    <xf numFmtId="0" fontId="2" fillId="0" borderId="7" xfId="0" applyFont="1" applyBorder="1" applyAlignment="1">
      <alignment horizontal="center" vertical="center"/>
    </xf>
    <xf numFmtId="0" fontId="2" fillId="6" borderId="0" xfId="0" applyFont="1" applyFill="1" applyAlignment="1">
      <alignment vertical="center"/>
    </xf>
    <xf numFmtId="171" fontId="11" fillId="6" borderId="2" xfId="0" applyNumberFormat="1" applyFont="1" applyFill="1" applyBorder="1" applyAlignment="1">
      <alignment horizontal="right" vertical="center"/>
    </xf>
    <xf numFmtId="2" fontId="5" fillId="0" borderId="0" xfId="0" applyNumberFormat="1" applyFont="1" applyBorder="1"/>
    <xf numFmtId="2" fontId="12" fillId="0" borderId="0" xfId="0" applyNumberFormat="1" applyFont="1" applyBorder="1" applyAlignment="1">
      <alignment horizontal="right" vertical="center" wrapText="1"/>
    </xf>
    <xf numFmtId="0" fontId="2" fillId="0" borderId="2" xfId="0" applyFont="1" applyBorder="1" applyAlignment="1">
      <alignment horizontal="center" vertical="center"/>
    </xf>
    <xf numFmtId="14" fontId="2" fillId="0" borderId="2" xfId="0" applyNumberFormat="1" applyFont="1" applyBorder="1" applyAlignment="1">
      <alignment horizontal="center" vertical="center"/>
    </xf>
    <xf numFmtId="167" fontId="2" fillId="0" borderId="2" xfId="0" applyNumberFormat="1" applyFont="1" applyBorder="1" applyAlignment="1">
      <alignment horizontal="center" vertical="center"/>
    </xf>
    <xf numFmtId="0" fontId="60" fillId="0" borderId="9" xfId="0" applyFont="1" applyBorder="1" applyAlignment="1">
      <alignment horizontal="center" vertical="center"/>
    </xf>
    <xf numFmtId="0" fontId="60" fillId="0" borderId="10" xfId="0" applyFont="1" applyBorder="1" applyAlignment="1">
      <alignment horizontal="center" vertical="center"/>
    </xf>
    <xf numFmtId="0" fontId="60" fillId="0" borderId="23" xfId="0" applyFont="1" applyBorder="1" applyAlignment="1">
      <alignment horizontal="center" vertical="center"/>
    </xf>
    <xf numFmtId="6" fontId="57" fillId="5" borderId="7" xfId="0" applyNumberFormat="1" applyFont="1" applyFill="1" applyBorder="1" applyAlignment="1">
      <alignment horizontal="center" vertical="center"/>
    </xf>
    <xf numFmtId="6" fontId="57" fillId="5" borderId="1" xfId="0" applyNumberFormat="1" applyFont="1" applyFill="1" applyBorder="1" applyAlignment="1">
      <alignment horizontal="center" vertical="center"/>
    </xf>
    <xf numFmtId="6" fontId="57" fillId="0" borderId="3" xfId="0" applyNumberFormat="1" applyFont="1" applyBorder="1" applyAlignment="1">
      <alignment horizontal="center" vertical="center"/>
    </xf>
    <xf numFmtId="6" fontId="57" fillId="0" borderId="4" xfId="0" applyNumberFormat="1" applyFont="1" applyBorder="1" applyAlignment="1">
      <alignment horizontal="center" vertical="center"/>
    </xf>
    <xf numFmtId="6" fontId="57" fillId="0" borderId="5" xfId="0" applyNumberFormat="1" applyFont="1" applyBorder="1" applyAlignment="1">
      <alignment horizontal="center" vertical="center"/>
    </xf>
    <xf numFmtId="0" fontId="57" fillId="5" borderId="3" xfId="0" applyFont="1" applyFill="1" applyBorder="1" applyAlignment="1">
      <alignment horizontal="center" vertical="center"/>
    </xf>
    <xf numFmtId="0" fontId="57" fillId="5" borderId="4" xfId="0" applyFont="1" applyFill="1" applyBorder="1" applyAlignment="1">
      <alignment horizontal="center" vertical="center"/>
    </xf>
    <xf numFmtId="0" fontId="57" fillId="5" borderId="5" xfId="0" applyFont="1" applyFill="1" applyBorder="1" applyAlignment="1">
      <alignment horizontal="center" vertical="center"/>
    </xf>
    <xf numFmtId="0" fontId="60" fillId="4" borderId="3" xfId="0" applyFont="1" applyFill="1" applyBorder="1" applyAlignment="1">
      <alignment horizontal="left" vertical="center"/>
    </xf>
    <xf numFmtId="0" fontId="60" fillId="4" borderId="4" xfId="0" applyFont="1" applyFill="1" applyBorder="1" applyAlignment="1">
      <alignment horizontal="left" vertical="center"/>
    </xf>
    <xf numFmtId="0" fontId="60" fillId="4" borderId="5" xfId="0" applyFont="1" applyFill="1" applyBorder="1" applyAlignment="1">
      <alignment horizontal="left" vertical="center"/>
    </xf>
    <xf numFmtId="6" fontId="57" fillId="0" borderId="2" xfId="0" applyNumberFormat="1" applyFont="1" applyBorder="1" applyAlignment="1">
      <alignment horizontal="center" vertical="center"/>
    </xf>
    <xf numFmtId="0" fontId="60" fillId="25" borderId="22" xfId="0" applyFont="1" applyFill="1" applyBorder="1" applyAlignment="1">
      <alignment horizontal="center" vertical="center"/>
    </xf>
    <xf numFmtId="0" fontId="60" fillId="25" borderId="11" xfId="0" applyFont="1" applyFill="1" applyBorder="1" applyAlignment="1">
      <alignment horizontal="center" vertical="center"/>
    </xf>
    <xf numFmtId="0" fontId="60" fillId="4" borderId="21" xfId="0" applyFont="1" applyFill="1" applyBorder="1" applyAlignment="1">
      <alignment horizontal="left" vertical="center"/>
    </xf>
    <xf numFmtId="0" fontId="60" fillId="4" borderId="20" xfId="0" applyFont="1" applyFill="1" applyBorder="1" applyAlignment="1">
      <alignment horizontal="left" vertical="center"/>
    </xf>
    <xf numFmtId="0" fontId="57" fillId="5" borderId="2" xfId="0" applyFont="1" applyFill="1" applyBorder="1" applyAlignment="1">
      <alignment horizontal="center" vertical="center"/>
    </xf>
    <xf numFmtId="0" fontId="57" fillId="5" borderId="7" xfId="0" applyFont="1" applyFill="1" applyBorder="1" applyAlignment="1">
      <alignment horizontal="center" vertical="center"/>
    </xf>
    <xf numFmtId="0" fontId="57" fillId="5" borderId="6" xfId="0" applyFont="1" applyFill="1" applyBorder="1" applyAlignment="1">
      <alignment horizontal="center" vertical="center"/>
    </xf>
    <xf numFmtId="0" fontId="57" fillId="5" borderId="1" xfId="0" applyFont="1" applyFill="1" applyBorder="1" applyAlignment="1">
      <alignment horizontal="center" vertical="center"/>
    </xf>
    <xf numFmtId="0" fontId="4" fillId="0" borderId="0" xfId="0" applyFont="1" applyAlignment="1">
      <alignment horizontal="center" vertical="center" wrapText="1"/>
    </xf>
    <xf numFmtId="0" fontId="7" fillId="17" borderId="18" xfId="2" applyFont="1" applyFill="1" applyBorder="1" applyAlignment="1">
      <alignment horizontal="center" vertical="center"/>
    </xf>
    <xf numFmtId="0" fontId="7" fillId="17" borderId="19" xfId="2" applyFont="1" applyFill="1" applyBorder="1" applyAlignment="1">
      <alignment horizontal="center" vertical="center"/>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169" fontId="8" fillId="9" borderId="2" xfId="0" applyNumberFormat="1" applyFont="1" applyFill="1" applyBorder="1" applyAlignment="1">
      <alignment horizontal="center" vertical="center"/>
    </xf>
    <xf numFmtId="0" fontId="21" fillId="0" borderId="0" xfId="0" applyFont="1" applyAlignment="1">
      <alignment horizontal="center"/>
    </xf>
    <xf numFmtId="0" fontId="0" fillId="0" borderId="2" xfId="0" applyBorder="1" applyAlignment="1">
      <alignment horizontal="center" vertical="center"/>
    </xf>
  </cellXfs>
  <cellStyles count="275">
    <cellStyle name="%" xfId="11" xr:uid="{00000000-0005-0000-0000-000000000000}"/>
    <cellStyle name="% 2" xfId="12" xr:uid="{00000000-0005-0000-0000-000001000000}"/>
    <cellStyle name="% 2 2" xfId="149" xr:uid="{00000000-0005-0000-0000-000002000000}"/>
    <cellStyle name="% 3" xfId="148" xr:uid="{00000000-0005-0000-0000-000003000000}"/>
    <cellStyle name="%_GF Tab" xfId="13" xr:uid="{00000000-0005-0000-0000-000004000000}"/>
    <cellStyle name="%_GF Tab (2)" xfId="14" xr:uid="{00000000-0005-0000-0000-000005000000}"/>
    <cellStyle name="%_GF Tab (2) 2" xfId="151" xr:uid="{00000000-0005-0000-0000-000006000000}"/>
    <cellStyle name="%_GF Tab 2" xfId="150" xr:uid="{00000000-0005-0000-0000-000007000000}"/>
    <cellStyle name="%_Suitability &amp; Availability" xfId="15" xr:uid="{00000000-0005-0000-0000-000008000000}"/>
    <cellStyle name="%_Suitability &amp; Availability 2" xfId="152" xr:uid="{00000000-0005-0000-0000-000009000000}"/>
    <cellStyle name="20 % - Accent1 2" xfId="202" xr:uid="{00000000-0005-0000-0000-00000A000000}"/>
    <cellStyle name="20 % - Accent2 2" xfId="203" xr:uid="{00000000-0005-0000-0000-00000B000000}"/>
    <cellStyle name="20 % - Accent3 2" xfId="204" xr:uid="{00000000-0005-0000-0000-00000C000000}"/>
    <cellStyle name="20 % - Accent4 2" xfId="205" xr:uid="{00000000-0005-0000-0000-00000D000000}"/>
    <cellStyle name="20 % - Accent5 2" xfId="206" xr:uid="{00000000-0005-0000-0000-00000E000000}"/>
    <cellStyle name="20 % - Accent6 2" xfId="207" xr:uid="{00000000-0005-0000-0000-00000F000000}"/>
    <cellStyle name="20% - Accent1 2" xfId="17" xr:uid="{00000000-0005-0000-0000-000010000000}"/>
    <cellStyle name="20% - Accent1 3" xfId="18" xr:uid="{00000000-0005-0000-0000-000011000000}"/>
    <cellStyle name="20% - Accent1 4" xfId="16" xr:uid="{00000000-0005-0000-0000-000012000000}"/>
    <cellStyle name="20% - Accent2 2" xfId="20" xr:uid="{00000000-0005-0000-0000-000013000000}"/>
    <cellStyle name="20% - Accent2 3" xfId="21" xr:uid="{00000000-0005-0000-0000-000014000000}"/>
    <cellStyle name="20% - Accent2 4" xfId="19" xr:uid="{00000000-0005-0000-0000-000015000000}"/>
    <cellStyle name="20% - Accent3 2" xfId="23" xr:uid="{00000000-0005-0000-0000-000016000000}"/>
    <cellStyle name="20% - Accent3 3" xfId="24" xr:uid="{00000000-0005-0000-0000-000017000000}"/>
    <cellStyle name="20% - Accent3 4" xfId="22" xr:uid="{00000000-0005-0000-0000-000018000000}"/>
    <cellStyle name="20% - Accent4 2" xfId="26" xr:uid="{00000000-0005-0000-0000-000019000000}"/>
    <cellStyle name="20% - Accent4 3" xfId="27" xr:uid="{00000000-0005-0000-0000-00001A000000}"/>
    <cellStyle name="20% - Accent4 4" xfId="25" xr:uid="{00000000-0005-0000-0000-00001B000000}"/>
    <cellStyle name="20% - Accent5 2" xfId="29" xr:uid="{00000000-0005-0000-0000-00001C000000}"/>
    <cellStyle name="20% - Accent5 3" xfId="30" xr:uid="{00000000-0005-0000-0000-00001D000000}"/>
    <cellStyle name="20% - Accent5 4" xfId="28" xr:uid="{00000000-0005-0000-0000-00001E000000}"/>
    <cellStyle name="20% - Accent6 2" xfId="32" xr:uid="{00000000-0005-0000-0000-00001F000000}"/>
    <cellStyle name="20% - Accent6 3" xfId="33" xr:uid="{00000000-0005-0000-0000-000020000000}"/>
    <cellStyle name="20% - Accent6 4" xfId="31" xr:uid="{00000000-0005-0000-0000-000021000000}"/>
    <cellStyle name="40 % - Accent1 2" xfId="208" xr:uid="{00000000-0005-0000-0000-000022000000}"/>
    <cellStyle name="40 % - Accent2 2" xfId="209" xr:uid="{00000000-0005-0000-0000-000023000000}"/>
    <cellStyle name="40 % - Accent3 2" xfId="210" xr:uid="{00000000-0005-0000-0000-000024000000}"/>
    <cellStyle name="40 % - Accent4 2" xfId="211" xr:uid="{00000000-0005-0000-0000-000025000000}"/>
    <cellStyle name="40 % - Accent5 2" xfId="212" xr:uid="{00000000-0005-0000-0000-000026000000}"/>
    <cellStyle name="40 % - Accent6 2" xfId="213" xr:uid="{00000000-0005-0000-0000-000027000000}"/>
    <cellStyle name="40% - Accent1 2" xfId="35" xr:uid="{00000000-0005-0000-0000-000028000000}"/>
    <cellStyle name="40% - Accent1 3" xfId="36" xr:uid="{00000000-0005-0000-0000-000029000000}"/>
    <cellStyle name="40% - Accent1 4" xfId="34" xr:uid="{00000000-0005-0000-0000-00002A000000}"/>
    <cellStyle name="40% - Accent2 2" xfId="38" xr:uid="{00000000-0005-0000-0000-00002B000000}"/>
    <cellStyle name="40% - Accent2 3" xfId="39" xr:uid="{00000000-0005-0000-0000-00002C000000}"/>
    <cellStyle name="40% - Accent2 4" xfId="37" xr:uid="{00000000-0005-0000-0000-00002D000000}"/>
    <cellStyle name="40% - Accent3 2" xfId="41" xr:uid="{00000000-0005-0000-0000-00002E000000}"/>
    <cellStyle name="40% - Accent3 3" xfId="42" xr:uid="{00000000-0005-0000-0000-00002F000000}"/>
    <cellStyle name="40% - Accent3 4" xfId="40" xr:uid="{00000000-0005-0000-0000-000030000000}"/>
    <cellStyle name="40% - Accent4 2" xfId="44" xr:uid="{00000000-0005-0000-0000-000031000000}"/>
    <cellStyle name="40% - Accent4 3" xfId="45" xr:uid="{00000000-0005-0000-0000-000032000000}"/>
    <cellStyle name="40% - Accent4 4" xfId="43" xr:uid="{00000000-0005-0000-0000-000033000000}"/>
    <cellStyle name="40% - Accent5 2" xfId="47" xr:uid="{00000000-0005-0000-0000-000034000000}"/>
    <cellStyle name="40% - Accent5 3" xfId="48" xr:uid="{00000000-0005-0000-0000-000035000000}"/>
    <cellStyle name="40% - Accent5 4" xfId="46" xr:uid="{00000000-0005-0000-0000-000036000000}"/>
    <cellStyle name="40% - Accent6 2" xfId="50" xr:uid="{00000000-0005-0000-0000-000037000000}"/>
    <cellStyle name="40% - Accent6 3" xfId="51" xr:uid="{00000000-0005-0000-0000-000038000000}"/>
    <cellStyle name="40% - Accent6 4" xfId="49" xr:uid="{00000000-0005-0000-0000-000039000000}"/>
    <cellStyle name="60 % - Accent1 2" xfId="214" xr:uid="{00000000-0005-0000-0000-00003A000000}"/>
    <cellStyle name="60 % - Accent2 2" xfId="215" xr:uid="{00000000-0005-0000-0000-00003B000000}"/>
    <cellStyle name="60 % - Accent3 2" xfId="216" xr:uid="{00000000-0005-0000-0000-00003C000000}"/>
    <cellStyle name="60 % - Accent4 2" xfId="217" xr:uid="{00000000-0005-0000-0000-00003D000000}"/>
    <cellStyle name="60 % - Accent5 2" xfId="218" xr:uid="{00000000-0005-0000-0000-00003E000000}"/>
    <cellStyle name="60 % - Accent6 2" xfId="219" xr:uid="{00000000-0005-0000-0000-00003F000000}"/>
    <cellStyle name="60% - Accent1 2" xfId="53" xr:uid="{00000000-0005-0000-0000-000040000000}"/>
    <cellStyle name="60% - Accent1 3" xfId="54" xr:uid="{00000000-0005-0000-0000-000041000000}"/>
    <cellStyle name="60% - Accent1 4" xfId="52" xr:uid="{00000000-0005-0000-0000-000042000000}"/>
    <cellStyle name="60% - Accent2 2" xfId="56" xr:uid="{00000000-0005-0000-0000-000043000000}"/>
    <cellStyle name="60% - Accent2 3" xfId="57" xr:uid="{00000000-0005-0000-0000-000044000000}"/>
    <cellStyle name="60% - Accent2 4" xfId="55" xr:uid="{00000000-0005-0000-0000-000045000000}"/>
    <cellStyle name="60% - Accent3 2" xfId="59" xr:uid="{00000000-0005-0000-0000-000046000000}"/>
    <cellStyle name="60% - Accent3 3" xfId="60" xr:uid="{00000000-0005-0000-0000-000047000000}"/>
    <cellStyle name="60% - Accent3 4" xfId="58" xr:uid="{00000000-0005-0000-0000-000048000000}"/>
    <cellStyle name="60% - Accent4 2" xfId="62" xr:uid="{00000000-0005-0000-0000-000049000000}"/>
    <cellStyle name="60% - Accent4 3" xfId="63" xr:uid="{00000000-0005-0000-0000-00004A000000}"/>
    <cellStyle name="60% - Accent4 4" xfId="61" xr:uid="{00000000-0005-0000-0000-00004B000000}"/>
    <cellStyle name="60% - Accent5 2" xfId="65" xr:uid="{00000000-0005-0000-0000-00004C000000}"/>
    <cellStyle name="60% - Accent5 3" xfId="66" xr:uid="{00000000-0005-0000-0000-00004D000000}"/>
    <cellStyle name="60% - Accent5 4" xfId="64" xr:uid="{00000000-0005-0000-0000-00004E000000}"/>
    <cellStyle name="60% - Accent6 2" xfId="68" xr:uid="{00000000-0005-0000-0000-00004F000000}"/>
    <cellStyle name="60% - Accent6 3" xfId="69" xr:uid="{00000000-0005-0000-0000-000050000000}"/>
    <cellStyle name="60% - Accent6 4" xfId="67" xr:uid="{00000000-0005-0000-0000-000051000000}"/>
    <cellStyle name="Accent1 2" xfId="71" xr:uid="{00000000-0005-0000-0000-000052000000}"/>
    <cellStyle name="Accent1 2 2" xfId="262" xr:uid="{00000000-0005-0000-0000-000053000000}"/>
    <cellStyle name="Accent1 2 3" xfId="220" xr:uid="{00000000-0005-0000-0000-000054000000}"/>
    <cellStyle name="Accent1 3" xfId="72" xr:uid="{00000000-0005-0000-0000-000055000000}"/>
    <cellStyle name="Accent1 4" xfId="70" xr:uid="{00000000-0005-0000-0000-000056000000}"/>
    <cellStyle name="Accent2 2" xfId="74" xr:uid="{00000000-0005-0000-0000-000057000000}"/>
    <cellStyle name="Accent2 2 2" xfId="263" xr:uid="{00000000-0005-0000-0000-000058000000}"/>
    <cellStyle name="Accent2 2 3" xfId="221" xr:uid="{00000000-0005-0000-0000-000059000000}"/>
    <cellStyle name="Accent2 3" xfId="75" xr:uid="{00000000-0005-0000-0000-00005A000000}"/>
    <cellStyle name="Accent2 4" xfId="73" xr:uid="{00000000-0005-0000-0000-00005B000000}"/>
    <cellStyle name="Accent3 2" xfId="77" xr:uid="{00000000-0005-0000-0000-00005C000000}"/>
    <cellStyle name="Accent3 2 2" xfId="264" xr:uid="{00000000-0005-0000-0000-00005D000000}"/>
    <cellStyle name="Accent3 2 3" xfId="222" xr:uid="{00000000-0005-0000-0000-00005E000000}"/>
    <cellStyle name="Accent3 3" xfId="78" xr:uid="{00000000-0005-0000-0000-00005F000000}"/>
    <cellStyle name="Accent3 4" xfId="76" xr:uid="{00000000-0005-0000-0000-000060000000}"/>
    <cellStyle name="Accent4 2" xfId="80" xr:uid="{00000000-0005-0000-0000-000061000000}"/>
    <cellStyle name="Accent4 2 2" xfId="265" xr:uid="{00000000-0005-0000-0000-000062000000}"/>
    <cellStyle name="Accent4 2 3" xfId="223" xr:uid="{00000000-0005-0000-0000-000063000000}"/>
    <cellStyle name="Accent4 3" xfId="81" xr:uid="{00000000-0005-0000-0000-000064000000}"/>
    <cellStyle name="Accent4 4" xfId="79" xr:uid="{00000000-0005-0000-0000-000065000000}"/>
    <cellStyle name="Accent5 2" xfId="83" xr:uid="{00000000-0005-0000-0000-000066000000}"/>
    <cellStyle name="Accent5 2 2" xfId="266" xr:uid="{00000000-0005-0000-0000-000067000000}"/>
    <cellStyle name="Accent5 2 3" xfId="224" xr:uid="{00000000-0005-0000-0000-000068000000}"/>
    <cellStyle name="Accent5 3" xfId="84" xr:uid="{00000000-0005-0000-0000-000069000000}"/>
    <cellStyle name="Accent5 4" xfId="82" xr:uid="{00000000-0005-0000-0000-00006A000000}"/>
    <cellStyle name="Accent6 2" xfId="86" xr:uid="{00000000-0005-0000-0000-00006B000000}"/>
    <cellStyle name="Accent6 2 2" xfId="267" xr:uid="{00000000-0005-0000-0000-00006C000000}"/>
    <cellStyle name="Accent6 2 3" xfId="225" xr:uid="{00000000-0005-0000-0000-00006D000000}"/>
    <cellStyle name="Accent6 3" xfId="87" xr:uid="{00000000-0005-0000-0000-00006E000000}"/>
    <cellStyle name="Accent6 4" xfId="85" xr:uid="{00000000-0005-0000-0000-00006F000000}"/>
    <cellStyle name="Bad 2" xfId="89" xr:uid="{00000000-0005-0000-0000-000070000000}"/>
    <cellStyle name="Bad 3" xfId="90" xr:uid="{00000000-0005-0000-0000-000071000000}"/>
    <cellStyle name="Bad 4" xfId="88" xr:uid="{00000000-0005-0000-0000-000072000000}"/>
    <cellStyle name="Calcul 2" xfId="226" xr:uid="{00000000-0005-0000-0000-000073000000}"/>
    <cellStyle name="Calculation 2" xfId="92" xr:uid="{00000000-0005-0000-0000-000074000000}"/>
    <cellStyle name="Calculation 2 2" xfId="154" xr:uid="{00000000-0005-0000-0000-000075000000}"/>
    <cellStyle name="Calculation 3" xfId="93" xr:uid="{00000000-0005-0000-0000-000076000000}"/>
    <cellStyle name="Calculation 3 2" xfId="155" xr:uid="{00000000-0005-0000-0000-000077000000}"/>
    <cellStyle name="Calculation 4" xfId="153" xr:uid="{00000000-0005-0000-0000-000078000000}"/>
    <cellStyle name="Calculation 5" xfId="91" xr:uid="{00000000-0005-0000-0000-000079000000}"/>
    <cellStyle name="Check Cell 2" xfId="95" xr:uid="{00000000-0005-0000-0000-00007A000000}"/>
    <cellStyle name="Check Cell 3" xfId="96" xr:uid="{00000000-0005-0000-0000-00007B000000}"/>
    <cellStyle name="Check Cell 4" xfId="94" xr:uid="{00000000-0005-0000-0000-00007C000000}"/>
    <cellStyle name="Comma 2" xfId="200" xr:uid="{00000000-0005-0000-0000-00007D000000}"/>
    <cellStyle name="Comma 2 2" xfId="201" xr:uid="{00000000-0005-0000-0000-00007E000000}"/>
    <cellStyle name="Comma 2 2 2" xfId="239" xr:uid="{00000000-0005-0000-0000-00007F000000}"/>
    <cellStyle name="Comma 2 2 2 2" xfId="247" xr:uid="{00000000-0005-0000-0000-000080000000}"/>
    <cellStyle name="Comma 2 2 2 2 2" xfId="254" xr:uid="{00000000-0005-0000-0000-000081000000}"/>
    <cellStyle name="Comma 2 2 3" xfId="244" xr:uid="{00000000-0005-0000-0000-000082000000}"/>
    <cellStyle name="Comma 2 2 3 2" xfId="251" xr:uid="{00000000-0005-0000-0000-000083000000}"/>
    <cellStyle name="Comma 2 3" xfId="238" xr:uid="{00000000-0005-0000-0000-000084000000}"/>
    <cellStyle name="Comma 2 3 2" xfId="246" xr:uid="{00000000-0005-0000-0000-000085000000}"/>
    <cellStyle name="Comma 2 3 2 2" xfId="253" xr:uid="{00000000-0005-0000-0000-000086000000}"/>
    <cellStyle name="Comma 2 4" xfId="243" xr:uid="{00000000-0005-0000-0000-000087000000}"/>
    <cellStyle name="Comma 2 4 2" xfId="250" xr:uid="{00000000-0005-0000-0000-000088000000}"/>
    <cellStyle name="Comma 3" xfId="199" xr:uid="{00000000-0005-0000-0000-000089000000}"/>
    <cellStyle name="Comma 3 2" xfId="237" xr:uid="{00000000-0005-0000-0000-00008A000000}"/>
    <cellStyle name="Comma 3 2 2" xfId="245" xr:uid="{00000000-0005-0000-0000-00008B000000}"/>
    <cellStyle name="Comma 3 2 2 2" xfId="252" xr:uid="{00000000-0005-0000-0000-00008C000000}"/>
    <cellStyle name="Comma 3 3" xfId="242" xr:uid="{00000000-0005-0000-0000-00008D000000}"/>
    <cellStyle name="Comma 3 3 2" xfId="249" xr:uid="{00000000-0005-0000-0000-00008E000000}"/>
    <cellStyle name="Currency 2" xfId="6" xr:uid="{00000000-0005-0000-0000-00008F000000}"/>
    <cellStyle name="Currency 2 2" xfId="7" xr:uid="{00000000-0005-0000-0000-000090000000}"/>
    <cellStyle name="Currency 2 2 2" xfId="255" xr:uid="{00000000-0005-0000-0000-000091000000}"/>
    <cellStyle name="Currency 2 2 3" xfId="258" xr:uid="{00000000-0005-0000-0000-000092000000}"/>
    <cellStyle name="Currency 2 3" xfId="8" xr:uid="{00000000-0005-0000-0000-000093000000}"/>
    <cellStyle name="Currency 2 3 2" xfId="259" xr:uid="{00000000-0005-0000-0000-000094000000}"/>
    <cellStyle name="Currency 2 4" xfId="257" xr:uid="{00000000-0005-0000-0000-000095000000}"/>
    <cellStyle name="Currency 2 5" xfId="240" xr:uid="{00000000-0005-0000-0000-000096000000}"/>
    <cellStyle name="Currency 3" xfId="195" xr:uid="{00000000-0005-0000-0000-000097000000}"/>
    <cellStyle name="Currency 3 2" xfId="256" xr:uid="{00000000-0005-0000-0000-000098000000}"/>
    <cellStyle name="Currency 3 3" xfId="272" xr:uid="{00000000-0005-0000-0000-000099000000}"/>
    <cellStyle name="Currency 3 4" xfId="274" xr:uid="{00000000-0005-0000-0000-00009A000000}"/>
    <cellStyle name="Currency 3 5" xfId="248" xr:uid="{00000000-0005-0000-0000-00009B000000}"/>
    <cellStyle name="Currency 4" xfId="241" xr:uid="{00000000-0005-0000-0000-00009C000000}"/>
    <cellStyle name="Entrée 2" xfId="227" xr:uid="{00000000-0005-0000-0000-00009D000000}"/>
    <cellStyle name="Explanatory Text 2" xfId="98" xr:uid="{00000000-0005-0000-0000-00009E000000}"/>
    <cellStyle name="Explanatory Text 2 2" xfId="157" xr:uid="{00000000-0005-0000-0000-00009F000000}"/>
    <cellStyle name="Explanatory Text 3" xfId="99" xr:uid="{00000000-0005-0000-0000-0000A0000000}"/>
    <cellStyle name="Explanatory Text 3 2" xfId="158" xr:uid="{00000000-0005-0000-0000-0000A1000000}"/>
    <cellStyle name="Explanatory Text 4" xfId="156" xr:uid="{00000000-0005-0000-0000-0000A2000000}"/>
    <cellStyle name="Explanatory Text 5" xfId="97" xr:uid="{00000000-0005-0000-0000-0000A3000000}"/>
    <cellStyle name="Good 2" xfId="101" xr:uid="{00000000-0005-0000-0000-0000A4000000}"/>
    <cellStyle name="Good 3" xfId="102" xr:uid="{00000000-0005-0000-0000-0000A5000000}"/>
    <cellStyle name="Good 4" xfId="100" xr:uid="{00000000-0005-0000-0000-0000A6000000}"/>
    <cellStyle name="Heading 1 2" xfId="104" xr:uid="{00000000-0005-0000-0000-0000A7000000}"/>
    <cellStyle name="Heading 1 2 2" xfId="160" xr:uid="{00000000-0005-0000-0000-0000A8000000}"/>
    <cellStyle name="Heading 1 3" xfId="105" xr:uid="{00000000-0005-0000-0000-0000A9000000}"/>
    <cellStyle name="Heading 1 3 2" xfId="161" xr:uid="{00000000-0005-0000-0000-0000AA000000}"/>
    <cellStyle name="Heading 1 4" xfId="159" xr:uid="{00000000-0005-0000-0000-0000AB000000}"/>
    <cellStyle name="Heading 1 5" xfId="103" xr:uid="{00000000-0005-0000-0000-0000AC000000}"/>
    <cellStyle name="Heading 2 2" xfId="107" xr:uid="{00000000-0005-0000-0000-0000AD000000}"/>
    <cellStyle name="Heading 2 2 2" xfId="163" xr:uid="{00000000-0005-0000-0000-0000AE000000}"/>
    <cellStyle name="Heading 2 3" xfId="108" xr:uid="{00000000-0005-0000-0000-0000AF000000}"/>
    <cellStyle name="Heading 2 3 2" xfId="164" xr:uid="{00000000-0005-0000-0000-0000B0000000}"/>
    <cellStyle name="Heading 2 4" xfId="162" xr:uid="{00000000-0005-0000-0000-0000B1000000}"/>
    <cellStyle name="Heading 2 5" xfId="106" xr:uid="{00000000-0005-0000-0000-0000B2000000}"/>
    <cellStyle name="Heading 3 2" xfId="110" xr:uid="{00000000-0005-0000-0000-0000B3000000}"/>
    <cellStyle name="Heading 3 2 2" xfId="166" xr:uid="{00000000-0005-0000-0000-0000B4000000}"/>
    <cellStyle name="Heading 3 3" xfId="111" xr:uid="{00000000-0005-0000-0000-0000B5000000}"/>
    <cellStyle name="Heading 3 3 2" xfId="167" xr:uid="{00000000-0005-0000-0000-0000B6000000}"/>
    <cellStyle name="Heading 3 4" xfId="165" xr:uid="{00000000-0005-0000-0000-0000B7000000}"/>
    <cellStyle name="Heading 3 5" xfId="109" xr:uid="{00000000-0005-0000-0000-0000B8000000}"/>
    <cellStyle name="Heading 4 2" xfId="113" xr:uid="{00000000-0005-0000-0000-0000B9000000}"/>
    <cellStyle name="Heading 4 2 2" xfId="169" xr:uid="{00000000-0005-0000-0000-0000BA000000}"/>
    <cellStyle name="Heading 4 3" xfId="114" xr:uid="{00000000-0005-0000-0000-0000BB000000}"/>
    <cellStyle name="Heading 4 3 2" xfId="170" xr:uid="{00000000-0005-0000-0000-0000BC000000}"/>
    <cellStyle name="Heading 4 4" xfId="168" xr:uid="{00000000-0005-0000-0000-0000BD000000}"/>
    <cellStyle name="Heading 4 5" xfId="112" xr:uid="{00000000-0005-0000-0000-0000BE000000}"/>
    <cellStyle name="Hyperlink 2" xfId="116" xr:uid="{00000000-0005-0000-0000-0000BF000000}"/>
    <cellStyle name="Hyperlink 2 2" xfId="172" xr:uid="{00000000-0005-0000-0000-0000C0000000}"/>
    <cellStyle name="Hyperlink 2 3" xfId="268" xr:uid="{00000000-0005-0000-0000-0000C1000000}"/>
    <cellStyle name="Hyperlink 2 4" xfId="228" xr:uid="{00000000-0005-0000-0000-0000C2000000}"/>
    <cellStyle name="Hyperlink 3" xfId="171" xr:uid="{00000000-0005-0000-0000-0000C3000000}"/>
    <cellStyle name="Hyperlink 4" xfId="115" xr:uid="{00000000-0005-0000-0000-0000C4000000}"/>
    <cellStyle name="Input 2" xfId="118" xr:uid="{00000000-0005-0000-0000-0000C5000000}"/>
    <cellStyle name="Input 3" xfId="119" xr:uid="{00000000-0005-0000-0000-0000C6000000}"/>
    <cellStyle name="Input 4" xfId="117" xr:uid="{00000000-0005-0000-0000-0000C7000000}"/>
    <cellStyle name="Insatisfaisant 2" xfId="229" xr:uid="{00000000-0005-0000-0000-0000C8000000}"/>
    <cellStyle name="Lien hypertexte 2" xfId="230" xr:uid="{00000000-0005-0000-0000-0000C9000000}"/>
    <cellStyle name="Linked Cell 2" xfId="121" xr:uid="{00000000-0005-0000-0000-0000CA000000}"/>
    <cellStyle name="Linked Cell 2 2" xfId="174" xr:uid="{00000000-0005-0000-0000-0000CB000000}"/>
    <cellStyle name="Linked Cell 3" xfId="122" xr:uid="{00000000-0005-0000-0000-0000CC000000}"/>
    <cellStyle name="Linked Cell 3 2" xfId="175" xr:uid="{00000000-0005-0000-0000-0000CD000000}"/>
    <cellStyle name="Linked Cell 4" xfId="173" xr:uid="{00000000-0005-0000-0000-0000CE000000}"/>
    <cellStyle name="Linked Cell 5" xfId="120" xr:uid="{00000000-0005-0000-0000-0000CF000000}"/>
    <cellStyle name="Neutral 2" xfId="5" xr:uid="{00000000-0005-0000-0000-0000D0000000}"/>
    <cellStyle name="Neutral 2 2" xfId="124" xr:uid="{00000000-0005-0000-0000-0000D1000000}"/>
    <cellStyle name="Neutral 3" xfId="125" xr:uid="{00000000-0005-0000-0000-0000D2000000}"/>
    <cellStyle name="Neutral 4" xfId="123" xr:uid="{00000000-0005-0000-0000-0000D3000000}"/>
    <cellStyle name="Neutre 2" xfId="231" xr:uid="{00000000-0005-0000-0000-0000D4000000}"/>
    <cellStyle name="Neutre 3 2" xfId="4" xr:uid="{00000000-0005-0000-0000-0000D5000000}"/>
    <cellStyle name="Normal" xfId="0" builtinId="0"/>
    <cellStyle name="Normal 2" xfId="9" xr:uid="{00000000-0005-0000-0000-0000D7000000}"/>
    <cellStyle name="Normal 2 2" xfId="176" xr:uid="{00000000-0005-0000-0000-0000D8000000}"/>
    <cellStyle name="Normal 2 3" xfId="126" xr:uid="{00000000-0005-0000-0000-0000D9000000}"/>
    <cellStyle name="Normal 2 4" xfId="260" xr:uid="{00000000-0005-0000-0000-0000DA000000}"/>
    <cellStyle name="Normal 3" xfId="127" xr:uid="{00000000-0005-0000-0000-0000DB000000}"/>
    <cellStyle name="Normal 3 2" xfId="177" xr:uid="{00000000-0005-0000-0000-0000DC000000}"/>
    <cellStyle name="Normal 3 2 2" xfId="271" xr:uid="{00000000-0005-0000-0000-0000DD000000}"/>
    <cellStyle name="Normal 3 2 3" xfId="232" xr:uid="{00000000-0005-0000-0000-0000DE000000}"/>
    <cellStyle name="Normal 4" xfId="3" xr:uid="{00000000-0005-0000-0000-0000DF000000}"/>
    <cellStyle name="Normal 4 2" xfId="145" xr:uid="{00000000-0005-0000-0000-0000E0000000}"/>
    <cellStyle name="Normal 4 2 2" xfId="194" xr:uid="{00000000-0005-0000-0000-0000E1000000}"/>
    <cellStyle name="Normal 4 3" xfId="178" xr:uid="{00000000-0005-0000-0000-0000E2000000}"/>
    <cellStyle name="Normal 4 4" xfId="128" xr:uid="{00000000-0005-0000-0000-0000E3000000}"/>
    <cellStyle name="Normal 5" xfId="146" xr:uid="{00000000-0005-0000-0000-0000E4000000}"/>
    <cellStyle name="Normal 6" xfId="147" xr:uid="{00000000-0005-0000-0000-0000E5000000}"/>
    <cellStyle name="Normal 7" xfId="10" xr:uid="{00000000-0005-0000-0000-0000E6000000}"/>
    <cellStyle name="Normal 7 2" xfId="273" xr:uid="{00000000-0005-0000-0000-0000E7000000}"/>
    <cellStyle name="Normal 7 3" xfId="261" xr:uid="{00000000-0005-0000-0000-0000E8000000}"/>
    <cellStyle name="Normal_Matinfo 2 Lot3macV_3" xfId="2" xr:uid="{00000000-0005-0000-0000-0000E9000000}"/>
    <cellStyle name="Note 2" xfId="130" xr:uid="{00000000-0005-0000-0000-0000EA000000}"/>
    <cellStyle name="Note 2 2" xfId="179" xr:uid="{00000000-0005-0000-0000-0000EB000000}"/>
    <cellStyle name="Note 3" xfId="131" xr:uid="{00000000-0005-0000-0000-0000EC000000}"/>
    <cellStyle name="Note 3 2" xfId="180" xr:uid="{00000000-0005-0000-0000-0000ED000000}"/>
    <cellStyle name="Note 4" xfId="129" xr:uid="{00000000-0005-0000-0000-0000EE000000}"/>
    <cellStyle name="Output 2" xfId="133" xr:uid="{00000000-0005-0000-0000-0000EF000000}"/>
    <cellStyle name="Output 2 2" xfId="182" xr:uid="{00000000-0005-0000-0000-0000F0000000}"/>
    <cellStyle name="Output 3" xfId="134" xr:uid="{00000000-0005-0000-0000-0000F1000000}"/>
    <cellStyle name="Output 3 2" xfId="183" xr:uid="{00000000-0005-0000-0000-0000F2000000}"/>
    <cellStyle name="Output 4" xfId="181" xr:uid="{00000000-0005-0000-0000-0000F3000000}"/>
    <cellStyle name="Output 5" xfId="132" xr:uid="{00000000-0005-0000-0000-0000F4000000}"/>
    <cellStyle name="Pourcentage" xfId="1" builtinId="5"/>
    <cellStyle name="Satisfaisant 2" xfId="233" xr:uid="{00000000-0005-0000-0000-0000F6000000}"/>
    <cellStyle name="Sortie 2" xfId="234" xr:uid="{00000000-0005-0000-0000-0000F7000000}"/>
    <cellStyle name="Style 1" xfId="135" xr:uid="{00000000-0005-0000-0000-0000F8000000}"/>
    <cellStyle name="Style 1 2" xfId="184" xr:uid="{00000000-0005-0000-0000-0000F9000000}"/>
    <cellStyle name="Style 1 3" xfId="269" xr:uid="{00000000-0005-0000-0000-0000FA000000}"/>
    <cellStyle name="Style 1 4" xfId="196" xr:uid="{00000000-0005-0000-0000-0000FB000000}"/>
    <cellStyle name="Title 2" xfId="137" xr:uid="{00000000-0005-0000-0000-0000FC000000}"/>
    <cellStyle name="Title 2 2" xfId="186" xr:uid="{00000000-0005-0000-0000-0000FD000000}"/>
    <cellStyle name="Title 2 3" xfId="270" xr:uid="{00000000-0005-0000-0000-0000FE000000}"/>
    <cellStyle name="Title 2 4" xfId="197" xr:uid="{00000000-0005-0000-0000-0000FF000000}"/>
    <cellStyle name="Title 3" xfId="138" xr:uid="{00000000-0005-0000-0000-000000010000}"/>
    <cellStyle name="Title 3 2" xfId="187" xr:uid="{00000000-0005-0000-0000-000001010000}"/>
    <cellStyle name="Title 4" xfId="185" xr:uid="{00000000-0005-0000-0000-000002010000}"/>
    <cellStyle name="Title 5" xfId="136" xr:uid="{00000000-0005-0000-0000-000003010000}"/>
    <cellStyle name="Titre 1" xfId="235" xr:uid="{00000000-0005-0000-0000-000004010000}"/>
    <cellStyle name="Total 2" xfId="140" xr:uid="{00000000-0005-0000-0000-000005010000}"/>
    <cellStyle name="Total 2 2" xfId="189" xr:uid="{00000000-0005-0000-0000-000006010000}"/>
    <cellStyle name="Total 3" xfId="141" xr:uid="{00000000-0005-0000-0000-000007010000}"/>
    <cellStyle name="Total 3 2" xfId="190" xr:uid="{00000000-0005-0000-0000-000008010000}"/>
    <cellStyle name="Total 4" xfId="188" xr:uid="{00000000-0005-0000-0000-000009010000}"/>
    <cellStyle name="Total 5" xfId="139" xr:uid="{00000000-0005-0000-0000-00000A010000}"/>
    <cellStyle name="Vérification 2" xfId="236" xr:uid="{00000000-0005-0000-0000-00000B010000}"/>
    <cellStyle name="Warning Text 2" xfId="143" xr:uid="{00000000-0005-0000-0000-00000C010000}"/>
    <cellStyle name="Warning Text 2 2" xfId="192" xr:uid="{00000000-0005-0000-0000-00000D010000}"/>
    <cellStyle name="Warning Text 3" xfId="144" xr:uid="{00000000-0005-0000-0000-00000E010000}"/>
    <cellStyle name="Warning Text 3 2" xfId="193" xr:uid="{00000000-0005-0000-0000-00000F010000}"/>
    <cellStyle name="Warning Text 4" xfId="191" xr:uid="{00000000-0005-0000-0000-000010010000}"/>
    <cellStyle name="Warning Text 5" xfId="142" xr:uid="{00000000-0005-0000-0000-000011010000}"/>
    <cellStyle name="一般_Crockett 2.0 &amp; Boone 1.1" xfId="198" xr:uid="{00000000-0005-0000-0000-000012010000}"/>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00B0F0"/>
        </patternFill>
      </fill>
    </dxf>
    <dxf>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s>
  <tableStyles count="2" defaultTableStyle="TableStyleMedium2" defaultPivotStyle="PivotStyleLight16">
    <tableStyle name="tab_style_PFV_Template" pivot="0" count="2" xr9:uid="{00000000-0011-0000-FFFF-FFFF00000000}">
      <tableStyleElement type="wholeTable" dxfId="16"/>
      <tableStyleElement type="headerRow" dxfId="15"/>
    </tableStyle>
    <tableStyle name="Table Style 1" pivot="0" count="0" xr9:uid="{00000000-0011-0000-FFFF-FFFF01000000}"/>
  </tableStyles>
  <colors>
    <mruColors>
      <color rgb="FFFF66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F7671538-DFC1-4A0A-A737-1F414A6C9A6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F708B831-2466-4B54-8ECE-A0B5D8F10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0721181D-8BEB-4F2C-A4C7-D1C8CF3D48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BE6AC974-7117-48C6-B77B-37B1A86284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517C045C-505F-414D-8E7F-1FB11D5DEA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5516D535-522F-4408-AF9C-107D3D4208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CC75E748-5888-45F9-ACD1-EADDAC4F50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A0B4F43B-C62B-49AB-AA4F-EC1D5E3BA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00178E45-2B18-4315-B8C9-87919860B3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81"/>
  <sheetViews>
    <sheetView tabSelected="1" topLeftCell="A20" zoomScaleNormal="100" workbookViewId="0">
      <selection activeCell="D45" sqref="D45"/>
    </sheetView>
  </sheetViews>
  <sheetFormatPr baseColWidth="10" defaultColWidth="9.140625" defaultRowHeight="14.25"/>
  <cols>
    <col min="1" max="1" width="29.85546875" style="1" customWidth="1"/>
    <col min="2" max="2" width="20.140625" style="1" customWidth="1"/>
    <col min="3" max="3" width="9.140625" style="1"/>
    <col min="4" max="4" width="100.42578125" style="1" customWidth="1"/>
    <col min="5" max="16384" width="9.140625" style="1"/>
  </cols>
  <sheetData>
    <row r="2" spans="1:4" ht="45">
      <c r="A2" s="235" t="s">
        <v>0</v>
      </c>
      <c r="B2" s="235" t="s">
        <v>1</v>
      </c>
      <c r="C2" s="236" t="s">
        <v>2</v>
      </c>
      <c r="D2" s="236" t="s">
        <v>3</v>
      </c>
    </row>
    <row r="3" spans="1:4">
      <c r="A3" s="230"/>
      <c r="B3" s="204">
        <v>44440</v>
      </c>
      <c r="C3" s="43" t="s">
        <v>4</v>
      </c>
      <c r="D3" s="129" t="s">
        <v>5</v>
      </c>
    </row>
    <row r="4" spans="1:4">
      <c r="A4" s="327">
        <v>44477</v>
      </c>
      <c r="B4" s="328" t="s">
        <v>6</v>
      </c>
      <c r="C4" s="326" t="s">
        <v>7</v>
      </c>
      <c r="D4" s="129" t="s">
        <v>8</v>
      </c>
    </row>
    <row r="5" spans="1:4">
      <c r="A5" s="327"/>
      <c r="B5" s="328"/>
      <c r="C5" s="326"/>
      <c r="D5" s="129" t="s">
        <v>9</v>
      </c>
    </row>
    <row r="6" spans="1:4" customFormat="1" ht="15">
      <c r="A6" s="327">
        <v>44558</v>
      </c>
      <c r="B6" s="328" t="s">
        <v>10</v>
      </c>
      <c r="C6" s="326" t="s">
        <v>11</v>
      </c>
      <c r="D6" s="237" t="s">
        <v>12</v>
      </c>
    </row>
    <row r="7" spans="1:4" customFormat="1" ht="15">
      <c r="A7" s="327"/>
      <c r="B7" s="328"/>
      <c r="C7" s="326"/>
      <c r="D7" s="237" t="s">
        <v>13</v>
      </c>
    </row>
    <row r="8" spans="1:4" customFormat="1" ht="15">
      <c r="A8" s="327"/>
      <c r="B8" s="328"/>
      <c r="C8" s="326"/>
      <c r="D8" s="237" t="s">
        <v>14</v>
      </c>
    </row>
    <row r="9" spans="1:4" customFormat="1" ht="15">
      <c r="A9" s="327"/>
      <c r="B9" s="328"/>
      <c r="C9" s="326"/>
      <c r="D9" s="237" t="s">
        <v>15</v>
      </c>
    </row>
    <row r="10" spans="1:4" customFormat="1" ht="15">
      <c r="A10" s="327"/>
      <c r="B10" s="328"/>
      <c r="C10" s="326"/>
      <c r="D10" s="237" t="s">
        <v>16</v>
      </c>
    </row>
    <row r="11" spans="1:4" customFormat="1" ht="15">
      <c r="A11" s="327"/>
      <c r="B11" s="328"/>
      <c r="C11" s="326"/>
      <c r="D11" s="237" t="s">
        <v>17</v>
      </c>
    </row>
    <row r="12" spans="1:4" customFormat="1" ht="15">
      <c r="A12" s="327"/>
      <c r="B12" s="328"/>
      <c r="C12" s="326"/>
      <c r="D12" s="237" t="s">
        <v>18</v>
      </c>
    </row>
    <row r="13" spans="1:4" customFormat="1" ht="15">
      <c r="A13" s="327"/>
      <c r="B13" s="328"/>
      <c r="C13" s="326"/>
      <c r="D13" s="237" t="s">
        <v>19</v>
      </c>
    </row>
    <row r="14" spans="1:4" customFormat="1" ht="42.95" customHeight="1">
      <c r="A14" s="327">
        <v>44630</v>
      </c>
      <c r="B14" s="327" t="s">
        <v>20</v>
      </c>
      <c r="C14" s="326" t="s">
        <v>21</v>
      </c>
      <c r="D14" s="237" t="s">
        <v>22</v>
      </c>
    </row>
    <row r="15" spans="1:4" customFormat="1" ht="15">
      <c r="A15" s="327"/>
      <c r="B15" s="327"/>
      <c r="C15" s="326"/>
      <c r="D15" s="237" t="s">
        <v>23</v>
      </c>
    </row>
    <row r="16" spans="1:4" customFormat="1" ht="15">
      <c r="A16" s="327"/>
      <c r="B16" s="327"/>
      <c r="C16" s="326"/>
      <c r="D16" s="237" t="s">
        <v>24</v>
      </c>
    </row>
    <row r="17" spans="1:4" customFormat="1" ht="15">
      <c r="A17" s="327"/>
      <c r="B17" s="327"/>
      <c r="C17" s="326"/>
      <c r="D17" s="237" t="s">
        <v>25</v>
      </c>
    </row>
    <row r="18" spans="1:4" customFormat="1" ht="15">
      <c r="A18" s="327"/>
      <c r="B18" s="327"/>
      <c r="C18" s="326"/>
      <c r="D18" s="237" t="s">
        <v>26</v>
      </c>
    </row>
    <row r="19" spans="1:4" customFormat="1" ht="15">
      <c r="A19" s="327"/>
      <c r="B19" s="327"/>
      <c r="C19" s="326"/>
      <c r="D19" s="237" t="s">
        <v>27</v>
      </c>
    </row>
    <row r="20" spans="1:4" customFormat="1" ht="15">
      <c r="A20" s="327">
        <v>44686</v>
      </c>
      <c r="B20" s="327" t="s">
        <v>28</v>
      </c>
      <c r="C20" s="326" t="s">
        <v>29</v>
      </c>
      <c r="D20" s="237" t="s">
        <v>30</v>
      </c>
    </row>
    <row r="21" spans="1:4" customFormat="1" ht="15">
      <c r="A21" s="327"/>
      <c r="B21" s="327"/>
      <c r="C21" s="326"/>
      <c r="D21" s="237" t="s">
        <v>31</v>
      </c>
    </row>
    <row r="22" spans="1:4" customFormat="1" ht="15">
      <c r="A22" s="327"/>
      <c r="B22" s="327"/>
      <c r="C22" s="326"/>
      <c r="D22" s="237" t="s">
        <v>32</v>
      </c>
    </row>
    <row r="23" spans="1:4" customFormat="1" ht="15">
      <c r="A23" s="327"/>
      <c r="B23" s="327"/>
      <c r="C23" s="326"/>
      <c r="D23" s="237" t="s">
        <v>33</v>
      </c>
    </row>
    <row r="24" spans="1:4" customFormat="1" ht="15">
      <c r="A24" s="327"/>
      <c r="B24" s="327"/>
      <c r="C24" s="326"/>
      <c r="D24" s="237" t="s">
        <v>34</v>
      </c>
    </row>
    <row r="25" spans="1:4" customFormat="1" ht="15">
      <c r="A25" s="327">
        <v>44795</v>
      </c>
      <c r="B25" s="327">
        <v>44824</v>
      </c>
      <c r="C25" s="326" t="s">
        <v>35</v>
      </c>
      <c r="D25" s="237" t="s">
        <v>36</v>
      </c>
    </row>
    <row r="26" spans="1:4" customFormat="1" ht="15">
      <c r="A26" s="327"/>
      <c r="B26" s="327"/>
      <c r="C26" s="326"/>
      <c r="D26" s="237" t="s">
        <v>37</v>
      </c>
    </row>
    <row r="27" spans="1:4" customFormat="1" ht="15">
      <c r="A27" s="327"/>
      <c r="B27" s="327"/>
      <c r="C27" s="326"/>
      <c r="D27" s="237" t="s">
        <v>38</v>
      </c>
    </row>
    <row r="28" spans="1:4" customFormat="1" ht="28.5">
      <c r="A28" s="327"/>
      <c r="B28" s="327"/>
      <c r="C28" s="326"/>
      <c r="D28" s="237" t="s">
        <v>39</v>
      </c>
    </row>
    <row r="29" spans="1:4" customFormat="1" ht="15">
      <c r="A29" s="327"/>
      <c r="B29" s="327"/>
      <c r="C29" s="326"/>
      <c r="D29" s="237" t="s">
        <v>40</v>
      </c>
    </row>
    <row r="30" spans="1:4" customFormat="1" ht="15">
      <c r="A30" s="327"/>
      <c r="B30" s="327"/>
      <c r="C30" s="326"/>
      <c r="D30" s="237" t="s">
        <v>41</v>
      </c>
    </row>
    <row r="31" spans="1:4" customFormat="1" ht="15">
      <c r="A31" s="327"/>
      <c r="B31" s="327"/>
      <c r="C31" s="326"/>
      <c r="D31" s="237" t="s">
        <v>42</v>
      </c>
    </row>
    <row r="32" spans="1:4" customFormat="1" ht="42.75">
      <c r="A32" s="327">
        <v>44917</v>
      </c>
      <c r="B32" s="327">
        <v>44963</v>
      </c>
      <c r="C32" s="326" t="s">
        <v>43</v>
      </c>
      <c r="D32" s="237" t="s">
        <v>44</v>
      </c>
    </row>
    <row r="33" spans="1:4" customFormat="1" ht="15">
      <c r="A33" s="327"/>
      <c r="B33" s="327"/>
      <c r="C33" s="326"/>
      <c r="D33" s="237" t="s">
        <v>45</v>
      </c>
    </row>
    <row r="34" spans="1:4" customFormat="1" ht="15">
      <c r="A34" s="327"/>
      <c r="B34" s="327"/>
      <c r="C34" s="326"/>
      <c r="D34" s="237" t="s">
        <v>46</v>
      </c>
    </row>
    <row r="35" spans="1:4" customFormat="1" ht="28.5">
      <c r="A35" s="327"/>
      <c r="B35" s="327"/>
      <c r="C35" s="326"/>
      <c r="D35" s="237" t="s">
        <v>47</v>
      </c>
    </row>
    <row r="36" spans="1:4" customFormat="1" ht="15">
      <c r="A36" s="327"/>
      <c r="B36" s="327"/>
      <c r="C36" s="326"/>
      <c r="D36" s="237" t="s">
        <v>48</v>
      </c>
    </row>
    <row r="37" spans="1:4" customFormat="1" ht="15">
      <c r="A37" s="327"/>
      <c r="B37" s="327"/>
      <c r="C37" s="326"/>
      <c r="D37" s="237" t="s">
        <v>49</v>
      </c>
    </row>
    <row r="38" spans="1:4" customFormat="1" ht="162.94999999999999" customHeight="1">
      <c r="A38" s="204">
        <v>45015</v>
      </c>
      <c r="B38" s="204">
        <v>45047</v>
      </c>
      <c r="C38" s="43" t="s">
        <v>50</v>
      </c>
      <c r="D38" s="237" t="s">
        <v>51</v>
      </c>
    </row>
    <row r="39" spans="1:4" customFormat="1" ht="85.5">
      <c r="A39" s="306">
        <v>45078</v>
      </c>
      <c r="B39" s="306">
        <v>45089</v>
      </c>
      <c r="C39" s="321" t="s">
        <v>52</v>
      </c>
      <c r="D39" s="319" t="s">
        <v>53</v>
      </c>
    </row>
    <row r="40" spans="1:4" customFormat="1" ht="28.5">
      <c r="A40" s="327">
        <v>45128</v>
      </c>
      <c r="B40" s="327">
        <v>45173</v>
      </c>
      <c r="C40" s="326" t="s">
        <v>54</v>
      </c>
      <c r="D40" s="307" t="s">
        <v>55</v>
      </c>
    </row>
    <row r="41" spans="1:4" customFormat="1" ht="15">
      <c r="A41" s="327"/>
      <c r="B41" s="327"/>
      <c r="C41" s="326"/>
      <c r="D41" s="320" t="s">
        <v>56</v>
      </c>
    </row>
    <row r="42" spans="1:4" customFormat="1" ht="15">
      <c r="A42" s="327"/>
      <c r="B42" s="327"/>
      <c r="C42" s="326"/>
      <c r="D42" s="307" t="s">
        <v>57</v>
      </c>
    </row>
    <row r="43" spans="1:4" customFormat="1" ht="15">
      <c r="A43" s="327"/>
      <c r="B43" s="327"/>
      <c r="C43" s="326"/>
      <c r="D43" s="307" t="s">
        <v>58</v>
      </c>
    </row>
    <row r="44" spans="1:4" customFormat="1" ht="15">
      <c r="A44" s="327"/>
      <c r="B44" s="327"/>
      <c r="C44" s="326"/>
      <c r="D44" s="237" t="s">
        <v>59</v>
      </c>
    </row>
    <row r="45" spans="1:4" customFormat="1" ht="130.5" customHeight="1">
      <c r="A45" s="204">
        <v>45271</v>
      </c>
      <c r="B45" s="204">
        <v>45306</v>
      </c>
      <c r="C45" s="43" t="s">
        <v>1663</v>
      </c>
      <c r="D45" s="237" t="s">
        <v>1701</v>
      </c>
    </row>
    <row r="46" spans="1:4" customFormat="1" ht="15"/>
    <row r="47" spans="1:4" customFormat="1" ht="15"/>
    <row r="48" spans="1:4" customFormat="1" ht="15"/>
    <row r="49" customFormat="1" ht="15"/>
    <row r="50" customFormat="1" ht="15"/>
    <row r="51" customFormat="1" ht="15"/>
    <row r="52" customFormat="1" ht="15"/>
    <row r="53" customFormat="1" ht="15"/>
    <row r="54" customFormat="1" ht="15"/>
    <row r="55" customFormat="1" ht="15"/>
    <row r="56" customFormat="1" ht="15"/>
    <row r="57" customFormat="1" ht="15"/>
    <row r="58" customFormat="1" ht="15"/>
    <row r="59" customFormat="1" ht="15"/>
    <row r="60" customFormat="1" ht="15"/>
    <row r="61" customFormat="1" ht="15"/>
    <row r="62" customFormat="1" ht="15"/>
    <row r="63" customFormat="1" ht="15"/>
    <row r="64" customFormat="1" ht="15"/>
    <row r="65" spans="1:4" customFormat="1" ht="15"/>
    <row r="66" spans="1:4" customFormat="1" ht="15"/>
    <row r="67" spans="1:4" customFormat="1" ht="15"/>
    <row r="68" spans="1:4" customFormat="1" ht="15"/>
    <row r="69" spans="1:4" customFormat="1" ht="15"/>
    <row r="70" spans="1:4" customFormat="1" ht="15"/>
    <row r="71" spans="1:4" customFormat="1" ht="15"/>
    <row r="72" spans="1:4" customFormat="1" ht="15"/>
    <row r="73" spans="1:4" customFormat="1" ht="15"/>
    <row r="74" spans="1:4" customFormat="1" ht="15"/>
    <row r="75" spans="1:4" customFormat="1" ht="15">
      <c r="A75" s="1"/>
      <c r="B75" s="1"/>
      <c r="C75" s="1"/>
    </row>
    <row r="76" spans="1:4" customFormat="1" ht="15">
      <c r="A76" s="1"/>
      <c r="B76" s="1"/>
      <c r="C76" s="1"/>
    </row>
    <row r="77" spans="1:4" customFormat="1" ht="15">
      <c r="A77" s="1"/>
      <c r="B77" s="1"/>
      <c r="C77" s="1"/>
    </row>
    <row r="78" spans="1:4" customFormat="1" ht="15">
      <c r="A78" s="1"/>
      <c r="B78" s="1"/>
      <c r="C78" s="1"/>
    </row>
    <row r="79" spans="1:4" ht="15">
      <c r="D79"/>
    </row>
    <row r="80" spans="1:4" ht="15">
      <c r="D80"/>
    </row>
    <row r="81" spans="4:4" ht="15">
      <c r="D81"/>
    </row>
  </sheetData>
  <mergeCells count="21">
    <mergeCell ref="C14:C19"/>
    <mergeCell ref="B14:B19"/>
    <mergeCell ref="A14:A19"/>
    <mergeCell ref="A6:A13"/>
    <mergeCell ref="B4:B5"/>
    <mergeCell ref="A4:A5"/>
    <mergeCell ref="C4:C5"/>
    <mergeCell ref="C6:C13"/>
    <mergeCell ref="B6:B13"/>
    <mergeCell ref="A20:A24"/>
    <mergeCell ref="C20:C24"/>
    <mergeCell ref="B20:B24"/>
    <mergeCell ref="C25:C31"/>
    <mergeCell ref="B25:B31"/>
    <mergeCell ref="C40:C44"/>
    <mergeCell ref="B40:B44"/>
    <mergeCell ref="A40:A44"/>
    <mergeCell ref="A32:A37"/>
    <mergeCell ref="A25:A31"/>
    <mergeCell ref="C32:C37"/>
    <mergeCell ref="B32:B3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7"/>
  <sheetViews>
    <sheetView topLeftCell="B1" zoomScaleNormal="100" workbookViewId="0">
      <selection activeCell="B1" sqref="B1"/>
    </sheetView>
  </sheetViews>
  <sheetFormatPr baseColWidth="10" defaultColWidth="11.42578125" defaultRowHeight="14.25"/>
  <cols>
    <col min="1" max="1" width="59.42578125" style="285" customWidth="1"/>
    <col min="2" max="3" width="17.42578125" style="285" bestFit="1" customWidth="1"/>
    <col min="4" max="4" width="20.140625" style="285" bestFit="1" customWidth="1"/>
    <col min="5" max="5" width="27.42578125" style="285" bestFit="1" customWidth="1"/>
    <col min="6" max="6" width="35.85546875" style="285" bestFit="1" customWidth="1"/>
    <col min="7" max="7" width="36.140625" style="285" customWidth="1"/>
    <col min="8" max="8" width="28" style="286" customWidth="1"/>
    <col min="9" max="16384" width="11.42578125" style="286"/>
  </cols>
  <sheetData>
    <row r="1" spans="1:8" ht="15.75">
      <c r="A1" s="316" t="s">
        <v>60</v>
      </c>
      <c r="B1" s="301" t="s">
        <v>61</v>
      </c>
      <c r="C1" s="301" t="s">
        <v>62</v>
      </c>
      <c r="D1" s="301" t="s">
        <v>63</v>
      </c>
      <c r="E1" s="301" t="s">
        <v>64</v>
      </c>
      <c r="F1" s="315"/>
      <c r="G1" s="315"/>
      <c r="H1" s="315"/>
    </row>
    <row r="2" spans="1:8" ht="15" customHeight="1">
      <c r="A2" s="340" t="s">
        <v>65</v>
      </c>
      <c r="B2" s="341"/>
      <c r="C2" s="341"/>
      <c r="D2" s="341"/>
      <c r="E2" s="342"/>
      <c r="F2" s="315"/>
      <c r="G2" s="315"/>
      <c r="H2" s="315"/>
    </row>
    <row r="3" spans="1:8" ht="30.75" customHeight="1">
      <c r="A3" s="308" t="s">
        <v>66</v>
      </c>
      <c r="B3" s="289">
        <v>80</v>
      </c>
      <c r="C3" s="304">
        <v>69</v>
      </c>
      <c r="D3" s="337"/>
      <c r="E3" s="339"/>
      <c r="F3" s="315"/>
      <c r="G3" s="315"/>
      <c r="H3" s="315"/>
    </row>
    <row r="4" spans="1:8" ht="30.75" customHeight="1">
      <c r="A4" s="308" t="s">
        <v>67</v>
      </c>
      <c r="B4" s="318"/>
      <c r="C4" s="304">
        <v>186</v>
      </c>
      <c r="D4" s="303">
        <v>108</v>
      </c>
      <c r="E4" s="312"/>
      <c r="F4" s="315"/>
      <c r="G4" s="315"/>
      <c r="H4" s="315"/>
    </row>
    <row r="5" spans="1:8" ht="30.75" customHeight="1">
      <c r="A5" s="288" t="s">
        <v>68</v>
      </c>
      <c r="B5" s="318"/>
      <c r="C5" s="304"/>
      <c r="D5" s="303">
        <v>188</v>
      </c>
      <c r="E5" s="312"/>
      <c r="F5" s="315"/>
      <c r="G5" s="315"/>
      <c r="H5" s="315"/>
    </row>
    <row r="6" spans="1:8" ht="30.75" customHeight="1">
      <c r="A6" s="308" t="s">
        <v>69</v>
      </c>
      <c r="B6" s="289">
        <v>204</v>
      </c>
      <c r="C6" s="304">
        <v>180</v>
      </c>
      <c r="D6" s="313"/>
      <c r="E6" s="312"/>
      <c r="F6" s="315"/>
      <c r="G6" s="315"/>
      <c r="H6" s="315"/>
    </row>
    <row r="7" spans="1:8" ht="33.950000000000003" customHeight="1">
      <c r="A7" s="287" t="s">
        <v>70</v>
      </c>
      <c r="B7" s="318"/>
      <c r="C7" s="304">
        <v>180</v>
      </c>
      <c r="D7" s="305">
        <v>119</v>
      </c>
      <c r="E7" s="302" t="s">
        <v>1700</v>
      </c>
      <c r="F7" s="315"/>
      <c r="G7" s="315"/>
      <c r="H7" s="315"/>
    </row>
    <row r="8" spans="1:8" ht="33.950000000000003" customHeight="1">
      <c r="A8" s="119" t="s">
        <v>71</v>
      </c>
      <c r="B8" s="318"/>
      <c r="C8" s="317"/>
      <c r="D8" s="305">
        <v>199</v>
      </c>
      <c r="E8" s="302"/>
      <c r="F8" s="315"/>
      <c r="G8" s="315"/>
      <c r="H8" s="315"/>
    </row>
    <row r="9" spans="1:8" ht="32.450000000000003" customHeight="1">
      <c r="A9" s="287" t="s">
        <v>72</v>
      </c>
      <c r="B9" s="318"/>
      <c r="C9" s="289">
        <v>361</v>
      </c>
      <c r="D9" s="289">
        <v>254</v>
      </c>
      <c r="E9" s="318"/>
      <c r="F9" s="315"/>
      <c r="G9" s="315"/>
      <c r="H9" s="315"/>
    </row>
    <row r="10" spans="1:8" ht="15">
      <c r="A10" s="299"/>
      <c r="B10" s="299"/>
      <c r="C10" s="299"/>
      <c r="D10" s="299"/>
      <c r="E10" s="299"/>
      <c r="F10" s="315"/>
      <c r="G10" s="315"/>
      <c r="H10" s="315"/>
    </row>
    <row r="11" spans="1:8" ht="14.25" customHeight="1">
      <c r="A11" s="340" t="s">
        <v>73</v>
      </c>
      <c r="B11" s="341"/>
      <c r="C11" s="346"/>
      <c r="D11" s="346"/>
      <c r="E11" s="347"/>
      <c r="F11" s="315"/>
      <c r="G11" s="315"/>
      <c r="H11" s="315"/>
    </row>
    <row r="12" spans="1:8" ht="14.25" customHeight="1">
      <c r="A12" s="308" t="s">
        <v>74</v>
      </c>
      <c r="B12" s="305">
        <v>62</v>
      </c>
      <c r="C12" s="305">
        <v>69</v>
      </c>
      <c r="D12" s="348"/>
      <c r="E12" s="349"/>
      <c r="F12" s="315"/>
      <c r="G12" s="315"/>
      <c r="H12" s="315"/>
    </row>
    <row r="13" spans="1:8" ht="14.25" customHeight="1">
      <c r="A13" s="308" t="s">
        <v>75</v>
      </c>
      <c r="B13" s="300"/>
      <c r="C13" s="296"/>
      <c r="D13" s="348"/>
      <c r="E13" s="350"/>
      <c r="F13" s="315"/>
      <c r="G13" s="315"/>
      <c r="H13" s="315"/>
    </row>
    <row r="14" spans="1:8" ht="30" customHeight="1">
      <c r="A14" s="308" t="s">
        <v>76</v>
      </c>
      <c r="B14" s="304">
        <v>152</v>
      </c>
      <c r="C14" s="305" t="s">
        <v>1693</v>
      </c>
      <c r="D14" s="348"/>
      <c r="E14" s="350"/>
      <c r="F14" s="315"/>
      <c r="G14" s="315"/>
      <c r="H14" s="315"/>
    </row>
    <row r="15" spans="1:8" ht="14.25" customHeight="1">
      <c r="A15" s="119" t="s">
        <v>77</v>
      </c>
      <c r="B15" s="300"/>
      <c r="C15" s="296"/>
      <c r="D15" s="289">
        <v>95</v>
      </c>
      <c r="E15" s="351"/>
      <c r="F15" s="315"/>
      <c r="G15" s="315"/>
      <c r="H15" s="315"/>
    </row>
    <row r="16" spans="1:8" ht="14.25" customHeight="1">
      <c r="A16" s="119" t="s">
        <v>78</v>
      </c>
      <c r="B16" s="318"/>
      <c r="C16" s="296"/>
      <c r="D16" s="289">
        <v>175</v>
      </c>
      <c r="E16" s="298"/>
      <c r="F16" s="315"/>
      <c r="G16" s="315"/>
      <c r="H16" s="315"/>
    </row>
    <row r="17" spans="1:8" ht="15">
      <c r="A17" s="299"/>
      <c r="B17" s="299"/>
      <c r="C17" s="299"/>
      <c r="D17" s="299"/>
      <c r="E17" s="299"/>
      <c r="F17" s="315"/>
      <c r="G17" s="315"/>
      <c r="H17" s="315"/>
    </row>
    <row r="18" spans="1:8" ht="14.25" customHeight="1">
      <c r="A18" s="340" t="s">
        <v>79</v>
      </c>
      <c r="B18" s="341"/>
      <c r="C18" s="341"/>
      <c r="D18" s="341"/>
      <c r="E18" s="342"/>
      <c r="F18" s="315"/>
      <c r="G18" s="315"/>
      <c r="H18" s="315"/>
    </row>
    <row r="19" spans="1:8" ht="14.25" customHeight="1">
      <c r="A19" s="308" t="s">
        <v>80</v>
      </c>
      <c r="B19" s="289">
        <v>40</v>
      </c>
      <c r="C19" s="337"/>
      <c r="D19" s="338"/>
      <c r="E19" s="339"/>
      <c r="F19" s="315"/>
      <c r="G19" s="315"/>
      <c r="H19" s="315"/>
    </row>
    <row r="20" spans="1:8" ht="14.25" customHeight="1">
      <c r="A20" s="308" t="s">
        <v>81</v>
      </c>
      <c r="B20" s="289">
        <v>125</v>
      </c>
      <c r="C20" s="343">
        <v>80</v>
      </c>
      <c r="D20" s="343"/>
      <c r="E20" s="297"/>
      <c r="F20" s="315"/>
      <c r="G20" s="315"/>
      <c r="H20" s="315"/>
    </row>
    <row r="21" spans="1:8" ht="14.25" customHeight="1">
      <c r="A21" s="308" t="s">
        <v>82</v>
      </c>
      <c r="B21" s="296"/>
      <c r="C21" s="289">
        <v>179</v>
      </c>
      <c r="D21" s="289">
        <v>179</v>
      </c>
      <c r="E21" s="298"/>
      <c r="F21" s="315"/>
      <c r="G21" s="315"/>
      <c r="H21" s="315"/>
    </row>
    <row r="22" spans="1:8" ht="15">
      <c r="A22" s="299"/>
      <c r="B22" s="299"/>
      <c r="C22" s="299"/>
      <c r="D22" s="299"/>
      <c r="E22" s="299"/>
      <c r="F22" s="315"/>
      <c r="G22" s="315"/>
      <c r="H22" s="315"/>
    </row>
    <row r="23" spans="1:8" ht="14.25" customHeight="1">
      <c r="A23" s="340" t="s">
        <v>83</v>
      </c>
      <c r="B23" s="341"/>
      <c r="C23" s="341"/>
      <c r="D23" s="341"/>
      <c r="E23" s="342"/>
      <c r="F23" s="315"/>
      <c r="G23" s="315"/>
      <c r="H23" s="315"/>
    </row>
    <row r="24" spans="1:8" ht="14.25" customHeight="1">
      <c r="A24" s="308" t="s">
        <v>84</v>
      </c>
      <c r="B24" s="334">
        <v>29</v>
      </c>
      <c r="C24" s="336"/>
      <c r="D24" s="294"/>
      <c r="E24" s="310"/>
      <c r="F24" s="315"/>
      <c r="G24" s="315"/>
      <c r="H24" s="315"/>
    </row>
    <row r="25" spans="1:8" ht="14.25" customHeight="1">
      <c r="A25" s="308" t="s">
        <v>85</v>
      </c>
      <c r="B25" s="334">
        <v>101</v>
      </c>
      <c r="C25" s="336"/>
      <c r="D25" s="289">
        <v>80</v>
      </c>
      <c r="E25" s="289">
        <v>80</v>
      </c>
      <c r="F25" s="315"/>
      <c r="G25" s="315"/>
      <c r="H25" s="315"/>
    </row>
    <row r="26" spans="1:8" ht="15">
      <c r="A26" s="299"/>
      <c r="B26" s="299"/>
      <c r="C26" s="299"/>
      <c r="D26" s="299"/>
      <c r="E26" s="299"/>
      <c r="F26" s="315"/>
      <c r="G26" s="315"/>
      <c r="H26" s="315"/>
    </row>
    <row r="27" spans="1:8" ht="14.25" customHeight="1">
      <c r="A27" s="340" t="s">
        <v>86</v>
      </c>
      <c r="B27" s="341"/>
      <c r="C27" s="341"/>
      <c r="D27" s="341"/>
      <c r="E27" s="342"/>
      <c r="F27" s="315"/>
      <c r="G27" s="315"/>
      <c r="H27" s="315"/>
    </row>
    <row r="28" spans="1:8" ht="57" customHeight="1">
      <c r="A28" s="287" t="s">
        <v>87</v>
      </c>
      <c r="B28" s="302" t="s">
        <v>1690</v>
      </c>
      <c r="C28" s="302" t="s">
        <v>1694</v>
      </c>
      <c r="D28" s="302" t="s">
        <v>1696</v>
      </c>
      <c r="E28" s="314" t="s">
        <v>1698</v>
      </c>
      <c r="F28" s="315"/>
      <c r="G28" s="315"/>
      <c r="H28" s="315"/>
    </row>
    <row r="29" spans="1:8" ht="42.75" customHeight="1">
      <c r="A29" s="308" t="s">
        <v>88</v>
      </c>
      <c r="B29" s="304" t="s">
        <v>1691</v>
      </c>
      <c r="C29" s="302" t="s">
        <v>1695</v>
      </c>
      <c r="D29" s="302" t="s">
        <v>1697</v>
      </c>
      <c r="E29" s="314" t="s">
        <v>1699</v>
      </c>
      <c r="F29" s="315"/>
      <c r="G29" s="315"/>
      <c r="H29" s="315"/>
    </row>
    <row r="30" spans="1:8" ht="14.25" customHeight="1">
      <c r="A30" s="311" t="s">
        <v>89</v>
      </c>
      <c r="B30" s="343">
        <v>5</v>
      </c>
      <c r="C30" s="343"/>
      <c r="D30" s="343"/>
      <c r="E30" s="332"/>
      <c r="F30" s="315"/>
      <c r="G30" s="315"/>
      <c r="H30" s="315"/>
    </row>
    <row r="31" spans="1:8" ht="14.25" customHeight="1">
      <c r="A31" s="311" t="s">
        <v>90</v>
      </c>
      <c r="B31" s="334">
        <v>6</v>
      </c>
      <c r="C31" s="335"/>
      <c r="D31" s="336"/>
      <c r="E31" s="333"/>
      <c r="F31" s="315"/>
      <c r="G31" s="315"/>
      <c r="H31" s="315"/>
    </row>
    <row r="32" spans="1:8" ht="33.950000000000003" customHeight="1">
      <c r="A32" s="295" t="s">
        <v>91</v>
      </c>
      <c r="B32" s="304" t="s">
        <v>1692</v>
      </c>
      <c r="C32" s="289">
        <v>85</v>
      </c>
      <c r="D32" s="289">
        <v>85</v>
      </c>
      <c r="E32" s="289">
        <v>85</v>
      </c>
      <c r="F32" s="315"/>
      <c r="G32" s="315"/>
      <c r="H32" s="315"/>
    </row>
    <row r="33" spans="1:8" ht="33.950000000000003" customHeight="1">
      <c r="A33" s="295" t="s">
        <v>92</v>
      </c>
      <c r="B33" s="291"/>
      <c r="C33" s="318"/>
      <c r="D33" s="289">
        <v>260</v>
      </c>
      <c r="E33" s="289">
        <v>260</v>
      </c>
      <c r="F33" s="315"/>
      <c r="G33" s="315"/>
      <c r="H33" s="315"/>
    </row>
    <row r="34" spans="1:8" ht="15" thickBot="1">
      <c r="A34" s="315"/>
      <c r="B34" s="315"/>
      <c r="C34" s="315"/>
      <c r="D34" s="315"/>
      <c r="E34" s="315"/>
      <c r="F34" s="315"/>
      <c r="G34" s="315"/>
      <c r="H34" s="315"/>
    </row>
    <row r="35" spans="1:8" ht="15">
      <c r="A35" s="344" t="s">
        <v>93</v>
      </c>
      <c r="B35" s="345"/>
      <c r="C35" s="345"/>
      <c r="D35" s="345"/>
      <c r="E35" s="345"/>
      <c r="F35" s="345"/>
      <c r="G35" s="345"/>
      <c r="H35" s="315"/>
    </row>
    <row r="36" spans="1:8">
      <c r="A36" s="293" t="s">
        <v>94</v>
      </c>
      <c r="B36" s="293" t="s">
        <v>95</v>
      </c>
      <c r="C36" s="293" t="s">
        <v>96</v>
      </c>
      <c r="D36" s="293" t="s">
        <v>97</v>
      </c>
      <c r="E36" s="293" t="s">
        <v>98</v>
      </c>
      <c r="F36" s="293" t="s">
        <v>99</v>
      </c>
      <c r="G36" s="293" t="s">
        <v>100</v>
      </c>
      <c r="H36" s="293" t="s">
        <v>101</v>
      </c>
    </row>
    <row r="37" spans="1:8">
      <c r="A37" s="293" t="s">
        <v>102</v>
      </c>
      <c r="B37" s="309">
        <v>30</v>
      </c>
      <c r="C37" s="309">
        <v>10</v>
      </c>
      <c r="D37" s="309">
        <v>40</v>
      </c>
      <c r="E37" s="309">
        <v>158</v>
      </c>
      <c r="F37" s="292"/>
      <c r="G37" s="309">
        <v>22</v>
      </c>
      <c r="H37" s="309">
        <f>B37+G37</f>
        <v>52</v>
      </c>
    </row>
    <row r="38" spans="1:8" ht="14.45" customHeight="1">
      <c r="A38" s="293" t="s">
        <v>103</v>
      </c>
      <c r="B38" s="309">
        <v>30</v>
      </c>
      <c r="C38" s="309">
        <v>20</v>
      </c>
      <c r="D38" s="309">
        <v>50</v>
      </c>
      <c r="E38" s="309">
        <v>158</v>
      </c>
      <c r="F38" s="309">
        <v>20</v>
      </c>
      <c r="G38" s="309">
        <v>22</v>
      </c>
      <c r="H38" s="309">
        <f>B38+G38</f>
        <v>52</v>
      </c>
    </row>
    <row r="39" spans="1:8" ht="14.45" customHeight="1">
      <c r="A39" s="293" t="s">
        <v>104</v>
      </c>
      <c r="B39" s="309">
        <v>60</v>
      </c>
      <c r="C39" s="309">
        <v>20</v>
      </c>
      <c r="D39" s="309">
        <v>80</v>
      </c>
      <c r="E39" s="309">
        <v>158</v>
      </c>
      <c r="F39" s="309">
        <v>20</v>
      </c>
      <c r="G39" s="309">
        <v>22</v>
      </c>
      <c r="H39" s="309">
        <f>B39+G39</f>
        <v>82</v>
      </c>
    </row>
    <row r="40" spans="1:8" ht="14.45" customHeight="1">
      <c r="A40" s="293" t="s">
        <v>105</v>
      </c>
      <c r="B40" s="309">
        <v>30</v>
      </c>
      <c r="C40" s="309">
        <v>10</v>
      </c>
      <c r="D40" s="309">
        <v>60</v>
      </c>
      <c r="E40" s="309">
        <v>158</v>
      </c>
      <c r="F40" s="309">
        <v>20</v>
      </c>
      <c r="G40" s="309">
        <v>22</v>
      </c>
      <c r="H40" s="309">
        <f>B40+G40</f>
        <v>52</v>
      </c>
    </row>
    <row r="41" spans="1:8">
      <c r="A41" s="315"/>
      <c r="B41" s="315"/>
      <c r="C41" s="315"/>
      <c r="D41" s="315"/>
      <c r="E41" s="315"/>
      <c r="F41" s="315"/>
      <c r="G41" s="315"/>
      <c r="H41" s="315"/>
    </row>
    <row r="42" spans="1:8" ht="15">
      <c r="A42" s="315" t="s">
        <v>106</v>
      </c>
      <c r="B42" s="299"/>
      <c r="C42" s="299"/>
      <c r="D42" s="299"/>
      <c r="E42" s="299"/>
      <c r="F42" s="299"/>
      <c r="G42" s="299"/>
      <c r="H42" s="315"/>
    </row>
    <row r="43" spans="1:8" ht="15">
      <c r="A43" s="315" t="s">
        <v>107</v>
      </c>
      <c r="B43" s="299"/>
      <c r="C43" s="299"/>
      <c r="D43" s="299"/>
      <c r="E43" s="299"/>
      <c r="F43" s="299"/>
      <c r="G43" s="299"/>
      <c r="H43" s="315"/>
    </row>
    <row r="44" spans="1:8" ht="15">
      <c r="A44" s="315" t="s">
        <v>108</v>
      </c>
      <c r="B44" s="299"/>
      <c r="C44" s="299"/>
      <c r="D44" s="299"/>
      <c r="E44" s="299"/>
      <c r="F44" s="299"/>
      <c r="G44" s="299"/>
      <c r="H44" s="315"/>
    </row>
    <row r="45" spans="1:8" ht="15.75" thickBot="1">
      <c r="A45" s="315"/>
      <c r="B45" s="299"/>
      <c r="C45" s="299"/>
      <c r="D45" s="299"/>
      <c r="E45" s="299"/>
      <c r="F45" s="299"/>
      <c r="G45" s="299"/>
      <c r="H45" s="315"/>
    </row>
    <row r="46" spans="1:8" ht="15.75" thickBot="1">
      <c r="A46" s="329" t="s">
        <v>109</v>
      </c>
      <c r="B46" s="330"/>
      <c r="C46" s="330"/>
      <c r="D46" s="330"/>
      <c r="E46" s="330"/>
      <c r="F46" s="330"/>
      <c r="G46" s="331"/>
      <c r="H46" s="315"/>
    </row>
    <row r="47" spans="1:8">
      <c r="A47" s="315" t="s">
        <v>110</v>
      </c>
      <c r="B47" s="315"/>
      <c r="C47" s="315"/>
      <c r="D47" s="315"/>
      <c r="E47" s="315"/>
      <c r="F47" s="315"/>
      <c r="G47" s="315"/>
      <c r="H47" s="315"/>
    </row>
    <row r="48" spans="1:8">
      <c r="A48" s="315" t="s">
        <v>111</v>
      </c>
      <c r="B48" s="315"/>
      <c r="C48" s="315"/>
      <c r="D48" s="315"/>
      <c r="E48" s="315"/>
      <c r="F48" s="315"/>
      <c r="G48" s="315"/>
      <c r="H48" s="315"/>
    </row>
    <row r="49" spans="1:8">
      <c r="A49" s="315" t="s">
        <v>112</v>
      </c>
      <c r="B49" s="315"/>
      <c r="C49" s="315"/>
      <c r="D49" s="315"/>
      <c r="E49" s="315"/>
      <c r="F49" s="315"/>
      <c r="G49" s="315"/>
      <c r="H49" s="315"/>
    </row>
    <row r="50" spans="1:8">
      <c r="A50" s="315"/>
      <c r="B50" s="315"/>
      <c r="C50" s="315"/>
      <c r="D50" s="315"/>
      <c r="E50" s="315"/>
      <c r="F50" s="315"/>
      <c r="G50" s="315"/>
      <c r="H50" s="290"/>
    </row>
    <row r="51" spans="1:8">
      <c r="A51" s="315"/>
      <c r="B51" s="315"/>
      <c r="C51" s="315"/>
      <c r="D51" s="315"/>
      <c r="E51" s="315"/>
      <c r="F51" s="315"/>
      <c r="G51" s="315"/>
      <c r="H51" s="290"/>
    </row>
    <row r="52" spans="1:8">
      <c r="A52" s="315"/>
      <c r="B52" s="315"/>
      <c r="C52" s="315"/>
      <c r="D52" s="315"/>
      <c r="E52" s="315"/>
      <c r="F52" s="315"/>
      <c r="G52" s="315"/>
      <c r="H52" s="290"/>
    </row>
    <row r="57" spans="1:8">
      <c r="E57" s="285" t="s">
        <v>113</v>
      </c>
    </row>
  </sheetData>
  <mergeCells count="17">
    <mergeCell ref="A2:E2"/>
    <mergeCell ref="D3:E3"/>
    <mergeCell ref="A11:E11"/>
    <mergeCell ref="D12:D14"/>
    <mergeCell ref="A18:E18"/>
    <mergeCell ref="E12:E15"/>
    <mergeCell ref="A46:G46"/>
    <mergeCell ref="E30:E31"/>
    <mergeCell ref="B31:D31"/>
    <mergeCell ref="C19:E19"/>
    <mergeCell ref="A23:E23"/>
    <mergeCell ref="B25:C25"/>
    <mergeCell ref="C20:D20"/>
    <mergeCell ref="B24:C24"/>
    <mergeCell ref="A27:E27"/>
    <mergeCell ref="B30:D30"/>
    <mergeCell ref="A35:G3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6:N396"/>
  <sheetViews>
    <sheetView zoomScaleNormal="100" workbookViewId="0">
      <selection activeCell="A2" sqref="A2"/>
    </sheetView>
  </sheetViews>
  <sheetFormatPr baseColWidth="10" defaultColWidth="11.42578125" defaultRowHeight="14.25"/>
  <cols>
    <col min="1" max="1" width="103.140625" style="8" customWidth="1"/>
    <col min="2" max="2" width="72.140625" style="8" customWidth="1"/>
    <col min="3" max="3" width="8.140625" style="41" customWidth="1"/>
    <col min="4" max="4" width="11.42578125" style="10" customWidth="1"/>
    <col min="5" max="5" width="10.42578125" style="12" customWidth="1"/>
    <col min="6" max="6" width="11.140625" style="12" customWidth="1"/>
    <col min="7" max="7" width="10.85546875" style="12" customWidth="1"/>
    <col min="8" max="8" width="10.85546875" style="12" bestFit="1" customWidth="1"/>
    <col min="9" max="10" width="10.85546875" style="12" customWidth="1"/>
    <col min="11" max="11" width="15.140625" style="13" customWidth="1"/>
    <col min="12" max="13" width="13.42578125" style="10" customWidth="1"/>
    <col min="14" max="14" width="1.85546875" style="8" customWidth="1"/>
    <col min="15" max="16384" width="11.42578125" style="8"/>
  </cols>
  <sheetData>
    <row r="6" spans="1:14" s="3" customFormat="1" ht="20.25">
      <c r="A6" s="2" t="s">
        <v>114</v>
      </c>
      <c r="B6" s="2"/>
      <c r="C6" s="22"/>
      <c r="D6" s="272"/>
      <c r="E6" s="67"/>
      <c r="F6" s="67"/>
      <c r="G6" s="67"/>
      <c r="H6" s="67"/>
      <c r="I6" s="67"/>
      <c r="J6" s="67"/>
      <c r="K6" s="4"/>
      <c r="L6" s="130"/>
      <c r="M6" s="130"/>
    </row>
    <row r="7" spans="1:14" s="3" customFormat="1" ht="40.5">
      <c r="A7" s="2" t="s">
        <v>115</v>
      </c>
      <c r="B7" s="2"/>
      <c r="C7" s="22"/>
      <c r="D7" s="272"/>
      <c r="E7" s="67"/>
      <c r="F7" s="67"/>
      <c r="G7" s="67"/>
      <c r="H7" s="67"/>
      <c r="I7" s="67"/>
      <c r="J7" s="67"/>
      <c r="K7" s="4"/>
      <c r="L7" s="171"/>
      <c r="M7" s="171"/>
    </row>
    <row r="8" spans="1:14" s="3" customFormat="1" ht="20.25">
      <c r="A8" s="4"/>
      <c r="B8" s="4"/>
      <c r="C8" s="22"/>
      <c r="D8" s="272"/>
      <c r="E8" s="67"/>
      <c r="F8" s="67"/>
      <c r="G8" s="67"/>
      <c r="H8" s="67"/>
      <c r="I8" s="67"/>
      <c r="J8" s="67"/>
      <c r="K8" s="4"/>
      <c r="L8" s="130"/>
      <c r="M8" s="130"/>
    </row>
    <row r="9" spans="1:14" s="3" customFormat="1" ht="20.25">
      <c r="A9" s="86" t="s">
        <v>116</v>
      </c>
      <c r="B9" s="87"/>
      <c r="C9" s="121"/>
      <c r="D9" s="88"/>
      <c r="E9" s="88"/>
      <c r="F9" s="88"/>
      <c r="G9" s="88"/>
      <c r="H9" s="88"/>
      <c r="I9" s="88"/>
      <c r="J9" s="88"/>
      <c r="K9" s="86"/>
      <c r="L9" s="88"/>
      <c r="M9" s="86"/>
      <c r="N9" s="8"/>
    </row>
    <row r="10" spans="1:14" s="3" customFormat="1" ht="76.5">
      <c r="A10" s="5" t="s">
        <v>117</v>
      </c>
      <c r="B10" s="5" t="s">
        <v>118</v>
      </c>
      <c r="C10" s="5" t="s">
        <v>119</v>
      </c>
      <c r="D10" s="76"/>
      <c r="E10" s="5"/>
      <c r="F10" s="5"/>
      <c r="G10" s="5"/>
      <c r="H10" s="68"/>
      <c r="I10" s="68"/>
      <c r="J10" s="68"/>
      <c r="K10" s="5" t="s">
        <v>120</v>
      </c>
      <c r="L10" s="6" t="s">
        <v>121</v>
      </c>
      <c r="M10" s="6" t="s">
        <v>122</v>
      </c>
      <c r="N10" s="8"/>
    </row>
    <row r="11" spans="1:14" s="3" customFormat="1" ht="153">
      <c r="A11" s="113" t="s">
        <v>123</v>
      </c>
      <c r="B11" s="114" t="s">
        <v>124</v>
      </c>
      <c r="C11" s="115"/>
      <c r="D11" s="273"/>
      <c r="E11" s="116"/>
      <c r="F11" s="116"/>
      <c r="G11" s="116"/>
      <c r="H11" s="116"/>
      <c r="I11" s="116"/>
      <c r="J11" s="116"/>
      <c r="K11" s="182"/>
      <c r="L11" s="173">
        <v>352</v>
      </c>
      <c r="M11" s="173">
        <v>374</v>
      </c>
      <c r="N11" s="8"/>
    </row>
    <row r="12" spans="1:14" s="3" customFormat="1">
      <c r="A12" s="113"/>
      <c r="B12" s="114"/>
      <c r="C12" s="115"/>
      <c r="D12" s="273"/>
      <c r="E12" s="116"/>
      <c r="F12" s="116"/>
      <c r="G12" s="116"/>
      <c r="H12" s="116"/>
      <c r="I12" s="116"/>
      <c r="J12" s="116"/>
      <c r="K12" s="182"/>
      <c r="L12" s="173"/>
      <c r="M12" s="173"/>
      <c r="N12" s="8"/>
    </row>
    <row r="13" spans="1:14" s="3" customFormat="1" ht="153">
      <c r="A13" s="113" t="s">
        <v>125</v>
      </c>
      <c r="B13" s="114" t="s">
        <v>126</v>
      </c>
      <c r="C13" s="115"/>
      <c r="D13" s="273"/>
      <c r="E13" s="116"/>
      <c r="F13" s="116"/>
      <c r="G13" s="116"/>
      <c r="H13" s="116"/>
      <c r="I13" s="116"/>
      <c r="J13" s="116"/>
      <c r="K13" s="182"/>
      <c r="L13" s="173">
        <v>333</v>
      </c>
      <c r="M13" s="173">
        <v>355</v>
      </c>
      <c r="N13" s="8"/>
    </row>
    <row r="14" spans="1:14" s="3" customFormat="1">
      <c r="A14" s="113"/>
      <c r="B14" s="114"/>
      <c r="C14" s="115"/>
      <c r="D14" s="273"/>
      <c r="E14" s="116"/>
      <c r="F14" s="116"/>
      <c r="G14" s="116"/>
      <c r="H14" s="116"/>
      <c r="I14" s="116"/>
      <c r="J14" s="116"/>
      <c r="K14" s="182"/>
      <c r="L14" s="173"/>
      <c r="M14" s="173"/>
      <c r="N14" s="8"/>
    </row>
    <row r="15" spans="1:14" s="3" customFormat="1" ht="153">
      <c r="A15" s="113" t="s">
        <v>127</v>
      </c>
      <c r="B15" s="114" t="s">
        <v>128</v>
      </c>
      <c r="C15" s="115"/>
      <c r="D15" s="273"/>
      <c r="E15" s="116"/>
      <c r="F15" s="116"/>
      <c r="G15" s="116"/>
      <c r="H15" s="116"/>
      <c r="I15" s="116"/>
      <c r="J15" s="116"/>
      <c r="K15" s="182"/>
      <c r="L15" s="173">
        <v>352</v>
      </c>
      <c r="M15" s="173">
        <v>374</v>
      </c>
      <c r="N15" s="8"/>
    </row>
    <row r="16" spans="1:14">
      <c r="A16" s="113"/>
      <c r="B16" s="114"/>
      <c r="C16" s="115"/>
      <c r="D16" s="273"/>
      <c r="E16" s="116"/>
      <c r="F16" s="116"/>
      <c r="G16" s="116"/>
      <c r="H16" s="116"/>
      <c r="I16" s="116"/>
      <c r="J16" s="116"/>
      <c r="K16" s="182"/>
      <c r="L16" s="173"/>
      <c r="M16" s="173"/>
    </row>
    <row r="17" spans="1:13" ht="153">
      <c r="A17" s="117" t="s">
        <v>129</v>
      </c>
      <c r="B17" s="114" t="s">
        <v>130</v>
      </c>
      <c r="C17" s="115"/>
      <c r="D17" s="273"/>
      <c r="E17" s="116"/>
      <c r="F17" s="116"/>
      <c r="G17" s="116"/>
      <c r="H17" s="116"/>
      <c r="I17" s="116"/>
      <c r="J17" s="116"/>
      <c r="K17" s="182"/>
      <c r="L17" s="173">
        <v>333</v>
      </c>
      <c r="M17" s="173">
        <v>355</v>
      </c>
    </row>
    <row r="18" spans="1:13">
      <c r="A18" s="113"/>
      <c r="B18" s="114"/>
      <c r="C18" s="115"/>
      <c r="D18" s="273"/>
      <c r="E18" s="116"/>
      <c r="F18" s="116"/>
      <c r="G18" s="116"/>
      <c r="H18" s="116"/>
      <c r="I18" s="116"/>
      <c r="J18" s="116"/>
      <c r="K18" s="182"/>
      <c r="L18" s="173"/>
      <c r="M18" s="173"/>
    </row>
    <row r="19" spans="1:13" ht="140.25">
      <c r="A19" s="233" t="s">
        <v>1653</v>
      </c>
      <c r="B19" s="114" t="s">
        <v>131</v>
      </c>
      <c r="C19" s="115"/>
      <c r="D19" s="273"/>
      <c r="E19" s="116"/>
      <c r="F19" s="116"/>
      <c r="G19" s="116"/>
      <c r="H19" s="116"/>
      <c r="I19" s="116"/>
      <c r="J19" s="116"/>
      <c r="K19" s="182"/>
      <c r="L19" s="173">
        <v>438</v>
      </c>
      <c r="M19" s="173">
        <v>460</v>
      </c>
    </row>
    <row r="20" spans="1:13">
      <c r="A20" s="113"/>
      <c r="B20" s="114"/>
      <c r="C20" s="115"/>
      <c r="D20" s="273"/>
      <c r="E20" s="116"/>
      <c r="F20" s="116"/>
      <c r="G20" s="116"/>
      <c r="H20" s="116"/>
      <c r="I20" s="116"/>
      <c r="J20" s="116"/>
      <c r="K20" s="182"/>
      <c r="L20" s="173"/>
      <c r="M20" s="173"/>
    </row>
    <row r="21" spans="1:13" ht="25.5">
      <c r="A21" s="9" t="s">
        <v>132</v>
      </c>
      <c r="B21" s="5" t="s">
        <v>118</v>
      </c>
      <c r="C21" s="5" t="s">
        <v>119</v>
      </c>
      <c r="D21" s="76" t="s">
        <v>133</v>
      </c>
      <c r="E21" s="5" t="s">
        <v>134</v>
      </c>
      <c r="F21" s="5" t="s">
        <v>135</v>
      </c>
      <c r="G21" s="5" t="s">
        <v>136</v>
      </c>
      <c r="H21" s="5" t="s">
        <v>137</v>
      </c>
      <c r="I21" s="68"/>
      <c r="J21" s="68"/>
      <c r="K21" s="5" t="s">
        <v>138</v>
      </c>
      <c r="L21" s="5" t="s">
        <v>938</v>
      </c>
      <c r="M21" s="5"/>
    </row>
    <row r="22" spans="1:13">
      <c r="A22" s="89" t="s">
        <v>140</v>
      </c>
      <c r="B22" s="90"/>
      <c r="C22" s="90"/>
      <c r="D22" s="274"/>
      <c r="E22" s="91"/>
      <c r="F22" s="91"/>
      <c r="G22" s="91"/>
      <c r="H22" s="91"/>
      <c r="I22" s="91"/>
      <c r="J22" s="91"/>
      <c r="K22" s="90"/>
      <c r="L22" s="90"/>
      <c r="M22" s="90"/>
    </row>
    <row r="23" spans="1:13">
      <c r="A23" s="109" t="s">
        <v>141</v>
      </c>
      <c r="B23" s="109" t="s">
        <v>142</v>
      </c>
      <c r="C23" s="118"/>
      <c r="D23" s="109"/>
      <c r="E23" s="105" t="s">
        <v>143</v>
      </c>
      <c r="F23" s="105"/>
      <c r="G23" s="105" t="s">
        <v>144</v>
      </c>
      <c r="H23" s="105" t="s">
        <v>145</v>
      </c>
      <c r="I23" s="105"/>
      <c r="J23" s="105"/>
      <c r="K23" s="118"/>
      <c r="L23" s="173">
        <v>62</v>
      </c>
      <c r="M23" s="173"/>
    </row>
    <row r="24" spans="1:13">
      <c r="A24" s="109" t="s">
        <v>146</v>
      </c>
      <c r="B24" s="109" t="s">
        <v>147</v>
      </c>
      <c r="C24" s="118"/>
      <c r="D24" s="109"/>
      <c r="E24" s="105" t="s">
        <v>148</v>
      </c>
      <c r="F24" s="105"/>
      <c r="G24" s="105" t="s">
        <v>149</v>
      </c>
      <c r="I24" s="105"/>
      <c r="J24" s="105"/>
      <c r="K24" s="118"/>
      <c r="L24" s="173">
        <v>62</v>
      </c>
      <c r="M24" s="173"/>
    </row>
    <row r="25" spans="1:13">
      <c r="A25" s="109" t="s">
        <v>150</v>
      </c>
      <c r="B25" s="109" t="s">
        <v>151</v>
      </c>
      <c r="C25" s="118"/>
      <c r="D25" s="109"/>
      <c r="E25" s="105"/>
      <c r="F25" s="105"/>
      <c r="G25" s="105"/>
      <c r="H25" s="105" t="s">
        <v>152</v>
      </c>
      <c r="I25" s="105"/>
      <c r="J25" s="105"/>
      <c r="K25" s="118"/>
      <c r="L25" s="173">
        <v>62</v>
      </c>
      <c r="M25" s="173"/>
    </row>
    <row r="26" spans="1:13">
      <c r="A26" s="109" t="s">
        <v>153</v>
      </c>
      <c r="B26" s="109" t="s">
        <v>154</v>
      </c>
      <c r="C26" s="118"/>
      <c r="D26" s="109" t="s">
        <v>155</v>
      </c>
      <c r="E26" s="105"/>
      <c r="F26" s="105" t="s">
        <v>156</v>
      </c>
      <c r="G26" s="105"/>
      <c r="H26" s="105"/>
      <c r="I26" s="105"/>
      <c r="J26" s="105"/>
      <c r="K26" s="118"/>
      <c r="L26" s="173">
        <v>80</v>
      </c>
      <c r="M26" s="173"/>
    </row>
    <row r="27" spans="1:13">
      <c r="A27" s="109" t="s">
        <v>157</v>
      </c>
      <c r="B27" s="109" t="s">
        <v>158</v>
      </c>
      <c r="C27" s="118"/>
      <c r="D27" s="113" t="s">
        <v>159</v>
      </c>
      <c r="E27" s="105"/>
      <c r="F27" s="105" t="s">
        <v>160</v>
      </c>
      <c r="G27" s="105"/>
      <c r="H27" s="105"/>
      <c r="I27" s="105"/>
      <c r="J27" s="105"/>
      <c r="K27" s="118"/>
      <c r="L27" s="173">
        <v>80</v>
      </c>
      <c r="M27" s="173"/>
    </row>
    <row r="28" spans="1:13">
      <c r="A28" s="109" t="s">
        <v>161</v>
      </c>
      <c r="B28" s="109" t="s">
        <v>162</v>
      </c>
      <c r="C28" s="118"/>
      <c r="D28" s="109"/>
      <c r="E28" s="105" t="s">
        <v>163</v>
      </c>
      <c r="F28" s="105"/>
      <c r="G28" s="105"/>
      <c r="H28" s="105" t="s">
        <v>164</v>
      </c>
      <c r="I28" s="105"/>
      <c r="J28" s="105"/>
      <c r="K28" s="118"/>
      <c r="L28" s="173">
        <v>152</v>
      </c>
      <c r="M28" s="173"/>
    </row>
    <row r="29" spans="1:13" ht="25.5">
      <c r="A29" s="113" t="s">
        <v>165</v>
      </c>
      <c r="B29" s="113" t="s">
        <v>166</v>
      </c>
      <c r="C29" s="283"/>
      <c r="D29" s="113"/>
      <c r="E29" s="284" t="s">
        <v>167</v>
      </c>
      <c r="F29" s="284"/>
      <c r="G29" s="284"/>
      <c r="H29" s="284"/>
      <c r="I29" s="284"/>
      <c r="J29" s="284"/>
      <c r="K29" s="283"/>
      <c r="L29" s="173">
        <v>152</v>
      </c>
      <c r="M29" s="173"/>
    </row>
    <row r="30" spans="1:13">
      <c r="A30" s="109" t="s">
        <v>168</v>
      </c>
      <c r="B30" s="109" t="s">
        <v>169</v>
      </c>
      <c r="C30" s="118"/>
      <c r="D30" s="109"/>
      <c r="E30" s="105"/>
      <c r="F30" s="105"/>
      <c r="G30" s="105" t="s">
        <v>170</v>
      </c>
      <c r="H30" s="105"/>
      <c r="I30" s="105"/>
      <c r="J30" s="105"/>
      <c r="K30" s="118"/>
      <c r="L30" s="173">
        <v>152</v>
      </c>
      <c r="M30" s="173"/>
    </row>
    <row r="31" spans="1:13" ht="25.5">
      <c r="A31" s="109" t="s">
        <v>171</v>
      </c>
      <c r="B31" s="113" t="s">
        <v>172</v>
      </c>
      <c r="C31" s="118"/>
      <c r="D31" s="109"/>
      <c r="E31" s="105"/>
      <c r="F31" s="105"/>
      <c r="G31" s="284" t="s">
        <v>173</v>
      </c>
      <c r="H31" s="284"/>
      <c r="I31" s="105"/>
      <c r="J31" s="105"/>
      <c r="K31" s="118"/>
      <c r="L31" s="173">
        <v>152</v>
      </c>
      <c r="M31" s="173"/>
    </row>
    <row r="32" spans="1:13">
      <c r="A32" s="109" t="s">
        <v>174</v>
      </c>
      <c r="B32" s="109" t="s">
        <v>175</v>
      </c>
      <c r="C32" s="118"/>
      <c r="D32" s="109" t="s">
        <v>176</v>
      </c>
      <c r="E32" s="105"/>
      <c r="F32" s="105" t="s">
        <v>177</v>
      </c>
      <c r="G32" s="105"/>
      <c r="H32" s="105"/>
      <c r="I32" s="105"/>
      <c r="J32" s="105"/>
      <c r="K32" s="118"/>
      <c r="L32" s="173">
        <v>175</v>
      </c>
      <c r="M32" s="173"/>
    </row>
    <row r="33" spans="1:13">
      <c r="A33" s="109" t="s">
        <v>178</v>
      </c>
      <c r="B33" s="109" t="s">
        <v>179</v>
      </c>
      <c r="C33" s="118"/>
      <c r="D33" s="109" t="s">
        <v>180</v>
      </c>
      <c r="E33" s="105"/>
      <c r="F33" s="105" t="s">
        <v>181</v>
      </c>
      <c r="G33" s="105"/>
      <c r="H33" s="105"/>
      <c r="I33" s="105"/>
      <c r="J33" s="105"/>
      <c r="K33" s="118"/>
      <c r="L33" s="173">
        <v>204</v>
      </c>
      <c r="M33" s="173"/>
    </row>
    <row r="34" spans="1:13">
      <c r="A34" s="109" t="s">
        <v>182</v>
      </c>
      <c r="B34" s="109" t="s">
        <v>183</v>
      </c>
      <c r="C34" s="118"/>
      <c r="D34" s="109" t="s">
        <v>184</v>
      </c>
      <c r="E34" s="105"/>
      <c r="F34" s="105" t="s">
        <v>185</v>
      </c>
      <c r="G34" s="105"/>
      <c r="H34" s="105"/>
      <c r="I34" s="105"/>
      <c r="J34" s="105"/>
      <c r="K34" s="118"/>
      <c r="L34" s="173">
        <v>304</v>
      </c>
      <c r="M34" s="173"/>
    </row>
    <row r="35" spans="1:13">
      <c r="A35" s="113"/>
      <c r="B35" s="114"/>
      <c r="C35" s="115"/>
      <c r="D35" s="273"/>
      <c r="E35" s="116"/>
      <c r="F35" s="116"/>
      <c r="G35" s="116"/>
      <c r="H35" s="116"/>
      <c r="I35" s="116"/>
      <c r="J35" s="116"/>
      <c r="K35" s="182"/>
      <c r="L35" s="173"/>
      <c r="M35" s="173"/>
    </row>
    <row r="36" spans="1:13">
      <c r="A36" s="89" t="s">
        <v>186</v>
      </c>
      <c r="B36" s="90"/>
      <c r="C36" s="90"/>
      <c r="D36" s="274"/>
      <c r="E36" s="91"/>
      <c r="F36" s="91"/>
      <c r="G36" s="91"/>
      <c r="H36" s="91"/>
      <c r="I36" s="91"/>
      <c r="J36" s="91"/>
      <c r="K36" s="90"/>
      <c r="L36" s="90"/>
      <c r="M36" s="90"/>
    </row>
    <row r="37" spans="1:13">
      <c r="A37" s="109" t="s">
        <v>187</v>
      </c>
      <c r="B37" s="109" t="s">
        <v>187</v>
      </c>
      <c r="C37" s="118"/>
      <c r="D37" s="109" t="s">
        <v>188</v>
      </c>
      <c r="E37" s="105" t="s">
        <v>189</v>
      </c>
      <c r="F37" s="105" t="s">
        <v>190</v>
      </c>
      <c r="G37" s="105" t="s">
        <v>191</v>
      </c>
      <c r="H37" s="105" t="s">
        <v>192</v>
      </c>
      <c r="I37" s="105"/>
      <c r="J37" s="105"/>
      <c r="K37" s="118"/>
      <c r="L37" s="173">
        <v>40</v>
      </c>
      <c r="M37" s="173"/>
    </row>
    <row r="38" spans="1:13">
      <c r="A38" s="109" t="s">
        <v>193</v>
      </c>
      <c r="B38" s="109" t="s">
        <v>193</v>
      </c>
      <c r="C38" s="118"/>
      <c r="D38" s="109" t="s">
        <v>194</v>
      </c>
      <c r="E38" s="105"/>
      <c r="F38" s="105" t="s">
        <v>195</v>
      </c>
      <c r="G38" s="105"/>
      <c r="H38" s="105" t="s">
        <v>196</v>
      </c>
      <c r="I38" s="105"/>
      <c r="J38" s="105"/>
      <c r="K38" s="118"/>
      <c r="L38" s="173">
        <v>125</v>
      </c>
      <c r="M38" s="173"/>
    </row>
    <row r="39" spans="1:13">
      <c r="A39" s="113"/>
      <c r="B39" s="114"/>
      <c r="C39" s="115"/>
      <c r="D39" s="273"/>
      <c r="E39" s="116"/>
      <c r="F39" s="116"/>
      <c r="G39" s="116"/>
      <c r="H39" s="116"/>
      <c r="I39" s="116"/>
      <c r="J39" s="116"/>
      <c r="K39" s="182"/>
      <c r="L39" s="173"/>
      <c r="M39" s="173"/>
    </row>
    <row r="40" spans="1:13">
      <c r="A40" s="123" t="s">
        <v>197</v>
      </c>
      <c r="B40" s="124"/>
      <c r="C40" s="124"/>
      <c r="D40" s="123"/>
      <c r="E40" s="125"/>
      <c r="F40" s="125"/>
      <c r="G40" s="125"/>
      <c r="H40" s="125"/>
      <c r="I40" s="125"/>
      <c r="J40" s="125"/>
      <c r="K40" s="181"/>
      <c r="L40" s="90"/>
      <c r="M40" s="90"/>
    </row>
    <row r="41" spans="1:13">
      <c r="A41" s="109" t="s">
        <v>198</v>
      </c>
      <c r="B41" s="109" t="s">
        <v>199</v>
      </c>
      <c r="C41" s="118"/>
      <c r="D41" s="109"/>
      <c r="E41" s="105"/>
      <c r="F41" s="105"/>
      <c r="G41" s="105"/>
      <c r="H41" s="105" t="s">
        <v>200</v>
      </c>
      <c r="I41" s="105"/>
      <c r="J41" s="105"/>
      <c r="K41" s="118"/>
      <c r="L41" s="173">
        <v>40</v>
      </c>
      <c r="M41" s="173"/>
    </row>
    <row r="42" spans="1:13">
      <c r="A42" s="109" t="s">
        <v>201</v>
      </c>
      <c r="B42" s="109" t="s">
        <v>202</v>
      </c>
      <c r="C42" s="118"/>
      <c r="D42" s="109"/>
      <c r="E42" s="105"/>
      <c r="F42" s="105"/>
      <c r="G42" s="105"/>
      <c r="H42" s="105" t="s">
        <v>203</v>
      </c>
      <c r="I42" s="105"/>
      <c r="J42" s="105"/>
      <c r="K42" s="118"/>
      <c r="L42" s="173">
        <v>80</v>
      </c>
      <c r="M42" s="173"/>
    </row>
    <row r="43" spans="1:13">
      <c r="A43" s="109" t="s">
        <v>204</v>
      </c>
      <c r="B43" s="109" t="s">
        <v>205</v>
      </c>
      <c r="C43" s="118"/>
      <c r="D43" s="109"/>
      <c r="E43" s="105"/>
      <c r="F43" s="105"/>
      <c r="G43" s="105"/>
      <c r="H43" s="105" t="s">
        <v>206</v>
      </c>
      <c r="I43" s="105"/>
      <c r="J43" s="105"/>
      <c r="K43" s="118"/>
      <c r="L43" s="173">
        <v>80</v>
      </c>
      <c r="M43" s="173"/>
    </row>
    <row r="44" spans="1:13">
      <c r="A44" s="109" t="s">
        <v>207</v>
      </c>
      <c r="B44" s="109" t="s">
        <v>208</v>
      </c>
      <c r="C44" s="118"/>
      <c r="D44" s="109"/>
      <c r="E44" s="105"/>
      <c r="F44" s="105"/>
      <c r="G44" s="105"/>
      <c r="H44" s="105" t="s">
        <v>209</v>
      </c>
      <c r="I44" s="105"/>
      <c r="J44" s="105"/>
      <c r="K44" s="118"/>
      <c r="L44" s="173">
        <v>89</v>
      </c>
      <c r="M44" s="173"/>
    </row>
    <row r="45" spans="1:13">
      <c r="A45" s="113"/>
      <c r="B45" s="114"/>
      <c r="C45" s="115"/>
      <c r="D45" s="273"/>
      <c r="E45" s="116"/>
      <c r="F45" s="116"/>
      <c r="G45" s="116"/>
      <c r="H45" s="116"/>
      <c r="I45" s="116"/>
      <c r="J45" s="116"/>
      <c r="K45" s="182"/>
      <c r="L45" s="173"/>
      <c r="M45" s="173"/>
    </row>
    <row r="46" spans="1:13">
      <c r="A46" s="123" t="s">
        <v>210</v>
      </c>
      <c r="B46" s="124"/>
      <c r="C46" s="124"/>
      <c r="D46" s="123"/>
      <c r="E46" s="125"/>
      <c r="F46" s="125"/>
      <c r="G46" s="125"/>
      <c r="H46" s="125"/>
      <c r="I46" s="125"/>
      <c r="J46" s="125"/>
      <c r="K46" s="181"/>
      <c r="L46" s="90"/>
      <c r="M46" s="90"/>
    </row>
    <row r="47" spans="1:13">
      <c r="A47" s="109" t="s">
        <v>211</v>
      </c>
      <c r="B47" s="109" t="s">
        <v>212</v>
      </c>
      <c r="C47" s="118"/>
      <c r="D47" s="109" t="s">
        <v>213</v>
      </c>
      <c r="E47" s="105" t="s">
        <v>214</v>
      </c>
      <c r="F47" s="105"/>
      <c r="G47" s="105"/>
      <c r="H47" s="105"/>
      <c r="I47" s="105"/>
      <c r="J47" s="105"/>
      <c r="K47" s="118"/>
      <c r="L47" s="173">
        <v>16</v>
      </c>
      <c r="M47" s="173"/>
    </row>
    <row r="48" spans="1:13">
      <c r="A48" s="109" t="s">
        <v>215</v>
      </c>
      <c r="B48" s="109" t="s">
        <v>216</v>
      </c>
      <c r="C48" s="118"/>
      <c r="D48" s="109" t="s">
        <v>217</v>
      </c>
      <c r="E48" s="105" t="s">
        <v>218</v>
      </c>
      <c r="F48" s="105"/>
      <c r="G48" s="105"/>
      <c r="H48" s="105"/>
      <c r="I48" s="105"/>
      <c r="J48" s="105"/>
      <c r="K48" s="118"/>
      <c r="L48" s="173">
        <v>16</v>
      </c>
      <c r="M48" s="173"/>
    </row>
    <row r="49" spans="1:14">
      <c r="A49" s="109" t="s">
        <v>219</v>
      </c>
      <c r="B49" s="109" t="s">
        <v>220</v>
      </c>
      <c r="C49" s="118"/>
      <c r="D49" s="109" t="s">
        <v>221</v>
      </c>
      <c r="E49" s="105"/>
      <c r="F49" s="105"/>
      <c r="G49" s="105"/>
      <c r="H49" s="105"/>
      <c r="I49" s="105"/>
      <c r="J49" s="105"/>
      <c r="K49" s="118"/>
      <c r="L49" s="173">
        <v>0</v>
      </c>
      <c r="M49" s="173"/>
    </row>
    <row r="50" spans="1:14">
      <c r="A50" s="109" t="s">
        <v>222</v>
      </c>
      <c r="B50" s="109" t="s">
        <v>223</v>
      </c>
      <c r="C50" s="118"/>
      <c r="D50" s="109" t="s">
        <v>224</v>
      </c>
      <c r="E50" s="105"/>
      <c r="F50" s="105"/>
      <c r="G50" s="105"/>
      <c r="H50" s="105"/>
      <c r="I50" s="105"/>
      <c r="J50" s="105"/>
      <c r="K50" s="118"/>
      <c r="L50" s="173">
        <v>40</v>
      </c>
      <c r="M50" s="173"/>
    </row>
    <row r="51" spans="1:14">
      <c r="A51" s="109" t="s">
        <v>225</v>
      </c>
      <c r="B51" s="109" t="s">
        <v>226</v>
      </c>
      <c r="C51" s="118"/>
      <c r="D51" s="109" t="s">
        <v>227</v>
      </c>
      <c r="E51" s="105"/>
      <c r="F51" s="105"/>
      <c r="G51" s="105"/>
      <c r="H51" s="105"/>
      <c r="I51" s="105"/>
      <c r="J51" s="105"/>
      <c r="K51" s="118"/>
      <c r="L51" s="173">
        <v>80</v>
      </c>
      <c r="M51" s="173"/>
    </row>
    <row r="52" spans="1:14">
      <c r="A52" s="109" t="s">
        <v>228</v>
      </c>
      <c r="B52" s="109" t="s">
        <v>229</v>
      </c>
      <c r="C52" s="118"/>
      <c r="D52" s="109" t="s">
        <v>230</v>
      </c>
      <c r="E52" s="105" t="s">
        <v>231</v>
      </c>
      <c r="F52" s="105"/>
      <c r="G52" s="105"/>
      <c r="H52" s="105"/>
      <c r="I52" s="105"/>
      <c r="J52" s="105"/>
      <c r="K52" s="118"/>
      <c r="L52" s="173">
        <v>80</v>
      </c>
      <c r="M52" s="173"/>
    </row>
    <row r="53" spans="1:14">
      <c r="A53" s="113"/>
      <c r="B53" s="114"/>
      <c r="C53" s="115"/>
      <c r="D53" s="273"/>
      <c r="E53" s="116"/>
      <c r="F53" s="116"/>
      <c r="G53" s="116"/>
      <c r="H53" s="116"/>
      <c r="I53" s="116"/>
      <c r="J53" s="116"/>
      <c r="K53" s="182"/>
      <c r="L53" s="173"/>
      <c r="M53" s="173"/>
    </row>
    <row r="54" spans="1:14">
      <c r="A54" s="123" t="s">
        <v>232</v>
      </c>
      <c r="B54" s="124"/>
      <c r="C54" s="124"/>
      <c r="D54" s="275"/>
      <c r="E54" s="127"/>
      <c r="F54" s="127"/>
      <c r="G54" s="127"/>
      <c r="H54" s="127"/>
      <c r="I54" s="127"/>
      <c r="J54" s="127"/>
      <c r="K54" s="124"/>
      <c r="L54" s="90"/>
      <c r="M54" s="90"/>
    </row>
    <row r="55" spans="1:14">
      <c r="A55" s="109" t="s">
        <v>233</v>
      </c>
      <c r="B55" s="109" t="s">
        <v>234</v>
      </c>
      <c r="C55" s="118"/>
      <c r="D55" s="109"/>
      <c r="E55" s="105"/>
      <c r="F55" s="105" t="s">
        <v>235</v>
      </c>
      <c r="G55" s="105" t="s">
        <v>236</v>
      </c>
      <c r="H55" s="105"/>
      <c r="I55" s="105"/>
      <c r="J55" s="105"/>
      <c r="K55" s="118"/>
      <c r="L55" s="173">
        <v>13</v>
      </c>
      <c r="M55" s="173"/>
    </row>
    <row r="56" spans="1:14">
      <c r="A56" s="109" t="s">
        <v>237</v>
      </c>
      <c r="B56" s="109" t="s">
        <v>238</v>
      </c>
      <c r="C56" s="118"/>
      <c r="D56" s="109"/>
      <c r="E56" s="105"/>
      <c r="F56" s="105" t="s">
        <v>239</v>
      </c>
      <c r="G56" s="105" t="s">
        <v>240</v>
      </c>
      <c r="H56" s="105"/>
      <c r="I56" s="105"/>
      <c r="J56" s="105"/>
      <c r="K56" s="118"/>
      <c r="L56" s="173">
        <v>13</v>
      </c>
      <c r="M56" s="173"/>
    </row>
    <row r="57" spans="1:14">
      <c r="A57" s="109" t="s">
        <v>241</v>
      </c>
      <c r="B57" s="109" t="s">
        <v>242</v>
      </c>
      <c r="C57" s="118"/>
      <c r="D57" s="109"/>
      <c r="E57" s="105"/>
      <c r="F57" s="105" t="s">
        <v>243</v>
      </c>
      <c r="G57" s="105"/>
      <c r="H57" s="105"/>
      <c r="I57" s="105"/>
      <c r="J57" s="105"/>
      <c r="K57" s="118"/>
      <c r="L57" s="173">
        <v>0</v>
      </c>
      <c r="M57" s="173"/>
    </row>
    <row r="58" spans="1:14">
      <c r="A58" s="109" t="s">
        <v>244</v>
      </c>
      <c r="B58" s="109" t="s">
        <v>245</v>
      </c>
      <c r="C58" s="118"/>
      <c r="D58" s="109"/>
      <c r="E58" s="105"/>
      <c r="F58" s="105" t="s">
        <v>246</v>
      </c>
      <c r="G58" s="105"/>
      <c r="H58" s="105"/>
      <c r="I58" s="105"/>
      <c r="J58" s="105"/>
      <c r="K58" s="118"/>
      <c r="L58" s="173">
        <v>45</v>
      </c>
      <c r="M58" s="173"/>
    </row>
    <row r="59" spans="1:14">
      <c r="A59" s="109" t="s">
        <v>247</v>
      </c>
      <c r="B59" s="109" t="s">
        <v>248</v>
      </c>
      <c r="C59" s="118"/>
      <c r="D59" s="109"/>
      <c r="E59" s="105"/>
      <c r="F59" s="105" t="s">
        <v>249</v>
      </c>
      <c r="G59" s="105" t="s">
        <v>250</v>
      </c>
      <c r="H59" s="105"/>
      <c r="I59" s="105"/>
      <c r="J59" s="105"/>
      <c r="K59" s="118"/>
      <c r="L59" s="173">
        <v>89</v>
      </c>
      <c r="M59" s="173"/>
    </row>
    <row r="60" spans="1:14">
      <c r="A60" s="113"/>
      <c r="B60" s="114"/>
      <c r="C60" s="115"/>
      <c r="D60" s="273"/>
      <c r="E60" s="116"/>
      <c r="F60" s="116"/>
      <c r="G60" s="116"/>
      <c r="H60" s="116"/>
      <c r="I60" s="116"/>
      <c r="J60" s="116"/>
      <c r="K60" s="182"/>
      <c r="L60" s="173"/>
      <c r="M60" s="173"/>
    </row>
    <row r="61" spans="1:14">
      <c r="A61" s="123" t="s">
        <v>251</v>
      </c>
      <c r="B61" s="124"/>
      <c r="C61" s="124"/>
      <c r="D61" s="123"/>
      <c r="E61" s="125"/>
      <c r="F61" s="125"/>
      <c r="G61" s="125"/>
      <c r="H61" s="125"/>
      <c r="I61" s="125"/>
      <c r="J61" s="125"/>
      <c r="K61" s="181"/>
      <c r="L61" s="90"/>
      <c r="M61" s="90"/>
    </row>
    <row r="62" spans="1:14">
      <c r="A62" s="109" t="s">
        <v>252</v>
      </c>
      <c r="B62" s="109" t="s">
        <v>253</v>
      </c>
      <c r="C62" s="118"/>
      <c r="D62" s="109" t="s">
        <v>254</v>
      </c>
      <c r="E62" s="105" t="s">
        <v>255</v>
      </c>
      <c r="F62" s="105" t="s">
        <v>256</v>
      </c>
      <c r="G62" s="105" t="s">
        <v>257</v>
      </c>
      <c r="H62" s="105" t="s">
        <v>258</v>
      </c>
      <c r="I62" s="105"/>
      <c r="J62" s="105"/>
      <c r="K62" s="118"/>
      <c r="L62" s="173">
        <v>29</v>
      </c>
      <c r="M62" s="173"/>
    </row>
    <row r="63" spans="1:14">
      <c r="A63" s="109" t="s">
        <v>259</v>
      </c>
      <c r="B63" s="109" t="s">
        <v>260</v>
      </c>
      <c r="C63" s="118"/>
      <c r="D63" s="109" t="s">
        <v>261</v>
      </c>
      <c r="E63" s="105" t="s">
        <v>262</v>
      </c>
      <c r="F63" s="105" t="s">
        <v>263</v>
      </c>
      <c r="G63" s="105" t="s">
        <v>264</v>
      </c>
      <c r="H63" s="105" t="s">
        <v>265</v>
      </c>
      <c r="I63" s="105"/>
      <c r="J63" s="105"/>
      <c r="K63" s="118"/>
      <c r="L63" s="173">
        <v>101</v>
      </c>
      <c r="M63" s="173"/>
    </row>
    <row r="64" spans="1:14" s="3" customFormat="1">
      <c r="A64" s="109" t="s">
        <v>266</v>
      </c>
      <c r="B64" s="109" t="s">
        <v>267</v>
      </c>
      <c r="C64" s="118"/>
      <c r="D64" s="109"/>
      <c r="E64" s="105"/>
      <c r="F64" s="105" t="s">
        <v>268</v>
      </c>
      <c r="G64" s="105"/>
      <c r="H64" s="105"/>
      <c r="I64" s="105"/>
      <c r="J64" s="105"/>
      <c r="K64" s="118"/>
      <c r="L64" s="173">
        <v>39</v>
      </c>
      <c r="M64" s="173"/>
      <c r="N64" s="8"/>
    </row>
    <row r="65" spans="1:14" s="3" customFormat="1">
      <c r="A65" s="113"/>
      <c r="B65" s="114"/>
      <c r="C65" s="115"/>
      <c r="D65" s="273"/>
      <c r="E65" s="116"/>
      <c r="F65" s="116"/>
      <c r="G65" s="116"/>
      <c r="H65" s="116"/>
      <c r="I65" s="116"/>
      <c r="J65" s="116"/>
      <c r="K65" s="182"/>
      <c r="L65" s="173"/>
      <c r="M65" s="173"/>
      <c r="N65" s="8"/>
    </row>
    <row r="66" spans="1:14" s="3" customFormat="1">
      <c r="A66" s="123" t="s">
        <v>269</v>
      </c>
      <c r="B66" s="124"/>
      <c r="C66" s="124"/>
      <c r="D66" s="123"/>
      <c r="E66" s="125"/>
      <c r="F66" s="125"/>
      <c r="G66" s="125"/>
      <c r="H66" s="125"/>
      <c r="I66" s="125"/>
      <c r="J66" s="125"/>
      <c r="K66" s="181"/>
      <c r="L66" s="90"/>
      <c r="M66" s="90"/>
      <c r="N66" s="8"/>
    </row>
    <row r="67" spans="1:14" s="3" customFormat="1" ht="25.5">
      <c r="A67" s="109" t="s">
        <v>270</v>
      </c>
      <c r="B67" s="109" t="s">
        <v>271</v>
      </c>
      <c r="C67" s="118"/>
      <c r="D67" s="109" t="s">
        <v>272</v>
      </c>
      <c r="E67" s="105" t="s">
        <v>273</v>
      </c>
      <c r="F67" s="105" t="s">
        <v>274</v>
      </c>
      <c r="G67" s="105" t="s">
        <v>275</v>
      </c>
      <c r="H67" s="105"/>
      <c r="I67" s="105"/>
      <c r="J67" s="105"/>
      <c r="K67" s="118"/>
      <c r="L67" s="173">
        <v>5</v>
      </c>
      <c r="M67" s="173"/>
      <c r="N67" s="8"/>
    </row>
    <row r="68" spans="1:14" s="3" customFormat="1">
      <c r="A68" s="113"/>
      <c r="B68" s="114"/>
      <c r="C68" s="115"/>
      <c r="D68" s="273"/>
      <c r="E68" s="116"/>
      <c r="F68" s="116"/>
      <c r="G68" s="116"/>
      <c r="H68" s="116"/>
      <c r="I68" s="116"/>
      <c r="J68" s="116"/>
      <c r="K68" s="182"/>
      <c r="L68" s="173"/>
      <c r="M68" s="173"/>
      <c r="N68" s="8"/>
    </row>
    <row r="69" spans="1:14" s="3" customFormat="1">
      <c r="A69" s="123" t="s">
        <v>276</v>
      </c>
      <c r="B69" s="124" t="s">
        <v>277</v>
      </c>
      <c r="C69" s="124"/>
      <c r="D69" s="275" t="s">
        <v>277</v>
      </c>
      <c r="E69" s="127"/>
      <c r="F69" s="127"/>
      <c r="G69" s="127"/>
      <c r="H69" s="127"/>
      <c r="I69" s="127"/>
      <c r="J69" s="127"/>
      <c r="K69" s="124"/>
      <c r="L69" s="90"/>
      <c r="M69" s="90"/>
      <c r="N69" s="8"/>
    </row>
    <row r="70" spans="1:14" s="3" customFormat="1">
      <c r="A70" s="109" t="s">
        <v>278</v>
      </c>
      <c r="B70" s="109" t="s">
        <v>279</v>
      </c>
      <c r="C70" s="118"/>
      <c r="D70" s="109" t="s">
        <v>280</v>
      </c>
      <c r="E70" s="105" t="s">
        <v>281</v>
      </c>
      <c r="F70" s="105" t="s">
        <v>282</v>
      </c>
      <c r="G70" s="105" t="s">
        <v>283</v>
      </c>
      <c r="H70" s="105"/>
      <c r="I70" s="105"/>
      <c r="J70" s="105"/>
      <c r="K70" s="118"/>
      <c r="L70" s="173">
        <v>15</v>
      </c>
      <c r="M70" s="173"/>
      <c r="N70" s="8"/>
    </row>
    <row r="71" spans="1:14" s="3" customFormat="1">
      <c r="A71" s="109" t="s">
        <v>284</v>
      </c>
      <c r="B71" s="109" t="s">
        <v>285</v>
      </c>
      <c r="C71" s="118"/>
      <c r="D71" s="109"/>
      <c r="E71" s="105"/>
      <c r="F71" s="105"/>
      <c r="G71" s="105"/>
      <c r="H71" s="105" t="s">
        <v>286</v>
      </c>
      <c r="I71" s="105"/>
      <c r="J71" s="105"/>
      <c r="K71" s="118"/>
      <c r="L71" s="173">
        <v>0</v>
      </c>
      <c r="M71" s="173"/>
      <c r="N71" s="8"/>
    </row>
    <row r="72" spans="1:14" s="3" customFormat="1">
      <c r="A72" s="113"/>
      <c r="B72" s="114"/>
      <c r="C72" s="115"/>
      <c r="D72" s="273"/>
      <c r="E72" s="116"/>
      <c r="F72" s="116"/>
      <c r="G72" s="116"/>
      <c r="H72" s="116"/>
      <c r="I72" s="116"/>
      <c r="J72" s="116"/>
      <c r="K72" s="182"/>
      <c r="L72" s="173"/>
      <c r="M72" s="173"/>
      <c r="N72" s="8"/>
    </row>
    <row r="73" spans="1:14" s="3" customFormat="1">
      <c r="A73" s="123" t="s">
        <v>287</v>
      </c>
      <c r="B73" s="124"/>
      <c r="C73" s="124"/>
      <c r="D73" s="123"/>
      <c r="E73" s="125"/>
      <c r="F73" s="125"/>
      <c r="G73" s="125"/>
      <c r="H73" s="125"/>
      <c r="I73" s="125"/>
      <c r="J73" s="125"/>
      <c r="K73" s="181"/>
      <c r="L73" s="90"/>
      <c r="M73" s="90"/>
      <c r="N73" s="8"/>
    </row>
    <row r="74" spans="1:14" s="3" customFormat="1">
      <c r="A74" s="109" t="s">
        <v>90</v>
      </c>
      <c r="B74" s="109" t="s">
        <v>288</v>
      </c>
      <c r="C74" s="118"/>
      <c r="D74" s="109" t="s">
        <v>289</v>
      </c>
      <c r="E74" s="105" t="s">
        <v>290</v>
      </c>
      <c r="F74" s="105" t="s">
        <v>291</v>
      </c>
      <c r="G74" s="105" t="s">
        <v>292</v>
      </c>
      <c r="H74" s="105" t="s">
        <v>293</v>
      </c>
      <c r="I74" s="105"/>
      <c r="J74" s="105"/>
      <c r="K74" s="118"/>
      <c r="L74" s="173">
        <v>6</v>
      </c>
      <c r="M74" s="173"/>
      <c r="N74" s="8"/>
    </row>
    <row r="75" spans="1:14" s="3" customFormat="1">
      <c r="A75" s="113"/>
      <c r="B75" s="114"/>
      <c r="C75" s="115"/>
      <c r="D75" s="273"/>
      <c r="E75" s="116"/>
      <c r="F75" s="116"/>
      <c r="G75" s="116"/>
      <c r="H75" s="116"/>
      <c r="I75" s="116"/>
      <c r="J75" s="116"/>
      <c r="K75" s="182"/>
      <c r="L75" s="173"/>
      <c r="M75" s="173"/>
      <c r="N75" s="8"/>
    </row>
    <row r="76" spans="1:14" s="3" customFormat="1">
      <c r="A76" s="123" t="s">
        <v>294</v>
      </c>
      <c r="B76" s="124"/>
      <c r="C76" s="124"/>
      <c r="D76" s="123"/>
      <c r="E76" s="125"/>
      <c r="F76" s="125"/>
      <c r="G76" s="125"/>
      <c r="H76" s="125"/>
      <c r="I76" s="125"/>
      <c r="J76" s="125"/>
      <c r="K76" s="181"/>
      <c r="L76" s="90"/>
      <c r="M76" s="90"/>
      <c r="N76" s="8"/>
    </row>
    <row r="77" spans="1:14" s="3" customFormat="1">
      <c r="A77" s="109" t="s">
        <v>295</v>
      </c>
      <c r="B77" s="109" t="s">
        <v>296</v>
      </c>
      <c r="C77" s="118"/>
      <c r="D77" s="109" t="s">
        <v>297</v>
      </c>
      <c r="E77" s="105"/>
      <c r="F77" s="105"/>
      <c r="G77" s="105"/>
      <c r="H77" s="105"/>
      <c r="I77" s="105"/>
      <c r="J77" s="105"/>
      <c r="K77" s="118"/>
      <c r="L77" s="173">
        <v>114</v>
      </c>
      <c r="M77" s="173"/>
      <c r="N77" s="8"/>
    </row>
    <row r="78" spans="1:14" s="3" customFormat="1">
      <c r="A78" s="109" t="s">
        <v>298</v>
      </c>
      <c r="B78" s="109" t="s">
        <v>296</v>
      </c>
      <c r="C78" s="118"/>
      <c r="D78" s="109"/>
      <c r="E78" s="105"/>
      <c r="F78" s="105" t="s">
        <v>299</v>
      </c>
      <c r="G78" s="105"/>
      <c r="H78" s="105"/>
      <c r="I78" s="105"/>
      <c r="J78" s="105"/>
      <c r="K78" s="118"/>
      <c r="L78" s="173">
        <v>109</v>
      </c>
      <c r="M78" s="173"/>
      <c r="N78" s="8"/>
    </row>
    <row r="79" spans="1:14" s="3" customFormat="1">
      <c r="A79" s="113"/>
      <c r="B79" s="114"/>
      <c r="C79" s="115"/>
      <c r="D79" s="273"/>
      <c r="E79" s="116"/>
      <c r="F79" s="116"/>
      <c r="G79" s="116"/>
      <c r="H79" s="116"/>
      <c r="I79" s="116"/>
      <c r="J79" s="116"/>
      <c r="K79" s="182"/>
      <c r="L79" s="173"/>
      <c r="M79" s="173"/>
      <c r="N79" s="8"/>
    </row>
    <row r="80" spans="1:14" s="3" customFormat="1">
      <c r="A80" s="123" t="s">
        <v>300</v>
      </c>
      <c r="B80" s="124"/>
      <c r="C80" s="124"/>
      <c r="D80" s="123"/>
      <c r="E80" s="125"/>
      <c r="F80" s="125"/>
      <c r="G80" s="125"/>
      <c r="H80" s="125"/>
      <c r="I80" s="125"/>
      <c r="J80" s="125"/>
      <c r="K80" s="181"/>
      <c r="L80" s="90"/>
      <c r="M80" s="90"/>
      <c r="N80" s="8"/>
    </row>
    <row r="81" spans="1:14" s="3" customFormat="1">
      <c r="A81" s="109" t="s">
        <v>301</v>
      </c>
      <c r="B81" s="109" t="s">
        <v>302</v>
      </c>
      <c r="C81" s="118"/>
      <c r="D81" s="109" t="s">
        <v>303</v>
      </c>
      <c r="E81" s="105"/>
      <c r="F81" s="105"/>
      <c r="G81" s="105"/>
      <c r="H81" s="105"/>
      <c r="I81" s="105"/>
      <c r="J81" s="105"/>
      <c r="K81" s="118"/>
      <c r="L81" s="173">
        <v>10</v>
      </c>
      <c r="M81" s="173"/>
      <c r="N81" s="8"/>
    </row>
    <row r="82" spans="1:14" s="3" customFormat="1">
      <c r="A82" s="113"/>
      <c r="B82" s="114"/>
      <c r="C82" s="115"/>
      <c r="D82" s="273"/>
      <c r="E82" s="116"/>
      <c r="F82" s="116"/>
      <c r="G82" s="116"/>
      <c r="H82" s="116"/>
      <c r="I82" s="116"/>
      <c r="J82" s="116"/>
      <c r="K82" s="182"/>
      <c r="L82" s="173"/>
      <c r="M82" s="173"/>
      <c r="N82" s="8"/>
    </row>
    <row r="83" spans="1:14" s="3" customFormat="1">
      <c r="A83" s="123" t="s">
        <v>304</v>
      </c>
      <c r="B83" s="124"/>
      <c r="C83" s="124"/>
      <c r="D83" s="123"/>
      <c r="E83" s="125"/>
      <c r="F83" s="125"/>
      <c r="G83" s="125"/>
      <c r="H83" s="125"/>
      <c r="I83" s="125"/>
      <c r="J83" s="125"/>
      <c r="K83" s="181"/>
      <c r="L83" s="90"/>
      <c r="M83" s="90"/>
      <c r="N83" s="8"/>
    </row>
    <row r="84" spans="1:14" s="3" customFormat="1">
      <c r="A84" s="109" t="s">
        <v>305</v>
      </c>
      <c r="B84" s="109" t="s">
        <v>306</v>
      </c>
      <c r="C84" s="118"/>
      <c r="D84" s="109" t="s">
        <v>307</v>
      </c>
      <c r="E84" s="105" t="s">
        <v>308</v>
      </c>
      <c r="F84" s="105" t="s">
        <v>309</v>
      </c>
      <c r="G84" s="105" t="s">
        <v>310</v>
      </c>
      <c r="H84" s="105" t="s">
        <v>311</v>
      </c>
      <c r="I84" s="105"/>
      <c r="J84" s="105"/>
      <c r="K84" s="118"/>
      <c r="L84" s="173">
        <v>0</v>
      </c>
      <c r="M84" s="173"/>
      <c r="N84" s="8"/>
    </row>
    <row r="85" spans="1:14" s="3" customFormat="1">
      <c r="A85" s="113"/>
      <c r="B85" s="114"/>
      <c r="C85" s="115"/>
      <c r="D85" s="273"/>
      <c r="E85" s="116"/>
      <c r="F85" s="116"/>
      <c r="G85" s="116"/>
      <c r="H85" s="116"/>
      <c r="I85" s="116"/>
      <c r="J85" s="116"/>
      <c r="K85" s="182"/>
      <c r="L85" s="173"/>
      <c r="M85" s="173"/>
      <c r="N85" s="8"/>
    </row>
    <row r="86" spans="1:14" s="3" customFormat="1">
      <c r="A86" s="123" t="s">
        <v>312</v>
      </c>
      <c r="B86" s="124"/>
      <c r="C86" s="124"/>
      <c r="D86" s="123"/>
      <c r="E86" s="125"/>
      <c r="F86" s="125"/>
      <c r="G86" s="125"/>
      <c r="H86" s="125"/>
      <c r="I86" s="125"/>
      <c r="J86" s="125"/>
      <c r="K86" s="181"/>
      <c r="L86" s="90"/>
      <c r="M86" s="90"/>
      <c r="N86" s="8"/>
    </row>
    <row r="87" spans="1:14" s="3" customFormat="1">
      <c r="A87" s="109" t="s">
        <v>313</v>
      </c>
      <c r="B87" s="109" t="s">
        <v>314</v>
      </c>
      <c r="C87" s="118"/>
      <c r="D87" s="109"/>
      <c r="E87" s="105"/>
      <c r="F87" s="105"/>
      <c r="G87" s="105"/>
      <c r="H87" s="105" t="s">
        <v>315</v>
      </c>
      <c r="I87" s="105"/>
      <c r="J87" s="105"/>
      <c r="K87" s="118"/>
      <c r="L87" s="173">
        <v>32</v>
      </c>
      <c r="M87" s="173"/>
      <c r="N87" s="8"/>
    </row>
    <row r="88" spans="1:14">
      <c r="A88" s="113"/>
      <c r="B88" s="114"/>
      <c r="C88" s="115"/>
      <c r="D88" s="273"/>
      <c r="E88" s="116"/>
      <c r="F88" s="116"/>
      <c r="G88" s="116"/>
      <c r="H88" s="116"/>
      <c r="I88" s="116"/>
      <c r="J88" s="116"/>
      <c r="K88" s="182"/>
      <c r="L88" s="173"/>
      <c r="M88" s="173"/>
    </row>
    <row r="89" spans="1:14">
      <c r="A89" s="89" t="s">
        <v>316</v>
      </c>
      <c r="B89" s="90"/>
      <c r="C89" s="90"/>
      <c r="D89" s="89"/>
      <c r="E89" s="81"/>
      <c r="F89" s="81"/>
      <c r="G89" s="81"/>
      <c r="H89" s="81"/>
      <c r="I89" s="81"/>
      <c r="J89" s="81"/>
      <c r="K89" s="62"/>
      <c r="L89" s="90"/>
      <c r="M89" s="90"/>
    </row>
    <row r="90" spans="1:14">
      <c r="A90" s="109" t="s">
        <v>317</v>
      </c>
      <c r="B90" s="109" t="s">
        <v>318</v>
      </c>
      <c r="C90" s="118"/>
      <c r="D90" s="109" t="s">
        <v>319</v>
      </c>
      <c r="E90" s="105" t="s">
        <v>319</v>
      </c>
      <c r="F90" s="105" t="s">
        <v>319</v>
      </c>
      <c r="G90" s="105" t="s">
        <v>319</v>
      </c>
      <c r="H90" s="105" t="s">
        <v>319</v>
      </c>
      <c r="I90" s="105"/>
      <c r="J90" s="105"/>
      <c r="K90" s="118"/>
      <c r="L90" s="173">
        <v>10</v>
      </c>
      <c r="M90" s="173"/>
    </row>
    <row r="91" spans="1:14" ht="25.5">
      <c r="A91" s="109" t="s">
        <v>320</v>
      </c>
      <c r="B91" s="119" t="s">
        <v>321</v>
      </c>
      <c r="C91" s="120"/>
      <c r="D91" s="109" t="s">
        <v>322</v>
      </c>
      <c r="E91" s="105" t="s">
        <v>322</v>
      </c>
      <c r="F91" s="105" t="s">
        <v>322</v>
      </c>
      <c r="G91" s="105" t="s">
        <v>322</v>
      </c>
      <c r="H91" s="105" t="s">
        <v>322</v>
      </c>
      <c r="I91" s="105"/>
      <c r="J91" s="105"/>
      <c r="K91" s="118"/>
      <c r="L91" s="173">
        <v>30</v>
      </c>
      <c r="M91" s="173"/>
    </row>
    <row r="92" spans="1:14">
      <c r="A92" s="109" t="s">
        <v>323</v>
      </c>
      <c r="B92" s="109" t="s">
        <v>324</v>
      </c>
      <c r="C92" s="118"/>
      <c r="D92" s="109" t="s">
        <v>325</v>
      </c>
      <c r="E92" s="105" t="s">
        <v>325</v>
      </c>
      <c r="F92" s="105" t="s">
        <v>325</v>
      </c>
      <c r="G92" s="105" t="s">
        <v>325</v>
      </c>
      <c r="H92" s="105" t="s">
        <v>325</v>
      </c>
      <c r="I92" s="105"/>
      <c r="J92" s="105"/>
      <c r="K92" s="118"/>
      <c r="L92" s="173">
        <v>40</v>
      </c>
      <c r="M92" s="173"/>
    </row>
    <row r="93" spans="1:14">
      <c r="A93" s="109" t="s">
        <v>326</v>
      </c>
      <c r="B93" s="109" t="s">
        <v>327</v>
      </c>
      <c r="C93" s="118"/>
      <c r="D93" s="109" t="s">
        <v>328</v>
      </c>
      <c r="E93" s="105" t="s">
        <v>328</v>
      </c>
      <c r="F93" s="105" t="s">
        <v>328</v>
      </c>
      <c r="G93" s="105" t="s">
        <v>328</v>
      </c>
      <c r="H93" s="105" t="s">
        <v>328</v>
      </c>
      <c r="I93" s="105"/>
      <c r="J93" s="105"/>
      <c r="K93" s="118"/>
      <c r="L93" s="173">
        <v>158</v>
      </c>
      <c r="M93" s="173"/>
    </row>
    <row r="94" spans="1:14">
      <c r="A94" s="109" t="s">
        <v>1682</v>
      </c>
      <c r="B94" s="109" t="s">
        <v>1666</v>
      </c>
      <c r="C94" s="118"/>
      <c r="D94" s="109" t="s">
        <v>1705</v>
      </c>
      <c r="E94" s="109" t="s">
        <v>1705</v>
      </c>
      <c r="F94" s="109" t="s">
        <v>1705</v>
      </c>
      <c r="G94" s="109" t="s">
        <v>1705</v>
      </c>
      <c r="H94" s="109" t="s">
        <v>1706</v>
      </c>
      <c r="I94" s="105"/>
      <c r="J94" s="105"/>
      <c r="K94" s="118"/>
      <c r="L94" s="173">
        <v>22</v>
      </c>
      <c r="M94" s="173"/>
      <c r="N94" s="322"/>
    </row>
    <row r="95" spans="1:14" ht="25.5">
      <c r="A95" s="109" t="s">
        <v>329</v>
      </c>
      <c r="B95" s="119" t="s">
        <v>330</v>
      </c>
      <c r="C95" s="118"/>
      <c r="D95" s="109" t="s">
        <v>1709</v>
      </c>
      <c r="E95" s="109" t="s">
        <v>1709</v>
      </c>
      <c r="F95" s="109" t="s">
        <v>1709</v>
      </c>
      <c r="G95" s="109" t="s">
        <v>1709</v>
      </c>
      <c r="H95" s="109" t="s">
        <v>1710</v>
      </c>
      <c r="I95" s="105"/>
      <c r="J95" s="105"/>
      <c r="K95" s="118"/>
      <c r="L95" s="173">
        <v>52</v>
      </c>
      <c r="M95" s="173"/>
    </row>
    <row r="96" spans="1:14">
      <c r="A96" s="113"/>
      <c r="B96" s="114"/>
      <c r="C96" s="115"/>
      <c r="D96" s="273"/>
      <c r="E96" s="116"/>
      <c r="F96" s="116"/>
      <c r="G96" s="116"/>
      <c r="H96" s="116"/>
      <c r="I96" s="116"/>
      <c r="J96" s="116"/>
      <c r="K96" s="182"/>
      <c r="L96" s="173"/>
      <c r="M96" s="173"/>
    </row>
    <row r="97" spans="1:14" ht="20.25">
      <c r="A97" s="92" t="s">
        <v>331</v>
      </c>
      <c r="B97" s="93"/>
      <c r="C97" s="94"/>
      <c r="D97" s="276"/>
      <c r="E97" s="95"/>
      <c r="F97" s="95"/>
      <c r="G97" s="95"/>
      <c r="H97" s="95"/>
      <c r="I97" s="95"/>
      <c r="J97" s="95"/>
      <c r="K97" s="92"/>
      <c r="L97" s="95"/>
      <c r="M97" s="92"/>
    </row>
    <row r="98" spans="1:14" ht="76.5">
      <c r="A98" s="11" t="s">
        <v>117</v>
      </c>
      <c r="B98" s="11" t="s">
        <v>118</v>
      </c>
      <c r="C98" s="11" t="s">
        <v>119</v>
      </c>
      <c r="D98" s="277"/>
      <c r="E98" s="11"/>
      <c r="F98" s="11"/>
      <c r="G98" s="11"/>
      <c r="H98" s="69"/>
      <c r="I98" s="69"/>
      <c r="J98" s="69"/>
      <c r="K98" s="11" t="s">
        <v>120</v>
      </c>
      <c r="L98" s="69" t="s">
        <v>121</v>
      </c>
      <c r="M98" s="69" t="s">
        <v>122</v>
      </c>
    </row>
    <row r="99" spans="1:14" ht="140.25">
      <c r="A99" s="113" t="s">
        <v>1652</v>
      </c>
      <c r="B99" s="114" t="s">
        <v>332</v>
      </c>
      <c r="C99" s="115"/>
      <c r="D99" s="273"/>
      <c r="E99" s="116"/>
      <c r="F99" s="116"/>
      <c r="G99" s="116"/>
      <c r="H99" s="116"/>
      <c r="I99" s="116"/>
      <c r="J99" s="116"/>
      <c r="K99" s="182"/>
      <c r="L99" s="173">
        <v>421</v>
      </c>
      <c r="M99" s="173">
        <v>443</v>
      </c>
    </row>
    <row r="100" spans="1:14">
      <c r="A100" s="113"/>
      <c r="B100" s="114"/>
      <c r="C100" s="115"/>
      <c r="D100" s="273"/>
      <c r="E100" s="116"/>
      <c r="F100" s="116"/>
      <c r="G100" s="116"/>
      <c r="H100" s="116"/>
      <c r="I100" s="116"/>
      <c r="J100" s="116"/>
      <c r="K100" s="182"/>
      <c r="L100" s="173"/>
      <c r="M100" s="173"/>
    </row>
    <row r="101" spans="1:14" ht="140.25">
      <c r="A101" s="117" t="s">
        <v>1651</v>
      </c>
      <c r="B101" s="114" t="s">
        <v>333</v>
      </c>
      <c r="C101" s="115"/>
      <c r="D101" s="273"/>
      <c r="E101" s="116"/>
      <c r="F101" s="116"/>
      <c r="G101" s="116"/>
      <c r="H101" s="116"/>
      <c r="I101" s="116"/>
      <c r="J101" s="116"/>
      <c r="K101" s="182"/>
      <c r="L101" s="173">
        <v>418</v>
      </c>
      <c r="M101" s="173">
        <v>440</v>
      </c>
    </row>
    <row r="102" spans="1:14">
      <c r="A102" s="113"/>
      <c r="B102" s="114"/>
      <c r="C102" s="115"/>
      <c r="D102" s="273"/>
      <c r="E102" s="116"/>
      <c r="F102" s="116"/>
      <c r="G102" s="116"/>
      <c r="H102" s="116"/>
      <c r="I102" s="116"/>
      <c r="J102" s="116"/>
      <c r="K102" s="182"/>
      <c r="L102" s="173"/>
      <c r="M102" s="173"/>
    </row>
    <row r="103" spans="1:14" ht="140.25">
      <c r="A103" s="117" t="s">
        <v>1650</v>
      </c>
      <c r="B103" s="114" t="s">
        <v>334</v>
      </c>
      <c r="C103" s="115"/>
      <c r="D103" s="273"/>
      <c r="E103" s="116"/>
      <c r="F103" s="116"/>
      <c r="G103" s="116"/>
      <c r="H103" s="116"/>
      <c r="I103" s="116"/>
      <c r="J103" s="116"/>
      <c r="K103" s="182"/>
      <c r="L103" s="173">
        <v>400</v>
      </c>
      <c r="M103" s="173">
        <v>422</v>
      </c>
    </row>
    <row r="104" spans="1:14">
      <c r="A104" s="113"/>
      <c r="B104" s="114"/>
      <c r="C104" s="115"/>
      <c r="D104" s="273"/>
      <c r="E104" s="116"/>
      <c r="F104" s="116"/>
      <c r="G104" s="116"/>
      <c r="H104" s="116"/>
      <c r="I104" s="116"/>
      <c r="J104" s="116"/>
      <c r="K104" s="182"/>
      <c r="L104" s="173"/>
      <c r="M104" s="173"/>
    </row>
    <row r="105" spans="1:14" ht="140.25">
      <c r="A105" s="117" t="s">
        <v>1649</v>
      </c>
      <c r="B105" s="114" t="s">
        <v>335</v>
      </c>
      <c r="C105" s="115"/>
      <c r="D105" s="273"/>
      <c r="E105" s="116"/>
      <c r="F105" s="116"/>
      <c r="G105" s="116"/>
      <c r="H105" s="116"/>
      <c r="I105" s="116"/>
      <c r="J105" s="116"/>
      <c r="K105" s="182"/>
      <c r="L105" s="173">
        <v>420</v>
      </c>
      <c r="M105" s="173">
        <v>442</v>
      </c>
    </row>
    <row r="106" spans="1:14">
      <c r="A106" s="113"/>
      <c r="B106" s="114"/>
      <c r="C106" s="115"/>
      <c r="D106" s="273"/>
      <c r="E106" s="116"/>
      <c r="F106" s="116"/>
      <c r="G106" s="116"/>
      <c r="H106" s="116"/>
      <c r="I106" s="116"/>
      <c r="J106" s="116"/>
      <c r="K106" s="182"/>
      <c r="L106" s="173"/>
      <c r="M106" s="173"/>
    </row>
    <row r="107" spans="1:14" ht="140.25">
      <c r="A107" s="117" t="s">
        <v>1648</v>
      </c>
      <c r="B107" s="114" t="s">
        <v>336</v>
      </c>
      <c r="C107" s="115"/>
      <c r="D107" s="273"/>
      <c r="E107" s="116"/>
      <c r="F107" s="116"/>
      <c r="G107" s="116"/>
      <c r="H107" s="116"/>
      <c r="I107" s="116"/>
      <c r="J107" s="116"/>
      <c r="K107" s="182"/>
      <c r="L107" s="173">
        <v>402</v>
      </c>
      <c r="M107" s="173">
        <v>424</v>
      </c>
    </row>
    <row r="108" spans="1:14">
      <c r="A108" s="113"/>
      <c r="B108" s="114"/>
      <c r="C108" s="115"/>
      <c r="D108" s="273"/>
      <c r="E108" s="116"/>
      <c r="F108" s="116"/>
      <c r="G108" s="116"/>
      <c r="H108" s="116"/>
      <c r="I108" s="116"/>
      <c r="J108" s="116"/>
      <c r="K108" s="182"/>
      <c r="L108" s="173"/>
      <c r="M108" s="173"/>
    </row>
    <row r="109" spans="1:14" s="13" customFormat="1" ht="25.5">
      <c r="A109" s="112" t="s">
        <v>337</v>
      </c>
      <c r="B109" s="11" t="s">
        <v>338</v>
      </c>
      <c r="C109" s="11" t="s">
        <v>119</v>
      </c>
      <c r="D109" s="277" t="s">
        <v>339</v>
      </c>
      <c r="E109" s="11" t="s">
        <v>340</v>
      </c>
      <c r="F109" s="11" t="s">
        <v>341</v>
      </c>
      <c r="G109" s="11" t="s">
        <v>342</v>
      </c>
      <c r="H109" s="11" t="s">
        <v>343</v>
      </c>
      <c r="I109" s="11"/>
      <c r="J109" s="11"/>
      <c r="K109" s="11" t="s">
        <v>120</v>
      </c>
      <c r="L109" s="11" t="s">
        <v>938</v>
      </c>
      <c r="M109" s="11"/>
      <c r="N109" s="8"/>
    </row>
    <row r="110" spans="1:14">
      <c r="A110" s="89" t="s">
        <v>140</v>
      </c>
      <c r="B110" s="90" t="s">
        <v>344</v>
      </c>
      <c r="C110" s="90"/>
      <c r="D110" s="274"/>
      <c r="E110" s="91"/>
      <c r="F110" s="91"/>
      <c r="G110" s="91"/>
      <c r="H110" s="91"/>
      <c r="I110" s="91"/>
      <c r="J110" s="91"/>
      <c r="K110" s="90"/>
      <c r="L110" s="91"/>
      <c r="M110" s="90"/>
    </row>
    <row r="111" spans="1:14">
      <c r="A111" s="109" t="s">
        <v>345</v>
      </c>
      <c r="B111" s="109" t="s">
        <v>346</v>
      </c>
      <c r="C111" s="118"/>
      <c r="D111" s="109" t="s">
        <v>347</v>
      </c>
      <c r="E111" s="105"/>
      <c r="F111" s="105"/>
      <c r="G111" s="105"/>
      <c r="H111" s="105"/>
      <c r="I111" s="105"/>
      <c r="J111" s="105"/>
      <c r="K111" s="118"/>
      <c r="L111" s="173">
        <v>69</v>
      </c>
      <c r="M111" s="173"/>
    </row>
    <row r="112" spans="1:14">
      <c r="A112" s="109" t="s">
        <v>348</v>
      </c>
      <c r="B112" s="109" t="s">
        <v>349</v>
      </c>
      <c r="C112" s="118" t="s">
        <v>350</v>
      </c>
      <c r="D112" s="109" t="s">
        <v>351</v>
      </c>
      <c r="E112" s="105"/>
      <c r="F112" s="105"/>
      <c r="G112" s="105"/>
      <c r="H112" s="105"/>
      <c r="I112" s="105"/>
      <c r="J112" s="105"/>
      <c r="K112" s="118"/>
      <c r="L112" s="173">
        <v>186</v>
      </c>
      <c r="M112" s="173"/>
    </row>
    <row r="113" spans="1:14">
      <c r="A113" s="109" t="s">
        <v>352</v>
      </c>
      <c r="B113" s="109" t="s">
        <v>353</v>
      </c>
      <c r="C113" s="118"/>
      <c r="D113" s="109" t="s">
        <v>354</v>
      </c>
      <c r="E113" s="105"/>
      <c r="F113" s="105"/>
      <c r="G113" s="105"/>
      <c r="H113" s="105"/>
      <c r="I113" s="105"/>
      <c r="J113" s="105"/>
      <c r="K113" s="118"/>
      <c r="L113" s="173">
        <v>180</v>
      </c>
      <c r="M113" s="173"/>
    </row>
    <row r="114" spans="1:14" s="3" customFormat="1">
      <c r="A114" s="113"/>
      <c r="B114" s="114"/>
      <c r="C114" s="115"/>
      <c r="D114" s="273"/>
      <c r="E114" s="116"/>
      <c r="F114" s="116"/>
      <c r="G114" s="116"/>
      <c r="H114" s="116"/>
      <c r="I114" s="116"/>
      <c r="J114" s="116"/>
      <c r="K114" s="182"/>
      <c r="L114" s="173"/>
      <c r="M114" s="173"/>
      <c r="N114" s="8"/>
    </row>
    <row r="115" spans="1:14" s="3" customFormat="1">
      <c r="A115" s="109" t="s">
        <v>355</v>
      </c>
      <c r="B115" s="109" t="s">
        <v>356</v>
      </c>
      <c r="C115" s="118"/>
      <c r="D115" s="109"/>
      <c r="E115" s="105" t="s">
        <v>357</v>
      </c>
      <c r="F115" s="105"/>
      <c r="G115" s="105"/>
      <c r="H115" s="105"/>
      <c r="I115" s="105"/>
      <c r="J115" s="105"/>
      <c r="K115" s="118"/>
      <c r="L115" s="173">
        <v>0</v>
      </c>
      <c r="M115" s="173"/>
      <c r="N115" s="8"/>
    </row>
    <row r="116" spans="1:14" s="3" customFormat="1">
      <c r="A116" s="109" t="s">
        <v>358</v>
      </c>
      <c r="B116" s="109" t="s">
        <v>359</v>
      </c>
      <c r="C116" s="118"/>
      <c r="D116" s="109"/>
      <c r="E116" s="105" t="s">
        <v>360</v>
      </c>
      <c r="F116" s="105"/>
      <c r="G116" s="105"/>
      <c r="H116" s="105"/>
      <c r="I116" s="105"/>
      <c r="J116" s="105"/>
      <c r="K116" s="118"/>
      <c r="L116" s="173">
        <v>69</v>
      </c>
      <c r="M116" s="173"/>
      <c r="N116" s="8"/>
    </row>
    <row r="117" spans="1:14" s="3" customFormat="1">
      <c r="A117" s="109" t="s">
        <v>361</v>
      </c>
      <c r="B117" s="109" t="s">
        <v>362</v>
      </c>
      <c r="C117" s="118"/>
      <c r="D117" s="109"/>
      <c r="E117" s="105" t="s">
        <v>363</v>
      </c>
      <c r="F117" s="105"/>
      <c r="G117" s="105"/>
      <c r="H117" s="105"/>
      <c r="I117" s="105"/>
      <c r="J117" s="105"/>
      <c r="K117" s="118"/>
      <c r="L117" s="173">
        <v>69</v>
      </c>
      <c r="M117" s="173"/>
      <c r="N117" s="8"/>
    </row>
    <row r="118" spans="1:14" s="3" customFormat="1">
      <c r="A118" s="109" t="s">
        <v>364</v>
      </c>
      <c r="B118" s="109" t="s">
        <v>365</v>
      </c>
      <c r="C118" s="118"/>
      <c r="D118" s="109"/>
      <c r="E118" s="105" t="s">
        <v>366</v>
      </c>
      <c r="F118" s="105"/>
      <c r="G118" s="105"/>
      <c r="H118" s="105"/>
      <c r="I118" s="105"/>
      <c r="J118" s="105"/>
      <c r="K118" s="118"/>
      <c r="L118" s="173">
        <v>164</v>
      </c>
      <c r="M118" s="173"/>
      <c r="N118" s="8"/>
    </row>
    <row r="119" spans="1:14" s="3" customFormat="1">
      <c r="A119" s="109" t="s">
        <v>367</v>
      </c>
      <c r="B119" s="109" t="s">
        <v>368</v>
      </c>
      <c r="C119" s="118" t="s">
        <v>350</v>
      </c>
      <c r="D119" s="109"/>
      <c r="E119" s="105" t="s">
        <v>369</v>
      </c>
      <c r="F119" s="105"/>
      <c r="G119" s="105"/>
      <c r="H119" s="105"/>
      <c r="I119" s="105"/>
      <c r="J119" s="105"/>
      <c r="K119" s="118"/>
      <c r="L119" s="173">
        <v>180</v>
      </c>
      <c r="M119" s="173"/>
      <c r="N119" s="8"/>
    </row>
    <row r="120" spans="1:14" s="3" customFormat="1">
      <c r="A120" s="109" t="s">
        <v>370</v>
      </c>
      <c r="B120" s="109" t="s">
        <v>371</v>
      </c>
      <c r="C120" s="118" t="s">
        <v>350</v>
      </c>
      <c r="D120" s="109"/>
      <c r="E120" s="105" t="s">
        <v>372</v>
      </c>
      <c r="F120" s="105"/>
      <c r="G120" s="105"/>
      <c r="H120" s="105"/>
      <c r="I120" s="105"/>
      <c r="J120" s="105"/>
      <c r="K120" s="118"/>
      <c r="L120" s="173">
        <v>180</v>
      </c>
      <c r="M120" s="173"/>
      <c r="N120" s="8"/>
    </row>
    <row r="121" spans="1:14" s="3" customFormat="1">
      <c r="A121" s="109" t="s">
        <v>373</v>
      </c>
      <c r="B121" s="109" t="s">
        <v>374</v>
      </c>
      <c r="C121" s="118" t="s">
        <v>350</v>
      </c>
      <c r="D121" s="109"/>
      <c r="E121" s="105" t="s">
        <v>375</v>
      </c>
      <c r="F121" s="105"/>
      <c r="G121" s="105"/>
      <c r="H121" s="105"/>
      <c r="I121" s="105"/>
      <c r="J121" s="105"/>
      <c r="K121" s="118"/>
      <c r="L121" s="173">
        <v>186</v>
      </c>
      <c r="M121" s="173"/>
      <c r="N121" s="8"/>
    </row>
    <row r="122" spans="1:14" s="3" customFormat="1">
      <c r="A122" s="109" t="s">
        <v>376</v>
      </c>
      <c r="B122" s="109" t="s">
        <v>377</v>
      </c>
      <c r="C122" s="118" t="s">
        <v>350</v>
      </c>
      <c r="D122" s="109"/>
      <c r="E122" s="105" t="s">
        <v>378</v>
      </c>
      <c r="F122" s="105"/>
      <c r="G122" s="105"/>
      <c r="H122" s="105"/>
      <c r="I122" s="105"/>
      <c r="J122" s="105"/>
      <c r="K122" s="118"/>
      <c r="L122" s="173">
        <v>186</v>
      </c>
      <c r="M122" s="173"/>
      <c r="N122" s="8"/>
    </row>
    <row r="123" spans="1:14" s="3" customFormat="1">
      <c r="A123" s="109" t="s">
        <v>379</v>
      </c>
      <c r="B123" s="109" t="s">
        <v>380</v>
      </c>
      <c r="C123" s="118" t="s">
        <v>350</v>
      </c>
      <c r="D123" s="109"/>
      <c r="E123" s="105" t="s">
        <v>381</v>
      </c>
      <c r="F123" s="105"/>
      <c r="G123" s="105"/>
      <c r="H123" s="105"/>
      <c r="I123" s="105"/>
      <c r="J123" s="105"/>
      <c r="K123" s="118"/>
      <c r="L123" s="173">
        <v>304</v>
      </c>
      <c r="M123" s="173"/>
      <c r="N123" s="8"/>
    </row>
    <row r="124" spans="1:14" s="3" customFormat="1">
      <c r="A124" s="109" t="s">
        <v>382</v>
      </c>
      <c r="B124" s="109" t="s">
        <v>383</v>
      </c>
      <c r="C124" s="118" t="s">
        <v>350</v>
      </c>
      <c r="D124" s="109"/>
      <c r="E124" s="105" t="s">
        <v>384</v>
      </c>
      <c r="F124" s="105"/>
      <c r="G124" s="105"/>
      <c r="H124" s="105"/>
      <c r="I124" s="105"/>
      <c r="J124" s="105"/>
      <c r="K124" s="118"/>
      <c r="L124" s="173">
        <v>361</v>
      </c>
      <c r="M124" s="173"/>
      <c r="N124" s="8"/>
    </row>
    <row r="125" spans="1:14" s="3" customFormat="1">
      <c r="A125" s="113"/>
      <c r="B125" s="114"/>
      <c r="C125" s="115"/>
      <c r="D125" s="273"/>
      <c r="E125" s="116"/>
      <c r="F125" s="116"/>
      <c r="G125" s="116"/>
      <c r="H125" s="116"/>
      <c r="I125" s="116"/>
      <c r="J125" s="116"/>
      <c r="K125" s="182"/>
      <c r="L125" s="173"/>
      <c r="M125" s="173"/>
      <c r="N125" s="8"/>
    </row>
    <row r="126" spans="1:14" s="3" customFormat="1">
      <c r="A126" s="109" t="s">
        <v>385</v>
      </c>
      <c r="B126" s="109" t="s">
        <v>386</v>
      </c>
      <c r="C126" s="118"/>
      <c r="D126" s="109"/>
      <c r="E126" s="105"/>
      <c r="F126" s="105"/>
      <c r="G126" s="105" t="s">
        <v>387</v>
      </c>
      <c r="H126" s="105"/>
      <c r="I126" s="105"/>
      <c r="J126" s="105"/>
      <c r="K126" s="118"/>
      <c r="L126" s="173">
        <v>0</v>
      </c>
      <c r="M126" s="173"/>
      <c r="N126" s="8"/>
    </row>
    <row r="127" spans="1:14" s="3" customFormat="1">
      <c r="A127" s="109" t="s">
        <v>388</v>
      </c>
      <c r="B127" s="109" t="s">
        <v>389</v>
      </c>
      <c r="C127" s="118"/>
      <c r="D127" s="109"/>
      <c r="E127" s="105"/>
      <c r="F127" s="105"/>
      <c r="G127" s="105" t="s">
        <v>390</v>
      </c>
      <c r="H127" s="105"/>
      <c r="I127" s="105"/>
      <c r="J127" s="105"/>
      <c r="K127" s="118"/>
      <c r="L127" s="173">
        <v>74</v>
      </c>
      <c r="M127" s="173"/>
      <c r="N127" s="8"/>
    </row>
    <row r="128" spans="1:14" s="3" customFormat="1">
      <c r="A128" s="109" t="s">
        <v>391</v>
      </c>
      <c r="B128" s="109" t="s">
        <v>392</v>
      </c>
      <c r="C128" s="118"/>
      <c r="D128" s="109"/>
      <c r="E128" s="105"/>
      <c r="F128" s="105"/>
      <c r="G128" s="105" t="s">
        <v>393</v>
      </c>
      <c r="H128" s="105"/>
      <c r="I128" s="105"/>
      <c r="J128" s="105"/>
      <c r="K128" s="118"/>
      <c r="L128" s="173">
        <v>74</v>
      </c>
      <c r="M128" s="173"/>
      <c r="N128" s="8"/>
    </row>
    <row r="129" spans="1:14" s="3" customFormat="1">
      <c r="A129" s="109" t="s">
        <v>394</v>
      </c>
      <c r="B129" s="109" t="s">
        <v>395</v>
      </c>
      <c r="C129" s="118"/>
      <c r="D129" s="109"/>
      <c r="E129" s="105"/>
      <c r="F129" s="105"/>
      <c r="G129" s="105" t="s">
        <v>396</v>
      </c>
      <c r="H129" s="105"/>
      <c r="I129" s="105"/>
      <c r="J129" s="105"/>
      <c r="K129" s="118"/>
      <c r="L129" s="173">
        <v>186</v>
      </c>
      <c r="M129" s="173"/>
      <c r="N129" s="8"/>
    </row>
    <row r="130" spans="1:14" s="3" customFormat="1">
      <c r="A130" s="109" t="s">
        <v>397</v>
      </c>
      <c r="B130" s="109" t="s">
        <v>398</v>
      </c>
      <c r="C130" s="118" t="s">
        <v>350</v>
      </c>
      <c r="D130" s="109"/>
      <c r="E130" s="105"/>
      <c r="F130" s="105"/>
      <c r="G130" s="105" t="s">
        <v>399</v>
      </c>
      <c r="H130" s="105"/>
      <c r="I130" s="105"/>
      <c r="J130" s="105"/>
      <c r="K130" s="118"/>
      <c r="L130" s="173">
        <v>180</v>
      </c>
      <c r="M130" s="173"/>
      <c r="N130" s="8"/>
    </row>
    <row r="131" spans="1:14" s="3" customFormat="1">
      <c r="A131" s="109" t="s">
        <v>400</v>
      </c>
      <c r="B131" s="109" t="s">
        <v>401</v>
      </c>
      <c r="C131" s="118" t="s">
        <v>350</v>
      </c>
      <c r="D131" s="109"/>
      <c r="E131" s="105"/>
      <c r="F131" s="105"/>
      <c r="G131" s="105" t="s">
        <v>402</v>
      </c>
      <c r="H131" s="105"/>
      <c r="I131" s="105"/>
      <c r="J131" s="105"/>
      <c r="K131" s="118"/>
      <c r="L131" s="173">
        <v>186</v>
      </c>
      <c r="M131" s="173"/>
      <c r="N131" s="8"/>
    </row>
    <row r="132" spans="1:14" s="3" customFormat="1">
      <c r="A132" s="109" t="s">
        <v>403</v>
      </c>
      <c r="B132" s="109" t="s">
        <v>404</v>
      </c>
      <c r="C132" s="118" t="s">
        <v>350</v>
      </c>
      <c r="D132" s="109"/>
      <c r="E132" s="105"/>
      <c r="F132" s="105"/>
      <c r="G132" s="105" t="s">
        <v>405</v>
      </c>
      <c r="H132" s="105"/>
      <c r="I132" s="105"/>
      <c r="J132" s="105"/>
      <c r="K132" s="118"/>
      <c r="L132" s="173">
        <v>304</v>
      </c>
      <c r="M132" s="173"/>
      <c r="N132" s="8"/>
    </row>
    <row r="133" spans="1:14" s="3" customFormat="1">
      <c r="A133" s="109" t="s">
        <v>406</v>
      </c>
      <c r="B133" s="109" t="s">
        <v>407</v>
      </c>
      <c r="C133" s="118" t="s">
        <v>350</v>
      </c>
      <c r="D133" s="109"/>
      <c r="E133" s="105"/>
      <c r="F133" s="105"/>
      <c r="G133" s="105" t="s">
        <v>408</v>
      </c>
      <c r="H133" s="105"/>
      <c r="I133" s="105"/>
      <c r="J133" s="105"/>
      <c r="K133" s="118"/>
      <c r="L133" s="173">
        <v>361</v>
      </c>
      <c r="M133" s="173"/>
      <c r="N133" s="8"/>
    </row>
    <row r="134" spans="1:14" s="3" customFormat="1">
      <c r="A134" s="113"/>
      <c r="B134" s="114"/>
      <c r="C134" s="115"/>
      <c r="D134" s="273"/>
      <c r="E134" s="116"/>
      <c r="F134" s="116"/>
      <c r="G134" s="116"/>
      <c r="H134" s="116"/>
      <c r="I134" s="116"/>
      <c r="J134" s="116"/>
      <c r="K134" s="182"/>
      <c r="L134" s="173"/>
      <c r="M134" s="173"/>
      <c r="N134" s="8"/>
    </row>
    <row r="135" spans="1:14" s="3" customFormat="1">
      <c r="A135" s="109" t="s">
        <v>409</v>
      </c>
      <c r="B135" s="109" t="s">
        <v>410</v>
      </c>
      <c r="C135" s="118"/>
      <c r="D135" s="109"/>
      <c r="E135" s="105"/>
      <c r="F135" s="105" t="s">
        <v>411</v>
      </c>
      <c r="G135" s="105"/>
      <c r="H135" s="105" t="s">
        <v>412</v>
      </c>
      <c r="I135" s="105"/>
      <c r="J135" s="105"/>
      <c r="K135" s="118"/>
      <c r="L135" s="173">
        <v>0</v>
      </c>
      <c r="M135" s="173"/>
      <c r="N135" s="8"/>
    </row>
    <row r="136" spans="1:14" s="3" customFormat="1">
      <c r="A136" s="109" t="s">
        <v>413</v>
      </c>
      <c r="B136" s="113" t="s">
        <v>414</v>
      </c>
      <c r="C136" s="118"/>
      <c r="D136" s="109"/>
      <c r="E136" s="105"/>
      <c r="F136" s="284" t="s">
        <v>415</v>
      </c>
      <c r="G136" s="105"/>
      <c r="H136" s="105" t="s">
        <v>416</v>
      </c>
      <c r="I136" s="105"/>
      <c r="J136" s="105"/>
      <c r="K136" s="118"/>
      <c r="L136" s="173">
        <v>0</v>
      </c>
      <c r="M136" s="173"/>
      <c r="N136" s="8"/>
    </row>
    <row r="137" spans="1:14" s="3" customFormat="1">
      <c r="A137" s="109" t="s">
        <v>417</v>
      </c>
      <c r="B137" s="109" t="s">
        <v>418</v>
      </c>
      <c r="C137" s="118"/>
      <c r="D137" s="109"/>
      <c r="E137" s="105"/>
      <c r="F137" s="105" t="s">
        <v>419</v>
      </c>
      <c r="G137" s="105"/>
      <c r="H137" s="105" t="s">
        <v>420</v>
      </c>
      <c r="I137" s="105"/>
      <c r="J137" s="105"/>
      <c r="K137" s="118"/>
      <c r="L137" s="173">
        <v>69</v>
      </c>
      <c r="M137" s="173"/>
      <c r="N137" s="8"/>
    </row>
    <row r="138" spans="1:14" s="3" customFormat="1">
      <c r="A138" s="109" t="s">
        <v>421</v>
      </c>
      <c r="B138" s="109" t="s">
        <v>422</v>
      </c>
      <c r="C138" s="118"/>
      <c r="D138" s="109"/>
      <c r="E138" s="105"/>
      <c r="F138" s="105" t="s">
        <v>423</v>
      </c>
      <c r="G138" s="105"/>
      <c r="H138" s="105" t="s">
        <v>424</v>
      </c>
      <c r="I138" s="105"/>
      <c r="J138" s="105"/>
      <c r="K138" s="118"/>
      <c r="L138" s="173">
        <v>69</v>
      </c>
      <c r="M138" s="173"/>
      <c r="N138" s="8"/>
    </row>
    <row r="139" spans="1:14" s="3" customFormat="1">
      <c r="A139" s="109" t="s">
        <v>425</v>
      </c>
      <c r="B139" s="113" t="s">
        <v>426</v>
      </c>
      <c r="C139" s="118"/>
      <c r="D139" s="109"/>
      <c r="E139" s="105"/>
      <c r="F139" s="284" t="s">
        <v>427</v>
      </c>
      <c r="G139" s="105"/>
      <c r="H139" s="105" t="s">
        <v>428</v>
      </c>
      <c r="I139" s="105"/>
      <c r="J139" s="105"/>
      <c r="K139" s="118"/>
      <c r="L139" s="173">
        <v>69</v>
      </c>
      <c r="M139" s="173"/>
      <c r="N139" s="8"/>
    </row>
    <row r="140" spans="1:14" s="3" customFormat="1">
      <c r="A140" s="109" t="s">
        <v>429</v>
      </c>
      <c r="B140" s="109" t="s">
        <v>430</v>
      </c>
      <c r="C140" s="118"/>
      <c r="D140" s="109"/>
      <c r="E140" s="105"/>
      <c r="F140" s="105" t="s">
        <v>431</v>
      </c>
      <c r="G140" s="105"/>
      <c r="H140" s="105" t="s">
        <v>432</v>
      </c>
      <c r="I140" s="105"/>
      <c r="J140" s="105"/>
      <c r="K140" s="118"/>
      <c r="L140" s="173">
        <v>131</v>
      </c>
      <c r="M140" s="173"/>
      <c r="N140" s="8"/>
    </row>
    <row r="141" spans="1:14" s="3" customFormat="1">
      <c r="A141" s="113" t="s">
        <v>433</v>
      </c>
      <c r="B141" s="113" t="s">
        <v>434</v>
      </c>
      <c r="C141" s="283"/>
      <c r="D141" s="113"/>
      <c r="E141" s="284"/>
      <c r="F141" s="284" t="s">
        <v>435</v>
      </c>
      <c r="G141" s="284"/>
      <c r="H141" s="284" t="s">
        <v>436</v>
      </c>
      <c r="I141" s="284"/>
      <c r="J141" s="284"/>
      <c r="K141" s="283"/>
      <c r="L141" s="173">
        <v>131</v>
      </c>
      <c r="M141" s="173"/>
      <c r="N141" s="8"/>
    </row>
    <row r="142" spans="1:14" s="3" customFormat="1">
      <c r="B142" s="109" t="s">
        <v>437</v>
      </c>
      <c r="C142" s="118"/>
      <c r="D142" s="109"/>
      <c r="E142" s="105"/>
      <c r="F142" s="105" t="s">
        <v>438</v>
      </c>
      <c r="G142" s="105"/>
      <c r="H142" s="105" t="s">
        <v>439</v>
      </c>
      <c r="I142" s="105"/>
      <c r="J142" s="105"/>
      <c r="K142" s="118"/>
      <c r="L142" s="173">
        <v>131</v>
      </c>
      <c r="M142" s="173"/>
      <c r="N142" s="8"/>
    </row>
    <row r="143" spans="1:14" s="3" customFormat="1">
      <c r="A143" s="109" t="s">
        <v>440</v>
      </c>
      <c r="B143" s="109"/>
      <c r="C143" s="118"/>
      <c r="D143" s="109"/>
      <c r="E143" s="105"/>
      <c r="F143" s="105"/>
      <c r="G143" s="105"/>
      <c r="H143" s="105"/>
      <c r="I143" s="105"/>
      <c r="J143" s="105"/>
      <c r="K143" s="118"/>
      <c r="L143" s="173"/>
      <c r="M143" s="173"/>
      <c r="N143" s="8"/>
    </row>
    <row r="144" spans="1:14" s="3" customFormat="1">
      <c r="A144" s="89" t="s">
        <v>441</v>
      </c>
      <c r="B144" s="90"/>
      <c r="C144" s="90"/>
      <c r="D144" s="274"/>
      <c r="E144" s="91"/>
      <c r="F144" s="91"/>
      <c r="G144" s="91"/>
      <c r="H144" s="91"/>
      <c r="I144" s="91"/>
      <c r="J144" s="91"/>
      <c r="K144" s="90"/>
      <c r="L144" s="91"/>
      <c r="M144" s="90"/>
      <c r="N144" s="8"/>
    </row>
    <row r="145" spans="1:14" s="3" customFormat="1">
      <c r="A145" s="109" t="s">
        <v>193</v>
      </c>
      <c r="B145" s="109" t="s">
        <v>193</v>
      </c>
      <c r="C145" s="118"/>
      <c r="D145" s="109" t="s">
        <v>442</v>
      </c>
      <c r="E145" s="105" t="s">
        <v>443</v>
      </c>
      <c r="F145" s="105" t="s">
        <v>444</v>
      </c>
      <c r="G145" s="105" t="s">
        <v>445</v>
      </c>
      <c r="H145" s="105" t="s">
        <v>446</v>
      </c>
      <c r="I145" s="105"/>
      <c r="J145" s="105"/>
      <c r="K145" s="118"/>
      <c r="L145" s="173">
        <v>80</v>
      </c>
      <c r="M145" s="173"/>
      <c r="N145" s="8"/>
    </row>
    <row r="146" spans="1:14" s="3" customFormat="1">
      <c r="A146" s="109" t="s">
        <v>447</v>
      </c>
      <c r="B146" s="109" t="s">
        <v>447</v>
      </c>
      <c r="C146" s="118"/>
      <c r="D146" s="109"/>
      <c r="E146" s="105" t="s">
        <v>448</v>
      </c>
      <c r="F146" s="105"/>
      <c r="G146" s="105"/>
      <c r="H146" s="105"/>
      <c r="I146" s="105"/>
      <c r="J146" s="105"/>
      <c r="K146" s="118"/>
      <c r="L146" s="173">
        <v>179</v>
      </c>
      <c r="M146" s="173"/>
      <c r="N146" s="8"/>
    </row>
    <row r="147" spans="1:14" s="3" customFormat="1">
      <c r="A147" s="113"/>
      <c r="B147" s="114"/>
      <c r="C147" s="115"/>
      <c r="D147" s="273"/>
      <c r="E147" s="116"/>
      <c r="F147" s="116"/>
      <c r="G147" s="116"/>
      <c r="H147" s="116"/>
      <c r="I147" s="116"/>
      <c r="J147" s="116"/>
      <c r="K147" s="182"/>
      <c r="L147" s="173"/>
      <c r="M147" s="173"/>
      <c r="N147" s="8"/>
    </row>
    <row r="148" spans="1:14" s="3" customFormat="1">
      <c r="A148" s="89" t="s">
        <v>449</v>
      </c>
      <c r="B148" s="90"/>
      <c r="C148" s="90"/>
      <c r="D148" s="274"/>
      <c r="E148" s="91"/>
      <c r="F148" s="91"/>
      <c r="G148" s="91"/>
      <c r="H148" s="91"/>
      <c r="I148" s="91"/>
      <c r="J148" s="91"/>
      <c r="K148" s="90"/>
      <c r="L148" s="91"/>
      <c r="M148" s="90"/>
      <c r="N148" s="8"/>
    </row>
    <row r="149" spans="1:14" s="3" customFormat="1">
      <c r="A149" s="109" t="s">
        <v>450</v>
      </c>
      <c r="B149" s="109" t="s">
        <v>451</v>
      </c>
      <c r="C149" s="118"/>
      <c r="D149" s="109" t="s">
        <v>452</v>
      </c>
      <c r="E149" s="105"/>
      <c r="F149" s="105"/>
      <c r="G149" s="105"/>
      <c r="H149" s="105"/>
      <c r="I149" s="105"/>
      <c r="J149" s="105"/>
      <c r="K149" s="118"/>
      <c r="L149" s="173">
        <v>0</v>
      </c>
      <c r="M149" s="173"/>
      <c r="N149" s="8"/>
    </row>
    <row r="150" spans="1:14" s="3" customFormat="1">
      <c r="A150" s="109" t="s">
        <v>453</v>
      </c>
      <c r="B150" s="109" t="s">
        <v>454</v>
      </c>
      <c r="C150" s="118"/>
      <c r="D150" s="109" t="s">
        <v>455</v>
      </c>
      <c r="E150" s="105"/>
      <c r="F150" s="105"/>
      <c r="G150" s="105"/>
      <c r="H150" s="105"/>
      <c r="I150" s="105"/>
      <c r="J150" s="105"/>
      <c r="K150" s="118"/>
      <c r="L150" s="173">
        <v>24</v>
      </c>
      <c r="M150" s="173"/>
      <c r="N150" s="8"/>
    </row>
    <row r="151" spans="1:14" s="3" customFormat="1">
      <c r="A151" s="109" t="s">
        <v>456</v>
      </c>
      <c r="B151" s="109" t="s">
        <v>457</v>
      </c>
      <c r="C151" s="118"/>
      <c r="D151" s="109" t="s">
        <v>458</v>
      </c>
      <c r="E151" s="105"/>
      <c r="F151" s="105"/>
      <c r="G151" s="105"/>
      <c r="H151" s="105"/>
      <c r="I151" s="105"/>
      <c r="J151" s="105"/>
      <c r="K151" s="118"/>
      <c r="L151" s="173">
        <v>45</v>
      </c>
      <c r="M151" s="173"/>
      <c r="N151" s="8"/>
    </row>
    <row r="152" spans="1:14" s="3" customFormat="1">
      <c r="A152" s="109" t="s">
        <v>459</v>
      </c>
      <c r="B152" s="109" t="s">
        <v>460</v>
      </c>
      <c r="C152" s="118"/>
      <c r="D152" s="109" t="s">
        <v>461</v>
      </c>
      <c r="E152" s="105"/>
      <c r="F152" s="105"/>
      <c r="G152" s="105"/>
      <c r="H152" s="105"/>
      <c r="I152" s="105"/>
      <c r="J152" s="105"/>
      <c r="K152" s="118"/>
      <c r="L152" s="173">
        <v>45</v>
      </c>
      <c r="M152" s="173"/>
      <c r="N152" s="8"/>
    </row>
    <row r="153" spans="1:14" s="3" customFormat="1">
      <c r="A153" s="109" t="s">
        <v>462</v>
      </c>
      <c r="B153" s="109" t="s">
        <v>463</v>
      </c>
      <c r="C153" s="118"/>
      <c r="D153" s="109" t="s">
        <v>464</v>
      </c>
      <c r="E153" s="105"/>
      <c r="F153" s="105"/>
      <c r="G153" s="105"/>
      <c r="H153" s="105"/>
      <c r="I153" s="105"/>
      <c r="J153" s="105"/>
      <c r="K153" s="118"/>
      <c r="L153" s="173">
        <v>56</v>
      </c>
      <c r="M153" s="173"/>
      <c r="N153" s="8"/>
    </row>
    <row r="154" spans="1:14" s="3" customFormat="1">
      <c r="A154" s="113"/>
      <c r="B154" s="114"/>
      <c r="C154" s="115"/>
      <c r="D154" s="273"/>
      <c r="E154" s="116"/>
      <c r="F154" s="116"/>
      <c r="G154" s="116"/>
      <c r="H154" s="116"/>
      <c r="I154" s="116"/>
      <c r="J154" s="116"/>
      <c r="K154" s="182"/>
      <c r="L154" s="173"/>
      <c r="M154" s="173"/>
      <c r="N154" s="8"/>
    </row>
    <row r="155" spans="1:14">
      <c r="A155" s="89" t="s">
        <v>210</v>
      </c>
      <c r="B155" s="90"/>
      <c r="C155" s="90"/>
      <c r="D155" s="274"/>
      <c r="E155" s="91"/>
      <c r="F155" s="91"/>
      <c r="G155" s="91"/>
      <c r="H155" s="91"/>
      <c r="I155" s="91"/>
      <c r="J155" s="91"/>
      <c r="K155" s="90"/>
      <c r="L155" s="91"/>
      <c r="M155" s="90"/>
    </row>
    <row r="156" spans="1:14">
      <c r="A156" s="109" t="s">
        <v>465</v>
      </c>
      <c r="B156" s="109" t="s">
        <v>466</v>
      </c>
      <c r="C156" s="118"/>
      <c r="D156" s="109"/>
      <c r="E156" s="105" t="s">
        <v>467</v>
      </c>
      <c r="F156" s="105" t="s">
        <v>468</v>
      </c>
      <c r="G156" s="105"/>
      <c r="H156" s="105"/>
      <c r="I156" s="105"/>
      <c r="J156" s="105"/>
      <c r="K156" s="118"/>
      <c r="L156" s="173">
        <v>0</v>
      </c>
      <c r="M156" s="173"/>
    </row>
    <row r="157" spans="1:14">
      <c r="A157" s="109" t="s">
        <v>469</v>
      </c>
      <c r="B157" s="109" t="s">
        <v>470</v>
      </c>
      <c r="C157" s="118"/>
      <c r="D157" s="109"/>
      <c r="E157" s="105" t="s">
        <v>471</v>
      </c>
      <c r="F157" s="105" t="s">
        <v>472</v>
      </c>
      <c r="G157" s="105"/>
      <c r="H157" s="105"/>
      <c r="I157" s="105"/>
      <c r="J157" s="105"/>
      <c r="K157" s="118"/>
      <c r="L157" s="173">
        <v>0</v>
      </c>
      <c r="M157" s="173"/>
    </row>
    <row r="158" spans="1:14">
      <c r="A158" s="109" t="s">
        <v>473</v>
      </c>
      <c r="B158" s="109" t="s">
        <v>474</v>
      </c>
      <c r="C158" s="118"/>
      <c r="D158" s="109"/>
      <c r="E158" s="105" t="s">
        <v>475</v>
      </c>
      <c r="F158" s="105"/>
      <c r="G158" s="105"/>
      <c r="H158" s="105"/>
      <c r="I158" s="105"/>
      <c r="J158" s="105"/>
      <c r="K158" s="118"/>
      <c r="L158" s="173">
        <v>0</v>
      </c>
      <c r="M158" s="173"/>
    </row>
    <row r="159" spans="1:14">
      <c r="A159" s="109" t="s">
        <v>476</v>
      </c>
      <c r="B159" s="109" t="s">
        <v>477</v>
      </c>
      <c r="C159" s="118"/>
      <c r="D159" s="109"/>
      <c r="E159" s="105" t="s">
        <v>478</v>
      </c>
      <c r="F159" s="105" t="s">
        <v>479</v>
      </c>
      <c r="G159" s="105"/>
      <c r="H159" s="105"/>
      <c r="I159" s="105"/>
      <c r="J159" s="105"/>
      <c r="K159" s="118"/>
      <c r="L159" s="173">
        <v>11</v>
      </c>
      <c r="M159" s="173"/>
    </row>
    <row r="160" spans="1:14">
      <c r="A160" s="109" t="s">
        <v>480</v>
      </c>
      <c r="B160" s="109" t="s">
        <v>481</v>
      </c>
      <c r="C160" s="118"/>
      <c r="D160" s="109"/>
      <c r="E160" s="105" t="s">
        <v>482</v>
      </c>
      <c r="F160" s="105" t="s">
        <v>483</v>
      </c>
      <c r="G160" s="105"/>
      <c r="H160" s="105"/>
      <c r="I160" s="105"/>
      <c r="J160" s="105"/>
      <c r="K160" s="118"/>
      <c r="L160" s="173">
        <v>13</v>
      </c>
      <c r="M160" s="173"/>
    </row>
    <row r="161" spans="1:14">
      <c r="A161" s="109" t="s">
        <v>222</v>
      </c>
      <c r="B161" s="109" t="s">
        <v>223</v>
      </c>
      <c r="C161" s="118"/>
      <c r="D161" s="109"/>
      <c r="E161" s="105" t="s">
        <v>484</v>
      </c>
      <c r="F161" s="105" t="s">
        <v>485</v>
      </c>
      <c r="G161" s="105"/>
      <c r="H161" s="105"/>
      <c r="I161" s="105"/>
      <c r="J161" s="105"/>
      <c r="K161" s="118"/>
      <c r="L161" s="173">
        <v>24</v>
      </c>
      <c r="M161" s="173"/>
    </row>
    <row r="162" spans="1:14">
      <c r="A162" s="109" t="s">
        <v>486</v>
      </c>
      <c r="B162" s="109" t="s">
        <v>487</v>
      </c>
      <c r="C162" s="118"/>
      <c r="D162" s="109"/>
      <c r="E162" s="105" t="s">
        <v>488</v>
      </c>
      <c r="F162" s="105"/>
      <c r="G162" s="105"/>
      <c r="H162" s="105"/>
      <c r="I162" s="105"/>
      <c r="J162" s="105"/>
      <c r="K162" s="118"/>
      <c r="L162" s="173">
        <v>40</v>
      </c>
      <c r="M162" s="173"/>
    </row>
    <row r="163" spans="1:14" s="1" customFormat="1">
      <c r="A163" s="109" t="s">
        <v>228</v>
      </c>
      <c r="B163" s="109" t="s">
        <v>489</v>
      </c>
      <c r="C163" s="118"/>
      <c r="D163" s="109"/>
      <c r="E163" s="105" t="s">
        <v>490</v>
      </c>
      <c r="F163" s="105" t="s">
        <v>491</v>
      </c>
      <c r="G163" s="105"/>
      <c r="H163" s="105"/>
      <c r="I163" s="105"/>
      <c r="J163" s="105"/>
      <c r="K163" s="118"/>
      <c r="L163" s="173">
        <v>69</v>
      </c>
      <c r="M163" s="173"/>
      <c r="N163" s="8"/>
    </row>
    <row r="164" spans="1:14">
      <c r="A164" s="109" t="s">
        <v>492</v>
      </c>
      <c r="B164" s="109" t="s">
        <v>493</v>
      </c>
      <c r="C164" s="118"/>
      <c r="D164" s="109"/>
      <c r="E164" s="105" t="s">
        <v>494</v>
      </c>
      <c r="F164" s="105" t="s">
        <v>495</v>
      </c>
      <c r="G164" s="105"/>
      <c r="H164" s="105"/>
      <c r="I164" s="105"/>
      <c r="J164" s="105"/>
      <c r="K164" s="118"/>
      <c r="L164" s="173">
        <v>80</v>
      </c>
      <c r="M164" s="173"/>
    </row>
    <row r="165" spans="1:14">
      <c r="A165" s="109" t="s">
        <v>496</v>
      </c>
      <c r="B165" s="109" t="s">
        <v>497</v>
      </c>
      <c r="C165" s="118"/>
      <c r="D165" s="109"/>
      <c r="E165" s="105" t="s">
        <v>498</v>
      </c>
      <c r="F165" s="105" t="s">
        <v>499</v>
      </c>
      <c r="G165" s="105"/>
      <c r="H165" s="105"/>
      <c r="I165" s="105"/>
      <c r="J165" s="105"/>
      <c r="K165" s="118"/>
      <c r="L165" s="173">
        <v>114</v>
      </c>
      <c r="M165" s="173"/>
    </row>
    <row r="166" spans="1:14">
      <c r="A166" s="113"/>
      <c r="B166" s="114"/>
      <c r="C166" s="115"/>
      <c r="D166" s="273"/>
      <c r="E166" s="116"/>
      <c r="F166" s="116"/>
      <c r="G166" s="116"/>
      <c r="H166" s="116"/>
      <c r="I166" s="116"/>
      <c r="J166" s="116"/>
      <c r="K166" s="182"/>
      <c r="L166" s="173"/>
      <c r="M166" s="173"/>
    </row>
    <row r="167" spans="1:14">
      <c r="A167" s="89" t="s">
        <v>232</v>
      </c>
      <c r="B167" s="90"/>
      <c r="C167" s="90"/>
      <c r="D167" s="274"/>
      <c r="E167" s="91"/>
      <c r="F167" s="91"/>
      <c r="G167" s="91"/>
      <c r="H167" s="91"/>
      <c r="I167" s="91"/>
      <c r="J167" s="91"/>
      <c r="K167" s="90"/>
      <c r="L167" s="91"/>
      <c r="M167" s="90"/>
    </row>
    <row r="168" spans="1:14">
      <c r="A168" s="109" t="s">
        <v>500</v>
      </c>
      <c r="B168" s="109" t="s">
        <v>501</v>
      </c>
      <c r="C168" s="118"/>
      <c r="D168" s="109"/>
      <c r="E168" s="105"/>
      <c r="F168" s="105"/>
      <c r="G168" s="105" t="s">
        <v>502</v>
      </c>
      <c r="H168" s="105" t="s">
        <v>503</v>
      </c>
      <c r="I168" s="105"/>
      <c r="J168" s="105"/>
      <c r="K168" s="118"/>
      <c r="L168" s="173">
        <v>11</v>
      </c>
      <c r="M168" s="173"/>
    </row>
    <row r="169" spans="1:14">
      <c r="A169" s="109" t="s">
        <v>504</v>
      </c>
      <c r="B169" s="109" t="s">
        <v>242</v>
      </c>
      <c r="C169" s="118"/>
      <c r="D169" s="109"/>
      <c r="E169" s="105"/>
      <c r="F169" s="105"/>
      <c r="G169" s="105" t="s">
        <v>505</v>
      </c>
      <c r="H169" s="105"/>
      <c r="I169" s="105"/>
      <c r="J169" s="105"/>
      <c r="K169" s="118"/>
      <c r="L169" s="173">
        <v>12</v>
      </c>
      <c r="M169" s="173"/>
    </row>
    <row r="170" spans="1:14" s="3" customFormat="1">
      <c r="A170" s="109" t="s">
        <v>506</v>
      </c>
      <c r="B170" s="109" t="s">
        <v>507</v>
      </c>
      <c r="C170" s="118"/>
      <c r="D170" s="109"/>
      <c r="E170" s="105"/>
      <c r="F170" s="105"/>
      <c r="G170" s="105" t="s">
        <v>508</v>
      </c>
      <c r="H170" s="105" t="s">
        <v>509</v>
      </c>
      <c r="I170" s="105"/>
      <c r="J170" s="105"/>
      <c r="K170" s="118"/>
      <c r="L170" s="173">
        <v>29</v>
      </c>
      <c r="M170" s="173"/>
      <c r="N170" s="8"/>
    </row>
    <row r="171" spans="1:14" s="3" customFormat="1">
      <c r="A171" s="109" t="s">
        <v>510</v>
      </c>
      <c r="B171" s="109" t="s">
        <v>511</v>
      </c>
      <c r="C171" s="118"/>
      <c r="D171" s="109"/>
      <c r="E171" s="105"/>
      <c r="F171" s="105"/>
      <c r="G171" s="105" t="s">
        <v>512</v>
      </c>
      <c r="H171" s="105" t="s">
        <v>513</v>
      </c>
      <c r="I171" s="105"/>
      <c r="J171" s="105"/>
      <c r="K171" s="118"/>
      <c r="L171" s="173">
        <v>74</v>
      </c>
      <c r="M171" s="173"/>
      <c r="N171" s="8"/>
    </row>
    <row r="172" spans="1:14" s="3" customFormat="1">
      <c r="A172" s="109" t="s">
        <v>514</v>
      </c>
      <c r="B172" s="109" t="s">
        <v>515</v>
      </c>
      <c r="C172" s="118"/>
      <c r="D172" s="109"/>
      <c r="E172" s="105"/>
      <c r="F172" s="105"/>
      <c r="G172" s="105" t="s">
        <v>516</v>
      </c>
      <c r="H172" s="105" t="s">
        <v>517</v>
      </c>
      <c r="I172" s="105"/>
      <c r="J172" s="105"/>
      <c r="K172" s="118"/>
      <c r="L172" s="173">
        <v>85</v>
      </c>
      <c r="M172" s="173"/>
      <c r="N172" s="8"/>
    </row>
    <row r="173" spans="1:14" s="3" customFormat="1">
      <c r="A173" s="113"/>
      <c r="B173" s="114"/>
      <c r="C173" s="115"/>
      <c r="D173" s="273"/>
      <c r="E173" s="116"/>
      <c r="F173" s="116"/>
      <c r="G173" s="116"/>
      <c r="H173" s="116"/>
      <c r="I173" s="116"/>
      <c r="J173" s="116"/>
      <c r="K173" s="182"/>
      <c r="L173" s="173"/>
      <c r="M173" s="173"/>
      <c r="N173" s="8"/>
    </row>
    <row r="174" spans="1:14" s="3" customFormat="1">
      <c r="A174" s="89" t="s">
        <v>251</v>
      </c>
      <c r="B174" s="90"/>
      <c r="C174" s="90"/>
      <c r="D174" s="274"/>
      <c r="E174" s="91"/>
      <c r="F174" s="91"/>
      <c r="G174" s="91"/>
      <c r="H174" s="91"/>
      <c r="I174" s="91"/>
      <c r="J174" s="91"/>
      <c r="K174" s="90"/>
      <c r="L174" s="91"/>
      <c r="M174" s="90"/>
      <c r="N174" s="8"/>
    </row>
    <row r="175" spans="1:14" s="3" customFormat="1">
      <c r="A175" s="109" t="s">
        <v>252</v>
      </c>
      <c r="B175" s="109" t="s">
        <v>253</v>
      </c>
      <c r="C175" s="118"/>
      <c r="D175" s="109" t="s">
        <v>518</v>
      </c>
      <c r="E175" s="105" t="s">
        <v>519</v>
      </c>
      <c r="F175" s="105" t="s">
        <v>520</v>
      </c>
      <c r="G175" s="105" t="s">
        <v>521</v>
      </c>
      <c r="H175" s="105" t="s">
        <v>522</v>
      </c>
      <c r="I175" s="105"/>
      <c r="J175" s="105"/>
      <c r="K175" s="118"/>
      <c r="L175" s="173">
        <v>29</v>
      </c>
      <c r="M175" s="173"/>
      <c r="N175" s="8"/>
    </row>
    <row r="176" spans="1:14" s="3" customFormat="1">
      <c r="A176" s="109" t="s">
        <v>259</v>
      </c>
      <c r="B176" s="109" t="s">
        <v>523</v>
      </c>
      <c r="C176" s="118"/>
      <c r="D176" s="109" t="s">
        <v>524</v>
      </c>
      <c r="E176" s="105" t="s">
        <v>525</v>
      </c>
      <c r="F176" s="105" t="s">
        <v>526</v>
      </c>
      <c r="G176" s="105" t="s">
        <v>527</v>
      </c>
      <c r="H176" s="105" t="s">
        <v>528</v>
      </c>
      <c r="I176" s="105"/>
      <c r="J176" s="105"/>
      <c r="K176" s="118"/>
      <c r="L176" s="173">
        <v>101</v>
      </c>
      <c r="M176" s="173"/>
      <c r="N176" s="8"/>
    </row>
    <row r="177" spans="1:14" s="3" customFormat="1">
      <c r="A177" s="113"/>
      <c r="B177" s="114"/>
      <c r="C177" s="115"/>
      <c r="D177" s="273"/>
      <c r="E177" s="116"/>
      <c r="F177" s="116"/>
      <c r="G177" s="116"/>
      <c r="H177" s="116"/>
      <c r="I177" s="116"/>
      <c r="J177" s="116"/>
      <c r="K177" s="182"/>
      <c r="L177" s="173"/>
      <c r="M177" s="173"/>
      <c r="N177" s="8"/>
    </row>
    <row r="178" spans="1:14">
      <c r="A178" s="89" t="s">
        <v>269</v>
      </c>
      <c r="B178" s="90"/>
      <c r="C178" s="90"/>
      <c r="D178" s="274"/>
      <c r="E178" s="91"/>
      <c r="F178" s="91"/>
      <c r="G178" s="91"/>
      <c r="H178" s="91"/>
      <c r="I178" s="91"/>
      <c r="J178" s="91"/>
      <c r="K178" s="90"/>
      <c r="L178" s="91"/>
      <c r="M178" s="90"/>
    </row>
    <row r="179" spans="1:14" ht="25.5">
      <c r="A179" s="109" t="s">
        <v>529</v>
      </c>
      <c r="B179" s="109" t="s">
        <v>530</v>
      </c>
      <c r="C179" s="118"/>
      <c r="D179" s="109" t="s">
        <v>531</v>
      </c>
      <c r="E179" s="105" t="s">
        <v>532</v>
      </c>
      <c r="F179" s="105" t="s">
        <v>533</v>
      </c>
      <c r="G179" s="105" t="s">
        <v>534</v>
      </c>
      <c r="H179" s="105" t="s">
        <v>535</v>
      </c>
      <c r="I179" s="105"/>
      <c r="J179" s="105"/>
      <c r="K179" s="118"/>
      <c r="L179" s="173">
        <v>5</v>
      </c>
      <c r="M179" s="173"/>
    </row>
    <row r="180" spans="1:14">
      <c r="A180" s="113"/>
      <c r="B180" s="114"/>
      <c r="C180" s="115"/>
      <c r="D180" s="273"/>
      <c r="E180" s="116"/>
      <c r="F180" s="116"/>
      <c r="G180" s="116"/>
      <c r="H180" s="116"/>
      <c r="I180" s="116"/>
      <c r="J180" s="116"/>
      <c r="K180" s="182"/>
      <c r="L180" s="173"/>
      <c r="M180" s="173"/>
    </row>
    <row r="181" spans="1:14">
      <c r="A181" s="89" t="s">
        <v>276</v>
      </c>
      <c r="B181" s="90"/>
      <c r="C181" s="90"/>
      <c r="D181" s="274"/>
      <c r="E181" s="91"/>
      <c r="F181" s="91"/>
      <c r="G181" s="91"/>
      <c r="H181" s="91"/>
      <c r="I181" s="91"/>
      <c r="J181" s="91"/>
      <c r="K181" s="90"/>
      <c r="L181" s="91"/>
      <c r="M181" s="90"/>
    </row>
    <row r="182" spans="1:14">
      <c r="A182" s="109" t="s">
        <v>284</v>
      </c>
      <c r="B182" s="109" t="s">
        <v>536</v>
      </c>
      <c r="C182" s="118"/>
      <c r="D182" s="109" t="s">
        <v>537</v>
      </c>
      <c r="E182" s="105" t="s">
        <v>538</v>
      </c>
      <c r="F182" s="105" t="s">
        <v>539</v>
      </c>
      <c r="G182" s="105"/>
      <c r="H182" s="105"/>
      <c r="I182" s="105"/>
      <c r="J182" s="105"/>
      <c r="K182" s="118"/>
      <c r="L182" s="173">
        <v>0</v>
      </c>
      <c r="M182" s="173"/>
    </row>
    <row r="183" spans="1:14">
      <c r="A183" s="113"/>
      <c r="B183" s="114"/>
      <c r="C183" s="115"/>
      <c r="D183" s="273"/>
      <c r="E183" s="116"/>
      <c r="F183" s="116"/>
      <c r="G183" s="116"/>
      <c r="H183" s="116"/>
      <c r="I183" s="116"/>
      <c r="J183" s="116"/>
      <c r="K183" s="182"/>
      <c r="L183" s="173"/>
      <c r="M183" s="173"/>
    </row>
    <row r="184" spans="1:14">
      <c r="A184" s="89" t="s">
        <v>287</v>
      </c>
      <c r="B184" s="90"/>
      <c r="C184" s="90"/>
      <c r="D184" s="274"/>
      <c r="E184" s="91"/>
      <c r="F184" s="91"/>
      <c r="G184" s="91"/>
      <c r="H184" s="91"/>
      <c r="I184" s="91"/>
      <c r="J184" s="91"/>
      <c r="K184" s="90"/>
      <c r="L184" s="91"/>
      <c r="M184" s="90"/>
    </row>
    <row r="185" spans="1:14">
      <c r="A185" s="109" t="s">
        <v>540</v>
      </c>
      <c r="B185" s="109" t="s">
        <v>541</v>
      </c>
      <c r="C185" s="118"/>
      <c r="D185" s="109" t="s">
        <v>542</v>
      </c>
      <c r="E185" s="105" t="s">
        <v>543</v>
      </c>
      <c r="F185" s="105" t="s">
        <v>544</v>
      </c>
      <c r="G185" s="105" t="s">
        <v>545</v>
      </c>
      <c r="H185" s="105" t="s">
        <v>546</v>
      </c>
      <c r="I185" s="105"/>
      <c r="J185" s="105"/>
      <c r="K185" s="118"/>
      <c r="L185" s="173">
        <v>2</v>
      </c>
      <c r="M185" s="173"/>
    </row>
    <row r="186" spans="1:14">
      <c r="A186" s="109" t="s">
        <v>90</v>
      </c>
      <c r="B186" s="109" t="s">
        <v>288</v>
      </c>
      <c r="C186" s="118"/>
      <c r="D186" s="109" t="s">
        <v>547</v>
      </c>
      <c r="E186" s="105" t="s">
        <v>548</v>
      </c>
      <c r="F186" s="105" t="s">
        <v>549</v>
      </c>
      <c r="G186" s="105" t="s">
        <v>550</v>
      </c>
      <c r="H186" s="105" t="s">
        <v>551</v>
      </c>
      <c r="I186" s="105"/>
      <c r="J186" s="105"/>
      <c r="K186" s="118"/>
      <c r="L186" s="173">
        <v>6</v>
      </c>
      <c r="M186" s="173"/>
    </row>
    <row r="187" spans="1:14">
      <c r="A187" s="113"/>
      <c r="B187" s="114"/>
      <c r="C187" s="115"/>
      <c r="D187" s="273"/>
      <c r="E187" s="116"/>
      <c r="F187" s="116"/>
      <c r="G187" s="116"/>
      <c r="H187" s="116"/>
      <c r="I187" s="116"/>
      <c r="J187" s="116"/>
      <c r="K187" s="182"/>
      <c r="L187" s="173"/>
      <c r="M187" s="173"/>
    </row>
    <row r="188" spans="1:14">
      <c r="A188" s="89" t="s">
        <v>552</v>
      </c>
      <c r="B188" s="90"/>
      <c r="C188" s="90"/>
      <c r="D188" s="274"/>
      <c r="E188" s="91"/>
      <c r="F188" s="91"/>
      <c r="G188" s="91"/>
      <c r="H188" s="91"/>
      <c r="I188" s="91"/>
      <c r="J188" s="91"/>
      <c r="K188" s="90"/>
      <c r="L188" s="91"/>
      <c r="M188" s="90"/>
    </row>
    <row r="189" spans="1:14">
      <c r="A189" s="109" t="s">
        <v>806</v>
      </c>
      <c r="B189" s="109" t="s">
        <v>807</v>
      </c>
      <c r="C189" s="118"/>
      <c r="D189" s="109" t="s">
        <v>1643</v>
      </c>
      <c r="E189" s="105" t="s">
        <v>1644</v>
      </c>
      <c r="F189" s="105" t="s">
        <v>1646</v>
      </c>
      <c r="G189" s="105" t="s">
        <v>1645</v>
      </c>
      <c r="H189" s="105" t="s">
        <v>1647</v>
      </c>
      <c r="I189" s="105"/>
      <c r="J189" s="105"/>
      <c r="K189" s="118"/>
      <c r="L189" s="173">
        <v>6</v>
      </c>
      <c r="M189" s="173"/>
    </row>
    <row r="190" spans="1:14">
      <c r="A190" s="109" t="s">
        <v>553</v>
      </c>
      <c r="B190" s="109" t="s">
        <v>554</v>
      </c>
      <c r="C190" s="118" t="s">
        <v>350</v>
      </c>
      <c r="D190" s="109" t="s">
        <v>555</v>
      </c>
      <c r="E190" s="105" t="s">
        <v>556</v>
      </c>
      <c r="F190" s="105"/>
      <c r="G190" s="105" t="s">
        <v>557</v>
      </c>
      <c r="H190" s="105"/>
      <c r="I190" s="105"/>
      <c r="J190" s="105"/>
      <c r="K190" s="118"/>
      <c r="L190" s="173">
        <v>7</v>
      </c>
      <c r="M190" s="173"/>
    </row>
    <row r="191" spans="1:14">
      <c r="A191" s="109" t="s">
        <v>558</v>
      </c>
      <c r="B191" s="109" t="s">
        <v>296</v>
      </c>
      <c r="C191" s="118"/>
      <c r="D191" s="109"/>
      <c r="E191" s="105" t="s">
        <v>559</v>
      </c>
      <c r="F191" s="105"/>
      <c r="G191" s="105" t="s">
        <v>560</v>
      </c>
      <c r="H191" s="105"/>
      <c r="I191" s="105"/>
      <c r="J191" s="105"/>
      <c r="K191" s="118"/>
      <c r="L191" s="173">
        <v>85</v>
      </c>
      <c r="M191" s="173"/>
    </row>
    <row r="192" spans="1:14">
      <c r="A192" s="109" t="s">
        <v>561</v>
      </c>
      <c r="B192" s="109" t="s">
        <v>296</v>
      </c>
      <c r="C192" s="118"/>
      <c r="D192" s="109"/>
      <c r="E192" s="105"/>
      <c r="F192" s="105" t="s">
        <v>562</v>
      </c>
      <c r="G192" s="105"/>
      <c r="H192" s="105" t="s">
        <v>563</v>
      </c>
      <c r="I192" s="105"/>
      <c r="J192" s="105"/>
      <c r="K192" s="118"/>
      <c r="L192" s="173">
        <v>85</v>
      </c>
      <c r="M192" s="173"/>
    </row>
    <row r="193" spans="1:14">
      <c r="A193" s="113"/>
      <c r="B193" s="114"/>
      <c r="C193" s="115"/>
      <c r="D193" s="273"/>
      <c r="E193" s="116"/>
      <c r="F193" s="116"/>
      <c r="G193" s="116"/>
      <c r="H193" s="116"/>
      <c r="I193" s="116"/>
      <c r="J193" s="116"/>
      <c r="K193" s="182"/>
      <c r="L193" s="173"/>
      <c r="M193" s="173"/>
    </row>
    <row r="194" spans="1:14">
      <c r="A194" s="89" t="s">
        <v>564</v>
      </c>
      <c r="B194" s="90"/>
      <c r="C194" s="90"/>
      <c r="D194" s="274"/>
      <c r="E194" s="91"/>
      <c r="F194" s="91"/>
      <c r="G194" s="91"/>
      <c r="H194" s="91"/>
      <c r="I194" s="91"/>
      <c r="J194" s="91"/>
      <c r="K194" s="90"/>
      <c r="L194" s="91"/>
      <c r="M194" s="90"/>
    </row>
    <row r="195" spans="1:14">
      <c r="A195" s="109" t="s">
        <v>565</v>
      </c>
      <c r="B195" s="109" t="s">
        <v>306</v>
      </c>
      <c r="C195" s="118"/>
      <c r="D195" s="109" t="s">
        <v>566</v>
      </c>
      <c r="E195" s="105" t="s">
        <v>567</v>
      </c>
      <c r="F195" s="105" t="s">
        <v>568</v>
      </c>
      <c r="G195" s="105" t="s">
        <v>569</v>
      </c>
      <c r="H195" s="105" t="s">
        <v>570</v>
      </c>
      <c r="I195" s="105"/>
      <c r="J195" s="105"/>
      <c r="K195" s="118"/>
      <c r="L195" s="173">
        <v>0</v>
      </c>
      <c r="M195" s="173"/>
    </row>
    <row r="196" spans="1:14">
      <c r="A196" s="113"/>
      <c r="B196" s="114"/>
      <c r="C196" s="115"/>
      <c r="D196" s="273"/>
      <c r="E196" s="116"/>
      <c r="F196" s="116"/>
      <c r="G196" s="116"/>
      <c r="H196" s="116"/>
      <c r="I196" s="116"/>
      <c r="J196" s="116"/>
      <c r="K196" s="182"/>
      <c r="L196" s="173"/>
      <c r="M196" s="173"/>
    </row>
    <row r="197" spans="1:14">
      <c r="A197" s="89" t="s">
        <v>316</v>
      </c>
      <c r="B197" s="90"/>
      <c r="C197" s="90"/>
      <c r="D197" s="274"/>
      <c r="E197" s="91"/>
      <c r="F197" s="91"/>
      <c r="G197" s="91"/>
      <c r="H197" s="91"/>
      <c r="I197" s="91"/>
      <c r="J197" s="91"/>
      <c r="K197" s="90"/>
      <c r="L197" s="91"/>
      <c r="M197" s="90"/>
    </row>
    <row r="198" spans="1:14">
      <c r="A198" s="109" t="s">
        <v>317</v>
      </c>
      <c r="B198" s="109" t="s">
        <v>318</v>
      </c>
      <c r="C198" s="118"/>
      <c r="D198" s="106" t="s">
        <v>571</v>
      </c>
      <c r="E198" s="104" t="s">
        <v>571</v>
      </c>
      <c r="F198" s="104" t="s">
        <v>571</v>
      </c>
      <c r="G198" s="104" t="s">
        <v>571</v>
      </c>
      <c r="H198" s="104" t="s">
        <v>571</v>
      </c>
      <c r="I198" s="104"/>
      <c r="J198" s="104"/>
      <c r="K198" s="107"/>
      <c r="L198" s="173">
        <v>20</v>
      </c>
      <c r="M198" s="173"/>
    </row>
    <row r="199" spans="1:14" ht="25.5">
      <c r="A199" s="109" t="s">
        <v>320</v>
      </c>
      <c r="B199" s="119" t="s">
        <v>321</v>
      </c>
      <c r="C199" s="120"/>
      <c r="D199" s="106" t="s">
        <v>572</v>
      </c>
      <c r="E199" s="104" t="s">
        <v>572</v>
      </c>
      <c r="F199" s="104" t="s">
        <v>572</v>
      </c>
      <c r="G199" s="104" t="s">
        <v>572</v>
      </c>
      <c r="H199" s="104" t="s">
        <v>572</v>
      </c>
      <c r="I199" s="104"/>
      <c r="J199" s="104"/>
      <c r="K199" s="107"/>
      <c r="L199" s="173">
        <v>30</v>
      </c>
      <c r="M199" s="173"/>
    </row>
    <row r="200" spans="1:14">
      <c r="A200" s="109" t="s">
        <v>323</v>
      </c>
      <c r="B200" s="109" t="s">
        <v>324</v>
      </c>
      <c r="C200" s="118"/>
      <c r="D200" s="106" t="s">
        <v>573</v>
      </c>
      <c r="E200" s="104" t="s">
        <v>573</v>
      </c>
      <c r="F200" s="104" t="s">
        <v>573</v>
      </c>
      <c r="G200" s="104" t="s">
        <v>573</v>
      </c>
      <c r="H200" s="104" t="s">
        <v>573</v>
      </c>
      <c r="I200" s="104"/>
      <c r="J200" s="104"/>
      <c r="K200" s="107"/>
      <c r="L200" s="173">
        <v>50</v>
      </c>
      <c r="M200" s="173"/>
    </row>
    <row r="201" spans="1:14">
      <c r="A201" s="109" t="s">
        <v>574</v>
      </c>
      <c r="B201" s="109" t="s">
        <v>575</v>
      </c>
      <c r="C201" s="118"/>
      <c r="D201" s="106" t="s">
        <v>576</v>
      </c>
      <c r="E201" s="104" t="s">
        <v>576</v>
      </c>
      <c r="F201" s="104" t="s">
        <v>576</v>
      </c>
      <c r="G201" s="104" t="s">
        <v>576</v>
      </c>
      <c r="H201" s="104" t="s">
        <v>576</v>
      </c>
      <c r="I201" s="104"/>
      <c r="J201" s="104"/>
      <c r="K201" s="107"/>
      <c r="L201" s="173">
        <v>20</v>
      </c>
      <c r="M201" s="173"/>
    </row>
    <row r="202" spans="1:14">
      <c r="A202" s="109" t="s">
        <v>326</v>
      </c>
      <c r="B202" s="109" t="s">
        <v>327</v>
      </c>
      <c r="C202" s="118"/>
      <c r="D202" s="109" t="s">
        <v>328</v>
      </c>
      <c r="E202" s="105" t="s">
        <v>328</v>
      </c>
      <c r="F202" s="105" t="s">
        <v>328</v>
      </c>
      <c r="G202" s="105" t="s">
        <v>328</v>
      </c>
      <c r="H202" s="105" t="s">
        <v>328</v>
      </c>
      <c r="I202" s="105"/>
      <c r="J202" s="105"/>
      <c r="K202" s="118"/>
      <c r="L202" s="173">
        <v>158</v>
      </c>
      <c r="M202" s="173"/>
    </row>
    <row r="203" spans="1:14">
      <c r="A203" s="109" t="s">
        <v>1682</v>
      </c>
      <c r="B203" s="109" t="s">
        <v>1666</v>
      </c>
      <c r="C203" s="118"/>
      <c r="D203" s="109" t="s">
        <v>1707</v>
      </c>
      <c r="E203" s="109" t="s">
        <v>1707</v>
      </c>
      <c r="F203" s="109" t="s">
        <v>1707</v>
      </c>
      <c r="G203" s="109" t="s">
        <v>1707</v>
      </c>
      <c r="H203" s="109" t="s">
        <v>1707</v>
      </c>
      <c r="I203" s="105"/>
      <c r="J203" s="105"/>
      <c r="K203" s="118"/>
      <c r="L203" s="173">
        <v>22</v>
      </c>
      <c r="M203" s="173"/>
    </row>
    <row r="204" spans="1:14" ht="25.5">
      <c r="A204" s="109" t="s">
        <v>329</v>
      </c>
      <c r="B204" s="119" t="s">
        <v>330</v>
      </c>
      <c r="C204" s="118"/>
      <c r="D204" s="109" t="s">
        <v>1711</v>
      </c>
      <c r="E204" s="109" t="s">
        <v>1711</v>
      </c>
      <c r="F204" s="109" t="s">
        <v>1711</v>
      </c>
      <c r="G204" s="109" t="s">
        <v>1711</v>
      </c>
      <c r="H204" s="109" t="s">
        <v>1711</v>
      </c>
      <c r="I204" s="105"/>
      <c r="J204" s="105"/>
      <c r="K204" s="118"/>
      <c r="L204" s="173">
        <v>52</v>
      </c>
      <c r="M204" s="173"/>
    </row>
    <row r="205" spans="1:14">
      <c r="A205" s="113"/>
      <c r="B205" s="114"/>
      <c r="C205" s="115"/>
      <c r="D205" s="273"/>
      <c r="E205" s="116"/>
      <c r="F205" s="116"/>
      <c r="G205" s="116"/>
      <c r="H205" s="116"/>
      <c r="I205" s="116"/>
      <c r="J205" s="116"/>
      <c r="K205" s="182"/>
      <c r="L205" s="173"/>
      <c r="M205" s="173"/>
    </row>
    <row r="206" spans="1:14" s="13" customFormat="1" ht="20.25">
      <c r="A206" s="96" t="s">
        <v>577</v>
      </c>
      <c r="B206" s="96"/>
      <c r="C206" s="97"/>
      <c r="D206" s="278"/>
      <c r="E206" s="98"/>
      <c r="F206" s="98"/>
      <c r="G206" s="98"/>
      <c r="H206" s="98"/>
      <c r="I206" s="98"/>
      <c r="J206" s="98"/>
      <c r="K206" s="96"/>
      <c r="L206" s="98"/>
      <c r="M206" s="96"/>
      <c r="N206" s="8"/>
    </row>
    <row r="207" spans="1:14" s="13" customFormat="1" ht="76.5">
      <c r="A207" s="14" t="s">
        <v>117</v>
      </c>
      <c r="B207" s="14" t="s">
        <v>118</v>
      </c>
      <c r="C207" s="14" t="s">
        <v>119</v>
      </c>
      <c r="D207" s="279"/>
      <c r="E207" s="14"/>
      <c r="F207" s="14"/>
      <c r="G207" s="14"/>
      <c r="H207" s="14"/>
      <c r="I207" s="14"/>
      <c r="J207" s="14"/>
      <c r="K207" s="14" t="s">
        <v>120</v>
      </c>
      <c r="L207" s="14" t="s">
        <v>121</v>
      </c>
      <c r="M207" s="14" t="s">
        <v>122</v>
      </c>
      <c r="N207" s="8"/>
    </row>
    <row r="208" spans="1:14" ht="140.25">
      <c r="A208" s="113" t="s">
        <v>578</v>
      </c>
      <c r="B208" s="114" t="s">
        <v>579</v>
      </c>
      <c r="C208" s="115"/>
      <c r="D208" s="273"/>
      <c r="E208" s="116"/>
      <c r="F208" s="116"/>
      <c r="G208" s="116"/>
      <c r="H208" s="116"/>
      <c r="I208" s="116"/>
      <c r="J208" s="116"/>
      <c r="K208" s="182"/>
      <c r="L208" s="173">
        <v>548</v>
      </c>
      <c r="M208" s="173">
        <v>570</v>
      </c>
    </row>
    <row r="209" spans="1:13">
      <c r="A209" s="113"/>
      <c r="B209" s="114"/>
      <c r="C209" s="115"/>
      <c r="D209" s="273"/>
      <c r="E209" s="116"/>
      <c r="F209" s="116"/>
      <c r="G209" s="116"/>
      <c r="H209" s="116"/>
      <c r="I209" s="116"/>
      <c r="J209" s="116"/>
      <c r="K209" s="182"/>
      <c r="L209" s="173"/>
      <c r="M209" s="173"/>
    </row>
    <row r="210" spans="1:13" ht="140.25">
      <c r="A210" s="113" t="s">
        <v>580</v>
      </c>
      <c r="B210" s="114" t="s">
        <v>581</v>
      </c>
      <c r="C210" s="115"/>
      <c r="D210" s="273"/>
      <c r="E210" s="116"/>
      <c r="F210" s="116"/>
      <c r="G210" s="116"/>
      <c r="H210" s="116"/>
      <c r="I210" s="116"/>
      <c r="J210" s="116"/>
      <c r="K210" s="182"/>
      <c r="L210" s="173">
        <v>531</v>
      </c>
      <c r="M210" s="173">
        <v>553</v>
      </c>
    </row>
    <row r="211" spans="1:13">
      <c r="A211" s="113"/>
      <c r="B211" s="114"/>
      <c r="C211" s="115"/>
      <c r="D211" s="273"/>
      <c r="E211" s="116"/>
      <c r="F211" s="116"/>
      <c r="G211" s="116"/>
      <c r="H211" s="116"/>
      <c r="I211" s="116"/>
      <c r="J211" s="116"/>
      <c r="K211" s="182"/>
      <c r="L211" s="173"/>
      <c r="M211" s="173"/>
    </row>
    <row r="212" spans="1:13" ht="153">
      <c r="A212" s="113" t="s">
        <v>582</v>
      </c>
      <c r="B212" s="114" t="s">
        <v>583</v>
      </c>
      <c r="C212" s="115"/>
      <c r="D212" s="273"/>
      <c r="E212" s="116"/>
      <c r="F212" s="116"/>
      <c r="G212" s="116"/>
      <c r="H212" s="116"/>
      <c r="I212" s="116"/>
      <c r="J212" s="116"/>
      <c r="K212" s="182"/>
      <c r="L212" s="173">
        <v>548</v>
      </c>
      <c r="M212" s="173">
        <v>570</v>
      </c>
    </row>
    <row r="213" spans="1:13">
      <c r="A213" s="113"/>
      <c r="B213" s="114"/>
      <c r="C213" s="115"/>
      <c r="D213" s="273"/>
      <c r="E213" s="116"/>
      <c r="F213" s="116"/>
      <c r="G213" s="116"/>
      <c r="H213" s="116"/>
      <c r="I213" s="116"/>
      <c r="J213" s="116"/>
      <c r="K213" s="182"/>
      <c r="L213" s="173"/>
      <c r="M213" s="173"/>
    </row>
    <row r="214" spans="1:13" ht="140.25">
      <c r="A214" s="113" t="s">
        <v>584</v>
      </c>
      <c r="B214" s="114" t="s">
        <v>585</v>
      </c>
      <c r="C214" s="115"/>
      <c r="D214" s="273"/>
      <c r="E214" s="116"/>
      <c r="F214" s="116"/>
      <c r="G214" s="116"/>
      <c r="H214" s="116"/>
      <c r="I214" s="116"/>
      <c r="J214" s="116"/>
      <c r="K214" s="182"/>
      <c r="L214" s="173">
        <v>531</v>
      </c>
      <c r="M214" s="173">
        <v>553</v>
      </c>
    </row>
    <row r="215" spans="1:13">
      <c r="A215" s="113"/>
      <c r="B215" s="114"/>
      <c r="C215" s="115"/>
      <c r="D215" s="273"/>
      <c r="E215" s="116"/>
      <c r="F215" s="116"/>
      <c r="G215" s="116"/>
      <c r="H215" s="116"/>
      <c r="I215" s="116"/>
      <c r="J215" s="116"/>
      <c r="K215" s="182"/>
      <c r="L215" s="173"/>
      <c r="M215" s="173"/>
    </row>
    <row r="216" spans="1:13" ht="140.25">
      <c r="A216" s="109" t="s">
        <v>586</v>
      </c>
      <c r="B216" s="114" t="s">
        <v>587</v>
      </c>
      <c r="C216" s="115"/>
      <c r="D216" s="273"/>
      <c r="E216" s="116"/>
      <c r="F216" s="116"/>
      <c r="G216" s="116"/>
      <c r="H216" s="116"/>
      <c r="I216" s="116"/>
      <c r="J216" s="116"/>
      <c r="K216" s="182"/>
      <c r="L216" s="173">
        <v>556</v>
      </c>
      <c r="M216" s="173">
        <v>578</v>
      </c>
    </row>
    <row r="217" spans="1:13">
      <c r="A217" s="113"/>
      <c r="B217" s="114"/>
      <c r="C217" s="115"/>
      <c r="D217" s="273"/>
      <c r="E217" s="116"/>
      <c r="F217" s="116"/>
      <c r="G217" s="116"/>
      <c r="H217" s="116"/>
      <c r="I217" s="116"/>
      <c r="J217" s="116"/>
      <c r="K217" s="182"/>
      <c r="L217" s="173"/>
      <c r="M217" s="173"/>
    </row>
    <row r="218" spans="1:13" ht="140.25">
      <c r="A218" s="113" t="s">
        <v>588</v>
      </c>
      <c r="B218" s="114" t="s">
        <v>589</v>
      </c>
      <c r="C218" s="115"/>
      <c r="D218" s="273"/>
      <c r="E218" s="116"/>
      <c r="F218" s="116"/>
      <c r="G218" s="116"/>
      <c r="H218" s="116"/>
      <c r="I218" s="116"/>
      <c r="J218" s="116"/>
      <c r="K218" s="182"/>
      <c r="L218" s="173">
        <v>537</v>
      </c>
      <c r="M218" s="173">
        <v>559</v>
      </c>
    </row>
    <row r="219" spans="1:13">
      <c r="A219" s="113"/>
      <c r="B219" s="114"/>
      <c r="C219" s="115"/>
      <c r="D219" s="273"/>
      <c r="E219" s="116"/>
      <c r="F219" s="116"/>
      <c r="G219" s="116"/>
      <c r="H219" s="116"/>
      <c r="I219" s="116"/>
      <c r="J219" s="116"/>
      <c r="K219" s="182"/>
      <c r="L219" s="173"/>
      <c r="M219" s="173"/>
    </row>
    <row r="220" spans="1:13" ht="25.5">
      <c r="A220" s="15" t="s">
        <v>590</v>
      </c>
      <c r="B220" s="14" t="s">
        <v>338</v>
      </c>
      <c r="C220" s="14" t="s">
        <v>119</v>
      </c>
      <c r="D220" s="279" t="s">
        <v>591</v>
      </c>
      <c r="E220" s="14" t="s">
        <v>592</v>
      </c>
      <c r="F220" s="14" t="s">
        <v>593</v>
      </c>
      <c r="G220" s="14" t="s">
        <v>594</v>
      </c>
      <c r="H220" s="14" t="s">
        <v>595</v>
      </c>
      <c r="I220" s="14" t="s">
        <v>596</v>
      </c>
      <c r="J220" s="14"/>
      <c r="K220" s="14" t="s">
        <v>120</v>
      </c>
      <c r="L220" s="14" t="s">
        <v>938</v>
      </c>
      <c r="M220" s="14"/>
    </row>
    <row r="221" spans="1:13">
      <c r="A221" s="89" t="s">
        <v>597</v>
      </c>
      <c r="B221" s="90"/>
      <c r="C221" s="90"/>
      <c r="D221" s="274"/>
      <c r="E221" s="91"/>
      <c r="F221" s="91"/>
      <c r="G221" s="91"/>
      <c r="H221" s="91"/>
      <c r="I221" s="91"/>
      <c r="J221" s="91"/>
      <c r="K221" s="90"/>
      <c r="L221" s="91"/>
      <c r="M221" s="90"/>
    </row>
    <row r="222" spans="1:13" ht="38.25">
      <c r="A222" s="109" t="s">
        <v>598</v>
      </c>
      <c r="B222" s="63" t="s">
        <v>599</v>
      </c>
      <c r="C222" s="118" t="s">
        <v>350</v>
      </c>
      <c r="D222" s="63" t="s">
        <v>600</v>
      </c>
      <c r="E222" s="64"/>
      <c r="F222" s="64" t="s">
        <v>601</v>
      </c>
      <c r="G222" s="64"/>
      <c r="H222" s="64" t="s">
        <v>602</v>
      </c>
      <c r="I222" s="105"/>
      <c r="J222" s="105"/>
      <c r="K222" s="118"/>
      <c r="L222" s="173">
        <v>108</v>
      </c>
      <c r="M222" s="173"/>
    </row>
    <row r="223" spans="1:13">
      <c r="A223" s="109" t="s">
        <v>603</v>
      </c>
      <c r="B223" s="63" t="s">
        <v>604</v>
      </c>
      <c r="C223" s="118" t="s">
        <v>350</v>
      </c>
      <c r="D223" s="63" t="s">
        <v>605</v>
      </c>
      <c r="E223" s="64"/>
      <c r="F223" s="64"/>
      <c r="G223" s="64"/>
      <c r="H223" s="64"/>
      <c r="I223" s="105"/>
      <c r="J223" s="105"/>
      <c r="K223" s="118"/>
      <c r="L223" s="173">
        <v>188</v>
      </c>
      <c r="M223" s="173"/>
    </row>
    <row r="224" spans="1:13" ht="38.25">
      <c r="A224" s="109" t="s">
        <v>606</v>
      </c>
      <c r="B224" s="63" t="s">
        <v>607</v>
      </c>
      <c r="C224" s="118" t="s">
        <v>350</v>
      </c>
      <c r="D224" s="63" t="s">
        <v>608</v>
      </c>
      <c r="E224" s="64"/>
      <c r="F224" s="64" t="s">
        <v>609</v>
      </c>
      <c r="G224" s="64"/>
      <c r="H224" s="64" t="s">
        <v>610</v>
      </c>
      <c r="I224" s="105"/>
      <c r="J224" s="105"/>
      <c r="K224" s="118"/>
      <c r="L224" s="173">
        <v>119</v>
      </c>
      <c r="M224" s="173"/>
    </row>
    <row r="225" spans="1:13">
      <c r="A225" s="109" t="s">
        <v>71</v>
      </c>
      <c r="B225" s="63" t="s">
        <v>611</v>
      </c>
      <c r="C225" s="118" t="s">
        <v>350</v>
      </c>
      <c r="D225" s="63" t="s">
        <v>612</v>
      </c>
      <c r="E225" s="64"/>
      <c r="F225" s="64"/>
      <c r="G225" s="64"/>
      <c r="H225" s="64"/>
      <c r="I225" s="105"/>
      <c r="J225" s="105"/>
      <c r="K225" s="118"/>
      <c r="L225" s="173">
        <v>199</v>
      </c>
      <c r="M225" s="173"/>
    </row>
    <row r="226" spans="1:13" ht="25.5">
      <c r="A226" s="109" t="s">
        <v>613</v>
      </c>
      <c r="B226" s="109" t="s">
        <v>614</v>
      </c>
      <c r="C226" s="118" t="s">
        <v>350</v>
      </c>
      <c r="D226" s="109"/>
      <c r="E226" s="105"/>
      <c r="F226" s="105" t="s">
        <v>615</v>
      </c>
      <c r="G226" s="105"/>
      <c r="H226" s="105" t="s">
        <v>616</v>
      </c>
      <c r="I226" s="105"/>
      <c r="J226" s="105"/>
      <c r="K226" s="118"/>
      <c r="L226" s="173">
        <v>254</v>
      </c>
      <c r="M226" s="173"/>
    </row>
    <row r="227" spans="1:13">
      <c r="A227" s="113"/>
      <c r="B227" s="114"/>
      <c r="C227" s="115"/>
      <c r="D227" s="273"/>
      <c r="E227" s="116"/>
      <c r="F227" s="116"/>
      <c r="G227" s="116"/>
      <c r="H227" s="116"/>
      <c r="I227" s="116"/>
      <c r="J227" s="116"/>
      <c r="K227" s="182"/>
      <c r="L227" s="173"/>
      <c r="M227" s="173"/>
    </row>
    <row r="228" spans="1:13">
      <c r="A228" s="89" t="s">
        <v>617</v>
      </c>
      <c r="B228" s="90"/>
      <c r="C228" s="90"/>
      <c r="D228" s="274"/>
      <c r="E228" s="91"/>
      <c r="F228" s="91"/>
      <c r="G228" s="91"/>
      <c r="H228" s="91"/>
      <c r="I228" s="91"/>
      <c r="J228" s="91"/>
      <c r="K228" s="90"/>
      <c r="L228" s="91"/>
      <c r="M228" s="90"/>
    </row>
    <row r="229" spans="1:13" ht="38.25">
      <c r="A229" s="109" t="s">
        <v>77</v>
      </c>
      <c r="B229" s="109" t="s">
        <v>618</v>
      </c>
      <c r="C229" s="118"/>
      <c r="D229" s="109"/>
      <c r="E229" s="234" t="s">
        <v>619</v>
      </c>
      <c r="F229" s="118"/>
      <c r="G229" s="118" t="s">
        <v>620</v>
      </c>
      <c r="H229" s="118"/>
      <c r="I229" s="118" t="s">
        <v>621</v>
      </c>
      <c r="J229" s="118"/>
      <c r="K229" s="118"/>
      <c r="L229" s="173">
        <v>95</v>
      </c>
      <c r="M229" s="173"/>
    </row>
    <row r="230" spans="1:13">
      <c r="A230" s="109" t="s">
        <v>78</v>
      </c>
      <c r="B230" s="109" t="s">
        <v>622</v>
      </c>
      <c r="C230" s="118"/>
      <c r="D230" s="109"/>
      <c r="E230" s="234" t="s">
        <v>623</v>
      </c>
      <c r="F230" s="118"/>
      <c r="G230" s="118"/>
      <c r="H230" s="118"/>
      <c r="I230" s="118"/>
      <c r="J230" s="118"/>
      <c r="K230" s="118"/>
      <c r="L230" s="173">
        <v>175</v>
      </c>
      <c r="M230" s="173"/>
    </row>
    <row r="231" spans="1:13">
      <c r="A231" s="113"/>
      <c r="B231" s="114"/>
      <c r="C231" s="115"/>
      <c r="D231" s="273"/>
      <c r="E231" s="116"/>
      <c r="F231" s="116"/>
      <c r="G231" s="116"/>
      <c r="H231" s="116"/>
      <c r="I231" s="116"/>
      <c r="J231" s="116"/>
      <c r="K231" s="182"/>
      <c r="L231" s="173"/>
      <c r="M231" s="173"/>
    </row>
    <row r="232" spans="1:13">
      <c r="A232" s="89" t="s">
        <v>441</v>
      </c>
      <c r="B232" s="90"/>
      <c r="C232" s="90"/>
      <c r="D232" s="274"/>
      <c r="E232" s="91"/>
      <c r="F232" s="91"/>
      <c r="G232" s="91"/>
      <c r="H232" s="91"/>
      <c r="I232" s="91"/>
      <c r="J232" s="91"/>
      <c r="K232" s="90"/>
      <c r="L232" s="91"/>
      <c r="M232" s="90"/>
    </row>
    <row r="233" spans="1:13">
      <c r="A233" s="109" t="s">
        <v>624</v>
      </c>
      <c r="B233" s="109" t="s">
        <v>625</v>
      </c>
      <c r="C233" s="118"/>
      <c r="D233" s="109"/>
      <c r="E233" s="105"/>
      <c r="F233" s="105" t="s">
        <v>626</v>
      </c>
      <c r="G233" s="105" t="s">
        <v>627</v>
      </c>
      <c r="H233" s="105" t="s">
        <v>628</v>
      </c>
      <c r="I233" s="105" t="s">
        <v>629</v>
      </c>
      <c r="J233" s="105"/>
      <c r="K233" s="118"/>
      <c r="L233" s="173">
        <v>3</v>
      </c>
      <c r="M233" s="173"/>
    </row>
    <row r="234" spans="1:13">
      <c r="A234" s="109" t="s">
        <v>630</v>
      </c>
      <c r="B234" s="109" t="s">
        <v>631</v>
      </c>
      <c r="C234" s="118"/>
      <c r="D234" s="109"/>
      <c r="E234" s="105"/>
      <c r="F234" s="105" t="s">
        <v>632</v>
      </c>
      <c r="G234" s="105" t="s">
        <v>633</v>
      </c>
      <c r="H234" s="105" t="s">
        <v>634</v>
      </c>
      <c r="I234" s="105" t="s">
        <v>635</v>
      </c>
      <c r="J234" s="105"/>
      <c r="K234" s="118"/>
      <c r="L234" s="173">
        <v>80</v>
      </c>
      <c r="M234" s="173"/>
    </row>
    <row r="235" spans="1:13">
      <c r="A235" s="109" t="s">
        <v>636</v>
      </c>
      <c r="B235" s="109" t="s">
        <v>637</v>
      </c>
      <c r="C235" s="118"/>
      <c r="D235" s="109"/>
      <c r="E235" s="105"/>
      <c r="F235" s="105" t="s">
        <v>638</v>
      </c>
      <c r="G235" s="105" t="s">
        <v>639</v>
      </c>
      <c r="H235" s="105" t="s">
        <v>640</v>
      </c>
      <c r="I235" s="105" t="s">
        <v>641</v>
      </c>
      <c r="J235" s="105"/>
      <c r="K235" s="118"/>
      <c r="L235" s="173">
        <v>179</v>
      </c>
      <c r="M235" s="173"/>
    </row>
    <row r="236" spans="1:13">
      <c r="A236" s="113"/>
      <c r="B236" s="114"/>
      <c r="C236" s="115"/>
      <c r="D236" s="273"/>
      <c r="E236" s="116"/>
      <c r="F236" s="116"/>
      <c r="G236" s="116"/>
      <c r="H236" s="116"/>
      <c r="I236" s="116"/>
      <c r="J236" s="116"/>
      <c r="K236" s="182"/>
      <c r="L236" s="173"/>
      <c r="M236" s="173"/>
    </row>
    <row r="237" spans="1:13">
      <c r="A237" s="89" t="s">
        <v>449</v>
      </c>
      <c r="B237" s="90"/>
      <c r="C237" s="90"/>
      <c r="D237" s="274"/>
      <c r="E237" s="91"/>
      <c r="F237" s="91"/>
      <c r="G237" s="91"/>
      <c r="H237" s="91"/>
      <c r="I237" s="91"/>
      <c r="J237" s="91"/>
      <c r="K237" s="90"/>
      <c r="L237" s="91"/>
      <c r="M237" s="90"/>
    </row>
    <row r="238" spans="1:13">
      <c r="A238" s="109" t="s">
        <v>450</v>
      </c>
      <c r="B238" s="109" t="s">
        <v>642</v>
      </c>
      <c r="C238" s="118"/>
      <c r="D238" s="119" t="s">
        <v>643</v>
      </c>
      <c r="E238" s="105" t="s">
        <v>644</v>
      </c>
      <c r="F238" s="105"/>
      <c r="G238" s="105"/>
      <c r="H238" s="105"/>
      <c r="I238" s="105"/>
      <c r="J238" s="105"/>
      <c r="K238" s="118"/>
      <c r="L238" s="173">
        <v>0</v>
      </c>
      <c r="M238" s="173"/>
    </row>
    <row r="239" spans="1:13" ht="25.5">
      <c r="A239" s="113" t="s">
        <v>645</v>
      </c>
      <c r="B239" s="113" t="s">
        <v>646</v>
      </c>
      <c r="C239" s="283"/>
      <c r="D239" s="113" t="s">
        <v>647</v>
      </c>
      <c r="E239" s="284"/>
      <c r="F239" s="284"/>
      <c r="G239" s="284"/>
      <c r="H239" s="284"/>
      <c r="I239" s="284"/>
      <c r="J239" s="284"/>
      <c r="K239" s="283"/>
      <c r="L239" s="173">
        <v>0</v>
      </c>
      <c r="M239" s="173"/>
    </row>
    <row r="240" spans="1:13">
      <c r="A240" s="109" t="s">
        <v>648</v>
      </c>
      <c r="B240" s="109" t="s">
        <v>649</v>
      </c>
      <c r="C240" s="118"/>
      <c r="D240" s="109"/>
      <c r="E240" s="105" t="s">
        <v>650</v>
      </c>
      <c r="F240" s="105"/>
      <c r="G240" s="105"/>
      <c r="H240" s="105"/>
      <c r="I240" s="105"/>
      <c r="J240" s="105"/>
      <c r="K240" s="118"/>
      <c r="L240" s="173">
        <v>8</v>
      </c>
      <c r="M240" s="173"/>
    </row>
    <row r="241" spans="1:13">
      <c r="A241" s="109" t="s">
        <v>651</v>
      </c>
      <c r="B241" s="109" t="s">
        <v>652</v>
      </c>
      <c r="C241" s="118"/>
      <c r="D241" s="113" t="s">
        <v>653</v>
      </c>
      <c r="E241" s="105" t="s">
        <v>654</v>
      </c>
      <c r="F241" s="105"/>
      <c r="G241" s="105"/>
      <c r="H241" s="105"/>
      <c r="I241" s="105"/>
      <c r="J241" s="105"/>
      <c r="K241" s="118"/>
      <c r="L241" s="173">
        <v>8</v>
      </c>
      <c r="M241" s="173"/>
    </row>
    <row r="242" spans="1:13">
      <c r="A242" s="109" t="s">
        <v>655</v>
      </c>
      <c r="B242" s="109" t="s">
        <v>656</v>
      </c>
      <c r="C242" s="118"/>
      <c r="D242" s="119" t="s">
        <v>657</v>
      </c>
      <c r="E242" s="105" t="s">
        <v>658</v>
      </c>
      <c r="F242" s="105"/>
      <c r="G242" s="105"/>
      <c r="H242" s="105"/>
      <c r="I242" s="105"/>
      <c r="J242" s="105"/>
      <c r="K242" s="118"/>
      <c r="L242" s="173">
        <v>24</v>
      </c>
      <c r="M242" s="173"/>
    </row>
    <row r="243" spans="1:13" ht="25.5">
      <c r="A243" s="109" t="s">
        <v>659</v>
      </c>
      <c r="B243" s="109" t="s">
        <v>660</v>
      </c>
      <c r="C243" s="118"/>
      <c r="D243" s="119" t="s">
        <v>661</v>
      </c>
      <c r="E243" s="105" t="s">
        <v>662</v>
      </c>
      <c r="F243" s="105"/>
      <c r="G243" s="105"/>
      <c r="H243" s="105"/>
      <c r="I243" s="105"/>
      <c r="J243" s="105"/>
      <c r="K243" s="118"/>
      <c r="L243" s="173">
        <v>35</v>
      </c>
      <c r="M243" s="173"/>
    </row>
    <row r="244" spans="1:13">
      <c r="A244" s="109" t="s">
        <v>655</v>
      </c>
      <c r="B244" s="109" t="s">
        <v>656</v>
      </c>
      <c r="C244" s="118"/>
      <c r="D244" s="109"/>
      <c r="E244" s="105" t="s">
        <v>658</v>
      </c>
      <c r="F244" s="105"/>
      <c r="G244" s="105"/>
      <c r="H244" s="105"/>
      <c r="I244" s="105"/>
      <c r="J244" s="105"/>
      <c r="K244" s="118"/>
      <c r="L244" s="173">
        <v>35</v>
      </c>
      <c r="M244" s="173"/>
    </row>
    <row r="245" spans="1:13" ht="25.5">
      <c r="A245" s="113" t="s">
        <v>663</v>
      </c>
      <c r="B245" s="113" t="s">
        <v>664</v>
      </c>
      <c r="C245" s="283"/>
      <c r="D245" s="113" t="s">
        <v>665</v>
      </c>
      <c r="E245" s="284" t="s">
        <v>666</v>
      </c>
      <c r="F245" s="284"/>
      <c r="G245" s="284"/>
      <c r="H245" s="284"/>
      <c r="I245" s="284"/>
      <c r="J245" s="284"/>
      <c r="K245" s="283"/>
      <c r="L245" s="173">
        <v>35</v>
      </c>
      <c r="M245" s="173"/>
    </row>
    <row r="246" spans="1:13" ht="25.5">
      <c r="A246" s="109" t="s">
        <v>667</v>
      </c>
      <c r="B246" s="109" t="s">
        <v>668</v>
      </c>
      <c r="C246" s="118"/>
      <c r="D246" s="113" t="s">
        <v>669</v>
      </c>
      <c r="E246" s="105" t="s">
        <v>670</v>
      </c>
      <c r="F246" s="105"/>
      <c r="G246" s="105"/>
      <c r="H246" s="105"/>
      <c r="I246" s="105"/>
      <c r="J246" s="105"/>
      <c r="K246" s="118"/>
      <c r="L246" s="173">
        <v>40</v>
      </c>
      <c r="M246" s="173"/>
    </row>
    <row r="247" spans="1:13" ht="25.5">
      <c r="A247" s="109" t="s">
        <v>671</v>
      </c>
      <c r="B247" s="109" t="s">
        <v>672</v>
      </c>
      <c r="C247" s="118"/>
      <c r="D247" s="119" t="s">
        <v>673</v>
      </c>
      <c r="E247" s="105" t="s">
        <v>674</v>
      </c>
      <c r="F247" s="105"/>
      <c r="G247" s="105"/>
      <c r="H247" s="105"/>
      <c r="I247" s="105"/>
      <c r="J247" s="105"/>
      <c r="K247" s="118"/>
      <c r="L247" s="173">
        <v>89</v>
      </c>
      <c r="M247" s="173"/>
    </row>
    <row r="248" spans="1:13" ht="25.5">
      <c r="A248" s="109" t="s">
        <v>675</v>
      </c>
      <c r="B248" s="109" t="s">
        <v>676</v>
      </c>
      <c r="C248" s="118"/>
      <c r="D248" s="119" t="s">
        <v>677</v>
      </c>
      <c r="E248" s="105"/>
      <c r="F248" s="105"/>
      <c r="G248" s="105"/>
      <c r="H248" s="105"/>
      <c r="I248" s="105"/>
      <c r="J248" s="105"/>
      <c r="K248" s="118"/>
      <c r="L248" s="173">
        <v>89</v>
      </c>
      <c r="M248" s="173"/>
    </row>
    <row r="249" spans="1:13" ht="25.5">
      <c r="A249" s="109" t="s">
        <v>678</v>
      </c>
      <c r="B249" s="109" t="s">
        <v>679</v>
      </c>
      <c r="C249" s="118"/>
      <c r="D249" s="109"/>
      <c r="E249" s="105" t="s">
        <v>680</v>
      </c>
      <c r="F249" s="105"/>
      <c r="G249" s="105"/>
      <c r="H249" s="105"/>
      <c r="I249" s="105"/>
      <c r="J249" s="105"/>
      <c r="K249" s="118"/>
      <c r="L249" s="173">
        <v>101</v>
      </c>
      <c r="M249" s="173"/>
    </row>
    <row r="250" spans="1:13">
      <c r="A250" s="113"/>
      <c r="B250" s="114"/>
      <c r="C250" s="115"/>
      <c r="D250" s="273"/>
      <c r="E250" s="116"/>
      <c r="F250" s="116"/>
      <c r="G250" s="116"/>
      <c r="H250" s="116"/>
      <c r="I250" s="116"/>
      <c r="J250" s="116"/>
      <c r="K250" s="182"/>
      <c r="L250" s="173"/>
      <c r="M250" s="173"/>
    </row>
    <row r="251" spans="1:13">
      <c r="A251" s="89" t="s">
        <v>210</v>
      </c>
      <c r="B251" s="62"/>
      <c r="C251" s="62"/>
      <c r="D251" s="89"/>
      <c r="E251" s="81"/>
      <c r="F251" s="81"/>
      <c r="G251" s="81"/>
      <c r="H251" s="81"/>
      <c r="I251" s="81"/>
      <c r="J251" s="81"/>
      <c r="K251" s="62"/>
      <c r="L251" s="91"/>
      <c r="M251" s="90"/>
    </row>
    <row r="252" spans="1:13">
      <c r="A252" s="109" t="s">
        <v>681</v>
      </c>
      <c r="B252" s="109" t="s">
        <v>682</v>
      </c>
      <c r="C252" s="118"/>
      <c r="D252" s="109"/>
      <c r="E252" s="105"/>
      <c r="F252" s="105" t="s">
        <v>683</v>
      </c>
      <c r="G252" s="105" t="s">
        <v>684</v>
      </c>
      <c r="H252" s="105"/>
      <c r="I252" s="105"/>
      <c r="J252" s="105"/>
      <c r="K252" s="118"/>
      <c r="L252" s="173">
        <v>0</v>
      </c>
      <c r="M252" s="173"/>
    </row>
    <row r="253" spans="1:13">
      <c r="A253" s="109" t="s">
        <v>685</v>
      </c>
      <c r="B253" s="109" t="s">
        <v>686</v>
      </c>
      <c r="C253" s="118"/>
      <c r="D253" s="109"/>
      <c r="E253" s="105"/>
      <c r="F253" s="105" t="s">
        <v>687</v>
      </c>
      <c r="G253" s="105" t="s">
        <v>688</v>
      </c>
      <c r="H253" s="105"/>
      <c r="I253" s="105"/>
      <c r="J253" s="105"/>
      <c r="K253" s="118"/>
      <c r="L253" s="173">
        <v>8</v>
      </c>
      <c r="M253" s="173"/>
    </row>
    <row r="254" spans="1:13">
      <c r="A254" s="109" t="s">
        <v>689</v>
      </c>
      <c r="B254" s="109" t="s">
        <v>690</v>
      </c>
      <c r="C254" s="118"/>
      <c r="D254" s="109"/>
      <c r="E254" s="105"/>
      <c r="F254" s="105" t="s">
        <v>691</v>
      </c>
      <c r="G254" s="105" t="s">
        <v>692</v>
      </c>
      <c r="H254" s="105"/>
      <c r="I254" s="105"/>
      <c r="J254" s="105"/>
      <c r="K254" s="118"/>
      <c r="L254" s="173">
        <v>8</v>
      </c>
      <c r="M254" s="173"/>
    </row>
    <row r="255" spans="1:13">
      <c r="A255" s="109" t="s">
        <v>693</v>
      </c>
      <c r="B255" s="109" t="s">
        <v>694</v>
      </c>
      <c r="C255" s="118"/>
      <c r="D255" s="109"/>
      <c r="E255" s="105"/>
      <c r="F255" s="105" t="s">
        <v>695</v>
      </c>
      <c r="G255" s="105" t="s">
        <v>696</v>
      </c>
      <c r="H255" s="105"/>
      <c r="I255" s="105"/>
      <c r="J255" s="105"/>
      <c r="K255" s="118"/>
      <c r="L255" s="173">
        <v>11</v>
      </c>
      <c r="M255" s="173"/>
    </row>
    <row r="256" spans="1:13">
      <c r="A256" s="109" t="s">
        <v>697</v>
      </c>
      <c r="B256" s="109" t="s">
        <v>698</v>
      </c>
      <c r="C256" s="118"/>
      <c r="D256" s="109"/>
      <c r="E256" s="105"/>
      <c r="F256" s="105" t="s">
        <v>699</v>
      </c>
      <c r="G256" s="105" t="s">
        <v>700</v>
      </c>
      <c r="H256" s="105"/>
      <c r="I256" s="105"/>
      <c r="J256" s="105"/>
      <c r="K256" s="118"/>
      <c r="L256" s="173">
        <v>29</v>
      </c>
      <c r="M256" s="173"/>
    </row>
    <row r="257" spans="1:14">
      <c r="A257" s="109" t="s">
        <v>701</v>
      </c>
      <c r="B257" s="109" t="s">
        <v>702</v>
      </c>
      <c r="C257" s="118"/>
      <c r="D257" s="109"/>
      <c r="E257" s="105"/>
      <c r="F257" s="105" t="s">
        <v>703</v>
      </c>
      <c r="G257" s="105" t="s">
        <v>704</v>
      </c>
      <c r="H257" s="105"/>
      <c r="I257" s="105"/>
      <c r="J257" s="105"/>
      <c r="K257" s="118"/>
      <c r="L257" s="173">
        <v>35</v>
      </c>
      <c r="M257" s="173"/>
    </row>
    <row r="258" spans="1:14" ht="25.5">
      <c r="A258" s="109" t="s">
        <v>705</v>
      </c>
      <c r="B258" s="109" t="s">
        <v>706</v>
      </c>
      <c r="C258" s="118"/>
      <c r="D258" s="109"/>
      <c r="E258" s="105"/>
      <c r="F258" s="105" t="s">
        <v>707</v>
      </c>
      <c r="G258" s="105" t="s">
        <v>708</v>
      </c>
      <c r="H258" s="105"/>
      <c r="I258" s="105"/>
      <c r="J258" s="105"/>
      <c r="K258" s="118"/>
      <c r="L258" s="173">
        <v>69</v>
      </c>
      <c r="M258" s="173"/>
    </row>
    <row r="259" spans="1:14">
      <c r="A259" s="109" t="s">
        <v>709</v>
      </c>
      <c r="B259" s="109" t="s">
        <v>710</v>
      </c>
      <c r="C259" s="118"/>
      <c r="D259" s="109"/>
      <c r="E259" s="105"/>
      <c r="F259" s="105" t="s">
        <v>711</v>
      </c>
      <c r="G259" s="105" t="s">
        <v>712</v>
      </c>
      <c r="H259" s="105"/>
      <c r="I259" s="105"/>
      <c r="J259" s="105"/>
      <c r="K259" s="118"/>
      <c r="L259" s="173">
        <v>80</v>
      </c>
      <c r="M259" s="173"/>
    </row>
    <row r="260" spans="1:14" ht="25.5">
      <c r="A260" s="109" t="s">
        <v>713</v>
      </c>
      <c r="B260" s="109" t="s">
        <v>714</v>
      </c>
      <c r="C260" s="118"/>
      <c r="D260" s="109"/>
      <c r="E260" s="105"/>
      <c r="F260" s="105" t="s">
        <v>715</v>
      </c>
      <c r="G260" s="105"/>
      <c r="H260" s="105"/>
      <c r="I260" s="105"/>
      <c r="J260" s="105"/>
      <c r="K260" s="118"/>
      <c r="L260" s="173">
        <v>114</v>
      </c>
      <c r="M260" s="173"/>
    </row>
    <row r="261" spans="1:14" ht="25.5">
      <c r="A261" s="109" t="s">
        <v>716</v>
      </c>
      <c r="B261" s="109" t="s">
        <v>717</v>
      </c>
      <c r="C261" s="118"/>
      <c r="D261" s="109"/>
      <c r="E261" s="105"/>
      <c r="F261" s="105" t="s">
        <v>718</v>
      </c>
      <c r="G261" s="105" t="s">
        <v>719</v>
      </c>
      <c r="H261" s="105"/>
      <c r="I261" s="105"/>
      <c r="J261" s="105"/>
      <c r="K261" s="118"/>
      <c r="L261" s="173">
        <v>114</v>
      </c>
      <c r="M261" s="173"/>
    </row>
    <row r="262" spans="1:14" ht="25.5">
      <c r="A262" s="109" t="s">
        <v>720</v>
      </c>
      <c r="B262" s="109" t="s">
        <v>721</v>
      </c>
      <c r="C262" s="118"/>
      <c r="D262" s="109"/>
      <c r="E262" s="105"/>
      <c r="F262" s="105" t="s">
        <v>722</v>
      </c>
      <c r="G262" s="105" t="s">
        <v>723</v>
      </c>
      <c r="H262" s="105"/>
      <c r="I262" s="105"/>
      <c r="J262" s="105"/>
      <c r="K262" s="118"/>
      <c r="L262" s="173">
        <v>125</v>
      </c>
      <c r="M262" s="173"/>
    </row>
    <row r="263" spans="1:14" s="16" customFormat="1">
      <c r="A263" s="113"/>
      <c r="B263" s="114"/>
      <c r="C263" s="115"/>
      <c r="D263" s="273"/>
      <c r="E263" s="116"/>
      <c r="F263" s="116"/>
      <c r="G263" s="116"/>
      <c r="H263" s="116"/>
      <c r="I263" s="116"/>
      <c r="J263" s="116"/>
      <c r="K263" s="182"/>
      <c r="L263" s="173"/>
      <c r="M263" s="173"/>
      <c r="N263" s="8"/>
    </row>
    <row r="264" spans="1:14" s="16" customFormat="1">
      <c r="A264" s="89" t="s">
        <v>724</v>
      </c>
      <c r="B264" s="62"/>
      <c r="C264" s="62"/>
      <c r="D264" s="89"/>
      <c r="E264" s="81"/>
      <c r="F264" s="81"/>
      <c r="G264" s="81"/>
      <c r="H264" s="81"/>
      <c r="I264" s="81"/>
      <c r="J264" s="81"/>
      <c r="K264" s="62"/>
      <c r="L264" s="91"/>
      <c r="M264" s="90"/>
      <c r="N264" s="8"/>
    </row>
    <row r="265" spans="1:14" s="16" customFormat="1">
      <c r="A265" s="109" t="s">
        <v>725</v>
      </c>
      <c r="B265" s="109" t="s">
        <v>726</v>
      </c>
      <c r="C265" s="118"/>
      <c r="D265" s="109"/>
      <c r="E265" s="105"/>
      <c r="F265" s="105"/>
      <c r="G265" s="105"/>
      <c r="H265" s="105" t="s">
        <v>727</v>
      </c>
      <c r="I265" s="105" t="s">
        <v>728</v>
      </c>
      <c r="J265" s="105"/>
      <c r="K265" s="118"/>
      <c r="L265" s="173">
        <v>0</v>
      </c>
      <c r="M265" s="173"/>
      <c r="N265" s="8"/>
    </row>
    <row r="266" spans="1:14" s="16" customFormat="1">
      <c r="A266" s="109" t="s">
        <v>729</v>
      </c>
      <c r="B266" s="109" t="s">
        <v>730</v>
      </c>
      <c r="C266" s="118"/>
      <c r="D266" s="109"/>
      <c r="E266" s="105"/>
      <c r="F266" s="105"/>
      <c r="G266" s="105"/>
      <c r="H266" s="105" t="s">
        <v>731</v>
      </c>
      <c r="I266" s="105"/>
      <c r="J266" s="105"/>
      <c r="K266" s="118"/>
      <c r="L266" s="173">
        <v>0</v>
      </c>
      <c r="M266" s="173"/>
      <c r="N266" s="8"/>
    </row>
    <row r="267" spans="1:14" s="16" customFormat="1">
      <c r="A267" s="109" t="s">
        <v>732</v>
      </c>
      <c r="B267" s="109" t="s">
        <v>733</v>
      </c>
      <c r="C267" s="118"/>
      <c r="D267" s="109"/>
      <c r="E267" s="105"/>
      <c r="F267" s="105"/>
      <c r="G267" s="105"/>
      <c r="H267" s="105"/>
      <c r="I267" s="105" t="s">
        <v>734</v>
      </c>
      <c r="J267" s="105"/>
      <c r="K267" s="118"/>
      <c r="L267" s="173">
        <v>8</v>
      </c>
      <c r="M267" s="173"/>
      <c r="N267" s="8"/>
    </row>
    <row r="268" spans="1:14" s="16" customFormat="1">
      <c r="A268" s="109" t="s">
        <v>735</v>
      </c>
      <c r="B268" s="109" t="s">
        <v>736</v>
      </c>
      <c r="C268" s="118"/>
      <c r="D268" s="109"/>
      <c r="E268" s="105"/>
      <c r="F268" s="105"/>
      <c r="G268" s="105"/>
      <c r="H268" s="105"/>
      <c r="I268" s="105" t="s">
        <v>737</v>
      </c>
      <c r="J268" s="105"/>
      <c r="K268" s="118"/>
      <c r="L268" s="173">
        <v>8</v>
      </c>
      <c r="M268" s="173"/>
      <c r="N268" s="8"/>
    </row>
    <row r="269" spans="1:14" s="16" customFormat="1">
      <c r="A269" s="109" t="s">
        <v>738</v>
      </c>
      <c r="B269" s="109" t="s">
        <v>739</v>
      </c>
      <c r="C269" s="118"/>
      <c r="D269" s="109"/>
      <c r="E269" s="105"/>
      <c r="F269" s="105"/>
      <c r="G269" s="105"/>
      <c r="H269" s="105" t="s">
        <v>740</v>
      </c>
      <c r="I269" s="105"/>
      <c r="J269" s="105"/>
      <c r="K269" s="118"/>
      <c r="L269" s="173">
        <v>29</v>
      </c>
      <c r="M269" s="173"/>
      <c r="N269" s="8"/>
    </row>
    <row r="270" spans="1:14" s="16" customFormat="1">
      <c r="A270" s="109" t="s">
        <v>741</v>
      </c>
      <c r="B270" s="109" t="s">
        <v>742</v>
      </c>
      <c r="C270" s="118"/>
      <c r="D270" s="109"/>
      <c r="E270" s="105"/>
      <c r="F270" s="105"/>
      <c r="G270" s="105"/>
      <c r="H270" s="105" t="s">
        <v>743</v>
      </c>
      <c r="I270" s="105"/>
      <c r="J270" s="105"/>
      <c r="K270" s="118"/>
      <c r="L270" s="173">
        <v>29</v>
      </c>
      <c r="M270" s="173"/>
      <c r="N270" s="8"/>
    </row>
    <row r="271" spans="1:14" s="16" customFormat="1">
      <c r="A271" s="109" t="s">
        <v>738</v>
      </c>
      <c r="B271" s="109" t="s">
        <v>739</v>
      </c>
      <c r="C271" s="118"/>
      <c r="D271" s="109"/>
      <c r="E271" s="105"/>
      <c r="F271" s="105"/>
      <c r="G271" s="105"/>
      <c r="H271" s="105"/>
      <c r="I271" s="105" t="s">
        <v>744</v>
      </c>
      <c r="J271" s="105"/>
      <c r="K271" s="118"/>
      <c r="L271" s="173">
        <v>35</v>
      </c>
      <c r="M271" s="173"/>
      <c r="N271" s="8"/>
    </row>
    <row r="272" spans="1:14" s="16" customFormat="1">
      <c r="A272" s="109" t="s">
        <v>741</v>
      </c>
      <c r="B272" s="109" t="s">
        <v>745</v>
      </c>
      <c r="C272" s="118"/>
      <c r="D272" s="109"/>
      <c r="E272" s="105"/>
      <c r="F272" s="105"/>
      <c r="G272" s="105"/>
      <c r="H272" s="105"/>
      <c r="I272" s="105" t="s">
        <v>746</v>
      </c>
      <c r="J272" s="105"/>
      <c r="K272" s="118"/>
      <c r="L272" s="173">
        <v>40</v>
      </c>
      <c r="M272" s="173"/>
      <c r="N272" s="8"/>
    </row>
    <row r="273" spans="1:14" s="16" customFormat="1" ht="25.5">
      <c r="A273" s="109" t="s">
        <v>747</v>
      </c>
      <c r="B273" s="109" t="s">
        <v>748</v>
      </c>
      <c r="C273" s="118"/>
      <c r="D273" s="109"/>
      <c r="E273" s="105"/>
      <c r="F273" s="105"/>
      <c r="G273" s="105"/>
      <c r="H273" s="105" t="s">
        <v>749</v>
      </c>
      <c r="I273" s="105"/>
      <c r="J273" s="105"/>
      <c r="K273" s="118"/>
      <c r="L273" s="173">
        <v>74</v>
      </c>
      <c r="M273" s="173"/>
      <c r="N273" s="8"/>
    </row>
    <row r="274" spans="1:14" s="16" customFormat="1" ht="25.5">
      <c r="A274" s="109" t="s">
        <v>750</v>
      </c>
      <c r="B274" s="109" t="s">
        <v>751</v>
      </c>
      <c r="C274" s="118"/>
      <c r="D274" s="109"/>
      <c r="E274" s="105"/>
      <c r="F274" s="105"/>
      <c r="G274" s="105"/>
      <c r="H274" s="105" t="s">
        <v>752</v>
      </c>
      <c r="I274" s="105" t="s">
        <v>753</v>
      </c>
      <c r="J274" s="105"/>
      <c r="K274" s="118"/>
      <c r="L274" s="173">
        <v>80</v>
      </c>
      <c r="M274" s="173"/>
      <c r="N274" s="8"/>
    </row>
    <row r="275" spans="1:14" s="16" customFormat="1" ht="25.5">
      <c r="A275" s="109" t="s">
        <v>750</v>
      </c>
      <c r="B275" s="109" t="s">
        <v>751</v>
      </c>
      <c r="C275" s="118"/>
      <c r="D275" s="109"/>
      <c r="E275" s="105"/>
      <c r="F275" s="105"/>
      <c r="G275" s="105"/>
      <c r="H275" s="105"/>
      <c r="I275" s="105" t="s">
        <v>754</v>
      </c>
      <c r="J275" s="105"/>
      <c r="K275" s="118"/>
      <c r="L275" s="173">
        <v>89</v>
      </c>
      <c r="M275" s="173"/>
      <c r="N275" s="8"/>
    </row>
    <row r="276" spans="1:14" s="3" customFormat="1" ht="25.5">
      <c r="A276" s="109" t="s">
        <v>755</v>
      </c>
      <c r="B276" s="109" t="s">
        <v>756</v>
      </c>
      <c r="C276" s="118"/>
      <c r="D276" s="109"/>
      <c r="E276" s="105"/>
      <c r="F276" s="105"/>
      <c r="G276" s="105"/>
      <c r="H276" s="105" t="s">
        <v>757</v>
      </c>
      <c r="I276" s="105"/>
      <c r="J276" s="105"/>
      <c r="K276" s="118"/>
      <c r="L276" s="173">
        <v>147</v>
      </c>
      <c r="M276" s="173"/>
      <c r="N276" s="8"/>
    </row>
    <row r="277" spans="1:14" s="3" customFormat="1" ht="25.5">
      <c r="A277" s="109" t="s">
        <v>758</v>
      </c>
      <c r="B277" s="109" t="s">
        <v>759</v>
      </c>
      <c r="C277" s="118"/>
      <c r="D277" s="109"/>
      <c r="E277" s="105"/>
      <c r="F277" s="105"/>
      <c r="G277" s="105"/>
      <c r="H277" s="105" t="s">
        <v>760</v>
      </c>
      <c r="I277" s="105"/>
      <c r="J277" s="105"/>
      <c r="K277" s="118"/>
      <c r="L277" s="173">
        <v>147</v>
      </c>
      <c r="M277" s="173"/>
      <c r="N277" s="8"/>
    </row>
    <row r="278" spans="1:14" s="3" customFormat="1" ht="25.5">
      <c r="A278" s="109" t="s">
        <v>761</v>
      </c>
      <c r="B278" s="109" t="s">
        <v>762</v>
      </c>
      <c r="C278" s="118"/>
      <c r="D278" s="109"/>
      <c r="E278" s="105"/>
      <c r="F278" s="105"/>
      <c r="G278" s="105"/>
      <c r="H278" s="105" t="s">
        <v>763</v>
      </c>
      <c r="I278" s="105" t="s">
        <v>764</v>
      </c>
      <c r="J278" s="105"/>
      <c r="K278" s="118"/>
      <c r="L278" s="173">
        <v>147</v>
      </c>
      <c r="M278" s="173"/>
      <c r="N278" s="8"/>
    </row>
    <row r="279" spans="1:14" s="3" customFormat="1" ht="25.5">
      <c r="A279" s="109" t="s">
        <v>765</v>
      </c>
      <c r="B279" s="109" t="s">
        <v>766</v>
      </c>
      <c r="C279" s="118"/>
      <c r="D279" s="109"/>
      <c r="E279" s="105"/>
      <c r="F279" s="105"/>
      <c r="G279" s="105"/>
      <c r="H279" s="105"/>
      <c r="I279" s="105" t="s">
        <v>767</v>
      </c>
      <c r="J279" s="105"/>
      <c r="K279" s="118"/>
      <c r="L279" s="173">
        <v>159</v>
      </c>
      <c r="M279" s="173"/>
      <c r="N279" s="8"/>
    </row>
    <row r="280" spans="1:14" s="3" customFormat="1">
      <c r="A280" s="113"/>
      <c r="B280" s="114"/>
      <c r="C280" s="115"/>
      <c r="D280" s="273"/>
      <c r="E280" s="116"/>
      <c r="F280" s="116"/>
      <c r="G280" s="116"/>
      <c r="H280" s="116"/>
      <c r="I280" s="116"/>
      <c r="J280" s="116"/>
      <c r="K280" s="182"/>
      <c r="L280" s="173"/>
      <c r="M280" s="173"/>
      <c r="N280" s="8"/>
    </row>
    <row r="281" spans="1:14" s="3" customFormat="1">
      <c r="A281" s="89" t="s">
        <v>251</v>
      </c>
      <c r="B281" s="62"/>
      <c r="C281" s="62"/>
      <c r="D281" s="89"/>
      <c r="E281" s="81"/>
      <c r="F281" s="81"/>
      <c r="G281" s="81"/>
      <c r="H281" s="81"/>
      <c r="I281" s="81"/>
      <c r="J281" s="81"/>
      <c r="K281" s="62"/>
      <c r="L281" s="91"/>
      <c r="M281" s="90"/>
      <c r="N281" s="8"/>
    </row>
    <row r="282" spans="1:14" s="3" customFormat="1">
      <c r="A282" s="109" t="s">
        <v>768</v>
      </c>
      <c r="B282" s="109" t="s">
        <v>260</v>
      </c>
      <c r="C282" s="118"/>
      <c r="D282" s="109" t="s">
        <v>524</v>
      </c>
      <c r="E282" s="105" t="s">
        <v>769</v>
      </c>
      <c r="F282" s="105" t="s">
        <v>770</v>
      </c>
      <c r="G282" s="105" t="s">
        <v>771</v>
      </c>
      <c r="H282" s="105" t="s">
        <v>772</v>
      </c>
      <c r="I282" s="105" t="s">
        <v>773</v>
      </c>
      <c r="J282" s="105"/>
      <c r="K282" s="118"/>
      <c r="L282" s="173">
        <v>80</v>
      </c>
      <c r="M282" s="173"/>
      <c r="N282" s="8"/>
    </row>
    <row r="283" spans="1:14" s="21" customFormat="1">
      <c r="A283" s="106"/>
      <c r="B283" s="106"/>
      <c r="C283" s="106"/>
      <c r="D283" s="106"/>
      <c r="E283" s="106"/>
      <c r="F283" s="106"/>
      <c r="G283" s="106"/>
      <c r="H283" s="106"/>
      <c r="I283" s="106"/>
      <c r="J283" s="106"/>
      <c r="K283" s="106"/>
      <c r="L283" s="173"/>
      <c r="M283" s="173"/>
      <c r="N283" s="8"/>
    </row>
    <row r="284" spans="1:14" s="21" customFormat="1">
      <c r="A284" s="89" t="s">
        <v>774</v>
      </c>
      <c r="B284" s="62"/>
      <c r="C284" s="62"/>
      <c r="D284" s="89"/>
      <c r="E284" s="81"/>
      <c r="F284" s="81"/>
      <c r="G284" s="81"/>
      <c r="H284" s="81"/>
      <c r="I284" s="81"/>
      <c r="J284" s="81"/>
      <c r="K284" s="62"/>
      <c r="L284" s="91"/>
      <c r="M284" s="90"/>
      <c r="N284" s="8"/>
    </row>
    <row r="285" spans="1:14" s="21" customFormat="1">
      <c r="A285" s="106" t="s">
        <v>775</v>
      </c>
      <c r="B285" s="106" t="s">
        <v>776</v>
      </c>
      <c r="C285" s="106"/>
      <c r="D285" s="106"/>
      <c r="E285" s="106"/>
      <c r="F285" s="106"/>
      <c r="G285" s="106"/>
      <c r="H285" s="106" t="s">
        <v>777</v>
      </c>
      <c r="I285" s="106" t="s">
        <v>778</v>
      </c>
      <c r="J285" s="106"/>
      <c r="K285" s="106"/>
      <c r="L285" s="173">
        <v>15</v>
      </c>
      <c r="M285" s="173"/>
      <c r="N285" s="8"/>
    </row>
    <row r="286" spans="1:14" s="3" customFormat="1">
      <c r="A286" s="106"/>
      <c r="B286" s="106"/>
      <c r="C286" s="107"/>
      <c r="D286" s="106"/>
      <c r="E286" s="104"/>
      <c r="F286" s="104"/>
      <c r="G286" s="104"/>
      <c r="H286" s="104"/>
      <c r="I286" s="104"/>
      <c r="J286" s="104"/>
      <c r="K286" s="107"/>
      <c r="L286" s="173"/>
      <c r="M286" s="173"/>
      <c r="N286" s="8"/>
    </row>
    <row r="287" spans="1:14" s="3" customFormat="1">
      <c r="A287" s="89" t="s">
        <v>779</v>
      </c>
      <c r="B287" s="62"/>
      <c r="C287" s="62"/>
      <c r="D287" s="89"/>
      <c r="E287" s="81"/>
      <c r="F287" s="81"/>
      <c r="G287" s="81"/>
      <c r="H287" s="81"/>
      <c r="I287" s="81"/>
      <c r="J287" s="81"/>
      <c r="K287" s="62"/>
      <c r="L287" s="91"/>
      <c r="M287" s="90"/>
      <c r="N287" s="8"/>
    </row>
    <row r="288" spans="1:14" s="3" customFormat="1">
      <c r="A288" s="109" t="s">
        <v>780</v>
      </c>
      <c r="B288" s="109" t="s">
        <v>271</v>
      </c>
      <c r="C288" s="118"/>
      <c r="D288" s="109" t="s">
        <v>781</v>
      </c>
      <c r="E288" s="105" t="s">
        <v>782</v>
      </c>
      <c r="F288" s="105" t="s">
        <v>783</v>
      </c>
      <c r="G288" s="105" t="s">
        <v>784</v>
      </c>
      <c r="H288" s="105" t="s">
        <v>785</v>
      </c>
      <c r="I288" s="105" t="s">
        <v>786</v>
      </c>
      <c r="J288" s="105"/>
      <c r="K288" s="118"/>
      <c r="L288" s="173">
        <v>5</v>
      </c>
      <c r="M288" s="173"/>
      <c r="N288" s="8"/>
    </row>
    <row r="289" spans="1:14" s="3" customFormat="1">
      <c r="A289" s="113"/>
      <c r="B289" s="114"/>
      <c r="C289" s="115"/>
      <c r="D289" s="273"/>
      <c r="E289" s="116"/>
      <c r="F289" s="116"/>
      <c r="G289" s="116"/>
      <c r="H289" s="116"/>
      <c r="I289" s="116"/>
      <c r="J289" s="116"/>
      <c r="K289" s="182"/>
      <c r="L289" s="173"/>
      <c r="M289" s="173"/>
      <c r="N289" s="8"/>
    </row>
    <row r="290" spans="1:14" s="3" customFormat="1">
      <c r="A290" s="89" t="s">
        <v>276</v>
      </c>
      <c r="B290" s="62"/>
      <c r="C290" s="62"/>
      <c r="D290" s="89"/>
      <c r="E290" s="81"/>
      <c r="F290" s="81"/>
      <c r="G290" s="81"/>
      <c r="H290" s="81"/>
      <c r="I290" s="81"/>
      <c r="J290" s="81"/>
      <c r="K290" s="62"/>
      <c r="L290" s="91"/>
      <c r="M290" s="90"/>
      <c r="N290" s="8"/>
    </row>
    <row r="291" spans="1:14">
      <c r="A291" s="109" t="s">
        <v>787</v>
      </c>
      <c r="B291" s="109" t="s">
        <v>285</v>
      </c>
      <c r="C291" s="118"/>
      <c r="D291" s="109" t="s">
        <v>788</v>
      </c>
      <c r="E291" s="105" t="s">
        <v>789</v>
      </c>
      <c r="F291" s="105" t="s">
        <v>790</v>
      </c>
      <c r="G291" s="105" t="s">
        <v>791</v>
      </c>
      <c r="H291" s="105" t="s">
        <v>792</v>
      </c>
      <c r="I291" s="105" t="s">
        <v>793</v>
      </c>
      <c r="J291" s="105"/>
      <c r="K291" s="118"/>
      <c r="L291" s="173">
        <v>0</v>
      </c>
      <c r="M291" s="173"/>
    </row>
    <row r="292" spans="1:14">
      <c r="A292" s="113"/>
      <c r="B292" s="114"/>
      <c r="C292" s="115"/>
      <c r="D292" s="273"/>
      <c r="E292" s="116"/>
      <c r="F292" s="116"/>
      <c r="G292" s="116"/>
      <c r="H292" s="116"/>
      <c r="I292" s="116"/>
      <c r="J292" s="116"/>
      <c r="K292" s="182"/>
      <c r="L292" s="173"/>
      <c r="M292" s="173"/>
    </row>
    <row r="293" spans="1:14">
      <c r="A293" s="89" t="s">
        <v>287</v>
      </c>
      <c r="B293" s="62"/>
      <c r="C293" s="62"/>
      <c r="D293" s="89"/>
      <c r="E293" s="81"/>
      <c r="F293" s="81"/>
      <c r="G293" s="81"/>
      <c r="H293" s="81"/>
      <c r="I293" s="81"/>
      <c r="J293" s="81"/>
      <c r="K293" s="62"/>
      <c r="L293" s="91"/>
      <c r="M293" s="90"/>
    </row>
    <row r="294" spans="1:14">
      <c r="A294" s="109" t="s">
        <v>540</v>
      </c>
      <c r="B294" s="109" t="s">
        <v>541</v>
      </c>
      <c r="C294" s="118"/>
      <c r="D294" s="109" t="s">
        <v>794</v>
      </c>
      <c r="E294" s="105" t="s">
        <v>795</v>
      </c>
      <c r="F294" s="105" t="s">
        <v>796</v>
      </c>
      <c r="G294" s="105" t="s">
        <v>797</v>
      </c>
      <c r="H294" s="105" t="s">
        <v>798</v>
      </c>
      <c r="I294" s="105" t="s">
        <v>799</v>
      </c>
      <c r="J294" s="105"/>
      <c r="K294" s="118"/>
      <c r="L294" s="173">
        <v>2</v>
      </c>
      <c r="M294" s="173"/>
    </row>
    <row r="295" spans="1:14">
      <c r="A295" s="109" t="s">
        <v>90</v>
      </c>
      <c r="B295" s="109" t="s">
        <v>288</v>
      </c>
      <c r="C295" s="118"/>
      <c r="D295" s="109" t="s">
        <v>800</v>
      </c>
      <c r="E295" s="105" t="s">
        <v>801</v>
      </c>
      <c r="F295" s="105" t="s">
        <v>802</v>
      </c>
      <c r="G295" s="105" t="s">
        <v>803</v>
      </c>
      <c r="H295" s="105" t="s">
        <v>804</v>
      </c>
      <c r="I295" s="105" t="s">
        <v>805</v>
      </c>
      <c r="J295" s="105"/>
      <c r="K295" s="118"/>
      <c r="L295" s="173">
        <v>6</v>
      </c>
      <c r="M295" s="173"/>
    </row>
    <row r="296" spans="1:14">
      <c r="A296" s="113"/>
      <c r="B296" s="114"/>
      <c r="C296" s="115"/>
      <c r="D296" s="273"/>
      <c r="E296" s="116"/>
      <c r="F296" s="116"/>
      <c r="G296" s="116"/>
      <c r="H296" s="116"/>
      <c r="I296" s="116"/>
      <c r="J296" s="116"/>
      <c r="K296" s="182"/>
      <c r="L296" s="173"/>
      <c r="M296" s="173"/>
    </row>
    <row r="297" spans="1:14">
      <c r="A297" s="89" t="s">
        <v>552</v>
      </c>
      <c r="B297" s="62"/>
      <c r="C297" s="62"/>
      <c r="D297" s="89"/>
      <c r="E297" s="81"/>
      <c r="F297" s="81"/>
      <c r="G297" s="81"/>
      <c r="H297" s="81"/>
      <c r="I297" s="81"/>
      <c r="J297" s="81"/>
      <c r="K297" s="62"/>
      <c r="L297" s="91"/>
      <c r="M297" s="90"/>
    </row>
    <row r="298" spans="1:14">
      <c r="A298" s="109" t="s">
        <v>806</v>
      </c>
      <c r="B298" s="109" t="s">
        <v>807</v>
      </c>
      <c r="C298" s="118"/>
      <c r="D298" s="109" t="s">
        <v>808</v>
      </c>
      <c r="E298" s="105" t="s">
        <v>809</v>
      </c>
      <c r="F298" s="105" t="s">
        <v>810</v>
      </c>
      <c r="G298" s="105" t="s">
        <v>811</v>
      </c>
      <c r="H298" s="105" t="s">
        <v>812</v>
      </c>
      <c r="I298" s="105" t="s">
        <v>813</v>
      </c>
      <c r="J298" s="105"/>
      <c r="K298" s="118"/>
      <c r="L298" s="173">
        <v>6</v>
      </c>
      <c r="M298" s="173"/>
    </row>
    <row r="299" spans="1:14">
      <c r="A299" s="109" t="s">
        <v>814</v>
      </c>
      <c r="B299" s="109" t="s">
        <v>815</v>
      </c>
      <c r="C299" s="118"/>
      <c r="D299" s="109"/>
      <c r="E299" s="105" t="s">
        <v>816</v>
      </c>
      <c r="F299" s="105"/>
      <c r="G299" s="105" t="s">
        <v>817</v>
      </c>
      <c r="H299" s="105"/>
      <c r="I299" s="105" t="s">
        <v>818</v>
      </c>
      <c r="J299" s="105"/>
      <c r="K299" s="118"/>
      <c r="L299" s="173">
        <v>7</v>
      </c>
      <c r="M299" s="173"/>
    </row>
    <row r="300" spans="1:14">
      <c r="A300" s="109" t="s">
        <v>553</v>
      </c>
      <c r="B300" s="109" t="s">
        <v>819</v>
      </c>
      <c r="C300" s="118" t="s">
        <v>350</v>
      </c>
      <c r="D300" s="109" t="s">
        <v>820</v>
      </c>
      <c r="E300" s="105"/>
      <c r="F300" s="105" t="s">
        <v>821</v>
      </c>
      <c r="G300" s="105"/>
      <c r="H300" s="105" t="s">
        <v>822</v>
      </c>
      <c r="I300" s="105"/>
      <c r="J300" s="105"/>
      <c r="K300" s="118"/>
      <c r="L300" s="173">
        <v>7</v>
      </c>
      <c r="M300" s="173"/>
    </row>
    <row r="301" spans="1:14">
      <c r="A301" s="109" t="s">
        <v>823</v>
      </c>
      <c r="B301" s="109" t="s">
        <v>296</v>
      </c>
      <c r="C301" s="118"/>
      <c r="D301" s="109" t="s">
        <v>824</v>
      </c>
      <c r="E301" s="105" t="s">
        <v>825</v>
      </c>
      <c r="F301" s="105" t="s">
        <v>826</v>
      </c>
      <c r="G301" s="105" t="s">
        <v>827</v>
      </c>
      <c r="H301" s="105" t="s">
        <v>828</v>
      </c>
      <c r="I301" s="105" t="s">
        <v>829</v>
      </c>
      <c r="J301" s="105"/>
      <c r="K301" s="118"/>
      <c r="L301" s="173">
        <v>85</v>
      </c>
      <c r="M301" s="173"/>
    </row>
    <row r="302" spans="1:14">
      <c r="A302" s="109" t="s">
        <v>830</v>
      </c>
      <c r="B302" s="109" t="s">
        <v>831</v>
      </c>
      <c r="C302" s="118"/>
      <c r="D302" s="109" t="s">
        <v>832</v>
      </c>
      <c r="E302" s="105"/>
      <c r="F302" s="105" t="s">
        <v>833</v>
      </c>
      <c r="G302" s="105"/>
      <c r="H302" s="105" t="s">
        <v>834</v>
      </c>
      <c r="I302" s="105"/>
      <c r="J302" s="105"/>
      <c r="K302" s="118"/>
      <c r="L302" s="173">
        <v>260</v>
      </c>
      <c r="M302" s="173"/>
    </row>
    <row r="303" spans="1:14">
      <c r="A303" s="113"/>
      <c r="B303" s="114"/>
      <c r="C303" s="115"/>
      <c r="D303" s="273"/>
      <c r="E303" s="116"/>
      <c r="F303" s="116"/>
      <c r="G303" s="116"/>
      <c r="H303" s="116"/>
      <c r="I303" s="116"/>
      <c r="J303" s="116"/>
      <c r="K303" s="182"/>
      <c r="L303" s="173"/>
      <c r="M303" s="173"/>
    </row>
    <row r="304" spans="1:14">
      <c r="A304" s="89" t="s">
        <v>564</v>
      </c>
      <c r="B304" s="62"/>
      <c r="C304" s="62"/>
      <c r="D304" s="89"/>
      <c r="E304" s="81"/>
      <c r="F304" s="81"/>
      <c r="G304" s="81"/>
      <c r="H304" s="81"/>
      <c r="I304" s="81"/>
      <c r="J304" s="81"/>
      <c r="K304" s="62"/>
      <c r="L304" s="91"/>
      <c r="M304" s="90"/>
    </row>
    <row r="305" spans="1:14">
      <c r="A305" s="109" t="s">
        <v>835</v>
      </c>
      <c r="B305" s="109" t="s">
        <v>836</v>
      </c>
      <c r="C305" s="118"/>
      <c r="D305" s="109" t="s">
        <v>837</v>
      </c>
      <c r="E305" s="105" t="s">
        <v>838</v>
      </c>
      <c r="F305" s="105" t="s">
        <v>839</v>
      </c>
      <c r="G305" s="105" t="s">
        <v>838</v>
      </c>
      <c r="H305" s="105" t="s">
        <v>840</v>
      </c>
      <c r="I305" s="105" t="s">
        <v>838</v>
      </c>
      <c r="J305" s="105"/>
      <c r="K305" s="118"/>
      <c r="L305" s="173">
        <v>1</v>
      </c>
      <c r="M305" s="173"/>
    </row>
    <row r="306" spans="1:14">
      <c r="A306" s="109" t="s">
        <v>841</v>
      </c>
      <c r="B306" s="109" t="s">
        <v>842</v>
      </c>
      <c r="C306" s="118"/>
      <c r="D306" s="109" t="s">
        <v>843</v>
      </c>
      <c r="E306" s="105" t="s">
        <v>844</v>
      </c>
      <c r="F306" s="105" t="s">
        <v>845</v>
      </c>
      <c r="G306" s="105" t="s">
        <v>846</v>
      </c>
      <c r="H306" s="105" t="s">
        <v>847</v>
      </c>
      <c r="I306" s="105" t="s">
        <v>848</v>
      </c>
      <c r="J306" s="105"/>
      <c r="K306" s="118"/>
      <c r="L306" s="173">
        <v>7</v>
      </c>
      <c r="M306" s="173"/>
    </row>
    <row r="307" spans="1:14">
      <c r="A307" s="113" t="s">
        <v>849</v>
      </c>
      <c r="B307" s="113" t="s">
        <v>850</v>
      </c>
      <c r="C307" s="283"/>
      <c r="D307" s="113"/>
      <c r="E307" s="284"/>
      <c r="F307" s="284"/>
      <c r="G307" s="284"/>
      <c r="H307" s="284" t="s">
        <v>851</v>
      </c>
      <c r="I307" s="284" t="s">
        <v>852</v>
      </c>
      <c r="J307" s="284"/>
      <c r="K307" s="283"/>
      <c r="L307" s="173">
        <v>10</v>
      </c>
      <c r="M307" s="173"/>
    </row>
    <row r="308" spans="1:14" s="3" customFormat="1">
      <c r="A308" s="113"/>
      <c r="B308" s="114"/>
      <c r="C308" s="115"/>
      <c r="D308" s="273"/>
      <c r="E308" s="116"/>
      <c r="F308" s="116"/>
      <c r="G308" s="116"/>
      <c r="H308" s="116"/>
      <c r="I308" s="116"/>
      <c r="J308" s="116"/>
      <c r="K308" s="182"/>
      <c r="L308" s="173"/>
      <c r="M308" s="173"/>
      <c r="N308" s="8"/>
    </row>
    <row r="309" spans="1:14">
      <c r="A309" s="89" t="s">
        <v>853</v>
      </c>
      <c r="B309" s="90"/>
      <c r="C309" s="90"/>
      <c r="D309" s="274"/>
      <c r="E309" s="91"/>
      <c r="F309" s="91"/>
      <c r="G309" s="91"/>
      <c r="H309" s="91"/>
      <c r="I309" s="91"/>
      <c r="J309" s="91"/>
      <c r="K309" s="90"/>
      <c r="L309" s="91"/>
      <c r="M309" s="90"/>
    </row>
    <row r="310" spans="1:14">
      <c r="A310" s="109" t="s">
        <v>317</v>
      </c>
      <c r="B310" s="109" t="s">
        <v>318</v>
      </c>
      <c r="C310" s="118"/>
      <c r="D310" s="106" t="s">
        <v>854</v>
      </c>
      <c r="E310" s="104" t="s">
        <v>854</v>
      </c>
      <c r="F310" s="104" t="s">
        <v>854</v>
      </c>
      <c r="G310" s="104" t="s">
        <v>854</v>
      </c>
      <c r="H310" s="104" t="s">
        <v>854</v>
      </c>
      <c r="I310" s="104" t="s">
        <v>854</v>
      </c>
      <c r="J310" s="104"/>
      <c r="K310" s="107"/>
      <c r="L310" s="173">
        <v>20</v>
      </c>
      <c r="M310" s="173"/>
    </row>
    <row r="311" spans="1:14" ht="25.5">
      <c r="A311" s="109" t="s">
        <v>320</v>
      </c>
      <c r="B311" s="119" t="s">
        <v>321</v>
      </c>
      <c r="C311" s="120"/>
      <c r="D311" s="106" t="s">
        <v>855</v>
      </c>
      <c r="E311" s="104" t="s">
        <v>855</v>
      </c>
      <c r="F311" s="104" t="s">
        <v>855</v>
      </c>
      <c r="G311" s="104" t="s">
        <v>855</v>
      </c>
      <c r="H311" s="104" t="s">
        <v>855</v>
      </c>
      <c r="I311" s="104" t="s">
        <v>855</v>
      </c>
      <c r="J311" s="104"/>
      <c r="K311" s="107"/>
      <c r="L311" s="173">
        <v>60</v>
      </c>
      <c r="M311" s="173"/>
    </row>
    <row r="312" spans="1:14">
      <c r="A312" s="109" t="s">
        <v>323</v>
      </c>
      <c r="B312" s="109" t="s">
        <v>324</v>
      </c>
      <c r="C312" s="118"/>
      <c r="D312" s="106" t="s">
        <v>856</v>
      </c>
      <c r="E312" s="104" t="s">
        <v>856</v>
      </c>
      <c r="F312" s="104" t="s">
        <v>856</v>
      </c>
      <c r="G312" s="104" t="s">
        <v>856</v>
      </c>
      <c r="H312" s="104" t="s">
        <v>856</v>
      </c>
      <c r="I312" s="104" t="s">
        <v>856</v>
      </c>
      <c r="J312" s="104"/>
      <c r="K312" s="107"/>
      <c r="L312" s="173">
        <v>80</v>
      </c>
      <c r="M312" s="173"/>
    </row>
    <row r="313" spans="1:14">
      <c r="A313" s="109" t="s">
        <v>574</v>
      </c>
      <c r="B313" s="109" t="s">
        <v>575</v>
      </c>
      <c r="C313" s="118"/>
      <c r="D313" s="106" t="s">
        <v>857</v>
      </c>
      <c r="E313" s="104" t="s">
        <v>857</v>
      </c>
      <c r="F313" s="104" t="s">
        <v>857</v>
      </c>
      <c r="G313" s="104" t="s">
        <v>857</v>
      </c>
      <c r="H313" s="104" t="s">
        <v>857</v>
      </c>
      <c r="I313" s="104" t="s">
        <v>857</v>
      </c>
      <c r="J313" s="104"/>
      <c r="K313" s="107"/>
      <c r="L313" s="173">
        <v>20</v>
      </c>
      <c r="M313" s="173"/>
    </row>
    <row r="314" spans="1:14">
      <c r="A314" s="109" t="s">
        <v>326</v>
      </c>
      <c r="B314" s="109" t="s">
        <v>327</v>
      </c>
      <c r="C314" s="118"/>
      <c r="D314" s="109" t="s">
        <v>328</v>
      </c>
      <c r="E314" s="105" t="s">
        <v>328</v>
      </c>
      <c r="F314" s="105" t="s">
        <v>328</v>
      </c>
      <c r="G314" s="105" t="s">
        <v>328</v>
      </c>
      <c r="H314" s="105" t="s">
        <v>328</v>
      </c>
      <c r="I314" s="105" t="s">
        <v>328</v>
      </c>
      <c r="J314" s="105"/>
      <c r="K314" s="118"/>
      <c r="L314" s="173">
        <v>158</v>
      </c>
      <c r="M314" s="173"/>
    </row>
    <row r="315" spans="1:14">
      <c r="A315" s="109" t="s">
        <v>1682</v>
      </c>
      <c r="B315" s="109" t="s">
        <v>1666</v>
      </c>
      <c r="C315" s="118"/>
      <c r="D315" s="109" t="s">
        <v>1708</v>
      </c>
      <c r="E315" s="109" t="s">
        <v>1708</v>
      </c>
      <c r="F315" s="109" t="s">
        <v>1708</v>
      </c>
      <c r="G315" s="109" t="s">
        <v>1708</v>
      </c>
      <c r="H315" s="109" t="s">
        <v>1708</v>
      </c>
      <c r="I315" s="105" t="s">
        <v>1708</v>
      </c>
      <c r="J315" s="105"/>
      <c r="K315" s="118"/>
      <c r="L315" s="173">
        <v>22</v>
      </c>
      <c r="M315" s="173"/>
    </row>
    <row r="316" spans="1:14" ht="25.5">
      <c r="A316" s="109" t="s">
        <v>329</v>
      </c>
      <c r="B316" s="119" t="s">
        <v>330</v>
      </c>
      <c r="C316" s="118"/>
      <c r="D316" s="109" t="s">
        <v>1712</v>
      </c>
      <c r="E316" s="109" t="s">
        <v>1712</v>
      </c>
      <c r="F316" s="109" t="s">
        <v>1712</v>
      </c>
      <c r="G316" s="109" t="s">
        <v>1712</v>
      </c>
      <c r="H316" s="109" t="s">
        <v>1712</v>
      </c>
      <c r="I316" s="109" t="s">
        <v>1712</v>
      </c>
      <c r="J316" s="105"/>
      <c r="K316" s="118"/>
      <c r="L316" s="173">
        <v>82</v>
      </c>
      <c r="M316" s="173"/>
    </row>
    <row r="317" spans="1:14">
      <c r="A317" s="113"/>
      <c r="B317" s="114"/>
      <c r="C317" s="115"/>
      <c r="D317" s="273"/>
      <c r="E317" s="116"/>
      <c r="F317" s="116"/>
      <c r="G317" s="116"/>
      <c r="H317" s="116"/>
      <c r="I317" s="116"/>
      <c r="J317" s="116"/>
      <c r="K317" s="182"/>
      <c r="L317" s="173"/>
      <c r="M317" s="173"/>
    </row>
    <row r="318" spans="1:14" s="13" customFormat="1" ht="20.25">
      <c r="A318" s="101" t="s">
        <v>858</v>
      </c>
      <c r="B318" s="101"/>
      <c r="C318" s="102"/>
      <c r="D318" s="280"/>
      <c r="E318" s="103"/>
      <c r="F318" s="103"/>
      <c r="G318" s="103"/>
      <c r="H318" s="103"/>
      <c r="I318" s="103"/>
      <c r="J318" s="103"/>
      <c r="K318" s="101"/>
      <c r="L318" s="103"/>
      <c r="M318" s="101"/>
      <c r="N318" s="8"/>
    </row>
    <row r="319" spans="1:14" s="13" customFormat="1" ht="76.5">
      <c r="A319" s="17" t="s">
        <v>117</v>
      </c>
      <c r="B319" s="17" t="s">
        <v>118</v>
      </c>
      <c r="C319" s="17" t="s">
        <v>119</v>
      </c>
      <c r="D319" s="281"/>
      <c r="E319" s="17"/>
      <c r="F319" s="17"/>
      <c r="G319" s="17"/>
      <c r="H319" s="17"/>
      <c r="I319" s="17"/>
      <c r="J319" s="17"/>
      <c r="K319" s="17" t="s">
        <v>120</v>
      </c>
      <c r="L319" s="17" t="s">
        <v>121</v>
      </c>
      <c r="M319" s="17" t="s">
        <v>122</v>
      </c>
      <c r="N319" s="8"/>
    </row>
    <row r="320" spans="1:14">
      <c r="A320" s="113"/>
      <c r="B320" s="114"/>
      <c r="C320" s="115"/>
      <c r="D320" s="273"/>
      <c r="E320" s="116"/>
      <c r="F320" s="116"/>
      <c r="G320" s="116"/>
      <c r="H320" s="116"/>
      <c r="I320" s="116"/>
      <c r="J320" s="116"/>
      <c r="K320" s="182"/>
      <c r="L320" s="173"/>
      <c r="M320" s="173"/>
    </row>
    <row r="321" spans="1:14" ht="140.25">
      <c r="A321" s="113" t="s">
        <v>859</v>
      </c>
      <c r="B321" s="114" t="s">
        <v>860</v>
      </c>
      <c r="C321" s="115"/>
      <c r="D321" s="273"/>
      <c r="E321" s="116"/>
      <c r="F321" s="116"/>
      <c r="G321" s="116"/>
      <c r="H321" s="116"/>
      <c r="I321" s="116"/>
      <c r="J321" s="116"/>
      <c r="K321" s="182"/>
      <c r="L321" s="173">
        <v>672</v>
      </c>
      <c r="M321" s="173">
        <v>694</v>
      </c>
    </row>
    <row r="322" spans="1:14" s="1" customFormat="1">
      <c r="A322" s="113"/>
      <c r="B322" s="114"/>
      <c r="C322" s="115"/>
      <c r="D322" s="273"/>
      <c r="E322" s="116"/>
      <c r="F322" s="116"/>
      <c r="G322" s="116"/>
      <c r="H322" s="116"/>
      <c r="I322" s="116"/>
      <c r="J322" s="116"/>
      <c r="K322" s="182"/>
      <c r="L322" s="173"/>
      <c r="M322" s="173"/>
      <c r="N322" s="8"/>
    </row>
    <row r="323" spans="1:14" s="1" customFormat="1" ht="140.25">
      <c r="A323" s="109" t="s">
        <v>861</v>
      </c>
      <c r="B323" s="114" t="s">
        <v>862</v>
      </c>
      <c r="C323" s="115"/>
      <c r="D323" s="273"/>
      <c r="E323" s="116"/>
      <c r="F323" s="116"/>
      <c r="G323" s="116"/>
      <c r="H323" s="116"/>
      <c r="I323" s="116"/>
      <c r="J323" s="116"/>
      <c r="K323" s="183"/>
      <c r="L323" s="173">
        <v>852</v>
      </c>
      <c r="M323" s="173">
        <v>874</v>
      </c>
      <c r="N323" s="8"/>
    </row>
    <row r="324" spans="1:14">
      <c r="A324" s="113"/>
      <c r="B324" s="114"/>
      <c r="C324" s="115"/>
      <c r="D324" s="273"/>
      <c r="E324" s="116"/>
      <c r="F324" s="116"/>
      <c r="G324" s="116"/>
      <c r="H324" s="116"/>
      <c r="I324" s="116"/>
      <c r="J324" s="116"/>
      <c r="K324" s="182"/>
      <c r="L324" s="173"/>
      <c r="M324" s="173"/>
    </row>
    <row r="325" spans="1:14" ht="25.5">
      <c r="A325" s="18" t="s">
        <v>863</v>
      </c>
      <c r="B325" s="17" t="s">
        <v>338</v>
      </c>
      <c r="C325" s="17" t="s">
        <v>119</v>
      </c>
      <c r="D325" s="281" t="s">
        <v>864</v>
      </c>
      <c r="E325" s="17" t="s">
        <v>862</v>
      </c>
      <c r="F325" s="17"/>
      <c r="G325" s="17"/>
      <c r="H325" s="71"/>
      <c r="I325" s="71"/>
      <c r="J325" s="71"/>
      <c r="K325" s="17" t="s">
        <v>120</v>
      </c>
      <c r="L325" s="17" t="s">
        <v>938</v>
      </c>
      <c r="M325" s="17"/>
    </row>
    <row r="326" spans="1:14">
      <c r="A326" s="89" t="s">
        <v>140</v>
      </c>
      <c r="B326" s="62"/>
      <c r="C326" s="62"/>
      <c r="D326" s="89"/>
      <c r="E326" s="81"/>
      <c r="F326" s="81"/>
      <c r="G326" s="81"/>
      <c r="H326" s="81"/>
      <c r="I326" s="81"/>
      <c r="J326" s="81"/>
      <c r="K326" s="62"/>
      <c r="L326" s="81"/>
      <c r="M326" s="62"/>
    </row>
    <row r="327" spans="1:14" s="3" customFormat="1">
      <c r="A327" s="109" t="s">
        <v>865</v>
      </c>
      <c r="B327" s="109" t="s">
        <v>866</v>
      </c>
      <c r="C327" s="118" t="s">
        <v>350</v>
      </c>
      <c r="D327" s="109" t="s">
        <v>867</v>
      </c>
      <c r="E327" s="105" t="s">
        <v>868</v>
      </c>
      <c r="F327" s="105"/>
      <c r="G327" s="105"/>
      <c r="H327" s="105"/>
      <c r="I327" s="105"/>
      <c r="J327" s="105"/>
      <c r="K327" s="118"/>
      <c r="L327" s="173">
        <v>119</v>
      </c>
      <c r="M327" s="173"/>
      <c r="N327" s="8"/>
    </row>
    <row r="328" spans="1:14" s="3" customFormat="1">
      <c r="A328" s="109" t="s">
        <v>869</v>
      </c>
      <c r="B328" s="109" t="s">
        <v>870</v>
      </c>
      <c r="C328" s="118" t="s">
        <v>350</v>
      </c>
      <c r="D328" s="109"/>
      <c r="E328" s="105" t="s">
        <v>871</v>
      </c>
      <c r="F328" s="105"/>
      <c r="G328" s="105"/>
      <c r="H328" s="105"/>
      <c r="I328" s="105"/>
      <c r="J328" s="105"/>
      <c r="K328" s="118"/>
      <c r="L328" s="173">
        <v>119</v>
      </c>
      <c r="M328" s="173"/>
      <c r="N328" s="8"/>
    </row>
    <row r="329" spans="1:14" s="3" customFormat="1">
      <c r="A329" s="109" t="s">
        <v>872</v>
      </c>
      <c r="B329" s="109" t="s">
        <v>873</v>
      </c>
      <c r="C329" s="118" t="s">
        <v>350</v>
      </c>
      <c r="D329" s="109" t="s">
        <v>874</v>
      </c>
      <c r="E329" s="105"/>
      <c r="F329" s="105"/>
      <c r="G329" s="105"/>
      <c r="H329" s="105"/>
      <c r="I329" s="105"/>
      <c r="J329" s="105"/>
      <c r="K329" s="118"/>
      <c r="L329" s="173">
        <v>243</v>
      </c>
      <c r="M329" s="173"/>
      <c r="N329" s="8"/>
    </row>
    <row r="330" spans="1:14" s="3" customFormat="1">
      <c r="A330" s="109" t="s">
        <v>875</v>
      </c>
      <c r="B330" s="109" t="s">
        <v>876</v>
      </c>
      <c r="C330" s="118" t="s">
        <v>350</v>
      </c>
      <c r="D330" s="109"/>
      <c r="E330" s="105" t="s">
        <v>877</v>
      </c>
      <c r="F330" s="105"/>
      <c r="G330" s="105"/>
      <c r="H330" s="105"/>
      <c r="I330" s="105"/>
      <c r="J330" s="105"/>
      <c r="K330" s="118"/>
      <c r="L330" s="173">
        <v>243</v>
      </c>
      <c r="M330" s="173"/>
      <c r="N330" s="8"/>
    </row>
    <row r="331" spans="1:14" s="3" customFormat="1">
      <c r="A331" s="113"/>
      <c r="B331" s="114"/>
      <c r="C331" s="115"/>
      <c r="D331" s="273"/>
      <c r="E331" s="116"/>
      <c r="F331" s="116"/>
      <c r="G331" s="116"/>
      <c r="H331" s="116"/>
      <c r="I331" s="116"/>
      <c r="J331" s="116"/>
      <c r="K331" s="182"/>
      <c r="L331" s="173"/>
      <c r="M331" s="173"/>
      <c r="N331" s="8"/>
    </row>
    <row r="332" spans="1:14" s="3" customFormat="1">
      <c r="A332" s="89" t="s">
        <v>878</v>
      </c>
      <c r="B332" s="62"/>
      <c r="C332" s="62"/>
      <c r="D332" s="89"/>
      <c r="E332" s="81"/>
      <c r="F332" s="81"/>
      <c r="G332" s="81"/>
      <c r="H332" s="81"/>
      <c r="I332" s="81"/>
      <c r="J332" s="81"/>
      <c r="K332" s="62"/>
      <c r="L332" s="81"/>
      <c r="M332" s="62"/>
      <c r="N332" s="8"/>
    </row>
    <row r="333" spans="1:14" s="3" customFormat="1" ht="25.5">
      <c r="A333" s="109" t="s">
        <v>879</v>
      </c>
      <c r="B333" s="109" t="s">
        <v>880</v>
      </c>
      <c r="C333" s="118"/>
      <c r="D333" s="109" t="s">
        <v>881</v>
      </c>
      <c r="E333" s="105"/>
      <c r="F333" s="105"/>
      <c r="G333" s="105"/>
      <c r="H333" s="105"/>
      <c r="I333" s="105"/>
      <c r="J333" s="105"/>
      <c r="K333" s="118"/>
      <c r="L333" s="173">
        <v>45</v>
      </c>
      <c r="M333" s="173"/>
      <c r="N333" s="8"/>
    </row>
    <row r="334" spans="1:14" s="3" customFormat="1" ht="25.5">
      <c r="A334" s="109" t="s">
        <v>882</v>
      </c>
      <c r="B334" s="109" t="s">
        <v>883</v>
      </c>
      <c r="C334" s="118"/>
      <c r="D334" s="109" t="s">
        <v>884</v>
      </c>
      <c r="E334" s="105"/>
      <c r="F334" s="105"/>
      <c r="G334" s="105"/>
      <c r="H334" s="105"/>
      <c r="I334" s="105"/>
      <c r="J334" s="105"/>
      <c r="K334" s="118"/>
      <c r="L334" s="173">
        <v>74</v>
      </c>
      <c r="M334" s="173"/>
      <c r="N334" s="8"/>
    </row>
    <row r="335" spans="1:14" s="3" customFormat="1">
      <c r="A335" s="109" t="s">
        <v>885</v>
      </c>
      <c r="B335" s="109" t="s">
        <v>886</v>
      </c>
      <c r="C335" s="118"/>
      <c r="D335" s="109" t="s">
        <v>887</v>
      </c>
      <c r="E335" s="105"/>
      <c r="F335" s="105"/>
      <c r="G335" s="105"/>
      <c r="H335" s="105"/>
      <c r="I335" s="105"/>
      <c r="J335" s="105"/>
      <c r="K335" s="118"/>
      <c r="L335" s="173">
        <v>101</v>
      </c>
      <c r="M335" s="173"/>
      <c r="N335" s="8"/>
    </row>
    <row r="336" spans="1:14" s="3" customFormat="1">
      <c r="A336" s="113"/>
      <c r="B336" s="114"/>
      <c r="C336" s="115"/>
      <c r="D336" s="273"/>
      <c r="E336" s="116"/>
      <c r="F336" s="116"/>
      <c r="G336" s="116"/>
      <c r="H336" s="116"/>
      <c r="I336" s="116"/>
      <c r="J336" s="116"/>
      <c r="K336" s="182"/>
      <c r="L336" s="173"/>
      <c r="M336" s="173"/>
      <c r="N336" s="8"/>
    </row>
    <row r="337" spans="1:14" s="3" customFormat="1">
      <c r="A337" s="89" t="s">
        <v>888</v>
      </c>
      <c r="B337" s="62"/>
      <c r="C337" s="62"/>
      <c r="D337" s="89"/>
      <c r="E337" s="81"/>
      <c r="F337" s="81"/>
      <c r="G337" s="81"/>
      <c r="H337" s="81"/>
      <c r="I337" s="81"/>
      <c r="J337" s="81"/>
      <c r="K337" s="62"/>
      <c r="L337" s="81"/>
      <c r="M337" s="62"/>
      <c r="N337" s="8"/>
    </row>
    <row r="338" spans="1:14" s="3" customFormat="1">
      <c r="A338" s="109" t="s">
        <v>889</v>
      </c>
      <c r="B338" s="109" t="s">
        <v>890</v>
      </c>
      <c r="C338" s="118"/>
      <c r="D338" s="109"/>
      <c r="E338" s="105" t="s">
        <v>891</v>
      </c>
      <c r="F338" s="105"/>
      <c r="G338" s="105"/>
      <c r="H338" s="105"/>
      <c r="I338" s="105"/>
      <c r="J338" s="105"/>
      <c r="K338" s="118"/>
      <c r="L338" s="173">
        <v>56</v>
      </c>
      <c r="M338" s="173"/>
      <c r="N338" s="8"/>
    </row>
    <row r="339" spans="1:14" s="3" customFormat="1">
      <c r="A339" s="109" t="s">
        <v>892</v>
      </c>
      <c r="B339" s="109" t="s">
        <v>893</v>
      </c>
      <c r="C339" s="118"/>
      <c r="D339" s="109"/>
      <c r="E339" s="105" t="s">
        <v>894</v>
      </c>
      <c r="F339" s="105"/>
      <c r="G339" s="105"/>
      <c r="H339" s="105"/>
      <c r="I339" s="105"/>
      <c r="J339" s="105"/>
      <c r="K339" s="118"/>
      <c r="L339" s="173">
        <v>89</v>
      </c>
      <c r="M339" s="173"/>
      <c r="N339" s="8"/>
    </row>
    <row r="340" spans="1:14" s="3" customFormat="1">
      <c r="A340" s="113"/>
      <c r="B340" s="114"/>
      <c r="C340" s="115"/>
      <c r="D340" s="273"/>
      <c r="E340" s="116"/>
      <c r="F340" s="116"/>
      <c r="G340" s="116"/>
      <c r="H340" s="116"/>
      <c r="I340" s="116"/>
      <c r="J340" s="116"/>
      <c r="K340" s="182"/>
      <c r="L340" s="173"/>
      <c r="M340" s="173"/>
      <c r="N340" s="8"/>
    </row>
    <row r="341" spans="1:14" s="3" customFormat="1">
      <c r="A341" s="99" t="s">
        <v>895</v>
      </c>
      <c r="B341" s="62"/>
      <c r="C341" s="62"/>
      <c r="D341" s="99"/>
      <c r="E341" s="100"/>
      <c r="F341" s="100"/>
      <c r="G341" s="100"/>
      <c r="H341" s="100"/>
      <c r="I341" s="100"/>
      <c r="J341" s="100"/>
      <c r="K341" s="185"/>
      <c r="L341" s="81"/>
      <c r="M341" s="62"/>
      <c r="N341" s="8"/>
    </row>
    <row r="342" spans="1:14" s="3" customFormat="1">
      <c r="A342" s="109" t="s">
        <v>896</v>
      </c>
      <c r="B342" s="109" t="s">
        <v>897</v>
      </c>
      <c r="C342" s="118"/>
      <c r="D342" s="109" t="s">
        <v>898</v>
      </c>
      <c r="E342" s="105"/>
      <c r="F342" s="105"/>
      <c r="G342" s="105"/>
      <c r="H342" s="105"/>
      <c r="I342" s="105"/>
      <c r="J342" s="105"/>
      <c r="K342" s="118"/>
      <c r="L342" s="173">
        <v>49</v>
      </c>
      <c r="M342" s="173"/>
      <c r="N342" s="8"/>
    </row>
    <row r="343" spans="1:14" s="3" customFormat="1">
      <c r="A343" s="231"/>
      <c r="B343" s="231"/>
      <c r="C343" s="212"/>
      <c r="D343" s="172"/>
      <c r="E343" s="228"/>
      <c r="F343" s="228"/>
      <c r="G343" s="228"/>
      <c r="H343" s="228"/>
      <c r="I343" s="228"/>
      <c r="J343" s="228"/>
      <c r="K343" s="229"/>
      <c r="L343" s="173"/>
      <c r="M343" s="173"/>
      <c r="N343" s="8"/>
    </row>
    <row r="344" spans="1:14" s="3" customFormat="1">
      <c r="A344" s="89" t="s">
        <v>276</v>
      </c>
      <c r="B344" s="62"/>
      <c r="C344" s="62"/>
      <c r="D344" s="89"/>
      <c r="E344" s="81"/>
      <c r="F344" s="81"/>
      <c r="G344" s="81"/>
      <c r="H344" s="81"/>
      <c r="I344" s="81"/>
      <c r="J344" s="81"/>
      <c r="K344" s="62"/>
      <c r="L344" s="81"/>
      <c r="M344" s="62"/>
      <c r="N344" s="8"/>
    </row>
    <row r="345" spans="1:14" s="21" customFormat="1">
      <c r="A345" s="109" t="s">
        <v>787</v>
      </c>
      <c r="B345" s="109" t="s">
        <v>285</v>
      </c>
      <c r="C345" s="118"/>
      <c r="D345" s="109" t="s">
        <v>899</v>
      </c>
      <c r="E345" s="105" t="s">
        <v>900</v>
      </c>
      <c r="F345" s="105"/>
      <c r="G345" s="105"/>
      <c r="H345" s="105"/>
      <c r="I345" s="105"/>
      <c r="J345" s="105"/>
      <c r="K345" s="118"/>
      <c r="L345" s="173">
        <v>0</v>
      </c>
      <c r="M345" s="173"/>
      <c r="N345" s="8"/>
    </row>
    <row r="346" spans="1:14" s="21" customFormat="1">
      <c r="A346" s="113"/>
      <c r="B346" s="114"/>
      <c r="C346" s="115"/>
      <c r="D346" s="273"/>
      <c r="E346" s="116"/>
      <c r="F346" s="116"/>
      <c r="G346" s="116"/>
      <c r="H346" s="116"/>
      <c r="I346" s="116"/>
      <c r="J346" s="116"/>
      <c r="K346" s="182"/>
      <c r="L346" s="173"/>
      <c r="M346" s="173"/>
      <c r="N346" s="8"/>
    </row>
    <row r="347" spans="1:14" s="21" customFormat="1">
      <c r="A347" s="89" t="s">
        <v>251</v>
      </c>
      <c r="B347" s="62"/>
      <c r="C347" s="62"/>
      <c r="D347" s="89"/>
      <c r="E347" s="81"/>
      <c r="F347" s="81"/>
      <c r="G347" s="81"/>
      <c r="H347" s="81"/>
      <c r="I347" s="81"/>
      <c r="J347" s="81"/>
      <c r="K347" s="62"/>
      <c r="L347" s="81"/>
      <c r="M347" s="62"/>
      <c r="N347" s="8"/>
    </row>
    <row r="348" spans="1:14" s="21" customFormat="1">
      <c r="A348" s="109" t="s">
        <v>901</v>
      </c>
      <c r="B348" s="109" t="s">
        <v>902</v>
      </c>
      <c r="C348" s="118"/>
      <c r="D348" s="109" t="s">
        <v>903</v>
      </c>
      <c r="E348" s="105" t="s">
        <v>904</v>
      </c>
      <c r="F348" s="105"/>
      <c r="G348" s="105"/>
      <c r="H348" s="105"/>
      <c r="I348" s="105"/>
      <c r="J348" s="105"/>
      <c r="K348" s="118"/>
      <c r="L348" s="173">
        <v>6</v>
      </c>
      <c r="M348" s="173"/>
      <c r="N348" s="8"/>
    </row>
    <row r="349" spans="1:14" s="21" customFormat="1">
      <c r="A349" s="109" t="s">
        <v>905</v>
      </c>
      <c r="B349" s="109" t="s">
        <v>906</v>
      </c>
      <c r="C349" s="118"/>
      <c r="D349" s="109" t="s">
        <v>907</v>
      </c>
      <c r="E349" s="105" t="s">
        <v>908</v>
      </c>
      <c r="F349" s="105"/>
      <c r="G349" s="105"/>
      <c r="H349" s="105"/>
      <c r="I349" s="105"/>
      <c r="J349" s="105"/>
      <c r="K349" s="118"/>
      <c r="L349" s="173">
        <v>6</v>
      </c>
      <c r="M349" s="173"/>
      <c r="N349" s="8"/>
    </row>
    <row r="350" spans="1:14">
      <c r="A350" s="109" t="s">
        <v>768</v>
      </c>
      <c r="B350" s="109" t="s">
        <v>260</v>
      </c>
      <c r="C350" s="118"/>
      <c r="D350" s="109" t="s">
        <v>909</v>
      </c>
      <c r="E350" s="105" t="s">
        <v>910</v>
      </c>
      <c r="F350" s="105"/>
      <c r="G350" s="105"/>
      <c r="H350" s="105"/>
      <c r="I350" s="105"/>
      <c r="J350" s="105"/>
      <c r="K350" s="118"/>
      <c r="L350" s="173">
        <v>80</v>
      </c>
      <c r="M350" s="173"/>
    </row>
    <row r="351" spans="1:14" s="21" customFormat="1">
      <c r="A351" s="113"/>
      <c r="B351" s="114"/>
      <c r="C351" s="115"/>
      <c r="D351" s="273"/>
      <c r="E351" s="116"/>
      <c r="F351" s="116"/>
      <c r="G351" s="116"/>
      <c r="H351" s="116"/>
      <c r="I351" s="116"/>
      <c r="J351" s="116"/>
      <c r="K351" s="182"/>
      <c r="L351" s="173"/>
      <c r="M351" s="173"/>
      <c r="N351" s="8"/>
    </row>
    <row r="352" spans="1:14" s="21" customFormat="1">
      <c r="A352" s="89" t="s">
        <v>774</v>
      </c>
      <c r="B352" s="62"/>
      <c r="C352" s="62"/>
      <c r="D352" s="89"/>
      <c r="E352" s="81"/>
      <c r="F352" s="81"/>
      <c r="G352" s="81"/>
      <c r="H352" s="81"/>
      <c r="I352" s="81"/>
      <c r="J352" s="81"/>
      <c r="K352" s="62"/>
      <c r="L352" s="81"/>
      <c r="M352" s="62"/>
      <c r="N352" s="8"/>
    </row>
    <row r="353" spans="1:14" s="21" customFormat="1">
      <c r="A353" s="109" t="s">
        <v>911</v>
      </c>
      <c r="B353" s="109" t="s">
        <v>912</v>
      </c>
      <c r="C353" s="118"/>
      <c r="D353" s="109"/>
      <c r="E353" s="105" t="s">
        <v>913</v>
      </c>
      <c r="F353" s="105"/>
      <c r="G353" s="105"/>
      <c r="H353" s="105"/>
      <c r="I353" s="105"/>
      <c r="J353" s="105"/>
      <c r="K353" s="118"/>
      <c r="L353" s="173">
        <v>0</v>
      </c>
      <c r="M353" s="173"/>
      <c r="N353" s="8"/>
    </row>
    <row r="354" spans="1:14" s="21" customFormat="1">
      <c r="A354" s="113"/>
      <c r="B354" s="114"/>
      <c r="C354" s="115"/>
      <c r="D354" s="273"/>
      <c r="E354" s="116"/>
      <c r="F354" s="116"/>
      <c r="G354" s="116"/>
      <c r="H354" s="116"/>
      <c r="I354" s="116"/>
      <c r="J354" s="116"/>
      <c r="K354" s="182"/>
      <c r="L354" s="173"/>
      <c r="M354" s="173"/>
      <c r="N354" s="8"/>
    </row>
    <row r="355" spans="1:14" s="21" customFormat="1">
      <c r="A355" s="89" t="s">
        <v>552</v>
      </c>
      <c r="B355" s="62"/>
      <c r="C355" s="62"/>
      <c r="D355" s="89"/>
      <c r="E355" s="81"/>
      <c r="F355" s="81"/>
      <c r="G355" s="81"/>
      <c r="H355" s="81"/>
      <c r="I355" s="81"/>
      <c r="J355" s="81"/>
      <c r="K355" s="62"/>
      <c r="L355" s="81"/>
      <c r="M355" s="62"/>
      <c r="N355" s="8"/>
    </row>
    <row r="356" spans="1:14" s="21" customFormat="1">
      <c r="A356" s="109" t="s">
        <v>806</v>
      </c>
      <c r="B356" s="109" t="s">
        <v>807</v>
      </c>
      <c r="C356" s="118"/>
      <c r="D356" s="109" t="s">
        <v>914</v>
      </c>
      <c r="E356" s="105" t="s">
        <v>915</v>
      </c>
      <c r="F356" s="105"/>
      <c r="G356" s="105"/>
      <c r="H356" s="105"/>
      <c r="I356" s="105"/>
      <c r="J356" s="105"/>
      <c r="K356" s="118"/>
      <c r="L356" s="173">
        <v>6</v>
      </c>
      <c r="M356" s="173"/>
      <c r="N356" s="8"/>
    </row>
    <row r="357" spans="1:14" s="21" customFormat="1">
      <c r="A357" s="109" t="s">
        <v>916</v>
      </c>
      <c r="B357" s="109" t="s">
        <v>554</v>
      </c>
      <c r="C357" s="118" t="s">
        <v>350</v>
      </c>
      <c r="D357" s="109" t="s">
        <v>917</v>
      </c>
      <c r="E357" s="105" t="s">
        <v>918</v>
      </c>
      <c r="F357" s="105"/>
      <c r="G357" s="105"/>
      <c r="H357" s="105"/>
      <c r="I357" s="105"/>
      <c r="J357" s="105"/>
      <c r="K357" s="118"/>
      <c r="L357" s="173">
        <v>7</v>
      </c>
      <c r="M357" s="173"/>
      <c r="N357" s="8"/>
    </row>
    <row r="358" spans="1:14" s="21" customFormat="1" ht="25.5">
      <c r="A358" s="109" t="s">
        <v>919</v>
      </c>
      <c r="B358" s="109" t="s">
        <v>296</v>
      </c>
      <c r="C358" s="118"/>
      <c r="D358" s="109" t="s">
        <v>920</v>
      </c>
      <c r="E358" s="105" t="s">
        <v>921</v>
      </c>
      <c r="F358" s="105"/>
      <c r="G358" s="105"/>
      <c r="H358" s="105"/>
      <c r="I358" s="105"/>
      <c r="J358" s="105"/>
      <c r="K358" s="118"/>
      <c r="L358" s="173">
        <v>85</v>
      </c>
      <c r="M358" s="173"/>
      <c r="N358" s="8"/>
    </row>
    <row r="359" spans="1:14" s="21" customFormat="1" ht="25.5">
      <c r="A359" s="109" t="s">
        <v>830</v>
      </c>
      <c r="B359" s="109" t="s">
        <v>831</v>
      </c>
      <c r="C359" s="118"/>
      <c r="D359" s="109" t="s">
        <v>922</v>
      </c>
      <c r="E359" s="105" t="s">
        <v>923</v>
      </c>
      <c r="F359" s="105"/>
      <c r="G359" s="105"/>
      <c r="H359" s="105"/>
      <c r="I359" s="105"/>
      <c r="J359" s="105"/>
      <c r="K359" s="118"/>
      <c r="L359" s="173">
        <v>260</v>
      </c>
      <c r="M359" s="173"/>
      <c r="N359" s="8"/>
    </row>
    <row r="360" spans="1:14" s="3" customFormat="1">
      <c r="A360" s="113"/>
      <c r="B360" s="114"/>
      <c r="C360" s="115"/>
      <c r="D360" s="273"/>
      <c r="E360" s="116"/>
      <c r="F360" s="116"/>
      <c r="G360" s="116"/>
      <c r="H360" s="116"/>
      <c r="I360" s="116"/>
      <c r="J360" s="116"/>
      <c r="K360" s="182"/>
      <c r="L360" s="173"/>
      <c r="M360" s="173"/>
      <c r="N360" s="8"/>
    </row>
    <row r="361" spans="1:14" s="3" customFormat="1">
      <c r="A361" s="89" t="s">
        <v>304</v>
      </c>
      <c r="B361" s="62"/>
      <c r="C361" s="62"/>
      <c r="D361" s="89"/>
      <c r="E361" s="81"/>
      <c r="F361" s="81"/>
      <c r="G361" s="81"/>
      <c r="H361" s="81"/>
      <c r="I361" s="81"/>
      <c r="J361" s="81"/>
      <c r="K361" s="62"/>
      <c r="L361" s="81"/>
      <c r="M361" s="62"/>
      <c r="N361" s="8"/>
    </row>
    <row r="362" spans="1:14" s="3" customFormat="1">
      <c r="A362" s="109" t="s">
        <v>841</v>
      </c>
      <c r="B362" s="109" t="s">
        <v>842</v>
      </c>
      <c r="C362" s="118"/>
      <c r="D362" s="109" t="s">
        <v>924</v>
      </c>
      <c r="E362" s="105"/>
      <c r="F362" s="105"/>
      <c r="G362" s="105"/>
      <c r="H362" s="105"/>
      <c r="I362" s="105"/>
      <c r="J362" s="105"/>
      <c r="K362" s="118"/>
      <c r="L362" s="173">
        <v>7</v>
      </c>
      <c r="M362" s="173"/>
      <c r="N362" s="8"/>
    </row>
    <row r="363" spans="1:14" s="3" customFormat="1">
      <c r="A363" s="109" t="s">
        <v>835</v>
      </c>
      <c r="B363" s="109" t="s">
        <v>836</v>
      </c>
      <c r="C363" s="118"/>
      <c r="D363" s="109" t="s">
        <v>925</v>
      </c>
      <c r="E363" s="105" t="s">
        <v>926</v>
      </c>
      <c r="F363" s="105"/>
      <c r="G363" s="105"/>
      <c r="H363" s="105"/>
      <c r="I363" s="105"/>
      <c r="J363" s="105"/>
      <c r="K363" s="118"/>
      <c r="L363" s="173">
        <v>1</v>
      </c>
      <c r="M363" s="173"/>
      <c r="N363" s="8"/>
    </row>
    <row r="364" spans="1:14" s="3" customFormat="1">
      <c r="A364" s="113"/>
      <c r="B364" s="114"/>
      <c r="C364" s="115"/>
      <c r="D364" s="273"/>
      <c r="E364" s="116"/>
      <c r="F364" s="116"/>
      <c r="G364" s="116"/>
      <c r="H364" s="116"/>
      <c r="I364" s="116"/>
      <c r="J364" s="116"/>
      <c r="K364" s="182"/>
      <c r="L364" s="173"/>
      <c r="M364" s="173"/>
      <c r="N364" s="8"/>
    </row>
    <row r="365" spans="1:14" s="3" customFormat="1">
      <c r="A365" s="123" t="s">
        <v>287</v>
      </c>
      <c r="B365" s="181"/>
      <c r="C365" s="181"/>
      <c r="D365" s="123"/>
      <c r="E365" s="125"/>
      <c r="F365" s="125"/>
      <c r="G365" s="125"/>
      <c r="H365" s="125"/>
      <c r="I365" s="125"/>
      <c r="J365" s="125"/>
      <c r="K365" s="181"/>
      <c r="L365" s="81"/>
      <c r="M365" s="62"/>
      <c r="N365" s="8"/>
    </row>
    <row r="366" spans="1:14" s="3" customFormat="1">
      <c r="A366" s="109" t="s">
        <v>90</v>
      </c>
      <c r="B366" s="109" t="s">
        <v>927</v>
      </c>
      <c r="C366" s="118"/>
      <c r="D366" s="109" t="s">
        <v>928</v>
      </c>
      <c r="E366" s="105"/>
      <c r="F366" s="105"/>
      <c r="G366" s="105"/>
      <c r="H366" s="105"/>
      <c r="I366" s="105"/>
      <c r="J366" s="105"/>
      <c r="K366" s="118"/>
      <c r="L366" s="173">
        <v>6</v>
      </c>
      <c r="M366" s="173"/>
      <c r="N366" s="8"/>
    </row>
    <row r="367" spans="1:14" s="3" customFormat="1">
      <c r="A367" s="113"/>
      <c r="B367" s="114"/>
      <c r="C367" s="115"/>
      <c r="D367" s="273"/>
      <c r="E367" s="116"/>
      <c r="F367" s="116"/>
      <c r="G367" s="116"/>
      <c r="H367" s="116"/>
      <c r="I367" s="116"/>
      <c r="J367" s="116"/>
      <c r="K367" s="182"/>
      <c r="L367" s="173"/>
      <c r="M367" s="173"/>
      <c r="N367" s="8"/>
    </row>
    <row r="368" spans="1:14" s="3" customFormat="1">
      <c r="A368" s="89" t="s">
        <v>929</v>
      </c>
      <c r="B368" s="90"/>
      <c r="C368" s="90"/>
      <c r="D368" s="274"/>
      <c r="E368" s="91"/>
      <c r="F368" s="91"/>
      <c r="G368" s="91"/>
      <c r="H368" s="91"/>
      <c r="I368" s="91"/>
      <c r="J368" s="91"/>
      <c r="K368" s="90"/>
      <c r="L368" s="81"/>
      <c r="M368" s="62"/>
      <c r="N368" s="8"/>
    </row>
    <row r="369" spans="1:14" s="3" customFormat="1">
      <c r="A369" s="109" t="s">
        <v>317</v>
      </c>
      <c r="B369" s="109" t="s">
        <v>318</v>
      </c>
      <c r="C369" s="118"/>
      <c r="D369" s="282" t="s">
        <v>930</v>
      </c>
      <c r="E369" s="206" t="s">
        <v>930</v>
      </c>
      <c r="F369" s="206"/>
      <c r="G369" s="206"/>
      <c r="H369" s="206"/>
      <c r="I369" s="206"/>
      <c r="J369" s="206"/>
      <c r="K369" s="122"/>
      <c r="L369" s="173">
        <v>10</v>
      </c>
      <c r="M369" s="173"/>
      <c r="N369" s="8"/>
    </row>
    <row r="370" spans="1:14" s="3" customFormat="1" ht="25.5">
      <c r="A370" s="109" t="s">
        <v>320</v>
      </c>
      <c r="B370" s="119" t="s">
        <v>321</v>
      </c>
      <c r="C370" s="120"/>
      <c r="D370" s="282" t="s">
        <v>931</v>
      </c>
      <c r="E370" s="206" t="s">
        <v>931</v>
      </c>
      <c r="F370" s="206"/>
      <c r="G370" s="206"/>
      <c r="H370" s="206"/>
      <c r="I370" s="206"/>
      <c r="J370" s="206"/>
      <c r="K370" s="122"/>
      <c r="L370" s="173">
        <v>30</v>
      </c>
      <c r="M370" s="173"/>
      <c r="N370" s="8"/>
    </row>
    <row r="371" spans="1:14" s="3" customFormat="1">
      <c r="A371" s="109" t="s">
        <v>323</v>
      </c>
      <c r="B371" s="109" t="s">
        <v>324</v>
      </c>
      <c r="C371" s="118"/>
      <c r="D371" s="207" t="s">
        <v>932</v>
      </c>
      <c r="E371" s="207" t="s">
        <v>932</v>
      </c>
      <c r="F371" s="104"/>
      <c r="G371" s="104"/>
      <c r="H371" s="104"/>
      <c r="I371" s="104"/>
      <c r="J371" s="104"/>
      <c r="K371" s="107"/>
      <c r="L371" s="173">
        <v>60</v>
      </c>
      <c r="M371" s="173"/>
      <c r="N371" s="8"/>
    </row>
    <row r="372" spans="1:14" s="3" customFormat="1">
      <c r="A372" s="109" t="s">
        <v>574</v>
      </c>
      <c r="B372" s="109" t="s">
        <v>575</v>
      </c>
      <c r="C372" s="118"/>
      <c r="D372" s="106" t="s">
        <v>933</v>
      </c>
      <c r="E372" s="104" t="s">
        <v>933</v>
      </c>
      <c r="F372" s="104"/>
      <c r="G372" s="104"/>
      <c r="H372" s="104"/>
      <c r="I372" s="104"/>
      <c r="J372" s="104"/>
      <c r="K372" s="107"/>
      <c r="L372" s="173">
        <v>20</v>
      </c>
      <c r="M372" s="173"/>
      <c r="N372" s="8"/>
    </row>
    <row r="373" spans="1:14" s="3" customFormat="1">
      <c r="A373" s="109" t="s">
        <v>326</v>
      </c>
      <c r="B373" s="109" t="s">
        <v>327</v>
      </c>
      <c r="C373" s="118"/>
      <c r="D373" s="109" t="s">
        <v>328</v>
      </c>
      <c r="E373" s="105" t="s">
        <v>328</v>
      </c>
      <c r="F373" s="105"/>
      <c r="G373" s="105"/>
      <c r="H373" s="105"/>
      <c r="I373" s="105"/>
      <c r="J373" s="105"/>
      <c r="K373" s="118"/>
      <c r="L373" s="173">
        <v>158</v>
      </c>
      <c r="M373" s="173"/>
      <c r="N373" s="8"/>
    </row>
    <row r="374" spans="1:14" s="3" customFormat="1">
      <c r="A374" s="109" t="s">
        <v>1682</v>
      </c>
      <c r="B374" s="109" t="s">
        <v>1666</v>
      </c>
      <c r="C374" s="118"/>
      <c r="D374" s="109" t="s">
        <v>1706</v>
      </c>
      <c r="E374" s="105" t="s">
        <v>1706</v>
      </c>
      <c r="F374" s="105"/>
      <c r="G374" s="105"/>
      <c r="H374" s="105"/>
      <c r="I374" s="105"/>
      <c r="J374" s="105"/>
      <c r="K374" s="118"/>
      <c r="L374" s="173">
        <v>22</v>
      </c>
      <c r="M374" s="173"/>
      <c r="N374" s="8"/>
    </row>
    <row r="375" spans="1:14" ht="25.5">
      <c r="A375" s="109" t="s">
        <v>329</v>
      </c>
      <c r="B375" s="119" t="s">
        <v>330</v>
      </c>
      <c r="C375" s="107"/>
      <c r="D375" s="109" t="s">
        <v>1713</v>
      </c>
      <c r="E375" s="109" t="s">
        <v>1713</v>
      </c>
      <c r="F375" s="105"/>
      <c r="G375" s="105"/>
      <c r="H375" s="228"/>
      <c r="I375" s="228"/>
      <c r="J375" s="228"/>
      <c r="K375" s="229"/>
      <c r="L375" s="173">
        <v>52</v>
      </c>
      <c r="M375" s="173"/>
    </row>
    <row r="376" spans="1:14">
      <c r="H376" s="20"/>
      <c r="I376" s="20"/>
      <c r="J376" s="20"/>
      <c r="K376" s="184"/>
    </row>
    <row r="377" spans="1:14">
      <c r="H377" s="20"/>
      <c r="I377" s="20"/>
      <c r="J377" s="20"/>
      <c r="K377" s="184"/>
    </row>
    <row r="378" spans="1:14">
      <c r="H378" s="20"/>
      <c r="I378" s="20"/>
      <c r="J378" s="20"/>
      <c r="K378" s="184"/>
    </row>
    <row r="379" spans="1:14">
      <c r="H379" s="20"/>
      <c r="I379" s="20"/>
      <c r="J379" s="20"/>
      <c r="K379" s="184"/>
    </row>
    <row r="380" spans="1:14">
      <c r="H380" s="20"/>
      <c r="I380" s="20"/>
      <c r="J380" s="20"/>
      <c r="K380" s="184"/>
    </row>
    <row r="381" spans="1:14">
      <c r="H381" s="20"/>
      <c r="I381" s="20"/>
      <c r="J381" s="20"/>
      <c r="K381" s="184"/>
    </row>
    <row r="382" spans="1:14">
      <c r="H382" s="20"/>
      <c r="I382" s="20"/>
      <c r="J382" s="20"/>
      <c r="K382" s="184"/>
    </row>
    <row r="383" spans="1:14">
      <c r="H383" s="20"/>
      <c r="I383" s="20"/>
      <c r="J383" s="20"/>
      <c r="K383" s="184"/>
    </row>
    <row r="384" spans="1:14">
      <c r="H384" s="20"/>
      <c r="I384" s="20"/>
      <c r="J384" s="20"/>
      <c r="K384" s="184"/>
    </row>
    <row r="385" spans="8:11">
      <c r="H385" s="20"/>
      <c r="I385" s="20"/>
      <c r="J385" s="20"/>
      <c r="K385" s="184"/>
    </row>
    <row r="386" spans="8:11">
      <c r="H386" s="20"/>
      <c r="I386" s="20"/>
      <c r="J386" s="20"/>
      <c r="K386" s="184"/>
    </row>
    <row r="387" spans="8:11">
      <c r="H387" s="20"/>
      <c r="I387" s="20"/>
      <c r="J387" s="20"/>
      <c r="K387" s="184"/>
    </row>
    <row r="388" spans="8:11">
      <c r="H388" s="20"/>
      <c r="I388" s="20"/>
      <c r="J388" s="20"/>
      <c r="K388" s="184"/>
    </row>
    <row r="389" spans="8:11">
      <c r="H389" s="20"/>
      <c r="I389" s="20"/>
      <c r="J389" s="20"/>
      <c r="K389" s="184"/>
    </row>
    <row r="390" spans="8:11">
      <c r="H390" s="20"/>
      <c r="I390" s="20"/>
      <c r="J390" s="20"/>
      <c r="K390" s="184"/>
    </row>
    <row r="391" spans="8:11">
      <c r="H391" s="20"/>
      <c r="I391" s="20"/>
      <c r="J391" s="20"/>
      <c r="K391" s="184"/>
    </row>
    <row r="392" spans="8:11">
      <c r="H392" s="20"/>
      <c r="I392" s="20"/>
      <c r="J392" s="20"/>
      <c r="K392" s="184"/>
    </row>
    <row r="393" spans="8:11">
      <c r="H393" s="20"/>
      <c r="I393" s="20"/>
      <c r="J393" s="20"/>
      <c r="K393" s="184"/>
    </row>
    <row r="394" spans="8:11">
      <c r="H394" s="20"/>
      <c r="I394" s="20"/>
      <c r="J394" s="20"/>
      <c r="K394" s="184"/>
    </row>
    <row r="395" spans="8:11">
      <c r="H395" s="20"/>
      <c r="I395" s="20"/>
      <c r="J395" s="20"/>
      <c r="K395" s="184"/>
    </row>
    <row r="396" spans="8:11">
      <c r="H396" s="20"/>
      <c r="I396" s="20"/>
      <c r="J396" s="20"/>
      <c r="K396" s="184"/>
    </row>
  </sheetData>
  <phoneticPr fontId="22"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91"/>
  <sheetViews>
    <sheetView zoomScaleNormal="100" workbookViewId="0">
      <selection activeCell="A2" sqref="A2"/>
    </sheetView>
  </sheetViews>
  <sheetFormatPr baseColWidth="10" defaultColWidth="9.140625" defaultRowHeight="12.75"/>
  <cols>
    <col min="1" max="1" width="67.7109375" style="19" customWidth="1"/>
    <col min="2" max="2" width="43.85546875" style="19" customWidth="1"/>
    <col min="3" max="3" width="18.42578125" style="19" customWidth="1"/>
    <col min="4" max="4" width="16.42578125" style="44" customWidth="1"/>
    <col min="5" max="7" width="8.42578125" style="44" bestFit="1" customWidth="1"/>
    <col min="8" max="8" width="8.7109375" style="44" bestFit="1" customWidth="1"/>
    <col min="9" max="9" width="12.85546875" style="44" bestFit="1" customWidth="1"/>
    <col min="10" max="10" width="9.140625" style="19" bestFit="1" customWidth="1"/>
    <col min="11" max="11" width="8.42578125" style="19" customWidth="1"/>
    <col min="12" max="12" width="8.42578125" style="19" bestFit="1" customWidth="1"/>
    <col min="13" max="13" width="9.42578125" style="19" bestFit="1" customWidth="1"/>
    <col min="14" max="14" width="8.42578125" style="19" customWidth="1"/>
    <col min="15" max="18" width="8.42578125" style="19" bestFit="1" customWidth="1"/>
    <col min="19" max="19" width="9.140625" style="19" bestFit="1" customWidth="1"/>
    <col min="20" max="21" width="9.140625" style="19" customWidth="1"/>
    <col min="22" max="22" width="9.140625" style="19" bestFit="1" customWidth="1"/>
    <col min="23" max="16384" width="9.140625" style="19"/>
  </cols>
  <sheetData>
    <row r="1" spans="1:22">
      <c r="J1" s="10"/>
      <c r="K1" s="10"/>
    </row>
    <row r="2" spans="1:22">
      <c r="J2" s="10"/>
      <c r="K2" s="10"/>
    </row>
    <row r="3" spans="1:22">
      <c r="J3" s="10"/>
      <c r="K3" s="10"/>
    </row>
    <row r="4" spans="1:22">
      <c r="J4" s="10"/>
      <c r="K4" s="10"/>
    </row>
    <row r="5" spans="1:22">
      <c r="J5" s="10"/>
      <c r="K5" s="10"/>
    </row>
    <row r="6" spans="1:22">
      <c r="J6" s="10"/>
      <c r="K6" s="10"/>
    </row>
    <row r="7" spans="1:22">
      <c r="J7" s="10"/>
      <c r="K7" s="10"/>
    </row>
    <row r="8" spans="1:22">
      <c r="J8" s="10"/>
      <c r="K8" s="10"/>
    </row>
    <row r="9" spans="1:22">
      <c r="E9" s="19"/>
      <c r="F9" s="19"/>
      <c r="G9" s="19"/>
      <c r="H9" s="19"/>
      <c r="I9" s="19"/>
      <c r="J9" s="10"/>
      <c r="K9" s="10"/>
    </row>
    <row r="10" spans="1:22">
      <c r="A10" s="46" t="s">
        <v>934</v>
      </c>
      <c r="B10" s="22"/>
      <c r="C10" s="22"/>
      <c r="E10" s="19"/>
      <c r="F10" s="19"/>
      <c r="G10" s="19"/>
      <c r="H10" s="19"/>
      <c r="I10" s="19"/>
      <c r="J10" s="10"/>
      <c r="K10" s="10"/>
      <c r="L10" s="10"/>
      <c r="M10" s="10"/>
      <c r="N10" s="10"/>
      <c r="O10" s="10"/>
      <c r="P10" s="10"/>
      <c r="Q10" s="10"/>
      <c r="R10" s="10"/>
      <c r="S10" s="10"/>
      <c r="T10" s="10"/>
      <c r="U10" s="10"/>
      <c r="V10" s="10"/>
    </row>
    <row r="11" spans="1:22">
      <c r="A11" s="46"/>
      <c r="B11" s="22"/>
      <c r="C11" s="22"/>
      <c r="E11" s="19"/>
      <c r="F11" s="19"/>
      <c r="G11" s="19"/>
      <c r="H11" s="19"/>
      <c r="I11" s="19"/>
      <c r="J11" s="10"/>
      <c r="K11" s="10"/>
      <c r="L11" s="10"/>
      <c r="M11" s="10"/>
      <c r="N11" s="10"/>
      <c r="O11" s="10"/>
      <c r="P11" s="10"/>
      <c r="Q11" s="10"/>
      <c r="R11" s="10"/>
      <c r="S11" s="10"/>
      <c r="T11" s="10"/>
      <c r="U11" s="10"/>
      <c r="V11" s="10"/>
    </row>
    <row r="12" spans="1:22" ht="42.75" customHeight="1">
      <c r="A12" s="23" t="s">
        <v>935</v>
      </c>
      <c r="B12" s="24"/>
      <c r="C12" s="25"/>
      <c r="D12" s="25"/>
      <c r="E12" s="19"/>
      <c r="F12" s="19"/>
      <c r="G12" s="19"/>
      <c r="H12" s="19"/>
      <c r="I12" s="19"/>
      <c r="J12" s="10"/>
      <c r="K12" s="10"/>
      <c r="M12" s="10"/>
      <c r="N12" s="10"/>
      <c r="O12" s="10"/>
      <c r="P12" s="10"/>
      <c r="Q12" s="10"/>
      <c r="R12" s="10"/>
      <c r="S12" s="10"/>
      <c r="T12" s="10"/>
      <c r="U12" s="10"/>
      <c r="V12" s="10"/>
    </row>
    <row r="13" spans="1:22" ht="42" customHeight="1">
      <c r="A13" s="76" t="s">
        <v>936</v>
      </c>
      <c r="B13" s="76" t="s">
        <v>937</v>
      </c>
      <c r="C13" s="5" t="s">
        <v>120</v>
      </c>
      <c r="D13" s="6" t="s">
        <v>938</v>
      </c>
      <c r="E13" s="19"/>
      <c r="F13" s="19"/>
      <c r="G13" s="19"/>
      <c r="H13" s="19"/>
      <c r="I13" s="19"/>
      <c r="P13" s="10"/>
      <c r="Q13" s="10"/>
      <c r="R13" s="10"/>
      <c r="S13" s="10"/>
      <c r="T13" s="10"/>
      <c r="U13" s="10"/>
      <c r="V13" s="10"/>
    </row>
    <row r="14" spans="1:22">
      <c r="A14" s="59" t="s">
        <v>939</v>
      </c>
      <c r="B14" s="60"/>
      <c r="C14" s="62"/>
      <c r="D14" s="217"/>
      <c r="E14" s="19"/>
      <c r="F14" s="19"/>
      <c r="G14" s="19"/>
      <c r="H14" s="19"/>
      <c r="I14" s="19"/>
      <c r="P14" s="10"/>
      <c r="Q14" s="10"/>
      <c r="R14" s="10"/>
      <c r="S14" s="10"/>
      <c r="T14" s="10"/>
      <c r="U14" s="10"/>
      <c r="V14" s="10"/>
    </row>
    <row r="15" spans="1:22">
      <c r="A15" s="63" t="s">
        <v>940</v>
      </c>
      <c r="B15" s="64" t="s">
        <v>941</v>
      </c>
      <c r="C15" s="74" t="s">
        <v>942</v>
      </c>
      <c r="D15" s="218">
        <v>46</v>
      </c>
      <c r="E15" s="19"/>
      <c r="F15" s="19"/>
      <c r="G15" s="19"/>
      <c r="H15" s="19"/>
      <c r="I15" s="19"/>
      <c r="P15" s="10"/>
      <c r="Q15" s="10"/>
      <c r="R15" s="10"/>
      <c r="S15" s="10"/>
      <c r="T15" s="10"/>
      <c r="U15" s="10"/>
      <c r="V15" s="10"/>
    </row>
    <row r="16" spans="1:22">
      <c r="A16" s="63" t="s">
        <v>943</v>
      </c>
      <c r="B16" s="64" t="s">
        <v>944</v>
      </c>
      <c r="C16" s="74" t="s">
        <v>945</v>
      </c>
      <c r="D16" s="218">
        <v>87</v>
      </c>
      <c r="E16" s="19"/>
      <c r="F16" s="19"/>
      <c r="G16" s="19"/>
      <c r="H16" s="19"/>
      <c r="I16" s="19"/>
      <c r="N16" s="10"/>
      <c r="O16" s="10"/>
      <c r="P16" s="10"/>
      <c r="Q16" s="10"/>
      <c r="R16" s="10"/>
      <c r="S16" s="10"/>
      <c r="T16" s="10"/>
      <c r="U16" s="10"/>
      <c r="V16" s="10"/>
    </row>
    <row r="17" spans="1:22">
      <c r="A17" s="63"/>
      <c r="B17" s="64"/>
      <c r="C17" s="65"/>
      <c r="D17" s="218"/>
      <c r="E17" s="19"/>
      <c r="F17" s="19"/>
      <c r="G17" s="19"/>
      <c r="H17" s="19"/>
      <c r="I17" s="19"/>
      <c r="N17" s="10"/>
      <c r="O17" s="10"/>
      <c r="P17" s="10"/>
      <c r="Q17" s="10"/>
      <c r="R17" s="10"/>
      <c r="S17" s="10"/>
      <c r="T17" s="10"/>
      <c r="U17" s="10"/>
      <c r="V17" s="10"/>
    </row>
    <row r="18" spans="1:22">
      <c r="A18" s="59" t="s">
        <v>946</v>
      </c>
      <c r="B18" s="60"/>
      <c r="C18" s="62"/>
      <c r="D18" s="217"/>
      <c r="E18" s="19"/>
      <c r="F18" s="19"/>
      <c r="G18" s="19"/>
      <c r="H18" s="19"/>
      <c r="I18" s="19"/>
      <c r="N18" s="10"/>
      <c r="O18" s="10"/>
      <c r="P18" s="10"/>
      <c r="Q18" s="10"/>
      <c r="R18" s="10"/>
      <c r="S18" s="10"/>
      <c r="T18" s="10"/>
      <c r="U18" s="10"/>
      <c r="V18" s="10"/>
    </row>
    <row r="19" spans="1:22">
      <c r="A19" s="109" t="s">
        <v>947</v>
      </c>
      <c r="B19" s="105" t="s">
        <v>948</v>
      </c>
      <c r="C19" s="107" t="s">
        <v>949</v>
      </c>
      <c r="D19" s="219">
        <v>174</v>
      </c>
      <c r="E19" s="19"/>
      <c r="F19" s="19"/>
      <c r="G19" s="19"/>
      <c r="H19" s="19"/>
      <c r="I19" s="19"/>
      <c r="N19" s="10"/>
      <c r="O19" s="10"/>
      <c r="P19" s="10"/>
      <c r="Q19" s="10"/>
      <c r="R19" s="10"/>
      <c r="S19" s="10"/>
      <c r="T19" s="10"/>
      <c r="U19" s="10"/>
      <c r="V19" s="10"/>
    </row>
    <row r="20" spans="1:22">
      <c r="A20" s="109" t="s">
        <v>950</v>
      </c>
      <c r="B20" s="105" t="s">
        <v>951</v>
      </c>
      <c r="C20" s="107" t="s">
        <v>952</v>
      </c>
      <c r="D20" s="219">
        <v>25</v>
      </c>
      <c r="E20" s="19"/>
      <c r="F20" s="19"/>
      <c r="G20" s="19"/>
      <c r="H20" s="19"/>
      <c r="I20" s="19"/>
      <c r="N20" s="10"/>
      <c r="O20" s="10"/>
      <c r="P20" s="10"/>
      <c r="Q20" s="10"/>
      <c r="R20" s="10"/>
      <c r="S20" s="10"/>
      <c r="T20" s="10"/>
      <c r="U20" s="10"/>
      <c r="V20" s="10"/>
    </row>
    <row r="21" spans="1:22">
      <c r="A21" s="109" t="s">
        <v>953</v>
      </c>
      <c r="B21" s="105" t="s">
        <v>954</v>
      </c>
      <c r="C21" s="107" t="s">
        <v>955</v>
      </c>
      <c r="D21" s="219">
        <v>371</v>
      </c>
      <c r="E21" s="19"/>
      <c r="F21" s="19"/>
      <c r="G21" s="19"/>
      <c r="H21" s="19"/>
      <c r="I21" s="19"/>
      <c r="N21" s="10"/>
      <c r="O21" s="10"/>
      <c r="P21" s="10"/>
      <c r="Q21" s="10"/>
      <c r="R21" s="10"/>
      <c r="S21" s="10"/>
      <c r="T21" s="10"/>
      <c r="U21" s="10"/>
      <c r="V21" s="10"/>
    </row>
    <row r="22" spans="1:22">
      <c r="A22" s="63"/>
      <c r="B22" s="64"/>
      <c r="C22" s="65"/>
      <c r="D22" s="218"/>
      <c r="E22" s="19"/>
      <c r="F22" s="19"/>
      <c r="G22" s="19"/>
      <c r="H22" s="19"/>
      <c r="I22" s="19"/>
      <c r="N22" s="10"/>
      <c r="O22" s="10"/>
      <c r="P22" s="10"/>
      <c r="Q22" s="10"/>
      <c r="R22" s="10"/>
      <c r="S22" s="10"/>
      <c r="T22" s="10"/>
      <c r="U22" s="10"/>
      <c r="V22" s="10"/>
    </row>
    <row r="23" spans="1:22">
      <c r="A23" s="59" t="s">
        <v>956</v>
      </c>
      <c r="B23" s="60"/>
      <c r="C23" s="62"/>
      <c r="D23" s="217"/>
      <c r="E23" s="19"/>
      <c r="F23" s="19"/>
      <c r="G23" s="19"/>
      <c r="H23" s="19"/>
      <c r="I23" s="19"/>
      <c r="N23" s="10"/>
      <c r="O23" s="10"/>
      <c r="P23" s="10"/>
      <c r="Q23" s="10"/>
      <c r="R23" s="10"/>
      <c r="S23" s="10"/>
      <c r="T23" s="10"/>
      <c r="U23" s="10"/>
      <c r="V23" s="10"/>
    </row>
    <row r="24" spans="1:22">
      <c r="A24" s="63" t="s">
        <v>957</v>
      </c>
      <c r="B24" s="64" t="s">
        <v>958</v>
      </c>
      <c r="C24" s="65" t="s">
        <v>959</v>
      </c>
      <c r="D24" s="218">
        <v>11</v>
      </c>
      <c r="E24" s="19"/>
      <c r="F24" s="19"/>
      <c r="G24" s="19"/>
      <c r="H24" s="19"/>
      <c r="I24" s="19"/>
      <c r="N24" s="10"/>
      <c r="O24" s="10"/>
      <c r="P24" s="10"/>
      <c r="Q24" s="10"/>
      <c r="R24" s="10"/>
      <c r="S24" s="10"/>
      <c r="T24" s="10"/>
      <c r="U24" s="10"/>
      <c r="V24" s="10"/>
    </row>
    <row r="25" spans="1:22">
      <c r="A25" s="63" t="s">
        <v>960</v>
      </c>
      <c r="B25" s="78" t="s">
        <v>961</v>
      </c>
      <c r="C25" s="65" t="s">
        <v>962</v>
      </c>
      <c r="D25" s="218">
        <v>119</v>
      </c>
      <c r="E25" s="19"/>
      <c r="F25" s="19"/>
      <c r="G25" s="19"/>
      <c r="H25" s="19"/>
      <c r="I25" s="19"/>
      <c r="N25" s="10"/>
      <c r="O25" s="10"/>
      <c r="P25" s="10"/>
      <c r="Q25" s="10"/>
      <c r="R25" s="10"/>
      <c r="S25" s="10"/>
      <c r="T25" s="10"/>
      <c r="U25" s="10"/>
      <c r="V25" s="10"/>
    </row>
    <row r="26" spans="1:22">
      <c r="A26" s="63" t="s">
        <v>963</v>
      </c>
      <c r="B26" s="7" t="s">
        <v>964</v>
      </c>
      <c r="C26" s="65" t="s">
        <v>965</v>
      </c>
      <c r="D26" s="218">
        <v>14</v>
      </c>
      <c r="E26" s="19"/>
      <c r="F26" s="19"/>
      <c r="G26" s="19"/>
      <c r="H26" s="19"/>
      <c r="I26" s="19"/>
      <c r="N26" s="10"/>
      <c r="O26" s="10"/>
      <c r="P26" s="10"/>
      <c r="Q26" s="10"/>
      <c r="R26" s="10"/>
      <c r="S26" s="10"/>
      <c r="T26" s="10"/>
      <c r="U26" s="10"/>
      <c r="V26" s="10"/>
    </row>
    <row r="27" spans="1:22">
      <c r="A27" s="63" t="s">
        <v>966</v>
      </c>
      <c r="B27" s="78" t="s">
        <v>966</v>
      </c>
      <c r="C27" s="79" t="s">
        <v>967</v>
      </c>
      <c r="D27" s="218">
        <v>14</v>
      </c>
      <c r="E27" s="19"/>
      <c r="F27" s="19"/>
      <c r="G27" s="19"/>
      <c r="H27" s="19"/>
      <c r="I27" s="19"/>
      <c r="N27" s="10"/>
      <c r="O27" s="10"/>
      <c r="P27" s="10"/>
      <c r="Q27" s="10"/>
      <c r="R27" s="10"/>
      <c r="S27" s="10"/>
      <c r="T27" s="10"/>
      <c r="U27" s="10"/>
      <c r="V27" s="10"/>
    </row>
    <row r="28" spans="1:22">
      <c r="A28" s="63" t="s">
        <v>968</v>
      </c>
      <c r="B28" s="7" t="s">
        <v>969</v>
      </c>
      <c r="C28" s="66" t="s">
        <v>965</v>
      </c>
      <c r="D28" s="218">
        <v>16</v>
      </c>
      <c r="E28" s="19"/>
      <c r="F28" s="19"/>
      <c r="G28" s="19"/>
      <c r="H28" s="19"/>
      <c r="I28" s="19"/>
      <c r="N28" s="10"/>
      <c r="O28" s="10"/>
      <c r="P28" s="10"/>
      <c r="Q28" s="10"/>
      <c r="R28" s="10"/>
      <c r="S28" s="10"/>
      <c r="T28" s="10"/>
      <c r="U28" s="10"/>
      <c r="V28" s="10"/>
    </row>
    <row r="29" spans="1:22">
      <c r="A29" s="109" t="s">
        <v>970</v>
      </c>
      <c r="B29" s="113" t="s">
        <v>971</v>
      </c>
      <c r="C29" s="107" t="s">
        <v>972</v>
      </c>
      <c r="D29" s="219">
        <v>29</v>
      </c>
      <c r="E29" s="19"/>
      <c r="F29" s="19"/>
      <c r="G29" s="19"/>
      <c r="H29" s="19"/>
      <c r="I29" s="19"/>
      <c r="N29" s="10"/>
      <c r="O29" s="10"/>
      <c r="P29" s="10"/>
      <c r="Q29" s="10"/>
      <c r="R29" s="10"/>
      <c r="S29" s="10"/>
      <c r="T29" s="10"/>
      <c r="U29" s="10"/>
      <c r="V29" s="10"/>
    </row>
    <row r="30" spans="1:22">
      <c r="A30" s="109" t="s">
        <v>973</v>
      </c>
      <c r="B30" s="113" t="s">
        <v>974</v>
      </c>
      <c r="C30" s="107" t="s">
        <v>975</v>
      </c>
      <c r="D30" s="219">
        <v>19</v>
      </c>
      <c r="E30" s="19"/>
      <c r="F30" s="19"/>
      <c r="G30" s="19"/>
      <c r="H30" s="19"/>
      <c r="I30" s="19"/>
      <c r="N30" s="10"/>
      <c r="O30" s="10"/>
      <c r="P30" s="10"/>
      <c r="Q30" s="10"/>
      <c r="R30" s="10"/>
      <c r="S30" s="10"/>
      <c r="T30" s="10"/>
      <c r="U30" s="10"/>
      <c r="V30" s="10"/>
    </row>
    <row r="31" spans="1:22">
      <c r="A31" s="63" t="s">
        <v>976</v>
      </c>
      <c r="B31" s="64" t="s">
        <v>977</v>
      </c>
      <c r="C31" s="66" t="s">
        <v>978</v>
      </c>
      <c r="D31" s="218">
        <v>49</v>
      </c>
      <c r="E31" s="19"/>
      <c r="F31" s="19"/>
      <c r="G31" s="19"/>
      <c r="H31" s="19"/>
      <c r="I31" s="19"/>
      <c r="N31" s="10"/>
      <c r="O31" s="10"/>
      <c r="P31" s="10"/>
      <c r="Q31" s="10"/>
      <c r="R31" s="10"/>
      <c r="S31" s="10"/>
      <c r="T31" s="10"/>
      <c r="U31" s="10"/>
      <c r="V31" s="10"/>
    </row>
    <row r="32" spans="1:22">
      <c r="A32" s="63" t="s">
        <v>979</v>
      </c>
      <c r="B32" s="64" t="s">
        <v>980</v>
      </c>
      <c r="C32" s="66" t="s">
        <v>981</v>
      </c>
      <c r="D32" s="218">
        <v>67</v>
      </c>
      <c r="E32" s="19"/>
      <c r="F32" s="19"/>
      <c r="G32" s="19"/>
      <c r="H32" s="19"/>
      <c r="I32" s="19"/>
      <c r="N32" s="10"/>
      <c r="O32" s="10"/>
      <c r="P32" s="10"/>
      <c r="Q32" s="10"/>
      <c r="R32" s="10"/>
      <c r="S32" s="10"/>
      <c r="T32" s="10"/>
      <c r="U32" s="10"/>
      <c r="V32" s="10"/>
    </row>
    <row r="33" spans="1:22">
      <c r="A33" s="80" t="s">
        <v>982</v>
      </c>
      <c r="B33" s="80" t="s">
        <v>983</v>
      </c>
      <c r="C33" s="66" t="s">
        <v>984</v>
      </c>
      <c r="D33" s="218">
        <v>31</v>
      </c>
      <c r="E33" s="19"/>
      <c r="F33" s="19"/>
      <c r="G33" s="19"/>
      <c r="H33" s="19"/>
      <c r="I33" s="19"/>
      <c r="N33" s="10"/>
      <c r="O33" s="10"/>
      <c r="P33" s="10"/>
      <c r="Q33" s="10"/>
      <c r="R33" s="10"/>
      <c r="S33" s="10"/>
      <c r="T33" s="10"/>
      <c r="U33" s="10"/>
      <c r="V33" s="10"/>
    </row>
    <row r="34" spans="1:22">
      <c r="A34" s="63"/>
      <c r="B34" s="64"/>
      <c r="C34" s="66"/>
      <c r="D34" s="218"/>
      <c r="E34" s="19"/>
      <c r="F34" s="19"/>
      <c r="G34" s="19"/>
      <c r="H34" s="19"/>
      <c r="I34" s="19"/>
      <c r="N34" s="10"/>
      <c r="O34" s="10"/>
      <c r="P34" s="10"/>
      <c r="Q34" s="10"/>
      <c r="R34" s="10"/>
      <c r="S34" s="10"/>
      <c r="T34" s="10"/>
      <c r="U34" s="10"/>
      <c r="V34" s="10"/>
    </row>
    <row r="35" spans="1:22">
      <c r="A35" s="81" t="s">
        <v>985</v>
      </c>
      <c r="B35" s="60"/>
      <c r="C35" s="62"/>
      <c r="D35" s="217"/>
      <c r="E35" s="19"/>
      <c r="F35" s="19"/>
      <c r="G35" s="19"/>
      <c r="H35" s="19"/>
      <c r="I35" s="19"/>
      <c r="N35" s="10"/>
      <c r="O35" s="10"/>
      <c r="P35" s="10"/>
      <c r="Q35" s="10"/>
      <c r="R35" s="10"/>
      <c r="S35" s="10"/>
      <c r="T35" s="10"/>
      <c r="U35" s="10"/>
      <c r="V35" s="10"/>
    </row>
    <row r="36" spans="1:22">
      <c r="A36" s="63" t="s">
        <v>986</v>
      </c>
      <c r="B36" s="64" t="s">
        <v>987</v>
      </c>
      <c r="C36" s="65" t="s">
        <v>988</v>
      </c>
      <c r="D36" s="218">
        <v>4</v>
      </c>
      <c r="E36" s="19"/>
      <c r="F36" s="19"/>
      <c r="G36" s="19"/>
      <c r="H36" s="19"/>
      <c r="I36" s="19"/>
      <c r="N36" s="10"/>
      <c r="O36" s="10"/>
      <c r="P36" s="10"/>
      <c r="Q36" s="10"/>
      <c r="R36" s="10"/>
      <c r="S36" s="10"/>
      <c r="T36" s="10"/>
      <c r="U36" s="10"/>
      <c r="V36" s="10"/>
    </row>
    <row r="37" spans="1:22">
      <c r="A37" s="63" t="s">
        <v>989</v>
      </c>
      <c r="B37" s="64" t="s">
        <v>990</v>
      </c>
      <c r="C37" s="75" t="s">
        <v>991</v>
      </c>
      <c r="D37" s="218">
        <v>13</v>
      </c>
      <c r="E37" s="19"/>
      <c r="F37" s="19"/>
      <c r="G37" s="19"/>
      <c r="H37" s="19"/>
      <c r="I37" s="19"/>
      <c r="N37" s="10"/>
      <c r="O37" s="10"/>
      <c r="P37" s="10"/>
      <c r="Q37" s="10"/>
      <c r="R37" s="10"/>
      <c r="S37" s="10"/>
      <c r="T37" s="10"/>
      <c r="U37" s="10"/>
      <c r="V37" s="10"/>
    </row>
    <row r="38" spans="1:22">
      <c r="A38" s="109" t="s">
        <v>992</v>
      </c>
      <c r="B38" s="105" t="s">
        <v>1654</v>
      </c>
      <c r="C38" s="107" t="s">
        <v>1642</v>
      </c>
      <c r="D38" s="219">
        <v>17</v>
      </c>
      <c r="E38" s="19"/>
      <c r="F38" s="19"/>
      <c r="G38" s="19"/>
      <c r="H38" s="19"/>
      <c r="I38" s="19"/>
      <c r="N38" s="10"/>
      <c r="O38" s="10"/>
      <c r="P38" s="10"/>
      <c r="Q38" s="10"/>
      <c r="R38" s="10"/>
      <c r="S38" s="10"/>
      <c r="T38" s="10"/>
      <c r="U38" s="10"/>
      <c r="V38" s="10"/>
    </row>
    <row r="39" spans="1:22">
      <c r="A39" s="63" t="s">
        <v>993</v>
      </c>
      <c r="B39" s="64" t="s">
        <v>994</v>
      </c>
      <c r="C39" s="65" t="s">
        <v>995</v>
      </c>
      <c r="D39" s="218">
        <v>19</v>
      </c>
      <c r="E39" s="19"/>
      <c r="F39" s="19"/>
      <c r="G39" s="19"/>
      <c r="H39" s="19"/>
      <c r="I39" s="19"/>
      <c r="N39" s="10"/>
      <c r="O39" s="10"/>
      <c r="P39" s="10"/>
      <c r="Q39" s="10"/>
      <c r="R39" s="10"/>
      <c r="S39" s="10"/>
      <c r="T39" s="10"/>
      <c r="U39" s="10"/>
      <c r="V39" s="10"/>
    </row>
    <row r="40" spans="1:22">
      <c r="A40" s="63" t="s">
        <v>996</v>
      </c>
      <c r="B40" s="64" t="s">
        <v>997</v>
      </c>
      <c r="C40" s="65" t="s">
        <v>998</v>
      </c>
      <c r="D40" s="218">
        <v>27</v>
      </c>
      <c r="E40" s="19"/>
      <c r="F40" s="19"/>
      <c r="G40" s="19"/>
      <c r="H40" s="19"/>
      <c r="I40" s="19"/>
      <c r="N40" s="10"/>
      <c r="O40" s="10"/>
      <c r="P40" s="10"/>
      <c r="Q40" s="10"/>
      <c r="R40" s="10"/>
      <c r="S40" s="10"/>
      <c r="T40" s="10"/>
      <c r="U40" s="10"/>
      <c r="V40" s="10"/>
    </row>
    <row r="41" spans="1:22">
      <c r="A41" s="63" t="s">
        <v>999</v>
      </c>
      <c r="B41" s="64" t="s">
        <v>1000</v>
      </c>
      <c r="C41" s="65" t="s">
        <v>1001</v>
      </c>
      <c r="D41" s="218">
        <v>31</v>
      </c>
      <c r="E41" s="19"/>
      <c r="F41" s="19"/>
      <c r="G41" s="19"/>
      <c r="H41" s="19"/>
      <c r="I41" s="19"/>
      <c r="N41" s="10"/>
      <c r="O41" s="10"/>
      <c r="P41" s="10"/>
      <c r="Q41" s="10"/>
      <c r="R41" s="10"/>
      <c r="S41" s="10"/>
      <c r="T41" s="10"/>
      <c r="U41" s="10"/>
      <c r="V41" s="10"/>
    </row>
    <row r="42" spans="1:22">
      <c r="A42" s="109" t="s">
        <v>1002</v>
      </c>
      <c r="B42" s="105" t="s">
        <v>314</v>
      </c>
      <c r="C42" s="213" t="s">
        <v>1003</v>
      </c>
      <c r="D42" s="219">
        <v>32</v>
      </c>
      <c r="E42" s="19"/>
      <c r="F42" s="19"/>
      <c r="G42" s="19"/>
      <c r="H42" s="19"/>
      <c r="I42" s="19"/>
      <c r="N42" s="10"/>
      <c r="O42" s="10"/>
      <c r="P42" s="10"/>
      <c r="Q42" s="10"/>
      <c r="R42" s="10"/>
      <c r="S42" s="10"/>
      <c r="T42" s="10"/>
      <c r="U42" s="10"/>
      <c r="V42" s="10"/>
    </row>
    <row r="43" spans="1:22">
      <c r="A43" s="63" t="s">
        <v>1004</v>
      </c>
      <c r="B43" s="64" t="s">
        <v>1005</v>
      </c>
      <c r="C43" s="65" t="s">
        <v>1006</v>
      </c>
      <c r="D43" s="218">
        <v>35</v>
      </c>
      <c r="E43" s="19"/>
      <c r="F43" s="19"/>
      <c r="G43" s="19"/>
      <c r="H43" s="19"/>
      <c r="I43" s="19"/>
      <c r="N43" s="10"/>
      <c r="O43" s="10"/>
      <c r="P43" s="10"/>
      <c r="Q43" s="10"/>
      <c r="R43" s="10"/>
      <c r="S43" s="10"/>
      <c r="T43" s="10"/>
      <c r="U43" s="10"/>
      <c r="V43" s="10"/>
    </row>
    <row r="44" spans="1:22">
      <c r="A44" s="63" t="s">
        <v>1007</v>
      </c>
      <c r="B44" s="64" t="s">
        <v>1008</v>
      </c>
      <c r="C44" s="65" t="s">
        <v>1009</v>
      </c>
      <c r="D44" s="218">
        <v>47</v>
      </c>
      <c r="E44" s="19"/>
      <c r="F44" s="19"/>
      <c r="G44" s="19"/>
      <c r="H44" s="19"/>
      <c r="I44" s="19"/>
      <c r="N44" s="10"/>
      <c r="O44" s="10"/>
      <c r="P44" s="10"/>
      <c r="Q44" s="10"/>
      <c r="R44" s="10"/>
      <c r="S44" s="10"/>
      <c r="T44" s="10"/>
      <c r="U44" s="10"/>
      <c r="V44" s="10"/>
    </row>
    <row r="45" spans="1:22">
      <c r="A45" s="63" t="s">
        <v>1010</v>
      </c>
      <c r="B45" s="64" t="s">
        <v>1011</v>
      </c>
      <c r="C45" s="65" t="s">
        <v>1012</v>
      </c>
      <c r="D45" s="218">
        <v>5</v>
      </c>
      <c r="E45" s="19"/>
      <c r="F45" s="19"/>
      <c r="G45" s="19"/>
      <c r="H45" s="19"/>
      <c r="I45" s="19"/>
      <c r="N45" s="10"/>
      <c r="O45" s="10"/>
      <c r="P45" s="10"/>
      <c r="Q45" s="10"/>
      <c r="R45" s="10"/>
      <c r="S45" s="10"/>
      <c r="T45" s="10"/>
      <c r="U45" s="10"/>
      <c r="V45" s="10"/>
    </row>
    <row r="46" spans="1:22">
      <c r="A46" s="63" t="s">
        <v>1013</v>
      </c>
      <c r="B46" s="64" t="s">
        <v>1014</v>
      </c>
      <c r="C46" s="65" t="s">
        <v>1015</v>
      </c>
      <c r="D46" s="218">
        <v>57</v>
      </c>
      <c r="E46" s="19"/>
      <c r="F46" s="19"/>
      <c r="G46" s="19"/>
      <c r="H46" s="19"/>
      <c r="I46" s="19"/>
      <c r="N46" s="10"/>
      <c r="O46" s="10"/>
      <c r="P46" s="10"/>
      <c r="Q46" s="10"/>
      <c r="R46" s="10"/>
      <c r="S46" s="10"/>
      <c r="T46" s="10"/>
      <c r="U46" s="10"/>
      <c r="V46" s="10"/>
    </row>
    <row r="47" spans="1:22">
      <c r="A47" s="63" t="s">
        <v>1016</v>
      </c>
      <c r="B47" s="64" t="s">
        <v>1017</v>
      </c>
      <c r="C47" s="65" t="s">
        <v>1018</v>
      </c>
      <c r="D47" s="218">
        <v>436</v>
      </c>
      <c r="E47" s="19"/>
      <c r="F47" s="19"/>
      <c r="G47" s="19"/>
      <c r="H47" s="19"/>
      <c r="I47" s="19"/>
      <c r="N47" s="10"/>
      <c r="O47" s="10"/>
      <c r="P47" s="10"/>
      <c r="Q47" s="10"/>
      <c r="R47" s="10"/>
      <c r="S47" s="10"/>
      <c r="T47" s="10"/>
      <c r="U47" s="10"/>
      <c r="V47" s="10"/>
    </row>
    <row r="48" spans="1:22">
      <c r="A48" s="63"/>
      <c r="B48" s="64"/>
      <c r="C48" s="65"/>
      <c r="D48" s="218"/>
      <c r="E48" s="19"/>
      <c r="F48" s="19"/>
      <c r="G48" s="19"/>
      <c r="H48" s="19"/>
      <c r="I48" s="19"/>
      <c r="N48" s="10"/>
      <c r="O48" s="10"/>
      <c r="P48" s="10"/>
      <c r="Q48" s="10"/>
      <c r="R48" s="10"/>
      <c r="S48" s="10"/>
      <c r="T48" s="10"/>
      <c r="U48" s="10"/>
      <c r="V48" s="10"/>
    </row>
    <row r="49" spans="1:22">
      <c r="A49" s="59" t="s">
        <v>1019</v>
      </c>
      <c r="B49" s="60"/>
      <c r="C49" s="62"/>
      <c r="D49" s="217"/>
      <c r="E49" s="19"/>
      <c r="F49" s="19"/>
      <c r="G49" s="19"/>
      <c r="H49" s="19"/>
      <c r="I49" s="19"/>
      <c r="N49" s="10"/>
      <c r="O49" s="10"/>
      <c r="P49" s="10"/>
      <c r="Q49" s="10"/>
      <c r="R49" s="10"/>
      <c r="S49" s="10"/>
      <c r="T49" s="10"/>
      <c r="U49" s="10"/>
      <c r="V49" s="10"/>
    </row>
    <row r="50" spans="1:22">
      <c r="A50" s="109" t="s">
        <v>1020</v>
      </c>
      <c r="B50" s="113" t="s">
        <v>1021</v>
      </c>
      <c r="C50" s="107" t="s">
        <v>1022</v>
      </c>
      <c r="D50" s="219">
        <v>18</v>
      </c>
      <c r="E50" s="19"/>
      <c r="F50" s="19"/>
      <c r="G50" s="19"/>
      <c r="H50" s="19"/>
      <c r="I50" s="19"/>
      <c r="N50" s="10"/>
      <c r="O50" s="10"/>
      <c r="P50" s="10"/>
      <c r="Q50" s="10"/>
      <c r="R50" s="10"/>
      <c r="S50" s="10"/>
      <c r="T50" s="10"/>
      <c r="U50" s="10"/>
      <c r="V50" s="10"/>
    </row>
    <row r="51" spans="1:22">
      <c r="A51" s="109" t="s">
        <v>1023</v>
      </c>
      <c r="B51" s="113" t="s">
        <v>1024</v>
      </c>
      <c r="C51" s="107" t="s">
        <v>1025</v>
      </c>
      <c r="D51" s="219">
        <v>64</v>
      </c>
      <c r="E51" s="19"/>
      <c r="F51" s="19"/>
      <c r="G51" s="19"/>
      <c r="H51" s="19"/>
      <c r="I51" s="19"/>
      <c r="N51" s="10"/>
      <c r="O51" s="10"/>
      <c r="P51" s="10"/>
      <c r="Q51" s="10"/>
      <c r="R51" s="10"/>
      <c r="S51" s="10"/>
      <c r="T51" s="10"/>
      <c r="U51" s="10"/>
      <c r="V51" s="10"/>
    </row>
    <row r="52" spans="1:22">
      <c r="A52" s="72"/>
      <c r="B52" s="72"/>
      <c r="C52" s="70"/>
      <c r="D52" s="218"/>
      <c r="E52" s="19"/>
      <c r="F52" s="19"/>
      <c r="G52" s="19"/>
      <c r="H52" s="19"/>
      <c r="I52" s="19"/>
      <c r="N52" s="10"/>
      <c r="O52" s="10"/>
      <c r="P52" s="10"/>
      <c r="Q52" s="10"/>
      <c r="R52" s="10"/>
      <c r="S52" s="10"/>
      <c r="T52" s="10"/>
      <c r="U52" s="10"/>
      <c r="V52" s="10"/>
    </row>
    <row r="53" spans="1:22">
      <c r="A53" s="59" t="s">
        <v>1026</v>
      </c>
      <c r="B53" s="60"/>
      <c r="C53" s="62"/>
      <c r="D53" s="217"/>
      <c r="E53" s="19"/>
      <c r="F53" s="19"/>
      <c r="G53" s="19"/>
      <c r="H53" s="19"/>
      <c r="I53" s="19"/>
      <c r="N53" s="10"/>
      <c r="O53" s="10"/>
      <c r="P53" s="10"/>
      <c r="Q53" s="10"/>
      <c r="R53" s="10"/>
      <c r="S53" s="10"/>
      <c r="T53" s="10"/>
      <c r="U53" s="10"/>
      <c r="V53" s="10"/>
    </row>
    <row r="54" spans="1:22">
      <c r="A54" s="109" t="s">
        <v>1027</v>
      </c>
      <c r="B54" s="105" t="s">
        <v>1027</v>
      </c>
      <c r="C54" s="215" t="s">
        <v>1028</v>
      </c>
      <c r="D54" s="219">
        <v>7</v>
      </c>
      <c r="E54" s="19"/>
      <c r="F54" s="19"/>
      <c r="G54" s="19"/>
      <c r="H54" s="19"/>
      <c r="I54" s="19"/>
      <c r="N54" s="10"/>
      <c r="O54" s="10"/>
      <c r="P54" s="10"/>
      <c r="Q54" s="10"/>
      <c r="R54" s="10"/>
      <c r="S54" s="10"/>
      <c r="T54" s="10"/>
      <c r="U54" s="10"/>
      <c r="V54" s="10"/>
    </row>
    <row r="55" spans="1:22">
      <c r="A55" s="109" t="s">
        <v>1029</v>
      </c>
      <c r="B55" s="105" t="s">
        <v>1029</v>
      </c>
      <c r="C55" s="215" t="s">
        <v>1030</v>
      </c>
      <c r="D55" s="219">
        <v>12</v>
      </c>
      <c r="E55" s="19"/>
      <c r="F55" s="19"/>
      <c r="G55" s="19"/>
      <c r="H55" s="19"/>
      <c r="I55" s="19"/>
      <c r="N55" s="10"/>
      <c r="O55" s="10"/>
      <c r="P55" s="10"/>
      <c r="Q55" s="10"/>
      <c r="R55" s="10"/>
      <c r="S55" s="10"/>
      <c r="T55" s="10"/>
      <c r="U55" s="10"/>
      <c r="V55" s="10"/>
    </row>
    <row r="56" spans="1:22">
      <c r="A56" s="105" t="s">
        <v>1031</v>
      </c>
      <c r="B56" s="105" t="s">
        <v>1031</v>
      </c>
      <c r="C56" s="107" t="s">
        <v>1032</v>
      </c>
      <c r="D56" s="219">
        <v>27</v>
      </c>
      <c r="E56" s="19"/>
      <c r="F56" s="19"/>
      <c r="G56" s="19"/>
      <c r="H56" s="19"/>
      <c r="I56" s="19"/>
      <c r="N56" s="10"/>
      <c r="O56" s="10"/>
      <c r="P56" s="10"/>
      <c r="Q56" s="10"/>
      <c r="R56" s="10"/>
      <c r="S56" s="10"/>
      <c r="T56" s="10"/>
      <c r="U56" s="10"/>
      <c r="V56" s="10"/>
    </row>
    <row r="57" spans="1:22">
      <c r="A57" s="105" t="s">
        <v>1033</v>
      </c>
      <c r="B57" s="105" t="s">
        <v>1033</v>
      </c>
      <c r="C57" s="212" t="s">
        <v>1034</v>
      </c>
      <c r="D57" s="219">
        <v>47</v>
      </c>
      <c r="E57" s="19"/>
      <c r="F57" s="19"/>
      <c r="G57" s="19"/>
      <c r="H57" s="19"/>
      <c r="I57" s="19"/>
      <c r="N57" s="10"/>
      <c r="O57" s="10"/>
      <c r="P57" s="10"/>
      <c r="Q57" s="10"/>
      <c r="R57" s="10"/>
      <c r="S57" s="10"/>
      <c r="T57" s="10"/>
      <c r="U57" s="10"/>
      <c r="V57" s="10"/>
    </row>
    <row r="58" spans="1:22" ht="12.6" customHeight="1">
      <c r="A58" s="109" t="s">
        <v>1035</v>
      </c>
      <c r="B58" s="105" t="s">
        <v>1036</v>
      </c>
      <c r="C58" s="107" t="s">
        <v>1037</v>
      </c>
      <c r="D58" s="219">
        <v>44</v>
      </c>
      <c r="E58" s="19"/>
      <c r="F58" s="19"/>
      <c r="G58" s="19"/>
      <c r="H58" s="19"/>
      <c r="I58" s="19"/>
      <c r="N58" s="10"/>
      <c r="O58" s="10"/>
      <c r="P58" s="10"/>
      <c r="Q58" s="10"/>
      <c r="R58" s="10"/>
      <c r="S58" s="10"/>
      <c r="T58" s="10"/>
      <c r="U58" s="10"/>
      <c r="V58" s="10"/>
    </row>
    <row r="59" spans="1:22">
      <c r="A59" s="109" t="s">
        <v>1038</v>
      </c>
      <c r="B59" s="113" t="s">
        <v>1039</v>
      </c>
      <c r="C59" s="107" t="s">
        <v>1655</v>
      </c>
      <c r="D59" s="219">
        <v>56</v>
      </c>
      <c r="E59" s="19"/>
      <c r="F59" s="19"/>
      <c r="G59" s="19"/>
      <c r="H59" s="19"/>
      <c r="I59" s="19"/>
      <c r="R59" s="10"/>
      <c r="S59" s="10"/>
      <c r="T59" s="10"/>
      <c r="U59" s="10"/>
      <c r="V59" s="10"/>
    </row>
    <row r="60" spans="1:22">
      <c r="A60" s="172" t="s">
        <v>1040</v>
      </c>
      <c r="B60" s="172" t="s">
        <v>1041</v>
      </c>
      <c r="C60" s="212" t="s">
        <v>1042</v>
      </c>
      <c r="D60" s="219">
        <v>82</v>
      </c>
      <c r="E60" s="19"/>
      <c r="F60" s="19"/>
      <c r="G60" s="19"/>
      <c r="H60" s="19"/>
      <c r="I60" s="19"/>
      <c r="R60" s="10"/>
      <c r="S60" s="10"/>
      <c r="T60" s="10"/>
      <c r="U60" s="10"/>
      <c r="V60" s="10"/>
    </row>
    <row r="61" spans="1:22">
      <c r="A61" s="172" t="s">
        <v>1043</v>
      </c>
      <c r="B61" s="172" t="s">
        <v>1044</v>
      </c>
      <c r="C61" s="212" t="s">
        <v>1657</v>
      </c>
      <c r="D61" s="219">
        <v>63</v>
      </c>
      <c r="E61" s="19"/>
      <c r="F61" s="19"/>
      <c r="G61" s="19"/>
      <c r="H61" s="19"/>
      <c r="I61" s="19"/>
      <c r="R61" s="10"/>
      <c r="S61" s="10"/>
      <c r="T61" s="10"/>
      <c r="U61" s="10"/>
      <c r="V61" s="10"/>
    </row>
    <row r="62" spans="1:22">
      <c r="A62" s="109" t="s">
        <v>1045</v>
      </c>
      <c r="B62" s="105" t="s">
        <v>1046</v>
      </c>
      <c r="C62" s="107" t="s">
        <v>1658</v>
      </c>
      <c r="D62" s="219">
        <v>126</v>
      </c>
      <c r="E62" s="19"/>
      <c r="F62" s="19"/>
      <c r="G62" s="19"/>
      <c r="H62" s="19"/>
      <c r="I62" s="19"/>
      <c r="R62" s="10"/>
      <c r="S62" s="10"/>
      <c r="T62" s="10"/>
      <c r="U62" s="10"/>
      <c r="V62" s="10"/>
    </row>
    <row r="63" spans="1:22" ht="25.5">
      <c r="A63" s="109" t="s">
        <v>1047</v>
      </c>
      <c r="B63" s="105" t="s">
        <v>1048</v>
      </c>
      <c r="C63" s="107" t="s">
        <v>1049</v>
      </c>
      <c r="D63" s="219">
        <v>131</v>
      </c>
      <c r="E63" s="19"/>
      <c r="F63" s="19"/>
      <c r="G63" s="19"/>
      <c r="H63" s="19"/>
      <c r="I63" s="19"/>
      <c r="R63" s="10"/>
      <c r="S63" s="10"/>
      <c r="T63" s="10"/>
      <c r="U63" s="10"/>
      <c r="V63" s="10"/>
    </row>
    <row r="64" spans="1:22">
      <c r="A64" s="109" t="s">
        <v>1050</v>
      </c>
      <c r="B64" s="105" t="s">
        <v>1051</v>
      </c>
      <c r="C64" s="107" t="s">
        <v>1659</v>
      </c>
      <c r="D64" s="219">
        <v>131</v>
      </c>
      <c r="E64" s="19"/>
      <c r="F64" s="19"/>
      <c r="G64" s="19"/>
      <c r="H64" s="19"/>
      <c r="I64" s="19"/>
      <c r="R64" s="10"/>
      <c r="S64" s="10"/>
      <c r="T64" s="10"/>
      <c r="U64" s="10"/>
      <c r="V64" s="10"/>
    </row>
    <row r="65" spans="1:22">
      <c r="A65" s="109" t="s">
        <v>1052</v>
      </c>
      <c r="B65" s="105" t="s">
        <v>1053</v>
      </c>
      <c r="C65" s="107" t="s">
        <v>1660</v>
      </c>
      <c r="D65" s="219">
        <v>150</v>
      </c>
      <c r="E65" s="19"/>
      <c r="F65" s="19"/>
      <c r="G65" s="19"/>
      <c r="H65" s="19"/>
      <c r="I65" s="19"/>
      <c r="R65" s="10"/>
      <c r="S65" s="10"/>
      <c r="T65" s="10"/>
      <c r="U65" s="10"/>
      <c r="V65" s="10"/>
    </row>
    <row r="66" spans="1:22" ht="25.5">
      <c r="A66" s="109" t="s">
        <v>1054</v>
      </c>
      <c r="B66" s="105" t="s">
        <v>1055</v>
      </c>
      <c r="C66" s="107" t="s">
        <v>1056</v>
      </c>
      <c r="D66" s="219">
        <v>218</v>
      </c>
      <c r="E66" s="19"/>
      <c r="F66" s="19"/>
      <c r="G66" s="19"/>
      <c r="H66" s="19"/>
      <c r="I66" s="19"/>
      <c r="R66" s="10"/>
      <c r="S66" s="10"/>
      <c r="T66" s="10"/>
      <c r="U66" s="10"/>
      <c r="V66" s="10"/>
    </row>
    <row r="67" spans="1:22">
      <c r="A67" s="109" t="s">
        <v>1057</v>
      </c>
      <c r="B67" s="105" t="s">
        <v>1058</v>
      </c>
      <c r="C67" s="107" t="s">
        <v>1661</v>
      </c>
      <c r="D67" s="219">
        <v>199</v>
      </c>
      <c r="E67" s="19"/>
      <c r="F67" s="19"/>
      <c r="G67" s="19"/>
      <c r="H67" s="19"/>
      <c r="I67" s="19"/>
      <c r="R67" s="10"/>
      <c r="S67" s="10"/>
      <c r="T67" s="10"/>
      <c r="U67" s="10"/>
      <c r="V67" s="10"/>
    </row>
    <row r="68" spans="1:22" ht="25.5">
      <c r="A68" s="109" t="s">
        <v>1059</v>
      </c>
      <c r="B68" s="105" t="s">
        <v>1060</v>
      </c>
      <c r="C68" s="107" t="s">
        <v>1662</v>
      </c>
      <c r="D68" s="219">
        <v>211</v>
      </c>
      <c r="E68" s="19"/>
      <c r="F68" s="19"/>
      <c r="G68" s="19"/>
      <c r="H68" s="19"/>
      <c r="I68" s="19"/>
      <c r="R68" s="10"/>
      <c r="S68" s="10"/>
      <c r="T68" s="10"/>
      <c r="U68" s="10"/>
      <c r="V68" s="10"/>
    </row>
    <row r="69" spans="1:22">
      <c r="A69" s="109" t="s">
        <v>1061</v>
      </c>
      <c r="B69" s="109" t="s">
        <v>1062</v>
      </c>
      <c r="C69" s="118" t="s">
        <v>1063</v>
      </c>
      <c r="D69" s="219">
        <v>109</v>
      </c>
      <c r="E69" s="19"/>
      <c r="F69" s="19"/>
      <c r="G69" s="19"/>
      <c r="H69" s="19"/>
      <c r="I69" s="19"/>
      <c r="R69" s="10"/>
      <c r="S69" s="10"/>
      <c r="T69" s="10"/>
      <c r="U69" s="10"/>
      <c r="V69" s="10"/>
    </row>
    <row r="70" spans="1:22">
      <c r="A70" s="109" t="s">
        <v>1064</v>
      </c>
      <c r="B70" s="109" t="s">
        <v>1065</v>
      </c>
      <c r="C70" s="118" t="s">
        <v>1668</v>
      </c>
      <c r="D70" s="219">
        <v>94</v>
      </c>
      <c r="E70" s="19"/>
      <c r="F70" s="19"/>
      <c r="G70" s="19"/>
      <c r="H70" s="19"/>
      <c r="I70" s="19"/>
      <c r="R70" s="10"/>
      <c r="S70" s="10"/>
      <c r="T70" s="10"/>
      <c r="U70" s="10"/>
      <c r="V70" s="10"/>
    </row>
    <row r="71" spans="1:22">
      <c r="A71" s="109" t="s">
        <v>1667</v>
      </c>
      <c r="B71" s="109" t="s">
        <v>1656</v>
      </c>
      <c r="C71" s="118" t="s">
        <v>1681</v>
      </c>
      <c r="D71" s="219">
        <v>140</v>
      </c>
      <c r="E71" s="19"/>
      <c r="F71" s="19"/>
      <c r="G71" s="19"/>
      <c r="H71" s="19"/>
      <c r="I71" s="19"/>
      <c r="R71" s="10"/>
      <c r="S71" s="10"/>
      <c r="T71" s="10"/>
      <c r="U71" s="10"/>
      <c r="V71" s="10"/>
    </row>
    <row r="72" spans="1:22">
      <c r="A72" s="63"/>
      <c r="B72" s="64"/>
      <c r="C72" s="65"/>
      <c r="D72" s="218"/>
      <c r="E72" s="19"/>
      <c r="F72" s="19"/>
      <c r="G72" s="19"/>
      <c r="H72" s="19"/>
      <c r="I72" s="19"/>
      <c r="N72" s="10"/>
      <c r="O72" s="10"/>
      <c r="P72" s="10"/>
      <c r="Q72" s="10"/>
      <c r="R72" s="10"/>
      <c r="S72" s="10"/>
      <c r="T72" s="10"/>
      <c r="U72" s="10"/>
      <c r="V72" s="10"/>
    </row>
    <row r="73" spans="1:22">
      <c r="A73" s="59" t="s">
        <v>1066</v>
      </c>
      <c r="B73" s="60"/>
      <c r="C73" s="62"/>
      <c r="D73" s="217"/>
      <c r="E73" s="19"/>
      <c r="F73" s="19"/>
      <c r="G73" s="19"/>
      <c r="H73" s="19"/>
      <c r="I73" s="19"/>
    </row>
    <row r="74" spans="1:22">
      <c r="A74" s="109" t="s">
        <v>1641</v>
      </c>
      <c r="B74" s="105" t="s">
        <v>1685</v>
      </c>
      <c r="C74" s="111" t="s">
        <v>1684</v>
      </c>
      <c r="D74" s="219">
        <v>29</v>
      </c>
      <c r="E74" s="19"/>
      <c r="F74" s="19"/>
      <c r="G74" s="19"/>
      <c r="H74" s="19"/>
      <c r="I74" s="19"/>
    </row>
    <row r="75" spans="1:22" ht="25.5">
      <c r="A75" s="109" t="s">
        <v>1639</v>
      </c>
      <c r="B75" s="105" t="s">
        <v>1067</v>
      </c>
      <c r="C75" s="111" t="s">
        <v>1068</v>
      </c>
      <c r="D75" s="219">
        <v>28</v>
      </c>
      <c r="E75" s="19"/>
      <c r="F75" s="19"/>
      <c r="G75" s="19"/>
      <c r="H75" s="19"/>
      <c r="I75" s="19"/>
      <c r="N75" s="10"/>
      <c r="O75" s="10"/>
      <c r="P75" s="10"/>
      <c r="Q75" s="10"/>
      <c r="R75" s="10"/>
      <c r="S75" s="10"/>
      <c r="T75" s="10"/>
      <c r="U75" s="10"/>
      <c r="V75" s="10"/>
    </row>
    <row r="76" spans="1:22">
      <c r="A76" s="109" t="s">
        <v>1640</v>
      </c>
      <c r="B76" s="105" t="s">
        <v>1702</v>
      </c>
      <c r="C76" s="111" t="s">
        <v>1686</v>
      </c>
      <c r="D76" s="219">
        <v>24</v>
      </c>
      <c r="E76" s="19"/>
      <c r="F76" s="19"/>
      <c r="G76" s="19"/>
      <c r="H76" s="19"/>
      <c r="I76" s="19"/>
      <c r="N76" s="10"/>
      <c r="O76" s="10"/>
      <c r="P76" s="10"/>
      <c r="Q76" s="10"/>
      <c r="R76" s="10"/>
      <c r="S76" s="10"/>
      <c r="T76" s="10"/>
      <c r="U76" s="10"/>
      <c r="V76" s="10"/>
    </row>
    <row r="77" spans="1:22" ht="25.5">
      <c r="A77" s="109" t="s">
        <v>1637</v>
      </c>
      <c r="B77" s="105" t="s">
        <v>1069</v>
      </c>
      <c r="C77" s="111" t="s">
        <v>1070</v>
      </c>
      <c r="D77" s="219">
        <v>23</v>
      </c>
      <c r="E77" s="19"/>
      <c r="F77" s="19"/>
      <c r="G77" s="19"/>
      <c r="H77" s="19"/>
      <c r="I77" s="19"/>
      <c r="N77" s="10"/>
      <c r="O77" s="10"/>
      <c r="P77" s="10"/>
      <c r="Q77" s="10"/>
      <c r="R77" s="10"/>
      <c r="S77" s="10"/>
      <c r="T77" s="10"/>
      <c r="U77" s="10"/>
      <c r="V77" s="10"/>
    </row>
    <row r="78" spans="1:22">
      <c r="A78" s="109" t="s">
        <v>1689</v>
      </c>
      <c r="B78" s="105" t="s">
        <v>1703</v>
      </c>
      <c r="C78" s="111" t="s">
        <v>1688</v>
      </c>
      <c r="D78" s="219">
        <v>23</v>
      </c>
      <c r="E78" s="19"/>
      <c r="F78" s="19"/>
      <c r="G78" s="19"/>
      <c r="H78" s="19"/>
      <c r="I78" s="19"/>
      <c r="N78" s="10"/>
      <c r="O78" s="10"/>
      <c r="P78" s="10"/>
      <c r="Q78" s="10"/>
      <c r="R78" s="10"/>
      <c r="S78" s="10"/>
      <c r="T78" s="10"/>
      <c r="U78" s="10"/>
      <c r="V78" s="10"/>
    </row>
    <row r="79" spans="1:22" ht="25.5">
      <c r="A79" s="109" t="s">
        <v>1638</v>
      </c>
      <c r="B79" s="105" t="s">
        <v>1703</v>
      </c>
      <c r="C79" s="111" t="s">
        <v>1687</v>
      </c>
      <c r="D79" s="219">
        <v>23</v>
      </c>
      <c r="E79" s="19"/>
      <c r="F79" s="19"/>
      <c r="G79" s="19"/>
      <c r="H79" s="19"/>
      <c r="I79" s="19"/>
      <c r="N79" s="10"/>
      <c r="O79" s="10"/>
      <c r="P79" s="10"/>
      <c r="Q79" s="10"/>
      <c r="R79" s="10"/>
      <c r="S79" s="10"/>
      <c r="T79" s="10"/>
      <c r="U79" s="10"/>
      <c r="V79" s="10"/>
    </row>
    <row r="80" spans="1:22">
      <c r="A80" s="63"/>
      <c r="B80" s="64"/>
      <c r="C80" s="66"/>
      <c r="D80" s="218"/>
      <c r="E80" s="19"/>
      <c r="F80" s="19"/>
      <c r="G80" s="19"/>
      <c r="H80" s="19"/>
      <c r="I80" s="19"/>
      <c r="N80" s="10"/>
      <c r="O80" s="10"/>
      <c r="P80" s="10"/>
      <c r="Q80" s="10"/>
      <c r="R80" s="10"/>
      <c r="S80" s="10"/>
      <c r="T80" s="10"/>
      <c r="U80" s="10"/>
      <c r="V80" s="10"/>
    </row>
    <row r="81" spans="1:22">
      <c r="A81" s="59" t="s">
        <v>1071</v>
      </c>
      <c r="B81" s="60"/>
      <c r="C81" s="62"/>
      <c r="D81" s="217"/>
      <c r="E81" s="19"/>
      <c r="F81" s="19"/>
      <c r="G81" s="19"/>
      <c r="H81" s="19"/>
      <c r="I81" s="19"/>
      <c r="N81" s="10"/>
      <c r="O81" s="10"/>
      <c r="P81" s="10"/>
      <c r="Q81" s="10"/>
      <c r="R81" s="10"/>
      <c r="S81" s="10"/>
      <c r="T81" s="10"/>
      <c r="U81" s="10"/>
      <c r="V81" s="10"/>
    </row>
    <row r="82" spans="1:22">
      <c r="A82" s="63" t="s">
        <v>1072</v>
      </c>
      <c r="B82" s="64" t="s">
        <v>1073</v>
      </c>
      <c r="C82" s="66" t="s">
        <v>1074</v>
      </c>
      <c r="D82" s="218">
        <v>19</v>
      </c>
      <c r="E82" s="19"/>
      <c r="F82" s="19"/>
      <c r="G82" s="19"/>
      <c r="H82" s="19"/>
      <c r="I82" s="19"/>
      <c r="N82" s="10"/>
      <c r="O82" s="10"/>
      <c r="P82" s="10"/>
      <c r="Q82" s="10"/>
      <c r="R82" s="10"/>
      <c r="S82" s="10"/>
      <c r="T82" s="10"/>
      <c r="U82" s="10"/>
      <c r="V82" s="10"/>
    </row>
    <row r="83" spans="1:22" ht="25.5">
      <c r="A83" s="63" t="s">
        <v>1075</v>
      </c>
      <c r="B83" s="64" t="s">
        <v>1076</v>
      </c>
      <c r="C83" s="66" t="s">
        <v>1077</v>
      </c>
      <c r="D83" s="218">
        <v>19</v>
      </c>
      <c r="E83" s="19"/>
      <c r="F83" s="19"/>
      <c r="G83" s="19"/>
      <c r="H83" s="19"/>
      <c r="I83" s="19"/>
      <c r="N83" s="10"/>
      <c r="O83" s="10"/>
      <c r="P83" s="10"/>
      <c r="Q83" s="10"/>
      <c r="R83" s="10"/>
      <c r="S83" s="10"/>
      <c r="T83" s="10"/>
      <c r="U83" s="10"/>
      <c r="V83" s="10"/>
    </row>
    <row r="84" spans="1:22">
      <c r="A84" s="63" t="s">
        <v>1078</v>
      </c>
      <c r="B84" s="64" t="s">
        <v>1079</v>
      </c>
      <c r="C84" s="66" t="s">
        <v>1080</v>
      </c>
      <c r="D84" s="218">
        <v>14</v>
      </c>
      <c r="E84" s="19"/>
      <c r="F84" s="19"/>
      <c r="G84" s="19"/>
      <c r="H84" s="19"/>
      <c r="I84" s="19"/>
      <c r="N84" s="10"/>
      <c r="O84" s="10"/>
      <c r="P84" s="10"/>
      <c r="Q84" s="10"/>
      <c r="R84" s="10"/>
      <c r="S84" s="10"/>
      <c r="T84" s="10"/>
      <c r="U84" s="10"/>
      <c r="V84" s="10"/>
    </row>
    <row r="85" spans="1:22" ht="25.5">
      <c r="A85" s="63" t="s">
        <v>1081</v>
      </c>
      <c r="B85" s="64" t="s">
        <v>1082</v>
      </c>
      <c r="C85" s="66" t="s">
        <v>1083</v>
      </c>
      <c r="D85" s="218">
        <v>8</v>
      </c>
      <c r="E85" s="19"/>
      <c r="F85" s="19"/>
      <c r="G85" s="19"/>
      <c r="H85" s="19"/>
      <c r="I85" s="19"/>
      <c r="N85" s="10"/>
      <c r="O85" s="10"/>
      <c r="P85" s="10"/>
      <c r="Q85" s="10"/>
      <c r="R85" s="10"/>
      <c r="S85" s="10"/>
      <c r="T85" s="10"/>
      <c r="U85" s="10"/>
      <c r="V85" s="10"/>
    </row>
    <row r="86" spans="1:22">
      <c r="A86" s="63"/>
      <c r="B86" s="64"/>
      <c r="C86" s="66"/>
      <c r="D86" s="218"/>
      <c r="E86" s="19"/>
      <c r="F86" s="19"/>
      <c r="G86" s="19"/>
      <c r="H86" s="19"/>
      <c r="I86" s="19"/>
      <c r="N86" s="10"/>
      <c r="O86" s="10"/>
      <c r="P86" s="10"/>
      <c r="Q86" s="10"/>
      <c r="R86" s="10"/>
      <c r="S86" s="10"/>
      <c r="T86" s="10"/>
      <c r="U86" s="10"/>
      <c r="V86" s="10"/>
    </row>
    <row r="87" spans="1:22">
      <c r="A87" s="59" t="s">
        <v>1084</v>
      </c>
      <c r="B87" s="60"/>
      <c r="C87" s="62"/>
      <c r="D87" s="217"/>
      <c r="E87" s="19"/>
      <c r="F87" s="19"/>
      <c r="G87" s="19"/>
      <c r="H87" s="19"/>
      <c r="I87" s="19"/>
      <c r="N87" s="10"/>
      <c r="O87" s="10"/>
      <c r="P87" s="10"/>
      <c r="Q87" s="10"/>
      <c r="R87" s="10"/>
      <c r="S87" s="10"/>
      <c r="T87" s="10"/>
      <c r="U87" s="10"/>
      <c r="V87" s="10"/>
    </row>
    <row r="88" spans="1:22">
      <c r="A88" s="208" t="s">
        <v>1085</v>
      </c>
      <c r="B88" s="209" t="s">
        <v>1086</v>
      </c>
      <c r="C88" s="107" t="s">
        <v>1087</v>
      </c>
      <c r="D88" s="221">
        <v>681</v>
      </c>
      <c r="E88" s="19"/>
      <c r="F88" s="19"/>
      <c r="G88" s="19"/>
      <c r="H88" s="19"/>
      <c r="I88" s="19"/>
      <c r="N88" s="10"/>
      <c r="O88" s="10"/>
      <c r="P88" s="10"/>
      <c r="Q88" s="10"/>
      <c r="R88" s="10"/>
      <c r="S88" s="10"/>
      <c r="T88" s="10"/>
      <c r="U88" s="10"/>
      <c r="V88" s="10"/>
    </row>
    <row r="89" spans="1:22">
      <c r="A89" s="113" t="s">
        <v>1088</v>
      </c>
      <c r="B89" s="172" t="s">
        <v>1089</v>
      </c>
      <c r="C89" s="107" t="s">
        <v>1090</v>
      </c>
      <c r="D89" s="220">
        <v>265</v>
      </c>
      <c r="E89" s="19"/>
      <c r="F89" s="19"/>
      <c r="G89" s="19"/>
      <c r="H89" s="19"/>
      <c r="I89" s="19"/>
      <c r="N89" s="10"/>
      <c r="O89" s="10"/>
      <c r="P89" s="10"/>
      <c r="Q89" s="10"/>
      <c r="R89" s="10"/>
      <c r="S89" s="10"/>
      <c r="T89" s="10"/>
      <c r="U89" s="10"/>
      <c r="V89" s="10"/>
    </row>
    <row r="90" spans="1:22">
      <c r="A90" s="202" t="s">
        <v>1091</v>
      </c>
      <c r="B90" s="203" t="s">
        <v>1092</v>
      </c>
      <c r="C90" s="107" t="s">
        <v>1093</v>
      </c>
      <c r="D90" s="220">
        <v>198</v>
      </c>
      <c r="E90" s="19"/>
      <c r="F90" s="19"/>
      <c r="G90" s="19"/>
      <c r="H90" s="19"/>
      <c r="I90" s="19"/>
      <c r="N90" s="10"/>
      <c r="O90" s="10"/>
      <c r="P90" s="10"/>
      <c r="Q90" s="10"/>
      <c r="R90" s="10"/>
      <c r="S90" s="10"/>
      <c r="T90" s="10"/>
      <c r="U90" s="10"/>
      <c r="V90" s="10"/>
    </row>
    <row r="91" spans="1:22">
      <c r="A91" s="202" t="s">
        <v>1094</v>
      </c>
      <c r="B91" s="203" t="s">
        <v>1095</v>
      </c>
      <c r="C91" s="107" t="s">
        <v>1096</v>
      </c>
      <c r="D91" s="220">
        <v>161</v>
      </c>
      <c r="E91" s="19"/>
      <c r="F91" s="19"/>
      <c r="G91" s="19"/>
      <c r="H91" s="19"/>
      <c r="I91" s="19"/>
      <c r="N91" s="10"/>
      <c r="O91" s="10"/>
      <c r="P91" s="10"/>
      <c r="Q91" s="10"/>
      <c r="R91" s="10"/>
      <c r="S91" s="10"/>
      <c r="T91" s="10"/>
      <c r="U91" s="10"/>
      <c r="V91" s="10"/>
    </row>
    <row r="92" spans="1:22">
      <c r="A92" s="202" t="s">
        <v>1097</v>
      </c>
      <c r="B92" s="203" t="s">
        <v>1098</v>
      </c>
      <c r="C92" s="107" t="s">
        <v>1099</v>
      </c>
      <c r="D92" s="220">
        <v>160</v>
      </c>
      <c r="E92" s="19"/>
      <c r="F92" s="19"/>
      <c r="G92" s="19"/>
      <c r="H92" s="19"/>
      <c r="I92" s="19"/>
      <c r="N92" s="10"/>
      <c r="O92" s="10"/>
      <c r="P92" s="10"/>
      <c r="Q92" s="10"/>
      <c r="R92" s="10"/>
      <c r="S92" s="10"/>
      <c r="T92" s="10"/>
      <c r="U92" s="10"/>
      <c r="V92" s="10"/>
    </row>
    <row r="93" spans="1:22">
      <c r="A93" s="202" t="s">
        <v>1100</v>
      </c>
      <c r="B93" s="203" t="s">
        <v>1101</v>
      </c>
      <c r="C93" s="107" t="s">
        <v>1102</v>
      </c>
      <c r="D93" s="220">
        <v>147</v>
      </c>
      <c r="E93" s="19"/>
      <c r="F93" s="19"/>
      <c r="G93" s="19"/>
      <c r="H93" s="19"/>
      <c r="I93" s="19"/>
      <c r="N93" s="10"/>
      <c r="O93" s="10"/>
      <c r="P93" s="10"/>
      <c r="Q93" s="10"/>
      <c r="R93" s="10"/>
      <c r="S93" s="10"/>
      <c r="T93" s="10"/>
      <c r="U93" s="10"/>
      <c r="V93" s="10"/>
    </row>
    <row r="94" spans="1:22">
      <c r="A94" s="202" t="s">
        <v>1103</v>
      </c>
      <c r="B94" s="203" t="s">
        <v>1104</v>
      </c>
      <c r="C94" s="107" t="s">
        <v>1105</v>
      </c>
      <c r="D94" s="220">
        <v>128</v>
      </c>
      <c r="E94" s="19"/>
      <c r="F94" s="19"/>
      <c r="G94" s="19"/>
      <c r="H94" s="19"/>
      <c r="I94" s="19"/>
      <c r="N94" s="10"/>
      <c r="O94" s="10"/>
      <c r="P94" s="10"/>
      <c r="Q94" s="10"/>
      <c r="R94" s="10"/>
      <c r="S94" s="10"/>
      <c r="T94" s="10"/>
      <c r="U94" s="10"/>
      <c r="V94" s="10"/>
    </row>
    <row r="95" spans="1:22" ht="25.5">
      <c r="A95" s="202" t="s">
        <v>1106</v>
      </c>
      <c r="B95" s="203" t="s">
        <v>1107</v>
      </c>
      <c r="C95" s="107" t="s">
        <v>1108</v>
      </c>
      <c r="D95" s="220">
        <v>125</v>
      </c>
      <c r="E95" s="19"/>
      <c r="F95" s="19"/>
      <c r="G95" s="19"/>
      <c r="H95" s="19"/>
      <c r="I95" s="19"/>
      <c r="N95" s="10"/>
      <c r="O95" s="10"/>
      <c r="P95" s="10"/>
      <c r="Q95" s="10"/>
      <c r="R95" s="10"/>
      <c r="S95" s="10"/>
      <c r="T95" s="10"/>
      <c r="U95" s="10"/>
      <c r="V95" s="10"/>
    </row>
    <row r="96" spans="1:22">
      <c r="A96" s="83"/>
      <c r="B96" s="83"/>
      <c r="C96" s="66"/>
      <c r="D96" s="218"/>
      <c r="E96" s="19"/>
      <c r="F96" s="19"/>
      <c r="G96" s="19"/>
      <c r="H96" s="19"/>
      <c r="I96" s="19"/>
      <c r="N96" s="10"/>
      <c r="O96" s="10"/>
      <c r="P96" s="10"/>
      <c r="Q96" s="10"/>
      <c r="R96" s="10"/>
      <c r="S96" s="10"/>
      <c r="T96" s="10"/>
      <c r="U96" s="10"/>
      <c r="V96" s="10"/>
    </row>
    <row r="97" spans="1:22" ht="25.5">
      <c r="A97" s="59" t="s">
        <v>1109</v>
      </c>
      <c r="B97" s="60"/>
      <c r="C97" s="62"/>
      <c r="D97" s="217"/>
      <c r="E97" s="19"/>
      <c r="F97" s="19"/>
      <c r="G97" s="19"/>
      <c r="H97" s="19"/>
      <c r="I97" s="19"/>
      <c r="N97" s="10"/>
      <c r="O97" s="10"/>
      <c r="P97" s="10"/>
      <c r="Q97" s="10"/>
      <c r="R97" s="10"/>
      <c r="S97" s="10"/>
      <c r="T97" s="10"/>
      <c r="U97" s="10"/>
      <c r="V97" s="10"/>
    </row>
    <row r="98" spans="1:22" ht="25.5">
      <c r="A98" s="199" t="s">
        <v>1110</v>
      </c>
      <c r="B98" s="200" t="s">
        <v>1111</v>
      </c>
      <c r="C98" s="201" t="s">
        <v>1112</v>
      </c>
      <c r="D98" s="220">
        <v>336</v>
      </c>
      <c r="E98" s="19"/>
      <c r="F98" s="19"/>
      <c r="G98" s="19"/>
      <c r="H98" s="19"/>
      <c r="I98" s="19"/>
      <c r="N98" s="10"/>
      <c r="O98" s="10"/>
      <c r="P98" s="10"/>
      <c r="Q98" s="10"/>
      <c r="R98" s="10"/>
      <c r="S98" s="10"/>
      <c r="T98" s="10"/>
      <c r="U98" s="10"/>
      <c r="V98" s="10"/>
    </row>
    <row r="99" spans="1:22" ht="25.5">
      <c r="A99" s="210" t="s">
        <v>1113</v>
      </c>
      <c r="B99" s="172" t="s">
        <v>1114</v>
      </c>
      <c r="C99" s="211" t="s">
        <v>1115</v>
      </c>
      <c r="D99" s="220">
        <v>163</v>
      </c>
      <c r="E99" s="19"/>
      <c r="F99" s="19"/>
      <c r="G99" s="19"/>
      <c r="H99" s="19"/>
      <c r="I99" s="19"/>
      <c r="N99" s="10"/>
      <c r="O99" s="10"/>
      <c r="P99" s="10"/>
      <c r="Q99" s="10"/>
      <c r="R99" s="10"/>
      <c r="S99" s="10"/>
      <c r="T99" s="10"/>
      <c r="U99" s="10"/>
      <c r="V99" s="10"/>
    </row>
    <row r="100" spans="1:22" ht="25.5">
      <c r="A100" s="199" t="s">
        <v>1116</v>
      </c>
      <c r="B100" s="200" t="s">
        <v>1117</v>
      </c>
      <c r="C100" s="201" t="s">
        <v>1118</v>
      </c>
      <c r="D100" s="220">
        <v>259</v>
      </c>
      <c r="E100" s="19"/>
      <c r="F100" s="19"/>
      <c r="G100" s="19"/>
      <c r="H100" s="19"/>
      <c r="I100" s="19"/>
      <c r="N100" s="10"/>
      <c r="O100" s="10"/>
      <c r="P100" s="10"/>
      <c r="Q100" s="10"/>
      <c r="R100" s="10"/>
      <c r="S100" s="10"/>
      <c r="T100" s="10"/>
      <c r="U100" s="10"/>
      <c r="V100" s="10"/>
    </row>
    <row r="101" spans="1:22" ht="25.5">
      <c r="A101" s="199" t="s">
        <v>1119</v>
      </c>
      <c r="B101" s="200" t="s">
        <v>1120</v>
      </c>
      <c r="C101" s="201" t="s">
        <v>1121</v>
      </c>
      <c r="D101" s="220">
        <v>192</v>
      </c>
      <c r="E101" s="19"/>
      <c r="F101" s="19"/>
      <c r="G101" s="19"/>
      <c r="H101" s="19"/>
      <c r="I101" s="19"/>
      <c r="N101" s="10"/>
      <c r="O101" s="10"/>
      <c r="P101" s="10"/>
      <c r="Q101" s="10"/>
      <c r="R101" s="10"/>
      <c r="S101" s="10"/>
      <c r="T101" s="10"/>
      <c r="U101" s="10"/>
      <c r="V101" s="10"/>
    </row>
    <row r="102" spans="1:22" ht="25.5">
      <c r="A102" s="199" t="s">
        <v>1122</v>
      </c>
      <c r="B102" s="200" t="s">
        <v>1123</v>
      </c>
      <c r="C102" s="201" t="s">
        <v>1124</v>
      </c>
      <c r="D102" s="220">
        <v>138</v>
      </c>
      <c r="E102" s="19"/>
      <c r="F102" s="19"/>
      <c r="G102" s="19"/>
      <c r="H102" s="19"/>
      <c r="I102" s="19"/>
      <c r="N102" s="10"/>
      <c r="O102" s="10"/>
      <c r="P102" s="10"/>
      <c r="Q102" s="10"/>
      <c r="R102" s="10"/>
      <c r="S102" s="10"/>
      <c r="T102" s="10"/>
      <c r="U102" s="10"/>
      <c r="V102" s="10"/>
    </row>
    <row r="103" spans="1:22">
      <c r="A103" s="172" t="s">
        <v>1125</v>
      </c>
      <c r="B103" s="172" t="s">
        <v>1126</v>
      </c>
      <c r="C103" s="111" t="s">
        <v>1127</v>
      </c>
      <c r="D103" s="220">
        <v>116</v>
      </c>
      <c r="E103" s="19"/>
      <c r="F103" s="19"/>
      <c r="G103" s="19"/>
      <c r="H103" s="19"/>
      <c r="I103" s="19"/>
      <c r="N103" s="10"/>
      <c r="O103" s="10"/>
      <c r="P103" s="10"/>
      <c r="Q103" s="10"/>
      <c r="R103" s="10"/>
      <c r="S103" s="10"/>
      <c r="T103" s="10"/>
      <c r="U103" s="10"/>
      <c r="V103" s="10"/>
    </row>
    <row r="104" spans="1:22">
      <c r="A104" s="172" t="s">
        <v>1128</v>
      </c>
      <c r="B104" s="172" t="s">
        <v>1129</v>
      </c>
      <c r="C104" s="111" t="s">
        <v>1130</v>
      </c>
      <c r="D104" s="220">
        <v>104</v>
      </c>
      <c r="E104" s="19"/>
      <c r="F104" s="19"/>
      <c r="G104" s="19"/>
      <c r="H104" s="19"/>
      <c r="I104" s="19"/>
      <c r="N104" s="10"/>
      <c r="O104" s="10"/>
      <c r="P104" s="10"/>
      <c r="Q104" s="10"/>
      <c r="R104" s="10"/>
      <c r="S104" s="10"/>
      <c r="T104" s="10"/>
      <c r="U104" s="10"/>
      <c r="V104" s="10"/>
    </row>
    <row r="105" spans="1:22">
      <c r="A105" s="72"/>
      <c r="B105" s="72"/>
      <c r="C105" s="66"/>
      <c r="D105" s="218"/>
      <c r="E105" s="19"/>
      <c r="F105" s="19"/>
      <c r="G105" s="19"/>
      <c r="H105" s="19"/>
      <c r="I105" s="19"/>
      <c r="N105" s="10"/>
      <c r="O105" s="10"/>
      <c r="P105" s="10"/>
      <c r="Q105" s="10"/>
      <c r="R105" s="10"/>
      <c r="S105" s="10"/>
      <c r="T105" s="10"/>
      <c r="U105" s="10"/>
      <c r="V105" s="10"/>
    </row>
    <row r="106" spans="1:22">
      <c r="A106" s="59" t="s">
        <v>1131</v>
      </c>
      <c r="B106" s="60"/>
      <c r="C106" s="62"/>
      <c r="D106" s="217"/>
      <c r="E106" s="19"/>
      <c r="F106" s="19"/>
      <c r="G106" s="19"/>
      <c r="H106" s="19"/>
      <c r="I106" s="19"/>
      <c r="N106" s="10"/>
      <c r="O106" s="10"/>
      <c r="P106" s="10"/>
      <c r="Q106" s="10"/>
      <c r="R106" s="10"/>
      <c r="S106" s="10"/>
      <c r="T106" s="10"/>
      <c r="U106" s="10"/>
      <c r="V106" s="10"/>
    </row>
    <row r="107" spans="1:22">
      <c r="A107" s="72" t="s">
        <v>1132</v>
      </c>
      <c r="B107" s="72" t="s">
        <v>1133</v>
      </c>
      <c r="C107" s="66" t="s">
        <v>1134</v>
      </c>
      <c r="D107" s="218">
        <v>19</v>
      </c>
      <c r="E107" s="19"/>
      <c r="F107" s="19"/>
      <c r="G107" s="19"/>
      <c r="H107" s="19"/>
      <c r="I107" s="19"/>
      <c r="N107" s="10"/>
      <c r="O107" s="10"/>
      <c r="P107" s="10"/>
      <c r="Q107" s="10"/>
      <c r="R107" s="10"/>
      <c r="S107" s="10"/>
      <c r="T107" s="10"/>
      <c r="U107" s="10"/>
      <c r="V107" s="10"/>
    </row>
    <row r="108" spans="1:22">
      <c r="A108" s="172" t="s">
        <v>1135</v>
      </c>
      <c r="B108" s="172" t="s">
        <v>1136</v>
      </c>
      <c r="C108" s="111" t="s">
        <v>1137</v>
      </c>
      <c r="D108" s="219">
        <v>19</v>
      </c>
      <c r="E108" s="19"/>
      <c r="F108" s="19"/>
      <c r="G108" s="19"/>
      <c r="H108" s="19"/>
      <c r="I108" s="19"/>
      <c r="N108" s="10"/>
      <c r="O108" s="10"/>
      <c r="P108" s="10"/>
      <c r="Q108" s="10"/>
      <c r="R108" s="10"/>
      <c r="S108" s="10"/>
      <c r="T108" s="10"/>
      <c r="U108" s="10"/>
      <c r="V108" s="10"/>
    </row>
    <row r="109" spans="1:22">
      <c r="A109" s="172" t="s">
        <v>1138</v>
      </c>
      <c r="B109" s="172" t="s">
        <v>1139</v>
      </c>
      <c r="C109" s="111" t="s">
        <v>1140</v>
      </c>
      <c r="D109" s="219">
        <v>19</v>
      </c>
      <c r="E109" s="19"/>
      <c r="F109" s="19"/>
      <c r="G109" s="19"/>
      <c r="H109" s="19"/>
      <c r="I109" s="19"/>
      <c r="N109" s="10"/>
      <c r="O109" s="10"/>
      <c r="P109" s="10"/>
      <c r="Q109" s="10"/>
      <c r="R109" s="10"/>
      <c r="S109" s="10"/>
      <c r="T109" s="10"/>
      <c r="U109" s="10"/>
      <c r="V109" s="10"/>
    </row>
    <row r="110" spans="1:22">
      <c r="A110" s="72" t="s">
        <v>1141</v>
      </c>
      <c r="B110" s="72" t="s">
        <v>1142</v>
      </c>
      <c r="C110" s="66" t="s">
        <v>1143</v>
      </c>
      <c r="D110" s="218">
        <v>19</v>
      </c>
      <c r="E110" s="19"/>
      <c r="F110" s="19"/>
      <c r="G110" s="19"/>
      <c r="H110" s="19"/>
      <c r="I110" s="19"/>
      <c r="N110" s="10"/>
      <c r="O110" s="10"/>
      <c r="P110" s="10"/>
      <c r="Q110" s="10"/>
      <c r="R110" s="10"/>
      <c r="S110" s="10"/>
      <c r="T110" s="10"/>
      <c r="U110" s="10"/>
      <c r="V110" s="10"/>
    </row>
    <row r="111" spans="1:22">
      <c r="A111" s="72" t="s">
        <v>1144</v>
      </c>
      <c r="B111" s="72" t="s">
        <v>1145</v>
      </c>
      <c r="C111" s="70" t="s">
        <v>1146</v>
      </c>
      <c r="D111" s="218">
        <v>18</v>
      </c>
      <c r="E111" s="19"/>
      <c r="F111" s="19"/>
      <c r="G111" s="19"/>
      <c r="H111" s="19"/>
      <c r="I111" s="19"/>
      <c r="N111" s="10"/>
      <c r="O111" s="10"/>
      <c r="P111" s="10"/>
      <c r="Q111" s="10"/>
      <c r="R111" s="10"/>
      <c r="S111" s="10"/>
      <c r="T111" s="10"/>
      <c r="U111" s="10"/>
      <c r="V111" s="10"/>
    </row>
    <row r="112" spans="1:22">
      <c r="A112" s="72" t="s">
        <v>1147</v>
      </c>
      <c r="B112" s="72" t="s">
        <v>1148</v>
      </c>
      <c r="C112" s="111" t="s">
        <v>1149</v>
      </c>
      <c r="D112" s="218">
        <v>145</v>
      </c>
      <c r="E112" s="19"/>
      <c r="F112" s="19"/>
      <c r="G112" s="19"/>
      <c r="H112" s="19"/>
      <c r="I112" s="19"/>
      <c r="N112" s="10"/>
      <c r="O112" s="10"/>
      <c r="P112" s="10"/>
      <c r="Q112" s="10"/>
      <c r="R112" s="10"/>
      <c r="S112" s="10"/>
      <c r="T112" s="10"/>
      <c r="U112" s="10"/>
      <c r="V112" s="10"/>
    </row>
    <row r="113" spans="1:22">
      <c r="A113" s="72" t="s">
        <v>1150</v>
      </c>
      <c r="B113" s="72" t="s">
        <v>1151</v>
      </c>
      <c r="C113" s="66" t="s">
        <v>1152</v>
      </c>
      <c r="D113" s="218">
        <v>22</v>
      </c>
      <c r="E113" s="19"/>
      <c r="F113" s="19"/>
      <c r="G113" s="19"/>
      <c r="H113" s="19"/>
      <c r="I113" s="19"/>
      <c r="N113" s="10"/>
      <c r="O113" s="10"/>
      <c r="P113" s="10"/>
      <c r="Q113" s="10"/>
      <c r="R113" s="10"/>
      <c r="S113" s="10"/>
      <c r="T113" s="10"/>
      <c r="U113" s="10"/>
      <c r="V113" s="10"/>
    </row>
    <row r="114" spans="1:22">
      <c r="A114" s="63"/>
      <c r="B114" s="64"/>
      <c r="C114" s="66"/>
      <c r="D114" s="218"/>
      <c r="E114" s="19"/>
      <c r="F114" s="19"/>
      <c r="G114" s="19"/>
      <c r="H114" s="19"/>
      <c r="I114" s="19"/>
      <c r="N114" s="10"/>
      <c r="O114" s="10"/>
      <c r="P114" s="10"/>
      <c r="Q114" s="10"/>
      <c r="R114" s="10"/>
      <c r="S114" s="10"/>
      <c r="T114" s="10"/>
      <c r="U114" s="10"/>
      <c r="V114" s="10"/>
    </row>
    <row r="115" spans="1:22">
      <c r="A115" s="59" t="s">
        <v>1153</v>
      </c>
      <c r="B115" s="60"/>
      <c r="C115" s="62"/>
      <c r="D115" s="217"/>
      <c r="E115" s="19"/>
      <c r="F115" s="19"/>
      <c r="G115" s="19"/>
      <c r="H115" s="19"/>
      <c r="I115" s="19"/>
      <c r="N115" s="10"/>
      <c r="O115" s="10"/>
      <c r="P115" s="10"/>
      <c r="Q115" s="10"/>
      <c r="R115" s="10"/>
      <c r="S115" s="10"/>
      <c r="T115" s="10"/>
      <c r="U115" s="10"/>
      <c r="V115" s="10"/>
    </row>
    <row r="116" spans="1:22">
      <c r="A116" s="109" t="s">
        <v>1154</v>
      </c>
      <c r="B116" s="105" t="s">
        <v>1155</v>
      </c>
      <c r="C116" s="111" t="s">
        <v>1156</v>
      </c>
      <c r="D116" s="219">
        <v>156</v>
      </c>
      <c r="E116" s="19"/>
      <c r="F116" s="19"/>
      <c r="G116" s="19"/>
      <c r="H116" s="19"/>
      <c r="I116" s="19"/>
      <c r="N116" s="10"/>
      <c r="O116" s="10"/>
      <c r="P116" s="10"/>
      <c r="Q116" s="10"/>
      <c r="R116" s="10"/>
      <c r="S116" s="10"/>
      <c r="T116" s="10"/>
      <c r="U116" s="10"/>
      <c r="V116" s="10"/>
    </row>
    <row r="117" spans="1:22">
      <c r="A117" s="63" t="s">
        <v>1157</v>
      </c>
      <c r="B117" s="64" t="s">
        <v>1158</v>
      </c>
      <c r="C117" s="66" t="s">
        <v>1159</v>
      </c>
      <c r="D117" s="218">
        <v>92</v>
      </c>
      <c r="E117" s="19"/>
      <c r="F117" s="19"/>
      <c r="G117" s="19"/>
      <c r="H117" s="19"/>
      <c r="I117" s="19"/>
      <c r="N117" s="10"/>
      <c r="O117" s="10"/>
      <c r="P117" s="10"/>
      <c r="Q117" s="10"/>
      <c r="R117" s="10"/>
      <c r="S117" s="10"/>
      <c r="T117" s="10"/>
      <c r="U117" s="10"/>
      <c r="V117" s="10"/>
    </row>
    <row r="118" spans="1:22">
      <c r="A118" s="109" t="s">
        <v>1160</v>
      </c>
      <c r="B118" s="105" t="s">
        <v>1161</v>
      </c>
      <c r="C118" s="111" t="s">
        <v>1162</v>
      </c>
      <c r="D118" s="219">
        <v>87</v>
      </c>
      <c r="E118" s="19"/>
      <c r="F118" s="19"/>
      <c r="G118" s="19"/>
      <c r="H118" s="19"/>
      <c r="I118" s="19"/>
      <c r="N118" s="10"/>
      <c r="O118" s="10"/>
      <c r="P118" s="10"/>
      <c r="Q118" s="10"/>
      <c r="R118" s="10"/>
      <c r="S118" s="10"/>
      <c r="T118" s="10"/>
      <c r="U118" s="10"/>
      <c r="V118" s="10"/>
    </row>
    <row r="119" spans="1:22">
      <c r="A119" s="63" t="s">
        <v>1163</v>
      </c>
      <c r="B119" s="64" t="s">
        <v>1164</v>
      </c>
      <c r="C119" s="66" t="s">
        <v>1165</v>
      </c>
      <c r="D119" s="218">
        <v>149</v>
      </c>
      <c r="E119" s="19"/>
      <c r="F119" s="19"/>
      <c r="G119" s="19"/>
      <c r="H119" s="19"/>
      <c r="I119" s="19"/>
      <c r="N119" s="10"/>
      <c r="O119" s="10"/>
      <c r="P119" s="10"/>
      <c r="Q119" s="10"/>
      <c r="R119" s="10"/>
      <c r="S119" s="10"/>
      <c r="T119" s="10"/>
      <c r="U119" s="10"/>
      <c r="V119" s="10"/>
    </row>
    <row r="120" spans="1:22">
      <c r="A120" s="63" t="s">
        <v>1166</v>
      </c>
      <c r="B120" s="64" t="s">
        <v>1167</v>
      </c>
      <c r="C120" s="74" t="s">
        <v>1168</v>
      </c>
      <c r="D120" s="218">
        <v>74</v>
      </c>
      <c r="E120" s="19"/>
      <c r="F120" s="19"/>
      <c r="G120" s="19"/>
      <c r="H120" s="19"/>
      <c r="I120" s="19"/>
      <c r="N120" s="10"/>
      <c r="O120" s="10"/>
      <c r="P120" s="10"/>
      <c r="Q120" s="10"/>
      <c r="R120" s="10"/>
      <c r="S120" s="10"/>
      <c r="T120" s="10"/>
      <c r="U120" s="10"/>
      <c r="V120" s="10"/>
    </row>
    <row r="121" spans="1:22">
      <c r="A121" s="63"/>
      <c r="B121" s="64"/>
      <c r="C121" s="74"/>
      <c r="D121" s="218"/>
      <c r="E121" s="19"/>
      <c r="F121" s="19"/>
      <c r="G121" s="19"/>
      <c r="H121" s="19"/>
      <c r="I121" s="19"/>
      <c r="N121" s="10"/>
      <c r="O121" s="10"/>
      <c r="P121" s="10"/>
      <c r="Q121" s="10"/>
      <c r="R121" s="10"/>
      <c r="S121" s="10"/>
      <c r="T121" s="10"/>
      <c r="U121" s="10"/>
      <c r="V121" s="10"/>
    </row>
    <row r="122" spans="1:22">
      <c r="A122" s="59" t="s">
        <v>1169</v>
      </c>
      <c r="B122" s="60"/>
      <c r="C122" s="62"/>
      <c r="D122" s="217"/>
      <c r="E122" s="19"/>
      <c r="F122" s="19"/>
      <c r="G122" s="19"/>
      <c r="H122" s="19"/>
      <c r="I122" s="19"/>
      <c r="N122" s="10"/>
      <c r="O122" s="10"/>
      <c r="P122" s="10"/>
      <c r="Q122" s="10"/>
      <c r="R122" s="10"/>
      <c r="S122" s="10"/>
      <c r="T122" s="10"/>
      <c r="U122" s="10"/>
      <c r="V122" s="10"/>
    </row>
    <row r="123" spans="1:22">
      <c r="A123" s="63" t="s">
        <v>1170</v>
      </c>
      <c r="B123" s="64" t="s">
        <v>1171</v>
      </c>
      <c r="C123" s="66" t="s">
        <v>1172</v>
      </c>
      <c r="D123" s="218">
        <v>12</v>
      </c>
      <c r="E123" s="19"/>
      <c r="F123" s="19"/>
      <c r="G123" s="19"/>
      <c r="H123" s="19"/>
      <c r="I123" s="19"/>
      <c r="N123" s="10"/>
      <c r="O123" s="10"/>
      <c r="P123" s="10"/>
      <c r="Q123" s="10"/>
      <c r="R123" s="10"/>
      <c r="S123" s="10"/>
      <c r="T123" s="10"/>
      <c r="U123" s="10"/>
      <c r="V123" s="10"/>
    </row>
    <row r="124" spans="1:22">
      <c r="A124" s="63" t="s">
        <v>1173</v>
      </c>
      <c r="B124" s="64" t="s">
        <v>1174</v>
      </c>
      <c r="C124" s="66" t="s">
        <v>1175</v>
      </c>
      <c r="D124" s="218">
        <v>8</v>
      </c>
      <c r="E124" s="19"/>
      <c r="F124" s="19"/>
      <c r="G124" s="19"/>
      <c r="H124" s="19"/>
      <c r="I124" s="19"/>
      <c r="N124" s="10"/>
      <c r="O124" s="10"/>
      <c r="P124" s="10"/>
      <c r="Q124" s="10"/>
      <c r="R124" s="10"/>
      <c r="S124" s="10"/>
      <c r="T124" s="10"/>
      <c r="U124" s="10"/>
      <c r="V124" s="10"/>
    </row>
    <row r="125" spans="1:22">
      <c r="A125" s="72" t="s">
        <v>1176</v>
      </c>
      <c r="B125" s="72" t="s">
        <v>1177</v>
      </c>
      <c r="C125" s="70" t="s">
        <v>1178</v>
      </c>
      <c r="D125" s="218">
        <v>16</v>
      </c>
      <c r="E125" s="19"/>
      <c r="F125" s="19"/>
      <c r="G125" s="19"/>
      <c r="H125" s="19"/>
      <c r="I125" s="19"/>
      <c r="N125" s="10"/>
      <c r="O125" s="10"/>
      <c r="P125" s="10"/>
      <c r="Q125" s="10"/>
      <c r="R125" s="10"/>
      <c r="S125" s="10"/>
      <c r="T125" s="10"/>
      <c r="U125" s="10"/>
      <c r="V125" s="10"/>
    </row>
    <row r="126" spans="1:22">
      <c r="A126" s="72" t="s">
        <v>1179</v>
      </c>
      <c r="B126" s="72" t="s">
        <v>1180</v>
      </c>
      <c r="C126" s="70" t="s">
        <v>1181</v>
      </c>
      <c r="D126" s="218">
        <v>12</v>
      </c>
      <c r="E126" s="19"/>
      <c r="F126" s="19"/>
      <c r="G126" s="19"/>
      <c r="H126" s="19"/>
      <c r="I126" s="19"/>
      <c r="N126" s="10"/>
      <c r="O126" s="10"/>
      <c r="P126" s="10"/>
      <c r="Q126" s="10"/>
      <c r="R126" s="10"/>
      <c r="S126" s="10"/>
      <c r="T126" s="10"/>
      <c r="U126" s="10"/>
      <c r="V126" s="10"/>
    </row>
    <row r="127" spans="1:22">
      <c r="A127" s="72" t="s">
        <v>1182</v>
      </c>
      <c r="B127" s="72" t="s">
        <v>1183</v>
      </c>
      <c r="C127" s="70" t="s">
        <v>1184</v>
      </c>
      <c r="D127" s="218">
        <v>8</v>
      </c>
      <c r="E127" s="19"/>
      <c r="F127" s="19"/>
      <c r="G127" s="19"/>
      <c r="H127" s="19"/>
      <c r="I127" s="19"/>
      <c r="N127" s="10"/>
      <c r="O127" s="10"/>
      <c r="P127" s="10"/>
      <c r="Q127" s="10"/>
      <c r="R127" s="10"/>
      <c r="S127" s="10"/>
      <c r="T127" s="10"/>
      <c r="U127" s="10"/>
      <c r="V127" s="10"/>
    </row>
    <row r="128" spans="1:22">
      <c r="A128" s="63" t="s">
        <v>1185</v>
      </c>
      <c r="B128" s="64" t="s">
        <v>1186</v>
      </c>
      <c r="C128" s="65" t="s">
        <v>1187</v>
      </c>
      <c r="D128" s="218">
        <v>14</v>
      </c>
      <c r="E128" s="19"/>
      <c r="F128" s="19"/>
      <c r="G128" s="19"/>
      <c r="H128" s="19"/>
      <c r="I128" s="19"/>
      <c r="N128" s="10"/>
      <c r="O128" s="10"/>
      <c r="P128" s="10"/>
      <c r="Q128" s="10"/>
      <c r="R128" s="10"/>
      <c r="S128" s="10"/>
      <c r="T128" s="10"/>
      <c r="U128" s="10"/>
      <c r="V128" s="10"/>
    </row>
    <row r="129" spans="1:22">
      <c r="A129" s="63" t="s">
        <v>1188</v>
      </c>
      <c r="B129" s="64" t="s">
        <v>1189</v>
      </c>
      <c r="C129" s="65" t="s">
        <v>1190</v>
      </c>
      <c r="D129" s="218">
        <v>13</v>
      </c>
      <c r="E129" s="19"/>
      <c r="F129" s="19"/>
      <c r="G129" s="19"/>
      <c r="H129" s="19"/>
      <c r="I129" s="19"/>
      <c r="N129" s="10"/>
      <c r="O129" s="10"/>
      <c r="P129" s="10"/>
      <c r="Q129" s="10"/>
      <c r="R129" s="10"/>
      <c r="S129" s="10"/>
      <c r="T129" s="10"/>
      <c r="U129" s="10"/>
      <c r="V129" s="10"/>
    </row>
    <row r="130" spans="1:22">
      <c r="A130" s="63" t="s">
        <v>1191</v>
      </c>
      <c r="B130" s="64" t="s">
        <v>1192</v>
      </c>
      <c r="C130" s="65" t="s">
        <v>1193</v>
      </c>
      <c r="D130" s="218">
        <v>11</v>
      </c>
      <c r="E130" s="19"/>
      <c r="F130" s="19"/>
      <c r="G130" s="19"/>
      <c r="H130" s="19"/>
      <c r="I130" s="19"/>
      <c r="N130" s="10"/>
      <c r="O130" s="10"/>
      <c r="P130" s="10"/>
      <c r="Q130" s="10"/>
      <c r="R130" s="10"/>
      <c r="S130" s="10"/>
      <c r="T130" s="10"/>
      <c r="U130" s="10"/>
      <c r="V130" s="10"/>
    </row>
    <row r="131" spans="1:22">
      <c r="A131" s="63" t="s">
        <v>1194</v>
      </c>
      <c r="B131" s="64" t="s">
        <v>1195</v>
      </c>
      <c r="C131" s="65" t="s">
        <v>1196</v>
      </c>
      <c r="D131" s="218">
        <v>34</v>
      </c>
      <c r="E131" s="19"/>
      <c r="F131" s="19"/>
      <c r="G131" s="19"/>
      <c r="H131" s="19"/>
      <c r="I131" s="19"/>
      <c r="N131" s="10"/>
      <c r="O131" s="10"/>
      <c r="P131" s="10"/>
      <c r="Q131" s="10"/>
      <c r="R131" s="10"/>
      <c r="S131" s="10"/>
      <c r="T131" s="10"/>
      <c r="U131" s="10"/>
      <c r="V131" s="10"/>
    </row>
    <row r="132" spans="1:22">
      <c r="A132" s="63" t="s">
        <v>1197</v>
      </c>
      <c r="B132" s="64" t="s">
        <v>1198</v>
      </c>
      <c r="C132" s="65" t="s">
        <v>1199</v>
      </c>
      <c r="D132" s="218">
        <v>9</v>
      </c>
      <c r="E132" s="19"/>
      <c r="F132" s="19"/>
      <c r="G132" s="19"/>
      <c r="H132" s="19"/>
      <c r="I132" s="19"/>
      <c r="N132" s="10"/>
      <c r="O132" s="10"/>
      <c r="P132" s="10"/>
      <c r="Q132" s="10"/>
      <c r="R132" s="10"/>
      <c r="S132" s="10"/>
      <c r="T132" s="10"/>
      <c r="U132" s="10"/>
      <c r="V132" s="10"/>
    </row>
    <row r="133" spans="1:22">
      <c r="A133" s="63" t="s">
        <v>1200</v>
      </c>
      <c r="B133" s="64" t="s">
        <v>1201</v>
      </c>
      <c r="C133" s="65" t="s">
        <v>1202</v>
      </c>
      <c r="D133" s="218">
        <v>8</v>
      </c>
      <c r="E133" s="19"/>
      <c r="F133" s="19"/>
      <c r="G133" s="19"/>
      <c r="H133" s="19"/>
      <c r="I133" s="19"/>
      <c r="N133" s="10"/>
      <c r="O133" s="10"/>
      <c r="P133" s="10"/>
      <c r="Q133" s="10"/>
      <c r="R133" s="10"/>
      <c r="S133" s="10"/>
      <c r="T133" s="10"/>
      <c r="U133" s="10"/>
      <c r="V133" s="10"/>
    </row>
    <row r="134" spans="1:22">
      <c r="A134" s="63" t="s">
        <v>1203</v>
      </c>
      <c r="B134" s="64" t="s">
        <v>1204</v>
      </c>
      <c r="C134" s="65" t="s">
        <v>1205</v>
      </c>
      <c r="D134" s="218">
        <v>6</v>
      </c>
      <c r="E134" s="19"/>
      <c r="F134" s="19"/>
      <c r="G134" s="19"/>
      <c r="H134" s="19"/>
      <c r="I134" s="19"/>
      <c r="N134" s="10"/>
      <c r="O134" s="10"/>
      <c r="P134" s="10"/>
      <c r="Q134" s="10"/>
      <c r="R134" s="10"/>
      <c r="S134" s="10"/>
      <c r="T134" s="10"/>
      <c r="U134" s="10"/>
      <c r="V134" s="10"/>
    </row>
    <row r="135" spans="1:22">
      <c r="A135" s="63" t="s">
        <v>1206</v>
      </c>
      <c r="B135" s="64" t="s">
        <v>1207</v>
      </c>
      <c r="C135" s="65" t="s">
        <v>1208</v>
      </c>
      <c r="D135" s="218">
        <v>6</v>
      </c>
      <c r="E135" s="19"/>
      <c r="F135" s="19"/>
      <c r="G135" s="19"/>
      <c r="H135" s="19"/>
      <c r="I135" s="19"/>
      <c r="N135" s="10"/>
      <c r="O135" s="10"/>
      <c r="P135" s="10"/>
      <c r="Q135" s="10"/>
      <c r="R135" s="10"/>
      <c r="S135" s="10"/>
      <c r="T135" s="10"/>
      <c r="U135" s="10"/>
      <c r="V135" s="10"/>
    </row>
    <row r="136" spans="1:22">
      <c r="A136" s="63" t="s">
        <v>1209</v>
      </c>
      <c r="B136" s="64" t="s">
        <v>1210</v>
      </c>
      <c r="C136" s="65" t="s">
        <v>1211</v>
      </c>
      <c r="D136" s="218">
        <v>18</v>
      </c>
      <c r="E136" s="19"/>
      <c r="F136" s="19"/>
      <c r="G136" s="19"/>
      <c r="H136" s="19"/>
      <c r="I136" s="19"/>
      <c r="N136" s="10"/>
      <c r="O136" s="10"/>
      <c r="P136" s="10"/>
      <c r="Q136" s="10"/>
      <c r="R136" s="10"/>
      <c r="S136" s="10"/>
      <c r="T136" s="10"/>
      <c r="U136" s="10"/>
      <c r="V136" s="10"/>
    </row>
    <row r="137" spans="1:22">
      <c r="A137" s="72" t="s">
        <v>1212</v>
      </c>
      <c r="B137" s="72" t="s">
        <v>1213</v>
      </c>
      <c r="C137" s="70" t="s">
        <v>1214</v>
      </c>
      <c r="D137" s="218">
        <v>36</v>
      </c>
      <c r="E137" s="19"/>
      <c r="F137" s="19"/>
      <c r="G137" s="19"/>
      <c r="H137" s="19"/>
      <c r="I137" s="19"/>
      <c r="N137" s="10"/>
      <c r="O137" s="10"/>
      <c r="P137" s="10"/>
      <c r="Q137" s="10"/>
      <c r="R137" s="10"/>
      <c r="S137" s="10"/>
      <c r="T137" s="10"/>
      <c r="U137" s="10"/>
      <c r="V137" s="10"/>
    </row>
    <row r="138" spans="1:22">
      <c r="A138" s="72" t="s">
        <v>1215</v>
      </c>
      <c r="B138" s="72" t="s">
        <v>1216</v>
      </c>
      <c r="C138" s="70" t="s">
        <v>1217</v>
      </c>
      <c r="D138" s="218">
        <v>14</v>
      </c>
      <c r="E138" s="19"/>
      <c r="F138" s="19"/>
      <c r="G138" s="19"/>
      <c r="H138" s="19"/>
      <c r="I138" s="19"/>
      <c r="N138" s="10"/>
      <c r="O138" s="10"/>
      <c r="P138" s="10"/>
      <c r="Q138" s="10"/>
      <c r="R138" s="10"/>
      <c r="S138" s="10"/>
      <c r="T138" s="10"/>
      <c r="U138" s="10"/>
      <c r="V138" s="10"/>
    </row>
    <row r="139" spans="1:22">
      <c r="A139" s="72" t="s">
        <v>1218</v>
      </c>
      <c r="B139" s="72" t="s">
        <v>1219</v>
      </c>
      <c r="C139" s="70" t="s">
        <v>1220</v>
      </c>
      <c r="D139" s="218">
        <v>12</v>
      </c>
      <c r="E139" s="19"/>
      <c r="F139" s="19"/>
      <c r="G139" s="19"/>
      <c r="H139" s="19"/>
      <c r="I139" s="19"/>
      <c r="N139" s="10"/>
      <c r="O139" s="10"/>
      <c r="P139" s="10"/>
      <c r="Q139" s="10"/>
      <c r="R139" s="10"/>
      <c r="S139" s="10"/>
      <c r="T139" s="10"/>
      <c r="U139" s="10"/>
      <c r="V139" s="10"/>
    </row>
    <row r="140" spans="1:22">
      <c r="A140" s="72"/>
      <c r="B140" s="72"/>
      <c r="C140" s="84"/>
      <c r="D140" s="218"/>
      <c r="E140" s="19"/>
      <c r="F140" s="19"/>
      <c r="G140" s="19"/>
      <c r="H140" s="19"/>
      <c r="I140" s="19"/>
      <c r="N140" s="10"/>
      <c r="O140" s="10"/>
      <c r="P140" s="10"/>
      <c r="Q140" s="10"/>
      <c r="R140" s="10"/>
      <c r="S140" s="10"/>
      <c r="T140" s="10"/>
      <c r="U140" s="10"/>
      <c r="V140" s="10"/>
    </row>
    <row r="141" spans="1:22">
      <c r="A141" s="59" t="s">
        <v>1221</v>
      </c>
      <c r="B141" s="60"/>
      <c r="C141" s="62"/>
      <c r="D141" s="217"/>
      <c r="E141" s="19"/>
      <c r="F141" s="19"/>
      <c r="G141" s="19"/>
      <c r="H141" s="19"/>
      <c r="I141" s="19"/>
      <c r="N141" s="10"/>
      <c r="O141" s="10"/>
      <c r="P141" s="10"/>
      <c r="Q141" s="10"/>
      <c r="R141" s="10"/>
      <c r="S141" s="10"/>
      <c r="T141" s="10"/>
      <c r="U141" s="10"/>
      <c r="V141" s="10"/>
    </row>
    <row r="142" spans="1:22">
      <c r="A142" s="109" t="s">
        <v>1222</v>
      </c>
      <c r="B142" s="105" t="s">
        <v>1223</v>
      </c>
      <c r="C142" s="111" t="s">
        <v>1224</v>
      </c>
      <c r="D142" s="219">
        <v>12</v>
      </c>
      <c r="E142" s="19"/>
      <c r="F142" s="19"/>
      <c r="G142" s="19"/>
      <c r="H142" s="19"/>
      <c r="I142" s="19"/>
      <c r="N142" s="10"/>
      <c r="O142" s="10"/>
      <c r="P142" s="10"/>
      <c r="Q142" s="10"/>
      <c r="R142" s="10"/>
      <c r="S142" s="10"/>
      <c r="T142" s="10"/>
      <c r="U142" s="10"/>
      <c r="V142" s="10"/>
    </row>
    <row r="143" spans="1:22">
      <c r="A143" s="109" t="s">
        <v>1225</v>
      </c>
      <c r="B143" s="105" t="s">
        <v>1226</v>
      </c>
      <c r="C143" s="111" t="s">
        <v>1227</v>
      </c>
      <c r="D143" s="219">
        <v>9</v>
      </c>
      <c r="E143" s="19"/>
      <c r="F143" s="19"/>
      <c r="G143" s="19"/>
      <c r="H143" s="19"/>
      <c r="I143" s="19"/>
      <c r="N143" s="10"/>
      <c r="O143" s="10"/>
      <c r="P143" s="10"/>
      <c r="Q143" s="10"/>
      <c r="R143" s="10"/>
      <c r="S143" s="10"/>
      <c r="T143" s="10"/>
      <c r="U143" s="10"/>
      <c r="V143" s="10"/>
    </row>
    <row r="144" spans="1:22">
      <c r="A144" s="63"/>
      <c r="B144" s="64"/>
      <c r="C144" s="66"/>
      <c r="D144" s="218"/>
      <c r="E144" s="19"/>
      <c r="F144" s="19"/>
      <c r="G144" s="19"/>
      <c r="H144" s="19"/>
      <c r="I144" s="19"/>
      <c r="N144" s="10"/>
      <c r="O144" s="10"/>
      <c r="P144" s="10"/>
      <c r="Q144" s="10"/>
      <c r="R144" s="10"/>
      <c r="S144" s="10"/>
      <c r="T144" s="10"/>
      <c r="U144" s="10"/>
      <c r="V144" s="10"/>
    </row>
    <row r="145" spans="1:22">
      <c r="A145" s="59" t="s">
        <v>1228</v>
      </c>
      <c r="B145" s="60"/>
      <c r="C145" s="62"/>
      <c r="D145" s="217"/>
      <c r="E145" s="19"/>
      <c r="F145" s="19"/>
      <c r="G145" s="19"/>
      <c r="H145" s="19"/>
      <c r="I145" s="19"/>
      <c r="N145" s="10"/>
      <c r="O145" s="10"/>
      <c r="P145" s="10"/>
      <c r="Q145" s="10"/>
      <c r="R145" s="10"/>
      <c r="S145" s="10"/>
      <c r="T145" s="10"/>
      <c r="U145" s="10"/>
      <c r="V145" s="10"/>
    </row>
    <row r="146" spans="1:22">
      <c r="A146" s="63" t="s">
        <v>1229</v>
      </c>
      <c r="B146" s="64" t="s">
        <v>1230</v>
      </c>
      <c r="C146" s="111" t="s">
        <v>1231</v>
      </c>
      <c r="D146" s="218">
        <v>16</v>
      </c>
      <c r="E146" s="19"/>
      <c r="F146" s="19"/>
      <c r="G146" s="19"/>
      <c r="H146" s="19"/>
      <c r="I146" s="19"/>
      <c r="N146" s="10"/>
      <c r="O146" s="10"/>
      <c r="P146" s="10"/>
      <c r="Q146" s="10"/>
      <c r="R146" s="10"/>
      <c r="S146" s="10"/>
      <c r="T146" s="10"/>
      <c r="U146" s="10"/>
      <c r="V146" s="10"/>
    </row>
    <row r="147" spans="1:22">
      <c r="A147" s="63" t="s">
        <v>1232</v>
      </c>
      <c r="B147" s="64" t="s">
        <v>1233</v>
      </c>
      <c r="C147" s="118" t="s">
        <v>1234</v>
      </c>
      <c r="D147" s="218">
        <v>24</v>
      </c>
      <c r="E147" s="19"/>
      <c r="F147" s="19"/>
      <c r="G147" s="19"/>
      <c r="H147" s="19"/>
      <c r="I147" s="19"/>
      <c r="N147" s="10"/>
      <c r="O147" s="10"/>
      <c r="P147" s="10"/>
      <c r="Q147" s="10"/>
      <c r="R147" s="10"/>
      <c r="S147" s="10"/>
      <c r="T147" s="10"/>
      <c r="U147" s="10"/>
      <c r="V147" s="10"/>
    </row>
    <row r="148" spans="1:22">
      <c r="A148" s="63" t="s">
        <v>1235</v>
      </c>
      <c r="B148" s="64" t="s">
        <v>1236</v>
      </c>
      <c r="C148" s="118" t="s">
        <v>1237</v>
      </c>
      <c r="D148" s="218">
        <v>12</v>
      </c>
      <c r="E148" s="19"/>
      <c r="F148" s="19"/>
      <c r="G148" s="19"/>
      <c r="H148" s="19"/>
      <c r="I148" s="19"/>
      <c r="N148" s="10"/>
      <c r="O148" s="10"/>
      <c r="P148" s="10"/>
      <c r="Q148" s="10"/>
      <c r="R148" s="10"/>
      <c r="S148" s="10"/>
      <c r="T148" s="10"/>
      <c r="U148" s="10"/>
      <c r="V148" s="10"/>
    </row>
    <row r="149" spans="1:22">
      <c r="A149" s="63" t="s">
        <v>1238</v>
      </c>
      <c r="B149" s="64" t="s">
        <v>1239</v>
      </c>
      <c r="C149" s="118" t="s">
        <v>1240</v>
      </c>
      <c r="D149" s="218">
        <v>26</v>
      </c>
      <c r="E149" s="19"/>
      <c r="F149" s="19"/>
      <c r="G149" s="19"/>
      <c r="H149" s="19"/>
      <c r="I149" s="19"/>
      <c r="N149" s="10"/>
      <c r="O149" s="10"/>
      <c r="P149" s="10"/>
      <c r="Q149" s="10"/>
      <c r="R149" s="10"/>
      <c r="S149" s="10"/>
      <c r="T149" s="10"/>
      <c r="U149" s="10"/>
      <c r="V149" s="10"/>
    </row>
    <row r="150" spans="1:22">
      <c r="A150" s="63" t="s">
        <v>1241</v>
      </c>
      <c r="B150" s="64" t="s">
        <v>1233</v>
      </c>
      <c r="C150" s="118" t="s">
        <v>1242</v>
      </c>
      <c r="D150" s="218">
        <v>12</v>
      </c>
      <c r="E150" s="19"/>
      <c r="F150" s="19"/>
      <c r="G150" s="19"/>
      <c r="H150" s="19"/>
      <c r="I150" s="19"/>
      <c r="N150" s="10"/>
      <c r="O150" s="10"/>
      <c r="P150" s="10"/>
      <c r="Q150" s="10"/>
      <c r="R150" s="10"/>
      <c r="S150" s="10"/>
      <c r="T150" s="10"/>
      <c r="U150" s="10"/>
      <c r="V150" s="10"/>
    </row>
    <row r="151" spans="1:22">
      <c r="A151" s="63"/>
      <c r="B151" s="64"/>
      <c r="C151" s="74"/>
      <c r="D151" s="218"/>
      <c r="E151" s="19"/>
      <c r="F151" s="19"/>
      <c r="G151" s="19"/>
      <c r="H151" s="19"/>
      <c r="I151" s="19"/>
      <c r="N151" s="10"/>
      <c r="O151" s="10"/>
      <c r="P151" s="10"/>
      <c r="Q151" s="10"/>
      <c r="R151" s="10"/>
      <c r="S151" s="10"/>
      <c r="T151" s="10"/>
      <c r="U151" s="10"/>
      <c r="V151" s="10"/>
    </row>
    <row r="152" spans="1:22">
      <c r="A152" s="59" t="s">
        <v>1243</v>
      </c>
      <c r="B152" s="60"/>
      <c r="C152" s="62"/>
      <c r="D152" s="217"/>
      <c r="E152" s="19"/>
      <c r="F152" s="19"/>
      <c r="G152" s="19"/>
      <c r="H152" s="19"/>
      <c r="I152" s="19"/>
      <c r="N152" s="10"/>
      <c r="O152" s="10"/>
      <c r="P152" s="10"/>
      <c r="Q152" s="10"/>
      <c r="R152" s="10"/>
      <c r="S152" s="10"/>
      <c r="T152" s="10"/>
      <c r="U152" s="10"/>
      <c r="V152" s="10"/>
    </row>
    <row r="153" spans="1:22">
      <c r="A153" s="63" t="s">
        <v>1244</v>
      </c>
      <c r="B153" s="64" t="s">
        <v>1245</v>
      </c>
      <c r="C153" s="118" t="s">
        <v>1246</v>
      </c>
      <c r="D153" s="218">
        <v>8</v>
      </c>
      <c r="E153" s="19"/>
      <c r="F153" s="19"/>
      <c r="G153" s="19"/>
      <c r="H153" s="19"/>
      <c r="I153" s="19"/>
      <c r="N153" s="10"/>
      <c r="O153" s="10"/>
      <c r="P153" s="10"/>
      <c r="Q153" s="10"/>
      <c r="R153" s="10"/>
      <c r="S153" s="10"/>
      <c r="T153" s="10"/>
      <c r="U153" s="10"/>
      <c r="V153" s="10"/>
    </row>
    <row r="154" spans="1:22">
      <c r="A154" s="63" t="s">
        <v>1247</v>
      </c>
      <c r="B154" s="64" t="s">
        <v>1248</v>
      </c>
      <c r="C154" s="118" t="s">
        <v>1249</v>
      </c>
      <c r="D154" s="218">
        <v>167</v>
      </c>
      <c r="E154" s="19"/>
      <c r="F154" s="19"/>
      <c r="G154" s="19"/>
      <c r="H154" s="19"/>
      <c r="I154" s="19"/>
      <c r="N154" s="10"/>
      <c r="O154" s="10"/>
      <c r="P154" s="10"/>
      <c r="Q154" s="10"/>
      <c r="R154" s="10"/>
      <c r="S154" s="10"/>
      <c r="T154" s="10"/>
      <c r="U154" s="10"/>
      <c r="V154" s="10"/>
    </row>
    <row r="155" spans="1:22">
      <c r="A155" s="63" t="s">
        <v>1250</v>
      </c>
      <c r="B155" s="64" t="s">
        <v>1251</v>
      </c>
      <c r="C155" s="118" t="s">
        <v>1252</v>
      </c>
      <c r="D155" s="218">
        <v>9</v>
      </c>
      <c r="E155" s="19"/>
      <c r="F155" s="19"/>
      <c r="G155" s="19"/>
      <c r="H155" s="19"/>
      <c r="I155" s="19"/>
      <c r="N155" s="10"/>
      <c r="O155" s="10"/>
      <c r="P155" s="10"/>
      <c r="Q155" s="10"/>
      <c r="R155" s="10"/>
      <c r="S155" s="10"/>
      <c r="T155" s="10"/>
      <c r="U155" s="10"/>
      <c r="V155" s="10"/>
    </row>
    <row r="156" spans="1:22">
      <c r="A156" s="63" t="s">
        <v>1253</v>
      </c>
      <c r="B156" s="64" t="s">
        <v>1251</v>
      </c>
      <c r="C156" s="118" t="s">
        <v>1254</v>
      </c>
      <c r="D156" s="218">
        <v>147</v>
      </c>
      <c r="E156" s="19"/>
      <c r="F156" s="19"/>
      <c r="G156" s="19"/>
      <c r="H156" s="19"/>
      <c r="I156" s="19"/>
      <c r="N156" s="10"/>
      <c r="O156" s="10"/>
      <c r="P156" s="10"/>
      <c r="Q156" s="10"/>
      <c r="R156" s="10"/>
      <c r="S156" s="10"/>
      <c r="T156" s="10"/>
      <c r="U156" s="10"/>
      <c r="V156" s="10"/>
    </row>
    <row r="157" spans="1:22">
      <c r="A157" s="109" t="s">
        <v>1255</v>
      </c>
      <c r="B157" s="105" t="s">
        <v>1256</v>
      </c>
      <c r="C157" s="118" t="s">
        <v>1257</v>
      </c>
      <c r="D157" s="219">
        <v>34</v>
      </c>
      <c r="E157" s="19"/>
      <c r="F157" s="19"/>
      <c r="G157" s="19"/>
      <c r="H157" s="19"/>
      <c r="I157" s="19"/>
      <c r="N157" s="10"/>
      <c r="O157" s="10"/>
      <c r="P157" s="10"/>
      <c r="Q157" s="10"/>
      <c r="R157" s="10"/>
      <c r="S157" s="10"/>
      <c r="T157" s="10"/>
      <c r="U157" s="10"/>
      <c r="V157" s="10"/>
    </row>
    <row r="158" spans="1:22">
      <c r="A158" s="63" t="s">
        <v>1258</v>
      </c>
      <c r="B158" s="64" t="s">
        <v>1259</v>
      </c>
      <c r="C158" s="118" t="s">
        <v>1260</v>
      </c>
      <c r="D158" s="218">
        <v>12</v>
      </c>
      <c r="E158" s="19"/>
      <c r="F158" s="19"/>
      <c r="G158" s="19"/>
      <c r="H158" s="19"/>
      <c r="I158" s="19"/>
      <c r="N158" s="10"/>
      <c r="O158" s="10"/>
      <c r="P158" s="10"/>
      <c r="Q158" s="10"/>
      <c r="R158" s="10"/>
      <c r="S158" s="10"/>
      <c r="T158" s="10"/>
      <c r="U158" s="10"/>
      <c r="V158" s="10"/>
    </row>
    <row r="159" spans="1:22">
      <c r="A159" s="63" t="s">
        <v>1261</v>
      </c>
      <c r="B159" s="64" t="s">
        <v>1262</v>
      </c>
      <c r="C159" s="118" t="s">
        <v>1263</v>
      </c>
      <c r="D159" s="218">
        <v>15</v>
      </c>
      <c r="E159" s="19"/>
      <c r="F159" s="19"/>
      <c r="G159" s="19"/>
      <c r="H159" s="19"/>
      <c r="I159" s="19"/>
      <c r="N159" s="10"/>
      <c r="O159" s="10"/>
      <c r="P159" s="10"/>
      <c r="Q159" s="10"/>
      <c r="R159" s="10"/>
      <c r="S159" s="10"/>
      <c r="T159" s="10"/>
      <c r="U159" s="10"/>
      <c r="V159" s="10"/>
    </row>
    <row r="160" spans="1:22">
      <c r="A160" s="63" t="s">
        <v>1264</v>
      </c>
      <c r="B160" s="64" t="s">
        <v>1265</v>
      </c>
      <c r="C160" s="118" t="s">
        <v>1266</v>
      </c>
      <c r="D160" s="218">
        <v>6</v>
      </c>
      <c r="E160" s="19"/>
      <c r="F160" s="19"/>
      <c r="G160" s="19"/>
      <c r="H160" s="19"/>
      <c r="I160" s="19"/>
      <c r="N160" s="47"/>
      <c r="O160" s="47"/>
      <c r="P160" s="51"/>
      <c r="Q160" s="51"/>
      <c r="R160" s="47"/>
      <c r="S160" s="47"/>
      <c r="T160" s="48"/>
    </row>
    <row r="161" spans="1:22">
      <c r="A161" s="63" t="s">
        <v>1267</v>
      </c>
      <c r="B161" s="64" t="s">
        <v>1268</v>
      </c>
      <c r="C161" s="118" t="s">
        <v>1269</v>
      </c>
      <c r="D161" s="218">
        <v>9</v>
      </c>
      <c r="E161" s="19"/>
      <c r="F161" s="19"/>
      <c r="G161" s="19"/>
      <c r="H161" s="19"/>
      <c r="I161" s="19"/>
      <c r="N161" s="49"/>
      <c r="O161" s="49"/>
      <c r="P161" s="52"/>
      <c r="Q161" s="52"/>
      <c r="R161" s="49"/>
      <c r="S161" s="49"/>
      <c r="T161" s="50"/>
    </row>
    <row r="162" spans="1:22">
      <c r="A162" s="63" t="s">
        <v>1270</v>
      </c>
      <c r="B162" s="64" t="s">
        <v>1271</v>
      </c>
      <c r="C162" s="215" t="s">
        <v>1272</v>
      </c>
      <c r="D162" s="218">
        <v>13</v>
      </c>
      <c r="E162" s="19"/>
      <c r="F162" s="19"/>
      <c r="G162" s="19"/>
      <c r="H162" s="19"/>
      <c r="I162" s="19"/>
      <c r="N162" s="10"/>
      <c r="O162" s="10"/>
      <c r="P162" s="10"/>
      <c r="Q162" s="10"/>
      <c r="R162" s="10"/>
      <c r="S162" s="10"/>
      <c r="T162" s="10"/>
    </row>
    <row r="163" spans="1:22">
      <c r="A163" s="63" t="s">
        <v>1273</v>
      </c>
      <c r="B163" s="64" t="s">
        <v>1274</v>
      </c>
      <c r="C163" s="118" t="s">
        <v>1275</v>
      </c>
      <c r="D163" s="218">
        <v>29</v>
      </c>
      <c r="E163" s="19"/>
      <c r="F163" s="19"/>
      <c r="G163" s="19"/>
      <c r="H163" s="19"/>
      <c r="I163" s="19"/>
      <c r="N163" s="10"/>
      <c r="O163" s="10"/>
      <c r="P163" s="10"/>
      <c r="Q163" s="10"/>
      <c r="R163" s="10"/>
      <c r="S163" s="10"/>
      <c r="T163" s="10"/>
    </row>
    <row r="164" spans="1:22">
      <c r="A164" s="109" t="s">
        <v>1276</v>
      </c>
      <c r="B164" s="105" t="s">
        <v>1277</v>
      </c>
      <c r="C164" s="118" t="s">
        <v>1278</v>
      </c>
      <c r="D164" s="219">
        <v>36</v>
      </c>
      <c r="E164" s="19"/>
      <c r="F164" s="19"/>
      <c r="G164" s="19"/>
      <c r="H164" s="19"/>
      <c r="I164" s="19"/>
      <c r="N164" s="10"/>
      <c r="O164" s="10"/>
      <c r="P164" s="10"/>
      <c r="Q164" s="10"/>
      <c r="R164" s="10"/>
      <c r="S164" s="10"/>
      <c r="T164" s="10"/>
    </row>
    <row r="165" spans="1:22">
      <c r="A165" s="63" t="s">
        <v>1279</v>
      </c>
      <c r="B165" s="64" t="s">
        <v>1280</v>
      </c>
      <c r="C165" s="118" t="s">
        <v>1281</v>
      </c>
      <c r="D165" s="218">
        <v>186</v>
      </c>
      <c r="E165" s="19"/>
      <c r="F165" s="19"/>
      <c r="G165" s="19"/>
      <c r="H165" s="19"/>
      <c r="I165" s="19"/>
      <c r="N165" s="10"/>
      <c r="O165" s="10"/>
      <c r="P165" s="10"/>
      <c r="Q165" s="10"/>
      <c r="R165" s="10"/>
      <c r="S165" s="10"/>
      <c r="T165" s="10"/>
    </row>
    <row r="166" spans="1:22">
      <c r="A166" s="63" t="s">
        <v>1282</v>
      </c>
      <c r="B166" s="64" t="s">
        <v>1283</v>
      </c>
      <c r="C166" s="118" t="s">
        <v>1284</v>
      </c>
      <c r="D166" s="218">
        <v>138</v>
      </c>
      <c r="E166" s="19"/>
      <c r="F166" s="19"/>
      <c r="G166" s="19"/>
      <c r="H166" s="19"/>
      <c r="I166" s="19"/>
      <c r="N166" s="10"/>
      <c r="O166" s="10"/>
      <c r="P166" s="10"/>
      <c r="Q166" s="10"/>
      <c r="R166" s="10"/>
      <c r="S166" s="10"/>
      <c r="T166" s="10"/>
      <c r="U166" s="10"/>
      <c r="V166" s="10"/>
    </row>
    <row r="167" spans="1:22">
      <c r="A167" s="63" t="s">
        <v>1285</v>
      </c>
      <c r="B167" s="63" t="s">
        <v>1286</v>
      </c>
      <c r="C167" s="118" t="s">
        <v>1287</v>
      </c>
      <c r="D167" s="218">
        <v>6</v>
      </c>
      <c r="E167" s="19"/>
      <c r="F167" s="19"/>
      <c r="G167" s="19"/>
      <c r="H167" s="19"/>
      <c r="I167" s="19"/>
      <c r="N167" s="10"/>
      <c r="O167" s="10"/>
      <c r="P167" s="10"/>
      <c r="Q167" s="10"/>
      <c r="R167" s="10"/>
      <c r="S167" s="10"/>
      <c r="T167" s="10"/>
      <c r="U167" s="10"/>
      <c r="V167" s="10"/>
    </row>
    <row r="168" spans="1:22">
      <c r="A168" s="63" t="s">
        <v>1288</v>
      </c>
      <c r="B168" s="63" t="s">
        <v>1289</v>
      </c>
      <c r="C168" s="118" t="s">
        <v>1290</v>
      </c>
      <c r="D168" s="218">
        <v>6</v>
      </c>
      <c r="E168" s="19"/>
      <c r="F168" s="19"/>
      <c r="G168" s="19"/>
      <c r="H168" s="19"/>
      <c r="I168" s="19"/>
      <c r="N168" s="10"/>
      <c r="O168" s="10"/>
      <c r="P168" s="10"/>
      <c r="Q168" s="10"/>
      <c r="R168" s="10"/>
      <c r="S168" s="10"/>
      <c r="T168" s="10"/>
      <c r="U168" s="10"/>
      <c r="V168" s="10"/>
    </row>
    <row r="169" spans="1:22" ht="25.5">
      <c r="A169" s="63" t="s">
        <v>1291</v>
      </c>
      <c r="B169" s="63" t="s">
        <v>1292</v>
      </c>
      <c r="C169" s="118" t="s">
        <v>1293</v>
      </c>
      <c r="D169" s="218">
        <v>8</v>
      </c>
      <c r="E169" s="19"/>
      <c r="F169" s="19"/>
      <c r="G169" s="19"/>
      <c r="H169" s="19"/>
      <c r="I169" s="19"/>
      <c r="N169" s="10"/>
      <c r="O169" s="10"/>
      <c r="P169" s="10"/>
      <c r="Q169" s="10"/>
      <c r="R169" s="10"/>
      <c r="S169" s="10"/>
      <c r="T169" s="10"/>
      <c r="U169" s="10"/>
      <c r="V169" s="10"/>
    </row>
    <row r="170" spans="1:22">
      <c r="A170" s="63" t="s">
        <v>1294</v>
      </c>
      <c r="B170" s="63" t="s">
        <v>1295</v>
      </c>
      <c r="C170" s="118" t="s">
        <v>1296</v>
      </c>
      <c r="D170" s="218">
        <v>8</v>
      </c>
      <c r="E170" s="19"/>
      <c r="F170" s="19"/>
      <c r="G170" s="19"/>
      <c r="H170" s="19"/>
      <c r="I170" s="19"/>
      <c r="N170" s="10"/>
      <c r="O170" s="10"/>
      <c r="P170" s="10"/>
      <c r="Q170" s="10"/>
      <c r="R170" s="10"/>
      <c r="S170" s="10"/>
      <c r="T170" s="10"/>
      <c r="U170" s="10"/>
      <c r="V170" s="10"/>
    </row>
    <row r="171" spans="1:22" ht="25.5">
      <c r="A171" s="63" t="s">
        <v>1297</v>
      </c>
      <c r="B171" s="63" t="s">
        <v>1298</v>
      </c>
      <c r="C171" s="118" t="s">
        <v>1299</v>
      </c>
      <c r="D171" s="218">
        <v>9</v>
      </c>
      <c r="E171" s="19"/>
      <c r="F171" s="19"/>
      <c r="G171" s="19"/>
      <c r="H171" s="19"/>
      <c r="I171" s="19"/>
      <c r="N171" s="10"/>
      <c r="O171" s="10"/>
      <c r="P171" s="10"/>
      <c r="Q171" s="10"/>
      <c r="R171" s="10"/>
      <c r="S171" s="10"/>
      <c r="T171" s="10"/>
      <c r="U171" s="10"/>
      <c r="V171" s="10"/>
    </row>
    <row r="172" spans="1:22" ht="14.25" customHeight="1">
      <c r="A172" s="63" t="s">
        <v>1300</v>
      </c>
      <c r="B172" s="63" t="s">
        <v>1301</v>
      </c>
      <c r="C172" s="118" t="s">
        <v>1302</v>
      </c>
      <c r="D172" s="218">
        <v>9</v>
      </c>
      <c r="E172" s="19"/>
      <c r="F172" s="19"/>
      <c r="G172" s="19"/>
      <c r="H172" s="19"/>
      <c r="I172" s="19"/>
      <c r="N172" s="10"/>
      <c r="O172" s="10"/>
      <c r="P172" s="10"/>
      <c r="Q172" s="10"/>
      <c r="R172" s="10"/>
      <c r="S172" s="10"/>
      <c r="T172" s="10"/>
      <c r="U172" s="10"/>
      <c r="V172" s="10"/>
    </row>
    <row r="173" spans="1:22">
      <c r="A173" s="63" t="s">
        <v>1303</v>
      </c>
      <c r="B173" s="63" t="s">
        <v>1304</v>
      </c>
      <c r="C173" s="118" t="s">
        <v>1305</v>
      </c>
      <c r="D173" s="218">
        <v>16</v>
      </c>
      <c r="E173" s="19"/>
      <c r="F173" s="19"/>
      <c r="G173" s="19"/>
      <c r="H173" s="19"/>
      <c r="I173" s="19"/>
      <c r="N173" s="10"/>
      <c r="O173" s="10"/>
      <c r="P173" s="10"/>
      <c r="Q173" s="10"/>
      <c r="R173" s="10"/>
      <c r="S173" s="10"/>
      <c r="T173" s="10"/>
      <c r="U173" s="10"/>
      <c r="V173" s="10"/>
    </row>
    <row r="174" spans="1:22">
      <c r="A174" s="63" t="s">
        <v>1306</v>
      </c>
      <c r="B174" s="63" t="s">
        <v>1307</v>
      </c>
      <c r="C174" s="118" t="s">
        <v>1308</v>
      </c>
      <c r="D174" s="218">
        <v>22</v>
      </c>
      <c r="E174" s="19"/>
      <c r="F174" s="19"/>
      <c r="G174" s="19"/>
      <c r="H174" s="19"/>
      <c r="I174" s="19"/>
      <c r="N174" s="10"/>
      <c r="O174" s="10"/>
      <c r="P174" s="10"/>
      <c r="Q174" s="10"/>
      <c r="R174" s="10"/>
      <c r="S174" s="10"/>
      <c r="T174" s="10"/>
      <c r="U174" s="10"/>
      <c r="V174" s="10"/>
    </row>
    <row r="175" spans="1:22">
      <c r="A175" s="63" t="s">
        <v>1309</v>
      </c>
      <c r="B175" s="63" t="s">
        <v>1310</v>
      </c>
      <c r="C175" s="118" t="s">
        <v>1311</v>
      </c>
      <c r="D175" s="218">
        <v>26</v>
      </c>
      <c r="E175" s="19"/>
      <c r="F175" s="19"/>
      <c r="G175" s="19"/>
      <c r="H175" s="19"/>
      <c r="I175" s="19"/>
      <c r="N175" s="10"/>
      <c r="O175" s="10"/>
      <c r="P175" s="10"/>
      <c r="Q175" s="10"/>
      <c r="R175" s="10"/>
      <c r="S175" s="10"/>
      <c r="T175" s="10"/>
      <c r="U175" s="10"/>
      <c r="V175" s="10"/>
    </row>
    <row r="176" spans="1:22">
      <c r="A176" s="63" t="s">
        <v>1312</v>
      </c>
      <c r="B176" s="63" t="s">
        <v>1313</v>
      </c>
      <c r="C176" s="118" t="s">
        <v>1314</v>
      </c>
      <c r="D176" s="218">
        <v>28</v>
      </c>
      <c r="E176" s="19"/>
      <c r="F176" s="19"/>
      <c r="G176" s="19"/>
      <c r="H176" s="19"/>
      <c r="I176" s="19"/>
      <c r="N176" s="10"/>
      <c r="O176" s="10"/>
      <c r="P176" s="10"/>
      <c r="Q176" s="10"/>
      <c r="R176" s="10"/>
      <c r="S176" s="10"/>
      <c r="T176" s="10"/>
      <c r="U176" s="10"/>
      <c r="V176" s="10"/>
    </row>
    <row r="177" spans="1:22">
      <c r="A177" s="63" t="s">
        <v>1315</v>
      </c>
      <c r="B177" s="63" t="s">
        <v>1316</v>
      </c>
      <c r="C177" s="118" t="s">
        <v>1317</v>
      </c>
      <c r="D177" s="218">
        <v>30</v>
      </c>
      <c r="E177" s="19"/>
      <c r="F177" s="19"/>
      <c r="G177" s="19"/>
      <c r="H177" s="19"/>
      <c r="I177" s="19"/>
    </row>
    <row r="178" spans="1:22">
      <c r="A178" s="63" t="s">
        <v>1318</v>
      </c>
      <c r="B178" s="63" t="s">
        <v>1319</v>
      </c>
      <c r="C178" s="118" t="s">
        <v>1320</v>
      </c>
      <c r="D178" s="218">
        <v>62</v>
      </c>
      <c r="E178" s="19"/>
      <c r="F178" s="19"/>
      <c r="G178" s="19"/>
      <c r="H178" s="19"/>
      <c r="I178" s="19"/>
    </row>
    <row r="179" spans="1:22">
      <c r="A179" s="63"/>
      <c r="B179" s="64"/>
      <c r="C179" s="118"/>
      <c r="D179" s="218"/>
      <c r="E179" s="19"/>
      <c r="F179" s="19"/>
      <c r="G179" s="19"/>
      <c r="H179" s="19"/>
      <c r="I179" s="19"/>
    </row>
    <row r="180" spans="1:22">
      <c r="A180" s="59" t="s">
        <v>1321</v>
      </c>
      <c r="B180" s="60"/>
      <c r="C180" s="62"/>
      <c r="D180" s="217"/>
      <c r="E180" s="19"/>
      <c r="F180" s="19"/>
      <c r="G180" s="19"/>
      <c r="H180" s="19"/>
      <c r="I180" s="19"/>
    </row>
    <row r="181" spans="1:22">
      <c r="A181" s="63" t="s">
        <v>1322</v>
      </c>
      <c r="B181" s="63" t="s">
        <v>1323</v>
      </c>
      <c r="C181" s="74" t="s">
        <v>1324</v>
      </c>
      <c r="D181" s="218">
        <v>2411</v>
      </c>
      <c r="E181" s="19"/>
      <c r="F181" s="19"/>
      <c r="G181" s="19"/>
      <c r="H181" s="19"/>
      <c r="I181" s="19"/>
    </row>
    <row r="182" spans="1:22">
      <c r="A182" s="63"/>
      <c r="B182" s="64"/>
      <c r="C182" s="74"/>
      <c r="D182" s="218"/>
      <c r="E182" s="19"/>
      <c r="F182" s="19"/>
      <c r="G182" s="19"/>
      <c r="H182" s="19"/>
      <c r="I182" s="19"/>
    </row>
    <row r="183" spans="1:22">
      <c r="A183" s="81" t="s">
        <v>1325</v>
      </c>
      <c r="B183" s="60"/>
      <c r="C183" s="62"/>
      <c r="D183" s="217"/>
      <c r="E183" s="19"/>
      <c r="F183" s="19"/>
      <c r="G183" s="19"/>
      <c r="H183" s="19"/>
      <c r="I183" s="19"/>
    </row>
    <row r="184" spans="1:22" ht="25.5">
      <c r="A184" s="63" t="s">
        <v>1326</v>
      </c>
      <c r="B184" s="64" t="s">
        <v>1327</v>
      </c>
      <c r="C184" s="74" t="s">
        <v>1328</v>
      </c>
      <c r="D184" s="218">
        <v>3</v>
      </c>
      <c r="E184" s="19"/>
      <c r="F184" s="19"/>
      <c r="G184" s="19"/>
      <c r="H184" s="19"/>
      <c r="I184" s="19"/>
    </row>
    <row r="185" spans="1:22">
      <c r="A185" s="80" t="s">
        <v>1329</v>
      </c>
      <c r="B185" s="72" t="s">
        <v>1330</v>
      </c>
      <c r="C185" s="66" t="s">
        <v>1331</v>
      </c>
      <c r="D185" s="218">
        <v>5</v>
      </c>
      <c r="E185" s="19"/>
      <c r="F185" s="19"/>
      <c r="G185" s="19"/>
      <c r="H185" s="19"/>
      <c r="I185" s="19"/>
    </row>
    <row r="186" spans="1:22">
      <c r="A186" s="80" t="s">
        <v>1332</v>
      </c>
      <c r="B186" s="72" t="s">
        <v>1330</v>
      </c>
      <c r="C186" s="66" t="s">
        <v>1331</v>
      </c>
      <c r="D186" s="218">
        <v>5</v>
      </c>
      <c r="E186" s="19"/>
      <c r="F186" s="19"/>
      <c r="G186" s="19"/>
      <c r="H186" s="19"/>
      <c r="I186" s="19"/>
    </row>
    <row r="187" spans="1:22" ht="25.5">
      <c r="A187" s="63" t="s">
        <v>1333</v>
      </c>
      <c r="B187" s="64" t="s">
        <v>1334</v>
      </c>
      <c r="C187" s="74" t="s">
        <v>1335</v>
      </c>
      <c r="D187" s="218">
        <v>3</v>
      </c>
      <c r="E187" s="19"/>
      <c r="F187" s="19"/>
      <c r="G187" s="19"/>
      <c r="H187" s="19"/>
      <c r="I187" s="19"/>
      <c r="N187" s="10"/>
      <c r="O187" s="10"/>
      <c r="P187" s="10"/>
      <c r="Q187" s="10"/>
      <c r="R187" s="10"/>
      <c r="S187" s="10"/>
      <c r="T187" s="10"/>
      <c r="U187" s="10"/>
      <c r="V187" s="10"/>
    </row>
    <row r="188" spans="1:22" ht="25.5">
      <c r="A188" s="63" t="s">
        <v>1336</v>
      </c>
      <c r="B188" s="64" t="s">
        <v>1337</v>
      </c>
      <c r="C188" s="74" t="s">
        <v>1338</v>
      </c>
      <c r="D188" s="218">
        <v>6</v>
      </c>
      <c r="E188" s="19"/>
      <c r="F188" s="19"/>
      <c r="G188" s="19"/>
      <c r="H188" s="19"/>
      <c r="I188" s="19"/>
      <c r="N188" s="10"/>
      <c r="O188" s="10"/>
      <c r="P188" s="10"/>
      <c r="Q188" s="10"/>
      <c r="R188" s="10"/>
      <c r="S188" s="10"/>
      <c r="T188" s="10"/>
      <c r="U188" s="10"/>
      <c r="V188" s="10"/>
    </row>
    <row r="189" spans="1:22" ht="38.25">
      <c r="A189" s="63" t="s">
        <v>1339</v>
      </c>
      <c r="B189" s="64" t="s">
        <v>1340</v>
      </c>
      <c r="C189" s="74" t="s">
        <v>1341</v>
      </c>
      <c r="D189" s="218">
        <v>6</v>
      </c>
      <c r="E189" s="19"/>
      <c r="F189" s="19"/>
      <c r="G189" s="19"/>
      <c r="H189" s="19"/>
      <c r="I189" s="19"/>
      <c r="N189" s="10"/>
      <c r="O189" s="10"/>
      <c r="P189" s="10"/>
      <c r="Q189" s="10"/>
      <c r="R189" s="10"/>
      <c r="S189" s="10"/>
      <c r="T189" s="10"/>
      <c r="U189" s="10"/>
      <c r="V189" s="10"/>
    </row>
    <row r="190" spans="1:22" ht="25.5">
      <c r="A190" s="64" t="s">
        <v>1342</v>
      </c>
      <c r="B190" s="64" t="s">
        <v>1343</v>
      </c>
      <c r="C190" s="74" t="s">
        <v>1344</v>
      </c>
      <c r="D190" s="218">
        <v>2</v>
      </c>
      <c r="E190" s="19"/>
      <c r="F190" s="19"/>
      <c r="G190" s="19"/>
      <c r="H190" s="19"/>
      <c r="I190" s="19"/>
      <c r="N190" s="10"/>
      <c r="O190" s="10"/>
      <c r="P190" s="10"/>
      <c r="Q190" s="10"/>
      <c r="R190" s="10"/>
      <c r="S190" s="10"/>
      <c r="T190" s="10"/>
      <c r="U190" s="10"/>
      <c r="V190" s="10"/>
    </row>
    <row r="191" spans="1:22" ht="25.5">
      <c r="A191" s="63" t="s">
        <v>1345</v>
      </c>
      <c r="B191" s="64" t="s">
        <v>1346</v>
      </c>
      <c r="C191" s="74" t="s">
        <v>1347</v>
      </c>
      <c r="D191" s="218">
        <v>2</v>
      </c>
      <c r="E191" s="19"/>
      <c r="F191" s="19"/>
      <c r="G191" s="19"/>
      <c r="H191" s="19"/>
      <c r="I191" s="19"/>
      <c r="N191" s="10"/>
      <c r="O191" s="10"/>
      <c r="P191" s="10"/>
      <c r="Q191" s="10"/>
      <c r="R191" s="10"/>
      <c r="S191" s="10"/>
      <c r="T191" s="10"/>
      <c r="U191" s="10"/>
      <c r="V191" s="10"/>
    </row>
    <row r="192" spans="1:22" ht="25.5">
      <c r="A192" s="63" t="s">
        <v>1348</v>
      </c>
      <c r="B192" s="64" t="s">
        <v>1349</v>
      </c>
      <c r="C192" s="74" t="s">
        <v>1350</v>
      </c>
      <c r="D192" s="218">
        <v>2</v>
      </c>
      <c r="E192" s="19"/>
      <c r="F192" s="19"/>
      <c r="G192" s="19"/>
      <c r="H192" s="19"/>
      <c r="I192" s="19"/>
      <c r="N192" s="10"/>
      <c r="O192" s="10"/>
      <c r="P192" s="10"/>
      <c r="Q192" s="10"/>
      <c r="R192" s="10"/>
      <c r="S192" s="10"/>
      <c r="T192" s="10"/>
      <c r="U192" s="10"/>
      <c r="V192" s="10"/>
    </row>
    <row r="193" spans="1:22">
      <c r="A193" s="109" t="s">
        <v>1351</v>
      </c>
      <c r="B193" s="105" t="s">
        <v>1352</v>
      </c>
      <c r="C193" s="118" t="s">
        <v>1353</v>
      </c>
      <c r="D193" s="219">
        <v>5</v>
      </c>
      <c r="E193" s="19"/>
      <c r="F193" s="19"/>
      <c r="G193" s="19"/>
      <c r="H193" s="19"/>
      <c r="I193" s="19"/>
      <c r="N193" s="10"/>
      <c r="O193" s="10"/>
      <c r="P193" s="10"/>
      <c r="Q193" s="10"/>
      <c r="R193" s="10"/>
      <c r="S193" s="10"/>
      <c r="T193" s="10"/>
      <c r="U193" s="10"/>
      <c r="V193" s="10"/>
    </row>
    <row r="194" spans="1:22">
      <c r="A194" s="109" t="s">
        <v>1354</v>
      </c>
      <c r="B194" s="105" t="s">
        <v>1355</v>
      </c>
      <c r="C194" s="118" t="s">
        <v>1680</v>
      </c>
      <c r="D194" s="219">
        <v>20</v>
      </c>
      <c r="E194" s="19"/>
      <c r="F194" s="19"/>
      <c r="G194" s="19"/>
      <c r="H194" s="19"/>
      <c r="I194" s="19"/>
      <c r="N194" s="10"/>
      <c r="O194" s="10"/>
      <c r="P194" s="10"/>
      <c r="Q194" s="10"/>
      <c r="R194" s="10"/>
      <c r="S194" s="10"/>
      <c r="T194" s="10"/>
      <c r="U194" s="10"/>
      <c r="V194" s="10"/>
    </row>
    <row r="195" spans="1:22">
      <c r="A195" s="109"/>
      <c r="B195" s="105"/>
      <c r="C195" s="118"/>
      <c r="D195" s="219"/>
      <c r="E195" s="19"/>
      <c r="F195" s="19"/>
      <c r="G195" s="19"/>
      <c r="H195" s="19"/>
      <c r="I195" s="19"/>
      <c r="N195" s="10"/>
      <c r="O195" s="10"/>
      <c r="P195" s="10"/>
      <c r="Q195" s="10"/>
      <c r="R195" s="10"/>
      <c r="S195" s="10"/>
      <c r="T195" s="10"/>
      <c r="U195" s="10"/>
      <c r="V195" s="10"/>
    </row>
    <row r="196" spans="1:22">
      <c r="A196" s="81" t="s">
        <v>1357</v>
      </c>
      <c r="B196" s="60"/>
      <c r="C196" s="62"/>
      <c r="D196" s="217"/>
      <c r="E196" s="19"/>
      <c r="F196" s="19"/>
      <c r="G196" s="19"/>
      <c r="H196" s="19"/>
      <c r="I196" s="19"/>
      <c r="N196" s="10"/>
      <c r="O196" s="10"/>
      <c r="P196" s="10"/>
      <c r="Q196" s="10"/>
      <c r="R196" s="10"/>
      <c r="S196" s="10"/>
      <c r="T196" s="10"/>
      <c r="U196" s="10"/>
      <c r="V196" s="10"/>
    </row>
    <row r="197" spans="1:22">
      <c r="A197" s="72" t="s">
        <v>1358</v>
      </c>
      <c r="B197" s="72" t="s">
        <v>1358</v>
      </c>
      <c r="C197" s="66" t="s">
        <v>1359</v>
      </c>
      <c r="D197" s="218">
        <v>23</v>
      </c>
      <c r="E197" s="19"/>
      <c r="F197" s="19"/>
      <c r="G197" s="19"/>
      <c r="H197" s="19"/>
      <c r="I197" s="19"/>
      <c r="N197" s="10"/>
      <c r="O197" s="10"/>
      <c r="P197" s="10"/>
      <c r="Q197" s="10"/>
      <c r="R197" s="10"/>
      <c r="S197" s="10"/>
      <c r="T197" s="10"/>
      <c r="U197" s="10"/>
      <c r="V197" s="10"/>
    </row>
    <row r="198" spans="1:22">
      <c r="A198" s="72" t="s">
        <v>1360</v>
      </c>
      <c r="B198" s="72" t="s">
        <v>1360</v>
      </c>
      <c r="C198" s="66" t="s">
        <v>1361</v>
      </c>
      <c r="D198" s="218">
        <v>10</v>
      </c>
      <c r="E198" s="19"/>
      <c r="F198" s="19"/>
      <c r="G198" s="19"/>
      <c r="H198" s="19"/>
      <c r="I198" s="19"/>
      <c r="N198" s="10"/>
      <c r="O198" s="10"/>
      <c r="P198" s="10"/>
      <c r="Q198" s="10"/>
      <c r="R198" s="10"/>
      <c r="S198" s="10"/>
      <c r="T198" s="10"/>
      <c r="U198" s="10"/>
      <c r="V198" s="10"/>
    </row>
    <row r="199" spans="1:22">
      <c r="A199" s="72" t="s">
        <v>1362</v>
      </c>
      <c r="B199" s="72" t="s">
        <v>1362</v>
      </c>
      <c r="C199" s="66" t="s">
        <v>1363</v>
      </c>
      <c r="D199" s="218">
        <v>2</v>
      </c>
      <c r="E199" s="19"/>
      <c r="F199" s="19"/>
      <c r="G199" s="19"/>
      <c r="H199" s="19"/>
      <c r="I199" s="19"/>
      <c r="N199" s="10"/>
      <c r="O199" s="10"/>
      <c r="P199" s="10"/>
      <c r="Q199" s="10"/>
      <c r="R199" s="10"/>
      <c r="S199" s="10"/>
      <c r="T199" s="10"/>
      <c r="U199" s="10"/>
      <c r="V199" s="10"/>
    </row>
    <row r="200" spans="1:22">
      <c r="A200" s="72"/>
      <c r="B200" s="72"/>
      <c r="C200" s="66"/>
      <c r="D200" s="218"/>
      <c r="E200" s="19"/>
      <c r="F200" s="19"/>
      <c r="G200" s="19"/>
      <c r="H200" s="19"/>
      <c r="I200" s="19"/>
      <c r="N200" s="10"/>
      <c r="O200" s="10"/>
      <c r="P200" s="10"/>
      <c r="Q200" s="10"/>
      <c r="R200" s="10"/>
      <c r="S200" s="10"/>
      <c r="T200" s="10"/>
      <c r="U200" s="10"/>
      <c r="V200" s="10"/>
    </row>
    <row r="201" spans="1:22">
      <c r="A201" s="81" t="s">
        <v>1364</v>
      </c>
      <c r="B201" s="60"/>
      <c r="C201" s="62"/>
      <c r="D201" s="217"/>
      <c r="E201" s="19"/>
      <c r="F201" s="19"/>
      <c r="G201" s="19"/>
      <c r="H201" s="19"/>
      <c r="I201" s="19"/>
      <c r="N201" s="10"/>
      <c r="O201" s="10"/>
      <c r="P201" s="10"/>
      <c r="Q201" s="10"/>
      <c r="R201" s="10"/>
      <c r="S201" s="10"/>
      <c r="T201" s="10"/>
      <c r="U201" s="10"/>
      <c r="V201" s="10"/>
    </row>
    <row r="202" spans="1:22">
      <c r="A202" s="72" t="s">
        <v>1365</v>
      </c>
      <c r="B202" s="72" t="s">
        <v>1366</v>
      </c>
      <c r="C202" s="66" t="s">
        <v>1367</v>
      </c>
      <c r="D202" s="218">
        <v>75</v>
      </c>
      <c r="E202" s="19"/>
      <c r="F202" s="19"/>
      <c r="G202" s="19"/>
      <c r="H202" s="19"/>
      <c r="I202" s="19"/>
      <c r="N202" s="10"/>
      <c r="O202" s="10"/>
      <c r="P202" s="10"/>
      <c r="Q202" s="10"/>
      <c r="R202" s="10"/>
      <c r="S202" s="10"/>
      <c r="T202" s="10"/>
      <c r="U202" s="10"/>
      <c r="V202" s="10"/>
    </row>
    <row r="203" spans="1:22">
      <c r="A203" s="72" t="s">
        <v>1368</v>
      </c>
      <c r="B203" s="72" t="s">
        <v>1369</v>
      </c>
      <c r="C203" s="66" t="s">
        <v>1370</v>
      </c>
      <c r="D203" s="218">
        <v>36</v>
      </c>
      <c r="E203" s="19"/>
      <c r="F203" s="19"/>
      <c r="G203" s="19"/>
      <c r="H203" s="19"/>
      <c r="I203" s="19"/>
      <c r="N203" s="10"/>
      <c r="O203" s="10"/>
      <c r="P203" s="10"/>
      <c r="Q203" s="10"/>
      <c r="R203" s="10"/>
      <c r="S203" s="10"/>
      <c r="T203" s="10"/>
      <c r="U203" s="10"/>
      <c r="V203" s="10"/>
    </row>
    <row r="204" spans="1:22">
      <c r="A204" s="72" t="s">
        <v>1371</v>
      </c>
      <c r="B204" s="72" t="s">
        <v>1372</v>
      </c>
      <c r="C204" s="66" t="s">
        <v>1373</v>
      </c>
      <c r="D204" s="218">
        <v>75</v>
      </c>
      <c r="E204" s="19"/>
      <c r="F204" s="19"/>
      <c r="G204" s="19"/>
      <c r="H204" s="19"/>
      <c r="I204" s="19"/>
      <c r="N204" s="10"/>
      <c r="O204" s="10"/>
      <c r="P204" s="10"/>
      <c r="Q204" s="10"/>
      <c r="R204" s="10"/>
      <c r="S204" s="10"/>
      <c r="T204" s="10"/>
      <c r="U204" s="10"/>
      <c r="V204" s="10"/>
    </row>
    <row r="205" spans="1:22">
      <c r="A205" s="72" t="s">
        <v>1374</v>
      </c>
      <c r="B205" s="72" t="s">
        <v>1375</v>
      </c>
      <c r="C205" s="66" t="s">
        <v>1376</v>
      </c>
      <c r="D205" s="218">
        <v>36</v>
      </c>
      <c r="E205" s="19"/>
      <c r="F205" s="19"/>
      <c r="G205" s="19"/>
      <c r="H205" s="19"/>
      <c r="I205" s="19"/>
      <c r="N205" s="10"/>
      <c r="O205" s="10"/>
      <c r="P205" s="10"/>
      <c r="Q205" s="10"/>
      <c r="R205" s="10"/>
      <c r="S205" s="10"/>
      <c r="T205" s="10"/>
      <c r="U205" s="10"/>
      <c r="V205" s="10"/>
    </row>
    <row r="206" spans="1:22">
      <c r="A206" s="72"/>
      <c r="B206" s="72"/>
      <c r="C206" s="66"/>
      <c r="D206" s="218"/>
      <c r="E206" s="19"/>
      <c r="F206" s="19"/>
      <c r="G206" s="19"/>
      <c r="H206" s="19"/>
      <c r="I206" s="19"/>
      <c r="N206" s="10"/>
      <c r="O206" s="10"/>
      <c r="P206" s="10"/>
      <c r="Q206" s="10"/>
      <c r="R206" s="10"/>
      <c r="S206" s="10"/>
      <c r="T206" s="10"/>
      <c r="U206" s="10"/>
      <c r="V206" s="10"/>
    </row>
    <row r="207" spans="1:22">
      <c r="A207" s="81" t="s">
        <v>1377</v>
      </c>
      <c r="B207" s="60"/>
      <c r="C207" s="62"/>
      <c r="D207" s="217"/>
      <c r="E207" s="19"/>
      <c r="F207" s="19"/>
      <c r="G207" s="19"/>
      <c r="H207" s="19"/>
      <c r="I207" s="19"/>
      <c r="N207" s="10"/>
      <c r="O207" s="10"/>
      <c r="P207" s="10"/>
      <c r="Q207" s="10"/>
      <c r="R207" s="10"/>
      <c r="S207" s="10"/>
      <c r="T207" s="10"/>
      <c r="U207" s="10"/>
      <c r="V207" s="10"/>
    </row>
    <row r="208" spans="1:22">
      <c r="A208" s="172" t="s">
        <v>1669</v>
      </c>
      <c r="B208" s="172" t="s">
        <v>1670</v>
      </c>
      <c r="C208" s="111" t="s">
        <v>1671</v>
      </c>
      <c r="D208" s="219">
        <v>8</v>
      </c>
      <c r="E208" s="19"/>
      <c r="F208" s="19"/>
      <c r="G208" s="19"/>
      <c r="H208" s="19"/>
      <c r="I208" s="19"/>
      <c r="N208" s="10"/>
      <c r="O208" s="10"/>
      <c r="P208" s="10"/>
      <c r="Q208" s="10"/>
      <c r="R208" s="10"/>
      <c r="S208" s="10"/>
      <c r="T208" s="10"/>
      <c r="U208" s="10"/>
      <c r="V208" s="10"/>
    </row>
    <row r="209" spans="1:22">
      <c r="A209" s="172" t="s">
        <v>1378</v>
      </c>
      <c r="B209" s="172" t="s">
        <v>1378</v>
      </c>
      <c r="C209" s="111" t="s">
        <v>1379</v>
      </c>
      <c r="D209" s="219">
        <v>6</v>
      </c>
      <c r="E209" s="19"/>
      <c r="F209" s="19"/>
      <c r="G209" s="19"/>
      <c r="H209" s="19"/>
      <c r="I209" s="19"/>
      <c r="N209" s="10"/>
      <c r="O209" s="10"/>
      <c r="P209" s="10"/>
      <c r="Q209" s="10"/>
      <c r="R209" s="10"/>
      <c r="S209" s="10"/>
      <c r="T209" s="10"/>
      <c r="U209" s="10"/>
      <c r="V209" s="10"/>
    </row>
    <row r="210" spans="1:22">
      <c r="A210" s="172" t="s">
        <v>1672</v>
      </c>
      <c r="B210" s="172" t="s">
        <v>1673</v>
      </c>
      <c r="C210" s="111" t="s">
        <v>1674</v>
      </c>
      <c r="D210" s="219">
        <v>18</v>
      </c>
      <c r="E210" s="19"/>
      <c r="F210" s="19"/>
      <c r="G210" s="19"/>
      <c r="H210" s="19"/>
      <c r="I210" s="19"/>
      <c r="N210" s="10"/>
      <c r="O210" s="10"/>
      <c r="P210" s="10"/>
      <c r="Q210" s="10"/>
      <c r="R210" s="10"/>
      <c r="S210" s="10"/>
      <c r="T210" s="10"/>
      <c r="U210" s="10"/>
      <c r="V210" s="10"/>
    </row>
    <row r="211" spans="1:22">
      <c r="A211" s="172" t="s">
        <v>1380</v>
      </c>
      <c r="B211" s="172" t="s">
        <v>1675</v>
      </c>
      <c r="C211" s="111" t="s">
        <v>1676</v>
      </c>
      <c r="D211" s="219">
        <v>8</v>
      </c>
      <c r="E211" s="19"/>
      <c r="F211" s="19"/>
      <c r="G211" s="19"/>
      <c r="H211" s="19"/>
      <c r="I211" s="19"/>
      <c r="N211" s="10"/>
      <c r="O211" s="10"/>
      <c r="P211" s="10"/>
      <c r="Q211" s="10"/>
      <c r="R211" s="10"/>
      <c r="S211" s="10"/>
      <c r="T211" s="10"/>
      <c r="U211" s="10"/>
      <c r="V211" s="10"/>
    </row>
    <row r="212" spans="1:22">
      <c r="A212" s="172" t="s">
        <v>1381</v>
      </c>
      <c r="B212" s="172" t="s">
        <v>1382</v>
      </c>
      <c r="C212" s="111" t="s">
        <v>1383</v>
      </c>
      <c r="D212" s="219">
        <v>4</v>
      </c>
      <c r="E212" s="19"/>
      <c r="F212" s="19"/>
      <c r="G212" s="19"/>
      <c r="H212" s="19"/>
      <c r="I212" s="19"/>
      <c r="N212" s="10"/>
      <c r="O212" s="10"/>
      <c r="P212" s="10"/>
      <c r="Q212" s="10"/>
      <c r="R212" s="10"/>
      <c r="S212" s="10"/>
      <c r="T212" s="10"/>
      <c r="U212" s="10"/>
      <c r="V212" s="10"/>
    </row>
    <row r="213" spans="1:22">
      <c r="A213" s="172" t="s">
        <v>1384</v>
      </c>
      <c r="B213" s="172" t="s">
        <v>1385</v>
      </c>
      <c r="C213" s="111" t="s">
        <v>1386</v>
      </c>
      <c r="D213" s="219">
        <v>4</v>
      </c>
      <c r="E213" s="19"/>
      <c r="F213" s="19"/>
      <c r="G213" s="19"/>
      <c r="H213" s="19"/>
      <c r="I213" s="19"/>
      <c r="N213" s="10"/>
      <c r="O213" s="10"/>
      <c r="P213" s="10"/>
      <c r="Q213" s="10"/>
      <c r="R213" s="10"/>
      <c r="S213" s="10"/>
      <c r="T213" s="10"/>
      <c r="U213" s="10"/>
      <c r="V213" s="10"/>
    </row>
    <row r="214" spans="1:22">
      <c r="A214" s="172" t="s">
        <v>1387</v>
      </c>
      <c r="B214" s="172" t="s">
        <v>1388</v>
      </c>
      <c r="C214" s="111" t="s">
        <v>1389</v>
      </c>
      <c r="D214" s="219">
        <v>4</v>
      </c>
      <c r="E214" s="19"/>
      <c r="F214" s="19"/>
      <c r="G214" s="19"/>
      <c r="H214" s="19"/>
      <c r="I214" s="19"/>
      <c r="N214" s="10"/>
      <c r="O214" s="10"/>
      <c r="P214" s="10"/>
      <c r="Q214" s="10"/>
      <c r="R214" s="10"/>
      <c r="S214" s="10"/>
      <c r="T214" s="10"/>
      <c r="U214" s="10"/>
      <c r="V214" s="10"/>
    </row>
    <row r="215" spans="1:22">
      <c r="A215" s="172" t="s">
        <v>1390</v>
      </c>
      <c r="B215" s="172" t="s">
        <v>1391</v>
      </c>
      <c r="C215" s="111" t="s">
        <v>1392</v>
      </c>
      <c r="D215" s="219">
        <v>4</v>
      </c>
      <c r="E215" s="19"/>
      <c r="F215" s="19"/>
      <c r="G215" s="19"/>
      <c r="H215" s="19"/>
      <c r="I215" s="19"/>
      <c r="N215" s="10"/>
      <c r="O215" s="10"/>
      <c r="P215" s="10"/>
      <c r="Q215" s="10"/>
      <c r="R215" s="10"/>
      <c r="S215" s="10"/>
      <c r="T215" s="10"/>
      <c r="U215" s="10"/>
      <c r="V215" s="10"/>
    </row>
    <row r="216" spans="1:22">
      <c r="A216" s="172" t="s">
        <v>1677</v>
      </c>
      <c r="B216" s="172" t="s">
        <v>1678</v>
      </c>
      <c r="C216" s="111" t="s">
        <v>1679</v>
      </c>
      <c r="D216" s="219">
        <v>10</v>
      </c>
      <c r="E216" s="19"/>
      <c r="F216" s="19"/>
      <c r="G216" s="19"/>
      <c r="H216" s="19"/>
      <c r="I216" s="19"/>
      <c r="N216" s="10"/>
      <c r="O216" s="10"/>
      <c r="P216" s="10"/>
      <c r="Q216" s="10"/>
      <c r="R216" s="10"/>
      <c r="S216" s="10"/>
      <c r="T216" s="10"/>
      <c r="U216" s="10"/>
      <c r="V216" s="10"/>
    </row>
    <row r="217" spans="1:22">
      <c r="A217" s="172" t="s">
        <v>1393</v>
      </c>
      <c r="B217" s="172" t="s">
        <v>1394</v>
      </c>
      <c r="C217" s="111" t="s">
        <v>1395</v>
      </c>
      <c r="D217" s="219">
        <v>4</v>
      </c>
      <c r="E217" s="19"/>
      <c r="F217" s="19"/>
      <c r="G217" s="19"/>
      <c r="H217" s="19"/>
      <c r="I217" s="19"/>
      <c r="N217" s="10"/>
      <c r="O217" s="10"/>
      <c r="P217" s="10"/>
      <c r="Q217" s="10"/>
      <c r="R217" s="10"/>
      <c r="S217" s="10"/>
      <c r="T217" s="10"/>
      <c r="U217" s="10"/>
      <c r="V217" s="10"/>
    </row>
    <row r="218" spans="1:22">
      <c r="A218" s="172" t="s">
        <v>1665</v>
      </c>
      <c r="B218" s="172" t="s">
        <v>1664</v>
      </c>
      <c r="C218" s="111" t="s">
        <v>1683</v>
      </c>
      <c r="D218" s="219">
        <v>18</v>
      </c>
      <c r="E218" s="19"/>
      <c r="F218" s="19"/>
      <c r="G218" s="19"/>
      <c r="H218" s="19"/>
      <c r="I218" s="19"/>
      <c r="N218" s="10"/>
      <c r="O218" s="10"/>
      <c r="P218" s="10"/>
      <c r="Q218" s="10"/>
      <c r="R218" s="10"/>
      <c r="S218" s="10"/>
      <c r="T218" s="10"/>
      <c r="U218" s="10"/>
      <c r="V218" s="10"/>
    </row>
    <row r="219" spans="1:22">
      <c r="A219" s="72"/>
      <c r="B219" s="72"/>
      <c r="C219" s="72"/>
      <c r="D219" s="222"/>
      <c r="E219" s="19"/>
      <c r="F219" s="19"/>
      <c r="G219" s="19"/>
      <c r="H219" s="19"/>
      <c r="I219" s="19"/>
      <c r="N219" s="10"/>
      <c r="O219" s="10"/>
      <c r="P219" s="10"/>
      <c r="Q219" s="10"/>
      <c r="R219" s="10"/>
      <c r="S219" s="10"/>
      <c r="T219" s="10"/>
      <c r="U219" s="10"/>
      <c r="V219" s="10"/>
    </row>
    <row r="220" spans="1:22">
      <c r="A220" s="81" t="s">
        <v>1396</v>
      </c>
      <c r="B220" s="60"/>
      <c r="C220" s="62"/>
      <c r="D220" s="217"/>
      <c r="E220" s="19"/>
      <c r="F220" s="19"/>
      <c r="G220" s="19"/>
      <c r="H220" s="19"/>
      <c r="I220" s="19"/>
      <c r="N220" s="10"/>
      <c r="O220" s="10"/>
      <c r="P220" s="10"/>
      <c r="Q220" s="10"/>
      <c r="R220" s="10"/>
      <c r="S220" s="10"/>
      <c r="T220" s="10"/>
      <c r="U220" s="10"/>
      <c r="V220" s="10"/>
    </row>
    <row r="221" spans="1:22" ht="25.5">
      <c r="A221" s="64" t="s">
        <v>1397</v>
      </c>
      <c r="B221" s="64" t="s">
        <v>1398</v>
      </c>
      <c r="C221" s="74" t="s">
        <v>1399</v>
      </c>
      <c r="D221" s="223">
        <v>69</v>
      </c>
      <c r="E221" s="19"/>
      <c r="F221" s="19"/>
      <c r="G221" s="19"/>
      <c r="H221" s="19"/>
      <c r="I221" s="19"/>
      <c r="N221" s="10"/>
      <c r="O221" s="10"/>
      <c r="P221" s="10"/>
      <c r="Q221" s="10"/>
      <c r="R221" s="10"/>
      <c r="S221" s="10"/>
      <c r="T221" s="10"/>
      <c r="U221" s="10"/>
      <c r="V221" s="10"/>
    </row>
    <row r="222" spans="1:22" ht="25.5">
      <c r="A222" s="64" t="s">
        <v>1397</v>
      </c>
      <c r="B222" s="64" t="s">
        <v>1400</v>
      </c>
      <c r="C222" s="74" t="s">
        <v>1401</v>
      </c>
      <c r="D222" s="223">
        <v>62</v>
      </c>
      <c r="E222" s="19"/>
      <c r="F222" s="19"/>
      <c r="G222" s="19"/>
      <c r="H222" s="19"/>
      <c r="I222" s="19"/>
      <c r="N222" s="10"/>
      <c r="O222" s="10"/>
      <c r="P222" s="10"/>
      <c r="Q222" s="10"/>
      <c r="R222" s="10"/>
      <c r="S222" s="10"/>
      <c r="T222" s="10"/>
      <c r="U222" s="10"/>
      <c r="V222" s="10"/>
    </row>
    <row r="223" spans="1:22" ht="38.25">
      <c r="A223" s="64" t="s">
        <v>1402</v>
      </c>
      <c r="B223" s="64" t="s">
        <v>1403</v>
      </c>
      <c r="C223" s="74" t="s">
        <v>1404</v>
      </c>
      <c r="D223" s="224">
        <v>48</v>
      </c>
      <c r="E223" s="19"/>
      <c r="F223" s="19"/>
      <c r="G223" s="19"/>
      <c r="H223" s="19"/>
      <c r="I223" s="19"/>
      <c r="N223" s="10"/>
      <c r="O223" s="10"/>
      <c r="P223" s="10"/>
      <c r="Q223" s="10"/>
      <c r="R223" s="10"/>
      <c r="S223" s="10"/>
      <c r="T223" s="10"/>
      <c r="U223" s="10"/>
      <c r="V223" s="10"/>
    </row>
    <row r="224" spans="1:22">
      <c r="A224" s="85"/>
      <c r="B224" s="85"/>
      <c r="C224" s="66"/>
      <c r="D224" s="218"/>
      <c r="E224" s="19"/>
      <c r="F224" s="19"/>
      <c r="G224" s="19"/>
      <c r="H224" s="19"/>
      <c r="I224" s="19"/>
      <c r="N224" s="10"/>
      <c r="O224" s="10"/>
      <c r="P224" s="10"/>
      <c r="Q224" s="10"/>
      <c r="R224" s="10"/>
      <c r="S224" s="10"/>
      <c r="T224" s="10"/>
      <c r="U224" s="10"/>
      <c r="V224" s="10"/>
    </row>
    <row r="225" spans="1:22">
      <c r="A225" s="81" t="s">
        <v>1405</v>
      </c>
      <c r="B225" s="60"/>
      <c r="C225" s="62"/>
      <c r="D225" s="217"/>
      <c r="E225" s="19"/>
      <c r="F225" s="19"/>
      <c r="G225" s="19"/>
      <c r="H225" s="19"/>
      <c r="I225" s="19"/>
      <c r="N225" s="10"/>
      <c r="O225" s="10"/>
      <c r="P225" s="10"/>
      <c r="Q225" s="10"/>
      <c r="R225" s="10"/>
      <c r="S225" s="10"/>
      <c r="T225" s="10"/>
      <c r="U225" s="10"/>
      <c r="V225" s="10"/>
    </row>
    <row r="226" spans="1:22" ht="25.5">
      <c r="A226" s="105" t="s">
        <v>1406</v>
      </c>
      <c r="B226" s="105" t="s">
        <v>1407</v>
      </c>
      <c r="C226" s="118" t="s">
        <v>1408</v>
      </c>
      <c r="D226" s="225">
        <v>50</v>
      </c>
      <c r="E226" s="19"/>
      <c r="F226" s="19"/>
      <c r="G226" s="19"/>
      <c r="H226" s="19"/>
      <c r="I226" s="19"/>
      <c r="N226" s="10"/>
      <c r="O226" s="10"/>
      <c r="P226" s="10"/>
      <c r="Q226" s="10"/>
      <c r="R226" s="10"/>
      <c r="S226" s="10"/>
      <c r="T226" s="10"/>
      <c r="U226" s="10"/>
      <c r="V226" s="10"/>
    </row>
    <row r="227" spans="1:22" ht="25.5">
      <c r="A227" s="105" t="s">
        <v>1409</v>
      </c>
      <c r="B227" s="105" t="s">
        <v>1407</v>
      </c>
      <c r="C227" s="118" t="s">
        <v>1410</v>
      </c>
      <c r="D227" s="225">
        <v>18</v>
      </c>
      <c r="E227" s="19"/>
      <c r="F227" s="19"/>
      <c r="G227" s="19"/>
      <c r="H227" s="19"/>
      <c r="I227" s="19"/>
      <c r="N227" s="10"/>
      <c r="O227" s="10"/>
      <c r="P227" s="10"/>
      <c r="Q227" s="10"/>
      <c r="R227" s="10"/>
      <c r="S227" s="10"/>
      <c r="T227" s="10"/>
      <c r="U227" s="10"/>
      <c r="V227" s="10"/>
    </row>
    <row r="228" spans="1:22" ht="25.5">
      <c r="A228" s="105" t="s">
        <v>1411</v>
      </c>
      <c r="B228" s="105" t="s">
        <v>1407</v>
      </c>
      <c r="C228" s="118" t="s">
        <v>1412</v>
      </c>
      <c r="D228" s="226">
        <v>36</v>
      </c>
      <c r="E228" s="19"/>
      <c r="F228" s="19"/>
      <c r="G228" s="19"/>
      <c r="H228" s="19"/>
      <c r="I228" s="19"/>
      <c r="N228" s="10"/>
      <c r="O228" s="10"/>
      <c r="P228" s="10"/>
      <c r="Q228" s="10"/>
      <c r="R228" s="10"/>
      <c r="S228" s="10"/>
      <c r="T228" s="10"/>
      <c r="U228" s="10"/>
      <c r="V228" s="10"/>
    </row>
    <row r="229" spans="1:22">
      <c r="A229" s="64"/>
      <c r="B229" s="64"/>
      <c r="C229" s="74"/>
      <c r="D229" s="218"/>
      <c r="E229" s="19"/>
      <c r="F229" s="19"/>
      <c r="G229" s="19"/>
      <c r="H229" s="19"/>
      <c r="I229" s="19"/>
      <c r="N229" s="10"/>
      <c r="O229" s="10"/>
      <c r="P229" s="10"/>
      <c r="Q229" s="10"/>
      <c r="R229" s="10"/>
      <c r="S229" s="10"/>
      <c r="T229" s="10"/>
      <c r="U229" s="10"/>
      <c r="V229" s="10"/>
    </row>
    <row r="230" spans="1:22">
      <c r="A230" s="81" t="s">
        <v>1413</v>
      </c>
      <c r="B230" s="60"/>
      <c r="C230" s="62"/>
      <c r="D230" s="217"/>
      <c r="E230" s="19"/>
      <c r="F230" s="19"/>
      <c r="G230" s="19"/>
      <c r="H230" s="19"/>
      <c r="I230" s="19"/>
      <c r="N230" s="10"/>
      <c r="O230" s="10"/>
      <c r="P230" s="10"/>
      <c r="Q230" s="10"/>
      <c r="R230" s="10"/>
      <c r="S230" s="10"/>
      <c r="T230" s="10"/>
      <c r="U230" s="10"/>
      <c r="V230" s="10"/>
    </row>
    <row r="231" spans="1:22" ht="25.5">
      <c r="A231" s="63" t="s">
        <v>1414</v>
      </c>
      <c r="B231" s="64" t="s">
        <v>1407</v>
      </c>
      <c r="C231" s="74" t="s">
        <v>1415</v>
      </c>
      <c r="D231" s="223">
        <v>90</v>
      </c>
      <c r="E231" s="19"/>
      <c r="F231" s="19"/>
      <c r="G231" s="19"/>
      <c r="H231" s="19"/>
      <c r="I231" s="19"/>
      <c r="N231" s="10"/>
      <c r="O231" s="10"/>
      <c r="P231" s="10"/>
      <c r="Q231" s="10"/>
      <c r="R231" s="10"/>
      <c r="S231" s="10"/>
      <c r="T231" s="10"/>
      <c r="U231" s="10"/>
      <c r="V231" s="10"/>
    </row>
    <row r="232" spans="1:22">
      <c r="A232" s="64" t="s">
        <v>1416</v>
      </c>
      <c r="B232" s="64" t="s">
        <v>1407</v>
      </c>
      <c r="C232" s="74" t="s">
        <v>1417</v>
      </c>
      <c r="D232" s="223">
        <v>18</v>
      </c>
      <c r="E232" s="19"/>
      <c r="F232" s="19"/>
      <c r="G232" s="19"/>
      <c r="H232" s="19"/>
      <c r="I232" s="19"/>
      <c r="N232" s="10"/>
      <c r="O232" s="10"/>
      <c r="P232" s="10"/>
      <c r="Q232" s="10"/>
      <c r="R232" s="10"/>
      <c r="S232" s="10"/>
      <c r="T232" s="10"/>
      <c r="U232" s="10"/>
      <c r="V232" s="10"/>
    </row>
    <row r="233" spans="1:22">
      <c r="A233" s="64" t="s">
        <v>1418</v>
      </c>
      <c r="B233" s="64" t="s">
        <v>1407</v>
      </c>
      <c r="C233" s="74" t="s">
        <v>1419</v>
      </c>
      <c r="D233" s="224">
        <v>36</v>
      </c>
      <c r="E233" s="19"/>
      <c r="F233" s="19"/>
      <c r="G233" s="19"/>
      <c r="H233" s="19"/>
      <c r="I233" s="19"/>
      <c r="N233" s="10"/>
      <c r="O233" s="10"/>
      <c r="P233" s="10"/>
      <c r="Q233" s="10"/>
      <c r="R233" s="10"/>
      <c r="S233" s="10"/>
      <c r="T233" s="10"/>
      <c r="U233" s="10"/>
      <c r="V233" s="10"/>
    </row>
    <row r="234" spans="1:22">
      <c r="A234" s="64"/>
      <c r="B234" s="64"/>
      <c r="C234" s="74"/>
      <c r="D234" s="218"/>
      <c r="E234" s="19"/>
      <c r="F234" s="19"/>
      <c r="G234" s="19"/>
      <c r="H234" s="19"/>
      <c r="I234" s="19"/>
      <c r="N234" s="10"/>
      <c r="O234" s="10"/>
      <c r="P234" s="10"/>
      <c r="Q234" s="10"/>
      <c r="R234" s="10"/>
      <c r="S234" s="10"/>
      <c r="T234" s="10"/>
      <c r="U234" s="10"/>
      <c r="V234" s="10"/>
    </row>
    <row r="235" spans="1:22">
      <c r="A235" s="81" t="s">
        <v>1420</v>
      </c>
      <c r="B235" s="60"/>
      <c r="C235" s="62"/>
      <c r="D235" s="217"/>
      <c r="E235" s="19"/>
      <c r="F235" s="19"/>
      <c r="G235" s="19"/>
      <c r="H235" s="19"/>
      <c r="I235" s="19"/>
      <c r="N235" s="10"/>
      <c r="O235" s="10"/>
      <c r="P235" s="10"/>
      <c r="Q235" s="10"/>
      <c r="R235" s="10"/>
      <c r="S235" s="10"/>
      <c r="T235" s="10"/>
      <c r="U235" s="10"/>
      <c r="V235" s="10"/>
    </row>
    <row r="236" spans="1:22" ht="38.25">
      <c r="A236" s="63" t="s">
        <v>1421</v>
      </c>
      <c r="B236" s="64" t="s">
        <v>1422</v>
      </c>
      <c r="C236" s="74" t="s">
        <v>1423</v>
      </c>
      <c r="D236" s="223">
        <v>11030</v>
      </c>
      <c r="E236" s="325"/>
      <c r="F236" s="325"/>
      <c r="G236" s="325"/>
      <c r="H236" s="325"/>
      <c r="I236" s="325"/>
      <c r="N236" s="10"/>
      <c r="O236" s="10"/>
      <c r="P236" s="10"/>
      <c r="Q236" s="10"/>
      <c r="R236" s="10"/>
      <c r="S236" s="10"/>
      <c r="T236" s="10"/>
      <c r="U236" s="10"/>
      <c r="V236" s="10"/>
    </row>
    <row r="237" spans="1:22" ht="51">
      <c r="A237" s="63" t="s">
        <v>1424</v>
      </c>
      <c r="B237" s="64" t="s">
        <v>1425</v>
      </c>
      <c r="C237" s="74" t="s">
        <v>1426</v>
      </c>
      <c r="D237" s="223">
        <v>6</v>
      </c>
      <c r="E237" s="325"/>
      <c r="F237" s="325"/>
      <c r="G237" s="325"/>
      <c r="H237" s="325"/>
      <c r="I237" s="325"/>
      <c r="N237" s="10"/>
      <c r="O237" s="10"/>
      <c r="P237" s="10"/>
      <c r="Q237" s="10"/>
      <c r="R237" s="10"/>
      <c r="S237" s="10"/>
      <c r="T237" s="10"/>
      <c r="U237" s="10"/>
      <c r="V237" s="10"/>
    </row>
    <row r="238" spans="1:22" ht="51">
      <c r="A238" s="63" t="s">
        <v>1427</v>
      </c>
      <c r="B238" s="64" t="s">
        <v>1428</v>
      </c>
      <c r="C238" s="74" t="s">
        <v>1429</v>
      </c>
      <c r="D238" s="222">
        <v>5</v>
      </c>
      <c r="E238" s="324"/>
      <c r="F238" s="324"/>
      <c r="G238" s="324"/>
      <c r="H238" s="324"/>
      <c r="I238" s="324"/>
      <c r="N238" s="10"/>
      <c r="O238" s="10"/>
      <c r="P238" s="10"/>
      <c r="Q238" s="10"/>
      <c r="R238" s="10"/>
      <c r="S238" s="10"/>
      <c r="T238" s="10"/>
      <c r="U238" s="10"/>
      <c r="V238" s="10"/>
    </row>
    <row r="239" spans="1:22" ht="51">
      <c r="A239" s="63" t="s">
        <v>1430</v>
      </c>
      <c r="B239" s="64" t="s">
        <v>1431</v>
      </c>
      <c r="C239" s="74" t="s">
        <v>1432</v>
      </c>
      <c r="D239" s="222">
        <v>4</v>
      </c>
      <c r="E239" s="324"/>
      <c r="F239" s="324"/>
      <c r="G239" s="324"/>
      <c r="H239" s="324"/>
      <c r="I239" s="324"/>
      <c r="N239" s="10"/>
      <c r="O239" s="10"/>
      <c r="P239" s="10"/>
      <c r="Q239" s="10"/>
      <c r="R239" s="10"/>
      <c r="S239" s="10"/>
      <c r="T239" s="10"/>
      <c r="U239" s="10"/>
      <c r="V239" s="10"/>
    </row>
    <row r="240" spans="1:22" ht="51">
      <c r="A240" s="63" t="s">
        <v>1433</v>
      </c>
      <c r="B240" s="64" t="s">
        <v>1434</v>
      </c>
      <c r="C240" s="74" t="s">
        <v>1435</v>
      </c>
      <c r="D240" s="222">
        <v>4</v>
      </c>
      <c r="E240" s="324"/>
      <c r="F240" s="324"/>
      <c r="G240" s="324"/>
      <c r="H240" s="324"/>
      <c r="I240" s="324"/>
      <c r="N240" s="10"/>
      <c r="O240" s="10"/>
      <c r="P240" s="10"/>
      <c r="Q240" s="10"/>
      <c r="R240" s="10"/>
      <c r="S240" s="10"/>
      <c r="T240" s="10"/>
      <c r="U240" s="10"/>
      <c r="V240" s="10"/>
    </row>
    <row r="241" spans="1:22" ht="38.25">
      <c r="A241" s="63" t="s">
        <v>1436</v>
      </c>
      <c r="B241" s="64" t="s">
        <v>1437</v>
      </c>
      <c r="C241" s="74" t="s">
        <v>1438</v>
      </c>
      <c r="D241" s="222">
        <v>3</v>
      </c>
      <c r="E241" s="324"/>
      <c r="F241" s="324"/>
      <c r="G241" s="324"/>
      <c r="H241" s="324"/>
      <c r="I241" s="324"/>
      <c r="N241" s="10"/>
      <c r="O241" s="10"/>
      <c r="P241" s="10"/>
      <c r="Q241" s="10"/>
      <c r="R241" s="10"/>
      <c r="S241" s="10"/>
      <c r="T241" s="10"/>
      <c r="U241" s="10"/>
      <c r="V241" s="10"/>
    </row>
    <row r="242" spans="1:22" ht="38.25">
      <c r="A242" s="63" t="s">
        <v>1439</v>
      </c>
      <c r="B242" s="64" t="s">
        <v>1440</v>
      </c>
      <c r="C242" s="74" t="s">
        <v>1441</v>
      </c>
      <c r="D242" s="222">
        <v>2</v>
      </c>
      <c r="E242" s="324"/>
      <c r="F242" s="324"/>
      <c r="G242" s="324"/>
      <c r="H242" s="324"/>
      <c r="I242" s="324"/>
      <c r="N242" s="10"/>
      <c r="O242" s="10"/>
      <c r="P242" s="10"/>
      <c r="Q242" s="10"/>
      <c r="R242" s="10"/>
      <c r="S242" s="10"/>
      <c r="T242" s="10"/>
      <c r="U242" s="10"/>
      <c r="V242" s="10"/>
    </row>
    <row r="243" spans="1:22" ht="38.25">
      <c r="A243" s="63" t="s">
        <v>1442</v>
      </c>
      <c r="B243" s="64" t="s">
        <v>1443</v>
      </c>
      <c r="C243" s="74" t="s">
        <v>1444</v>
      </c>
      <c r="D243" s="222">
        <v>1</v>
      </c>
      <c r="E243" s="324"/>
      <c r="F243" s="324"/>
      <c r="G243" s="324"/>
      <c r="H243" s="324"/>
      <c r="I243" s="324"/>
      <c r="N243" s="10"/>
      <c r="O243" s="10"/>
      <c r="P243" s="10"/>
      <c r="Q243" s="10"/>
      <c r="R243" s="10"/>
      <c r="S243" s="10"/>
      <c r="T243" s="10"/>
      <c r="U243" s="10"/>
      <c r="V243" s="10"/>
    </row>
    <row r="244" spans="1:22" ht="38.25">
      <c r="A244" s="63" t="s">
        <v>1445</v>
      </c>
      <c r="B244" s="64" t="s">
        <v>1446</v>
      </c>
      <c r="C244" s="74" t="s">
        <v>1447</v>
      </c>
      <c r="D244" s="222">
        <v>1</v>
      </c>
      <c r="E244" s="324"/>
      <c r="F244" s="324"/>
      <c r="G244" s="324"/>
      <c r="H244" s="324"/>
      <c r="I244" s="324"/>
      <c r="N244" s="10"/>
      <c r="O244" s="10"/>
      <c r="P244" s="10"/>
      <c r="Q244" s="10"/>
      <c r="R244" s="10"/>
      <c r="S244" s="10"/>
      <c r="T244" s="10"/>
      <c r="U244" s="10"/>
      <c r="V244" s="10"/>
    </row>
    <row r="245" spans="1:22" ht="38.25">
      <c r="A245" s="63" t="s">
        <v>1448</v>
      </c>
      <c r="B245" s="64" t="s">
        <v>1449</v>
      </c>
      <c r="C245" s="74" t="s">
        <v>1450</v>
      </c>
      <c r="D245" s="222">
        <v>1</v>
      </c>
      <c r="E245" s="324"/>
      <c r="F245" s="324"/>
      <c r="G245" s="324"/>
      <c r="H245" s="324"/>
      <c r="I245" s="324"/>
      <c r="N245" s="10"/>
      <c r="O245" s="10"/>
      <c r="P245" s="10"/>
      <c r="Q245" s="10"/>
      <c r="R245" s="10"/>
      <c r="S245" s="10"/>
      <c r="T245" s="10"/>
      <c r="U245" s="10"/>
      <c r="V245" s="10"/>
    </row>
    <row r="246" spans="1:22">
      <c r="A246" s="63" t="s">
        <v>1451</v>
      </c>
      <c r="B246" s="64" t="s">
        <v>1452</v>
      </c>
      <c r="C246" s="74" t="s">
        <v>1453</v>
      </c>
      <c r="D246" s="222">
        <v>25</v>
      </c>
      <c r="E246" s="324"/>
      <c r="F246" s="324"/>
      <c r="G246" s="324"/>
      <c r="H246" s="324"/>
      <c r="I246" s="324"/>
      <c r="N246" s="10"/>
      <c r="O246" s="10"/>
      <c r="P246" s="10"/>
      <c r="Q246" s="10"/>
      <c r="R246" s="10"/>
      <c r="S246" s="10"/>
      <c r="T246" s="10"/>
      <c r="U246" s="10"/>
      <c r="V246" s="10"/>
    </row>
    <row r="247" spans="1:22" ht="25.5">
      <c r="A247" s="63" t="s">
        <v>1454</v>
      </c>
      <c r="B247" s="64" t="s">
        <v>1455</v>
      </c>
      <c r="C247" s="74" t="s">
        <v>1456</v>
      </c>
      <c r="D247" s="222">
        <v>14</v>
      </c>
      <c r="E247" s="324"/>
      <c r="F247" s="324"/>
      <c r="G247" s="324"/>
      <c r="H247" s="324"/>
      <c r="I247" s="324"/>
      <c r="N247" s="10"/>
      <c r="O247" s="10"/>
      <c r="P247" s="10"/>
      <c r="Q247" s="10"/>
      <c r="R247" s="10"/>
      <c r="S247" s="10"/>
      <c r="T247" s="10"/>
      <c r="U247" s="10"/>
      <c r="V247" s="10"/>
    </row>
    <row r="248" spans="1:22">
      <c r="A248" s="63" t="s">
        <v>1457</v>
      </c>
      <c r="B248" s="64" t="s">
        <v>1458</v>
      </c>
      <c r="C248" s="65" t="s">
        <v>1459</v>
      </c>
      <c r="D248" s="222">
        <v>3</v>
      </c>
      <c r="E248" s="324"/>
      <c r="F248" s="324"/>
      <c r="G248" s="324"/>
      <c r="H248" s="324"/>
      <c r="I248" s="324"/>
      <c r="N248" s="10"/>
      <c r="O248" s="10"/>
      <c r="P248" s="10"/>
      <c r="Q248" s="10"/>
      <c r="R248" s="10"/>
      <c r="S248" s="10"/>
      <c r="T248" s="10"/>
      <c r="U248" s="10"/>
      <c r="V248" s="10"/>
    </row>
    <row r="249" spans="1:22">
      <c r="A249" s="63" t="s">
        <v>1460</v>
      </c>
      <c r="B249" s="64" t="s">
        <v>1461</v>
      </c>
      <c r="C249" s="65" t="s">
        <v>1462</v>
      </c>
      <c r="D249" s="222">
        <v>3</v>
      </c>
      <c r="E249" s="324"/>
      <c r="F249" s="324"/>
      <c r="G249" s="324"/>
      <c r="H249" s="324"/>
      <c r="I249" s="324"/>
      <c r="N249" s="10"/>
      <c r="O249" s="10"/>
      <c r="P249" s="10"/>
      <c r="Q249" s="10"/>
      <c r="R249" s="10"/>
      <c r="S249" s="10"/>
      <c r="T249" s="10"/>
      <c r="U249" s="10"/>
      <c r="V249" s="10"/>
    </row>
    <row r="250" spans="1:22">
      <c r="A250" s="63" t="s">
        <v>1463</v>
      </c>
      <c r="B250" s="64" t="s">
        <v>1464</v>
      </c>
      <c r="C250" s="65" t="s">
        <v>1465</v>
      </c>
      <c r="D250" s="222">
        <v>2</v>
      </c>
      <c r="E250" s="324"/>
      <c r="F250" s="324"/>
      <c r="G250" s="324"/>
      <c r="H250" s="324"/>
      <c r="I250" s="324"/>
      <c r="N250" s="10"/>
      <c r="O250" s="10"/>
      <c r="P250" s="10"/>
      <c r="Q250" s="10"/>
      <c r="R250" s="10"/>
      <c r="S250" s="10"/>
      <c r="T250" s="10"/>
      <c r="U250" s="10"/>
      <c r="V250" s="10"/>
    </row>
    <row r="251" spans="1:22">
      <c r="A251" s="63" t="s">
        <v>1466</v>
      </c>
      <c r="B251" s="64" t="s">
        <v>1467</v>
      </c>
      <c r="C251" s="65" t="s">
        <v>1468</v>
      </c>
      <c r="D251" s="222">
        <v>5</v>
      </c>
      <c r="E251" s="324"/>
      <c r="F251" s="324"/>
      <c r="G251" s="324"/>
      <c r="H251" s="324"/>
      <c r="I251" s="324"/>
      <c r="N251" s="10"/>
      <c r="O251" s="10"/>
      <c r="P251" s="10"/>
      <c r="Q251" s="10"/>
      <c r="R251" s="10"/>
      <c r="S251" s="10"/>
      <c r="T251" s="10"/>
      <c r="U251" s="10"/>
      <c r="V251" s="10"/>
    </row>
    <row r="252" spans="1:22">
      <c r="A252" s="63" t="s">
        <v>1469</v>
      </c>
      <c r="B252" s="63" t="s">
        <v>1470</v>
      </c>
      <c r="C252" s="74" t="s">
        <v>1471</v>
      </c>
      <c r="D252" s="222">
        <v>150</v>
      </c>
      <c r="E252" s="324"/>
      <c r="F252" s="324"/>
      <c r="G252" s="324"/>
      <c r="H252" s="324"/>
      <c r="I252" s="324"/>
      <c r="N252" s="10"/>
      <c r="O252" s="10"/>
      <c r="P252" s="10"/>
      <c r="Q252" s="10"/>
      <c r="R252" s="10"/>
      <c r="S252" s="10"/>
      <c r="T252" s="10"/>
      <c r="U252" s="10"/>
      <c r="V252" s="10"/>
    </row>
    <row r="253" spans="1:22">
      <c r="A253" s="63" t="s">
        <v>1472</v>
      </c>
      <c r="B253" s="64" t="s">
        <v>1473</v>
      </c>
      <c r="C253" s="74" t="s">
        <v>1474</v>
      </c>
      <c r="D253" s="222">
        <v>1</v>
      </c>
      <c r="E253" s="324"/>
      <c r="F253" s="324"/>
      <c r="G253" s="324"/>
      <c r="H253" s="324"/>
      <c r="I253" s="324"/>
      <c r="N253" s="10"/>
      <c r="O253" s="10"/>
      <c r="P253" s="10"/>
      <c r="Q253" s="10"/>
      <c r="R253" s="10"/>
      <c r="S253" s="10"/>
      <c r="T253" s="10"/>
      <c r="U253" s="10"/>
      <c r="V253" s="10"/>
    </row>
    <row r="254" spans="1:22">
      <c r="A254" s="63" t="s">
        <v>1475</v>
      </c>
      <c r="B254" s="64" t="s">
        <v>1476</v>
      </c>
      <c r="C254" s="74" t="s">
        <v>1477</v>
      </c>
      <c r="D254" s="222">
        <v>2</v>
      </c>
      <c r="E254" s="324"/>
      <c r="F254" s="324"/>
      <c r="G254" s="324"/>
      <c r="H254" s="324"/>
      <c r="I254" s="324"/>
      <c r="N254" s="10"/>
      <c r="O254" s="10"/>
      <c r="P254" s="10"/>
      <c r="Q254" s="10"/>
      <c r="R254" s="10"/>
      <c r="S254" s="10"/>
      <c r="T254" s="10"/>
      <c r="U254" s="10"/>
      <c r="V254" s="10"/>
    </row>
    <row r="255" spans="1:22">
      <c r="A255" s="63" t="s">
        <v>1475</v>
      </c>
      <c r="B255" s="64" t="s">
        <v>1476</v>
      </c>
      <c r="C255" s="74" t="s">
        <v>1478</v>
      </c>
      <c r="D255" s="222">
        <v>2</v>
      </c>
      <c r="E255" s="324"/>
      <c r="F255" s="324"/>
      <c r="G255" s="324"/>
      <c r="H255" s="324"/>
      <c r="I255" s="324"/>
      <c r="N255" s="10"/>
      <c r="O255" s="10"/>
      <c r="P255" s="10"/>
      <c r="Q255" s="10"/>
      <c r="R255" s="10"/>
      <c r="S255" s="10"/>
      <c r="T255" s="10"/>
      <c r="U255" s="10"/>
      <c r="V255" s="10"/>
    </row>
    <row r="256" spans="1:22">
      <c r="A256" s="63" t="s">
        <v>1479</v>
      </c>
      <c r="B256" s="64" t="s">
        <v>1366</v>
      </c>
      <c r="C256" s="74" t="s">
        <v>1480</v>
      </c>
      <c r="D256" s="222">
        <v>75</v>
      </c>
      <c r="E256" s="324"/>
      <c r="F256" s="324"/>
      <c r="G256" s="324"/>
      <c r="H256" s="324"/>
      <c r="I256" s="324"/>
      <c r="N256" s="10"/>
      <c r="O256" s="10"/>
      <c r="P256" s="10"/>
      <c r="Q256" s="10"/>
      <c r="R256" s="10"/>
      <c r="S256" s="10"/>
      <c r="T256" s="10"/>
      <c r="U256" s="10"/>
      <c r="V256" s="10"/>
    </row>
    <row r="257" spans="1:22">
      <c r="A257" s="63" t="s">
        <v>1481</v>
      </c>
      <c r="B257" s="64" t="s">
        <v>1369</v>
      </c>
      <c r="C257" s="74" t="s">
        <v>1482</v>
      </c>
      <c r="D257" s="222">
        <v>36</v>
      </c>
      <c r="E257" s="324"/>
      <c r="F257" s="324"/>
      <c r="G257" s="324"/>
      <c r="H257" s="324"/>
      <c r="I257" s="324"/>
      <c r="N257" s="10"/>
      <c r="O257" s="10"/>
      <c r="P257" s="10"/>
      <c r="Q257" s="10"/>
      <c r="R257" s="10"/>
      <c r="S257" s="10"/>
      <c r="T257" s="10"/>
      <c r="U257" s="10"/>
      <c r="V257" s="10"/>
    </row>
    <row r="258" spans="1:22">
      <c r="A258" s="63" t="s">
        <v>1483</v>
      </c>
      <c r="B258" s="64" t="s">
        <v>1372</v>
      </c>
      <c r="C258" s="74" t="s">
        <v>1484</v>
      </c>
      <c r="D258" s="222">
        <v>75</v>
      </c>
      <c r="E258" s="324"/>
      <c r="F258" s="324"/>
      <c r="G258" s="324"/>
      <c r="H258" s="324"/>
      <c r="I258" s="324"/>
      <c r="N258" s="10"/>
      <c r="O258" s="10"/>
      <c r="P258" s="10"/>
      <c r="Q258" s="10"/>
      <c r="R258" s="10"/>
      <c r="S258" s="10"/>
      <c r="T258" s="10"/>
      <c r="U258" s="10"/>
      <c r="V258" s="10"/>
    </row>
    <row r="259" spans="1:22">
      <c r="A259" s="63" t="s">
        <v>1485</v>
      </c>
      <c r="B259" s="64" t="s">
        <v>1375</v>
      </c>
      <c r="C259" s="74" t="s">
        <v>1486</v>
      </c>
      <c r="D259" s="222">
        <v>36</v>
      </c>
      <c r="E259" s="324"/>
      <c r="F259" s="324"/>
      <c r="G259" s="324"/>
      <c r="H259" s="324"/>
      <c r="I259" s="324"/>
      <c r="N259" s="10"/>
      <c r="O259" s="10"/>
      <c r="P259" s="10"/>
      <c r="Q259" s="10"/>
      <c r="R259" s="10"/>
      <c r="S259" s="10"/>
      <c r="T259" s="10"/>
      <c r="U259" s="10"/>
      <c r="V259" s="10"/>
    </row>
    <row r="260" spans="1:22">
      <c r="A260" s="63" t="s">
        <v>1487</v>
      </c>
      <c r="B260" s="64" t="s">
        <v>1487</v>
      </c>
      <c r="C260" s="74" t="s">
        <v>1488</v>
      </c>
      <c r="D260" s="222">
        <v>25</v>
      </c>
      <c r="E260" s="324"/>
      <c r="F260" s="324"/>
      <c r="G260" s="324"/>
      <c r="H260" s="324"/>
      <c r="I260" s="324"/>
      <c r="N260" s="10"/>
      <c r="O260" s="10"/>
      <c r="P260" s="10"/>
      <c r="Q260" s="10"/>
      <c r="R260" s="10"/>
      <c r="S260" s="10"/>
      <c r="T260" s="10"/>
      <c r="U260" s="10"/>
      <c r="V260" s="10"/>
    </row>
    <row r="261" spans="1:22">
      <c r="A261" s="63" t="s">
        <v>1489</v>
      </c>
      <c r="B261" s="64" t="s">
        <v>1489</v>
      </c>
      <c r="C261" s="74" t="s">
        <v>1490</v>
      </c>
      <c r="D261" s="222">
        <v>3</v>
      </c>
      <c r="E261" s="324"/>
      <c r="F261" s="324"/>
      <c r="G261" s="324"/>
      <c r="H261" s="324"/>
      <c r="I261" s="324"/>
      <c r="N261" s="10"/>
      <c r="O261" s="10"/>
      <c r="P261" s="10"/>
      <c r="Q261" s="10"/>
      <c r="R261" s="10"/>
      <c r="S261" s="10"/>
      <c r="T261" s="10"/>
      <c r="U261" s="10"/>
      <c r="V261" s="10"/>
    </row>
    <row r="262" spans="1:22">
      <c r="A262" s="63" t="s">
        <v>1491</v>
      </c>
      <c r="B262" s="64" t="s">
        <v>1491</v>
      </c>
      <c r="C262" s="65" t="s">
        <v>1492</v>
      </c>
      <c r="D262" s="222">
        <v>2</v>
      </c>
      <c r="E262" s="324"/>
      <c r="F262" s="324"/>
      <c r="G262" s="324"/>
      <c r="H262" s="324"/>
      <c r="I262" s="324"/>
      <c r="N262" s="10"/>
      <c r="O262" s="10"/>
      <c r="P262" s="10"/>
      <c r="Q262" s="10"/>
      <c r="R262" s="10"/>
      <c r="S262" s="10"/>
      <c r="T262" s="10"/>
      <c r="U262" s="10"/>
      <c r="V262" s="10"/>
    </row>
    <row r="263" spans="1:22">
      <c r="A263" s="63" t="s">
        <v>1493</v>
      </c>
      <c r="B263" s="64" t="s">
        <v>1493</v>
      </c>
      <c r="C263" s="65" t="s">
        <v>1494</v>
      </c>
      <c r="D263" s="222">
        <v>4</v>
      </c>
      <c r="E263" s="324"/>
      <c r="F263" s="324"/>
      <c r="G263" s="324"/>
      <c r="H263" s="324"/>
      <c r="I263" s="324"/>
      <c r="N263" s="10"/>
      <c r="O263" s="10"/>
      <c r="P263" s="10"/>
      <c r="Q263" s="10"/>
      <c r="R263" s="10"/>
      <c r="S263" s="10"/>
      <c r="T263" s="10"/>
      <c r="U263" s="10"/>
      <c r="V263" s="10"/>
    </row>
    <row r="264" spans="1:22">
      <c r="A264" s="63" t="s">
        <v>1495</v>
      </c>
      <c r="B264" s="64" t="s">
        <v>1495</v>
      </c>
      <c r="C264" s="65" t="s">
        <v>1496</v>
      </c>
      <c r="D264" s="222">
        <v>4</v>
      </c>
      <c r="E264" s="324"/>
      <c r="F264" s="324"/>
      <c r="G264" s="324"/>
      <c r="H264" s="324"/>
      <c r="I264" s="324"/>
      <c r="N264" s="10"/>
      <c r="O264" s="10"/>
      <c r="P264" s="10"/>
      <c r="Q264" s="10"/>
      <c r="R264" s="10"/>
      <c r="S264" s="10"/>
      <c r="T264" s="10"/>
      <c r="U264" s="10"/>
      <c r="V264" s="10"/>
    </row>
    <row r="265" spans="1:22">
      <c r="A265" s="63" t="s">
        <v>1497</v>
      </c>
      <c r="B265" s="64" t="s">
        <v>1497</v>
      </c>
      <c r="C265" s="65" t="s">
        <v>1498</v>
      </c>
      <c r="D265" s="222">
        <v>4</v>
      </c>
      <c r="E265" s="324"/>
      <c r="F265" s="324"/>
      <c r="G265" s="324"/>
      <c r="H265" s="324"/>
      <c r="I265" s="324"/>
      <c r="N265" s="10"/>
      <c r="O265" s="10"/>
      <c r="P265" s="10"/>
      <c r="Q265" s="10"/>
      <c r="R265" s="10"/>
      <c r="S265" s="10"/>
      <c r="T265" s="10"/>
      <c r="U265" s="10"/>
      <c r="V265" s="10"/>
    </row>
    <row r="266" spans="1:22">
      <c r="A266" s="63" t="s">
        <v>1499</v>
      </c>
      <c r="B266" s="64" t="s">
        <v>1499</v>
      </c>
      <c r="C266" s="65" t="s">
        <v>1500</v>
      </c>
      <c r="D266" s="222">
        <v>3</v>
      </c>
      <c r="E266" s="324"/>
      <c r="F266" s="324"/>
      <c r="G266" s="324"/>
      <c r="H266" s="324"/>
      <c r="I266" s="324"/>
      <c r="N266" s="10"/>
      <c r="O266" s="10"/>
      <c r="P266" s="10"/>
      <c r="Q266" s="10"/>
      <c r="R266" s="10"/>
      <c r="S266" s="10"/>
      <c r="T266" s="10"/>
      <c r="U266" s="10"/>
      <c r="V266" s="10"/>
    </row>
    <row r="267" spans="1:22">
      <c r="A267" s="16"/>
      <c r="B267" s="16"/>
      <c r="C267" s="41"/>
      <c r="D267" s="42"/>
      <c r="E267" s="42"/>
      <c r="F267" s="42"/>
      <c r="G267" s="42"/>
      <c r="H267" s="42"/>
      <c r="I267" s="42"/>
      <c r="J267" s="10"/>
      <c r="K267" s="10"/>
      <c r="L267" s="10"/>
      <c r="M267" s="10"/>
      <c r="N267" s="10"/>
      <c r="O267" s="10"/>
      <c r="P267" s="10"/>
      <c r="Q267" s="10"/>
      <c r="R267" s="10"/>
      <c r="S267" s="10"/>
      <c r="T267" s="10"/>
      <c r="U267" s="10"/>
      <c r="V267" s="10"/>
    </row>
    <row r="268" spans="1:22" ht="40.5" customHeight="1">
      <c r="A268" s="26" t="s">
        <v>935</v>
      </c>
      <c r="B268" s="5" t="s">
        <v>118</v>
      </c>
      <c r="C268" s="5"/>
      <c r="D268" s="6" t="s">
        <v>938</v>
      </c>
      <c r="E268" s="5" t="s">
        <v>133</v>
      </c>
      <c r="F268" s="5" t="s">
        <v>134</v>
      </c>
      <c r="G268" s="5" t="s">
        <v>135</v>
      </c>
      <c r="H268" s="5" t="s">
        <v>136</v>
      </c>
      <c r="I268" s="5" t="s">
        <v>137</v>
      </c>
      <c r="J268" s="5" t="s">
        <v>339</v>
      </c>
      <c r="K268" s="5" t="s">
        <v>340</v>
      </c>
      <c r="L268" s="5" t="s">
        <v>341</v>
      </c>
      <c r="M268" s="5" t="s">
        <v>342</v>
      </c>
      <c r="N268" s="5" t="s">
        <v>343</v>
      </c>
      <c r="O268" s="5" t="s">
        <v>591</v>
      </c>
      <c r="P268" s="5" t="s">
        <v>592</v>
      </c>
      <c r="Q268" s="5" t="s">
        <v>593</v>
      </c>
      <c r="R268" s="5" t="s">
        <v>594</v>
      </c>
      <c r="S268" s="5" t="s">
        <v>1501</v>
      </c>
      <c r="T268" s="5" t="s">
        <v>1502</v>
      </c>
      <c r="U268" s="5" t="s">
        <v>864</v>
      </c>
      <c r="V268" s="5" t="s">
        <v>862</v>
      </c>
    </row>
    <row r="269" spans="1:22">
      <c r="A269" s="59" t="s">
        <v>1503</v>
      </c>
      <c r="B269" s="60"/>
      <c r="C269" s="60"/>
      <c r="D269" s="61"/>
      <c r="E269" s="60"/>
      <c r="F269" s="60"/>
      <c r="G269" s="60"/>
      <c r="H269" s="62"/>
      <c r="I269" s="62"/>
      <c r="J269" s="62"/>
      <c r="K269" s="62"/>
      <c r="L269" s="62"/>
      <c r="M269" s="62"/>
      <c r="N269" s="62"/>
      <c r="O269" s="62"/>
      <c r="P269" s="62"/>
      <c r="Q269" s="62"/>
      <c r="R269" s="62"/>
      <c r="S269" s="62"/>
      <c r="T269" s="62"/>
      <c r="U269" s="62"/>
      <c r="V269" s="62"/>
    </row>
    <row r="270" spans="1:22" ht="25.5">
      <c r="A270" s="63" t="s">
        <v>1504</v>
      </c>
      <c r="B270" s="64" t="s">
        <v>1505</v>
      </c>
      <c r="C270" s="65"/>
      <c r="D270" s="82">
        <v>110</v>
      </c>
      <c r="E270" s="111" t="s">
        <v>1506</v>
      </c>
      <c r="F270" s="111" t="s">
        <v>1590</v>
      </c>
      <c r="G270" s="109" t="s">
        <v>1591</v>
      </c>
      <c r="H270" s="110" t="s">
        <v>1507</v>
      </c>
      <c r="I270" s="110" t="s">
        <v>1508</v>
      </c>
      <c r="J270" s="110" t="s">
        <v>1509</v>
      </c>
      <c r="K270" s="232" t="s">
        <v>1510</v>
      </c>
      <c r="L270" s="232" t="s">
        <v>1511</v>
      </c>
      <c r="M270" s="110" t="s">
        <v>1512</v>
      </c>
      <c r="N270" s="110" t="s">
        <v>1513</v>
      </c>
      <c r="O270" s="110" t="s">
        <v>1514</v>
      </c>
      <c r="P270" s="110" t="s">
        <v>1515</v>
      </c>
      <c r="Q270" s="110" t="s">
        <v>1516</v>
      </c>
      <c r="R270" s="110" t="s">
        <v>1517</v>
      </c>
      <c r="S270" s="110" t="s">
        <v>1518</v>
      </c>
      <c r="T270" s="110" t="s">
        <v>1519</v>
      </c>
      <c r="U270" s="111" t="s">
        <v>1520</v>
      </c>
      <c r="V270" s="111" t="s">
        <v>1521</v>
      </c>
    </row>
    <row r="271" spans="1:22" ht="38.25">
      <c r="A271" s="63" t="s">
        <v>1704</v>
      </c>
      <c r="B271" s="64" t="s">
        <v>1522</v>
      </c>
      <c r="C271" s="65"/>
      <c r="D271" s="82">
        <v>160</v>
      </c>
      <c r="E271" s="111" t="s">
        <v>1523</v>
      </c>
      <c r="F271" s="111" t="s">
        <v>1592</v>
      </c>
      <c r="G271" s="109" t="s">
        <v>1593</v>
      </c>
      <c r="H271" s="110" t="s">
        <v>1524</v>
      </c>
      <c r="I271" s="110" t="s">
        <v>1525</v>
      </c>
      <c r="J271" s="110" t="s">
        <v>1526</v>
      </c>
      <c r="K271" s="232" t="s">
        <v>1527</v>
      </c>
      <c r="L271" s="232" t="s">
        <v>1528</v>
      </c>
      <c r="M271" s="110" t="s">
        <v>1529</v>
      </c>
      <c r="N271" s="110" t="s">
        <v>1530</v>
      </c>
      <c r="O271" s="110" t="s">
        <v>1531</v>
      </c>
      <c r="P271" s="110" t="s">
        <v>1532</v>
      </c>
      <c r="Q271" s="110" t="s">
        <v>1533</v>
      </c>
      <c r="R271" s="110" t="s">
        <v>1534</v>
      </c>
      <c r="S271" s="110" t="s">
        <v>1535</v>
      </c>
      <c r="T271" s="110" t="s">
        <v>1536</v>
      </c>
      <c r="U271" s="111" t="s">
        <v>1537</v>
      </c>
      <c r="V271" s="111" t="s">
        <v>1538</v>
      </c>
    </row>
    <row r="273" spans="4:21">
      <c r="D273" s="19"/>
      <c r="E273" s="19"/>
      <c r="F273" s="19"/>
      <c r="G273" s="19"/>
      <c r="H273" s="19"/>
      <c r="I273" s="19"/>
    </row>
    <row r="274" spans="4:21">
      <c r="D274" s="19"/>
      <c r="E274" s="19"/>
      <c r="F274" s="19"/>
      <c r="G274" s="19"/>
      <c r="H274" s="19"/>
      <c r="I274" s="19"/>
      <c r="U274" s="205"/>
    </row>
    <row r="275" spans="4:21">
      <c r="D275" s="19"/>
      <c r="E275" s="19"/>
      <c r="F275" s="19"/>
      <c r="G275" s="19"/>
      <c r="H275" s="19"/>
      <c r="I275" s="19"/>
    </row>
    <row r="276" spans="4:21">
      <c r="D276" s="19"/>
      <c r="E276" s="19"/>
      <c r="F276" s="19"/>
      <c r="G276" s="19"/>
      <c r="H276" s="19"/>
      <c r="I276" s="19"/>
    </row>
    <row r="277" spans="4:21">
      <c r="D277" s="19"/>
      <c r="E277" s="19"/>
      <c r="F277" s="19"/>
      <c r="G277" s="19"/>
      <c r="H277" s="19"/>
      <c r="I277" s="19"/>
    </row>
    <row r="278" spans="4:21">
      <c r="D278" s="19"/>
      <c r="E278" s="19"/>
      <c r="F278" s="19"/>
      <c r="G278" s="19"/>
      <c r="H278" s="19"/>
      <c r="I278" s="19"/>
    </row>
    <row r="279" spans="4:21">
      <c r="D279" s="19"/>
      <c r="E279" s="19"/>
      <c r="F279" s="19"/>
      <c r="G279" s="19"/>
      <c r="H279" s="19"/>
      <c r="I279" s="19"/>
    </row>
    <row r="280" spans="4:21">
      <c r="D280" s="19"/>
      <c r="E280" s="19"/>
      <c r="F280" s="19"/>
      <c r="G280" s="19"/>
      <c r="H280" s="19"/>
      <c r="I280" s="19"/>
    </row>
    <row r="281" spans="4:21">
      <c r="D281" s="19"/>
      <c r="E281" s="19"/>
      <c r="F281" s="19"/>
      <c r="G281" s="19"/>
      <c r="H281" s="19"/>
      <c r="I281" s="19"/>
    </row>
    <row r="282" spans="4:21">
      <c r="D282" s="19"/>
      <c r="E282" s="19"/>
      <c r="F282" s="19"/>
      <c r="G282" s="19"/>
      <c r="H282" s="19"/>
      <c r="I282" s="19"/>
    </row>
    <row r="283" spans="4:21">
      <c r="D283" s="19"/>
      <c r="E283" s="19"/>
      <c r="F283" s="19"/>
      <c r="G283" s="19"/>
      <c r="H283" s="19"/>
      <c r="I283" s="19"/>
    </row>
    <row r="284" spans="4:21">
      <c r="D284" s="19"/>
      <c r="E284" s="19"/>
      <c r="F284" s="19"/>
      <c r="G284" s="19"/>
      <c r="H284" s="19"/>
      <c r="I284" s="19"/>
    </row>
    <row r="285" spans="4:21">
      <c r="D285" s="19"/>
      <c r="E285" s="19"/>
      <c r="F285" s="19"/>
      <c r="G285" s="19"/>
      <c r="H285" s="19"/>
      <c r="I285" s="19"/>
    </row>
    <row r="286" spans="4:21">
      <c r="D286" s="19"/>
      <c r="E286" s="19"/>
      <c r="F286" s="19"/>
      <c r="G286" s="19"/>
      <c r="H286" s="19"/>
      <c r="I286" s="19"/>
    </row>
    <row r="287" spans="4:21">
      <c r="D287" s="19"/>
      <c r="E287" s="19"/>
      <c r="F287" s="19"/>
      <c r="G287" s="19"/>
      <c r="H287" s="19"/>
      <c r="I287" s="19"/>
    </row>
    <row r="288" spans="4:21">
      <c r="D288" s="19"/>
      <c r="E288" s="19"/>
      <c r="F288" s="19"/>
      <c r="G288" s="19"/>
      <c r="H288" s="19"/>
      <c r="I288" s="19"/>
    </row>
    <row r="289" s="19" customFormat="1"/>
    <row r="290" s="19" customFormat="1"/>
    <row r="291" s="19" customFormat="1"/>
  </sheetData>
  <phoneticPr fontId="22"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6:N22"/>
  <sheetViews>
    <sheetView zoomScaleNormal="100" workbookViewId="0">
      <selection activeCell="A13" sqref="A13"/>
    </sheetView>
  </sheetViews>
  <sheetFormatPr baseColWidth="10" defaultColWidth="11.42578125" defaultRowHeight="14.25"/>
  <cols>
    <col min="1" max="1" width="6.42578125" style="8" bestFit="1" customWidth="1"/>
    <col min="2" max="2" width="10.42578125" style="8" customWidth="1"/>
    <col min="3" max="3" width="21" style="8" bestFit="1" customWidth="1"/>
    <col min="4" max="4" width="23.42578125" style="8" bestFit="1" customWidth="1"/>
    <col min="5" max="6" width="12.42578125" style="8" customWidth="1"/>
    <col min="7" max="7" width="18.85546875" style="8" customWidth="1"/>
    <col min="8" max="8" width="12.42578125" style="8" customWidth="1"/>
    <col min="9" max="9" width="33.140625" style="16" bestFit="1" customWidth="1"/>
    <col min="10" max="10" width="20.42578125" style="21" bestFit="1" customWidth="1"/>
    <col min="11" max="11" width="17.42578125" style="8" bestFit="1" customWidth="1"/>
    <col min="12" max="12" width="11.42578125" style="8"/>
    <col min="13" max="13" width="17.85546875" style="8" bestFit="1" customWidth="1"/>
    <col min="14" max="16384" width="11.42578125" style="8"/>
  </cols>
  <sheetData>
    <row r="6" spans="1:14" s="3" customFormat="1" ht="20.25">
      <c r="A6" s="352" t="s">
        <v>114</v>
      </c>
      <c r="B6" s="352"/>
      <c r="C6" s="352"/>
      <c r="D6" s="352"/>
      <c r="E6" s="352"/>
      <c r="F6" s="352"/>
      <c r="G6" s="352"/>
      <c r="H6" s="352"/>
      <c r="I6" s="16"/>
      <c r="J6" s="21"/>
    </row>
    <row r="7" spans="1:14" s="3" customFormat="1" ht="20.25">
      <c r="A7" s="352" t="s">
        <v>115</v>
      </c>
      <c r="B7" s="352"/>
      <c r="C7" s="352"/>
      <c r="D7" s="352"/>
      <c r="E7" s="352"/>
      <c r="F7" s="352"/>
      <c r="G7" s="352"/>
      <c r="H7" s="352"/>
      <c r="I7" s="27"/>
      <c r="J7" s="21"/>
    </row>
    <row r="8" spans="1:14" s="16" customFormat="1" ht="20.25">
      <c r="A8" s="353" t="s">
        <v>1539</v>
      </c>
      <c r="B8" s="354"/>
      <c r="C8" s="354"/>
      <c r="D8" s="354"/>
      <c r="E8" s="354"/>
      <c r="F8" s="354"/>
      <c r="G8" s="354"/>
      <c r="H8" s="354"/>
      <c r="I8" s="354"/>
      <c r="J8" s="354"/>
      <c r="K8" s="354"/>
      <c r="L8" s="354"/>
      <c r="M8" s="354"/>
    </row>
    <row r="9" spans="1:14" s="16" customFormat="1" ht="57.75">
      <c r="A9" s="28" t="s">
        <v>1540</v>
      </c>
      <c r="B9" s="29" t="s">
        <v>120</v>
      </c>
      <c r="C9" s="30" t="s">
        <v>1541</v>
      </c>
      <c r="D9" s="30" t="s">
        <v>1542</v>
      </c>
      <c r="E9" s="30" t="s">
        <v>1543</v>
      </c>
      <c r="F9" s="30" t="s">
        <v>1544</v>
      </c>
      <c r="G9" s="30" t="s">
        <v>1545</v>
      </c>
      <c r="H9" s="30" t="s">
        <v>1546</v>
      </c>
      <c r="I9" s="30" t="s">
        <v>1547</v>
      </c>
      <c r="J9" s="31" t="s">
        <v>1548</v>
      </c>
      <c r="K9" s="31" t="s">
        <v>1549</v>
      </c>
      <c r="L9" s="31" t="s">
        <v>1550</v>
      </c>
      <c r="M9" s="32" t="s">
        <v>1551</v>
      </c>
      <c r="N9" s="7" t="s">
        <v>139</v>
      </c>
    </row>
    <row r="10" spans="1:14" s="16" customFormat="1" ht="12.75">
      <c r="A10" s="33" t="s">
        <v>1552</v>
      </c>
      <c r="B10" s="34"/>
      <c r="C10" s="34"/>
      <c r="D10" s="34"/>
      <c r="E10" s="34"/>
      <c r="F10" s="34"/>
      <c r="G10" s="34"/>
      <c r="H10" s="34"/>
      <c r="I10" s="34"/>
      <c r="J10" s="34" t="s">
        <v>1553</v>
      </c>
      <c r="K10" s="35" t="s">
        <v>1554</v>
      </c>
      <c r="L10" s="35" t="s">
        <v>1554</v>
      </c>
      <c r="M10" s="36"/>
      <c r="N10" s="7"/>
    </row>
    <row r="11" spans="1:14" s="16" customFormat="1" ht="38.25">
      <c r="A11" s="37" t="s">
        <v>1552</v>
      </c>
      <c r="B11" s="38" t="s">
        <v>1555</v>
      </c>
      <c r="C11" s="39" t="s">
        <v>1556</v>
      </c>
      <c r="D11" s="39" t="s">
        <v>1557</v>
      </c>
      <c r="E11" s="39" t="s">
        <v>1558</v>
      </c>
      <c r="F11" s="39" t="s">
        <v>1559</v>
      </c>
      <c r="G11" s="39" t="s">
        <v>1560</v>
      </c>
      <c r="H11" s="39" t="s">
        <v>350</v>
      </c>
      <c r="I11" s="39" t="s">
        <v>1561</v>
      </c>
      <c r="J11" s="39" t="s">
        <v>1553</v>
      </c>
      <c r="K11" s="39" t="s">
        <v>1562</v>
      </c>
      <c r="L11" s="39" t="s">
        <v>1563</v>
      </c>
      <c r="M11" s="45" t="s">
        <v>1564</v>
      </c>
      <c r="N11" s="108">
        <v>690</v>
      </c>
    </row>
    <row r="12" spans="1:14" s="16" customFormat="1" ht="23.25" customHeight="1">
      <c r="A12" s="37" t="s">
        <v>1565</v>
      </c>
      <c r="B12" s="38" t="s">
        <v>1566</v>
      </c>
      <c r="C12" s="39" t="s">
        <v>1556</v>
      </c>
      <c r="D12" s="39" t="s">
        <v>1557</v>
      </c>
      <c r="E12" s="39" t="s">
        <v>1558</v>
      </c>
      <c r="F12" s="39" t="s">
        <v>1559</v>
      </c>
      <c r="G12" s="39"/>
      <c r="H12" s="39" t="s">
        <v>350</v>
      </c>
      <c r="I12" s="39" t="s">
        <v>1567</v>
      </c>
      <c r="J12" s="39" t="s">
        <v>1553</v>
      </c>
      <c r="K12" s="39" t="s">
        <v>1568</v>
      </c>
      <c r="L12" s="39" t="s">
        <v>1563</v>
      </c>
      <c r="M12" s="45" t="s">
        <v>1564</v>
      </c>
      <c r="N12" s="108">
        <v>601</v>
      </c>
    </row>
    <row r="13" spans="1:14" s="16" customFormat="1" ht="15">
      <c r="A13" s="8"/>
      <c r="B13" s="8"/>
      <c r="C13" s="8"/>
      <c r="D13" s="8"/>
      <c r="E13" s="8"/>
      <c r="F13" s="8"/>
      <c r="G13" s="8"/>
      <c r="H13" s="8"/>
      <c r="J13"/>
      <c r="K13"/>
      <c r="L13"/>
      <c r="M13"/>
    </row>
    <row r="14" spans="1:14" s="16" customFormat="1">
      <c r="A14" s="8"/>
      <c r="B14" s="8"/>
      <c r="C14" s="8"/>
      <c r="D14" s="8"/>
      <c r="E14" s="8"/>
      <c r="F14" s="8"/>
      <c r="G14" s="8"/>
      <c r="H14" s="8"/>
      <c r="J14" s="21"/>
      <c r="K14" s="8"/>
      <c r="L14" s="8"/>
      <c r="M14" s="8"/>
    </row>
    <row r="15" spans="1:14" s="16" customFormat="1">
      <c r="A15" s="8"/>
      <c r="B15" s="8"/>
      <c r="C15" s="8"/>
      <c r="D15" s="8"/>
      <c r="E15" s="8"/>
      <c r="F15" s="8"/>
      <c r="G15" s="8"/>
      <c r="H15" s="8"/>
      <c r="J15" s="21"/>
      <c r="K15" s="8"/>
      <c r="L15" s="8"/>
      <c r="M15" s="8"/>
    </row>
    <row r="16" spans="1:14" s="16" customFormat="1">
      <c r="A16" s="8"/>
      <c r="B16" s="8"/>
      <c r="C16" s="8"/>
      <c r="D16" s="8"/>
      <c r="E16" s="8"/>
      <c r="F16" s="8"/>
      <c r="G16" s="8"/>
      <c r="H16" s="8"/>
      <c r="J16" s="21"/>
      <c r="K16" s="8"/>
      <c r="L16" s="8"/>
      <c r="M16" s="8"/>
    </row>
    <row r="17" spans="1:13" s="16" customFormat="1">
      <c r="A17" s="8"/>
      <c r="B17" s="8"/>
      <c r="C17" s="8"/>
      <c r="D17" s="8"/>
      <c r="E17" s="8"/>
      <c r="F17" s="8"/>
      <c r="G17" s="8"/>
      <c r="H17" s="8"/>
      <c r="J17" s="21"/>
      <c r="K17" s="8"/>
      <c r="L17" s="8"/>
      <c r="M17" s="8"/>
    </row>
    <row r="18" spans="1:13" s="16" customFormat="1">
      <c r="A18" s="8"/>
      <c r="B18" s="8"/>
      <c r="C18" s="8"/>
      <c r="D18" s="8"/>
      <c r="E18" s="8"/>
      <c r="F18" s="8"/>
      <c r="G18" s="8"/>
      <c r="H18" s="8"/>
      <c r="J18" s="21"/>
      <c r="K18" s="8"/>
      <c r="L18" s="8"/>
      <c r="M18" s="8"/>
    </row>
    <row r="19" spans="1:13" s="16" customFormat="1">
      <c r="A19" s="8"/>
      <c r="B19" s="8"/>
      <c r="C19" s="8"/>
      <c r="D19" s="8"/>
      <c r="E19" s="8"/>
      <c r="F19" s="8"/>
      <c r="G19" s="8"/>
      <c r="H19" s="8"/>
      <c r="J19" s="21"/>
      <c r="K19" s="8"/>
      <c r="L19" s="8"/>
      <c r="M19" s="8"/>
    </row>
    <row r="20" spans="1:13" s="16" customFormat="1">
      <c r="A20" s="8"/>
      <c r="B20" s="8"/>
      <c r="C20" s="8"/>
      <c r="D20" s="8"/>
      <c r="E20" s="8"/>
      <c r="F20" s="8"/>
      <c r="G20" s="8"/>
      <c r="H20" s="8"/>
      <c r="J20" s="21"/>
      <c r="K20" s="8"/>
      <c r="L20" s="8"/>
      <c r="M20" s="8"/>
    </row>
    <row r="21" spans="1:13" s="16" customFormat="1">
      <c r="A21" s="8"/>
      <c r="B21" s="8"/>
      <c r="C21" s="8"/>
      <c r="D21" s="8"/>
      <c r="E21" s="8"/>
      <c r="F21" s="8"/>
      <c r="G21" s="8"/>
      <c r="H21" s="8"/>
      <c r="J21" s="21"/>
      <c r="K21" s="8"/>
      <c r="L21" s="8"/>
      <c r="M21" s="8"/>
    </row>
    <row r="22" spans="1:13" s="16" customFormat="1">
      <c r="A22" s="8"/>
      <c r="B22" s="8"/>
      <c r="C22" s="8"/>
      <c r="D22" s="8"/>
      <c r="E22" s="8"/>
      <c r="F22" s="8"/>
      <c r="G22" s="8"/>
      <c r="H22" s="8"/>
      <c r="J22" s="21"/>
      <c r="K22" s="8"/>
      <c r="L22" s="8"/>
      <c r="M22" s="8"/>
    </row>
  </sheetData>
  <mergeCells count="3">
    <mergeCell ref="A6:H6"/>
    <mergeCell ref="A7:H7"/>
    <mergeCell ref="A8:M8"/>
  </mergeCells>
  <conditionalFormatting sqref="B9">
    <cfRule type="duplicateValues" dxfId="14" priority="6"/>
    <cfRule type="duplicateValues" dxfId="13" priority="7"/>
    <cfRule type="duplicateValues" dxfId="12" priority="8"/>
  </conditionalFormatting>
  <conditionalFormatting sqref="B10:B11">
    <cfRule type="duplicateValues" dxfId="11" priority="4"/>
  </conditionalFormatting>
  <conditionalFormatting sqref="B12">
    <cfRule type="duplicateValues" dxfId="10" priority="1"/>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6:V397"/>
  <sheetViews>
    <sheetView topLeftCell="A354" zoomScale="50" zoomScaleNormal="50" workbookViewId="0">
      <selection activeCell="F378" sqref="F378"/>
    </sheetView>
  </sheetViews>
  <sheetFormatPr baseColWidth="10" defaultColWidth="11.42578125" defaultRowHeight="14.25"/>
  <cols>
    <col min="1" max="1" width="118.5703125" style="8" customWidth="1"/>
    <col min="2" max="2" width="80.85546875" style="8" customWidth="1"/>
    <col min="3" max="3" width="8.140625" style="41" customWidth="1"/>
    <col min="4" max="4" width="11.42578125" style="12" customWidth="1"/>
    <col min="5" max="5" width="10.42578125" style="12" customWidth="1"/>
    <col min="6" max="6" width="11.140625" style="12" customWidth="1"/>
    <col min="7" max="7" width="10.85546875" style="12" customWidth="1"/>
    <col min="8" max="8" width="9.85546875" style="12" customWidth="1"/>
    <col min="9" max="10" width="10.85546875" style="12" customWidth="1"/>
    <col min="11" max="11" width="15.140625" style="13" customWidth="1"/>
    <col min="12" max="12" width="13.42578125" style="10" customWidth="1"/>
    <col min="13" max="13" width="7.42578125" style="8" customWidth="1"/>
    <col min="14" max="14" width="14.85546875" style="8" customWidth="1"/>
    <col min="15" max="15" width="15.5703125" style="8" customWidth="1"/>
    <col min="16" max="16" width="14.85546875" style="8" customWidth="1"/>
    <col min="17" max="17" width="14.5703125" style="8" customWidth="1"/>
    <col min="18" max="18" width="11.42578125" style="8"/>
    <col min="19" max="19" width="14.42578125" style="8" customWidth="1"/>
    <col min="20" max="20" width="13" style="8" customWidth="1"/>
    <col min="21" max="21" width="14.42578125" style="8" customWidth="1"/>
    <col min="22" max="22" width="14.140625" style="8" customWidth="1"/>
    <col min="23" max="16384" width="11.42578125" style="8"/>
  </cols>
  <sheetData>
    <row r="6" spans="1:22" s="3" customFormat="1" ht="20.25" customHeight="1">
      <c r="A6" s="2" t="s">
        <v>114</v>
      </c>
      <c r="B6" s="2"/>
      <c r="C6" s="22"/>
      <c r="D6" s="67"/>
      <c r="E6" s="67"/>
      <c r="F6" s="67"/>
      <c r="G6" s="67"/>
      <c r="H6" s="67"/>
      <c r="I6" s="67"/>
      <c r="J6" s="67"/>
      <c r="K6" s="4"/>
      <c r="L6" s="130"/>
      <c r="N6" s="193" t="s">
        <v>1569</v>
      </c>
      <c r="O6" s="190"/>
      <c r="P6" s="190"/>
      <c r="Q6" s="190"/>
      <c r="R6" s="190"/>
      <c r="S6" s="190"/>
      <c r="T6" s="190"/>
      <c r="U6" s="190"/>
      <c r="V6" s="191"/>
    </row>
    <row r="7" spans="1:22" s="3" customFormat="1" ht="40.5">
      <c r="A7" s="2" t="s">
        <v>115</v>
      </c>
      <c r="B7" s="2"/>
      <c r="C7" s="22"/>
      <c r="D7" s="67"/>
      <c r="E7" s="67"/>
      <c r="F7" s="67"/>
      <c r="G7" s="67"/>
      <c r="H7" s="67"/>
      <c r="I7" s="67"/>
      <c r="J7" s="67"/>
      <c r="K7" s="4"/>
      <c r="L7" s="171"/>
      <c r="N7" s="163" t="s">
        <v>1570</v>
      </c>
      <c r="O7" s="163" t="s">
        <v>1570</v>
      </c>
      <c r="P7" s="163" t="s">
        <v>1570</v>
      </c>
      <c r="Q7" s="163" t="s">
        <v>1570</v>
      </c>
      <c r="R7" s="148"/>
      <c r="S7" s="163" t="s">
        <v>1570</v>
      </c>
      <c r="T7" s="163" t="s">
        <v>1570</v>
      </c>
      <c r="U7" s="163" t="s">
        <v>1570</v>
      </c>
      <c r="V7" s="163" t="s">
        <v>1570</v>
      </c>
    </row>
    <row r="8" spans="1:22" s="3" customFormat="1" ht="20.25">
      <c r="A8" s="4"/>
      <c r="B8" s="4"/>
      <c r="C8" s="22"/>
      <c r="D8" s="67"/>
      <c r="E8" s="67"/>
      <c r="F8" s="67"/>
      <c r="G8" s="67"/>
      <c r="H8" s="67"/>
      <c r="I8" s="67"/>
      <c r="J8" s="67"/>
      <c r="K8" s="4"/>
      <c r="L8" s="130"/>
      <c r="N8" s="158">
        <v>0.19044</v>
      </c>
      <c r="O8" s="158">
        <v>0.10291</v>
      </c>
      <c r="P8" s="159">
        <v>7.3639999999999997E-2</v>
      </c>
      <c r="Q8" s="160">
        <v>5.8959999999999999E-2</v>
      </c>
      <c r="R8" s="138"/>
      <c r="S8" s="158">
        <v>0.19644</v>
      </c>
      <c r="T8" s="158">
        <v>0.10891000000000001</v>
      </c>
      <c r="U8" s="158">
        <v>7.9640000000000002E-2</v>
      </c>
      <c r="V8" s="158">
        <v>6.4960000000000004E-2</v>
      </c>
    </row>
    <row r="9" spans="1:22" s="3" customFormat="1" ht="20.25">
      <c r="A9" s="86" t="s">
        <v>116</v>
      </c>
      <c r="B9" s="87"/>
      <c r="C9" s="121"/>
      <c r="D9" s="88"/>
      <c r="E9" s="88"/>
      <c r="F9" s="88"/>
      <c r="G9" s="88"/>
      <c r="H9" s="88"/>
      <c r="I9" s="88"/>
      <c r="J9" s="88"/>
      <c r="K9" s="86"/>
      <c r="L9" s="227"/>
      <c r="N9" s="165" t="s">
        <v>1571</v>
      </c>
      <c r="O9" s="166"/>
      <c r="P9" s="166"/>
      <c r="Q9" s="167"/>
      <c r="R9" s="164"/>
      <c r="S9" s="165" t="s">
        <v>1572</v>
      </c>
      <c r="T9" s="166"/>
      <c r="U9" s="166"/>
      <c r="V9" s="167"/>
    </row>
    <row r="10" spans="1:22" s="3" customFormat="1" ht="111.75" customHeight="1">
      <c r="A10" s="5" t="s">
        <v>117</v>
      </c>
      <c r="B10" s="5" t="s">
        <v>118</v>
      </c>
      <c r="C10" s="5" t="s">
        <v>119</v>
      </c>
      <c r="D10" s="5"/>
      <c r="E10" s="5"/>
      <c r="F10" s="5"/>
      <c r="G10" s="5"/>
      <c r="H10" s="68"/>
      <c r="I10" s="68"/>
      <c r="J10" s="68"/>
      <c r="K10" s="5" t="s">
        <v>120</v>
      </c>
      <c r="L10" s="6" t="s">
        <v>1573</v>
      </c>
      <c r="N10" s="133" t="s">
        <v>1574</v>
      </c>
      <c r="O10" s="132" t="s">
        <v>1575</v>
      </c>
      <c r="P10" s="133" t="s">
        <v>1576</v>
      </c>
      <c r="Q10" s="133" t="s">
        <v>1577</v>
      </c>
      <c r="R10" s="134"/>
      <c r="S10" s="161" t="s">
        <v>1574</v>
      </c>
      <c r="T10" s="162" t="s">
        <v>1575</v>
      </c>
      <c r="U10" s="161" t="s">
        <v>1576</v>
      </c>
      <c r="V10" s="161" t="s">
        <v>1577</v>
      </c>
    </row>
    <row r="11" spans="1:22" s="3" customFormat="1" ht="171.95" customHeight="1">
      <c r="A11" s="113" t="s">
        <v>123</v>
      </c>
      <c r="B11" s="114" t="s">
        <v>124</v>
      </c>
      <c r="C11" s="115"/>
      <c r="D11" s="116"/>
      <c r="E11" s="116"/>
      <c r="F11" s="116"/>
      <c r="G11" s="116"/>
      <c r="H11" s="116"/>
      <c r="I11" s="116"/>
      <c r="J11" s="116"/>
      <c r="K11" s="182"/>
      <c r="L11" s="173">
        <v>352</v>
      </c>
      <c r="N11" s="249">
        <f>L11*$N$8</f>
        <v>67.034880000000001</v>
      </c>
      <c r="O11" s="179">
        <f>L11*$O$8</f>
        <v>36.224319999999999</v>
      </c>
      <c r="P11" s="179">
        <f>L11*$P$8</f>
        <v>25.921279999999999</v>
      </c>
      <c r="Q11" s="179">
        <f>L11*$Q$8</f>
        <v>20.753920000000001</v>
      </c>
      <c r="R11" s="179"/>
      <c r="S11" s="179">
        <f>L11*$S$8</f>
        <v>69.146879999999996</v>
      </c>
      <c r="T11" s="179">
        <f>L11*$T$8</f>
        <v>38.336320000000001</v>
      </c>
      <c r="U11" s="179">
        <f>L11*$U$8</f>
        <v>28.033280000000001</v>
      </c>
      <c r="V11" s="179">
        <f>L11*$V$8</f>
        <v>22.865920000000003</v>
      </c>
    </row>
    <row r="12" spans="1:22" s="3" customFormat="1">
      <c r="A12" s="113"/>
      <c r="B12" s="114"/>
      <c r="C12" s="115"/>
      <c r="D12" s="116"/>
      <c r="E12" s="116"/>
      <c r="F12" s="116"/>
      <c r="G12" s="116"/>
      <c r="H12" s="116"/>
      <c r="I12" s="116"/>
      <c r="J12" s="116"/>
      <c r="K12" s="182"/>
      <c r="L12" s="173"/>
      <c r="N12" s="250"/>
      <c r="O12" s="58"/>
      <c r="P12" s="58"/>
      <c r="Q12" s="58"/>
      <c r="R12" s="58"/>
      <c r="S12" s="58"/>
      <c r="T12" s="58"/>
      <c r="U12" s="58"/>
      <c r="V12" s="58"/>
    </row>
    <row r="13" spans="1:22" s="3" customFormat="1" ht="160.5" customHeight="1">
      <c r="A13" s="113" t="s">
        <v>125</v>
      </c>
      <c r="B13" s="114" t="s">
        <v>126</v>
      </c>
      <c r="C13" s="115"/>
      <c r="D13" s="116"/>
      <c r="E13" s="116"/>
      <c r="F13" s="116"/>
      <c r="G13" s="116"/>
      <c r="H13" s="116"/>
      <c r="I13" s="116"/>
      <c r="J13" s="116"/>
      <c r="K13" s="182"/>
      <c r="L13" s="173">
        <v>333</v>
      </c>
      <c r="N13" s="249">
        <f t="shared" ref="N13:N77" si="0">L13*$N$8</f>
        <v>63.416519999999998</v>
      </c>
      <c r="O13" s="179">
        <f t="shared" ref="O13:O77" si="1">L13*$O$8</f>
        <v>34.269030000000001</v>
      </c>
      <c r="P13" s="179">
        <f t="shared" ref="P13:P77" si="2">L13*$P$8</f>
        <v>24.522119999999997</v>
      </c>
      <c r="Q13" s="179">
        <f t="shared" ref="Q13:Q77" si="3">L13*$Q$8</f>
        <v>19.633679999999998</v>
      </c>
      <c r="R13" s="179"/>
      <c r="S13" s="179">
        <f t="shared" ref="S13:S77" si="4">L13*$S$8</f>
        <v>65.414519999999996</v>
      </c>
      <c r="T13" s="179">
        <f t="shared" ref="T13:T77" si="5">L13*$T$8</f>
        <v>36.267030000000005</v>
      </c>
      <c r="U13" s="179">
        <f t="shared" ref="U13:U77" si="6">L13*$U$8</f>
        <v>26.520120000000002</v>
      </c>
      <c r="V13" s="179">
        <f t="shared" ref="V13:V77" si="7">L13*$V$8</f>
        <v>21.631680000000003</v>
      </c>
    </row>
    <row r="14" spans="1:22" s="3" customFormat="1" ht="15.75" customHeight="1">
      <c r="A14" s="113"/>
      <c r="B14" s="114"/>
      <c r="C14" s="115"/>
      <c r="D14" s="116"/>
      <c r="E14" s="116"/>
      <c r="F14" s="116"/>
      <c r="G14" s="116"/>
      <c r="H14" s="116"/>
      <c r="I14" s="116"/>
      <c r="J14" s="116"/>
      <c r="K14" s="182"/>
      <c r="L14" s="173"/>
      <c r="N14" s="249"/>
      <c r="O14" s="179"/>
      <c r="P14" s="179"/>
      <c r="Q14" s="179"/>
      <c r="R14" s="179"/>
      <c r="S14" s="179"/>
      <c r="T14" s="179"/>
      <c r="U14" s="179"/>
      <c r="V14" s="179"/>
    </row>
    <row r="15" spans="1:22" s="3" customFormat="1" ht="162.94999999999999" customHeight="1">
      <c r="A15" s="113" t="s">
        <v>127</v>
      </c>
      <c r="B15" s="114" t="s">
        <v>128</v>
      </c>
      <c r="C15" s="115"/>
      <c r="D15" s="116"/>
      <c r="E15" s="116"/>
      <c r="F15" s="116"/>
      <c r="G15" s="116"/>
      <c r="H15" s="116"/>
      <c r="I15" s="116"/>
      <c r="J15" s="116"/>
      <c r="K15" s="182"/>
      <c r="L15" s="173">
        <v>352</v>
      </c>
      <c r="N15" s="249">
        <f t="shared" si="0"/>
        <v>67.034880000000001</v>
      </c>
      <c r="O15" s="179">
        <f t="shared" si="1"/>
        <v>36.224319999999999</v>
      </c>
      <c r="P15" s="179">
        <f t="shared" si="2"/>
        <v>25.921279999999999</v>
      </c>
      <c r="Q15" s="179">
        <f t="shared" si="3"/>
        <v>20.753920000000001</v>
      </c>
      <c r="R15" s="179"/>
      <c r="S15" s="179">
        <f t="shared" si="4"/>
        <v>69.146879999999996</v>
      </c>
      <c r="T15" s="179">
        <f t="shared" si="5"/>
        <v>38.336320000000001</v>
      </c>
      <c r="U15" s="179">
        <f t="shared" si="6"/>
        <v>28.033280000000001</v>
      </c>
      <c r="V15" s="179">
        <f t="shared" si="7"/>
        <v>22.865920000000003</v>
      </c>
    </row>
    <row r="16" spans="1:22" ht="12.75" customHeight="1">
      <c r="A16" s="113"/>
      <c r="B16" s="114"/>
      <c r="C16" s="115"/>
      <c r="D16" s="116"/>
      <c r="E16" s="116"/>
      <c r="F16" s="116"/>
      <c r="G16" s="116"/>
      <c r="H16" s="116"/>
      <c r="I16" s="116"/>
      <c r="J16" s="116"/>
      <c r="K16" s="182"/>
      <c r="L16" s="173"/>
      <c r="N16" s="249"/>
      <c r="O16" s="179"/>
      <c r="P16" s="179"/>
      <c r="Q16" s="179"/>
      <c r="R16" s="179"/>
      <c r="S16" s="179"/>
      <c r="T16" s="179"/>
      <c r="U16" s="179"/>
      <c r="V16" s="179"/>
    </row>
    <row r="17" spans="1:22" ht="156.75" customHeight="1">
      <c r="A17" s="117" t="s">
        <v>129</v>
      </c>
      <c r="B17" s="114" t="s">
        <v>130</v>
      </c>
      <c r="C17" s="115"/>
      <c r="D17" s="116"/>
      <c r="E17" s="116"/>
      <c r="F17" s="116"/>
      <c r="G17" s="116"/>
      <c r="H17" s="116"/>
      <c r="I17" s="116"/>
      <c r="J17" s="116"/>
      <c r="K17" s="182"/>
      <c r="L17" s="173">
        <v>333</v>
      </c>
      <c r="N17" s="249">
        <f t="shared" si="0"/>
        <v>63.416519999999998</v>
      </c>
      <c r="O17" s="179">
        <f t="shared" si="1"/>
        <v>34.269030000000001</v>
      </c>
      <c r="P17" s="179">
        <f t="shared" si="2"/>
        <v>24.522119999999997</v>
      </c>
      <c r="Q17" s="179">
        <f t="shared" si="3"/>
        <v>19.633679999999998</v>
      </c>
      <c r="R17" s="179"/>
      <c r="S17" s="179">
        <f t="shared" si="4"/>
        <v>65.414519999999996</v>
      </c>
      <c r="T17" s="179">
        <f t="shared" si="5"/>
        <v>36.267030000000005</v>
      </c>
      <c r="U17" s="179">
        <f t="shared" si="6"/>
        <v>26.520120000000002</v>
      </c>
      <c r="V17" s="179">
        <f t="shared" si="7"/>
        <v>21.631680000000003</v>
      </c>
    </row>
    <row r="18" spans="1:22" ht="15.75" customHeight="1">
      <c r="A18" s="113"/>
      <c r="B18" s="114"/>
      <c r="C18" s="115"/>
      <c r="D18" s="116"/>
      <c r="E18" s="116"/>
      <c r="F18" s="116"/>
      <c r="G18" s="116"/>
      <c r="H18" s="116"/>
      <c r="I18" s="116"/>
      <c r="J18" s="116"/>
      <c r="K18" s="182"/>
      <c r="L18" s="173"/>
      <c r="N18" s="249"/>
      <c r="O18" s="179"/>
      <c r="P18" s="179"/>
      <c r="Q18" s="179"/>
      <c r="R18" s="179"/>
      <c r="S18" s="179"/>
      <c r="T18" s="179"/>
      <c r="U18" s="179"/>
      <c r="V18" s="179"/>
    </row>
    <row r="19" spans="1:22" ht="144.94999999999999" customHeight="1">
      <c r="A19" s="233" t="s">
        <v>1653</v>
      </c>
      <c r="B19" s="114" t="s">
        <v>131</v>
      </c>
      <c r="C19" s="115"/>
      <c r="D19" s="116"/>
      <c r="E19" s="116"/>
      <c r="F19" s="116"/>
      <c r="G19" s="116"/>
      <c r="H19" s="116"/>
      <c r="I19" s="116"/>
      <c r="J19" s="116"/>
      <c r="K19" s="182"/>
      <c r="L19" s="173">
        <v>438</v>
      </c>
      <c r="N19" s="249">
        <f t="shared" si="0"/>
        <v>83.412719999999993</v>
      </c>
      <c r="O19" s="179">
        <f t="shared" si="1"/>
        <v>45.074579999999997</v>
      </c>
      <c r="P19" s="179">
        <f t="shared" si="2"/>
        <v>32.25432</v>
      </c>
      <c r="Q19" s="179">
        <f t="shared" si="3"/>
        <v>25.824479999999998</v>
      </c>
      <c r="R19" s="179"/>
      <c r="S19" s="179">
        <f t="shared" si="4"/>
        <v>86.040720000000007</v>
      </c>
      <c r="T19" s="179">
        <f t="shared" si="5"/>
        <v>47.702580000000005</v>
      </c>
      <c r="U19" s="179">
        <f t="shared" si="6"/>
        <v>34.88232</v>
      </c>
      <c r="V19" s="179">
        <f t="shared" si="7"/>
        <v>28.452480000000001</v>
      </c>
    </row>
    <row r="20" spans="1:22">
      <c r="A20" s="113"/>
      <c r="B20" s="114"/>
      <c r="C20" s="115"/>
      <c r="D20" s="116"/>
      <c r="E20" s="116"/>
      <c r="F20" s="116"/>
      <c r="G20" s="116"/>
      <c r="H20" s="116"/>
      <c r="I20" s="116"/>
      <c r="J20" s="116"/>
      <c r="K20" s="182"/>
      <c r="L20" s="173"/>
      <c r="N20" s="82"/>
      <c r="O20" s="179"/>
      <c r="P20" s="179"/>
      <c r="Q20" s="179"/>
      <c r="R20" s="179"/>
      <c r="S20" s="179"/>
      <c r="T20" s="179"/>
      <c r="U20" s="179"/>
      <c r="V20" s="179"/>
    </row>
    <row r="21" spans="1:22" ht="25.5">
      <c r="A21" s="9" t="s">
        <v>132</v>
      </c>
      <c r="B21" s="5" t="s">
        <v>118</v>
      </c>
      <c r="C21" s="5" t="s">
        <v>119</v>
      </c>
      <c r="D21" s="5" t="s">
        <v>133</v>
      </c>
      <c r="E21" s="5" t="s">
        <v>134</v>
      </c>
      <c r="F21" s="5" t="s">
        <v>135</v>
      </c>
      <c r="G21" s="5" t="s">
        <v>136</v>
      </c>
      <c r="H21" s="5" t="s">
        <v>137</v>
      </c>
      <c r="I21" s="68"/>
      <c r="J21" s="68"/>
      <c r="K21" s="5" t="s">
        <v>138</v>
      </c>
      <c r="L21" s="6" t="s">
        <v>938</v>
      </c>
      <c r="N21" s="133" t="s">
        <v>1574</v>
      </c>
      <c r="O21" s="132" t="s">
        <v>1575</v>
      </c>
      <c r="P21" s="133" t="s">
        <v>1576</v>
      </c>
      <c r="Q21" s="133" t="s">
        <v>1577</v>
      </c>
      <c r="R21" s="134"/>
      <c r="S21" s="161" t="s">
        <v>1574</v>
      </c>
      <c r="T21" s="162" t="s">
        <v>1575</v>
      </c>
      <c r="U21" s="161" t="s">
        <v>1576</v>
      </c>
      <c r="V21" s="161" t="s">
        <v>1577</v>
      </c>
    </row>
    <row r="22" spans="1:22">
      <c r="A22" s="89" t="s">
        <v>140</v>
      </c>
      <c r="B22" s="90"/>
      <c r="C22" s="90"/>
      <c r="D22" s="91"/>
      <c r="E22" s="91"/>
      <c r="F22" s="91"/>
      <c r="G22" s="91"/>
      <c r="H22" s="91"/>
      <c r="I22" s="91"/>
      <c r="J22" s="91"/>
      <c r="K22" s="90"/>
      <c r="L22" s="168"/>
      <c r="N22" s="238"/>
      <c r="O22" s="238"/>
      <c r="P22" s="238"/>
      <c r="Q22" s="238"/>
      <c r="R22" s="238"/>
      <c r="S22" s="238"/>
      <c r="T22" s="238"/>
      <c r="U22" s="238"/>
      <c r="V22" s="238"/>
    </row>
    <row r="23" spans="1:22">
      <c r="A23" s="109" t="s">
        <v>1578</v>
      </c>
      <c r="B23" s="109" t="s">
        <v>142</v>
      </c>
      <c r="C23" s="118"/>
      <c r="D23" s="105"/>
      <c r="E23" s="105" t="s">
        <v>143</v>
      </c>
      <c r="F23" s="105"/>
      <c r="G23" s="105" t="s">
        <v>144</v>
      </c>
      <c r="H23" s="105" t="s">
        <v>145</v>
      </c>
      <c r="I23" s="105"/>
      <c r="J23" s="105"/>
      <c r="K23" s="118"/>
      <c r="L23" s="173">
        <v>62</v>
      </c>
      <c r="N23" s="239">
        <f t="shared" si="0"/>
        <v>11.80728</v>
      </c>
      <c r="O23" s="239">
        <f t="shared" si="1"/>
        <v>6.38042</v>
      </c>
      <c r="P23" s="239">
        <f t="shared" si="2"/>
        <v>4.5656799999999995</v>
      </c>
      <c r="Q23" s="239">
        <f t="shared" si="3"/>
        <v>3.6555200000000001</v>
      </c>
      <c r="R23" s="239"/>
      <c r="S23" s="239">
        <f t="shared" si="4"/>
        <v>12.17928</v>
      </c>
      <c r="T23" s="239">
        <f t="shared" si="5"/>
        <v>6.7524200000000008</v>
      </c>
      <c r="U23" s="239">
        <f t="shared" si="6"/>
        <v>4.9376800000000003</v>
      </c>
      <c r="V23" s="239">
        <f t="shared" si="7"/>
        <v>4.02752</v>
      </c>
    </row>
    <row r="24" spans="1:22">
      <c r="A24" s="109" t="s">
        <v>146</v>
      </c>
      <c r="B24" s="109" t="s">
        <v>147</v>
      </c>
      <c r="C24" s="118"/>
      <c r="D24" s="105"/>
      <c r="E24" s="105" t="s">
        <v>148</v>
      </c>
      <c r="F24" s="105"/>
      <c r="G24" s="105" t="s">
        <v>149</v>
      </c>
      <c r="H24" s="105"/>
      <c r="I24" s="105"/>
      <c r="J24" s="105"/>
      <c r="K24" s="118"/>
      <c r="L24" s="173">
        <v>62</v>
      </c>
      <c r="N24" s="239">
        <f t="shared" ref="N24" si="8">L24*$N$8</f>
        <v>11.80728</v>
      </c>
      <c r="O24" s="239">
        <f t="shared" ref="O24" si="9">L24*$O$8</f>
        <v>6.38042</v>
      </c>
      <c r="P24" s="239">
        <f t="shared" ref="P24" si="10">L24*$P$8</f>
        <v>4.5656799999999995</v>
      </c>
      <c r="Q24" s="239">
        <f t="shared" ref="Q24" si="11">L24*$Q$8</f>
        <v>3.6555200000000001</v>
      </c>
      <c r="R24" s="239"/>
      <c r="S24" s="239">
        <f t="shared" ref="S24" si="12">L24*$S$8</f>
        <v>12.17928</v>
      </c>
      <c r="T24" s="239">
        <f t="shared" ref="T24" si="13">L24*$T$8</f>
        <v>6.7524200000000008</v>
      </c>
      <c r="U24" s="239">
        <f t="shared" ref="U24" si="14">L24*$U$8</f>
        <v>4.9376800000000003</v>
      </c>
      <c r="V24" s="239">
        <f t="shared" ref="V24" si="15">L24*$V$8</f>
        <v>4.02752</v>
      </c>
    </row>
    <row r="25" spans="1:22">
      <c r="A25" s="109" t="s">
        <v>150</v>
      </c>
      <c r="B25" s="109" t="s">
        <v>151</v>
      </c>
      <c r="C25" s="118"/>
      <c r="D25" s="105"/>
      <c r="E25" s="105"/>
      <c r="F25" s="105"/>
      <c r="G25" s="105"/>
      <c r="H25" s="105" t="s">
        <v>152</v>
      </c>
      <c r="I25" s="105"/>
      <c r="J25" s="105"/>
      <c r="K25" s="118"/>
      <c r="L25" s="173">
        <v>62</v>
      </c>
      <c r="N25" s="239">
        <f t="shared" ref="N25" si="16">L25*$N$8</f>
        <v>11.80728</v>
      </c>
      <c r="O25" s="239">
        <f t="shared" ref="O25" si="17">L25*$O$8</f>
        <v>6.38042</v>
      </c>
      <c r="P25" s="239">
        <f t="shared" ref="P25" si="18">L25*$P$8</f>
        <v>4.5656799999999995</v>
      </c>
      <c r="Q25" s="239">
        <f t="shared" ref="Q25" si="19">L25*$Q$8</f>
        <v>3.6555200000000001</v>
      </c>
      <c r="R25" s="239"/>
      <c r="S25" s="239">
        <f t="shared" ref="S25" si="20">L25*$S$8</f>
        <v>12.17928</v>
      </c>
      <c r="T25" s="239">
        <f t="shared" ref="T25" si="21">L25*$T$8</f>
        <v>6.7524200000000008</v>
      </c>
      <c r="U25" s="239">
        <f t="shared" ref="U25" si="22">L25*$U$8</f>
        <v>4.9376800000000003</v>
      </c>
      <c r="V25" s="239">
        <f t="shared" ref="V25" si="23">L25*$V$8</f>
        <v>4.02752</v>
      </c>
    </row>
    <row r="26" spans="1:22">
      <c r="A26" s="109" t="s">
        <v>153</v>
      </c>
      <c r="B26" s="109" t="s">
        <v>154</v>
      </c>
      <c r="C26" s="118"/>
      <c r="D26" s="105" t="s">
        <v>155</v>
      </c>
      <c r="E26" s="105"/>
      <c r="F26" s="105" t="s">
        <v>156</v>
      </c>
      <c r="G26" s="105"/>
      <c r="H26" s="105"/>
      <c r="I26" s="105"/>
      <c r="J26" s="105"/>
      <c r="K26" s="118"/>
      <c r="L26" s="173">
        <v>80</v>
      </c>
      <c r="N26" s="239">
        <f t="shared" si="0"/>
        <v>15.235199999999999</v>
      </c>
      <c r="O26" s="239">
        <f t="shared" si="1"/>
        <v>8.232800000000001</v>
      </c>
      <c r="P26" s="239">
        <f t="shared" si="2"/>
        <v>5.8911999999999995</v>
      </c>
      <c r="Q26" s="239">
        <f t="shared" si="3"/>
        <v>4.7168000000000001</v>
      </c>
      <c r="R26" s="239"/>
      <c r="S26" s="239">
        <f t="shared" si="4"/>
        <v>15.715199999999999</v>
      </c>
      <c r="T26" s="239">
        <f t="shared" si="5"/>
        <v>8.7128000000000014</v>
      </c>
      <c r="U26" s="239">
        <f t="shared" si="6"/>
        <v>6.3712</v>
      </c>
      <c r="V26" s="239">
        <f t="shared" si="7"/>
        <v>5.1968000000000005</v>
      </c>
    </row>
    <row r="27" spans="1:22">
      <c r="A27" s="109" t="s">
        <v>157</v>
      </c>
      <c r="B27" s="109" t="s">
        <v>158</v>
      </c>
      <c r="C27" s="118"/>
      <c r="D27" s="105" t="s">
        <v>159</v>
      </c>
      <c r="E27" s="105"/>
      <c r="F27" s="105" t="s">
        <v>160</v>
      </c>
      <c r="G27" s="105"/>
      <c r="H27" s="105"/>
      <c r="I27" s="105"/>
      <c r="J27" s="105"/>
      <c r="K27" s="118"/>
      <c r="L27" s="173">
        <v>80</v>
      </c>
      <c r="N27" s="239">
        <f t="shared" si="0"/>
        <v>15.235199999999999</v>
      </c>
      <c r="O27" s="239">
        <f t="shared" si="1"/>
        <v>8.232800000000001</v>
      </c>
      <c r="P27" s="239">
        <f t="shared" si="2"/>
        <v>5.8911999999999995</v>
      </c>
      <c r="Q27" s="239">
        <f t="shared" si="3"/>
        <v>4.7168000000000001</v>
      </c>
      <c r="R27" s="239"/>
      <c r="S27" s="239">
        <f t="shared" si="4"/>
        <v>15.715199999999999</v>
      </c>
      <c r="T27" s="239">
        <f t="shared" si="5"/>
        <v>8.7128000000000014</v>
      </c>
      <c r="U27" s="239">
        <f t="shared" si="6"/>
        <v>6.3712</v>
      </c>
      <c r="V27" s="239">
        <f t="shared" si="7"/>
        <v>5.1968000000000005</v>
      </c>
    </row>
    <row r="28" spans="1:22">
      <c r="A28" s="109" t="s">
        <v>1579</v>
      </c>
      <c r="B28" s="109" t="s">
        <v>162</v>
      </c>
      <c r="C28" s="118"/>
      <c r="D28" s="105"/>
      <c r="E28" s="105" t="s">
        <v>163</v>
      </c>
      <c r="F28" s="105"/>
      <c r="G28" s="105"/>
      <c r="H28" s="105" t="s">
        <v>164</v>
      </c>
      <c r="I28" s="105"/>
      <c r="J28" s="105"/>
      <c r="K28" s="118"/>
      <c r="L28" s="173">
        <v>152</v>
      </c>
      <c r="N28" s="239">
        <f t="shared" si="0"/>
        <v>28.94688</v>
      </c>
      <c r="O28" s="239">
        <f t="shared" si="1"/>
        <v>15.64232</v>
      </c>
      <c r="P28" s="239">
        <f t="shared" si="2"/>
        <v>11.19328</v>
      </c>
      <c r="Q28" s="239">
        <f t="shared" si="3"/>
        <v>8.9619199999999992</v>
      </c>
      <c r="R28" s="239"/>
      <c r="S28" s="239">
        <f t="shared" si="4"/>
        <v>29.858879999999999</v>
      </c>
      <c r="T28" s="239">
        <f t="shared" si="5"/>
        <v>16.554320000000001</v>
      </c>
      <c r="U28" s="239">
        <f t="shared" si="6"/>
        <v>12.10528</v>
      </c>
      <c r="V28" s="239">
        <f t="shared" si="7"/>
        <v>9.87392</v>
      </c>
    </row>
    <row r="29" spans="1:22">
      <c r="A29" s="109" t="s">
        <v>165</v>
      </c>
      <c r="B29" s="109" t="s">
        <v>166</v>
      </c>
      <c r="C29" s="118"/>
      <c r="D29" s="105"/>
      <c r="E29" s="105" t="s">
        <v>167</v>
      </c>
      <c r="F29" s="105"/>
      <c r="G29" s="105"/>
      <c r="H29" s="105"/>
      <c r="I29" s="105"/>
      <c r="J29" s="105"/>
      <c r="K29" s="118"/>
      <c r="L29" s="173">
        <v>152</v>
      </c>
      <c r="N29" s="239">
        <f t="shared" ref="N29" si="24">L29*$N$8</f>
        <v>28.94688</v>
      </c>
      <c r="O29" s="239">
        <f t="shared" ref="O29" si="25">L29*$O$8</f>
        <v>15.64232</v>
      </c>
      <c r="P29" s="239">
        <f t="shared" ref="P29" si="26">L29*$P$8</f>
        <v>11.19328</v>
      </c>
      <c r="Q29" s="239">
        <f t="shared" ref="Q29" si="27">L29*$Q$8</f>
        <v>8.9619199999999992</v>
      </c>
      <c r="R29" s="239"/>
      <c r="S29" s="239">
        <f t="shared" ref="S29" si="28">L29*$S$8</f>
        <v>29.858879999999999</v>
      </c>
      <c r="T29" s="239">
        <f t="shared" ref="T29" si="29">L29*$T$8</f>
        <v>16.554320000000001</v>
      </c>
      <c r="U29" s="239">
        <f t="shared" ref="U29" si="30">L29*$U$8</f>
        <v>12.10528</v>
      </c>
      <c r="V29" s="239">
        <f t="shared" ref="V29" si="31">L29*$V$8</f>
        <v>9.87392</v>
      </c>
    </row>
    <row r="30" spans="1:22">
      <c r="A30" s="109" t="s">
        <v>1580</v>
      </c>
      <c r="B30" s="109" t="s">
        <v>169</v>
      </c>
      <c r="C30" s="118"/>
      <c r="D30" s="105"/>
      <c r="E30" s="105"/>
      <c r="F30" s="105"/>
      <c r="G30" s="105" t="s">
        <v>170</v>
      </c>
      <c r="H30" s="105"/>
      <c r="I30" s="105"/>
      <c r="J30" s="105"/>
      <c r="K30" s="118"/>
      <c r="L30" s="173">
        <v>152</v>
      </c>
      <c r="N30" s="239">
        <f t="shared" si="0"/>
        <v>28.94688</v>
      </c>
      <c r="O30" s="239">
        <f t="shared" si="1"/>
        <v>15.64232</v>
      </c>
      <c r="P30" s="239">
        <f t="shared" si="2"/>
        <v>11.19328</v>
      </c>
      <c r="Q30" s="239">
        <f t="shared" si="3"/>
        <v>8.9619199999999992</v>
      </c>
      <c r="R30" s="239"/>
      <c r="S30" s="239">
        <f t="shared" si="4"/>
        <v>29.858879999999999</v>
      </c>
      <c r="T30" s="239">
        <f t="shared" si="5"/>
        <v>16.554320000000001</v>
      </c>
      <c r="U30" s="239">
        <f t="shared" si="6"/>
        <v>12.10528</v>
      </c>
      <c r="V30" s="239">
        <f t="shared" si="7"/>
        <v>9.87392</v>
      </c>
    </row>
    <row r="31" spans="1:22">
      <c r="A31" s="109" t="s">
        <v>171</v>
      </c>
      <c r="B31" s="109" t="s">
        <v>172</v>
      </c>
      <c r="C31" s="118"/>
      <c r="D31" s="105"/>
      <c r="E31" s="105"/>
      <c r="F31" s="105"/>
      <c r="G31" s="105" t="s">
        <v>173</v>
      </c>
      <c r="H31" s="105"/>
      <c r="I31" s="105"/>
      <c r="J31" s="105"/>
      <c r="K31" s="118"/>
      <c r="L31" s="173">
        <v>152</v>
      </c>
      <c r="N31" s="239">
        <f t="shared" ref="N31" si="32">L31*$N$8</f>
        <v>28.94688</v>
      </c>
      <c r="O31" s="239">
        <f t="shared" ref="O31" si="33">L31*$O$8</f>
        <v>15.64232</v>
      </c>
      <c r="P31" s="239">
        <f t="shared" ref="P31" si="34">L31*$P$8</f>
        <v>11.19328</v>
      </c>
      <c r="Q31" s="239">
        <f t="shared" ref="Q31" si="35">L31*$Q$8</f>
        <v>8.9619199999999992</v>
      </c>
      <c r="R31" s="239"/>
      <c r="S31" s="239">
        <f t="shared" ref="S31" si="36">L31*$S$8</f>
        <v>29.858879999999999</v>
      </c>
      <c r="T31" s="239">
        <f t="shared" ref="T31" si="37">L31*$T$8</f>
        <v>16.554320000000001</v>
      </c>
      <c r="U31" s="239">
        <f t="shared" ref="U31" si="38">L31*$U$8</f>
        <v>12.10528</v>
      </c>
      <c r="V31" s="239">
        <f t="shared" ref="V31" si="39">L31*$V$8</f>
        <v>9.87392</v>
      </c>
    </row>
    <row r="32" spans="1:22">
      <c r="A32" s="109" t="s">
        <v>174</v>
      </c>
      <c r="B32" s="109" t="s">
        <v>175</v>
      </c>
      <c r="C32" s="118"/>
      <c r="D32" s="105" t="s">
        <v>176</v>
      </c>
      <c r="E32" s="105"/>
      <c r="F32" s="105" t="s">
        <v>177</v>
      </c>
      <c r="G32" s="105"/>
      <c r="H32" s="105"/>
      <c r="I32" s="105"/>
      <c r="J32" s="105"/>
      <c r="K32" s="118"/>
      <c r="L32" s="173">
        <v>175</v>
      </c>
      <c r="N32" s="239">
        <f t="shared" si="0"/>
        <v>33.326999999999998</v>
      </c>
      <c r="O32" s="239">
        <f t="shared" si="1"/>
        <v>18.009250000000002</v>
      </c>
      <c r="P32" s="239">
        <f t="shared" si="2"/>
        <v>12.886999999999999</v>
      </c>
      <c r="Q32" s="239">
        <f t="shared" si="3"/>
        <v>10.318</v>
      </c>
      <c r="R32" s="239"/>
      <c r="S32" s="239">
        <f t="shared" si="4"/>
        <v>34.377000000000002</v>
      </c>
      <c r="T32" s="239">
        <f t="shared" si="5"/>
        <v>19.059250000000002</v>
      </c>
      <c r="U32" s="239">
        <f t="shared" si="6"/>
        <v>13.937000000000001</v>
      </c>
      <c r="V32" s="239">
        <f t="shared" si="7"/>
        <v>11.368</v>
      </c>
    </row>
    <row r="33" spans="1:22">
      <c r="A33" s="109" t="s">
        <v>178</v>
      </c>
      <c r="B33" s="109" t="s">
        <v>179</v>
      </c>
      <c r="C33" s="118"/>
      <c r="D33" s="105" t="s">
        <v>180</v>
      </c>
      <c r="E33" s="105"/>
      <c r="F33" s="105" t="s">
        <v>181</v>
      </c>
      <c r="G33" s="105"/>
      <c r="H33" s="105"/>
      <c r="I33" s="105"/>
      <c r="J33" s="105"/>
      <c r="K33" s="118"/>
      <c r="L33" s="173">
        <v>204</v>
      </c>
      <c r="N33" s="239">
        <f t="shared" si="0"/>
        <v>38.849759999999996</v>
      </c>
      <c r="O33" s="239">
        <f t="shared" si="1"/>
        <v>20.993639999999999</v>
      </c>
      <c r="P33" s="239">
        <f t="shared" si="2"/>
        <v>15.022559999999999</v>
      </c>
      <c r="Q33" s="239">
        <f t="shared" si="3"/>
        <v>12.027839999999999</v>
      </c>
      <c r="R33" s="239"/>
      <c r="S33" s="239">
        <f t="shared" si="4"/>
        <v>40.07376</v>
      </c>
      <c r="T33" s="239">
        <f t="shared" si="5"/>
        <v>22.217640000000003</v>
      </c>
      <c r="U33" s="239">
        <f t="shared" si="6"/>
        <v>16.246559999999999</v>
      </c>
      <c r="V33" s="239">
        <f t="shared" si="7"/>
        <v>13.251840000000001</v>
      </c>
    </row>
    <row r="34" spans="1:22">
      <c r="A34" s="109" t="s">
        <v>182</v>
      </c>
      <c r="B34" s="109" t="s">
        <v>183</v>
      </c>
      <c r="C34" s="118"/>
      <c r="D34" s="105" t="s">
        <v>184</v>
      </c>
      <c r="E34" s="105"/>
      <c r="F34" s="105" t="s">
        <v>185</v>
      </c>
      <c r="G34" s="105"/>
      <c r="H34" s="105"/>
      <c r="I34" s="105"/>
      <c r="J34" s="105"/>
      <c r="K34" s="118"/>
      <c r="L34" s="173">
        <v>304</v>
      </c>
      <c r="N34" s="239">
        <f t="shared" si="0"/>
        <v>57.89376</v>
      </c>
      <c r="O34" s="239">
        <f t="shared" si="1"/>
        <v>31.28464</v>
      </c>
      <c r="P34" s="239">
        <f t="shared" si="2"/>
        <v>22.386559999999999</v>
      </c>
      <c r="Q34" s="239">
        <f t="shared" si="3"/>
        <v>17.923839999999998</v>
      </c>
      <c r="R34" s="239"/>
      <c r="S34" s="239">
        <f t="shared" si="4"/>
        <v>59.717759999999998</v>
      </c>
      <c r="T34" s="239">
        <f t="shared" si="5"/>
        <v>33.108640000000001</v>
      </c>
      <c r="U34" s="239">
        <f t="shared" si="6"/>
        <v>24.210560000000001</v>
      </c>
      <c r="V34" s="239">
        <f t="shared" si="7"/>
        <v>19.74784</v>
      </c>
    </row>
    <row r="35" spans="1:22">
      <c r="A35" s="113"/>
      <c r="B35" s="114"/>
      <c r="C35" s="115"/>
      <c r="D35" s="116"/>
      <c r="E35" s="116"/>
      <c r="F35" s="116"/>
      <c r="G35" s="116"/>
      <c r="H35" s="116"/>
      <c r="I35" s="116"/>
      <c r="J35" s="116"/>
      <c r="K35" s="182"/>
      <c r="L35" s="173"/>
      <c r="N35" s="239"/>
      <c r="O35" s="239"/>
      <c r="P35" s="239"/>
      <c r="Q35" s="239"/>
      <c r="R35" s="239"/>
      <c r="S35" s="239"/>
      <c r="T35" s="239"/>
      <c r="U35" s="239"/>
      <c r="V35" s="239"/>
    </row>
    <row r="36" spans="1:22">
      <c r="A36" s="89" t="s">
        <v>186</v>
      </c>
      <c r="B36" s="90"/>
      <c r="C36" s="90"/>
      <c r="D36" s="91"/>
      <c r="E36" s="91"/>
      <c r="F36" s="91"/>
      <c r="G36" s="91"/>
      <c r="H36" s="91"/>
      <c r="I36" s="91"/>
      <c r="J36" s="91"/>
      <c r="K36" s="90"/>
      <c r="L36" s="168"/>
      <c r="N36" s="238"/>
      <c r="O36" s="238"/>
      <c r="P36" s="238"/>
      <c r="Q36" s="238"/>
      <c r="R36" s="238"/>
      <c r="S36" s="238"/>
      <c r="T36" s="238"/>
      <c r="U36" s="238"/>
      <c r="V36" s="238"/>
    </row>
    <row r="37" spans="1:22">
      <c r="A37" s="109" t="s">
        <v>187</v>
      </c>
      <c r="B37" s="109" t="s">
        <v>187</v>
      </c>
      <c r="C37" s="118"/>
      <c r="D37" s="105" t="s">
        <v>188</v>
      </c>
      <c r="E37" s="105" t="s">
        <v>189</v>
      </c>
      <c r="F37" s="105" t="s">
        <v>190</v>
      </c>
      <c r="G37" s="105" t="s">
        <v>191</v>
      </c>
      <c r="H37" s="105" t="s">
        <v>192</v>
      </c>
      <c r="I37" s="105"/>
      <c r="J37" s="105"/>
      <c r="K37" s="118"/>
      <c r="L37" s="173">
        <v>40</v>
      </c>
      <c r="N37" s="239">
        <f t="shared" si="0"/>
        <v>7.6175999999999995</v>
      </c>
      <c r="O37" s="239">
        <f t="shared" si="1"/>
        <v>4.1164000000000005</v>
      </c>
      <c r="P37" s="239">
        <f t="shared" si="2"/>
        <v>2.9455999999999998</v>
      </c>
      <c r="Q37" s="239">
        <f t="shared" si="3"/>
        <v>2.3584000000000001</v>
      </c>
      <c r="R37" s="239"/>
      <c r="S37" s="239">
        <f t="shared" si="4"/>
        <v>7.8575999999999997</v>
      </c>
      <c r="T37" s="239">
        <f t="shared" si="5"/>
        <v>4.3564000000000007</v>
      </c>
      <c r="U37" s="239">
        <f t="shared" si="6"/>
        <v>3.1856</v>
      </c>
      <c r="V37" s="239">
        <f t="shared" si="7"/>
        <v>2.5984000000000003</v>
      </c>
    </row>
    <row r="38" spans="1:22">
      <c r="A38" s="109" t="s">
        <v>193</v>
      </c>
      <c r="B38" s="109" t="s">
        <v>193</v>
      </c>
      <c r="C38" s="118"/>
      <c r="D38" s="105" t="s">
        <v>194</v>
      </c>
      <c r="E38" s="105"/>
      <c r="F38" s="105" t="s">
        <v>195</v>
      </c>
      <c r="G38" s="105"/>
      <c r="H38" s="105" t="s">
        <v>196</v>
      </c>
      <c r="I38" s="105"/>
      <c r="J38" s="105"/>
      <c r="K38" s="118"/>
      <c r="L38" s="173">
        <v>125</v>
      </c>
      <c r="N38" s="239">
        <f t="shared" si="0"/>
        <v>23.805</v>
      </c>
      <c r="O38" s="239">
        <f t="shared" si="1"/>
        <v>12.86375</v>
      </c>
      <c r="P38" s="239">
        <f t="shared" si="2"/>
        <v>9.2050000000000001</v>
      </c>
      <c r="Q38" s="239">
        <f t="shared" si="3"/>
        <v>7.37</v>
      </c>
      <c r="R38" s="239"/>
      <c r="S38" s="239">
        <f t="shared" si="4"/>
        <v>24.555</v>
      </c>
      <c r="T38" s="239">
        <f t="shared" si="5"/>
        <v>13.613750000000001</v>
      </c>
      <c r="U38" s="239">
        <f t="shared" si="6"/>
        <v>9.9550000000000001</v>
      </c>
      <c r="V38" s="239">
        <f t="shared" si="7"/>
        <v>8.120000000000001</v>
      </c>
    </row>
    <row r="39" spans="1:22">
      <c r="A39" s="113"/>
      <c r="B39" s="114"/>
      <c r="C39" s="115"/>
      <c r="D39" s="116"/>
      <c r="E39" s="116"/>
      <c r="F39" s="116"/>
      <c r="G39" s="116"/>
      <c r="H39" s="116"/>
      <c r="I39" s="116"/>
      <c r="J39" s="116"/>
      <c r="K39" s="182"/>
      <c r="L39" s="173"/>
      <c r="N39" s="239"/>
      <c r="O39" s="239"/>
      <c r="P39" s="239"/>
      <c r="Q39" s="239"/>
      <c r="R39" s="239"/>
      <c r="S39" s="239"/>
      <c r="T39" s="239"/>
      <c r="U39" s="239"/>
      <c r="V39" s="239"/>
    </row>
    <row r="40" spans="1:22">
      <c r="A40" s="123" t="s">
        <v>197</v>
      </c>
      <c r="B40" s="124"/>
      <c r="C40" s="124"/>
      <c r="D40" s="125"/>
      <c r="E40" s="125"/>
      <c r="F40" s="125"/>
      <c r="G40" s="125"/>
      <c r="H40" s="125"/>
      <c r="I40" s="125"/>
      <c r="J40" s="125"/>
      <c r="K40" s="181"/>
      <c r="L40" s="126"/>
      <c r="N40" s="240"/>
      <c r="O40" s="240"/>
      <c r="P40" s="240"/>
      <c r="Q40" s="240"/>
      <c r="R40" s="240"/>
      <c r="S40" s="240"/>
      <c r="T40" s="240"/>
      <c r="U40" s="240"/>
      <c r="V40" s="240"/>
    </row>
    <row r="41" spans="1:22">
      <c r="A41" s="109" t="s">
        <v>198</v>
      </c>
      <c r="B41" s="109" t="s">
        <v>199</v>
      </c>
      <c r="C41" s="118"/>
      <c r="D41" s="105"/>
      <c r="E41" s="105"/>
      <c r="F41" s="105"/>
      <c r="G41" s="105"/>
      <c r="H41" s="105" t="s">
        <v>200</v>
      </c>
      <c r="I41" s="105"/>
      <c r="J41" s="105"/>
      <c r="K41" s="118"/>
      <c r="L41" s="173">
        <v>40</v>
      </c>
      <c r="N41" s="239">
        <f t="shared" si="0"/>
        <v>7.6175999999999995</v>
      </c>
      <c r="O41" s="239">
        <f t="shared" si="1"/>
        <v>4.1164000000000005</v>
      </c>
      <c r="P41" s="239">
        <f t="shared" si="2"/>
        <v>2.9455999999999998</v>
      </c>
      <c r="Q41" s="239">
        <f t="shared" si="3"/>
        <v>2.3584000000000001</v>
      </c>
      <c r="R41" s="239"/>
      <c r="S41" s="239">
        <f t="shared" si="4"/>
        <v>7.8575999999999997</v>
      </c>
      <c r="T41" s="239">
        <f t="shared" si="5"/>
        <v>4.3564000000000007</v>
      </c>
      <c r="U41" s="239">
        <f t="shared" si="6"/>
        <v>3.1856</v>
      </c>
      <c r="V41" s="239">
        <f t="shared" si="7"/>
        <v>2.5984000000000003</v>
      </c>
    </row>
    <row r="42" spans="1:22">
      <c r="A42" s="109" t="s">
        <v>201</v>
      </c>
      <c r="B42" s="109" t="s">
        <v>202</v>
      </c>
      <c r="C42" s="118"/>
      <c r="D42" s="105"/>
      <c r="E42" s="105"/>
      <c r="F42" s="105"/>
      <c r="G42" s="105"/>
      <c r="H42" s="105" t="s">
        <v>203</v>
      </c>
      <c r="I42" s="105"/>
      <c r="J42" s="105"/>
      <c r="K42" s="118"/>
      <c r="L42" s="173">
        <v>80</v>
      </c>
      <c r="N42" s="239">
        <f t="shared" si="0"/>
        <v>15.235199999999999</v>
      </c>
      <c r="O42" s="239">
        <f t="shared" si="1"/>
        <v>8.232800000000001</v>
      </c>
      <c r="P42" s="239">
        <f t="shared" si="2"/>
        <v>5.8911999999999995</v>
      </c>
      <c r="Q42" s="239">
        <f t="shared" si="3"/>
        <v>4.7168000000000001</v>
      </c>
      <c r="R42" s="239"/>
      <c r="S42" s="239">
        <f t="shared" si="4"/>
        <v>15.715199999999999</v>
      </c>
      <c r="T42" s="239">
        <f t="shared" si="5"/>
        <v>8.7128000000000014</v>
      </c>
      <c r="U42" s="239">
        <f t="shared" si="6"/>
        <v>6.3712</v>
      </c>
      <c r="V42" s="239">
        <f t="shared" si="7"/>
        <v>5.1968000000000005</v>
      </c>
    </row>
    <row r="43" spans="1:22">
      <c r="A43" s="109" t="s">
        <v>204</v>
      </c>
      <c r="B43" s="109" t="s">
        <v>205</v>
      </c>
      <c r="C43" s="118"/>
      <c r="D43" s="105"/>
      <c r="E43" s="105"/>
      <c r="F43" s="105"/>
      <c r="G43" s="105"/>
      <c r="H43" s="105" t="s">
        <v>206</v>
      </c>
      <c r="I43" s="105"/>
      <c r="J43" s="105"/>
      <c r="K43" s="118"/>
      <c r="L43" s="173">
        <v>80</v>
      </c>
      <c r="N43" s="239">
        <f t="shared" si="0"/>
        <v>15.235199999999999</v>
      </c>
      <c r="O43" s="239">
        <f t="shared" si="1"/>
        <v>8.232800000000001</v>
      </c>
      <c r="P43" s="239">
        <f t="shared" si="2"/>
        <v>5.8911999999999995</v>
      </c>
      <c r="Q43" s="239">
        <f t="shared" si="3"/>
        <v>4.7168000000000001</v>
      </c>
      <c r="R43" s="239"/>
      <c r="S43" s="239">
        <f t="shared" si="4"/>
        <v>15.715199999999999</v>
      </c>
      <c r="T43" s="239">
        <f t="shared" si="5"/>
        <v>8.7128000000000014</v>
      </c>
      <c r="U43" s="239">
        <f t="shared" si="6"/>
        <v>6.3712</v>
      </c>
      <c r="V43" s="239">
        <f t="shared" si="7"/>
        <v>5.1968000000000005</v>
      </c>
    </row>
    <row r="44" spans="1:22">
      <c r="A44" s="109" t="s">
        <v>207</v>
      </c>
      <c r="B44" s="109" t="s">
        <v>208</v>
      </c>
      <c r="C44" s="118"/>
      <c r="D44" s="105"/>
      <c r="E44" s="105"/>
      <c r="F44" s="105"/>
      <c r="G44" s="105"/>
      <c r="H44" s="105" t="s">
        <v>209</v>
      </c>
      <c r="I44" s="105"/>
      <c r="J44" s="105"/>
      <c r="K44" s="118"/>
      <c r="L44" s="173">
        <v>89</v>
      </c>
      <c r="N44" s="239">
        <f t="shared" si="0"/>
        <v>16.949159999999999</v>
      </c>
      <c r="O44" s="239">
        <f t="shared" si="1"/>
        <v>9.1589899999999993</v>
      </c>
      <c r="P44" s="239">
        <f t="shared" si="2"/>
        <v>6.55396</v>
      </c>
      <c r="Q44" s="239">
        <f t="shared" si="3"/>
        <v>5.2474400000000001</v>
      </c>
      <c r="R44" s="239"/>
      <c r="S44" s="239">
        <f t="shared" si="4"/>
        <v>17.483160000000002</v>
      </c>
      <c r="T44" s="239">
        <f t="shared" si="5"/>
        <v>9.69299</v>
      </c>
      <c r="U44" s="239">
        <f t="shared" si="6"/>
        <v>7.0879599999999998</v>
      </c>
      <c r="V44" s="239">
        <f t="shared" si="7"/>
        <v>5.7814399999999999</v>
      </c>
    </row>
    <row r="45" spans="1:22">
      <c r="A45" s="113"/>
      <c r="B45" s="114"/>
      <c r="C45" s="115"/>
      <c r="D45" s="116"/>
      <c r="E45" s="116"/>
      <c r="F45" s="116"/>
      <c r="G45" s="116"/>
      <c r="H45" s="116"/>
      <c r="I45" s="116"/>
      <c r="J45" s="116"/>
      <c r="K45" s="182"/>
      <c r="L45" s="173"/>
      <c r="N45" s="239"/>
      <c r="O45" s="239"/>
      <c r="P45" s="239"/>
      <c r="Q45" s="239"/>
      <c r="R45" s="239"/>
      <c r="S45" s="239"/>
      <c r="T45" s="239"/>
      <c r="U45" s="239"/>
      <c r="V45" s="239"/>
    </row>
    <row r="46" spans="1:22">
      <c r="A46" s="123" t="s">
        <v>210</v>
      </c>
      <c r="B46" s="124"/>
      <c r="C46" s="124"/>
      <c r="D46" s="125"/>
      <c r="E46" s="125"/>
      <c r="F46" s="125"/>
      <c r="G46" s="125"/>
      <c r="H46" s="125"/>
      <c r="I46" s="125"/>
      <c r="J46" s="125"/>
      <c r="K46" s="181"/>
      <c r="L46" s="126"/>
      <c r="N46" s="240"/>
      <c r="O46" s="240"/>
      <c r="P46" s="240"/>
      <c r="Q46" s="240"/>
      <c r="R46" s="240"/>
      <c r="S46" s="240"/>
      <c r="T46" s="240"/>
      <c r="U46" s="240"/>
      <c r="V46" s="240"/>
    </row>
    <row r="47" spans="1:22">
      <c r="A47" s="109" t="s">
        <v>211</v>
      </c>
      <c r="B47" s="109" t="s">
        <v>212</v>
      </c>
      <c r="C47" s="118"/>
      <c r="D47" s="105" t="s">
        <v>213</v>
      </c>
      <c r="E47" s="105" t="s">
        <v>214</v>
      </c>
      <c r="F47" s="105"/>
      <c r="G47" s="105"/>
      <c r="H47" s="105"/>
      <c r="I47" s="105"/>
      <c r="J47" s="105"/>
      <c r="K47" s="118"/>
      <c r="L47" s="173">
        <v>16</v>
      </c>
      <c r="N47" s="239">
        <f t="shared" si="0"/>
        <v>3.04704</v>
      </c>
      <c r="O47" s="239">
        <f t="shared" si="1"/>
        <v>1.64656</v>
      </c>
      <c r="P47" s="239">
        <f t="shared" si="2"/>
        <v>1.17824</v>
      </c>
      <c r="Q47" s="239">
        <f t="shared" si="3"/>
        <v>0.94335999999999998</v>
      </c>
      <c r="R47" s="239"/>
      <c r="S47" s="239">
        <f t="shared" si="4"/>
        <v>3.1430400000000001</v>
      </c>
      <c r="T47" s="239">
        <f t="shared" si="5"/>
        <v>1.7425600000000001</v>
      </c>
      <c r="U47" s="239">
        <f t="shared" si="6"/>
        <v>1.27424</v>
      </c>
      <c r="V47" s="239">
        <f t="shared" si="7"/>
        <v>1.0393600000000001</v>
      </c>
    </row>
    <row r="48" spans="1:22">
      <c r="A48" s="109" t="s">
        <v>215</v>
      </c>
      <c r="B48" s="109" t="s">
        <v>216</v>
      </c>
      <c r="C48" s="118"/>
      <c r="D48" s="105" t="s">
        <v>217</v>
      </c>
      <c r="E48" s="105" t="s">
        <v>218</v>
      </c>
      <c r="F48" s="105"/>
      <c r="G48" s="105"/>
      <c r="H48" s="105"/>
      <c r="I48" s="105"/>
      <c r="J48" s="105"/>
      <c r="K48" s="118"/>
      <c r="L48" s="173">
        <v>16</v>
      </c>
      <c r="N48" s="239">
        <f t="shared" si="0"/>
        <v>3.04704</v>
      </c>
      <c r="O48" s="239">
        <f t="shared" si="1"/>
        <v>1.64656</v>
      </c>
      <c r="P48" s="239">
        <f t="shared" si="2"/>
        <v>1.17824</v>
      </c>
      <c r="Q48" s="239">
        <f t="shared" si="3"/>
        <v>0.94335999999999998</v>
      </c>
      <c r="R48" s="239"/>
      <c r="S48" s="239">
        <f t="shared" si="4"/>
        <v>3.1430400000000001</v>
      </c>
      <c r="T48" s="239">
        <f t="shared" si="5"/>
        <v>1.7425600000000001</v>
      </c>
      <c r="U48" s="239">
        <f t="shared" si="6"/>
        <v>1.27424</v>
      </c>
      <c r="V48" s="239">
        <f t="shared" si="7"/>
        <v>1.0393600000000001</v>
      </c>
    </row>
    <row r="49" spans="1:22">
      <c r="A49" s="109" t="s">
        <v>219</v>
      </c>
      <c r="B49" s="109" t="s">
        <v>220</v>
      </c>
      <c r="C49" s="118"/>
      <c r="D49" s="105" t="s">
        <v>221</v>
      </c>
      <c r="E49" s="105"/>
      <c r="F49" s="105"/>
      <c r="G49" s="105"/>
      <c r="H49" s="105"/>
      <c r="I49" s="105"/>
      <c r="J49" s="105"/>
      <c r="K49" s="118"/>
      <c r="L49" s="173">
        <v>0</v>
      </c>
      <c r="N49" s="251">
        <f t="shared" si="0"/>
        <v>0</v>
      </c>
      <c r="O49" s="251">
        <f t="shared" si="1"/>
        <v>0</v>
      </c>
      <c r="P49" s="251">
        <f t="shared" si="2"/>
        <v>0</v>
      </c>
      <c r="Q49" s="251">
        <f t="shared" si="3"/>
        <v>0</v>
      </c>
      <c r="R49" s="251"/>
      <c r="S49" s="251">
        <f t="shared" si="4"/>
        <v>0</v>
      </c>
      <c r="T49" s="251">
        <f t="shared" si="5"/>
        <v>0</v>
      </c>
      <c r="U49" s="251">
        <f t="shared" si="6"/>
        <v>0</v>
      </c>
      <c r="V49" s="251">
        <f t="shared" si="7"/>
        <v>0</v>
      </c>
    </row>
    <row r="50" spans="1:22">
      <c r="A50" s="109" t="s">
        <v>222</v>
      </c>
      <c r="B50" s="109" t="s">
        <v>223</v>
      </c>
      <c r="C50" s="118"/>
      <c r="D50" s="105" t="s">
        <v>224</v>
      </c>
      <c r="E50" s="105"/>
      <c r="F50" s="105"/>
      <c r="G50" s="105"/>
      <c r="H50" s="105"/>
      <c r="I50" s="105"/>
      <c r="J50" s="105"/>
      <c r="K50" s="118"/>
      <c r="L50" s="173">
        <v>40</v>
      </c>
      <c r="N50" s="239">
        <f t="shared" si="0"/>
        <v>7.6175999999999995</v>
      </c>
      <c r="O50" s="239">
        <f t="shared" si="1"/>
        <v>4.1164000000000005</v>
      </c>
      <c r="P50" s="239">
        <f t="shared" si="2"/>
        <v>2.9455999999999998</v>
      </c>
      <c r="Q50" s="239">
        <f t="shared" si="3"/>
        <v>2.3584000000000001</v>
      </c>
      <c r="R50" s="239"/>
      <c r="S50" s="239">
        <f t="shared" si="4"/>
        <v>7.8575999999999997</v>
      </c>
      <c r="T50" s="239">
        <f t="shared" si="5"/>
        <v>4.3564000000000007</v>
      </c>
      <c r="U50" s="239">
        <f t="shared" si="6"/>
        <v>3.1856</v>
      </c>
      <c r="V50" s="239">
        <f t="shared" si="7"/>
        <v>2.5984000000000003</v>
      </c>
    </row>
    <row r="51" spans="1:22">
      <c r="A51" s="109" t="s">
        <v>225</v>
      </c>
      <c r="B51" s="109" t="s">
        <v>226</v>
      </c>
      <c r="C51" s="118"/>
      <c r="D51" s="105" t="s">
        <v>227</v>
      </c>
      <c r="E51" s="105"/>
      <c r="F51" s="105"/>
      <c r="G51" s="105"/>
      <c r="H51" s="105"/>
      <c r="I51" s="105"/>
      <c r="J51" s="105"/>
      <c r="K51" s="118"/>
      <c r="L51" s="173">
        <v>80</v>
      </c>
      <c r="N51" s="239">
        <f t="shared" si="0"/>
        <v>15.235199999999999</v>
      </c>
      <c r="O51" s="239">
        <f t="shared" si="1"/>
        <v>8.232800000000001</v>
      </c>
      <c r="P51" s="239">
        <f t="shared" si="2"/>
        <v>5.8911999999999995</v>
      </c>
      <c r="Q51" s="239">
        <f t="shared" si="3"/>
        <v>4.7168000000000001</v>
      </c>
      <c r="R51" s="239"/>
      <c r="S51" s="239">
        <f t="shared" si="4"/>
        <v>15.715199999999999</v>
      </c>
      <c r="T51" s="239">
        <f t="shared" si="5"/>
        <v>8.7128000000000014</v>
      </c>
      <c r="U51" s="239">
        <f t="shared" si="6"/>
        <v>6.3712</v>
      </c>
      <c r="V51" s="239">
        <f t="shared" si="7"/>
        <v>5.1968000000000005</v>
      </c>
    </row>
    <row r="52" spans="1:22">
      <c r="A52" s="109" t="s">
        <v>228</v>
      </c>
      <c r="B52" s="109" t="s">
        <v>229</v>
      </c>
      <c r="C52" s="118"/>
      <c r="D52" s="105" t="s">
        <v>230</v>
      </c>
      <c r="E52" s="105" t="s">
        <v>231</v>
      </c>
      <c r="F52" s="105"/>
      <c r="G52" s="105"/>
      <c r="H52" s="105"/>
      <c r="I52" s="105"/>
      <c r="J52" s="105"/>
      <c r="K52" s="118"/>
      <c r="L52" s="173">
        <v>80</v>
      </c>
      <c r="N52" s="239">
        <f t="shared" si="0"/>
        <v>15.235199999999999</v>
      </c>
      <c r="O52" s="239">
        <f t="shared" si="1"/>
        <v>8.232800000000001</v>
      </c>
      <c r="P52" s="239">
        <f t="shared" si="2"/>
        <v>5.8911999999999995</v>
      </c>
      <c r="Q52" s="239">
        <f t="shared" si="3"/>
        <v>4.7168000000000001</v>
      </c>
      <c r="R52" s="239"/>
      <c r="S52" s="239">
        <f t="shared" si="4"/>
        <v>15.715199999999999</v>
      </c>
      <c r="T52" s="239">
        <f t="shared" si="5"/>
        <v>8.7128000000000014</v>
      </c>
      <c r="U52" s="239">
        <f t="shared" si="6"/>
        <v>6.3712</v>
      </c>
      <c r="V52" s="239">
        <f t="shared" si="7"/>
        <v>5.1968000000000005</v>
      </c>
    </row>
    <row r="53" spans="1:22">
      <c r="A53" s="113"/>
      <c r="B53" s="114"/>
      <c r="C53" s="115"/>
      <c r="D53" s="116"/>
      <c r="E53" s="116"/>
      <c r="F53" s="116"/>
      <c r="G53" s="116"/>
      <c r="H53" s="116"/>
      <c r="I53" s="116"/>
      <c r="J53" s="116"/>
      <c r="K53" s="182"/>
      <c r="L53" s="173"/>
      <c r="N53" s="239"/>
      <c r="O53" s="239"/>
      <c r="P53" s="239"/>
      <c r="Q53" s="239"/>
      <c r="R53" s="239"/>
      <c r="S53" s="239"/>
      <c r="T53" s="239"/>
      <c r="U53" s="239"/>
      <c r="V53" s="239"/>
    </row>
    <row r="54" spans="1:22">
      <c r="A54" s="123" t="s">
        <v>232</v>
      </c>
      <c r="B54" s="124"/>
      <c r="C54" s="124"/>
      <c r="D54" s="127"/>
      <c r="E54" s="127"/>
      <c r="F54" s="127"/>
      <c r="G54" s="127"/>
      <c r="H54" s="127"/>
      <c r="I54" s="127"/>
      <c r="J54" s="127"/>
      <c r="K54" s="124"/>
      <c r="L54" s="128"/>
      <c r="N54" s="241"/>
      <c r="O54" s="241"/>
      <c r="P54" s="241"/>
      <c r="Q54" s="241"/>
      <c r="R54" s="241"/>
      <c r="S54" s="241"/>
      <c r="T54" s="241"/>
      <c r="U54" s="241"/>
      <c r="V54" s="241"/>
    </row>
    <row r="55" spans="1:22">
      <c r="A55" s="109" t="s">
        <v>233</v>
      </c>
      <c r="B55" s="109" t="s">
        <v>234</v>
      </c>
      <c r="C55" s="118"/>
      <c r="D55" s="105"/>
      <c r="E55" s="105"/>
      <c r="F55" s="105" t="s">
        <v>235</v>
      </c>
      <c r="G55" s="105" t="s">
        <v>236</v>
      </c>
      <c r="H55" s="105"/>
      <c r="I55" s="105"/>
      <c r="J55" s="105"/>
      <c r="K55" s="118"/>
      <c r="L55" s="173">
        <v>13</v>
      </c>
      <c r="N55" s="239">
        <f t="shared" si="0"/>
        <v>2.4757199999999999</v>
      </c>
      <c r="O55" s="239">
        <f t="shared" si="1"/>
        <v>1.3378300000000001</v>
      </c>
      <c r="P55" s="239">
        <f t="shared" si="2"/>
        <v>0.95731999999999995</v>
      </c>
      <c r="Q55" s="239">
        <f t="shared" si="3"/>
        <v>0.76647999999999994</v>
      </c>
      <c r="R55" s="239"/>
      <c r="S55" s="239">
        <f t="shared" si="4"/>
        <v>2.5537200000000002</v>
      </c>
      <c r="T55" s="239">
        <f t="shared" si="5"/>
        <v>1.4158300000000001</v>
      </c>
      <c r="U55" s="239">
        <f t="shared" si="6"/>
        <v>1.03532</v>
      </c>
      <c r="V55" s="239">
        <f t="shared" si="7"/>
        <v>0.84448000000000001</v>
      </c>
    </row>
    <row r="56" spans="1:22">
      <c r="A56" s="109" t="s">
        <v>237</v>
      </c>
      <c r="B56" s="109" t="s">
        <v>238</v>
      </c>
      <c r="C56" s="118"/>
      <c r="D56" s="105"/>
      <c r="E56" s="105"/>
      <c r="F56" s="105" t="s">
        <v>239</v>
      </c>
      <c r="G56" s="105" t="s">
        <v>240</v>
      </c>
      <c r="H56" s="105"/>
      <c r="I56" s="105"/>
      <c r="J56" s="105"/>
      <c r="K56" s="118"/>
      <c r="L56" s="173">
        <v>13</v>
      </c>
      <c r="N56" s="239">
        <f t="shared" si="0"/>
        <v>2.4757199999999999</v>
      </c>
      <c r="O56" s="239">
        <f t="shared" si="1"/>
        <v>1.3378300000000001</v>
      </c>
      <c r="P56" s="239">
        <f t="shared" si="2"/>
        <v>0.95731999999999995</v>
      </c>
      <c r="Q56" s="239">
        <f t="shared" si="3"/>
        <v>0.76647999999999994</v>
      </c>
      <c r="R56" s="239"/>
      <c r="S56" s="239">
        <f t="shared" si="4"/>
        <v>2.5537200000000002</v>
      </c>
      <c r="T56" s="239">
        <f t="shared" si="5"/>
        <v>1.4158300000000001</v>
      </c>
      <c r="U56" s="239">
        <f t="shared" si="6"/>
        <v>1.03532</v>
      </c>
      <c r="V56" s="239">
        <f t="shared" si="7"/>
        <v>0.84448000000000001</v>
      </c>
    </row>
    <row r="57" spans="1:22">
      <c r="A57" s="109" t="s">
        <v>241</v>
      </c>
      <c r="B57" s="109" t="s">
        <v>242</v>
      </c>
      <c r="C57" s="118"/>
      <c r="D57" s="105"/>
      <c r="E57" s="105"/>
      <c r="F57" s="105" t="s">
        <v>243</v>
      </c>
      <c r="G57" s="105"/>
      <c r="H57" s="105"/>
      <c r="I57" s="105"/>
      <c r="J57" s="105"/>
      <c r="K57" s="118"/>
      <c r="L57" s="173">
        <v>0</v>
      </c>
      <c r="N57" s="239">
        <f t="shared" si="0"/>
        <v>0</v>
      </c>
      <c r="O57" s="239">
        <f t="shared" si="1"/>
        <v>0</v>
      </c>
      <c r="P57" s="239">
        <f t="shared" si="2"/>
        <v>0</v>
      </c>
      <c r="Q57" s="239">
        <f t="shared" si="3"/>
        <v>0</v>
      </c>
      <c r="R57" s="239"/>
      <c r="S57" s="239">
        <f t="shared" si="4"/>
        <v>0</v>
      </c>
      <c r="T57" s="239">
        <f t="shared" si="5"/>
        <v>0</v>
      </c>
      <c r="U57" s="239">
        <f t="shared" si="6"/>
        <v>0</v>
      </c>
      <c r="V57" s="239">
        <f t="shared" si="7"/>
        <v>0</v>
      </c>
    </row>
    <row r="58" spans="1:22">
      <c r="A58" s="109" t="s">
        <v>244</v>
      </c>
      <c r="B58" s="109" t="s">
        <v>245</v>
      </c>
      <c r="C58" s="118"/>
      <c r="D58" s="105"/>
      <c r="E58" s="105"/>
      <c r="F58" s="105" t="s">
        <v>246</v>
      </c>
      <c r="G58" s="105"/>
      <c r="H58" s="105"/>
      <c r="I58" s="105"/>
      <c r="J58" s="105"/>
      <c r="K58" s="118"/>
      <c r="L58" s="173">
        <v>45</v>
      </c>
      <c r="N58" s="239">
        <f t="shared" si="0"/>
        <v>8.5698000000000008</v>
      </c>
      <c r="O58" s="239">
        <f t="shared" si="1"/>
        <v>4.6309500000000003</v>
      </c>
      <c r="P58" s="239">
        <f t="shared" si="2"/>
        <v>3.3138000000000001</v>
      </c>
      <c r="Q58" s="239">
        <f t="shared" si="3"/>
        <v>2.6532</v>
      </c>
      <c r="R58" s="239"/>
      <c r="S58" s="239">
        <f t="shared" si="4"/>
        <v>8.8398000000000003</v>
      </c>
      <c r="T58" s="239">
        <f t="shared" si="5"/>
        <v>4.9009499999999999</v>
      </c>
      <c r="U58" s="239">
        <f t="shared" si="6"/>
        <v>3.5838000000000001</v>
      </c>
      <c r="V58" s="239">
        <f t="shared" si="7"/>
        <v>2.9232</v>
      </c>
    </row>
    <row r="59" spans="1:22">
      <c r="A59" s="109" t="s">
        <v>247</v>
      </c>
      <c r="B59" s="109" t="s">
        <v>248</v>
      </c>
      <c r="C59" s="118"/>
      <c r="D59" s="105"/>
      <c r="E59" s="105"/>
      <c r="F59" s="105" t="s">
        <v>249</v>
      </c>
      <c r="G59" s="105" t="s">
        <v>250</v>
      </c>
      <c r="H59" s="105"/>
      <c r="I59" s="105"/>
      <c r="J59" s="105"/>
      <c r="K59" s="118"/>
      <c r="L59" s="173">
        <v>89</v>
      </c>
      <c r="N59" s="239">
        <f t="shared" si="0"/>
        <v>16.949159999999999</v>
      </c>
      <c r="O59" s="239">
        <f t="shared" si="1"/>
        <v>9.1589899999999993</v>
      </c>
      <c r="P59" s="239">
        <f t="shared" si="2"/>
        <v>6.55396</v>
      </c>
      <c r="Q59" s="239">
        <f t="shared" si="3"/>
        <v>5.2474400000000001</v>
      </c>
      <c r="R59" s="239"/>
      <c r="S59" s="239">
        <f t="shared" si="4"/>
        <v>17.483160000000002</v>
      </c>
      <c r="T59" s="239">
        <f t="shared" si="5"/>
        <v>9.69299</v>
      </c>
      <c r="U59" s="239">
        <f t="shared" si="6"/>
        <v>7.0879599999999998</v>
      </c>
      <c r="V59" s="239">
        <f t="shared" si="7"/>
        <v>5.7814399999999999</v>
      </c>
    </row>
    <row r="60" spans="1:22">
      <c r="A60" s="113"/>
      <c r="B60" s="114"/>
      <c r="C60" s="115"/>
      <c r="D60" s="116"/>
      <c r="E60" s="116"/>
      <c r="F60" s="116"/>
      <c r="G60" s="116"/>
      <c r="H60" s="116"/>
      <c r="I60" s="116"/>
      <c r="J60" s="116"/>
      <c r="K60" s="182"/>
      <c r="L60" s="173"/>
      <c r="N60" s="239"/>
      <c r="O60" s="239"/>
      <c r="P60" s="239"/>
      <c r="Q60" s="239"/>
      <c r="R60" s="239"/>
      <c r="S60" s="239"/>
      <c r="T60" s="239"/>
      <c r="U60" s="239"/>
      <c r="V60" s="239"/>
    </row>
    <row r="61" spans="1:22">
      <c r="A61" s="123" t="s">
        <v>251</v>
      </c>
      <c r="B61" s="124"/>
      <c r="C61" s="124"/>
      <c r="D61" s="125"/>
      <c r="E61" s="125"/>
      <c r="F61" s="125"/>
      <c r="G61" s="125"/>
      <c r="H61" s="125"/>
      <c r="I61" s="125"/>
      <c r="J61" s="125"/>
      <c r="K61" s="181"/>
      <c r="L61" s="126"/>
      <c r="N61" s="240"/>
      <c r="O61" s="240"/>
      <c r="P61" s="240"/>
      <c r="Q61" s="240"/>
      <c r="R61" s="240"/>
      <c r="S61" s="240"/>
      <c r="T61" s="240"/>
      <c r="U61" s="240"/>
      <c r="V61" s="240"/>
    </row>
    <row r="62" spans="1:22">
      <c r="A62" s="109" t="s">
        <v>252</v>
      </c>
      <c r="B62" s="109" t="s">
        <v>253</v>
      </c>
      <c r="C62" s="118"/>
      <c r="D62" s="105" t="s">
        <v>254</v>
      </c>
      <c r="E62" s="105" t="s">
        <v>255</v>
      </c>
      <c r="F62" s="105" t="s">
        <v>256</v>
      </c>
      <c r="G62" s="105" t="s">
        <v>257</v>
      </c>
      <c r="H62" s="105" t="s">
        <v>258</v>
      </c>
      <c r="I62" s="105"/>
      <c r="J62" s="105"/>
      <c r="K62" s="118"/>
      <c r="L62" s="173">
        <v>29</v>
      </c>
      <c r="N62" s="239">
        <f t="shared" si="0"/>
        <v>5.5227599999999999</v>
      </c>
      <c r="O62" s="239">
        <f t="shared" si="1"/>
        <v>2.9843899999999999</v>
      </c>
      <c r="P62" s="239">
        <f t="shared" si="2"/>
        <v>2.1355599999999999</v>
      </c>
      <c r="Q62" s="239">
        <f t="shared" si="3"/>
        <v>1.70984</v>
      </c>
      <c r="R62" s="239"/>
      <c r="S62" s="239">
        <f t="shared" si="4"/>
        <v>5.6967600000000003</v>
      </c>
      <c r="T62" s="239">
        <f t="shared" si="5"/>
        <v>3.1583900000000003</v>
      </c>
      <c r="U62" s="239">
        <f t="shared" si="6"/>
        <v>2.3095600000000003</v>
      </c>
      <c r="V62" s="239">
        <f t="shared" si="7"/>
        <v>1.8838400000000002</v>
      </c>
    </row>
    <row r="63" spans="1:22">
      <c r="A63" s="109" t="s">
        <v>259</v>
      </c>
      <c r="B63" s="109" t="s">
        <v>260</v>
      </c>
      <c r="C63" s="118"/>
      <c r="D63" s="105" t="s">
        <v>261</v>
      </c>
      <c r="E63" s="105" t="s">
        <v>262</v>
      </c>
      <c r="F63" s="105" t="s">
        <v>263</v>
      </c>
      <c r="G63" s="105" t="s">
        <v>264</v>
      </c>
      <c r="H63" s="105" t="s">
        <v>265</v>
      </c>
      <c r="I63" s="105"/>
      <c r="J63" s="105"/>
      <c r="K63" s="118"/>
      <c r="L63" s="173">
        <v>101</v>
      </c>
      <c r="N63" s="239">
        <f t="shared" si="0"/>
        <v>19.234439999999999</v>
      </c>
      <c r="O63" s="239">
        <f t="shared" si="1"/>
        <v>10.39391</v>
      </c>
      <c r="P63" s="239">
        <f t="shared" si="2"/>
        <v>7.43764</v>
      </c>
      <c r="Q63" s="239">
        <f t="shared" si="3"/>
        <v>5.9549599999999998</v>
      </c>
      <c r="R63" s="239"/>
      <c r="S63" s="239">
        <f t="shared" si="4"/>
        <v>19.840440000000001</v>
      </c>
      <c r="T63" s="239">
        <f t="shared" si="5"/>
        <v>10.99991</v>
      </c>
      <c r="U63" s="239">
        <f t="shared" si="6"/>
        <v>8.0436399999999999</v>
      </c>
      <c r="V63" s="239">
        <f t="shared" si="7"/>
        <v>6.5609600000000006</v>
      </c>
    </row>
    <row r="64" spans="1:22" s="3" customFormat="1">
      <c r="A64" s="109" t="s">
        <v>266</v>
      </c>
      <c r="B64" s="109" t="s">
        <v>267</v>
      </c>
      <c r="C64" s="118"/>
      <c r="D64" s="105"/>
      <c r="E64" s="105"/>
      <c r="F64" s="105" t="s">
        <v>268</v>
      </c>
      <c r="G64" s="105"/>
      <c r="H64" s="105"/>
      <c r="I64" s="105"/>
      <c r="J64" s="105"/>
      <c r="K64" s="118"/>
      <c r="L64" s="173">
        <v>39</v>
      </c>
      <c r="N64" s="239">
        <f t="shared" si="0"/>
        <v>7.4271599999999998</v>
      </c>
      <c r="O64" s="239">
        <f t="shared" si="1"/>
        <v>4.01349</v>
      </c>
      <c r="P64" s="239">
        <f t="shared" si="2"/>
        <v>2.8719600000000001</v>
      </c>
      <c r="Q64" s="239">
        <f t="shared" si="3"/>
        <v>2.2994400000000002</v>
      </c>
      <c r="R64" s="239"/>
      <c r="S64" s="239">
        <f t="shared" si="4"/>
        <v>7.6611599999999997</v>
      </c>
      <c r="T64" s="239">
        <f t="shared" si="5"/>
        <v>4.24749</v>
      </c>
      <c r="U64" s="239">
        <f t="shared" si="6"/>
        <v>3.1059600000000001</v>
      </c>
      <c r="V64" s="239">
        <f t="shared" si="7"/>
        <v>2.5334400000000001</v>
      </c>
    </row>
    <row r="65" spans="1:22" s="3" customFormat="1">
      <c r="A65" s="113"/>
      <c r="B65" s="114"/>
      <c r="C65" s="115"/>
      <c r="D65" s="116"/>
      <c r="E65" s="116"/>
      <c r="F65" s="116"/>
      <c r="G65" s="116"/>
      <c r="H65" s="116"/>
      <c r="I65" s="116"/>
      <c r="J65" s="116"/>
      <c r="K65" s="182"/>
      <c r="L65" s="173"/>
      <c r="N65" s="239"/>
      <c r="O65" s="239"/>
      <c r="P65" s="239"/>
      <c r="Q65" s="239"/>
      <c r="R65" s="239"/>
      <c r="S65" s="239"/>
      <c r="T65" s="239"/>
      <c r="U65" s="239"/>
      <c r="V65" s="239"/>
    </row>
    <row r="66" spans="1:22" s="3" customFormat="1">
      <c r="A66" s="123" t="s">
        <v>269</v>
      </c>
      <c r="B66" s="124"/>
      <c r="C66" s="124"/>
      <c r="D66" s="125"/>
      <c r="E66" s="125"/>
      <c r="F66" s="125"/>
      <c r="G66" s="125"/>
      <c r="H66" s="125"/>
      <c r="I66" s="125"/>
      <c r="J66" s="125"/>
      <c r="K66" s="181"/>
      <c r="L66" s="126"/>
      <c r="N66" s="240"/>
      <c r="O66" s="240"/>
      <c r="P66" s="240"/>
      <c r="Q66" s="240"/>
      <c r="R66" s="240"/>
      <c r="S66" s="240"/>
      <c r="T66" s="240"/>
      <c r="U66" s="240"/>
      <c r="V66" s="240"/>
    </row>
    <row r="67" spans="1:22" s="3" customFormat="1" ht="29.45" customHeight="1">
      <c r="A67" s="109" t="s">
        <v>270</v>
      </c>
      <c r="B67" s="109" t="s">
        <v>271</v>
      </c>
      <c r="C67" s="118"/>
      <c r="D67" s="105" t="s">
        <v>272</v>
      </c>
      <c r="E67" s="105" t="s">
        <v>273</v>
      </c>
      <c r="F67" s="105" t="s">
        <v>274</v>
      </c>
      <c r="G67" s="105" t="s">
        <v>275</v>
      </c>
      <c r="H67" s="105"/>
      <c r="I67" s="105"/>
      <c r="J67" s="105"/>
      <c r="K67" s="118"/>
      <c r="L67" s="173">
        <v>5</v>
      </c>
      <c r="N67" s="239">
        <f t="shared" si="0"/>
        <v>0.95219999999999994</v>
      </c>
      <c r="O67" s="239">
        <f t="shared" si="1"/>
        <v>0.51455000000000006</v>
      </c>
      <c r="P67" s="239">
        <f t="shared" si="2"/>
        <v>0.36819999999999997</v>
      </c>
      <c r="Q67" s="239">
        <f t="shared" si="3"/>
        <v>0.29480000000000001</v>
      </c>
      <c r="R67" s="239"/>
      <c r="S67" s="239">
        <f t="shared" si="4"/>
        <v>0.98219999999999996</v>
      </c>
      <c r="T67" s="239">
        <f t="shared" si="5"/>
        <v>0.54455000000000009</v>
      </c>
      <c r="U67" s="239">
        <f t="shared" si="6"/>
        <v>0.3982</v>
      </c>
      <c r="V67" s="239">
        <f t="shared" si="7"/>
        <v>0.32480000000000003</v>
      </c>
    </row>
    <row r="68" spans="1:22" s="3" customFormat="1">
      <c r="A68" s="113"/>
      <c r="B68" s="114"/>
      <c r="C68" s="115"/>
      <c r="D68" s="116"/>
      <c r="E68" s="116"/>
      <c r="F68" s="116"/>
      <c r="G68" s="116"/>
      <c r="H68" s="116"/>
      <c r="I68" s="116"/>
      <c r="J68" s="116"/>
      <c r="K68" s="182"/>
      <c r="L68" s="173"/>
      <c r="N68" s="239"/>
      <c r="O68" s="239"/>
      <c r="P68" s="239"/>
      <c r="Q68" s="239"/>
      <c r="R68" s="239"/>
      <c r="S68" s="239"/>
      <c r="T68" s="239"/>
      <c r="U68" s="239"/>
      <c r="V68" s="239"/>
    </row>
    <row r="69" spans="1:22" s="3" customFormat="1">
      <c r="A69" s="123" t="s">
        <v>276</v>
      </c>
      <c r="B69" s="124" t="s">
        <v>277</v>
      </c>
      <c r="C69" s="124"/>
      <c r="D69" s="127" t="s">
        <v>277</v>
      </c>
      <c r="E69" s="127"/>
      <c r="F69" s="127"/>
      <c r="G69" s="127"/>
      <c r="H69" s="127"/>
      <c r="I69" s="127"/>
      <c r="J69" s="127"/>
      <c r="K69" s="124"/>
      <c r="L69" s="128"/>
      <c r="N69" s="241"/>
      <c r="O69" s="241"/>
      <c r="P69" s="241"/>
      <c r="Q69" s="241"/>
      <c r="R69" s="241"/>
      <c r="S69" s="241"/>
      <c r="T69" s="241"/>
      <c r="U69" s="241"/>
      <c r="V69" s="241"/>
    </row>
    <row r="70" spans="1:22" s="3" customFormat="1">
      <c r="A70" s="109" t="s">
        <v>278</v>
      </c>
      <c r="B70" s="109" t="s">
        <v>279</v>
      </c>
      <c r="C70" s="118"/>
      <c r="D70" s="105" t="s">
        <v>280</v>
      </c>
      <c r="E70" s="105" t="s">
        <v>281</v>
      </c>
      <c r="F70" s="105" t="s">
        <v>282</v>
      </c>
      <c r="G70" s="105" t="s">
        <v>283</v>
      </c>
      <c r="H70" s="105"/>
      <c r="I70" s="105"/>
      <c r="J70" s="105"/>
      <c r="K70" s="118"/>
      <c r="L70" s="173">
        <v>15</v>
      </c>
      <c r="N70" s="239">
        <f t="shared" si="0"/>
        <v>2.8565999999999998</v>
      </c>
      <c r="O70" s="239">
        <f t="shared" si="1"/>
        <v>1.54365</v>
      </c>
      <c r="P70" s="239">
        <f t="shared" si="2"/>
        <v>1.1046</v>
      </c>
      <c r="Q70" s="239">
        <f t="shared" si="3"/>
        <v>0.88439999999999996</v>
      </c>
      <c r="R70" s="239"/>
      <c r="S70" s="239">
        <f t="shared" si="4"/>
        <v>2.9466000000000001</v>
      </c>
      <c r="T70" s="239">
        <f t="shared" si="5"/>
        <v>1.63365</v>
      </c>
      <c r="U70" s="239">
        <f t="shared" si="6"/>
        <v>1.1946000000000001</v>
      </c>
      <c r="V70" s="239">
        <f t="shared" si="7"/>
        <v>0.97440000000000004</v>
      </c>
    </row>
    <row r="71" spans="1:22" s="3" customFormat="1">
      <c r="A71" s="109" t="s">
        <v>284</v>
      </c>
      <c r="B71" s="109" t="s">
        <v>285</v>
      </c>
      <c r="C71" s="118"/>
      <c r="D71" s="118"/>
      <c r="E71" s="105"/>
      <c r="F71" s="105"/>
      <c r="G71" s="105"/>
      <c r="H71" s="105" t="s">
        <v>286</v>
      </c>
      <c r="I71" s="105"/>
      <c r="J71" s="105"/>
      <c r="K71" s="118"/>
      <c r="L71" s="173">
        <v>0</v>
      </c>
      <c r="N71" s="239">
        <f t="shared" si="0"/>
        <v>0</v>
      </c>
      <c r="O71" s="239">
        <f t="shared" si="1"/>
        <v>0</v>
      </c>
      <c r="P71" s="239">
        <f t="shared" si="2"/>
        <v>0</v>
      </c>
      <c r="Q71" s="239">
        <f t="shared" si="3"/>
        <v>0</v>
      </c>
      <c r="R71" s="239"/>
      <c r="S71" s="239">
        <f t="shared" si="4"/>
        <v>0</v>
      </c>
      <c r="T71" s="239">
        <f t="shared" si="5"/>
        <v>0</v>
      </c>
      <c r="U71" s="239">
        <f t="shared" si="6"/>
        <v>0</v>
      </c>
      <c r="V71" s="239">
        <f t="shared" si="7"/>
        <v>0</v>
      </c>
    </row>
    <row r="72" spans="1:22" s="3" customFormat="1">
      <c r="A72" s="113"/>
      <c r="B72" s="114"/>
      <c r="C72" s="115"/>
      <c r="D72" s="116"/>
      <c r="E72" s="116"/>
      <c r="F72" s="116"/>
      <c r="G72" s="116"/>
      <c r="H72" s="116"/>
      <c r="I72" s="116"/>
      <c r="J72" s="116"/>
      <c r="K72" s="182"/>
      <c r="L72" s="173"/>
      <c r="N72" s="239"/>
      <c r="O72" s="239"/>
      <c r="P72" s="239"/>
      <c r="Q72" s="239"/>
      <c r="R72" s="239"/>
      <c r="S72" s="239"/>
      <c r="T72" s="239"/>
      <c r="U72" s="239"/>
      <c r="V72" s="239"/>
    </row>
    <row r="73" spans="1:22" s="3" customFormat="1">
      <c r="A73" s="123" t="s">
        <v>287</v>
      </c>
      <c r="B73" s="124"/>
      <c r="C73" s="124"/>
      <c r="D73" s="125"/>
      <c r="E73" s="125"/>
      <c r="F73" s="125"/>
      <c r="G73" s="125"/>
      <c r="H73" s="125"/>
      <c r="I73" s="125"/>
      <c r="J73" s="125"/>
      <c r="K73" s="181"/>
      <c r="L73" s="126"/>
      <c r="N73" s="240"/>
      <c r="O73" s="240"/>
      <c r="P73" s="240"/>
      <c r="Q73" s="240"/>
      <c r="R73" s="240"/>
      <c r="S73" s="240"/>
      <c r="T73" s="240"/>
      <c r="U73" s="240"/>
      <c r="V73" s="240"/>
    </row>
    <row r="74" spans="1:22" s="3" customFormat="1">
      <c r="A74" s="109" t="s">
        <v>90</v>
      </c>
      <c r="B74" s="109" t="s">
        <v>288</v>
      </c>
      <c r="C74" s="118"/>
      <c r="D74" s="105" t="s">
        <v>289</v>
      </c>
      <c r="E74" s="105" t="s">
        <v>290</v>
      </c>
      <c r="F74" s="105" t="s">
        <v>291</v>
      </c>
      <c r="G74" s="105" t="s">
        <v>292</v>
      </c>
      <c r="H74" s="105" t="s">
        <v>293</v>
      </c>
      <c r="I74" s="105"/>
      <c r="J74" s="105"/>
      <c r="K74" s="118"/>
      <c r="L74" s="173">
        <v>6</v>
      </c>
      <c r="N74" s="239">
        <f t="shared" si="0"/>
        <v>1.1426400000000001</v>
      </c>
      <c r="O74" s="239">
        <f t="shared" si="1"/>
        <v>0.61746000000000001</v>
      </c>
      <c r="P74" s="239">
        <f t="shared" si="2"/>
        <v>0.44184000000000001</v>
      </c>
      <c r="Q74" s="239">
        <f t="shared" si="3"/>
        <v>0.35375999999999996</v>
      </c>
      <c r="R74" s="239"/>
      <c r="S74" s="239">
        <f t="shared" si="4"/>
        <v>1.1786400000000001</v>
      </c>
      <c r="T74" s="239">
        <f t="shared" si="5"/>
        <v>0.65346000000000004</v>
      </c>
      <c r="U74" s="239">
        <f t="shared" si="6"/>
        <v>0.47784000000000004</v>
      </c>
      <c r="V74" s="239">
        <f t="shared" si="7"/>
        <v>0.38976</v>
      </c>
    </row>
    <row r="75" spans="1:22" s="3" customFormat="1">
      <c r="A75" s="113"/>
      <c r="B75" s="114"/>
      <c r="C75" s="115"/>
      <c r="D75" s="116"/>
      <c r="E75" s="116"/>
      <c r="F75" s="116"/>
      <c r="G75" s="116"/>
      <c r="H75" s="116"/>
      <c r="I75" s="116"/>
      <c r="J75" s="116"/>
      <c r="K75" s="182"/>
      <c r="L75" s="173"/>
      <c r="N75" s="239"/>
      <c r="O75" s="239"/>
      <c r="P75" s="239"/>
      <c r="Q75" s="239"/>
      <c r="R75" s="239"/>
      <c r="S75" s="239"/>
      <c r="T75" s="239"/>
      <c r="U75" s="239"/>
      <c r="V75" s="239"/>
    </row>
    <row r="76" spans="1:22" s="3" customFormat="1">
      <c r="A76" s="123" t="s">
        <v>294</v>
      </c>
      <c r="B76" s="124"/>
      <c r="C76" s="124"/>
      <c r="D76" s="125"/>
      <c r="E76" s="125"/>
      <c r="F76" s="125"/>
      <c r="G76" s="125"/>
      <c r="H76" s="125"/>
      <c r="I76" s="125"/>
      <c r="J76" s="125"/>
      <c r="K76" s="181"/>
      <c r="L76" s="126"/>
      <c r="N76" s="240"/>
      <c r="O76" s="240"/>
      <c r="P76" s="240"/>
      <c r="Q76" s="240"/>
      <c r="R76" s="240"/>
      <c r="S76" s="240"/>
      <c r="T76" s="240"/>
      <c r="U76" s="240"/>
      <c r="V76" s="240"/>
    </row>
    <row r="77" spans="1:22" s="3" customFormat="1">
      <c r="A77" s="109" t="s">
        <v>295</v>
      </c>
      <c r="B77" s="109" t="s">
        <v>296</v>
      </c>
      <c r="C77" s="118"/>
      <c r="D77" s="105" t="s">
        <v>297</v>
      </c>
      <c r="E77" s="105"/>
      <c r="F77" s="105"/>
      <c r="G77" s="105"/>
      <c r="H77" s="105"/>
      <c r="I77" s="105"/>
      <c r="J77" s="105"/>
      <c r="K77" s="118"/>
      <c r="L77" s="173">
        <v>114</v>
      </c>
      <c r="N77" s="239">
        <f t="shared" si="0"/>
        <v>21.710159999999998</v>
      </c>
      <c r="O77" s="239">
        <f t="shared" si="1"/>
        <v>11.73174</v>
      </c>
      <c r="P77" s="239">
        <f t="shared" si="2"/>
        <v>8.3949599999999993</v>
      </c>
      <c r="Q77" s="239">
        <f t="shared" si="3"/>
        <v>6.7214399999999994</v>
      </c>
      <c r="R77" s="239"/>
      <c r="S77" s="239">
        <f t="shared" si="4"/>
        <v>22.394159999999999</v>
      </c>
      <c r="T77" s="239">
        <f t="shared" si="5"/>
        <v>12.415740000000001</v>
      </c>
      <c r="U77" s="239">
        <f t="shared" si="6"/>
        <v>9.0789600000000004</v>
      </c>
      <c r="V77" s="239">
        <f t="shared" si="7"/>
        <v>7.4054400000000005</v>
      </c>
    </row>
    <row r="78" spans="1:22" s="3" customFormat="1">
      <c r="A78" s="109" t="s">
        <v>298</v>
      </c>
      <c r="B78" s="109"/>
      <c r="C78" s="118"/>
      <c r="D78" s="105"/>
      <c r="E78" s="105"/>
      <c r="F78" s="105" t="s">
        <v>299</v>
      </c>
      <c r="G78" s="105"/>
      <c r="H78" s="105"/>
      <c r="I78" s="105"/>
      <c r="J78" s="105"/>
      <c r="K78" s="118"/>
      <c r="L78" s="173">
        <v>109</v>
      </c>
      <c r="N78" s="239">
        <f t="shared" ref="N78:N142" si="40">L78*$N$8</f>
        <v>20.757960000000001</v>
      </c>
      <c r="O78" s="239">
        <f t="shared" ref="O78:O142" si="41">L78*$O$8</f>
        <v>11.21719</v>
      </c>
      <c r="P78" s="239">
        <f t="shared" ref="P78:P142" si="42">L78*$P$8</f>
        <v>8.0267599999999995</v>
      </c>
      <c r="Q78" s="239">
        <f t="shared" ref="Q78:Q142" si="43">L78*$Q$8</f>
        <v>6.4266399999999999</v>
      </c>
      <c r="R78" s="239"/>
      <c r="S78" s="239">
        <f t="shared" ref="S78:S142" si="44">L78*$S$8</f>
        <v>21.411960000000001</v>
      </c>
      <c r="T78" s="239">
        <f t="shared" ref="T78:T142" si="45">L78*$T$8</f>
        <v>11.87119</v>
      </c>
      <c r="U78" s="239">
        <f t="shared" ref="U78:U142" si="46">L78*$U$8</f>
        <v>8.6807600000000011</v>
      </c>
      <c r="V78" s="239">
        <f t="shared" ref="V78:V142" si="47">L78*$V$8</f>
        <v>7.0806400000000007</v>
      </c>
    </row>
    <row r="79" spans="1:22" s="3" customFormat="1">
      <c r="A79" s="113"/>
      <c r="B79" s="114"/>
      <c r="C79" s="115"/>
      <c r="D79" s="116"/>
      <c r="E79" s="116"/>
      <c r="F79" s="116"/>
      <c r="G79" s="116"/>
      <c r="H79" s="116"/>
      <c r="I79" s="116"/>
      <c r="J79" s="116"/>
      <c r="K79" s="182"/>
      <c r="L79" s="173"/>
      <c r="N79" s="239"/>
      <c r="O79" s="239"/>
      <c r="P79" s="239"/>
      <c r="Q79" s="239"/>
      <c r="R79" s="239"/>
      <c r="S79" s="239"/>
      <c r="T79" s="239"/>
      <c r="U79" s="239"/>
      <c r="V79" s="239"/>
    </row>
    <row r="80" spans="1:22" s="3" customFormat="1">
      <c r="A80" s="123" t="s">
        <v>300</v>
      </c>
      <c r="B80" s="124"/>
      <c r="C80" s="124"/>
      <c r="D80" s="125"/>
      <c r="E80" s="125"/>
      <c r="F80" s="125"/>
      <c r="G80" s="125"/>
      <c r="H80" s="125"/>
      <c r="I80" s="125"/>
      <c r="J80" s="125"/>
      <c r="K80" s="181"/>
      <c r="L80" s="126"/>
      <c r="N80" s="240"/>
      <c r="O80" s="240"/>
      <c r="P80" s="240"/>
      <c r="Q80" s="240"/>
      <c r="R80" s="240"/>
      <c r="S80" s="240"/>
      <c r="T80" s="240"/>
      <c r="U80" s="240"/>
      <c r="V80" s="240"/>
    </row>
    <row r="81" spans="1:22" s="3" customFormat="1">
      <c r="A81" s="109" t="s">
        <v>301</v>
      </c>
      <c r="B81" s="109" t="s">
        <v>302</v>
      </c>
      <c r="C81" s="118"/>
      <c r="D81" s="105" t="s">
        <v>303</v>
      </c>
      <c r="E81" s="105"/>
      <c r="F81" s="105"/>
      <c r="G81" s="105"/>
      <c r="H81" s="105"/>
      <c r="I81" s="105"/>
      <c r="J81" s="105"/>
      <c r="K81" s="118"/>
      <c r="L81" s="173">
        <v>10</v>
      </c>
      <c r="N81" s="239">
        <f t="shared" si="40"/>
        <v>1.9043999999999999</v>
      </c>
      <c r="O81" s="239">
        <f t="shared" si="41"/>
        <v>1.0291000000000001</v>
      </c>
      <c r="P81" s="239">
        <f t="shared" si="42"/>
        <v>0.73639999999999994</v>
      </c>
      <c r="Q81" s="239">
        <f t="shared" si="43"/>
        <v>0.58960000000000001</v>
      </c>
      <c r="R81" s="239"/>
      <c r="S81" s="239">
        <f t="shared" si="44"/>
        <v>1.9643999999999999</v>
      </c>
      <c r="T81" s="239">
        <f t="shared" si="45"/>
        <v>1.0891000000000002</v>
      </c>
      <c r="U81" s="239">
        <f t="shared" si="46"/>
        <v>0.7964</v>
      </c>
      <c r="V81" s="239">
        <f t="shared" si="47"/>
        <v>0.64960000000000007</v>
      </c>
    </row>
    <row r="82" spans="1:22" s="3" customFormat="1">
      <c r="A82" s="113"/>
      <c r="B82" s="114"/>
      <c r="C82" s="115"/>
      <c r="D82" s="116"/>
      <c r="E82" s="116"/>
      <c r="F82" s="116"/>
      <c r="G82" s="116"/>
      <c r="H82" s="116"/>
      <c r="I82" s="116"/>
      <c r="J82" s="116"/>
      <c r="K82" s="182"/>
      <c r="L82" s="173"/>
      <c r="N82" s="239"/>
      <c r="O82" s="239"/>
      <c r="P82" s="239"/>
      <c r="Q82" s="239"/>
      <c r="R82" s="239"/>
      <c r="S82" s="239"/>
      <c r="T82" s="239"/>
      <c r="U82" s="239"/>
      <c r="V82" s="239"/>
    </row>
    <row r="83" spans="1:22" s="3" customFormat="1">
      <c r="A83" s="123" t="s">
        <v>304</v>
      </c>
      <c r="B83" s="124"/>
      <c r="C83" s="124"/>
      <c r="D83" s="125"/>
      <c r="E83" s="125"/>
      <c r="F83" s="125"/>
      <c r="G83" s="125"/>
      <c r="H83" s="125"/>
      <c r="I83" s="125"/>
      <c r="J83" s="125"/>
      <c r="K83" s="181"/>
      <c r="L83" s="126"/>
      <c r="N83" s="240"/>
      <c r="O83" s="240"/>
      <c r="P83" s="240"/>
      <c r="Q83" s="240"/>
      <c r="R83" s="240"/>
      <c r="S83" s="240"/>
      <c r="T83" s="240"/>
      <c r="U83" s="240"/>
      <c r="V83" s="240"/>
    </row>
    <row r="84" spans="1:22" s="3" customFormat="1">
      <c r="A84" s="109" t="s">
        <v>305</v>
      </c>
      <c r="B84" s="109" t="s">
        <v>306</v>
      </c>
      <c r="C84" s="118"/>
      <c r="D84" s="105" t="s">
        <v>307</v>
      </c>
      <c r="E84" s="105" t="s">
        <v>308</v>
      </c>
      <c r="F84" s="105" t="s">
        <v>309</v>
      </c>
      <c r="G84" s="105" t="s">
        <v>310</v>
      </c>
      <c r="H84" s="105" t="s">
        <v>311</v>
      </c>
      <c r="I84" s="105"/>
      <c r="J84" s="105"/>
      <c r="K84" s="118"/>
      <c r="L84" s="173">
        <v>0</v>
      </c>
      <c r="N84" s="239">
        <f t="shared" si="40"/>
        <v>0</v>
      </c>
      <c r="O84" s="239">
        <f t="shared" si="41"/>
        <v>0</v>
      </c>
      <c r="P84" s="239">
        <f t="shared" si="42"/>
        <v>0</v>
      </c>
      <c r="Q84" s="239">
        <f t="shared" si="43"/>
        <v>0</v>
      </c>
      <c r="R84" s="239"/>
      <c r="S84" s="239">
        <f t="shared" si="44"/>
        <v>0</v>
      </c>
      <c r="T84" s="239">
        <f t="shared" si="45"/>
        <v>0</v>
      </c>
      <c r="U84" s="239">
        <f t="shared" si="46"/>
        <v>0</v>
      </c>
      <c r="V84" s="239">
        <f t="shared" si="47"/>
        <v>0</v>
      </c>
    </row>
    <row r="85" spans="1:22" s="3" customFormat="1">
      <c r="A85" s="113"/>
      <c r="B85" s="114"/>
      <c r="C85" s="115"/>
      <c r="D85" s="116"/>
      <c r="E85" s="116"/>
      <c r="F85" s="116"/>
      <c r="G85" s="116"/>
      <c r="H85" s="116"/>
      <c r="I85" s="116"/>
      <c r="J85" s="116"/>
      <c r="K85" s="182"/>
      <c r="L85" s="173"/>
      <c r="N85" s="239"/>
      <c r="O85" s="239"/>
      <c r="P85" s="239"/>
      <c r="Q85" s="239"/>
      <c r="R85" s="239"/>
      <c r="S85" s="239"/>
      <c r="T85" s="239"/>
      <c r="U85" s="239"/>
      <c r="V85" s="239"/>
    </row>
    <row r="86" spans="1:22" s="3" customFormat="1">
      <c r="A86" s="123" t="s">
        <v>312</v>
      </c>
      <c r="B86" s="124"/>
      <c r="C86" s="124"/>
      <c r="D86" s="125"/>
      <c r="E86" s="125"/>
      <c r="F86" s="125"/>
      <c r="G86" s="125"/>
      <c r="H86" s="125"/>
      <c r="I86" s="125"/>
      <c r="J86" s="125"/>
      <c r="K86" s="181"/>
      <c r="L86" s="126"/>
      <c r="N86" s="240"/>
      <c r="O86" s="240"/>
      <c r="P86" s="240"/>
      <c r="Q86" s="240"/>
      <c r="R86" s="240"/>
      <c r="S86" s="240"/>
      <c r="T86" s="240"/>
      <c r="U86" s="240"/>
      <c r="V86" s="240"/>
    </row>
    <row r="87" spans="1:22" s="3" customFormat="1">
      <c r="A87" s="109" t="s">
        <v>313</v>
      </c>
      <c r="B87" s="109" t="s">
        <v>314</v>
      </c>
      <c r="C87" s="118"/>
      <c r="D87" s="118"/>
      <c r="E87" s="105"/>
      <c r="F87" s="105"/>
      <c r="G87" s="105"/>
      <c r="H87" s="105" t="s">
        <v>315</v>
      </c>
      <c r="I87" s="105"/>
      <c r="J87" s="105"/>
      <c r="K87" s="118"/>
      <c r="L87" s="173">
        <v>32</v>
      </c>
      <c r="N87" s="239">
        <f t="shared" si="40"/>
        <v>6.0940799999999999</v>
      </c>
      <c r="O87" s="239">
        <f t="shared" si="41"/>
        <v>3.29312</v>
      </c>
      <c r="P87" s="239">
        <f t="shared" si="42"/>
        <v>2.3564799999999999</v>
      </c>
      <c r="Q87" s="239">
        <f t="shared" si="43"/>
        <v>1.88672</v>
      </c>
      <c r="R87" s="239"/>
      <c r="S87" s="239">
        <f t="shared" si="44"/>
        <v>6.2860800000000001</v>
      </c>
      <c r="T87" s="239">
        <f t="shared" si="45"/>
        <v>3.4851200000000002</v>
      </c>
      <c r="U87" s="239">
        <f t="shared" si="46"/>
        <v>2.5484800000000001</v>
      </c>
      <c r="V87" s="239">
        <f t="shared" si="47"/>
        <v>2.0787200000000001</v>
      </c>
    </row>
    <row r="88" spans="1:22">
      <c r="A88" s="113"/>
      <c r="B88" s="114"/>
      <c r="C88" s="115"/>
      <c r="D88" s="116"/>
      <c r="E88" s="116"/>
      <c r="F88" s="116"/>
      <c r="G88" s="116"/>
      <c r="H88" s="116"/>
      <c r="I88" s="116"/>
      <c r="J88" s="116"/>
      <c r="K88" s="182"/>
      <c r="L88" s="173"/>
      <c r="N88" s="239"/>
      <c r="O88" s="239"/>
      <c r="P88" s="239"/>
      <c r="Q88" s="239"/>
      <c r="R88" s="239"/>
      <c r="S88" s="239"/>
      <c r="T88" s="239"/>
      <c r="U88" s="239"/>
      <c r="V88" s="239"/>
    </row>
    <row r="89" spans="1:22">
      <c r="A89" s="89" t="s">
        <v>316</v>
      </c>
      <c r="B89" s="90"/>
      <c r="C89" s="90"/>
      <c r="D89" s="81"/>
      <c r="E89" s="81"/>
      <c r="F89" s="81"/>
      <c r="G89" s="81"/>
      <c r="H89" s="81"/>
      <c r="I89" s="81"/>
      <c r="J89" s="81"/>
      <c r="K89" s="62"/>
      <c r="L89" s="169"/>
      <c r="N89" s="242"/>
      <c r="O89" s="242"/>
      <c r="P89" s="242"/>
      <c r="Q89" s="242"/>
      <c r="R89" s="242"/>
      <c r="S89" s="242"/>
      <c r="T89" s="242"/>
      <c r="U89" s="242"/>
      <c r="V89" s="242"/>
    </row>
    <row r="90" spans="1:22">
      <c r="A90" s="109" t="s">
        <v>317</v>
      </c>
      <c r="B90" s="109" t="s">
        <v>318</v>
      </c>
      <c r="C90" s="118"/>
      <c r="D90" s="105" t="s">
        <v>319</v>
      </c>
      <c r="E90" s="105" t="s">
        <v>319</v>
      </c>
      <c r="F90" s="105" t="s">
        <v>319</v>
      </c>
      <c r="G90" s="105" t="s">
        <v>319</v>
      </c>
      <c r="H90" s="105" t="s">
        <v>319</v>
      </c>
      <c r="I90" s="105"/>
      <c r="J90" s="105"/>
      <c r="K90" s="118"/>
      <c r="L90" s="173">
        <v>10</v>
      </c>
      <c r="N90" s="239">
        <f t="shared" si="40"/>
        <v>1.9043999999999999</v>
      </c>
      <c r="O90" s="239">
        <f t="shared" si="41"/>
        <v>1.0291000000000001</v>
      </c>
      <c r="P90" s="239">
        <f t="shared" si="42"/>
        <v>0.73639999999999994</v>
      </c>
      <c r="Q90" s="239">
        <f t="shared" si="43"/>
        <v>0.58960000000000001</v>
      </c>
      <c r="R90" s="239"/>
      <c r="S90" s="239">
        <f t="shared" si="44"/>
        <v>1.9643999999999999</v>
      </c>
      <c r="T90" s="239">
        <f t="shared" si="45"/>
        <v>1.0891000000000002</v>
      </c>
      <c r="U90" s="239">
        <f t="shared" si="46"/>
        <v>0.7964</v>
      </c>
      <c r="V90" s="239">
        <f t="shared" si="47"/>
        <v>0.64960000000000007</v>
      </c>
    </row>
    <row r="91" spans="1:22">
      <c r="A91" s="109" t="s">
        <v>320</v>
      </c>
      <c r="B91" s="119" t="s">
        <v>321</v>
      </c>
      <c r="C91" s="120"/>
      <c r="D91" s="105" t="s">
        <v>322</v>
      </c>
      <c r="E91" s="105" t="s">
        <v>322</v>
      </c>
      <c r="F91" s="105" t="s">
        <v>322</v>
      </c>
      <c r="G91" s="105" t="s">
        <v>322</v>
      </c>
      <c r="H91" s="105" t="s">
        <v>322</v>
      </c>
      <c r="I91" s="105"/>
      <c r="J91" s="105"/>
      <c r="K91" s="118"/>
      <c r="L91" s="173">
        <v>30</v>
      </c>
      <c r="N91" s="239">
        <f t="shared" si="40"/>
        <v>5.7131999999999996</v>
      </c>
      <c r="O91" s="239">
        <f t="shared" si="41"/>
        <v>3.0872999999999999</v>
      </c>
      <c r="P91" s="239">
        <f t="shared" si="42"/>
        <v>2.2092000000000001</v>
      </c>
      <c r="Q91" s="239">
        <f t="shared" si="43"/>
        <v>1.7687999999999999</v>
      </c>
      <c r="R91" s="239"/>
      <c r="S91" s="239">
        <f t="shared" si="44"/>
        <v>5.8932000000000002</v>
      </c>
      <c r="T91" s="239">
        <f t="shared" si="45"/>
        <v>3.2673000000000001</v>
      </c>
      <c r="U91" s="239">
        <f t="shared" si="46"/>
        <v>2.3892000000000002</v>
      </c>
      <c r="V91" s="239">
        <f t="shared" si="47"/>
        <v>1.9488000000000001</v>
      </c>
    </row>
    <row r="92" spans="1:22">
      <c r="A92" s="109" t="s">
        <v>323</v>
      </c>
      <c r="B92" s="109" t="s">
        <v>324</v>
      </c>
      <c r="C92" s="118"/>
      <c r="D92" s="105" t="s">
        <v>325</v>
      </c>
      <c r="E92" s="105" t="s">
        <v>325</v>
      </c>
      <c r="F92" s="105" t="s">
        <v>325</v>
      </c>
      <c r="G92" s="105" t="s">
        <v>325</v>
      </c>
      <c r="H92" s="105" t="s">
        <v>325</v>
      </c>
      <c r="I92" s="105"/>
      <c r="J92" s="105"/>
      <c r="K92" s="118"/>
      <c r="L92" s="173">
        <v>40</v>
      </c>
      <c r="N92" s="239">
        <f t="shared" si="40"/>
        <v>7.6175999999999995</v>
      </c>
      <c r="O92" s="239">
        <f t="shared" si="41"/>
        <v>4.1164000000000005</v>
      </c>
      <c r="P92" s="239">
        <f t="shared" si="42"/>
        <v>2.9455999999999998</v>
      </c>
      <c r="Q92" s="239">
        <f t="shared" si="43"/>
        <v>2.3584000000000001</v>
      </c>
      <c r="R92" s="239"/>
      <c r="S92" s="239">
        <f t="shared" si="44"/>
        <v>7.8575999999999997</v>
      </c>
      <c r="T92" s="239">
        <f t="shared" si="45"/>
        <v>4.3564000000000007</v>
      </c>
      <c r="U92" s="239">
        <f t="shared" si="46"/>
        <v>3.1856</v>
      </c>
      <c r="V92" s="239">
        <f t="shared" si="47"/>
        <v>2.5984000000000003</v>
      </c>
    </row>
    <row r="93" spans="1:22">
      <c r="A93" s="109" t="s">
        <v>326</v>
      </c>
      <c r="B93" s="109" t="s">
        <v>327</v>
      </c>
      <c r="C93" s="118"/>
      <c r="D93" s="105" t="s">
        <v>328</v>
      </c>
      <c r="E93" s="105" t="s">
        <v>328</v>
      </c>
      <c r="F93" s="105" t="s">
        <v>328</v>
      </c>
      <c r="G93" s="105" t="s">
        <v>328</v>
      </c>
      <c r="H93" s="105" t="s">
        <v>328</v>
      </c>
      <c r="I93" s="105"/>
      <c r="J93" s="105"/>
      <c r="K93" s="118"/>
      <c r="L93" s="173">
        <v>158</v>
      </c>
      <c r="N93" s="239">
        <f t="shared" si="40"/>
        <v>30.08952</v>
      </c>
      <c r="O93" s="239">
        <f t="shared" si="41"/>
        <v>16.259779999999999</v>
      </c>
      <c r="P93" s="239">
        <f t="shared" si="42"/>
        <v>11.635119999999999</v>
      </c>
      <c r="Q93" s="239">
        <f t="shared" si="43"/>
        <v>9.3156800000000004</v>
      </c>
      <c r="R93" s="239"/>
      <c r="S93" s="239">
        <f t="shared" si="44"/>
        <v>31.037520000000001</v>
      </c>
      <c r="T93" s="239">
        <f t="shared" si="45"/>
        <v>17.20778</v>
      </c>
      <c r="U93" s="239">
        <f t="shared" si="46"/>
        <v>12.583120000000001</v>
      </c>
      <c r="V93" s="239">
        <f t="shared" si="47"/>
        <v>10.263680000000001</v>
      </c>
    </row>
    <row r="94" spans="1:22">
      <c r="A94" s="109" t="s">
        <v>1682</v>
      </c>
      <c r="B94" s="109" t="s">
        <v>1666</v>
      </c>
      <c r="C94" s="118"/>
      <c r="D94" s="109" t="s">
        <v>1705</v>
      </c>
      <c r="E94" s="109" t="s">
        <v>1705</v>
      </c>
      <c r="F94" s="109" t="s">
        <v>1705</v>
      </c>
      <c r="G94" s="109" t="s">
        <v>1705</v>
      </c>
      <c r="H94" s="109" t="s">
        <v>1706</v>
      </c>
      <c r="I94" s="105"/>
      <c r="J94" s="105"/>
      <c r="K94" s="118"/>
      <c r="L94" s="173">
        <v>22</v>
      </c>
      <c r="N94" s="239">
        <f t="shared" ref="N94" si="48">L94*$N$8</f>
        <v>4.1896800000000001</v>
      </c>
      <c r="O94" s="239">
        <f t="shared" ref="O94" si="49">L94*$O$8</f>
        <v>2.2640199999999999</v>
      </c>
      <c r="P94" s="239">
        <f t="shared" ref="P94" si="50">L94*$P$8</f>
        <v>1.62008</v>
      </c>
      <c r="Q94" s="239">
        <f t="shared" ref="Q94" si="51">L94*$Q$8</f>
        <v>1.2971200000000001</v>
      </c>
      <c r="R94" s="239"/>
      <c r="S94" s="239">
        <f t="shared" ref="S94" si="52">L94*$S$8</f>
        <v>4.3216799999999997</v>
      </c>
      <c r="T94" s="239">
        <f t="shared" ref="T94" si="53">L94*$T$8</f>
        <v>2.39602</v>
      </c>
      <c r="U94" s="239">
        <f t="shared" ref="U94" si="54">L94*$U$8</f>
        <v>1.7520800000000001</v>
      </c>
      <c r="V94" s="239">
        <f t="shared" ref="V94" si="55">L94*$V$8</f>
        <v>1.4291200000000002</v>
      </c>
    </row>
    <row r="95" spans="1:22" ht="25.5">
      <c r="A95" s="109" t="s">
        <v>329</v>
      </c>
      <c r="B95" s="109" t="s">
        <v>330</v>
      </c>
      <c r="C95" s="118"/>
      <c r="D95" s="109" t="s">
        <v>1709</v>
      </c>
      <c r="E95" s="109" t="s">
        <v>1709</v>
      </c>
      <c r="F95" s="109" t="s">
        <v>1709</v>
      </c>
      <c r="G95" s="109" t="s">
        <v>1709</v>
      </c>
      <c r="H95" s="109" t="s">
        <v>1710</v>
      </c>
      <c r="I95" s="105"/>
      <c r="J95" s="105"/>
      <c r="K95" s="118"/>
      <c r="L95" s="173">
        <v>52</v>
      </c>
      <c r="N95" s="239">
        <f t="shared" ref="N95" si="56">L95*$N$8</f>
        <v>9.9028799999999997</v>
      </c>
      <c r="O95" s="239">
        <f t="shared" ref="O95" si="57">L95*$O$8</f>
        <v>5.3513200000000003</v>
      </c>
      <c r="P95" s="239">
        <f t="shared" ref="P95" si="58">L95*$P$8</f>
        <v>3.8292799999999998</v>
      </c>
      <c r="Q95" s="239">
        <f t="shared" ref="Q95" si="59">L95*$Q$8</f>
        <v>3.0659199999999998</v>
      </c>
      <c r="R95" s="239"/>
      <c r="S95" s="239">
        <f t="shared" ref="S95" si="60">L95*$S$8</f>
        <v>10.214880000000001</v>
      </c>
      <c r="T95" s="239">
        <f t="shared" ref="T95" si="61">L95*$T$8</f>
        <v>5.6633200000000006</v>
      </c>
      <c r="U95" s="239">
        <f t="shared" ref="U95" si="62">L95*$U$8</f>
        <v>4.1412800000000001</v>
      </c>
      <c r="V95" s="239">
        <f t="shared" ref="V95" si="63">L95*$V$8</f>
        <v>3.37792</v>
      </c>
    </row>
    <row r="96" spans="1:22">
      <c r="A96" s="113"/>
      <c r="B96" s="114"/>
      <c r="C96" s="115"/>
      <c r="D96" s="116"/>
      <c r="E96" s="116"/>
      <c r="F96" s="116"/>
      <c r="G96" s="116"/>
      <c r="H96" s="116"/>
      <c r="I96" s="116"/>
      <c r="J96" s="116"/>
      <c r="K96" s="182"/>
      <c r="L96" s="173"/>
      <c r="N96" s="239"/>
      <c r="O96" s="239"/>
      <c r="P96" s="239"/>
      <c r="Q96" s="239"/>
      <c r="R96" s="239"/>
      <c r="S96" s="239"/>
      <c r="T96" s="239"/>
      <c r="U96" s="239"/>
      <c r="V96" s="239"/>
    </row>
    <row r="97" spans="1:22" ht="20.25">
      <c r="A97" s="92" t="s">
        <v>331</v>
      </c>
      <c r="B97" s="93"/>
      <c r="C97" s="94"/>
      <c r="D97" s="95"/>
      <c r="E97" s="95"/>
      <c r="F97" s="95"/>
      <c r="G97" s="95"/>
      <c r="H97" s="95"/>
      <c r="I97" s="95"/>
      <c r="J97" s="95"/>
      <c r="K97" s="92"/>
      <c r="L97" s="95"/>
      <c r="N97" s="187" t="s">
        <v>1571</v>
      </c>
      <c r="O97" s="186"/>
      <c r="P97" s="186"/>
      <c r="Q97" s="186"/>
      <c r="R97" s="139"/>
      <c r="S97" s="187" t="s">
        <v>1572</v>
      </c>
      <c r="T97" s="187"/>
      <c r="U97" s="187"/>
      <c r="V97" s="187"/>
    </row>
    <row r="98" spans="1:22" ht="99.75" customHeight="1">
      <c r="A98" s="11" t="s">
        <v>117</v>
      </c>
      <c r="B98" s="11" t="s">
        <v>118</v>
      </c>
      <c r="C98" s="11" t="s">
        <v>119</v>
      </c>
      <c r="D98" s="11"/>
      <c r="E98" s="11"/>
      <c r="F98" s="11"/>
      <c r="G98" s="11"/>
      <c r="H98" s="69"/>
      <c r="I98" s="69"/>
      <c r="J98" s="69"/>
      <c r="K98" s="11" t="s">
        <v>120</v>
      </c>
      <c r="L98" s="11" t="s">
        <v>1573</v>
      </c>
      <c r="N98" s="141" t="s">
        <v>1574</v>
      </c>
      <c r="O98" s="140" t="s">
        <v>1575</v>
      </c>
      <c r="P98" s="141" t="s">
        <v>1576</v>
      </c>
      <c r="Q98" s="141" t="s">
        <v>1577</v>
      </c>
      <c r="R98" s="139"/>
      <c r="S98" s="141" t="s">
        <v>1574</v>
      </c>
      <c r="T98" s="140" t="s">
        <v>1575</v>
      </c>
      <c r="U98" s="141" t="s">
        <v>1576</v>
      </c>
      <c r="V98" s="141" t="s">
        <v>1577</v>
      </c>
    </row>
    <row r="99" spans="1:22" ht="155.25" customHeight="1">
      <c r="A99" s="113" t="s">
        <v>1652</v>
      </c>
      <c r="B99" s="114" t="s">
        <v>332</v>
      </c>
      <c r="C99" s="115"/>
      <c r="D99" s="116"/>
      <c r="E99" s="116"/>
      <c r="F99" s="116"/>
      <c r="G99" s="116"/>
      <c r="H99" s="116"/>
      <c r="I99" s="116"/>
      <c r="J99" s="116"/>
      <c r="K99" s="182"/>
      <c r="L99" s="173">
        <v>421</v>
      </c>
      <c r="N99" s="239">
        <f t="shared" si="40"/>
        <v>80.175240000000002</v>
      </c>
      <c r="O99" s="239">
        <f t="shared" si="41"/>
        <v>43.325110000000002</v>
      </c>
      <c r="P99" s="239">
        <f t="shared" si="42"/>
        <v>31.00244</v>
      </c>
      <c r="Q99" s="239">
        <f t="shared" si="43"/>
        <v>24.82216</v>
      </c>
      <c r="R99" s="239"/>
      <c r="S99" s="239">
        <f t="shared" si="44"/>
        <v>82.701239999999999</v>
      </c>
      <c r="T99" s="239">
        <f t="shared" si="45"/>
        <v>45.851110000000006</v>
      </c>
      <c r="U99" s="239">
        <f t="shared" si="46"/>
        <v>33.528440000000003</v>
      </c>
      <c r="V99" s="239">
        <f t="shared" si="47"/>
        <v>27.34816</v>
      </c>
    </row>
    <row r="100" spans="1:22" ht="14.45" customHeight="1">
      <c r="A100" s="113"/>
      <c r="B100" s="114"/>
      <c r="C100" s="115"/>
      <c r="D100" s="116"/>
      <c r="E100" s="116"/>
      <c r="F100" s="116"/>
      <c r="G100" s="116"/>
      <c r="H100" s="116"/>
      <c r="I100" s="116"/>
      <c r="J100" s="116"/>
      <c r="K100" s="182"/>
      <c r="L100" s="173"/>
      <c r="N100" s="239"/>
      <c r="O100" s="239"/>
      <c r="P100" s="239"/>
      <c r="Q100" s="239"/>
      <c r="R100" s="239"/>
      <c r="S100" s="239"/>
      <c r="T100" s="239"/>
      <c r="U100" s="239"/>
      <c r="V100" s="239"/>
    </row>
    <row r="101" spans="1:22" ht="149.25" customHeight="1">
      <c r="A101" s="117" t="s">
        <v>1651</v>
      </c>
      <c r="B101" s="114" t="s">
        <v>333</v>
      </c>
      <c r="C101" s="115"/>
      <c r="D101" s="116"/>
      <c r="E101" s="116"/>
      <c r="F101" s="116"/>
      <c r="G101" s="116"/>
      <c r="H101" s="116"/>
      <c r="I101" s="116"/>
      <c r="J101" s="116"/>
      <c r="K101" s="182"/>
      <c r="L101" s="173">
        <v>418</v>
      </c>
      <c r="N101" s="239">
        <f t="shared" si="40"/>
        <v>79.603920000000002</v>
      </c>
      <c r="O101" s="239">
        <f t="shared" si="41"/>
        <v>43.016379999999998</v>
      </c>
      <c r="P101" s="239">
        <f t="shared" si="42"/>
        <v>30.78152</v>
      </c>
      <c r="Q101" s="239">
        <f t="shared" si="43"/>
        <v>24.64528</v>
      </c>
      <c r="R101" s="239"/>
      <c r="S101" s="239">
        <f t="shared" si="44"/>
        <v>82.111919999999998</v>
      </c>
      <c r="T101" s="239">
        <f t="shared" si="45"/>
        <v>45.524380000000001</v>
      </c>
      <c r="U101" s="239">
        <f t="shared" si="46"/>
        <v>33.289520000000003</v>
      </c>
      <c r="V101" s="239">
        <f t="shared" si="47"/>
        <v>27.153280000000002</v>
      </c>
    </row>
    <row r="102" spans="1:22" ht="12.75" customHeight="1">
      <c r="A102" s="113"/>
      <c r="B102" s="114"/>
      <c r="C102" s="115"/>
      <c r="D102" s="116"/>
      <c r="E102" s="116"/>
      <c r="F102" s="116"/>
      <c r="G102" s="116"/>
      <c r="H102" s="116"/>
      <c r="I102" s="116"/>
      <c r="J102" s="116"/>
      <c r="K102" s="182"/>
      <c r="L102" s="173"/>
      <c r="N102" s="239"/>
      <c r="O102" s="239"/>
      <c r="P102" s="239"/>
      <c r="Q102" s="239"/>
      <c r="R102" s="239"/>
      <c r="S102" s="239"/>
      <c r="T102" s="239"/>
      <c r="U102" s="239"/>
      <c r="V102" s="239"/>
    </row>
    <row r="103" spans="1:22" ht="155.25" customHeight="1">
      <c r="A103" s="117" t="s">
        <v>1650</v>
      </c>
      <c r="B103" s="114" t="s">
        <v>334</v>
      </c>
      <c r="C103" s="115"/>
      <c r="D103" s="116"/>
      <c r="E103" s="116"/>
      <c r="F103" s="116"/>
      <c r="G103" s="116"/>
      <c r="H103" s="116"/>
      <c r="I103" s="116"/>
      <c r="J103" s="116"/>
      <c r="K103" s="182"/>
      <c r="L103" s="173">
        <v>400</v>
      </c>
      <c r="N103" s="239">
        <f t="shared" si="40"/>
        <v>76.176000000000002</v>
      </c>
      <c r="O103" s="239">
        <f t="shared" si="41"/>
        <v>41.164000000000001</v>
      </c>
      <c r="P103" s="239">
        <f t="shared" si="42"/>
        <v>29.456</v>
      </c>
      <c r="Q103" s="239">
        <f t="shared" si="43"/>
        <v>23.584</v>
      </c>
      <c r="R103" s="239"/>
      <c r="S103" s="239">
        <f t="shared" si="44"/>
        <v>78.576000000000008</v>
      </c>
      <c r="T103" s="239">
        <f t="shared" si="45"/>
        <v>43.564</v>
      </c>
      <c r="U103" s="239">
        <f t="shared" si="46"/>
        <v>31.856000000000002</v>
      </c>
      <c r="V103" s="239">
        <f t="shared" si="47"/>
        <v>25.984000000000002</v>
      </c>
    </row>
    <row r="104" spans="1:22" ht="12.95" customHeight="1">
      <c r="A104" s="113"/>
      <c r="B104" s="114"/>
      <c r="C104" s="115"/>
      <c r="D104" s="116"/>
      <c r="E104" s="116"/>
      <c r="F104" s="116"/>
      <c r="G104" s="116"/>
      <c r="H104" s="116"/>
      <c r="I104" s="116"/>
      <c r="J104" s="116"/>
      <c r="K104" s="182"/>
      <c r="L104" s="173"/>
      <c r="N104" s="239"/>
      <c r="O104" s="239"/>
      <c r="P104" s="239"/>
      <c r="Q104" s="239"/>
      <c r="R104" s="239"/>
      <c r="S104" s="239"/>
      <c r="T104" s="239"/>
      <c r="U104" s="239"/>
      <c r="V104" s="239"/>
    </row>
    <row r="105" spans="1:22" ht="149.25" customHeight="1">
      <c r="A105" s="117" t="s">
        <v>1649</v>
      </c>
      <c r="B105" s="114" t="s">
        <v>335</v>
      </c>
      <c r="C105" s="115"/>
      <c r="D105" s="116"/>
      <c r="E105" s="116"/>
      <c r="F105" s="116"/>
      <c r="G105" s="116"/>
      <c r="H105" s="116"/>
      <c r="I105" s="116"/>
      <c r="J105" s="116"/>
      <c r="K105" s="182"/>
      <c r="L105" s="173">
        <v>420</v>
      </c>
      <c r="N105" s="239">
        <f t="shared" si="40"/>
        <v>79.984799999999993</v>
      </c>
      <c r="O105" s="239">
        <f t="shared" si="41"/>
        <v>43.222200000000001</v>
      </c>
      <c r="P105" s="239">
        <f t="shared" si="42"/>
        <v>30.928799999999999</v>
      </c>
      <c r="Q105" s="239">
        <f t="shared" si="43"/>
        <v>24.763199999999998</v>
      </c>
      <c r="R105" s="239"/>
      <c r="S105" s="239">
        <f t="shared" si="44"/>
        <v>82.504800000000003</v>
      </c>
      <c r="T105" s="239">
        <f t="shared" si="45"/>
        <v>45.742200000000004</v>
      </c>
      <c r="U105" s="239">
        <f t="shared" si="46"/>
        <v>33.448799999999999</v>
      </c>
      <c r="V105" s="239">
        <f t="shared" si="47"/>
        <v>27.283200000000001</v>
      </c>
    </row>
    <row r="106" spans="1:22" ht="15" customHeight="1">
      <c r="A106" s="113"/>
      <c r="B106" s="114"/>
      <c r="C106" s="115"/>
      <c r="D106" s="116"/>
      <c r="E106" s="116"/>
      <c r="F106" s="116"/>
      <c r="G106" s="116"/>
      <c r="H106" s="116"/>
      <c r="I106" s="116"/>
      <c r="J106" s="116"/>
      <c r="K106" s="182"/>
      <c r="L106" s="173"/>
      <c r="N106" s="239"/>
      <c r="O106" s="239"/>
      <c r="P106" s="239"/>
      <c r="Q106" s="239"/>
      <c r="R106" s="239"/>
      <c r="S106" s="239"/>
      <c r="T106" s="239"/>
      <c r="U106" s="239"/>
      <c r="V106" s="239"/>
    </row>
    <row r="107" spans="1:22" ht="148.5" customHeight="1">
      <c r="A107" s="117" t="s">
        <v>1648</v>
      </c>
      <c r="B107" s="114" t="s">
        <v>336</v>
      </c>
      <c r="C107" s="115"/>
      <c r="D107" s="116"/>
      <c r="E107" s="116"/>
      <c r="F107" s="116"/>
      <c r="G107" s="116"/>
      <c r="H107" s="116"/>
      <c r="I107" s="116"/>
      <c r="J107" s="116"/>
      <c r="K107" s="182"/>
      <c r="L107" s="173">
        <v>402</v>
      </c>
      <c r="N107" s="239">
        <f t="shared" si="40"/>
        <v>76.556879999999992</v>
      </c>
      <c r="O107" s="239">
        <f t="shared" si="41"/>
        <v>41.369819999999997</v>
      </c>
      <c r="P107" s="239">
        <f t="shared" si="42"/>
        <v>29.603279999999998</v>
      </c>
      <c r="Q107" s="239">
        <f t="shared" si="43"/>
        <v>23.701919999999998</v>
      </c>
      <c r="R107" s="239"/>
      <c r="S107" s="239">
        <f t="shared" si="44"/>
        <v>78.968879999999999</v>
      </c>
      <c r="T107" s="239">
        <f t="shared" si="45"/>
        <v>43.781820000000003</v>
      </c>
      <c r="U107" s="239">
        <f t="shared" si="46"/>
        <v>32.015280000000004</v>
      </c>
      <c r="V107" s="239">
        <f t="shared" si="47"/>
        <v>26.11392</v>
      </c>
    </row>
    <row r="108" spans="1:22">
      <c r="A108" s="113"/>
      <c r="B108" s="114"/>
      <c r="C108" s="115"/>
      <c r="D108" s="116"/>
      <c r="E108" s="116"/>
      <c r="F108" s="116"/>
      <c r="G108" s="116"/>
      <c r="H108" s="116"/>
      <c r="I108" s="116"/>
      <c r="J108" s="116"/>
      <c r="K108" s="182"/>
      <c r="L108" s="173"/>
      <c r="N108" s="239"/>
      <c r="O108" s="239"/>
      <c r="P108" s="239"/>
      <c r="Q108" s="239"/>
      <c r="R108" s="239"/>
      <c r="S108" s="239"/>
      <c r="T108" s="239"/>
      <c r="U108" s="239"/>
      <c r="V108" s="239"/>
    </row>
    <row r="109" spans="1:22" s="13" customFormat="1" ht="25.5">
      <c r="A109" s="112" t="s">
        <v>337</v>
      </c>
      <c r="B109" s="11" t="s">
        <v>338</v>
      </c>
      <c r="C109" s="11" t="s">
        <v>119</v>
      </c>
      <c r="D109" s="11" t="s">
        <v>339</v>
      </c>
      <c r="E109" s="11" t="s">
        <v>340</v>
      </c>
      <c r="F109" s="11" t="s">
        <v>341</v>
      </c>
      <c r="G109" s="11" t="s">
        <v>342</v>
      </c>
      <c r="H109" s="11" t="s">
        <v>343</v>
      </c>
      <c r="I109" s="11"/>
      <c r="J109" s="11"/>
      <c r="K109" s="11" t="s">
        <v>120</v>
      </c>
      <c r="L109" s="174" t="s">
        <v>938</v>
      </c>
      <c r="N109" s="141" t="s">
        <v>1574</v>
      </c>
      <c r="O109" s="140" t="s">
        <v>1575</v>
      </c>
      <c r="P109" s="141" t="s">
        <v>1576</v>
      </c>
      <c r="Q109" s="141" t="s">
        <v>1577</v>
      </c>
      <c r="R109" s="139"/>
      <c r="S109" s="141" t="s">
        <v>1574</v>
      </c>
      <c r="T109" s="140" t="s">
        <v>1575</v>
      </c>
      <c r="U109" s="141" t="s">
        <v>1576</v>
      </c>
      <c r="V109" s="141" t="s">
        <v>1577</v>
      </c>
    </row>
    <row r="110" spans="1:22">
      <c r="A110" s="89" t="s">
        <v>140</v>
      </c>
      <c r="B110" s="90" t="s">
        <v>344</v>
      </c>
      <c r="C110" s="90"/>
      <c r="D110" s="91"/>
      <c r="E110" s="91"/>
      <c r="F110" s="91"/>
      <c r="G110" s="91"/>
      <c r="H110" s="91"/>
      <c r="I110" s="91"/>
      <c r="J110" s="91"/>
      <c r="K110" s="90"/>
      <c r="L110" s="168"/>
      <c r="N110" s="238"/>
      <c r="O110" s="238"/>
      <c r="P110" s="238"/>
      <c r="Q110" s="238"/>
      <c r="R110" s="238"/>
      <c r="S110" s="238"/>
      <c r="T110" s="238"/>
      <c r="U110" s="238"/>
      <c r="V110" s="238"/>
    </row>
    <row r="111" spans="1:22">
      <c r="A111" s="109" t="s">
        <v>345</v>
      </c>
      <c r="B111" s="109" t="s">
        <v>346</v>
      </c>
      <c r="C111" s="118"/>
      <c r="D111" s="105" t="s">
        <v>347</v>
      </c>
      <c r="E111" s="105"/>
      <c r="F111" s="105"/>
      <c r="G111" s="105"/>
      <c r="H111" s="105"/>
      <c r="I111" s="105"/>
      <c r="J111" s="105"/>
      <c r="K111" s="118"/>
      <c r="L111" s="173">
        <v>69</v>
      </c>
      <c r="N111" s="239">
        <f t="shared" si="40"/>
        <v>13.140359999999999</v>
      </c>
      <c r="O111" s="239">
        <f t="shared" si="41"/>
        <v>7.1007899999999999</v>
      </c>
      <c r="P111" s="239">
        <f t="shared" si="42"/>
        <v>5.0811599999999997</v>
      </c>
      <c r="Q111" s="239">
        <f t="shared" si="43"/>
        <v>4.0682400000000003</v>
      </c>
      <c r="R111" s="239"/>
      <c r="S111" s="239">
        <f t="shared" si="44"/>
        <v>13.554360000000001</v>
      </c>
      <c r="T111" s="239">
        <f t="shared" si="45"/>
        <v>7.5147900000000005</v>
      </c>
      <c r="U111" s="239">
        <f t="shared" si="46"/>
        <v>5.4951600000000003</v>
      </c>
      <c r="V111" s="239">
        <f t="shared" si="47"/>
        <v>4.48224</v>
      </c>
    </row>
    <row r="112" spans="1:22">
      <c r="A112" s="109" t="s">
        <v>348</v>
      </c>
      <c r="B112" s="109" t="s">
        <v>349</v>
      </c>
      <c r="C112" s="118" t="s">
        <v>350</v>
      </c>
      <c r="D112" s="105" t="s">
        <v>351</v>
      </c>
      <c r="E112" s="105"/>
      <c r="F112" s="105"/>
      <c r="G112" s="105"/>
      <c r="H112" s="105"/>
      <c r="I112" s="105"/>
      <c r="J112" s="105"/>
      <c r="K112" s="118"/>
      <c r="L112" s="173">
        <v>186</v>
      </c>
      <c r="N112" s="239">
        <f t="shared" ref="N112" si="64">L112*$N$8</f>
        <v>35.421840000000003</v>
      </c>
      <c r="O112" s="239">
        <f t="shared" ref="O112" si="65">L112*$O$8</f>
        <v>19.141259999999999</v>
      </c>
      <c r="P112" s="239">
        <f t="shared" ref="P112" si="66">L112*$P$8</f>
        <v>13.697039999999999</v>
      </c>
      <c r="Q112" s="239">
        <f t="shared" ref="Q112" si="67">L112*$Q$8</f>
        <v>10.966559999999999</v>
      </c>
      <c r="R112" s="239"/>
      <c r="S112" s="239">
        <f t="shared" ref="S112" si="68">L112*$S$8</f>
        <v>36.537840000000003</v>
      </c>
      <c r="T112" s="239">
        <f t="shared" ref="T112" si="69">L112*$T$8</f>
        <v>20.257260000000002</v>
      </c>
      <c r="U112" s="239">
        <f t="shared" ref="U112" si="70">L112*$U$8</f>
        <v>14.813040000000001</v>
      </c>
      <c r="V112" s="239">
        <f t="shared" ref="V112" si="71">L112*$V$8</f>
        <v>12.082560000000001</v>
      </c>
    </row>
    <row r="113" spans="1:22">
      <c r="A113" s="109" t="s">
        <v>352</v>
      </c>
      <c r="B113" s="109" t="s">
        <v>353</v>
      </c>
      <c r="C113" s="118"/>
      <c r="D113" s="105" t="s">
        <v>354</v>
      </c>
      <c r="E113" s="105"/>
      <c r="F113" s="105"/>
      <c r="G113" s="105"/>
      <c r="H113" s="105"/>
      <c r="I113" s="105"/>
      <c r="J113" s="105"/>
      <c r="K113" s="118"/>
      <c r="L113" s="173">
        <v>180</v>
      </c>
      <c r="N113" s="239">
        <f t="shared" si="40"/>
        <v>34.279200000000003</v>
      </c>
      <c r="O113" s="239">
        <f t="shared" si="41"/>
        <v>18.523800000000001</v>
      </c>
      <c r="P113" s="239">
        <f t="shared" si="42"/>
        <v>13.2552</v>
      </c>
      <c r="Q113" s="239">
        <f t="shared" si="43"/>
        <v>10.6128</v>
      </c>
      <c r="R113" s="239"/>
      <c r="S113" s="239">
        <f t="shared" si="44"/>
        <v>35.359200000000001</v>
      </c>
      <c r="T113" s="239">
        <f t="shared" si="45"/>
        <v>19.6038</v>
      </c>
      <c r="U113" s="239">
        <f t="shared" si="46"/>
        <v>14.3352</v>
      </c>
      <c r="V113" s="239">
        <f t="shared" si="47"/>
        <v>11.6928</v>
      </c>
    </row>
    <row r="114" spans="1:22" s="3" customFormat="1">
      <c r="A114" s="113"/>
      <c r="B114" s="114"/>
      <c r="C114" s="115"/>
      <c r="D114" s="116"/>
      <c r="E114" s="116"/>
      <c r="F114" s="116"/>
      <c r="G114" s="116"/>
      <c r="H114" s="116"/>
      <c r="I114" s="116"/>
      <c r="J114" s="116"/>
      <c r="K114" s="182"/>
      <c r="L114" s="173"/>
      <c r="N114" s="239"/>
      <c r="O114" s="239"/>
      <c r="P114" s="239"/>
      <c r="Q114" s="239"/>
      <c r="R114" s="239"/>
      <c r="S114" s="239"/>
      <c r="T114" s="239"/>
      <c r="U114" s="239"/>
      <c r="V114" s="239"/>
    </row>
    <row r="115" spans="1:22" s="3" customFormat="1">
      <c r="A115" s="109" t="s">
        <v>355</v>
      </c>
      <c r="B115" s="109" t="s">
        <v>356</v>
      </c>
      <c r="C115" s="118"/>
      <c r="D115" s="118"/>
      <c r="E115" s="105" t="s">
        <v>357</v>
      </c>
      <c r="F115" s="105"/>
      <c r="G115" s="105"/>
      <c r="H115" s="105"/>
      <c r="I115" s="105"/>
      <c r="J115" s="105"/>
      <c r="K115" s="118"/>
      <c r="L115" s="173">
        <v>0</v>
      </c>
      <c r="N115" s="239">
        <f t="shared" si="40"/>
        <v>0</v>
      </c>
      <c r="O115" s="239">
        <f t="shared" si="41"/>
        <v>0</v>
      </c>
      <c r="P115" s="239">
        <f t="shared" si="42"/>
        <v>0</v>
      </c>
      <c r="Q115" s="239">
        <f t="shared" si="43"/>
        <v>0</v>
      </c>
      <c r="R115" s="239"/>
      <c r="S115" s="239">
        <f t="shared" si="44"/>
        <v>0</v>
      </c>
      <c r="T115" s="239">
        <f t="shared" si="45"/>
        <v>0</v>
      </c>
      <c r="U115" s="239">
        <f t="shared" si="46"/>
        <v>0</v>
      </c>
      <c r="V115" s="239">
        <f t="shared" si="47"/>
        <v>0</v>
      </c>
    </row>
    <row r="116" spans="1:22" s="3" customFormat="1">
      <c r="A116" s="109" t="s">
        <v>358</v>
      </c>
      <c r="B116" s="109" t="s">
        <v>359</v>
      </c>
      <c r="C116" s="118"/>
      <c r="D116" s="118"/>
      <c r="E116" s="105" t="s">
        <v>360</v>
      </c>
      <c r="F116" s="105"/>
      <c r="G116" s="105"/>
      <c r="H116" s="105"/>
      <c r="I116" s="105"/>
      <c r="J116" s="105"/>
      <c r="K116" s="118"/>
      <c r="L116" s="173">
        <v>69</v>
      </c>
      <c r="N116" s="239">
        <f t="shared" si="40"/>
        <v>13.140359999999999</v>
      </c>
      <c r="O116" s="239">
        <f t="shared" si="41"/>
        <v>7.1007899999999999</v>
      </c>
      <c r="P116" s="239">
        <f t="shared" si="42"/>
        <v>5.0811599999999997</v>
      </c>
      <c r="Q116" s="239">
        <f t="shared" si="43"/>
        <v>4.0682400000000003</v>
      </c>
      <c r="R116" s="239"/>
      <c r="S116" s="239">
        <f t="shared" si="44"/>
        <v>13.554360000000001</v>
      </c>
      <c r="T116" s="239">
        <f t="shared" si="45"/>
        <v>7.5147900000000005</v>
      </c>
      <c r="U116" s="239">
        <f t="shared" si="46"/>
        <v>5.4951600000000003</v>
      </c>
      <c r="V116" s="239">
        <f t="shared" si="47"/>
        <v>4.48224</v>
      </c>
    </row>
    <row r="117" spans="1:22" s="3" customFormat="1">
      <c r="A117" s="109" t="s">
        <v>361</v>
      </c>
      <c r="B117" s="109" t="s">
        <v>362</v>
      </c>
      <c r="C117" s="118"/>
      <c r="D117" s="118"/>
      <c r="E117" s="105" t="s">
        <v>363</v>
      </c>
      <c r="F117" s="105"/>
      <c r="G117" s="105"/>
      <c r="H117" s="105"/>
      <c r="I117" s="105"/>
      <c r="J117" s="105"/>
      <c r="K117" s="118"/>
      <c r="L117" s="173">
        <v>69</v>
      </c>
      <c r="N117" s="239">
        <f t="shared" si="40"/>
        <v>13.140359999999999</v>
      </c>
      <c r="O117" s="239">
        <f t="shared" si="41"/>
        <v>7.1007899999999999</v>
      </c>
      <c r="P117" s="239">
        <f t="shared" si="42"/>
        <v>5.0811599999999997</v>
      </c>
      <c r="Q117" s="239">
        <f t="shared" si="43"/>
        <v>4.0682400000000003</v>
      </c>
      <c r="R117" s="239"/>
      <c r="S117" s="239">
        <f t="shared" si="44"/>
        <v>13.554360000000001</v>
      </c>
      <c r="T117" s="239">
        <f t="shared" si="45"/>
        <v>7.5147900000000005</v>
      </c>
      <c r="U117" s="239">
        <f t="shared" si="46"/>
        <v>5.4951600000000003</v>
      </c>
      <c r="V117" s="239">
        <f t="shared" si="47"/>
        <v>4.48224</v>
      </c>
    </row>
    <row r="118" spans="1:22" s="3" customFormat="1" ht="14.25" customHeight="1">
      <c r="A118" s="109" t="s">
        <v>364</v>
      </c>
      <c r="B118" s="109" t="s">
        <v>365</v>
      </c>
      <c r="C118" s="118"/>
      <c r="D118" s="118"/>
      <c r="E118" s="105" t="s">
        <v>366</v>
      </c>
      <c r="F118" s="105"/>
      <c r="G118" s="105"/>
      <c r="H118" s="105"/>
      <c r="I118" s="105"/>
      <c r="J118" s="105"/>
      <c r="K118" s="118"/>
      <c r="L118" s="173">
        <v>164</v>
      </c>
      <c r="N118" s="239">
        <f t="shared" si="40"/>
        <v>31.23216</v>
      </c>
      <c r="O118" s="239">
        <f t="shared" si="41"/>
        <v>16.87724</v>
      </c>
      <c r="P118" s="239">
        <f t="shared" si="42"/>
        <v>12.07696</v>
      </c>
      <c r="Q118" s="239">
        <f t="shared" si="43"/>
        <v>9.6694399999999998</v>
      </c>
      <c r="R118" s="239"/>
      <c r="S118" s="239">
        <f t="shared" si="44"/>
        <v>32.216160000000002</v>
      </c>
      <c r="T118" s="239">
        <f t="shared" si="45"/>
        <v>17.861240000000002</v>
      </c>
      <c r="U118" s="239">
        <f t="shared" si="46"/>
        <v>13.06096</v>
      </c>
      <c r="V118" s="239">
        <f t="shared" si="47"/>
        <v>10.65344</v>
      </c>
    </row>
    <row r="119" spans="1:22" s="3" customFormat="1">
      <c r="A119" s="109" t="s">
        <v>367</v>
      </c>
      <c r="B119" s="109" t="s">
        <v>368</v>
      </c>
      <c r="C119" s="118" t="s">
        <v>350</v>
      </c>
      <c r="D119" s="118"/>
      <c r="E119" s="105" t="s">
        <v>369</v>
      </c>
      <c r="F119" s="105"/>
      <c r="G119" s="105"/>
      <c r="H119" s="105"/>
      <c r="I119" s="105"/>
      <c r="J119" s="105"/>
      <c r="K119" s="118"/>
      <c r="L119" s="173">
        <v>180</v>
      </c>
      <c r="N119" s="239">
        <f t="shared" si="40"/>
        <v>34.279200000000003</v>
      </c>
      <c r="O119" s="239">
        <f t="shared" si="41"/>
        <v>18.523800000000001</v>
      </c>
      <c r="P119" s="239">
        <f t="shared" si="42"/>
        <v>13.2552</v>
      </c>
      <c r="Q119" s="239">
        <f t="shared" si="43"/>
        <v>10.6128</v>
      </c>
      <c r="R119" s="239"/>
      <c r="S119" s="239">
        <f t="shared" si="44"/>
        <v>35.359200000000001</v>
      </c>
      <c r="T119" s="239">
        <f t="shared" si="45"/>
        <v>19.6038</v>
      </c>
      <c r="U119" s="239">
        <f t="shared" si="46"/>
        <v>14.3352</v>
      </c>
      <c r="V119" s="239">
        <f t="shared" si="47"/>
        <v>11.6928</v>
      </c>
    </row>
    <row r="120" spans="1:22" s="3" customFormat="1">
      <c r="A120" s="109" t="s">
        <v>370</v>
      </c>
      <c r="B120" s="109" t="s">
        <v>371</v>
      </c>
      <c r="C120" s="118" t="s">
        <v>350</v>
      </c>
      <c r="D120" s="118"/>
      <c r="E120" s="105" t="s">
        <v>372</v>
      </c>
      <c r="F120" s="105"/>
      <c r="G120" s="105"/>
      <c r="H120" s="105"/>
      <c r="I120" s="105"/>
      <c r="J120" s="105"/>
      <c r="K120" s="118"/>
      <c r="L120" s="173">
        <v>180</v>
      </c>
      <c r="N120" s="239">
        <f t="shared" si="40"/>
        <v>34.279200000000003</v>
      </c>
      <c r="O120" s="239">
        <f t="shared" si="41"/>
        <v>18.523800000000001</v>
      </c>
      <c r="P120" s="239">
        <f t="shared" si="42"/>
        <v>13.2552</v>
      </c>
      <c r="Q120" s="239">
        <f t="shared" si="43"/>
        <v>10.6128</v>
      </c>
      <c r="R120" s="239"/>
      <c r="S120" s="239">
        <f t="shared" si="44"/>
        <v>35.359200000000001</v>
      </c>
      <c r="T120" s="239">
        <f t="shared" si="45"/>
        <v>19.6038</v>
      </c>
      <c r="U120" s="239">
        <f t="shared" si="46"/>
        <v>14.3352</v>
      </c>
      <c r="V120" s="239">
        <f t="shared" si="47"/>
        <v>11.6928</v>
      </c>
    </row>
    <row r="121" spans="1:22" s="3" customFormat="1">
      <c r="A121" s="109" t="s">
        <v>373</v>
      </c>
      <c r="B121" s="109" t="s">
        <v>374</v>
      </c>
      <c r="C121" s="118" t="s">
        <v>350</v>
      </c>
      <c r="D121" s="118"/>
      <c r="E121" s="105" t="s">
        <v>375</v>
      </c>
      <c r="F121" s="105"/>
      <c r="G121" s="105"/>
      <c r="H121" s="105"/>
      <c r="I121" s="105"/>
      <c r="J121" s="105"/>
      <c r="K121" s="118"/>
      <c r="L121" s="173">
        <v>186</v>
      </c>
      <c r="N121" s="239">
        <f t="shared" si="40"/>
        <v>35.421840000000003</v>
      </c>
      <c r="O121" s="239">
        <f t="shared" si="41"/>
        <v>19.141259999999999</v>
      </c>
      <c r="P121" s="239">
        <f t="shared" si="42"/>
        <v>13.697039999999999</v>
      </c>
      <c r="Q121" s="239">
        <f t="shared" si="43"/>
        <v>10.966559999999999</v>
      </c>
      <c r="R121" s="239"/>
      <c r="S121" s="239">
        <f t="shared" si="44"/>
        <v>36.537840000000003</v>
      </c>
      <c r="T121" s="239">
        <f t="shared" si="45"/>
        <v>20.257260000000002</v>
      </c>
      <c r="U121" s="239">
        <f t="shared" si="46"/>
        <v>14.813040000000001</v>
      </c>
      <c r="V121" s="239">
        <f t="shared" si="47"/>
        <v>12.082560000000001</v>
      </c>
    </row>
    <row r="122" spans="1:22" s="3" customFormat="1">
      <c r="A122" s="109" t="s">
        <v>376</v>
      </c>
      <c r="B122" s="109" t="s">
        <v>377</v>
      </c>
      <c r="C122" s="118" t="s">
        <v>350</v>
      </c>
      <c r="D122" s="118"/>
      <c r="E122" s="105" t="s">
        <v>378</v>
      </c>
      <c r="F122" s="105"/>
      <c r="G122" s="105"/>
      <c r="H122" s="105"/>
      <c r="I122" s="105"/>
      <c r="J122" s="105"/>
      <c r="K122" s="118"/>
      <c r="L122" s="173">
        <v>186</v>
      </c>
      <c r="N122" s="239">
        <f t="shared" si="40"/>
        <v>35.421840000000003</v>
      </c>
      <c r="O122" s="239">
        <f t="shared" si="41"/>
        <v>19.141259999999999</v>
      </c>
      <c r="P122" s="239">
        <f t="shared" si="42"/>
        <v>13.697039999999999</v>
      </c>
      <c r="Q122" s="239">
        <f t="shared" si="43"/>
        <v>10.966559999999999</v>
      </c>
      <c r="R122" s="239"/>
      <c r="S122" s="239">
        <f t="shared" si="44"/>
        <v>36.537840000000003</v>
      </c>
      <c r="T122" s="239">
        <f t="shared" si="45"/>
        <v>20.257260000000002</v>
      </c>
      <c r="U122" s="239">
        <f t="shared" si="46"/>
        <v>14.813040000000001</v>
      </c>
      <c r="V122" s="239">
        <f t="shared" si="47"/>
        <v>12.082560000000001</v>
      </c>
    </row>
    <row r="123" spans="1:22" s="3" customFormat="1">
      <c r="A123" s="109" t="s">
        <v>379</v>
      </c>
      <c r="B123" s="109" t="s">
        <v>380</v>
      </c>
      <c r="C123" s="118" t="s">
        <v>350</v>
      </c>
      <c r="D123" s="118"/>
      <c r="E123" s="105" t="s">
        <v>381</v>
      </c>
      <c r="F123" s="105"/>
      <c r="G123" s="105"/>
      <c r="H123" s="105"/>
      <c r="I123" s="105"/>
      <c r="J123" s="105"/>
      <c r="K123" s="118"/>
      <c r="L123" s="173">
        <v>304</v>
      </c>
      <c r="N123" s="239">
        <f t="shared" ref="N123" si="72">L123*$N$8</f>
        <v>57.89376</v>
      </c>
      <c r="O123" s="239">
        <f t="shared" ref="O123" si="73">L123*$O$8</f>
        <v>31.28464</v>
      </c>
      <c r="P123" s="239">
        <f t="shared" ref="P123" si="74">L123*$P$8</f>
        <v>22.386559999999999</v>
      </c>
      <c r="Q123" s="239">
        <f t="shared" ref="Q123" si="75">L123*$Q$8</f>
        <v>17.923839999999998</v>
      </c>
      <c r="R123" s="239"/>
      <c r="S123" s="239">
        <f t="shared" ref="S123" si="76">L123*$S$8</f>
        <v>59.717759999999998</v>
      </c>
      <c r="T123" s="239">
        <f t="shared" ref="T123" si="77">L123*$T$8</f>
        <v>33.108640000000001</v>
      </c>
      <c r="U123" s="239">
        <f t="shared" ref="U123" si="78">L123*$U$8</f>
        <v>24.210560000000001</v>
      </c>
      <c r="V123" s="239">
        <f t="shared" ref="V123" si="79">L123*$V$8</f>
        <v>19.74784</v>
      </c>
    </row>
    <row r="124" spans="1:22" s="3" customFormat="1">
      <c r="A124" s="109" t="s">
        <v>382</v>
      </c>
      <c r="B124" s="109" t="s">
        <v>383</v>
      </c>
      <c r="C124" s="118" t="s">
        <v>350</v>
      </c>
      <c r="D124" s="118"/>
      <c r="E124" s="105" t="s">
        <v>384</v>
      </c>
      <c r="F124" s="105"/>
      <c r="G124" s="105"/>
      <c r="H124" s="105"/>
      <c r="I124" s="105"/>
      <c r="J124" s="105"/>
      <c r="K124" s="118"/>
      <c r="L124" s="173">
        <v>361</v>
      </c>
      <c r="N124" s="239">
        <f t="shared" si="40"/>
        <v>68.748840000000001</v>
      </c>
      <c r="O124" s="239">
        <f t="shared" si="41"/>
        <v>37.150509999999997</v>
      </c>
      <c r="P124" s="239">
        <f t="shared" si="42"/>
        <v>26.584039999999998</v>
      </c>
      <c r="Q124" s="239">
        <f t="shared" si="43"/>
        <v>21.284559999999999</v>
      </c>
      <c r="R124" s="239"/>
      <c r="S124" s="239">
        <f t="shared" si="44"/>
        <v>70.914839999999998</v>
      </c>
      <c r="T124" s="239">
        <f t="shared" si="45"/>
        <v>39.316510000000001</v>
      </c>
      <c r="U124" s="239">
        <f t="shared" si="46"/>
        <v>28.750040000000002</v>
      </c>
      <c r="V124" s="239">
        <f t="shared" si="47"/>
        <v>23.450560000000003</v>
      </c>
    </row>
    <row r="125" spans="1:22" s="3" customFormat="1">
      <c r="A125" s="113"/>
      <c r="B125" s="114"/>
      <c r="C125" s="115"/>
      <c r="D125" s="116"/>
      <c r="E125" s="116"/>
      <c r="F125" s="116"/>
      <c r="G125" s="116"/>
      <c r="H125" s="116"/>
      <c r="I125" s="116"/>
      <c r="J125" s="116"/>
      <c r="K125" s="182"/>
      <c r="L125" s="173"/>
      <c r="N125" s="239"/>
      <c r="O125" s="239"/>
      <c r="P125" s="239"/>
      <c r="Q125" s="239"/>
      <c r="R125" s="239"/>
      <c r="S125" s="239"/>
      <c r="T125" s="239"/>
      <c r="U125" s="239"/>
      <c r="V125" s="239"/>
    </row>
    <row r="126" spans="1:22" s="3" customFormat="1">
      <c r="A126" s="109" t="s">
        <v>385</v>
      </c>
      <c r="B126" s="109" t="s">
        <v>386</v>
      </c>
      <c r="C126" s="118"/>
      <c r="D126" s="118"/>
      <c r="E126" s="105"/>
      <c r="F126" s="105"/>
      <c r="G126" s="105" t="s">
        <v>387</v>
      </c>
      <c r="H126" s="105"/>
      <c r="I126" s="105"/>
      <c r="J126" s="105"/>
      <c r="K126" s="118"/>
      <c r="L126" s="173">
        <v>0</v>
      </c>
      <c r="N126" s="239">
        <f t="shared" si="40"/>
        <v>0</v>
      </c>
      <c r="O126" s="239">
        <f t="shared" si="41"/>
        <v>0</v>
      </c>
      <c r="P126" s="239">
        <f t="shared" si="42"/>
        <v>0</v>
      </c>
      <c r="Q126" s="239">
        <f t="shared" si="43"/>
        <v>0</v>
      </c>
      <c r="R126" s="239"/>
      <c r="S126" s="239">
        <f t="shared" si="44"/>
        <v>0</v>
      </c>
      <c r="T126" s="239">
        <f t="shared" si="45"/>
        <v>0</v>
      </c>
      <c r="U126" s="239">
        <f t="shared" si="46"/>
        <v>0</v>
      </c>
      <c r="V126" s="239">
        <f t="shared" si="47"/>
        <v>0</v>
      </c>
    </row>
    <row r="127" spans="1:22" s="3" customFormat="1">
      <c r="A127" s="109" t="s">
        <v>388</v>
      </c>
      <c r="B127" s="109" t="s">
        <v>389</v>
      </c>
      <c r="C127" s="118"/>
      <c r="D127" s="118"/>
      <c r="E127" s="105"/>
      <c r="F127" s="105"/>
      <c r="G127" s="105" t="s">
        <v>390</v>
      </c>
      <c r="H127" s="105"/>
      <c r="I127" s="105"/>
      <c r="J127" s="105"/>
      <c r="K127" s="118"/>
      <c r="L127" s="173">
        <v>74</v>
      </c>
      <c r="N127" s="239">
        <f t="shared" si="40"/>
        <v>14.092560000000001</v>
      </c>
      <c r="O127" s="239">
        <f t="shared" si="41"/>
        <v>7.6153399999999998</v>
      </c>
      <c r="P127" s="239">
        <f t="shared" si="42"/>
        <v>5.4493599999999995</v>
      </c>
      <c r="Q127" s="239">
        <f t="shared" si="43"/>
        <v>4.3630399999999998</v>
      </c>
      <c r="R127" s="239"/>
      <c r="S127" s="239">
        <f t="shared" si="44"/>
        <v>14.53656</v>
      </c>
      <c r="T127" s="239">
        <f t="shared" si="45"/>
        <v>8.0593400000000006</v>
      </c>
      <c r="U127" s="239">
        <f t="shared" si="46"/>
        <v>5.8933600000000004</v>
      </c>
      <c r="V127" s="239">
        <f t="shared" si="47"/>
        <v>4.8070400000000006</v>
      </c>
    </row>
    <row r="128" spans="1:22" s="3" customFormat="1">
      <c r="A128" s="109" t="s">
        <v>391</v>
      </c>
      <c r="B128" s="109" t="s">
        <v>392</v>
      </c>
      <c r="C128" s="118"/>
      <c r="D128" s="118"/>
      <c r="E128" s="105"/>
      <c r="F128" s="105"/>
      <c r="G128" s="105" t="s">
        <v>393</v>
      </c>
      <c r="H128" s="105"/>
      <c r="I128" s="105"/>
      <c r="J128" s="105"/>
      <c r="K128" s="118"/>
      <c r="L128" s="173">
        <v>74</v>
      </c>
      <c r="N128" s="239">
        <f t="shared" si="40"/>
        <v>14.092560000000001</v>
      </c>
      <c r="O128" s="239">
        <f t="shared" si="41"/>
        <v>7.6153399999999998</v>
      </c>
      <c r="P128" s="239">
        <f t="shared" si="42"/>
        <v>5.4493599999999995</v>
      </c>
      <c r="Q128" s="239">
        <f t="shared" si="43"/>
        <v>4.3630399999999998</v>
      </c>
      <c r="R128" s="239"/>
      <c r="S128" s="239">
        <f t="shared" si="44"/>
        <v>14.53656</v>
      </c>
      <c r="T128" s="239">
        <f t="shared" si="45"/>
        <v>8.0593400000000006</v>
      </c>
      <c r="U128" s="239">
        <f t="shared" si="46"/>
        <v>5.8933600000000004</v>
      </c>
      <c r="V128" s="239">
        <f t="shared" si="47"/>
        <v>4.8070400000000006</v>
      </c>
    </row>
    <row r="129" spans="1:22" s="3" customFormat="1" ht="14.25" customHeight="1">
      <c r="A129" s="109" t="s">
        <v>394</v>
      </c>
      <c r="B129" s="109" t="s">
        <v>395</v>
      </c>
      <c r="C129" s="118"/>
      <c r="D129" s="118"/>
      <c r="E129" s="105"/>
      <c r="F129" s="105"/>
      <c r="G129" s="105" t="s">
        <v>396</v>
      </c>
      <c r="H129" s="105"/>
      <c r="I129" s="105"/>
      <c r="J129" s="105"/>
      <c r="K129" s="118"/>
      <c r="L129" s="173">
        <v>186</v>
      </c>
      <c r="N129" s="239">
        <f t="shared" si="40"/>
        <v>35.421840000000003</v>
      </c>
      <c r="O129" s="239">
        <f t="shared" si="41"/>
        <v>19.141259999999999</v>
      </c>
      <c r="P129" s="239">
        <f t="shared" si="42"/>
        <v>13.697039999999999</v>
      </c>
      <c r="Q129" s="239">
        <f t="shared" si="43"/>
        <v>10.966559999999999</v>
      </c>
      <c r="R129" s="239"/>
      <c r="S129" s="239">
        <f t="shared" si="44"/>
        <v>36.537840000000003</v>
      </c>
      <c r="T129" s="239">
        <f t="shared" si="45"/>
        <v>20.257260000000002</v>
      </c>
      <c r="U129" s="239">
        <f t="shared" si="46"/>
        <v>14.813040000000001</v>
      </c>
      <c r="V129" s="239">
        <f t="shared" si="47"/>
        <v>12.082560000000001</v>
      </c>
    </row>
    <row r="130" spans="1:22" s="3" customFormat="1">
      <c r="A130" s="109" t="s">
        <v>397</v>
      </c>
      <c r="B130" s="109" t="s">
        <v>398</v>
      </c>
      <c r="C130" s="118" t="s">
        <v>350</v>
      </c>
      <c r="D130" s="118"/>
      <c r="E130" s="105"/>
      <c r="F130" s="105"/>
      <c r="G130" s="105" t="s">
        <v>399</v>
      </c>
      <c r="H130" s="105"/>
      <c r="I130" s="105"/>
      <c r="J130" s="105"/>
      <c r="K130" s="118"/>
      <c r="L130" s="173">
        <v>180</v>
      </c>
      <c r="N130" s="239">
        <f t="shared" si="40"/>
        <v>34.279200000000003</v>
      </c>
      <c r="O130" s="239">
        <f t="shared" si="41"/>
        <v>18.523800000000001</v>
      </c>
      <c r="P130" s="239">
        <f t="shared" si="42"/>
        <v>13.2552</v>
      </c>
      <c r="Q130" s="239">
        <f t="shared" si="43"/>
        <v>10.6128</v>
      </c>
      <c r="R130" s="239"/>
      <c r="S130" s="239">
        <f t="shared" si="44"/>
        <v>35.359200000000001</v>
      </c>
      <c r="T130" s="239">
        <f t="shared" si="45"/>
        <v>19.6038</v>
      </c>
      <c r="U130" s="239">
        <f t="shared" si="46"/>
        <v>14.3352</v>
      </c>
      <c r="V130" s="239">
        <f t="shared" si="47"/>
        <v>11.6928</v>
      </c>
    </row>
    <row r="131" spans="1:22" s="3" customFormat="1">
      <c r="A131" s="109" t="s">
        <v>1581</v>
      </c>
      <c r="B131" s="109" t="s">
        <v>401</v>
      </c>
      <c r="C131" s="118" t="s">
        <v>350</v>
      </c>
      <c r="D131" s="118"/>
      <c r="E131" s="105"/>
      <c r="F131" s="105"/>
      <c r="G131" s="105" t="s">
        <v>402</v>
      </c>
      <c r="H131" s="105"/>
      <c r="I131" s="105"/>
      <c r="J131" s="105"/>
      <c r="K131" s="118"/>
      <c r="L131" s="173">
        <v>186</v>
      </c>
      <c r="N131" s="239">
        <f t="shared" si="40"/>
        <v>35.421840000000003</v>
      </c>
      <c r="O131" s="239">
        <f t="shared" si="41"/>
        <v>19.141259999999999</v>
      </c>
      <c r="P131" s="239">
        <f t="shared" si="42"/>
        <v>13.697039999999999</v>
      </c>
      <c r="Q131" s="239">
        <f t="shared" si="43"/>
        <v>10.966559999999999</v>
      </c>
      <c r="R131" s="239"/>
      <c r="S131" s="239">
        <f t="shared" si="44"/>
        <v>36.537840000000003</v>
      </c>
      <c r="T131" s="239">
        <f t="shared" si="45"/>
        <v>20.257260000000002</v>
      </c>
      <c r="U131" s="239">
        <f t="shared" si="46"/>
        <v>14.813040000000001</v>
      </c>
      <c r="V131" s="239">
        <f t="shared" si="47"/>
        <v>12.082560000000001</v>
      </c>
    </row>
    <row r="132" spans="1:22" s="3" customFormat="1" ht="12.95" customHeight="1">
      <c r="A132" s="109" t="s">
        <v>403</v>
      </c>
      <c r="B132" s="109" t="s">
        <v>404</v>
      </c>
      <c r="C132" s="118" t="s">
        <v>350</v>
      </c>
      <c r="D132" s="118"/>
      <c r="E132" s="105"/>
      <c r="F132" s="105"/>
      <c r="G132" s="105" t="s">
        <v>405</v>
      </c>
      <c r="H132" s="105"/>
      <c r="I132" s="105"/>
      <c r="J132" s="105"/>
      <c r="K132" s="118"/>
      <c r="L132" s="173">
        <v>304</v>
      </c>
      <c r="N132" s="239">
        <f t="shared" si="40"/>
        <v>57.89376</v>
      </c>
      <c r="O132" s="239">
        <f t="shared" si="41"/>
        <v>31.28464</v>
      </c>
      <c r="P132" s="239">
        <f t="shared" si="42"/>
        <v>22.386559999999999</v>
      </c>
      <c r="Q132" s="239">
        <f t="shared" si="43"/>
        <v>17.923839999999998</v>
      </c>
      <c r="R132" s="239"/>
      <c r="S132" s="239">
        <f t="shared" si="44"/>
        <v>59.717759999999998</v>
      </c>
      <c r="T132" s="239">
        <f t="shared" si="45"/>
        <v>33.108640000000001</v>
      </c>
      <c r="U132" s="239">
        <f t="shared" si="46"/>
        <v>24.210560000000001</v>
      </c>
      <c r="V132" s="239">
        <f t="shared" si="47"/>
        <v>19.74784</v>
      </c>
    </row>
    <row r="133" spans="1:22" s="3" customFormat="1" ht="12.95" customHeight="1">
      <c r="A133" s="109" t="s">
        <v>406</v>
      </c>
      <c r="B133" s="109" t="s">
        <v>407</v>
      </c>
      <c r="C133" s="118" t="s">
        <v>350</v>
      </c>
      <c r="D133" s="118"/>
      <c r="E133" s="105"/>
      <c r="F133" s="105"/>
      <c r="G133" s="105" t="s">
        <v>408</v>
      </c>
      <c r="H133" s="105"/>
      <c r="I133" s="105"/>
      <c r="J133" s="105"/>
      <c r="K133" s="118"/>
      <c r="L133" s="173">
        <v>361</v>
      </c>
      <c r="N133" s="239">
        <f t="shared" ref="N133" si="80">L133*$N$8</f>
        <v>68.748840000000001</v>
      </c>
      <c r="O133" s="239">
        <f t="shared" ref="O133" si="81">L133*$O$8</f>
        <v>37.150509999999997</v>
      </c>
      <c r="P133" s="239">
        <f t="shared" ref="P133" si="82">L133*$P$8</f>
        <v>26.584039999999998</v>
      </c>
      <c r="Q133" s="239">
        <f t="shared" ref="Q133" si="83">L133*$Q$8</f>
        <v>21.284559999999999</v>
      </c>
      <c r="R133" s="239"/>
      <c r="S133" s="239">
        <f t="shared" ref="S133" si="84">L133*$S$8</f>
        <v>70.914839999999998</v>
      </c>
      <c r="T133" s="239">
        <f t="shared" ref="T133" si="85">L133*$T$8</f>
        <v>39.316510000000001</v>
      </c>
      <c r="U133" s="239">
        <f t="shared" ref="U133" si="86">L133*$U$8</f>
        <v>28.750040000000002</v>
      </c>
      <c r="V133" s="239">
        <f t="shared" ref="V133" si="87">L133*$V$8</f>
        <v>23.450560000000003</v>
      </c>
    </row>
    <row r="134" spans="1:22" s="3" customFormat="1" ht="12.95" customHeight="1">
      <c r="A134" s="113"/>
      <c r="B134" s="114"/>
      <c r="C134" s="115"/>
      <c r="D134" s="116"/>
      <c r="E134" s="116"/>
      <c r="F134" s="116"/>
      <c r="G134" s="116"/>
      <c r="H134" s="116"/>
      <c r="I134" s="116"/>
      <c r="J134" s="116"/>
      <c r="K134" s="182"/>
      <c r="L134" s="173"/>
      <c r="N134" s="239"/>
      <c r="O134" s="239"/>
      <c r="P134" s="239"/>
      <c r="Q134" s="239"/>
      <c r="R134" s="239"/>
      <c r="S134" s="239"/>
      <c r="T134" s="239"/>
      <c r="U134" s="239"/>
      <c r="V134" s="239"/>
    </row>
    <row r="135" spans="1:22" s="3" customFormat="1" ht="12.95" customHeight="1">
      <c r="A135" s="109" t="s">
        <v>409</v>
      </c>
      <c r="B135" s="109" t="s">
        <v>410</v>
      </c>
      <c r="C135" s="118"/>
      <c r="D135" s="118"/>
      <c r="E135" s="105"/>
      <c r="F135" s="105" t="s">
        <v>411</v>
      </c>
      <c r="G135" s="105"/>
      <c r="H135" s="105" t="s">
        <v>412</v>
      </c>
      <c r="I135" s="105"/>
      <c r="J135" s="105"/>
      <c r="K135" s="118"/>
      <c r="L135" s="173">
        <v>0</v>
      </c>
      <c r="N135" s="239">
        <f t="shared" si="40"/>
        <v>0</v>
      </c>
      <c r="O135" s="239">
        <f t="shared" si="41"/>
        <v>0</v>
      </c>
      <c r="P135" s="239">
        <f t="shared" si="42"/>
        <v>0</v>
      </c>
      <c r="Q135" s="239">
        <f t="shared" si="43"/>
        <v>0</v>
      </c>
      <c r="R135" s="239"/>
      <c r="S135" s="239">
        <f t="shared" si="44"/>
        <v>0</v>
      </c>
      <c r="T135" s="239">
        <f t="shared" si="45"/>
        <v>0</v>
      </c>
      <c r="U135" s="239">
        <f t="shared" si="46"/>
        <v>0</v>
      </c>
      <c r="V135" s="239">
        <f t="shared" si="47"/>
        <v>0</v>
      </c>
    </row>
    <row r="136" spans="1:22" s="3" customFormat="1" ht="12.95" customHeight="1">
      <c r="A136" s="109" t="s">
        <v>413</v>
      </c>
      <c r="B136" s="109" t="s">
        <v>414</v>
      </c>
      <c r="C136" s="118"/>
      <c r="D136" s="118"/>
      <c r="E136" s="105"/>
      <c r="F136" s="105" t="s">
        <v>415</v>
      </c>
      <c r="G136" s="105"/>
      <c r="H136" s="105" t="s">
        <v>416</v>
      </c>
      <c r="I136" s="105"/>
      <c r="J136" s="105"/>
      <c r="K136" s="118"/>
      <c r="L136" s="173">
        <v>0</v>
      </c>
      <c r="N136" s="239">
        <f t="shared" ref="N136" si="88">L136*$N$8</f>
        <v>0</v>
      </c>
      <c r="O136" s="239">
        <f t="shared" ref="O136" si="89">L136*$O$8</f>
        <v>0</v>
      </c>
      <c r="P136" s="239">
        <f t="shared" ref="P136" si="90">L136*$P$8</f>
        <v>0</v>
      </c>
      <c r="Q136" s="239">
        <f t="shared" ref="Q136" si="91">L136*$Q$8</f>
        <v>0</v>
      </c>
      <c r="R136" s="239"/>
      <c r="S136" s="239">
        <f t="shared" ref="S136" si="92">L136*$S$8</f>
        <v>0</v>
      </c>
      <c r="T136" s="239">
        <f t="shared" ref="T136" si="93">L136*$T$8</f>
        <v>0</v>
      </c>
      <c r="U136" s="239">
        <f t="shared" ref="U136" si="94">L136*$U$8</f>
        <v>0</v>
      </c>
      <c r="V136" s="239">
        <f t="shared" ref="V136" si="95">L136*$V$8</f>
        <v>0</v>
      </c>
    </row>
    <row r="137" spans="1:22" s="3" customFormat="1" ht="12.95" customHeight="1">
      <c r="A137" s="109" t="s">
        <v>417</v>
      </c>
      <c r="B137" s="109" t="s">
        <v>418</v>
      </c>
      <c r="C137" s="118"/>
      <c r="D137" s="118"/>
      <c r="E137" s="105"/>
      <c r="F137" s="105" t="s">
        <v>419</v>
      </c>
      <c r="G137" s="105"/>
      <c r="H137" s="105" t="s">
        <v>420</v>
      </c>
      <c r="I137" s="105"/>
      <c r="J137" s="105"/>
      <c r="K137" s="118"/>
      <c r="L137" s="173">
        <v>69</v>
      </c>
      <c r="N137" s="239">
        <f t="shared" si="40"/>
        <v>13.140359999999999</v>
      </c>
      <c r="O137" s="239">
        <f t="shared" si="41"/>
        <v>7.1007899999999999</v>
      </c>
      <c r="P137" s="239">
        <f t="shared" si="42"/>
        <v>5.0811599999999997</v>
      </c>
      <c r="Q137" s="239">
        <f t="shared" si="43"/>
        <v>4.0682400000000003</v>
      </c>
      <c r="R137" s="239"/>
      <c r="S137" s="239">
        <f t="shared" si="44"/>
        <v>13.554360000000001</v>
      </c>
      <c r="T137" s="239">
        <f t="shared" si="45"/>
        <v>7.5147900000000005</v>
      </c>
      <c r="U137" s="239">
        <f t="shared" si="46"/>
        <v>5.4951600000000003</v>
      </c>
      <c r="V137" s="239">
        <f t="shared" si="47"/>
        <v>4.48224</v>
      </c>
    </row>
    <row r="138" spans="1:22" s="3" customFormat="1" ht="12.95" customHeight="1">
      <c r="A138" s="109" t="s">
        <v>421</v>
      </c>
      <c r="B138" s="109" t="s">
        <v>422</v>
      </c>
      <c r="C138" s="118"/>
      <c r="D138" s="118"/>
      <c r="E138" s="105"/>
      <c r="F138" s="105" t="s">
        <v>423</v>
      </c>
      <c r="G138" s="105"/>
      <c r="H138" s="105" t="s">
        <v>424</v>
      </c>
      <c r="I138" s="105"/>
      <c r="J138" s="105"/>
      <c r="K138" s="118"/>
      <c r="L138" s="173">
        <v>69</v>
      </c>
      <c r="N138" s="239">
        <f t="shared" si="40"/>
        <v>13.140359999999999</v>
      </c>
      <c r="O138" s="239">
        <f t="shared" si="41"/>
        <v>7.1007899999999999</v>
      </c>
      <c r="P138" s="239">
        <f t="shared" si="42"/>
        <v>5.0811599999999997</v>
      </c>
      <c r="Q138" s="239">
        <f t="shared" si="43"/>
        <v>4.0682400000000003</v>
      </c>
      <c r="R138" s="239"/>
      <c r="S138" s="239">
        <f t="shared" si="44"/>
        <v>13.554360000000001</v>
      </c>
      <c r="T138" s="239">
        <f t="shared" si="45"/>
        <v>7.5147900000000005</v>
      </c>
      <c r="U138" s="239">
        <f t="shared" si="46"/>
        <v>5.4951600000000003</v>
      </c>
      <c r="V138" s="239">
        <f t="shared" si="47"/>
        <v>4.48224</v>
      </c>
    </row>
    <row r="139" spans="1:22" s="3" customFormat="1" ht="12.95" customHeight="1">
      <c r="A139" s="109" t="s">
        <v>425</v>
      </c>
      <c r="B139" s="109" t="s">
        <v>426</v>
      </c>
      <c r="C139" s="118"/>
      <c r="D139" s="118"/>
      <c r="E139" s="105"/>
      <c r="F139" s="105" t="s">
        <v>427</v>
      </c>
      <c r="G139" s="105"/>
      <c r="H139" s="105" t="s">
        <v>428</v>
      </c>
      <c r="I139" s="105"/>
      <c r="J139" s="105"/>
      <c r="K139" s="118"/>
      <c r="L139" s="173">
        <v>69</v>
      </c>
      <c r="N139" s="239">
        <f t="shared" ref="N139" si="96">L139*$N$8</f>
        <v>13.140359999999999</v>
      </c>
      <c r="O139" s="239">
        <f t="shared" ref="O139" si="97">L139*$O$8</f>
        <v>7.1007899999999999</v>
      </c>
      <c r="P139" s="239">
        <f t="shared" ref="P139" si="98">L139*$P$8</f>
        <v>5.0811599999999997</v>
      </c>
      <c r="Q139" s="239">
        <f t="shared" ref="Q139" si="99">L139*$Q$8</f>
        <v>4.0682400000000003</v>
      </c>
      <c r="R139" s="239"/>
      <c r="S139" s="239">
        <f t="shared" ref="S139" si="100">L139*$S$8</f>
        <v>13.554360000000001</v>
      </c>
      <c r="T139" s="239">
        <f t="shared" ref="T139" si="101">L139*$T$8</f>
        <v>7.5147900000000005</v>
      </c>
      <c r="U139" s="239">
        <f t="shared" ref="U139" si="102">L139*$U$8</f>
        <v>5.4951600000000003</v>
      </c>
      <c r="V139" s="239">
        <f t="shared" ref="V139" si="103">L139*$V$8</f>
        <v>4.48224</v>
      </c>
    </row>
    <row r="140" spans="1:22" s="3" customFormat="1" ht="12.95" customHeight="1">
      <c r="A140" s="109" t="s">
        <v>429</v>
      </c>
      <c r="B140" s="109" t="s">
        <v>430</v>
      </c>
      <c r="C140" s="118"/>
      <c r="D140" s="118"/>
      <c r="E140" s="105"/>
      <c r="F140" s="105" t="s">
        <v>431</v>
      </c>
      <c r="G140" s="105"/>
      <c r="H140" s="105" t="s">
        <v>432</v>
      </c>
      <c r="I140" s="105"/>
      <c r="J140" s="105"/>
      <c r="K140" s="118"/>
      <c r="L140" s="173">
        <v>131</v>
      </c>
      <c r="N140" s="239">
        <f t="shared" si="40"/>
        <v>24.94764</v>
      </c>
      <c r="O140" s="239">
        <f t="shared" si="41"/>
        <v>13.481210000000001</v>
      </c>
      <c r="P140" s="239">
        <f t="shared" si="42"/>
        <v>9.6468399999999992</v>
      </c>
      <c r="Q140" s="239">
        <f t="shared" si="43"/>
        <v>7.7237599999999995</v>
      </c>
      <c r="R140" s="239"/>
      <c r="S140" s="239">
        <f t="shared" si="44"/>
        <v>25.733640000000001</v>
      </c>
      <c r="T140" s="239">
        <f t="shared" si="45"/>
        <v>14.26721</v>
      </c>
      <c r="U140" s="239">
        <f t="shared" si="46"/>
        <v>10.432840000000001</v>
      </c>
      <c r="V140" s="239">
        <f t="shared" si="47"/>
        <v>8.50976</v>
      </c>
    </row>
    <row r="141" spans="1:22" s="3" customFormat="1" ht="12.95" customHeight="1">
      <c r="A141" s="109" t="s">
        <v>433</v>
      </c>
      <c r="B141" s="109" t="s">
        <v>434</v>
      </c>
      <c r="C141" s="118"/>
      <c r="D141" s="118"/>
      <c r="E141" s="105"/>
      <c r="F141" s="105" t="s">
        <v>435</v>
      </c>
      <c r="G141" s="105"/>
      <c r="H141" s="105" t="s">
        <v>436</v>
      </c>
      <c r="I141" s="105"/>
      <c r="J141" s="105"/>
      <c r="K141" s="118"/>
      <c r="L141" s="173">
        <v>131</v>
      </c>
      <c r="N141" s="239">
        <f t="shared" ref="N141" si="104">L141*$N$8</f>
        <v>24.94764</v>
      </c>
      <c r="O141" s="239">
        <f t="shared" ref="O141" si="105">L141*$O$8</f>
        <v>13.481210000000001</v>
      </c>
      <c r="P141" s="239">
        <f t="shared" ref="P141" si="106">L141*$P$8</f>
        <v>9.6468399999999992</v>
      </c>
      <c r="Q141" s="239">
        <f t="shared" ref="Q141" si="107">L141*$Q$8</f>
        <v>7.7237599999999995</v>
      </c>
      <c r="R141" s="239"/>
      <c r="S141" s="239">
        <f t="shared" ref="S141" si="108">L141*$S$8</f>
        <v>25.733640000000001</v>
      </c>
      <c r="T141" s="239">
        <f t="shared" ref="T141" si="109">L141*$T$8</f>
        <v>14.26721</v>
      </c>
      <c r="U141" s="239">
        <f t="shared" ref="U141" si="110">L141*$U$8</f>
        <v>10.432840000000001</v>
      </c>
      <c r="V141" s="239">
        <f t="shared" ref="V141" si="111">L141*$V$8</f>
        <v>8.50976</v>
      </c>
    </row>
    <row r="142" spans="1:22" s="3" customFormat="1" ht="12.95" customHeight="1">
      <c r="A142" s="109" t="s">
        <v>440</v>
      </c>
      <c r="B142" s="109" t="s">
        <v>437</v>
      </c>
      <c r="C142" s="118"/>
      <c r="D142" s="118"/>
      <c r="E142" s="105"/>
      <c r="F142" s="105" t="s">
        <v>438</v>
      </c>
      <c r="G142" s="105"/>
      <c r="H142" s="105" t="s">
        <v>439</v>
      </c>
      <c r="I142" s="105"/>
      <c r="J142" s="105"/>
      <c r="K142" s="118"/>
      <c r="L142" s="173">
        <v>131</v>
      </c>
      <c r="N142" s="239">
        <f t="shared" si="40"/>
        <v>24.94764</v>
      </c>
      <c r="O142" s="239">
        <f t="shared" si="41"/>
        <v>13.481210000000001</v>
      </c>
      <c r="P142" s="239">
        <f t="shared" si="42"/>
        <v>9.6468399999999992</v>
      </c>
      <c r="Q142" s="239">
        <f t="shared" si="43"/>
        <v>7.7237599999999995</v>
      </c>
      <c r="R142" s="239"/>
      <c r="S142" s="239">
        <f t="shared" si="44"/>
        <v>25.733640000000001</v>
      </c>
      <c r="T142" s="239">
        <f t="shared" si="45"/>
        <v>14.26721</v>
      </c>
      <c r="U142" s="239">
        <f t="shared" si="46"/>
        <v>10.432840000000001</v>
      </c>
      <c r="V142" s="239">
        <f t="shared" si="47"/>
        <v>8.50976</v>
      </c>
    </row>
    <row r="143" spans="1:22" s="3" customFormat="1">
      <c r="A143" s="113"/>
      <c r="B143" s="114"/>
      <c r="C143" s="115"/>
      <c r="D143" s="116"/>
      <c r="E143" s="116"/>
      <c r="F143" s="116"/>
      <c r="G143" s="116"/>
      <c r="H143" s="116"/>
      <c r="I143" s="116"/>
      <c r="J143" s="116"/>
      <c r="K143" s="182"/>
      <c r="L143" s="173"/>
      <c r="N143" s="239"/>
      <c r="O143" s="239"/>
      <c r="P143" s="239"/>
      <c r="Q143" s="239"/>
      <c r="R143" s="239"/>
      <c r="S143" s="239"/>
      <c r="T143" s="239"/>
      <c r="U143" s="239"/>
      <c r="V143" s="239"/>
    </row>
    <row r="144" spans="1:22" s="3" customFormat="1">
      <c r="A144" s="89" t="s">
        <v>441</v>
      </c>
      <c r="B144" s="90"/>
      <c r="C144" s="90"/>
      <c r="D144" s="91"/>
      <c r="E144" s="91"/>
      <c r="F144" s="91"/>
      <c r="G144" s="91"/>
      <c r="H144" s="91"/>
      <c r="I144" s="91"/>
      <c r="J144" s="91"/>
      <c r="K144" s="90"/>
      <c r="L144" s="168"/>
      <c r="N144" s="238"/>
      <c r="O144" s="238"/>
      <c r="P144" s="238"/>
      <c r="Q144" s="238"/>
      <c r="R144" s="238"/>
      <c r="S144" s="238"/>
      <c r="T144" s="238"/>
      <c r="U144" s="238"/>
      <c r="V144" s="238"/>
    </row>
    <row r="145" spans="1:22" s="3" customFormat="1">
      <c r="A145" s="109" t="s">
        <v>193</v>
      </c>
      <c r="B145" s="109" t="s">
        <v>193</v>
      </c>
      <c r="C145" s="118"/>
      <c r="D145" s="105" t="s">
        <v>442</v>
      </c>
      <c r="E145" s="105" t="s">
        <v>443</v>
      </c>
      <c r="F145" s="105" t="s">
        <v>444</v>
      </c>
      <c r="G145" s="105" t="s">
        <v>445</v>
      </c>
      <c r="H145" s="105" t="s">
        <v>446</v>
      </c>
      <c r="I145" s="105"/>
      <c r="J145" s="105"/>
      <c r="K145" s="118"/>
      <c r="L145" s="173">
        <v>80</v>
      </c>
      <c r="N145" s="239">
        <f t="shared" ref="N145:N210" si="112">L145*$N$8</f>
        <v>15.235199999999999</v>
      </c>
      <c r="O145" s="239">
        <f t="shared" ref="O145:O210" si="113">L145*$O$8</f>
        <v>8.232800000000001</v>
      </c>
      <c r="P145" s="239">
        <f t="shared" ref="P145:P210" si="114">L145*$P$8</f>
        <v>5.8911999999999995</v>
      </c>
      <c r="Q145" s="239">
        <f t="shared" ref="Q145:Q210" si="115">L145*$Q$8</f>
        <v>4.7168000000000001</v>
      </c>
      <c r="R145" s="239"/>
      <c r="S145" s="239">
        <f t="shared" ref="S145:S210" si="116">L145*$S$8</f>
        <v>15.715199999999999</v>
      </c>
      <c r="T145" s="239">
        <f t="shared" ref="T145:T210" si="117">L145*$T$8</f>
        <v>8.7128000000000014</v>
      </c>
      <c r="U145" s="239">
        <f t="shared" ref="U145:U210" si="118">L145*$U$8</f>
        <v>6.3712</v>
      </c>
      <c r="V145" s="239">
        <f t="shared" ref="V145:V210" si="119">L145*$V$8</f>
        <v>5.1968000000000005</v>
      </c>
    </row>
    <row r="146" spans="1:22" s="3" customFormat="1">
      <c r="A146" s="109" t="s">
        <v>447</v>
      </c>
      <c r="B146" s="109" t="s">
        <v>447</v>
      </c>
      <c r="C146" s="118"/>
      <c r="D146" s="105"/>
      <c r="E146" s="105" t="s">
        <v>448</v>
      </c>
      <c r="F146" s="105"/>
      <c r="G146" s="105"/>
      <c r="H146" s="105"/>
      <c r="I146" s="105"/>
      <c r="J146" s="105"/>
      <c r="K146" s="118"/>
      <c r="L146" s="173">
        <v>179</v>
      </c>
      <c r="N146" s="239">
        <f t="shared" ref="N146" si="120">L146*$N$8</f>
        <v>34.088760000000001</v>
      </c>
      <c r="O146" s="239">
        <f t="shared" ref="O146" si="121">L146*$O$8</f>
        <v>18.42089</v>
      </c>
      <c r="P146" s="239">
        <f t="shared" ref="P146" si="122">L146*$P$8</f>
        <v>13.181559999999999</v>
      </c>
      <c r="Q146" s="239">
        <f t="shared" ref="Q146" si="123">L146*$Q$8</f>
        <v>10.553839999999999</v>
      </c>
      <c r="R146" s="239"/>
      <c r="S146" s="239">
        <f t="shared" ref="S146" si="124">L146*$S$8</f>
        <v>35.162759999999999</v>
      </c>
      <c r="T146" s="239">
        <f t="shared" ref="T146" si="125">L146*$T$8</f>
        <v>19.494890000000002</v>
      </c>
      <c r="U146" s="239">
        <f t="shared" ref="U146" si="126">L146*$U$8</f>
        <v>14.255560000000001</v>
      </c>
      <c r="V146" s="239">
        <f t="shared" ref="V146" si="127">L146*$V$8</f>
        <v>11.627840000000001</v>
      </c>
    </row>
    <row r="147" spans="1:22" s="3" customFormat="1">
      <c r="A147" s="113"/>
      <c r="B147" s="114"/>
      <c r="C147" s="115"/>
      <c r="D147" s="116"/>
      <c r="E147" s="116"/>
      <c r="F147" s="116"/>
      <c r="G147" s="116"/>
      <c r="H147" s="116"/>
      <c r="I147" s="116"/>
      <c r="J147" s="116"/>
      <c r="K147" s="182"/>
      <c r="L147" s="173"/>
      <c r="N147" s="239"/>
      <c r="O147" s="239"/>
      <c r="P147" s="239"/>
      <c r="Q147" s="239"/>
      <c r="R147" s="239"/>
      <c r="S147" s="239"/>
      <c r="T147" s="239"/>
      <c r="U147" s="239"/>
      <c r="V147" s="239"/>
    </row>
    <row r="148" spans="1:22" s="3" customFormat="1">
      <c r="A148" s="89" t="s">
        <v>449</v>
      </c>
      <c r="B148" s="90"/>
      <c r="C148" s="90"/>
      <c r="D148" s="91"/>
      <c r="E148" s="91"/>
      <c r="F148" s="91"/>
      <c r="G148" s="91"/>
      <c r="H148" s="91"/>
      <c r="I148" s="91"/>
      <c r="J148" s="91"/>
      <c r="K148" s="90"/>
      <c r="L148" s="168"/>
      <c r="N148" s="238"/>
      <c r="O148" s="238"/>
      <c r="P148" s="238"/>
      <c r="Q148" s="238"/>
      <c r="R148" s="238"/>
      <c r="S148" s="238"/>
      <c r="T148" s="238"/>
      <c r="U148" s="238"/>
      <c r="V148" s="238"/>
    </row>
    <row r="149" spans="1:22" s="3" customFormat="1">
      <c r="A149" s="109" t="s">
        <v>450</v>
      </c>
      <c r="B149" s="109" t="s">
        <v>451</v>
      </c>
      <c r="C149" s="118"/>
      <c r="D149" s="105" t="s">
        <v>452</v>
      </c>
      <c r="E149" s="105"/>
      <c r="F149" s="105"/>
      <c r="G149" s="105"/>
      <c r="H149" s="105"/>
      <c r="I149" s="105"/>
      <c r="J149" s="105"/>
      <c r="K149" s="118"/>
      <c r="L149" s="173">
        <v>0</v>
      </c>
      <c r="N149" s="239">
        <f t="shared" si="112"/>
        <v>0</v>
      </c>
      <c r="O149" s="239">
        <f t="shared" si="113"/>
        <v>0</v>
      </c>
      <c r="P149" s="239">
        <f t="shared" si="114"/>
        <v>0</v>
      </c>
      <c r="Q149" s="239">
        <f t="shared" si="115"/>
        <v>0</v>
      </c>
      <c r="R149" s="239"/>
      <c r="S149" s="239">
        <f t="shared" si="116"/>
        <v>0</v>
      </c>
      <c r="T149" s="239">
        <f t="shared" si="117"/>
        <v>0</v>
      </c>
      <c r="U149" s="239">
        <f t="shared" si="118"/>
        <v>0</v>
      </c>
      <c r="V149" s="239">
        <f t="shared" si="119"/>
        <v>0</v>
      </c>
    </row>
    <row r="150" spans="1:22" s="3" customFormat="1">
      <c r="A150" s="109" t="s">
        <v>453</v>
      </c>
      <c r="B150" s="109" t="s">
        <v>454</v>
      </c>
      <c r="C150" s="118"/>
      <c r="D150" s="105" t="s">
        <v>455</v>
      </c>
      <c r="E150" s="105"/>
      <c r="F150" s="105"/>
      <c r="G150" s="105"/>
      <c r="H150" s="105"/>
      <c r="I150" s="105"/>
      <c r="J150" s="105"/>
      <c r="K150" s="118"/>
      <c r="L150" s="173">
        <v>24</v>
      </c>
      <c r="N150" s="239">
        <f t="shared" si="112"/>
        <v>4.5705600000000004</v>
      </c>
      <c r="O150" s="239">
        <f t="shared" si="113"/>
        <v>2.46984</v>
      </c>
      <c r="P150" s="239">
        <f t="shared" si="114"/>
        <v>1.76736</v>
      </c>
      <c r="Q150" s="239">
        <f t="shared" si="115"/>
        <v>1.4150399999999999</v>
      </c>
      <c r="R150" s="239"/>
      <c r="S150" s="239">
        <f t="shared" si="116"/>
        <v>4.7145600000000005</v>
      </c>
      <c r="T150" s="239">
        <f t="shared" si="117"/>
        <v>2.6138400000000002</v>
      </c>
      <c r="U150" s="239">
        <f t="shared" si="118"/>
        <v>1.9113600000000002</v>
      </c>
      <c r="V150" s="239">
        <f t="shared" si="119"/>
        <v>1.55904</v>
      </c>
    </row>
    <row r="151" spans="1:22" s="3" customFormat="1">
      <c r="A151" s="109" t="s">
        <v>456</v>
      </c>
      <c r="B151" s="109" t="s">
        <v>457</v>
      </c>
      <c r="C151" s="118"/>
      <c r="D151" s="105" t="s">
        <v>458</v>
      </c>
      <c r="E151" s="105"/>
      <c r="F151" s="105"/>
      <c r="G151" s="105"/>
      <c r="H151" s="105"/>
      <c r="I151" s="105"/>
      <c r="J151" s="105"/>
      <c r="K151" s="118"/>
      <c r="L151" s="173">
        <v>45</v>
      </c>
      <c r="N151" s="239">
        <f t="shared" si="112"/>
        <v>8.5698000000000008</v>
      </c>
      <c r="O151" s="239">
        <f t="shared" si="113"/>
        <v>4.6309500000000003</v>
      </c>
      <c r="P151" s="239">
        <f t="shared" si="114"/>
        <v>3.3138000000000001</v>
      </c>
      <c r="Q151" s="239">
        <f t="shared" si="115"/>
        <v>2.6532</v>
      </c>
      <c r="R151" s="239"/>
      <c r="S151" s="239">
        <f t="shared" si="116"/>
        <v>8.8398000000000003</v>
      </c>
      <c r="T151" s="239">
        <f t="shared" si="117"/>
        <v>4.9009499999999999</v>
      </c>
      <c r="U151" s="239">
        <f t="shared" si="118"/>
        <v>3.5838000000000001</v>
      </c>
      <c r="V151" s="239">
        <f t="shared" si="119"/>
        <v>2.9232</v>
      </c>
    </row>
    <row r="152" spans="1:22" s="3" customFormat="1">
      <c r="A152" s="109" t="s">
        <v>459</v>
      </c>
      <c r="B152" s="109" t="s">
        <v>460</v>
      </c>
      <c r="C152" s="118"/>
      <c r="D152" s="105" t="s">
        <v>461</v>
      </c>
      <c r="E152" s="105"/>
      <c r="F152" s="105"/>
      <c r="G152" s="105"/>
      <c r="H152" s="105"/>
      <c r="I152" s="105"/>
      <c r="J152" s="105"/>
      <c r="K152" s="118"/>
      <c r="L152" s="173">
        <v>45</v>
      </c>
      <c r="N152" s="239">
        <f t="shared" si="112"/>
        <v>8.5698000000000008</v>
      </c>
      <c r="O152" s="239">
        <f t="shared" si="113"/>
        <v>4.6309500000000003</v>
      </c>
      <c r="P152" s="239">
        <f t="shared" si="114"/>
        <v>3.3138000000000001</v>
      </c>
      <c r="Q152" s="239">
        <f t="shared" si="115"/>
        <v>2.6532</v>
      </c>
      <c r="R152" s="239"/>
      <c r="S152" s="239">
        <f t="shared" si="116"/>
        <v>8.8398000000000003</v>
      </c>
      <c r="T152" s="239">
        <f t="shared" si="117"/>
        <v>4.9009499999999999</v>
      </c>
      <c r="U152" s="239">
        <f t="shared" si="118"/>
        <v>3.5838000000000001</v>
      </c>
      <c r="V152" s="239">
        <f t="shared" si="119"/>
        <v>2.9232</v>
      </c>
    </row>
    <row r="153" spans="1:22" s="3" customFormat="1">
      <c r="A153" s="109" t="s">
        <v>462</v>
      </c>
      <c r="B153" s="109" t="s">
        <v>463</v>
      </c>
      <c r="C153" s="118"/>
      <c r="D153" s="105" t="s">
        <v>464</v>
      </c>
      <c r="E153" s="105"/>
      <c r="F153" s="105"/>
      <c r="G153" s="105"/>
      <c r="H153" s="105"/>
      <c r="I153" s="105"/>
      <c r="J153" s="105"/>
      <c r="K153" s="118"/>
      <c r="L153" s="173">
        <v>56</v>
      </c>
      <c r="N153" s="239">
        <f t="shared" si="112"/>
        <v>10.66464</v>
      </c>
      <c r="O153" s="239">
        <f t="shared" si="113"/>
        <v>5.7629599999999996</v>
      </c>
      <c r="P153" s="239">
        <f t="shared" si="114"/>
        <v>4.1238399999999995</v>
      </c>
      <c r="Q153" s="239">
        <f t="shared" si="115"/>
        <v>3.3017599999999998</v>
      </c>
      <c r="R153" s="239"/>
      <c r="S153" s="239">
        <f t="shared" si="116"/>
        <v>11.000640000000001</v>
      </c>
      <c r="T153" s="239">
        <f t="shared" si="117"/>
        <v>6.0989599999999999</v>
      </c>
      <c r="U153" s="239">
        <f t="shared" si="118"/>
        <v>4.4598399999999998</v>
      </c>
      <c r="V153" s="239">
        <f t="shared" si="119"/>
        <v>3.6377600000000001</v>
      </c>
    </row>
    <row r="154" spans="1:22" s="3" customFormat="1">
      <c r="A154" s="113"/>
      <c r="B154" s="114"/>
      <c r="C154" s="115"/>
      <c r="D154" s="116"/>
      <c r="E154" s="116"/>
      <c r="F154" s="116"/>
      <c r="G154" s="116"/>
      <c r="H154" s="116"/>
      <c r="I154" s="116"/>
      <c r="J154" s="116"/>
      <c r="K154" s="182"/>
      <c r="L154" s="173"/>
      <c r="N154" s="239"/>
      <c r="O154" s="239"/>
      <c r="P154" s="239"/>
      <c r="Q154" s="239"/>
      <c r="R154" s="239"/>
      <c r="S154" s="239"/>
      <c r="T154" s="239"/>
      <c r="U154" s="239"/>
      <c r="V154" s="239"/>
    </row>
    <row r="155" spans="1:22">
      <c r="A155" s="89" t="s">
        <v>210</v>
      </c>
      <c r="B155" s="90"/>
      <c r="C155" s="90"/>
      <c r="D155" s="91"/>
      <c r="E155" s="91"/>
      <c r="F155" s="91"/>
      <c r="G155" s="91"/>
      <c r="H155" s="91"/>
      <c r="I155" s="91"/>
      <c r="J155" s="91"/>
      <c r="K155" s="90"/>
      <c r="L155" s="168"/>
      <c r="N155" s="238"/>
      <c r="O155" s="238"/>
      <c r="P155" s="238"/>
      <c r="Q155" s="238"/>
      <c r="R155" s="238"/>
      <c r="S155" s="238"/>
      <c r="T155" s="238"/>
      <c r="U155" s="238"/>
      <c r="V155" s="238"/>
    </row>
    <row r="156" spans="1:22">
      <c r="A156" s="109" t="s">
        <v>465</v>
      </c>
      <c r="B156" s="109" t="s">
        <v>466</v>
      </c>
      <c r="C156" s="118"/>
      <c r="D156" s="118"/>
      <c r="E156" s="105" t="s">
        <v>467</v>
      </c>
      <c r="F156" s="105" t="s">
        <v>468</v>
      </c>
      <c r="G156" s="105"/>
      <c r="H156" s="105"/>
      <c r="I156" s="105"/>
      <c r="J156" s="105"/>
      <c r="K156" s="118"/>
      <c r="L156" s="173">
        <v>0</v>
      </c>
      <c r="N156" s="239">
        <f t="shared" si="112"/>
        <v>0</v>
      </c>
      <c r="O156" s="239">
        <f t="shared" si="113"/>
        <v>0</v>
      </c>
      <c r="P156" s="239">
        <f t="shared" si="114"/>
        <v>0</v>
      </c>
      <c r="Q156" s="239">
        <f t="shared" si="115"/>
        <v>0</v>
      </c>
      <c r="R156" s="239"/>
      <c r="S156" s="239">
        <f t="shared" si="116"/>
        <v>0</v>
      </c>
      <c r="T156" s="239">
        <f t="shared" si="117"/>
        <v>0</v>
      </c>
      <c r="U156" s="239">
        <f t="shared" si="118"/>
        <v>0</v>
      </c>
      <c r="V156" s="239">
        <f t="shared" si="119"/>
        <v>0</v>
      </c>
    </row>
    <row r="157" spans="1:22">
      <c r="A157" s="109" t="s">
        <v>469</v>
      </c>
      <c r="B157" s="109" t="s">
        <v>470</v>
      </c>
      <c r="C157" s="118"/>
      <c r="D157" s="118"/>
      <c r="E157" s="105" t="s">
        <v>471</v>
      </c>
      <c r="F157" s="105" t="s">
        <v>472</v>
      </c>
      <c r="G157" s="105"/>
      <c r="H157" s="105"/>
      <c r="I157" s="105"/>
      <c r="J157" s="105"/>
      <c r="K157" s="118"/>
      <c r="L157" s="173">
        <v>0</v>
      </c>
      <c r="N157" s="239">
        <f t="shared" si="112"/>
        <v>0</v>
      </c>
      <c r="O157" s="239">
        <f t="shared" si="113"/>
        <v>0</v>
      </c>
      <c r="P157" s="239">
        <f t="shared" si="114"/>
        <v>0</v>
      </c>
      <c r="Q157" s="239">
        <f t="shared" si="115"/>
        <v>0</v>
      </c>
      <c r="R157" s="239"/>
      <c r="S157" s="239">
        <f t="shared" si="116"/>
        <v>0</v>
      </c>
      <c r="T157" s="239">
        <f t="shared" si="117"/>
        <v>0</v>
      </c>
      <c r="U157" s="239">
        <f t="shared" si="118"/>
        <v>0</v>
      </c>
      <c r="V157" s="239">
        <f t="shared" si="119"/>
        <v>0</v>
      </c>
    </row>
    <row r="158" spans="1:22">
      <c r="A158" s="109" t="s">
        <v>473</v>
      </c>
      <c r="B158" s="109" t="s">
        <v>474</v>
      </c>
      <c r="C158" s="118"/>
      <c r="D158" s="118"/>
      <c r="E158" s="105" t="s">
        <v>475</v>
      </c>
      <c r="F158" s="105" t="s">
        <v>1582</v>
      </c>
      <c r="G158" s="105"/>
      <c r="H158" s="105"/>
      <c r="I158" s="105"/>
      <c r="J158" s="105"/>
      <c r="K158" s="118"/>
      <c r="L158" s="173">
        <v>0</v>
      </c>
      <c r="N158" s="239">
        <f t="shared" si="112"/>
        <v>0</v>
      </c>
      <c r="O158" s="239">
        <f t="shared" si="113"/>
        <v>0</v>
      </c>
      <c r="P158" s="239">
        <f t="shared" si="114"/>
        <v>0</v>
      </c>
      <c r="Q158" s="239">
        <f t="shared" si="115"/>
        <v>0</v>
      </c>
      <c r="R158" s="239"/>
      <c r="S158" s="239">
        <f t="shared" si="116"/>
        <v>0</v>
      </c>
      <c r="T158" s="239">
        <f t="shared" si="117"/>
        <v>0</v>
      </c>
      <c r="U158" s="239">
        <f t="shared" si="118"/>
        <v>0</v>
      </c>
      <c r="V158" s="239">
        <f t="shared" si="119"/>
        <v>0</v>
      </c>
    </row>
    <row r="159" spans="1:22">
      <c r="A159" s="109" t="s">
        <v>476</v>
      </c>
      <c r="B159" s="109" t="s">
        <v>477</v>
      </c>
      <c r="C159" s="118"/>
      <c r="D159" s="118"/>
      <c r="E159" s="105" t="s">
        <v>478</v>
      </c>
      <c r="F159" s="105" t="s">
        <v>479</v>
      </c>
      <c r="G159" s="105"/>
      <c r="H159" s="105"/>
      <c r="I159" s="105"/>
      <c r="J159" s="105"/>
      <c r="K159" s="118"/>
      <c r="L159" s="173">
        <v>11</v>
      </c>
      <c r="N159" s="239">
        <f t="shared" si="112"/>
        <v>2.09484</v>
      </c>
      <c r="O159" s="239">
        <f t="shared" si="113"/>
        <v>1.13201</v>
      </c>
      <c r="P159" s="239">
        <f t="shared" si="114"/>
        <v>0.81003999999999998</v>
      </c>
      <c r="Q159" s="239">
        <f t="shared" si="115"/>
        <v>0.64856000000000003</v>
      </c>
      <c r="R159" s="239"/>
      <c r="S159" s="239">
        <f t="shared" si="116"/>
        <v>2.1608399999999999</v>
      </c>
      <c r="T159" s="239">
        <f t="shared" si="117"/>
        <v>1.19801</v>
      </c>
      <c r="U159" s="239">
        <f t="shared" si="118"/>
        <v>0.87604000000000004</v>
      </c>
      <c r="V159" s="239">
        <f t="shared" si="119"/>
        <v>0.71456000000000008</v>
      </c>
    </row>
    <row r="160" spans="1:22">
      <c r="A160" s="109" t="s">
        <v>480</v>
      </c>
      <c r="B160" s="109" t="s">
        <v>481</v>
      </c>
      <c r="C160" s="118"/>
      <c r="D160" s="118"/>
      <c r="E160" s="105" t="s">
        <v>482</v>
      </c>
      <c r="F160" s="105" t="s">
        <v>483</v>
      </c>
      <c r="G160" s="105"/>
      <c r="H160" s="105"/>
      <c r="I160" s="105"/>
      <c r="J160" s="105"/>
      <c r="K160" s="118"/>
      <c r="L160" s="173">
        <v>13</v>
      </c>
      <c r="N160" s="239">
        <f t="shared" si="112"/>
        <v>2.4757199999999999</v>
      </c>
      <c r="O160" s="239">
        <f t="shared" si="113"/>
        <v>1.3378300000000001</v>
      </c>
      <c r="P160" s="239">
        <f t="shared" si="114"/>
        <v>0.95731999999999995</v>
      </c>
      <c r="Q160" s="239">
        <f t="shared" si="115"/>
        <v>0.76647999999999994</v>
      </c>
      <c r="R160" s="239"/>
      <c r="S160" s="239">
        <f t="shared" si="116"/>
        <v>2.5537200000000002</v>
      </c>
      <c r="T160" s="239">
        <f t="shared" si="117"/>
        <v>1.4158300000000001</v>
      </c>
      <c r="U160" s="239">
        <f t="shared" si="118"/>
        <v>1.03532</v>
      </c>
      <c r="V160" s="239">
        <f t="shared" si="119"/>
        <v>0.84448000000000001</v>
      </c>
    </row>
    <row r="161" spans="1:22">
      <c r="A161" s="109" t="s">
        <v>222</v>
      </c>
      <c r="B161" s="109" t="s">
        <v>223</v>
      </c>
      <c r="C161" s="118"/>
      <c r="D161" s="118"/>
      <c r="E161" s="105" t="s">
        <v>484</v>
      </c>
      <c r="F161" s="105" t="s">
        <v>485</v>
      </c>
      <c r="G161" s="105"/>
      <c r="H161" s="105"/>
      <c r="I161" s="105"/>
      <c r="J161" s="105"/>
      <c r="K161" s="118"/>
      <c r="L161" s="173">
        <v>24</v>
      </c>
      <c r="N161" s="239">
        <f t="shared" si="112"/>
        <v>4.5705600000000004</v>
      </c>
      <c r="O161" s="239">
        <f t="shared" si="113"/>
        <v>2.46984</v>
      </c>
      <c r="P161" s="239">
        <f t="shared" si="114"/>
        <v>1.76736</v>
      </c>
      <c r="Q161" s="239">
        <f t="shared" si="115"/>
        <v>1.4150399999999999</v>
      </c>
      <c r="R161" s="239"/>
      <c r="S161" s="239">
        <f t="shared" si="116"/>
        <v>4.7145600000000005</v>
      </c>
      <c r="T161" s="239">
        <f t="shared" si="117"/>
        <v>2.6138400000000002</v>
      </c>
      <c r="U161" s="239">
        <f t="shared" si="118"/>
        <v>1.9113600000000002</v>
      </c>
      <c r="V161" s="239">
        <f t="shared" si="119"/>
        <v>1.55904</v>
      </c>
    </row>
    <row r="162" spans="1:22">
      <c r="A162" s="109" t="s">
        <v>486</v>
      </c>
      <c r="B162" s="109" t="s">
        <v>487</v>
      </c>
      <c r="C162" s="118"/>
      <c r="D162" s="118"/>
      <c r="E162" s="105" t="s">
        <v>488</v>
      </c>
      <c r="F162" s="105"/>
      <c r="G162" s="105"/>
      <c r="H162" s="105"/>
      <c r="I162" s="105"/>
      <c r="J162" s="105"/>
      <c r="K162" s="118"/>
      <c r="L162" s="173">
        <v>40</v>
      </c>
      <c r="N162" s="239">
        <f t="shared" si="112"/>
        <v>7.6175999999999995</v>
      </c>
      <c r="O162" s="239">
        <f t="shared" si="113"/>
        <v>4.1164000000000005</v>
      </c>
      <c r="P162" s="239">
        <f t="shared" si="114"/>
        <v>2.9455999999999998</v>
      </c>
      <c r="Q162" s="239">
        <f t="shared" si="115"/>
        <v>2.3584000000000001</v>
      </c>
      <c r="R162" s="239"/>
      <c r="S162" s="239">
        <f t="shared" si="116"/>
        <v>7.8575999999999997</v>
      </c>
      <c r="T162" s="239">
        <f t="shared" si="117"/>
        <v>4.3564000000000007</v>
      </c>
      <c r="U162" s="239">
        <f t="shared" si="118"/>
        <v>3.1856</v>
      </c>
      <c r="V162" s="239">
        <f t="shared" si="119"/>
        <v>2.5984000000000003</v>
      </c>
    </row>
    <row r="163" spans="1:22" s="1" customFormat="1">
      <c r="A163" s="109" t="s">
        <v>228</v>
      </c>
      <c r="B163" s="109" t="s">
        <v>489</v>
      </c>
      <c r="C163" s="118"/>
      <c r="D163" s="118"/>
      <c r="E163" s="105" t="s">
        <v>490</v>
      </c>
      <c r="F163" s="105" t="s">
        <v>491</v>
      </c>
      <c r="G163" s="105"/>
      <c r="H163" s="105"/>
      <c r="I163" s="105"/>
      <c r="J163" s="105"/>
      <c r="K163" s="118"/>
      <c r="L163" s="173">
        <v>69</v>
      </c>
      <c r="N163" s="239">
        <f t="shared" si="112"/>
        <v>13.140359999999999</v>
      </c>
      <c r="O163" s="239">
        <f t="shared" si="113"/>
        <v>7.1007899999999999</v>
      </c>
      <c r="P163" s="239">
        <f t="shared" si="114"/>
        <v>5.0811599999999997</v>
      </c>
      <c r="Q163" s="239">
        <f t="shared" si="115"/>
        <v>4.0682400000000003</v>
      </c>
      <c r="R163" s="239"/>
      <c r="S163" s="239">
        <f t="shared" si="116"/>
        <v>13.554360000000001</v>
      </c>
      <c r="T163" s="239">
        <f t="shared" si="117"/>
        <v>7.5147900000000005</v>
      </c>
      <c r="U163" s="239">
        <f t="shared" si="118"/>
        <v>5.4951600000000003</v>
      </c>
      <c r="V163" s="239">
        <f t="shared" si="119"/>
        <v>4.48224</v>
      </c>
    </row>
    <row r="164" spans="1:22">
      <c r="A164" s="109" t="s">
        <v>492</v>
      </c>
      <c r="B164" s="109" t="s">
        <v>493</v>
      </c>
      <c r="C164" s="118"/>
      <c r="D164" s="118"/>
      <c r="E164" s="105" t="s">
        <v>494</v>
      </c>
      <c r="F164" s="105" t="s">
        <v>495</v>
      </c>
      <c r="G164" s="105"/>
      <c r="H164" s="105"/>
      <c r="I164" s="105"/>
      <c r="J164" s="105"/>
      <c r="K164" s="118"/>
      <c r="L164" s="173">
        <v>80</v>
      </c>
      <c r="N164" s="239">
        <f t="shared" si="112"/>
        <v>15.235199999999999</v>
      </c>
      <c r="O164" s="239">
        <f t="shared" si="113"/>
        <v>8.232800000000001</v>
      </c>
      <c r="P164" s="239">
        <f t="shared" si="114"/>
        <v>5.8911999999999995</v>
      </c>
      <c r="Q164" s="239">
        <f t="shared" si="115"/>
        <v>4.7168000000000001</v>
      </c>
      <c r="R164" s="239"/>
      <c r="S164" s="239">
        <f t="shared" si="116"/>
        <v>15.715199999999999</v>
      </c>
      <c r="T164" s="239">
        <f t="shared" si="117"/>
        <v>8.7128000000000014</v>
      </c>
      <c r="U164" s="239">
        <f t="shared" si="118"/>
        <v>6.3712</v>
      </c>
      <c r="V164" s="239">
        <f t="shared" si="119"/>
        <v>5.1968000000000005</v>
      </c>
    </row>
    <row r="165" spans="1:22">
      <c r="A165" s="109" t="s">
        <v>496</v>
      </c>
      <c r="B165" s="109" t="s">
        <v>497</v>
      </c>
      <c r="C165" s="118"/>
      <c r="D165" s="118"/>
      <c r="E165" s="105" t="s">
        <v>498</v>
      </c>
      <c r="F165" s="105" t="s">
        <v>499</v>
      </c>
      <c r="G165" s="105"/>
      <c r="H165" s="105"/>
      <c r="I165" s="105"/>
      <c r="J165" s="105"/>
      <c r="K165" s="118"/>
      <c r="L165" s="173">
        <v>114</v>
      </c>
      <c r="N165" s="239">
        <f t="shared" si="112"/>
        <v>21.710159999999998</v>
      </c>
      <c r="O165" s="239">
        <f t="shared" si="113"/>
        <v>11.73174</v>
      </c>
      <c r="P165" s="239">
        <f t="shared" si="114"/>
        <v>8.3949599999999993</v>
      </c>
      <c r="Q165" s="239">
        <f t="shared" si="115"/>
        <v>6.7214399999999994</v>
      </c>
      <c r="R165" s="239"/>
      <c r="S165" s="239">
        <f t="shared" si="116"/>
        <v>22.394159999999999</v>
      </c>
      <c r="T165" s="239">
        <f t="shared" si="117"/>
        <v>12.415740000000001</v>
      </c>
      <c r="U165" s="239">
        <f t="shared" si="118"/>
        <v>9.0789600000000004</v>
      </c>
      <c r="V165" s="239">
        <f t="shared" si="119"/>
        <v>7.4054400000000005</v>
      </c>
    </row>
    <row r="166" spans="1:22">
      <c r="A166" s="113"/>
      <c r="B166" s="114"/>
      <c r="C166" s="115"/>
      <c r="D166" s="116"/>
      <c r="E166" s="116"/>
      <c r="F166" s="116"/>
      <c r="G166" s="116"/>
      <c r="H166" s="116"/>
      <c r="I166" s="116"/>
      <c r="J166" s="116"/>
      <c r="K166" s="182"/>
      <c r="L166" s="173"/>
      <c r="N166" s="239"/>
      <c r="O166" s="239"/>
      <c r="P166" s="239"/>
      <c r="Q166" s="239"/>
      <c r="R166" s="239"/>
      <c r="S166" s="239"/>
      <c r="T166" s="239"/>
      <c r="U166" s="239"/>
      <c r="V166" s="239"/>
    </row>
    <row r="167" spans="1:22">
      <c r="A167" s="89" t="s">
        <v>232</v>
      </c>
      <c r="B167" s="90"/>
      <c r="C167" s="90"/>
      <c r="D167" s="91"/>
      <c r="E167" s="91"/>
      <c r="F167" s="91"/>
      <c r="G167" s="91"/>
      <c r="H167" s="91"/>
      <c r="I167" s="91"/>
      <c r="J167" s="91"/>
      <c r="K167" s="90"/>
      <c r="L167" s="168"/>
      <c r="N167" s="238"/>
      <c r="O167" s="238"/>
      <c r="P167" s="238"/>
      <c r="Q167" s="238"/>
      <c r="R167" s="238"/>
      <c r="S167" s="238"/>
      <c r="T167" s="238"/>
      <c r="U167" s="238"/>
      <c r="V167" s="238"/>
    </row>
    <row r="168" spans="1:22">
      <c r="A168" s="109" t="s">
        <v>500</v>
      </c>
      <c r="B168" s="109" t="s">
        <v>501</v>
      </c>
      <c r="C168" s="118"/>
      <c r="D168" s="118"/>
      <c r="E168" s="105"/>
      <c r="F168" s="105"/>
      <c r="G168" s="105" t="s">
        <v>502</v>
      </c>
      <c r="H168" s="105" t="s">
        <v>503</v>
      </c>
      <c r="I168" s="105"/>
      <c r="J168" s="105"/>
      <c r="K168" s="118"/>
      <c r="L168" s="173">
        <v>11</v>
      </c>
      <c r="N168" s="239">
        <f t="shared" si="112"/>
        <v>2.09484</v>
      </c>
      <c r="O168" s="239">
        <f t="shared" si="113"/>
        <v>1.13201</v>
      </c>
      <c r="P168" s="239">
        <f t="shared" si="114"/>
        <v>0.81003999999999998</v>
      </c>
      <c r="Q168" s="239">
        <f t="shared" si="115"/>
        <v>0.64856000000000003</v>
      </c>
      <c r="R168" s="239"/>
      <c r="S168" s="239">
        <f t="shared" si="116"/>
        <v>2.1608399999999999</v>
      </c>
      <c r="T168" s="239">
        <f t="shared" si="117"/>
        <v>1.19801</v>
      </c>
      <c r="U168" s="239">
        <f t="shared" si="118"/>
        <v>0.87604000000000004</v>
      </c>
      <c r="V168" s="239">
        <f t="shared" si="119"/>
        <v>0.71456000000000008</v>
      </c>
    </row>
    <row r="169" spans="1:22">
      <c r="A169" s="109" t="s">
        <v>504</v>
      </c>
      <c r="B169" s="109" t="s">
        <v>242</v>
      </c>
      <c r="C169" s="118"/>
      <c r="D169" s="118"/>
      <c r="E169" s="105"/>
      <c r="F169" s="105"/>
      <c r="G169" s="105" t="s">
        <v>505</v>
      </c>
      <c r="H169" s="105"/>
      <c r="I169" s="105"/>
      <c r="J169" s="105"/>
      <c r="K169" s="118"/>
      <c r="L169" s="173">
        <v>12</v>
      </c>
      <c r="N169" s="239">
        <f t="shared" si="112"/>
        <v>2.2852800000000002</v>
      </c>
      <c r="O169" s="239">
        <f t="shared" si="113"/>
        <v>1.23492</v>
      </c>
      <c r="P169" s="239">
        <f t="shared" si="114"/>
        <v>0.88368000000000002</v>
      </c>
      <c r="Q169" s="239">
        <f t="shared" si="115"/>
        <v>0.70751999999999993</v>
      </c>
      <c r="R169" s="239"/>
      <c r="S169" s="239">
        <f t="shared" si="116"/>
        <v>2.3572800000000003</v>
      </c>
      <c r="T169" s="239">
        <f t="shared" si="117"/>
        <v>1.3069200000000001</v>
      </c>
      <c r="U169" s="239">
        <f t="shared" si="118"/>
        <v>0.95568000000000008</v>
      </c>
      <c r="V169" s="239">
        <f t="shared" si="119"/>
        <v>0.77951999999999999</v>
      </c>
    </row>
    <row r="170" spans="1:22" s="3" customFormat="1">
      <c r="A170" s="109" t="s">
        <v>506</v>
      </c>
      <c r="B170" s="109" t="s">
        <v>507</v>
      </c>
      <c r="C170" s="118"/>
      <c r="D170" s="118"/>
      <c r="E170" s="105"/>
      <c r="F170" s="105"/>
      <c r="G170" s="105" t="s">
        <v>508</v>
      </c>
      <c r="H170" s="105" t="s">
        <v>509</v>
      </c>
      <c r="I170" s="105"/>
      <c r="J170" s="105"/>
      <c r="K170" s="118"/>
      <c r="L170" s="173">
        <v>29</v>
      </c>
      <c r="N170" s="239">
        <f t="shared" si="112"/>
        <v>5.5227599999999999</v>
      </c>
      <c r="O170" s="239">
        <f t="shared" si="113"/>
        <v>2.9843899999999999</v>
      </c>
      <c r="P170" s="239">
        <f t="shared" si="114"/>
        <v>2.1355599999999999</v>
      </c>
      <c r="Q170" s="239">
        <f t="shared" si="115"/>
        <v>1.70984</v>
      </c>
      <c r="R170" s="239"/>
      <c r="S170" s="239">
        <f t="shared" si="116"/>
        <v>5.6967600000000003</v>
      </c>
      <c r="T170" s="239">
        <f t="shared" si="117"/>
        <v>3.1583900000000003</v>
      </c>
      <c r="U170" s="239">
        <f t="shared" si="118"/>
        <v>2.3095600000000003</v>
      </c>
      <c r="V170" s="239">
        <f t="shared" si="119"/>
        <v>1.8838400000000002</v>
      </c>
    </row>
    <row r="171" spans="1:22" s="3" customFormat="1">
      <c r="A171" s="109" t="s">
        <v>510</v>
      </c>
      <c r="B171" s="109" t="s">
        <v>511</v>
      </c>
      <c r="C171" s="118"/>
      <c r="D171" s="118"/>
      <c r="E171" s="105"/>
      <c r="F171" s="105"/>
      <c r="G171" s="105" t="s">
        <v>512</v>
      </c>
      <c r="H171" s="105" t="s">
        <v>513</v>
      </c>
      <c r="I171" s="105"/>
      <c r="J171" s="105"/>
      <c r="K171" s="118"/>
      <c r="L171" s="173">
        <v>74</v>
      </c>
      <c r="N171" s="239">
        <f t="shared" si="112"/>
        <v>14.092560000000001</v>
      </c>
      <c r="O171" s="239">
        <f t="shared" si="113"/>
        <v>7.6153399999999998</v>
      </c>
      <c r="P171" s="239">
        <f t="shared" si="114"/>
        <v>5.4493599999999995</v>
      </c>
      <c r="Q171" s="239">
        <f t="shared" si="115"/>
        <v>4.3630399999999998</v>
      </c>
      <c r="R171" s="239"/>
      <c r="S171" s="239">
        <f t="shared" si="116"/>
        <v>14.53656</v>
      </c>
      <c r="T171" s="239">
        <f t="shared" si="117"/>
        <v>8.0593400000000006</v>
      </c>
      <c r="U171" s="239">
        <f t="shared" si="118"/>
        <v>5.8933600000000004</v>
      </c>
      <c r="V171" s="239">
        <f t="shared" si="119"/>
        <v>4.8070400000000006</v>
      </c>
    </row>
    <row r="172" spans="1:22" s="3" customFormat="1">
      <c r="A172" s="109" t="s">
        <v>514</v>
      </c>
      <c r="B172" s="109" t="s">
        <v>515</v>
      </c>
      <c r="C172" s="118"/>
      <c r="D172" s="118"/>
      <c r="E172" s="105"/>
      <c r="F172" s="105"/>
      <c r="G172" s="105" t="s">
        <v>516</v>
      </c>
      <c r="H172" s="105" t="s">
        <v>517</v>
      </c>
      <c r="I172" s="105"/>
      <c r="J172" s="105"/>
      <c r="K172" s="118"/>
      <c r="L172" s="173">
        <v>85</v>
      </c>
      <c r="N172" s="239">
        <f t="shared" si="112"/>
        <v>16.1874</v>
      </c>
      <c r="O172" s="239">
        <f t="shared" si="113"/>
        <v>8.7473500000000008</v>
      </c>
      <c r="P172" s="239">
        <f t="shared" si="114"/>
        <v>6.2593999999999994</v>
      </c>
      <c r="Q172" s="239">
        <f t="shared" si="115"/>
        <v>5.0115999999999996</v>
      </c>
      <c r="R172" s="239"/>
      <c r="S172" s="239">
        <f t="shared" si="116"/>
        <v>16.697400000000002</v>
      </c>
      <c r="T172" s="239">
        <f t="shared" si="117"/>
        <v>9.2573500000000006</v>
      </c>
      <c r="U172" s="239">
        <f t="shared" si="118"/>
        <v>6.7694000000000001</v>
      </c>
      <c r="V172" s="239">
        <f t="shared" si="119"/>
        <v>5.5216000000000003</v>
      </c>
    </row>
    <row r="173" spans="1:22" s="3" customFormat="1">
      <c r="A173" s="113"/>
      <c r="B173" s="114"/>
      <c r="C173" s="115"/>
      <c r="D173" s="116"/>
      <c r="E173" s="116"/>
      <c r="F173" s="116"/>
      <c r="G173" s="116"/>
      <c r="H173" s="116"/>
      <c r="I173" s="116"/>
      <c r="J173" s="116"/>
      <c r="K173" s="182"/>
      <c r="L173" s="173"/>
      <c r="N173" s="239"/>
      <c r="O173" s="239"/>
      <c r="P173" s="239"/>
      <c r="Q173" s="239"/>
      <c r="R173" s="239"/>
      <c r="S173" s="239"/>
      <c r="T173" s="239"/>
      <c r="U173" s="239"/>
      <c r="V173" s="239"/>
    </row>
    <row r="174" spans="1:22" s="3" customFormat="1">
      <c r="A174" s="89" t="s">
        <v>251</v>
      </c>
      <c r="B174" s="90"/>
      <c r="C174" s="90"/>
      <c r="D174" s="91"/>
      <c r="E174" s="91"/>
      <c r="F174" s="91"/>
      <c r="G174" s="91"/>
      <c r="H174" s="91"/>
      <c r="I174" s="91"/>
      <c r="J174" s="91"/>
      <c r="K174" s="90"/>
      <c r="L174" s="168"/>
      <c r="N174" s="238"/>
      <c r="O174" s="238"/>
      <c r="P174" s="238"/>
      <c r="Q174" s="238"/>
      <c r="R174" s="238"/>
      <c r="S174" s="238"/>
      <c r="T174" s="238"/>
      <c r="U174" s="238"/>
      <c r="V174" s="238"/>
    </row>
    <row r="175" spans="1:22" s="3" customFormat="1">
      <c r="A175" s="109" t="s">
        <v>252</v>
      </c>
      <c r="B175" s="109" t="s">
        <v>253</v>
      </c>
      <c r="C175" s="118"/>
      <c r="D175" s="105" t="s">
        <v>518</v>
      </c>
      <c r="E175" s="105" t="s">
        <v>519</v>
      </c>
      <c r="F175" s="105" t="s">
        <v>520</v>
      </c>
      <c r="G175" s="105" t="s">
        <v>521</v>
      </c>
      <c r="H175" s="105" t="s">
        <v>522</v>
      </c>
      <c r="I175" s="105"/>
      <c r="J175" s="105"/>
      <c r="K175" s="118"/>
      <c r="L175" s="173">
        <v>29</v>
      </c>
      <c r="N175" s="239">
        <f t="shared" si="112"/>
        <v>5.5227599999999999</v>
      </c>
      <c r="O175" s="239">
        <f t="shared" si="113"/>
        <v>2.9843899999999999</v>
      </c>
      <c r="P175" s="239">
        <f t="shared" si="114"/>
        <v>2.1355599999999999</v>
      </c>
      <c r="Q175" s="239">
        <f t="shared" si="115"/>
        <v>1.70984</v>
      </c>
      <c r="R175" s="239"/>
      <c r="S175" s="239">
        <f t="shared" si="116"/>
        <v>5.6967600000000003</v>
      </c>
      <c r="T175" s="239">
        <f t="shared" si="117"/>
        <v>3.1583900000000003</v>
      </c>
      <c r="U175" s="239">
        <f t="shared" si="118"/>
        <v>2.3095600000000003</v>
      </c>
      <c r="V175" s="239">
        <f t="shared" si="119"/>
        <v>1.8838400000000002</v>
      </c>
    </row>
    <row r="176" spans="1:22" s="3" customFormat="1">
      <c r="A176" s="109" t="s">
        <v>259</v>
      </c>
      <c r="B176" s="109" t="s">
        <v>523</v>
      </c>
      <c r="C176" s="118"/>
      <c r="D176" s="105" t="s">
        <v>524</v>
      </c>
      <c r="E176" s="105" t="s">
        <v>525</v>
      </c>
      <c r="F176" s="105" t="s">
        <v>526</v>
      </c>
      <c r="G176" s="105" t="s">
        <v>527</v>
      </c>
      <c r="H176" s="105" t="s">
        <v>528</v>
      </c>
      <c r="I176" s="105"/>
      <c r="J176" s="105"/>
      <c r="K176" s="118"/>
      <c r="L176" s="173">
        <v>101</v>
      </c>
      <c r="N176" s="239">
        <f t="shared" si="112"/>
        <v>19.234439999999999</v>
      </c>
      <c r="O176" s="239">
        <f t="shared" si="113"/>
        <v>10.39391</v>
      </c>
      <c r="P176" s="239">
        <f t="shared" si="114"/>
        <v>7.43764</v>
      </c>
      <c r="Q176" s="239">
        <f t="shared" si="115"/>
        <v>5.9549599999999998</v>
      </c>
      <c r="R176" s="239"/>
      <c r="S176" s="239">
        <f t="shared" si="116"/>
        <v>19.840440000000001</v>
      </c>
      <c r="T176" s="239">
        <f t="shared" si="117"/>
        <v>10.99991</v>
      </c>
      <c r="U176" s="239">
        <f t="shared" si="118"/>
        <v>8.0436399999999999</v>
      </c>
      <c r="V176" s="239">
        <f t="shared" si="119"/>
        <v>6.5609600000000006</v>
      </c>
    </row>
    <row r="177" spans="1:22" s="3" customFormat="1">
      <c r="A177" s="113"/>
      <c r="B177" s="114"/>
      <c r="C177" s="115"/>
      <c r="D177" s="116"/>
      <c r="E177" s="116"/>
      <c r="F177" s="116"/>
      <c r="G177" s="116"/>
      <c r="H177" s="116"/>
      <c r="I177" s="116"/>
      <c r="J177" s="116"/>
      <c r="K177" s="182"/>
      <c r="L177" s="173"/>
      <c r="N177" s="239"/>
      <c r="O177" s="239"/>
      <c r="P177" s="239"/>
      <c r="Q177" s="239"/>
      <c r="R177" s="239"/>
      <c r="S177" s="239"/>
      <c r="T177" s="239"/>
      <c r="U177" s="239"/>
      <c r="V177" s="239"/>
    </row>
    <row r="178" spans="1:22">
      <c r="A178" s="89" t="s">
        <v>269</v>
      </c>
      <c r="B178" s="90"/>
      <c r="C178" s="90"/>
      <c r="D178" s="91"/>
      <c r="E178" s="91"/>
      <c r="F178" s="91"/>
      <c r="G178" s="91"/>
      <c r="H178" s="91"/>
      <c r="I178" s="91"/>
      <c r="J178" s="91"/>
      <c r="K178" s="90"/>
      <c r="L178" s="168"/>
      <c r="N178" s="238"/>
      <c r="O178" s="238"/>
      <c r="P178" s="238"/>
      <c r="Q178" s="238"/>
      <c r="R178" s="238"/>
      <c r="S178" s="238"/>
      <c r="T178" s="238"/>
      <c r="U178" s="238"/>
      <c r="V178" s="238"/>
    </row>
    <row r="179" spans="1:22" ht="29.45" customHeight="1">
      <c r="A179" s="109" t="s">
        <v>529</v>
      </c>
      <c r="B179" s="109" t="s">
        <v>530</v>
      </c>
      <c r="C179" s="118"/>
      <c r="D179" s="105" t="s">
        <v>531</v>
      </c>
      <c r="E179" s="105" t="s">
        <v>532</v>
      </c>
      <c r="F179" s="105" t="s">
        <v>533</v>
      </c>
      <c r="G179" s="105" t="s">
        <v>534</v>
      </c>
      <c r="H179" s="105" t="s">
        <v>535</v>
      </c>
      <c r="I179" s="105"/>
      <c r="J179" s="105"/>
      <c r="K179" s="118"/>
      <c r="L179" s="173">
        <v>5</v>
      </c>
      <c r="N179" s="239">
        <f t="shared" si="112"/>
        <v>0.95219999999999994</v>
      </c>
      <c r="O179" s="239">
        <f t="shared" si="113"/>
        <v>0.51455000000000006</v>
      </c>
      <c r="P179" s="239">
        <f t="shared" si="114"/>
        <v>0.36819999999999997</v>
      </c>
      <c r="Q179" s="239">
        <f t="shared" si="115"/>
        <v>0.29480000000000001</v>
      </c>
      <c r="R179" s="239"/>
      <c r="S179" s="239">
        <f t="shared" si="116"/>
        <v>0.98219999999999996</v>
      </c>
      <c r="T179" s="239">
        <f t="shared" si="117"/>
        <v>0.54455000000000009</v>
      </c>
      <c r="U179" s="239">
        <f t="shared" si="118"/>
        <v>0.3982</v>
      </c>
      <c r="V179" s="239">
        <f t="shared" si="119"/>
        <v>0.32480000000000003</v>
      </c>
    </row>
    <row r="180" spans="1:22">
      <c r="A180" s="113"/>
      <c r="B180" s="114"/>
      <c r="C180" s="115"/>
      <c r="D180" s="116"/>
      <c r="E180" s="116"/>
      <c r="F180" s="116"/>
      <c r="G180" s="116"/>
      <c r="H180" s="116"/>
      <c r="I180" s="116"/>
      <c r="J180" s="116"/>
      <c r="K180" s="182"/>
      <c r="L180" s="173"/>
      <c r="N180" s="239"/>
      <c r="O180" s="239"/>
      <c r="P180" s="239"/>
      <c r="Q180" s="239"/>
      <c r="R180" s="239"/>
      <c r="S180" s="239"/>
      <c r="T180" s="239"/>
      <c r="U180" s="239"/>
      <c r="V180" s="239"/>
    </row>
    <row r="181" spans="1:22">
      <c r="A181" s="89" t="s">
        <v>276</v>
      </c>
      <c r="B181" s="90"/>
      <c r="C181" s="90"/>
      <c r="D181" s="91"/>
      <c r="E181" s="91"/>
      <c r="F181" s="91"/>
      <c r="G181" s="91"/>
      <c r="H181" s="91"/>
      <c r="I181" s="91"/>
      <c r="J181" s="91"/>
      <c r="K181" s="90"/>
      <c r="L181" s="168"/>
      <c r="N181" s="238"/>
      <c r="O181" s="238"/>
      <c r="P181" s="238"/>
      <c r="Q181" s="238"/>
      <c r="R181" s="238"/>
      <c r="S181" s="238"/>
      <c r="T181" s="238"/>
      <c r="U181" s="238"/>
      <c r="V181" s="238"/>
    </row>
    <row r="182" spans="1:22">
      <c r="A182" s="109" t="s">
        <v>284</v>
      </c>
      <c r="B182" s="109" t="s">
        <v>536</v>
      </c>
      <c r="C182" s="118"/>
      <c r="D182" s="105" t="s">
        <v>537</v>
      </c>
      <c r="E182" s="105" t="s">
        <v>538</v>
      </c>
      <c r="F182" s="105" t="s">
        <v>539</v>
      </c>
      <c r="G182" s="105"/>
      <c r="H182" s="105"/>
      <c r="I182" s="105"/>
      <c r="J182" s="105"/>
      <c r="K182" s="118"/>
      <c r="L182" s="173">
        <v>0</v>
      </c>
      <c r="N182" s="239">
        <f t="shared" si="112"/>
        <v>0</v>
      </c>
      <c r="O182" s="239">
        <f t="shared" si="113"/>
        <v>0</v>
      </c>
      <c r="P182" s="239">
        <f t="shared" si="114"/>
        <v>0</v>
      </c>
      <c r="Q182" s="239">
        <f t="shared" si="115"/>
        <v>0</v>
      </c>
      <c r="R182" s="239"/>
      <c r="S182" s="239">
        <f t="shared" si="116"/>
        <v>0</v>
      </c>
      <c r="T182" s="239">
        <f t="shared" si="117"/>
        <v>0</v>
      </c>
      <c r="U182" s="239">
        <f t="shared" si="118"/>
        <v>0</v>
      </c>
      <c r="V182" s="239">
        <f t="shared" si="119"/>
        <v>0</v>
      </c>
    </row>
    <row r="183" spans="1:22">
      <c r="A183" s="113"/>
      <c r="B183" s="114"/>
      <c r="C183" s="115"/>
      <c r="D183" s="116"/>
      <c r="E183" s="116"/>
      <c r="F183" s="116"/>
      <c r="G183" s="116"/>
      <c r="H183" s="116"/>
      <c r="I183" s="116"/>
      <c r="J183" s="116"/>
      <c r="K183" s="182"/>
      <c r="L183" s="173"/>
      <c r="N183" s="239"/>
      <c r="O183" s="239"/>
      <c r="P183" s="239"/>
      <c r="Q183" s="239"/>
      <c r="R183" s="239"/>
      <c r="S183" s="239"/>
      <c r="T183" s="239"/>
      <c r="U183" s="239"/>
      <c r="V183" s="239"/>
    </row>
    <row r="184" spans="1:22">
      <c r="A184" s="89" t="s">
        <v>287</v>
      </c>
      <c r="B184" s="90"/>
      <c r="C184" s="90"/>
      <c r="D184" s="91"/>
      <c r="E184" s="91"/>
      <c r="F184" s="91"/>
      <c r="G184" s="91"/>
      <c r="H184" s="91"/>
      <c r="I184" s="91"/>
      <c r="J184" s="91"/>
      <c r="K184" s="90"/>
      <c r="L184" s="168"/>
      <c r="N184" s="238"/>
      <c r="O184" s="238"/>
      <c r="P184" s="238"/>
      <c r="Q184" s="238"/>
      <c r="R184" s="238"/>
      <c r="S184" s="238"/>
      <c r="T184" s="238"/>
      <c r="U184" s="238"/>
      <c r="V184" s="238"/>
    </row>
    <row r="185" spans="1:22">
      <c r="A185" s="109" t="s">
        <v>540</v>
      </c>
      <c r="B185" s="109" t="s">
        <v>541</v>
      </c>
      <c r="C185" s="118"/>
      <c r="D185" s="105" t="s">
        <v>542</v>
      </c>
      <c r="E185" s="105" t="s">
        <v>543</v>
      </c>
      <c r="F185" s="105" t="s">
        <v>544</v>
      </c>
      <c r="G185" s="105" t="s">
        <v>545</v>
      </c>
      <c r="H185" s="105" t="s">
        <v>546</v>
      </c>
      <c r="I185" s="105"/>
      <c r="J185" s="105"/>
      <c r="K185" s="118"/>
      <c r="L185" s="173">
        <v>2</v>
      </c>
      <c r="N185" s="239">
        <f t="shared" si="112"/>
        <v>0.38088</v>
      </c>
      <c r="O185" s="239">
        <f t="shared" si="113"/>
        <v>0.20582</v>
      </c>
      <c r="P185" s="239">
        <f t="shared" si="114"/>
        <v>0.14727999999999999</v>
      </c>
      <c r="Q185" s="239">
        <f t="shared" si="115"/>
        <v>0.11792</v>
      </c>
      <c r="R185" s="239"/>
      <c r="S185" s="239">
        <f t="shared" si="116"/>
        <v>0.39288000000000001</v>
      </c>
      <c r="T185" s="239">
        <f t="shared" si="117"/>
        <v>0.21782000000000001</v>
      </c>
      <c r="U185" s="239">
        <f t="shared" si="118"/>
        <v>0.15928</v>
      </c>
      <c r="V185" s="239">
        <f t="shared" si="119"/>
        <v>0.12992000000000001</v>
      </c>
    </row>
    <row r="186" spans="1:22">
      <c r="A186" s="109" t="s">
        <v>90</v>
      </c>
      <c r="B186" s="109" t="s">
        <v>288</v>
      </c>
      <c r="C186" s="118"/>
      <c r="D186" s="105" t="s">
        <v>547</v>
      </c>
      <c r="E186" s="105" t="s">
        <v>548</v>
      </c>
      <c r="F186" s="105" t="s">
        <v>549</v>
      </c>
      <c r="G186" s="105" t="s">
        <v>550</v>
      </c>
      <c r="H186" s="105" t="s">
        <v>551</v>
      </c>
      <c r="I186" s="105"/>
      <c r="J186" s="105"/>
      <c r="K186" s="118"/>
      <c r="L186" s="173">
        <v>6</v>
      </c>
      <c r="N186" s="239">
        <f t="shared" si="112"/>
        <v>1.1426400000000001</v>
      </c>
      <c r="O186" s="239">
        <f t="shared" si="113"/>
        <v>0.61746000000000001</v>
      </c>
      <c r="P186" s="239">
        <f t="shared" si="114"/>
        <v>0.44184000000000001</v>
      </c>
      <c r="Q186" s="239">
        <f t="shared" si="115"/>
        <v>0.35375999999999996</v>
      </c>
      <c r="R186" s="239"/>
      <c r="S186" s="239">
        <f t="shared" si="116"/>
        <v>1.1786400000000001</v>
      </c>
      <c r="T186" s="239">
        <f t="shared" si="117"/>
        <v>0.65346000000000004</v>
      </c>
      <c r="U186" s="239">
        <f t="shared" si="118"/>
        <v>0.47784000000000004</v>
      </c>
      <c r="V186" s="239">
        <f t="shared" si="119"/>
        <v>0.38976</v>
      </c>
    </row>
    <row r="187" spans="1:22">
      <c r="A187" s="113"/>
      <c r="B187" s="114"/>
      <c r="C187" s="115"/>
      <c r="D187" s="116"/>
      <c r="E187" s="116"/>
      <c r="F187" s="116"/>
      <c r="G187" s="116"/>
      <c r="H187" s="116"/>
      <c r="I187" s="116"/>
      <c r="J187" s="116"/>
      <c r="K187" s="182"/>
      <c r="L187" s="173"/>
      <c r="N187" s="239"/>
      <c r="O187" s="239"/>
      <c r="P187" s="239"/>
      <c r="Q187" s="239"/>
      <c r="R187" s="239"/>
      <c r="S187" s="239"/>
      <c r="T187" s="239"/>
      <c r="U187" s="239"/>
      <c r="V187" s="239"/>
    </row>
    <row r="188" spans="1:22">
      <c r="A188" s="89" t="s">
        <v>552</v>
      </c>
      <c r="B188" s="90"/>
      <c r="C188" s="90"/>
      <c r="D188" s="91"/>
      <c r="E188" s="91"/>
      <c r="F188" s="91"/>
      <c r="G188" s="91"/>
      <c r="H188" s="91"/>
      <c r="I188" s="91"/>
      <c r="J188" s="91"/>
      <c r="K188" s="90"/>
      <c r="L188" s="168"/>
      <c r="N188" s="238"/>
      <c r="O188" s="238"/>
      <c r="P188" s="238"/>
      <c r="Q188" s="238"/>
      <c r="R188" s="238"/>
      <c r="S188" s="238"/>
      <c r="T188" s="238"/>
      <c r="U188" s="238"/>
      <c r="V188" s="238"/>
    </row>
    <row r="189" spans="1:22">
      <c r="A189" s="109" t="s">
        <v>806</v>
      </c>
      <c r="B189" s="109" t="s">
        <v>807</v>
      </c>
      <c r="C189" s="118"/>
      <c r="D189" s="105" t="s">
        <v>1643</v>
      </c>
      <c r="E189" s="105" t="s">
        <v>1644</v>
      </c>
      <c r="F189" s="105" t="s">
        <v>1646</v>
      </c>
      <c r="G189" s="105" t="s">
        <v>1645</v>
      </c>
      <c r="H189" s="105" t="s">
        <v>1647</v>
      </c>
      <c r="I189" s="105"/>
      <c r="J189" s="105"/>
      <c r="K189" s="118"/>
      <c r="L189" s="173">
        <v>6</v>
      </c>
      <c r="N189" s="239">
        <f t="shared" ref="N189" si="128">L189*$N$8</f>
        <v>1.1426400000000001</v>
      </c>
      <c r="O189" s="239">
        <f t="shared" ref="O189" si="129">L189*$O$8</f>
        <v>0.61746000000000001</v>
      </c>
      <c r="P189" s="239">
        <f t="shared" ref="P189" si="130">L189*$P$8</f>
        <v>0.44184000000000001</v>
      </c>
      <c r="Q189" s="239">
        <f t="shared" ref="Q189" si="131">L189*$Q$8</f>
        <v>0.35375999999999996</v>
      </c>
      <c r="R189" s="239"/>
      <c r="S189" s="239">
        <f t="shared" ref="S189" si="132">L189*$S$8</f>
        <v>1.1786400000000001</v>
      </c>
      <c r="T189" s="239">
        <f t="shared" ref="T189" si="133">L189*$T$8</f>
        <v>0.65346000000000004</v>
      </c>
      <c r="U189" s="239">
        <f t="shared" ref="U189" si="134">L189*$U$8</f>
        <v>0.47784000000000004</v>
      </c>
      <c r="V189" s="239">
        <f t="shared" ref="V189" si="135">L189*$V$8</f>
        <v>0.38976</v>
      </c>
    </row>
    <row r="190" spans="1:22">
      <c r="A190" s="109" t="s">
        <v>553</v>
      </c>
      <c r="B190" s="109" t="s">
        <v>554</v>
      </c>
      <c r="C190" s="118" t="s">
        <v>350</v>
      </c>
      <c r="D190" s="105" t="s">
        <v>555</v>
      </c>
      <c r="E190" s="105" t="s">
        <v>556</v>
      </c>
      <c r="F190" s="105"/>
      <c r="G190" s="105" t="s">
        <v>557</v>
      </c>
      <c r="H190" s="105"/>
      <c r="I190" s="105"/>
      <c r="J190" s="105"/>
      <c r="K190" s="118"/>
      <c r="L190" s="173">
        <v>7</v>
      </c>
      <c r="N190" s="239">
        <f t="shared" si="112"/>
        <v>1.33308</v>
      </c>
      <c r="O190" s="239">
        <f t="shared" si="113"/>
        <v>0.72036999999999995</v>
      </c>
      <c r="P190" s="239">
        <f t="shared" si="114"/>
        <v>0.51547999999999994</v>
      </c>
      <c r="Q190" s="239">
        <f t="shared" si="115"/>
        <v>0.41271999999999998</v>
      </c>
      <c r="R190" s="239"/>
      <c r="S190" s="239">
        <f t="shared" si="116"/>
        <v>1.3750800000000001</v>
      </c>
      <c r="T190" s="239">
        <f t="shared" si="117"/>
        <v>0.76236999999999999</v>
      </c>
      <c r="U190" s="239">
        <f t="shared" si="118"/>
        <v>0.55747999999999998</v>
      </c>
      <c r="V190" s="239">
        <f t="shared" si="119"/>
        <v>0.45472000000000001</v>
      </c>
    </row>
    <row r="191" spans="1:22">
      <c r="A191" s="109" t="s">
        <v>558</v>
      </c>
      <c r="B191" s="109" t="s">
        <v>296</v>
      </c>
      <c r="C191" s="118"/>
      <c r="D191" s="105"/>
      <c r="E191" s="105" t="s">
        <v>559</v>
      </c>
      <c r="F191" s="105"/>
      <c r="G191" s="105" t="s">
        <v>560</v>
      </c>
      <c r="H191" s="105"/>
      <c r="I191" s="105"/>
      <c r="J191" s="105"/>
      <c r="K191" s="118"/>
      <c r="L191" s="173">
        <v>85</v>
      </c>
      <c r="N191" s="239">
        <f t="shared" si="112"/>
        <v>16.1874</v>
      </c>
      <c r="O191" s="239">
        <f t="shared" si="113"/>
        <v>8.7473500000000008</v>
      </c>
      <c r="P191" s="239">
        <f t="shared" si="114"/>
        <v>6.2593999999999994</v>
      </c>
      <c r="Q191" s="239">
        <f t="shared" si="115"/>
        <v>5.0115999999999996</v>
      </c>
      <c r="R191" s="239"/>
      <c r="S191" s="239">
        <f t="shared" si="116"/>
        <v>16.697400000000002</v>
      </c>
      <c r="T191" s="239">
        <f t="shared" si="117"/>
        <v>9.2573500000000006</v>
      </c>
      <c r="U191" s="239">
        <f t="shared" si="118"/>
        <v>6.7694000000000001</v>
      </c>
      <c r="V191" s="239">
        <f t="shared" si="119"/>
        <v>5.5216000000000003</v>
      </c>
    </row>
    <row r="192" spans="1:22">
      <c r="A192" s="109" t="s">
        <v>561</v>
      </c>
      <c r="B192" s="109" t="s">
        <v>296</v>
      </c>
      <c r="C192" s="118"/>
      <c r="D192" s="105"/>
      <c r="E192" s="105"/>
      <c r="F192" s="105" t="s">
        <v>562</v>
      </c>
      <c r="G192" s="105"/>
      <c r="H192" s="105" t="s">
        <v>563</v>
      </c>
      <c r="I192" s="105"/>
      <c r="J192" s="105"/>
      <c r="K192" s="118"/>
      <c r="L192" s="173">
        <v>85</v>
      </c>
      <c r="N192" s="239">
        <f t="shared" si="112"/>
        <v>16.1874</v>
      </c>
      <c r="O192" s="239">
        <f t="shared" si="113"/>
        <v>8.7473500000000008</v>
      </c>
      <c r="P192" s="239">
        <f t="shared" si="114"/>
        <v>6.2593999999999994</v>
      </c>
      <c r="Q192" s="239">
        <f t="shared" si="115"/>
        <v>5.0115999999999996</v>
      </c>
      <c r="R192" s="239"/>
      <c r="S192" s="239">
        <f t="shared" si="116"/>
        <v>16.697400000000002</v>
      </c>
      <c r="T192" s="239">
        <f t="shared" si="117"/>
        <v>9.2573500000000006</v>
      </c>
      <c r="U192" s="239">
        <f t="shared" si="118"/>
        <v>6.7694000000000001</v>
      </c>
      <c r="V192" s="239">
        <f t="shared" si="119"/>
        <v>5.5216000000000003</v>
      </c>
    </row>
    <row r="193" spans="1:22">
      <c r="A193" s="113"/>
      <c r="B193" s="114"/>
      <c r="C193" s="115"/>
      <c r="D193" s="116"/>
      <c r="E193" s="116"/>
      <c r="F193" s="116"/>
      <c r="G193" s="116"/>
      <c r="H193" s="116"/>
      <c r="I193" s="116"/>
      <c r="J193" s="116"/>
      <c r="K193" s="182"/>
      <c r="L193" s="173"/>
      <c r="N193" s="239"/>
      <c r="O193" s="239"/>
      <c r="P193" s="239"/>
      <c r="Q193" s="239"/>
      <c r="R193" s="239"/>
      <c r="S193" s="239"/>
      <c r="T193" s="239"/>
      <c r="U193" s="239"/>
      <c r="V193" s="239"/>
    </row>
    <row r="194" spans="1:22">
      <c r="A194" s="89" t="s">
        <v>564</v>
      </c>
      <c r="B194" s="90"/>
      <c r="C194" s="90"/>
      <c r="D194" s="91"/>
      <c r="E194" s="91"/>
      <c r="F194" s="91"/>
      <c r="G194" s="91"/>
      <c r="H194" s="91"/>
      <c r="I194" s="91"/>
      <c r="J194" s="91"/>
      <c r="K194" s="90"/>
      <c r="L194" s="168"/>
      <c r="N194" s="238"/>
      <c r="O194" s="238"/>
      <c r="P194" s="238"/>
      <c r="Q194" s="238"/>
      <c r="R194" s="238"/>
      <c r="S194" s="238"/>
      <c r="T194" s="238"/>
      <c r="U194" s="238"/>
      <c r="V194" s="238"/>
    </row>
    <row r="195" spans="1:22">
      <c r="A195" s="109" t="s">
        <v>565</v>
      </c>
      <c r="B195" s="109" t="s">
        <v>306</v>
      </c>
      <c r="C195" s="118"/>
      <c r="D195" s="105" t="s">
        <v>566</v>
      </c>
      <c r="E195" s="105" t="s">
        <v>567</v>
      </c>
      <c r="F195" s="105" t="s">
        <v>568</v>
      </c>
      <c r="G195" s="105" t="s">
        <v>569</v>
      </c>
      <c r="H195" s="105" t="s">
        <v>570</v>
      </c>
      <c r="I195" s="105"/>
      <c r="J195" s="105"/>
      <c r="K195" s="118"/>
      <c r="L195" s="173">
        <v>0</v>
      </c>
      <c r="N195" s="239">
        <f t="shared" si="112"/>
        <v>0</v>
      </c>
      <c r="O195" s="239">
        <f t="shared" si="113"/>
        <v>0</v>
      </c>
      <c r="P195" s="239">
        <f t="shared" si="114"/>
        <v>0</v>
      </c>
      <c r="Q195" s="239">
        <f t="shared" si="115"/>
        <v>0</v>
      </c>
      <c r="R195" s="239"/>
      <c r="S195" s="239">
        <f t="shared" si="116"/>
        <v>0</v>
      </c>
      <c r="T195" s="239">
        <f t="shared" si="117"/>
        <v>0</v>
      </c>
      <c r="U195" s="239">
        <f t="shared" si="118"/>
        <v>0</v>
      </c>
      <c r="V195" s="239">
        <f t="shared" si="119"/>
        <v>0</v>
      </c>
    </row>
    <row r="196" spans="1:22">
      <c r="A196" s="113"/>
      <c r="B196" s="114"/>
      <c r="C196" s="115"/>
      <c r="D196" s="116"/>
      <c r="E196" s="116"/>
      <c r="F196" s="116"/>
      <c r="G196" s="116"/>
      <c r="H196" s="116"/>
      <c r="I196" s="116"/>
      <c r="J196" s="116"/>
      <c r="K196" s="182"/>
      <c r="L196" s="173"/>
      <c r="N196" s="239"/>
      <c r="O196" s="239"/>
      <c r="P196" s="239"/>
      <c r="Q196" s="239"/>
      <c r="R196" s="239"/>
      <c r="S196" s="239"/>
      <c r="T196" s="239"/>
      <c r="U196" s="239"/>
      <c r="V196" s="239"/>
    </row>
    <row r="197" spans="1:22">
      <c r="A197" s="89" t="s">
        <v>316</v>
      </c>
      <c r="B197" s="90"/>
      <c r="C197" s="90"/>
      <c r="D197" s="91"/>
      <c r="E197" s="91"/>
      <c r="F197" s="91"/>
      <c r="G197" s="91"/>
      <c r="H197" s="91"/>
      <c r="I197" s="91"/>
      <c r="J197" s="91"/>
      <c r="K197" s="90"/>
      <c r="L197" s="168"/>
      <c r="N197" s="238"/>
      <c r="O197" s="238"/>
      <c r="P197" s="238"/>
      <c r="Q197" s="238"/>
      <c r="R197" s="238"/>
      <c r="S197" s="238"/>
      <c r="T197" s="238"/>
      <c r="U197" s="238"/>
      <c r="V197" s="238"/>
    </row>
    <row r="198" spans="1:22">
      <c r="A198" s="109" t="s">
        <v>317</v>
      </c>
      <c r="B198" s="109" t="s">
        <v>318</v>
      </c>
      <c r="C198" s="118"/>
      <c r="D198" s="104" t="s">
        <v>571</v>
      </c>
      <c r="E198" s="104" t="s">
        <v>571</v>
      </c>
      <c r="F198" s="104" t="s">
        <v>571</v>
      </c>
      <c r="G198" s="104" t="s">
        <v>571</v>
      </c>
      <c r="H198" s="104" t="s">
        <v>571</v>
      </c>
      <c r="I198" s="104"/>
      <c r="J198" s="104"/>
      <c r="K198" s="107"/>
      <c r="L198" s="173">
        <v>20</v>
      </c>
      <c r="N198" s="239">
        <f t="shared" si="112"/>
        <v>3.8087999999999997</v>
      </c>
      <c r="O198" s="239">
        <f t="shared" si="113"/>
        <v>2.0582000000000003</v>
      </c>
      <c r="P198" s="239">
        <f t="shared" si="114"/>
        <v>1.4727999999999999</v>
      </c>
      <c r="Q198" s="239">
        <f t="shared" si="115"/>
        <v>1.1792</v>
      </c>
      <c r="R198" s="239"/>
      <c r="S198" s="239">
        <f t="shared" si="116"/>
        <v>3.9287999999999998</v>
      </c>
      <c r="T198" s="239">
        <f t="shared" si="117"/>
        <v>2.1782000000000004</v>
      </c>
      <c r="U198" s="239">
        <f t="shared" si="118"/>
        <v>1.5928</v>
      </c>
      <c r="V198" s="239">
        <f t="shared" si="119"/>
        <v>1.2992000000000001</v>
      </c>
    </row>
    <row r="199" spans="1:22">
      <c r="A199" s="109" t="s">
        <v>320</v>
      </c>
      <c r="B199" s="119" t="s">
        <v>321</v>
      </c>
      <c r="C199" s="120"/>
      <c r="D199" s="104" t="s">
        <v>572</v>
      </c>
      <c r="E199" s="104" t="s">
        <v>572</v>
      </c>
      <c r="F199" s="104" t="s">
        <v>572</v>
      </c>
      <c r="G199" s="104" t="s">
        <v>572</v>
      </c>
      <c r="H199" s="104" t="s">
        <v>572</v>
      </c>
      <c r="I199" s="104"/>
      <c r="J199" s="104"/>
      <c r="K199" s="107"/>
      <c r="L199" s="173">
        <v>30</v>
      </c>
      <c r="N199" s="239">
        <f t="shared" si="112"/>
        <v>5.7131999999999996</v>
      </c>
      <c r="O199" s="239">
        <f t="shared" si="113"/>
        <v>3.0872999999999999</v>
      </c>
      <c r="P199" s="239">
        <f t="shared" si="114"/>
        <v>2.2092000000000001</v>
      </c>
      <c r="Q199" s="239">
        <f t="shared" si="115"/>
        <v>1.7687999999999999</v>
      </c>
      <c r="R199" s="239"/>
      <c r="S199" s="239">
        <f t="shared" si="116"/>
        <v>5.8932000000000002</v>
      </c>
      <c r="T199" s="239">
        <f t="shared" si="117"/>
        <v>3.2673000000000001</v>
      </c>
      <c r="U199" s="239">
        <f t="shared" si="118"/>
        <v>2.3892000000000002</v>
      </c>
      <c r="V199" s="239">
        <f t="shared" si="119"/>
        <v>1.9488000000000001</v>
      </c>
    </row>
    <row r="200" spans="1:22">
      <c r="A200" s="109" t="s">
        <v>323</v>
      </c>
      <c r="B200" s="109" t="s">
        <v>324</v>
      </c>
      <c r="C200" s="118"/>
      <c r="D200" s="104" t="s">
        <v>573</v>
      </c>
      <c r="E200" s="104" t="s">
        <v>573</v>
      </c>
      <c r="F200" s="104" t="s">
        <v>573</v>
      </c>
      <c r="G200" s="104" t="s">
        <v>573</v>
      </c>
      <c r="H200" s="104" t="s">
        <v>573</v>
      </c>
      <c r="I200" s="104"/>
      <c r="J200" s="104"/>
      <c r="K200" s="107"/>
      <c r="L200" s="173">
        <v>50</v>
      </c>
      <c r="N200" s="239">
        <f t="shared" si="112"/>
        <v>9.5220000000000002</v>
      </c>
      <c r="O200" s="239">
        <f t="shared" si="113"/>
        <v>5.1455000000000002</v>
      </c>
      <c r="P200" s="239">
        <f t="shared" si="114"/>
        <v>3.6819999999999999</v>
      </c>
      <c r="Q200" s="239">
        <f t="shared" si="115"/>
        <v>2.948</v>
      </c>
      <c r="R200" s="239"/>
      <c r="S200" s="239">
        <f t="shared" si="116"/>
        <v>9.822000000000001</v>
      </c>
      <c r="T200" s="239">
        <f t="shared" si="117"/>
        <v>5.4455</v>
      </c>
      <c r="U200" s="239">
        <f t="shared" si="118"/>
        <v>3.9820000000000002</v>
      </c>
      <c r="V200" s="239">
        <f t="shared" si="119"/>
        <v>3.2480000000000002</v>
      </c>
    </row>
    <row r="201" spans="1:22">
      <c r="A201" s="109" t="s">
        <v>574</v>
      </c>
      <c r="B201" s="109" t="s">
        <v>575</v>
      </c>
      <c r="C201" s="118"/>
      <c r="D201" s="104" t="s">
        <v>576</v>
      </c>
      <c r="E201" s="104" t="s">
        <v>576</v>
      </c>
      <c r="F201" s="104" t="s">
        <v>576</v>
      </c>
      <c r="G201" s="104" t="s">
        <v>576</v>
      </c>
      <c r="H201" s="104" t="s">
        <v>576</v>
      </c>
      <c r="I201" s="104"/>
      <c r="J201" s="104"/>
      <c r="K201" s="107"/>
      <c r="L201" s="173">
        <v>20</v>
      </c>
      <c r="N201" s="239">
        <f t="shared" si="112"/>
        <v>3.8087999999999997</v>
      </c>
      <c r="O201" s="239">
        <f t="shared" si="113"/>
        <v>2.0582000000000003</v>
      </c>
      <c r="P201" s="239">
        <f t="shared" si="114"/>
        <v>1.4727999999999999</v>
      </c>
      <c r="Q201" s="239">
        <f t="shared" si="115"/>
        <v>1.1792</v>
      </c>
      <c r="R201" s="239"/>
      <c r="S201" s="239">
        <f t="shared" si="116"/>
        <v>3.9287999999999998</v>
      </c>
      <c r="T201" s="239">
        <f t="shared" si="117"/>
        <v>2.1782000000000004</v>
      </c>
      <c r="U201" s="239">
        <f t="shared" si="118"/>
        <v>1.5928</v>
      </c>
      <c r="V201" s="239">
        <f t="shared" si="119"/>
        <v>1.2992000000000001</v>
      </c>
    </row>
    <row r="202" spans="1:22">
      <c r="A202" s="109" t="s">
        <v>326</v>
      </c>
      <c r="B202" s="109" t="s">
        <v>327</v>
      </c>
      <c r="C202" s="118"/>
      <c r="D202" s="105" t="s">
        <v>328</v>
      </c>
      <c r="E202" s="105" t="s">
        <v>328</v>
      </c>
      <c r="F202" s="105" t="s">
        <v>328</v>
      </c>
      <c r="G202" s="105" t="s">
        <v>328</v>
      </c>
      <c r="H202" s="105" t="s">
        <v>328</v>
      </c>
      <c r="I202" s="105"/>
      <c r="J202" s="105"/>
      <c r="K202" s="118"/>
      <c r="L202" s="173">
        <v>158</v>
      </c>
      <c r="N202" s="239">
        <f t="shared" si="112"/>
        <v>30.08952</v>
      </c>
      <c r="O202" s="239">
        <f t="shared" si="113"/>
        <v>16.259779999999999</v>
      </c>
      <c r="P202" s="239">
        <f t="shared" si="114"/>
        <v>11.635119999999999</v>
      </c>
      <c r="Q202" s="239">
        <f t="shared" si="115"/>
        <v>9.3156800000000004</v>
      </c>
      <c r="R202" s="239"/>
      <c r="S202" s="239">
        <f t="shared" si="116"/>
        <v>31.037520000000001</v>
      </c>
      <c r="T202" s="239">
        <f t="shared" si="117"/>
        <v>17.20778</v>
      </c>
      <c r="U202" s="239">
        <f t="shared" si="118"/>
        <v>12.583120000000001</v>
      </c>
      <c r="V202" s="239">
        <f t="shared" si="119"/>
        <v>10.263680000000001</v>
      </c>
    </row>
    <row r="203" spans="1:22">
      <c r="A203" s="109" t="s">
        <v>1682</v>
      </c>
      <c r="B203" s="109" t="s">
        <v>1666</v>
      </c>
      <c r="C203" s="118"/>
      <c r="D203" s="109" t="s">
        <v>1707</v>
      </c>
      <c r="E203" s="109" t="s">
        <v>1707</v>
      </c>
      <c r="F203" s="109" t="s">
        <v>1707</v>
      </c>
      <c r="G203" s="109" t="s">
        <v>1707</v>
      </c>
      <c r="H203" s="109" t="s">
        <v>1707</v>
      </c>
      <c r="I203" s="105"/>
      <c r="J203" s="105"/>
      <c r="K203" s="118"/>
      <c r="L203" s="173">
        <v>22</v>
      </c>
      <c r="N203" s="239">
        <f t="shared" ref="N203:N204" si="136">L203*$N$8</f>
        <v>4.1896800000000001</v>
      </c>
      <c r="O203" s="239">
        <f t="shared" ref="O203:O204" si="137">L203*$O$8</f>
        <v>2.2640199999999999</v>
      </c>
      <c r="P203" s="239">
        <f t="shared" ref="P203:P204" si="138">L203*$P$8</f>
        <v>1.62008</v>
      </c>
      <c r="Q203" s="239">
        <f t="shared" ref="Q203:Q204" si="139">L203*$Q$8</f>
        <v>1.2971200000000001</v>
      </c>
      <c r="R203" s="239"/>
      <c r="S203" s="239">
        <f t="shared" ref="S203:S204" si="140">L203*$S$8</f>
        <v>4.3216799999999997</v>
      </c>
      <c r="T203" s="239">
        <f t="shared" ref="T203:T204" si="141">L203*$T$8</f>
        <v>2.39602</v>
      </c>
      <c r="U203" s="239">
        <f t="shared" ref="U203:U204" si="142">L203*$U$8</f>
        <v>1.7520800000000001</v>
      </c>
      <c r="V203" s="239">
        <f t="shared" ref="V203:V204" si="143">L203*$V$8</f>
        <v>1.4291200000000002</v>
      </c>
    </row>
    <row r="204" spans="1:22" ht="25.5">
      <c r="A204" s="109" t="s">
        <v>329</v>
      </c>
      <c r="B204" s="109" t="s">
        <v>330</v>
      </c>
      <c r="C204" s="118"/>
      <c r="D204" s="109" t="s">
        <v>1711</v>
      </c>
      <c r="E204" s="109" t="s">
        <v>1711</v>
      </c>
      <c r="F204" s="109" t="s">
        <v>1711</v>
      </c>
      <c r="G204" s="109" t="s">
        <v>1711</v>
      </c>
      <c r="H204" s="109" t="s">
        <v>1711</v>
      </c>
      <c r="I204" s="105"/>
      <c r="J204" s="105"/>
      <c r="K204" s="118"/>
      <c r="L204" s="173">
        <v>52</v>
      </c>
      <c r="N204" s="239">
        <f t="shared" si="136"/>
        <v>9.9028799999999997</v>
      </c>
      <c r="O204" s="239">
        <f t="shared" si="137"/>
        <v>5.3513200000000003</v>
      </c>
      <c r="P204" s="239">
        <f t="shared" si="138"/>
        <v>3.8292799999999998</v>
      </c>
      <c r="Q204" s="239">
        <f t="shared" si="139"/>
        <v>3.0659199999999998</v>
      </c>
      <c r="R204" s="239"/>
      <c r="S204" s="239">
        <f t="shared" si="140"/>
        <v>10.214880000000001</v>
      </c>
      <c r="T204" s="239">
        <f t="shared" si="141"/>
        <v>5.6633200000000006</v>
      </c>
      <c r="U204" s="239">
        <f t="shared" si="142"/>
        <v>4.1412800000000001</v>
      </c>
      <c r="V204" s="239">
        <f t="shared" si="143"/>
        <v>3.37792</v>
      </c>
    </row>
    <row r="205" spans="1:22">
      <c r="A205" s="113"/>
      <c r="B205" s="114"/>
      <c r="C205" s="115"/>
      <c r="D205" s="116"/>
      <c r="E205" s="116"/>
      <c r="F205" s="116"/>
      <c r="G205" s="116"/>
      <c r="H205" s="116"/>
      <c r="I205" s="116"/>
      <c r="J205" s="116"/>
      <c r="K205" s="182"/>
      <c r="L205" s="173"/>
      <c r="N205" s="239"/>
      <c r="O205" s="239"/>
      <c r="P205" s="239"/>
      <c r="Q205" s="239"/>
      <c r="R205" s="239"/>
      <c r="S205" s="239"/>
      <c r="T205" s="239"/>
      <c r="U205" s="239"/>
      <c r="V205" s="239"/>
    </row>
    <row r="206" spans="1:22" s="13" customFormat="1" ht="20.25">
      <c r="A206" s="96" t="s">
        <v>577</v>
      </c>
      <c r="B206" s="96"/>
      <c r="C206" s="97"/>
      <c r="D206" s="98"/>
      <c r="E206" s="98"/>
      <c r="F206" s="98"/>
      <c r="G206" s="98"/>
      <c r="H206" s="98"/>
      <c r="I206" s="98"/>
      <c r="J206" s="98"/>
      <c r="K206" s="96"/>
      <c r="L206" s="98"/>
      <c r="N206" s="188" t="s">
        <v>1571</v>
      </c>
      <c r="O206" s="188"/>
      <c r="P206" s="188"/>
      <c r="Q206" s="188"/>
      <c r="R206" s="142"/>
      <c r="S206" s="188" t="s">
        <v>1572</v>
      </c>
      <c r="T206" s="188"/>
      <c r="U206" s="188"/>
      <c r="V206" s="188"/>
    </row>
    <row r="207" spans="1:22" s="13" customFormat="1" ht="87" customHeight="1">
      <c r="A207" s="14" t="s">
        <v>117</v>
      </c>
      <c r="B207" s="14" t="s">
        <v>118</v>
      </c>
      <c r="C207" s="14" t="s">
        <v>119</v>
      </c>
      <c r="D207" s="14"/>
      <c r="E207" s="14"/>
      <c r="F207" s="14"/>
      <c r="G207" s="14"/>
      <c r="H207" s="14"/>
      <c r="I207" s="14"/>
      <c r="J207" s="14"/>
      <c r="K207" s="14" t="s">
        <v>120</v>
      </c>
      <c r="L207" s="14" t="s">
        <v>1573</v>
      </c>
      <c r="N207" s="144" t="s">
        <v>1574</v>
      </c>
      <c r="O207" s="143" t="s">
        <v>1575</v>
      </c>
      <c r="P207" s="144" t="s">
        <v>1576</v>
      </c>
      <c r="Q207" s="144" t="s">
        <v>1577</v>
      </c>
      <c r="R207" s="142"/>
      <c r="S207" s="144" t="s">
        <v>1574</v>
      </c>
      <c r="T207" s="143" t="s">
        <v>1575</v>
      </c>
      <c r="U207" s="144" t="s">
        <v>1576</v>
      </c>
      <c r="V207" s="144" t="s">
        <v>1577</v>
      </c>
    </row>
    <row r="208" spans="1:22" ht="152.44999999999999" customHeight="1">
      <c r="A208" s="113" t="s">
        <v>578</v>
      </c>
      <c r="B208" s="114" t="s">
        <v>579</v>
      </c>
      <c r="C208" s="115"/>
      <c r="D208" s="116"/>
      <c r="E208" s="116"/>
      <c r="F208" s="116"/>
      <c r="G208" s="116"/>
      <c r="H208" s="116"/>
      <c r="I208" s="116"/>
      <c r="J208" s="116"/>
      <c r="K208" s="182"/>
      <c r="L208" s="173">
        <v>548</v>
      </c>
      <c r="N208" s="239">
        <f t="shared" si="112"/>
        <v>104.36112</v>
      </c>
      <c r="O208" s="239">
        <f t="shared" si="113"/>
        <v>56.394680000000001</v>
      </c>
      <c r="P208" s="239">
        <f t="shared" si="114"/>
        <v>40.35472</v>
      </c>
      <c r="Q208" s="239">
        <f t="shared" si="115"/>
        <v>32.310079999999999</v>
      </c>
      <c r="R208" s="239"/>
      <c r="S208" s="239">
        <f t="shared" si="116"/>
        <v>107.64912</v>
      </c>
      <c r="T208" s="239">
        <f t="shared" si="117"/>
        <v>59.682680000000005</v>
      </c>
      <c r="U208" s="239">
        <f t="shared" si="118"/>
        <v>43.642720000000004</v>
      </c>
      <c r="V208" s="239">
        <f t="shared" si="119"/>
        <v>35.598080000000003</v>
      </c>
    </row>
    <row r="209" spans="1:22" ht="13.5" customHeight="1">
      <c r="A209" s="113"/>
      <c r="B209" s="114"/>
      <c r="C209" s="115"/>
      <c r="D209" s="116"/>
      <c r="E209" s="116"/>
      <c r="F209" s="116"/>
      <c r="G209" s="116"/>
      <c r="H209" s="116"/>
      <c r="I209" s="116"/>
      <c r="J209" s="116"/>
      <c r="K209" s="182"/>
      <c r="L209" s="173"/>
      <c r="N209" s="239"/>
      <c r="O209" s="239"/>
      <c r="P209" s="239"/>
      <c r="Q209" s="239"/>
      <c r="R209" s="239"/>
      <c r="S209" s="239"/>
      <c r="T209" s="239"/>
      <c r="U209" s="239"/>
      <c r="V209" s="239"/>
    </row>
    <row r="210" spans="1:22" ht="142.5" customHeight="1">
      <c r="A210" s="113" t="s">
        <v>580</v>
      </c>
      <c r="B210" s="114" t="s">
        <v>581</v>
      </c>
      <c r="C210" s="115"/>
      <c r="D210" s="116"/>
      <c r="E210" s="116"/>
      <c r="F210" s="116"/>
      <c r="G210" s="116"/>
      <c r="H210" s="116"/>
      <c r="I210" s="116"/>
      <c r="J210" s="116"/>
      <c r="K210" s="182"/>
      <c r="L210" s="173">
        <v>531</v>
      </c>
      <c r="N210" s="239">
        <f t="shared" si="112"/>
        <v>101.12363999999999</v>
      </c>
      <c r="O210" s="239">
        <f t="shared" si="113"/>
        <v>54.645209999999999</v>
      </c>
      <c r="P210" s="239">
        <f t="shared" si="114"/>
        <v>39.10284</v>
      </c>
      <c r="Q210" s="239">
        <f t="shared" si="115"/>
        <v>31.307759999999998</v>
      </c>
      <c r="R210" s="239"/>
      <c r="S210" s="239">
        <f t="shared" si="116"/>
        <v>104.30964</v>
      </c>
      <c r="T210" s="239">
        <f t="shared" si="117"/>
        <v>57.831210000000006</v>
      </c>
      <c r="U210" s="239">
        <f t="shared" si="118"/>
        <v>42.28884</v>
      </c>
      <c r="V210" s="239">
        <f t="shared" si="119"/>
        <v>34.493760000000002</v>
      </c>
    </row>
    <row r="211" spans="1:22" ht="14.25" customHeight="1">
      <c r="A211" s="113"/>
      <c r="B211" s="114"/>
      <c r="C211" s="115"/>
      <c r="D211" s="116"/>
      <c r="E211" s="116"/>
      <c r="F211" s="116"/>
      <c r="G211" s="116"/>
      <c r="H211" s="116"/>
      <c r="I211" s="116"/>
      <c r="J211" s="116"/>
      <c r="K211" s="182"/>
      <c r="L211" s="173"/>
      <c r="N211" s="239"/>
      <c r="O211" s="239"/>
      <c r="P211" s="239"/>
      <c r="Q211" s="239"/>
      <c r="R211" s="239"/>
      <c r="S211" s="239"/>
      <c r="T211" s="239"/>
      <c r="U211" s="239"/>
      <c r="V211" s="239"/>
    </row>
    <row r="212" spans="1:22" ht="161.25" customHeight="1">
      <c r="A212" s="113" t="s">
        <v>582</v>
      </c>
      <c r="B212" s="114" t="s">
        <v>583</v>
      </c>
      <c r="C212" s="115"/>
      <c r="D212" s="116"/>
      <c r="E212" s="116"/>
      <c r="F212" s="116"/>
      <c r="G212" s="116"/>
      <c r="H212" s="116"/>
      <c r="I212" s="116"/>
      <c r="J212" s="116"/>
      <c r="K212" s="182"/>
      <c r="L212" s="173">
        <v>548</v>
      </c>
      <c r="N212" s="239">
        <f t="shared" ref="N212:N269" si="144">L212*$N$8</f>
        <v>104.36112</v>
      </c>
      <c r="O212" s="239">
        <f t="shared" ref="O212:O269" si="145">L212*$O$8</f>
        <v>56.394680000000001</v>
      </c>
      <c r="P212" s="239">
        <f t="shared" ref="P212:P269" si="146">L212*$P$8</f>
        <v>40.35472</v>
      </c>
      <c r="Q212" s="239">
        <f t="shared" ref="Q212:Q269" si="147">L212*$Q$8</f>
        <v>32.310079999999999</v>
      </c>
      <c r="R212" s="239"/>
      <c r="S212" s="239">
        <f t="shared" ref="S212:S269" si="148">L212*$S$8</f>
        <v>107.64912</v>
      </c>
      <c r="T212" s="239">
        <f t="shared" ref="T212:T269" si="149">L212*$T$8</f>
        <v>59.682680000000005</v>
      </c>
      <c r="U212" s="239">
        <f t="shared" ref="U212:U269" si="150">L212*$U$8</f>
        <v>43.642720000000004</v>
      </c>
      <c r="V212" s="239">
        <f t="shared" ref="V212:V269" si="151">L212*$V$8</f>
        <v>35.598080000000003</v>
      </c>
    </row>
    <row r="213" spans="1:22" ht="14.45" customHeight="1">
      <c r="A213" s="113"/>
      <c r="B213" s="114"/>
      <c r="C213" s="115"/>
      <c r="D213" s="116"/>
      <c r="E213" s="116"/>
      <c r="F213" s="116"/>
      <c r="G213" s="116"/>
      <c r="H213" s="116"/>
      <c r="I213" s="116"/>
      <c r="J213" s="116"/>
      <c r="K213" s="182"/>
      <c r="L213" s="173"/>
      <c r="N213" s="239"/>
      <c r="O213" s="239"/>
      <c r="P213" s="239"/>
      <c r="Q213" s="239"/>
      <c r="R213" s="239"/>
      <c r="S213" s="239"/>
      <c r="T213" s="239"/>
      <c r="U213" s="239"/>
      <c r="V213" s="239"/>
    </row>
    <row r="214" spans="1:22" ht="146.44999999999999" customHeight="1">
      <c r="A214" s="113" t="s">
        <v>584</v>
      </c>
      <c r="B214" s="114" t="s">
        <v>585</v>
      </c>
      <c r="C214" s="115"/>
      <c r="D214" s="116"/>
      <c r="E214" s="116"/>
      <c r="F214" s="116"/>
      <c r="G214" s="116"/>
      <c r="H214" s="116"/>
      <c r="I214" s="116"/>
      <c r="J214" s="116"/>
      <c r="K214" s="182"/>
      <c r="L214" s="173">
        <v>531</v>
      </c>
      <c r="N214" s="239">
        <f t="shared" si="144"/>
        <v>101.12363999999999</v>
      </c>
      <c r="O214" s="239">
        <f t="shared" si="145"/>
        <v>54.645209999999999</v>
      </c>
      <c r="P214" s="239">
        <f t="shared" si="146"/>
        <v>39.10284</v>
      </c>
      <c r="Q214" s="239">
        <f t="shared" si="147"/>
        <v>31.307759999999998</v>
      </c>
      <c r="R214" s="239"/>
      <c r="S214" s="239">
        <f t="shared" si="148"/>
        <v>104.30964</v>
      </c>
      <c r="T214" s="239">
        <f t="shared" si="149"/>
        <v>57.831210000000006</v>
      </c>
      <c r="U214" s="239">
        <f t="shared" si="150"/>
        <v>42.28884</v>
      </c>
      <c r="V214" s="239">
        <f t="shared" si="151"/>
        <v>34.493760000000002</v>
      </c>
    </row>
    <row r="215" spans="1:22">
      <c r="A215" s="113"/>
      <c r="B215" s="114"/>
      <c r="C215" s="115"/>
      <c r="D215" s="116"/>
      <c r="E215" s="116"/>
      <c r="F215" s="116"/>
      <c r="G215" s="116"/>
      <c r="H215" s="116"/>
      <c r="I215" s="116"/>
      <c r="J215" s="116"/>
      <c r="K215" s="182"/>
      <c r="L215" s="173"/>
      <c r="N215" s="239"/>
      <c r="O215" s="239"/>
      <c r="P215" s="239"/>
      <c r="Q215" s="239"/>
      <c r="R215" s="239"/>
      <c r="S215" s="239"/>
      <c r="T215" s="239"/>
      <c r="U215" s="239"/>
      <c r="V215" s="239"/>
    </row>
    <row r="216" spans="1:22" ht="141.94999999999999" customHeight="1">
      <c r="A216" s="109" t="s">
        <v>1583</v>
      </c>
      <c r="B216" s="114" t="s">
        <v>587</v>
      </c>
      <c r="C216" s="115"/>
      <c r="D216" s="116"/>
      <c r="E216" s="116"/>
      <c r="F216" s="116"/>
      <c r="G216" s="116"/>
      <c r="H216" s="116"/>
      <c r="I216" s="116"/>
      <c r="J216" s="116"/>
      <c r="K216" s="182"/>
      <c r="L216" s="173">
        <v>556</v>
      </c>
      <c r="N216" s="239">
        <f t="shared" si="144"/>
        <v>105.88464</v>
      </c>
      <c r="O216" s="239">
        <f t="shared" si="145"/>
        <v>57.217959999999998</v>
      </c>
      <c r="P216" s="239">
        <f t="shared" si="146"/>
        <v>40.943840000000002</v>
      </c>
      <c r="Q216" s="239">
        <f t="shared" si="147"/>
        <v>32.781759999999998</v>
      </c>
      <c r="R216" s="239"/>
      <c r="S216" s="239">
        <f t="shared" si="148"/>
        <v>109.22064</v>
      </c>
      <c r="T216" s="239">
        <f t="shared" si="149"/>
        <v>60.553960000000004</v>
      </c>
      <c r="U216" s="239">
        <f t="shared" si="150"/>
        <v>44.27984</v>
      </c>
      <c r="V216" s="239">
        <f t="shared" si="151"/>
        <v>36.117760000000004</v>
      </c>
    </row>
    <row r="217" spans="1:22" ht="12.75" customHeight="1">
      <c r="A217" s="113"/>
      <c r="B217" s="114"/>
      <c r="C217" s="115"/>
      <c r="D217" s="116"/>
      <c r="E217" s="116"/>
      <c r="F217" s="116"/>
      <c r="G217" s="116"/>
      <c r="H217" s="116"/>
      <c r="I217" s="116"/>
      <c r="J217" s="116"/>
      <c r="K217" s="182"/>
      <c r="L217" s="173"/>
      <c r="N217" s="239"/>
      <c r="O217" s="239"/>
      <c r="P217" s="239"/>
      <c r="Q217" s="239"/>
      <c r="R217" s="239"/>
      <c r="S217" s="239"/>
      <c r="T217" s="239"/>
      <c r="U217" s="239"/>
      <c r="V217" s="239"/>
    </row>
    <row r="218" spans="1:22" ht="150.94999999999999" customHeight="1">
      <c r="A218" s="113" t="s">
        <v>1584</v>
      </c>
      <c r="B218" s="114" t="s">
        <v>589</v>
      </c>
      <c r="C218" s="115"/>
      <c r="D218" s="116"/>
      <c r="E218" s="116"/>
      <c r="F218" s="116"/>
      <c r="G218" s="116"/>
      <c r="H218" s="116"/>
      <c r="I218" s="116"/>
      <c r="J218" s="116"/>
      <c r="K218" s="182"/>
      <c r="L218" s="173">
        <v>537</v>
      </c>
      <c r="N218" s="239">
        <f t="shared" si="144"/>
        <v>102.26627999999999</v>
      </c>
      <c r="O218" s="239">
        <f t="shared" si="145"/>
        <v>55.26267</v>
      </c>
      <c r="P218" s="239">
        <f t="shared" si="146"/>
        <v>39.54468</v>
      </c>
      <c r="Q218" s="239">
        <f t="shared" si="147"/>
        <v>31.661519999999999</v>
      </c>
      <c r="R218" s="239"/>
      <c r="S218" s="239">
        <f t="shared" si="148"/>
        <v>105.48828</v>
      </c>
      <c r="T218" s="239">
        <f t="shared" si="149"/>
        <v>58.484670000000001</v>
      </c>
      <c r="U218" s="239">
        <f t="shared" si="150"/>
        <v>42.766680000000001</v>
      </c>
      <c r="V218" s="239">
        <f t="shared" si="151"/>
        <v>34.883520000000004</v>
      </c>
    </row>
    <row r="219" spans="1:22">
      <c r="A219" s="113"/>
      <c r="B219" s="114"/>
      <c r="C219" s="115"/>
      <c r="D219" s="116"/>
      <c r="E219" s="116"/>
      <c r="F219" s="116"/>
      <c r="G219" s="116"/>
      <c r="H219" s="116"/>
      <c r="I219" s="116"/>
      <c r="J219" s="116"/>
      <c r="K219" s="182"/>
      <c r="L219" s="173"/>
      <c r="N219" s="239"/>
      <c r="O219" s="239"/>
      <c r="P219" s="239"/>
      <c r="Q219" s="239"/>
      <c r="R219" s="239"/>
      <c r="S219" s="239"/>
      <c r="T219" s="239"/>
      <c r="U219" s="239"/>
      <c r="V219" s="239"/>
    </row>
    <row r="220" spans="1:22" ht="25.5">
      <c r="A220" s="15" t="s">
        <v>590</v>
      </c>
      <c r="B220" s="14" t="s">
        <v>338</v>
      </c>
      <c r="C220" s="14" t="s">
        <v>119</v>
      </c>
      <c r="D220" s="14" t="s">
        <v>591</v>
      </c>
      <c r="E220" s="14" t="s">
        <v>592</v>
      </c>
      <c r="F220" s="14" t="s">
        <v>593</v>
      </c>
      <c r="G220" s="14" t="s">
        <v>594</v>
      </c>
      <c r="H220" s="14" t="s">
        <v>595</v>
      </c>
      <c r="I220" s="14" t="s">
        <v>596</v>
      </c>
      <c r="J220" s="14"/>
      <c r="K220" s="14" t="s">
        <v>120</v>
      </c>
      <c r="L220" s="175" t="s">
        <v>938</v>
      </c>
      <c r="N220" s="144" t="s">
        <v>1574</v>
      </c>
      <c r="O220" s="143" t="s">
        <v>1575</v>
      </c>
      <c r="P220" s="144" t="s">
        <v>1576</v>
      </c>
      <c r="Q220" s="144" t="s">
        <v>1577</v>
      </c>
      <c r="R220" s="142"/>
      <c r="S220" s="144" t="s">
        <v>1574</v>
      </c>
      <c r="T220" s="143" t="s">
        <v>1575</v>
      </c>
      <c r="U220" s="144" t="s">
        <v>1576</v>
      </c>
      <c r="V220" s="144" t="s">
        <v>1577</v>
      </c>
    </row>
    <row r="221" spans="1:22">
      <c r="A221" s="89" t="s">
        <v>597</v>
      </c>
      <c r="B221" s="90"/>
      <c r="C221" s="90"/>
      <c r="D221" s="91"/>
      <c r="E221" s="91"/>
      <c r="F221" s="91"/>
      <c r="G221" s="91"/>
      <c r="H221" s="91"/>
      <c r="I221" s="91"/>
      <c r="J221" s="91"/>
      <c r="K221" s="90"/>
      <c r="L221" s="168"/>
      <c r="N221" s="238"/>
      <c r="O221" s="238"/>
      <c r="P221" s="238"/>
      <c r="Q221" s="238"/>
      <c r="R221" s="238"/>
      <c r="S221" s="238"/>
      <c r="T221" s="238"/>
      <c r="U221" s="238"/>
      <c r="V221" s="238"/>
    </row>
    <row r="222" spans="1:22" ht="38.25">
      <c r="A222" s="109" t="s">
        <v>598</v>
      </c>
      <c r="B222" s="63" t="s">
        <v>599</v>
      </c>
      <c r="C222" s="118" t="s">
        <v>350</v>
      </c>
      <c r="D222" s="64" t="s">
        <v>600</v>
      </c>
      <c r="E222" s="64"/>
      <c r="F222" s="64" t="s">
        <v>601</v>
      </c>
      <c r="G222" s="64"/>
      <c r="H222" s="64" t="s">
        <v>602</v>
      </c>
      <c r="I222" s="105"/>
      <c r="J222" s="105"/>
      <c r="K222" s="118"/>
      <c r="L222" s="173">
        <v>108</v>
      </c>
      <c r="N222" s="239">
        <f t="shared" si="144"/>
        <v>20.567519999999998</v>
      </c>
      <c r="O222" s="239">
        <f t="shared" si="145"/>
        <v>11.114280000000001</v>
      </c>
      <c r="P222" s="239">
        <f t="shared" si="146"/>
        <v>7.9531199999999993</v>
      </c>
      <c r="Q222" s="239">
        <f t="shared" si="147"/>
        <v>6.36768</v>
      </c>
      <c r="R222" s="239"/>
      <c r="S222" s="239">
        <f t="shared" si="148"/>
        <v>21.215520000000001</v>
      </c>
      <c r="T222" s="239">
        <f t="shared" si="149"/>
        <v>11.762280000000001</v>
      </c>
      <c r="U222" s="239">
        <f t="shared" si="150"/>
        <v>8.6011199999999999</v>
      </c>
      <c r="V222" s="239">
        <f t="shared" si="151"/>
        <v>7.0156800000000006</v>
      </c>
    </row>
    <row r="223" spans="1:22">
      <c r="A223" s="109" t="s">
        <v>603</v>
      </c>
      <c r="B223" s="63" t="s">
        <v>604</v>
      </c>
      <c r="C223" s="118" t="s">
        <v>350</v>
      </c>
      <c r="D223" s="64" t="s">
        <v>605</v>
      </c>
      <c r="E223" s="64"/>
      <c r="F223" s="64"/>
      <c r="G223" s="64"/>
      <c r="H223" s="64"/>
      <c r="I223" s="105"/>
      <c r="J223" s="105"/>
      <c r="K223" s="118"/>
      <c r="L223" s="173">
        <v>188</v>
      </c>
      <c r="N223" s="239">
        <f t="shared" si="144"/>
        <v>35.802720000000001</v>
      </c>
      <c r="O223" s="239">
        <f t="shared" si="145"/>
        <v>19.347080000000002</v>
      </c>
      <c r="P223" s="239">
        <f t="shared" si="146"/>
        <v>13.84432</v>
      </c>
      <c r="Q223" s="239">
        <f t="shared" si="147"/>
        <v>11.084479999999999</v>
      </c>
      <c r="R223" s="239"/>
      <c r="S223" s="239">
        <f t="shared" si="148"/>
        <v>36.930720000000001</v>
      </c>
      <c r="T223" s="239">
        <f t="shared" si="149"/>
        <v>20.475080000000002</v>
      </c>
      <c r="U223" s="239">
        <f t="shared" si="150"/>
        <v>14.97232</v>
      </c>
      <c r="V223" s="239">
        <f t="shared" si="151"/>
        <v>12.212480000000001</v>
      </c>
    </row>
    <row r="224" spans="1:22" ht="27.6" customHeight="1">
      <c r="A224" s="109" t="s">
        <v>606</v>
      </c>
      <c r="B224" s="63" t="s">
        <v>607</v>
      </c>
      <c r="C224" s="118" t="s">
        <v>350</v>
      </c>
      <c r="D224" s="64" t="s">
        <v>608</v>
      </c>
      <c r="E224" s="64"/>
      <c r="F224" s="64" t="s">
        <v>609</v>
      </c>
      <c r="G224" s="64"/>
      <c r="H224" s="64" t="s">
        <v>610</v>
      </c>
      <c r="I224" s="105"/>
      <c r="J224" s="105"/>
      <c r="K224" s="118"/>
      <c r="L224" s="173">
        <v>119</v>
      </c>
      <c r="N224" s="239">
        <f t="shared" si="144"/>
        <v>22.66236</v>
      </c>
      <c r="O224" s="239">
        <f t="shared" si="145"/>
        <v>12.24629</v>
      </c>
      <c r="P224" s="239">
        <f t="shared" si="146"/>
        <v>8.7631599999999992</v>
      </c>
      <c r="Q224" s="239">
        <f t="shared" si="147"/>
        <v>7.0162399999999998</v>
      </c>
      <c r="R224" s="239"/>
      <c r="S224" s="239">
        <f t="shared" si="148"/>
        <v>23.376360000000002</v>
      </c>
      <c r="T224" s="239">
        <f t="shared" si="149"/>
        <v>12.960290000000001</v>
      </c>
      <c r="U224" s="239">
        <f t="shared" si="150"/>
        <v>9.4771599999999996</v>
      </c>
      <c r="V224" s="239">
        <f t="shared" si="151"/>
        <v>7.7302400000000002</v>
      </c>
    </row>
    <row r="225" spans="1:22">
      <c r="A225" s="109" t="s">
        <v>71</v>
      </c>
      <c r="B225" s="63" t="s">
        <v>611</v>
      </c>
      <c r="C225" s="118" t="s">
        <v>350</v>
      </c>
      <c r="D225" s="64" t="s">
        <v>612</v>
      </c>
      <c r="E225" s="64"/>
      <c r="F225" s="64"/>
      <c r="G225" s="64"/>
      <c r="H225" s="64"/>
      <c r="I225" s="105"/>
      <c r="J225" s="105"/>
      <c r="K225" s="118"/>
      <c r="L225" s="173">
        <v>199</v>
      </c>
      <c r="N225" s="239">
        <f t="shared" si="144"/>
        <v>37.897559999999999</v>
      </c>
      <c r="O225" s="239">
        <f t="shared" si="145"/>
        <v>20.479089999999999</v>
      </c>
      <c r="P225" s="239">
        <f t="shared" si="146"/>
        <v>14.654359999999999</v>
      </c>
      <c r="Q225" s="239">
        <f t="shared" si="147"/>
        <v>11.733039999999999</v>
      </c>
      <c r="R225" s="239"/>
      <c r="S225" s="239">
        <f t="shared" si="148"/>
        <v>39.091560000000001</v>
      </c>
      <c r="T225" s="239">
        <f t="shared" si="149"/>
        <v>21.673090000000002</v>
      </c>
      <c r="U225" s="239">
        <f t="shared" si="150"/>
        <v>15.848360000000001</v>
      </c>
      <c r="V225" s="239">
        <f t="shared" si="151"/>
        <v>12.927040000000002</v>
      </c>
    </row>
    <row r="226" spans="1:22" ht="25.5">
      <c r="A226" s="109" t="s">
        <v>613</v>
      </c>
      <c r="B226" s="109" t="s">
        <v>614</v>
      </c>
      <c r="C226" s="118" t="s">
        <v>350</v>
      </c>
      <c r="D226" s="105"/>
      <c r="E226" s="105"/>
      <c r="F226" s="105" t="s">
        <v>615</v>
      </c>
      <c r="G226" s="105"/>
      <c r="H226" s="105" t="s">
        <v>616</v>
      </c>
      <c r="I226" s="105"/>
      <c r="J226" s="105"/>
      <c r="K226" s="118"/>
      <c r="L226" s="173">
        <v>254</v>
      </c>
      <c r="N226" s="239">
        <f t="shared" si="144"/>
        <v>48.371760000000002</v>
      </c>
      <c r="O226" s="239">
        <f t="shared" si="145"/>
        <v>26.139140000000001</v>
      </c>
      <c r="P226" s="239">
        <f t="shared" si="146"/>
        <v>18.704560000000001</v>
      </c>
      <c r="Q226" s="239">
        <f t="shared" si="147"/>
        <v>14.97584</v>
      </c>
      <c r="R226" s="239"/>
      <c r="S226" s="239">
        <f t="shared" si="148"/>
        <v>49.895760000000003</v>
      </c>
      <c r="T226" s="239">
        <f t="shared" si="149"/>
        <v>27.663140000000002</v>
      </c>
      <c r="U226" s="239">
        <f t="shared" si="150"/>
        <v>20.228560000000002</v>
      </c>
      <c r="V226" s="239">
        <f t="shared" si="151"/>
        <v>16.499840000000003</v>
      </c>
    </row>
    <row r="227" spans="1:22">
      <c r="A227" s="113"/>
      <c r="B227" s="114"/>
      <c r="C227" s="115"/>
      <c r="D227" s="116"/>
      <c r="E227" s="116"/>
      <c r="F227" s="116"/>
      <c r="G227" s="116"/>
      <c r="H227" s="116"/>
      <c r="I227" s="116"/>
      <c r="J227" s="116"/>
      <c r="K227" s="182"/>
      <c r="L227" s="173"/>
      <c r="N227" s="239"/>
      <c r="O227" s="239"/>
      <c r="P227" s="239"/>
      <c r="Q227" s="239"/>
      <c r="R227" s="239"/>
      <c r="S227" s="239"/>
      <c r="T227" s="239"/>
      <c r="U227" s="239"/>
      <c r="V227" s="239"/>
    </row>
    <row r="228" spans="1:22">
      <c r="A228" s="89" t="s">
        <v>617</v>
      </c>
      <c r="B228" s="90"/>
      <c r="C228" s="90"/>
      <c r="D228" s="91"/>
      <c r="E228" s="91"/>
      <c r="F228" s="91"/>
      <c r="G228" s="91"/>
      <c r="H228" s="91"/>
      <c r="I228" s="91"/>
      <c r="J228" s="91"/>
      <c r="K228" s="90"/>
      <c r="L228" s="168"/>
      <c r="N228" s="238"/>
      <c r="O228" s="238"/>
      <c r="P228" s="238"/>
      <c r="Q228" s="238"/>
      <c r="R228" s="238"/>
      <c r="S228" s="238"/>
      <c r="T228" s="238"/>
      <c r="U228" s="238"/>
      <c r="V228" s="238"/>
    </row>
    <row r="229" spans="1:22" ht="38.25">
      <c r="A229" s="109" t="s">
        <v>77</v>
      </c>
      <c r="B229" s="109" t="s">
        <v>618</v>
      </c>
      <c r="C229" s="118"/>
      <c r="D229" s="118"/>
      <c r="E229" s="234" t="s">
        <v>619</v>
      </c>
      <c r="F229" s="118"/>
      <c r="G229" s="118" t="s">
        <v>620</v>
      </c>
      <c r="H229" s="118"/>
      <c r="I229" s="118" t="s">
        <v>621</v>
      </c>
      <c r="J229" s="118"/>
      <c r="K229" s="118"/>
      <c r="L229" s="173">
        <v>95</v>
      </c>
      <c r="N229" s="239">
        <f t="shared" si="144"/>
        <v>18.091799999999999</v>
      </c>
      <c r="O229" s="239">
        <f t="shared" si="145"/>
        <v>9.7764500000000005</v>
      </c>
      <c r="P229" s="239">
        <f t="shared" si="146"/>
        <v>6.9958</v>
      </c>
      <c r="Q229" s="239">
        <f t="shared" si="147"/>
        <v>5.6011999999999995</v>
      </c>
      <c r="R229" s="239"/>
      <c r="S229" s="239">
        <f t="shared" si="148"/>
        <v>18.661799999999999</v>
      </c>
      <c r="T229" s="239">
        <f t="shared" si="149"/>
        <v>10.346450000000001</v>
      </c>
      <c r="U229" s="239">
        <f t="shared" si="150"/>
        <v>7.5658000000000003</v>
      </c>
      <c r="V229" s="239">
        <f t="shared" si="151"/>
        <v>6.1712000000000007</v>
      </c>
    </row>
    <row r="230" spans="1:22">
      <c r="A230" s="109" t="s">
        <v>78</v>
      </c>
      <c r="B230" s="109" t="s">
        <v>622</v>
      </c>
      <c r="C230" s="118"/>
      <c r="D230" s="118"/>
      <c r="E230" s="234" t="s">
        <v>623</v>
      </c>
      <c r="F230" s="118"/>
      <c r="G230" s="118"/>
      <c r="H230" s="118"/>
      <c r="I230" s="118"/>
      <c r="J230" s="118"/>
      <c r="K230" s="118"/>
      <c r="L230" s="173">
        <v>175</v>
      </c>
      <c r="N230" s="239">
        <f t="shared" si="144"/>
        <v>33.326999999999998</v>
      </c>
      <c r="O230" s="239">
        <f t="shared" si="145"/>
        <v>18.009250000000002</v>
      </c>
      <c r="P230" s="239">
        <f t="shared" si="146"/>
        <v>12.886999999999999</v>
      </c>
      <c r="Q230" s="239">
        <f t="shared" si="147"/>
        <v>10.318</v>
      </c>
      <c r="R230" s="239"/>
      <c r="S230" s="239">
        <f t="shared" si="148"/>
        <v>34.377000000000002</v>
      </c>
      <c r="T230" s="239">
        <f t="shared" si="149"/>
        <v>19.059250000000002</v>
      </c>
      <c r="U230" s="239">
        <f t="shared" si="150"/>
        <v>13.937000000000001</v>
      </c>
      <c r="V230" s="239">
        <f t="shared" si="151"/>
        <v>11.368</v>
      </c>
    </row>
    <row r="231" spans="1:22">
      <c r="A231" s="113"/>
      <c r="B231" s="114"/>
      <c r="C231" s="115"/>
      <c r="D231" s="116"/>
      <c r="E231" s="116"/>
      <c r="F231" s="116"/>
      <c r="G231" s="116"/>
      <c r="H231" s="116"/>
      <c r="I231" s="116"/>
      <c r="J231" s="116"/>
      <c r="K231" s="182"/>
      <c r="L231" s="173"/>
      <c r="N231" s="239"/>
      <c r="O231" s="239"/>
      <c r="P231" s="239"/>
      <c r="Q231" s="239"/>
      <c r="R231" s="239"/>
      <c r="S231" s="239"/>
      <c r="T231" s="239"/>
      <c r="U231" s="239"/>
      <c r="V231" s="239"/>
    </row>
    <row r="232" spans="1:22">
      <c r="A232" s="89" t="s">
        <v>441</v>
      </c>
      <c r="B232" s="90"/>
      <c r="C232" s="90"/>
      <c r="D232" s="91"/>
      <c r="E232" s="91"/>
      <c r="F232" s="91"/>
      <c r="G232" s="91"/>
      <c r="H232" s="91"/>
      <c r="I232" s="91"/>
      <c r="J232" s="91"/>
      <c r="K232" s="90"/>
      <c r="L232" s="168"/>
      <c r="N232" s="238"/>
      <c r="O232" s="238"/>
      <c r="P232" s="238"/>
      <c r="Q232" s="238"/>
      <c r="R232" s="238"/>
      <c r="S232" s="238"/>
      <c r="T232" s="238"/>
      <c r="U232" s="238"/>
      <c r="V232" s="238"/>
    </row>
    <row r="233" spans="1:22">
      <c r="A233" s="109" t="s">
        <v>624</v>
      </c>
      <c r="B233" s="109" t="s">
        <v>625</v>
      </c>
      <c r="C233" s="118"/>
      <c r="D233" s="105"/>
      <c r="E233" s="105"/>
      <c r="F233" s="105" t="s">
        <v>626</v>
      </c>
      <c r="G233" s="105" t="s">
        <v>627</v>
      </c>
      <c r="H233" s="105" t="s">
        <v>628</v>
      </c>
      <c r="I233" s="105" t="s">
        <v>629</v>
      </c>
      <c r="J233" s="105"/>
      <c r="K233" s="118"/>
      <c r="L233" s="173">
        <v>3</v>
      </c>
      <c r="N233" s="239">
        <f t="shared" si="144"/>
        <v>0.57132000000000005</v>
      </c>
      <c r="O233" s="239">
        <f t="shared" si="145"/>
        <v>0.30873</v>
      </c>
      <c r="P233" s="239">
        <f t="shared" si="146"/>
        <v>0.22092000000000001</v>
      </c>
      <c r="Q233" s="239">
        <f t="shared" si="147"/>
        <v>0.17687999999999998</v>
      </c>
      <c r="R233" s="239"/>
      <c r="S233" s="239">
        <f t="shared" si="148"/>
        <v>0.58932000000000007</v>
      </c>
      <c r="T233" s="239">
        <f t="shared" si="149"/>
        <v>0.32673000000000002</v>
      </c>
      <c r="U233" s="239">
        <f t="shared" si="150"/>
        <v>0.23892000000000002</v>
      </c>
      <c r="V233" s="239">
        <f t="shared" si="151"/>
        <v>0.19488</v>
      </c>
    </row>
    <row r="234" spans="1:22">
      <c r="A234" s="109" t="s">
        <v>630</v>
      </c>
      <c r="B234" s="109" t="s">
        <v>631</v>
      </c>
      <c r="C234" s="118"/>
      <c r="D234" s="105"/>
      <c r="E234" s="105"/>
      <c r="F234" s="105" t="s">
        <v>632</v>
      </c>
      <c r="G234" s="105" t="s">
        <v>633</v>
      </c>
      <c r="H234" s="105" t="s">
        <v>634</v>
      </c>
      <c r="I234" s="105" t="s">
        <v>635</v>
      </c>
      <c r="J234" s="105"/>
      <c r="K234" s="118"/>
      <c r="L234" s="173">
        <v>80</v>
      </c>
      <c r="N234" s="239">
        <f t="shared" si="144"/>
        <v>15.235199999999999</v>
      </c>
      <c r="O234" s="239">
        <f t="shared" si="145"/>
        <v>8.232800000000001</v>
      </c>
      <c r="P234" s="239">
        <f t="shared" si="146"/>
        <v>5.8911999999999995</v>
      </c>
      <c r="Q234" s="239">
        <f t="shared" si="147"/>
        <v>4.7168000000000001</v>
      </c>
      <c r="R234" s="239"/>
      <c r="S234" s="239">
        <f t="shared" si="148"/>
        <v>15.715199999999999</v>
      </c>
      <c r="T234" s="239">
        <f t="shared" si="149"/>
        <v>8.7128000000000014</v>
      </c>
      <c r="U234" s="239">
        <f t="shared" si="150"/>
        <v>6.3712</v>
      </c>
      <c r="V234" s="239">
        <f t="shared" si="151"/>
        <v>5.1968000000000005</v>
      </c>
    </row>
    <row r="235" spans="1:22">
      <c r="A235" s="109" t="s">
        <v>636</v>
      </c>
      <c r="B235" s="109" t="s">
        <v>637</v>
      </c>
      <c r="C235" s="118"/>
      <c r="D235" s="105"/>
      <c r="E235" s="105"/>
      <c r="F235" s="105" t="s">
        <v>638</v>
      </c>
      <c r="G235" s="105" t="s">
        <v>639</v>
      </c>
      <c r="H235" s="105" t="s">
        <v>640</v>
      </c>
      <c r="I235" s="105" t="s">
        <v>641</v>
      </c>
      <c r="J235" s="105"/>
      <c r="K235" s="118"/>
      <c r="L235" s="173">
        <v>179</v>
      </c>
      <c r="N235" s="239">
        <f t="shared" si="144"/>
        <v>34.088760000000001</v>
      </c>
      <c r="O235" s="239">
        <f t="shared" si="145"/>
        <v>18.42089</v>
      </c>
      <c r="P235" s="239">
        <f t="shared" si="146"/>
        <v>13.181559999999999</v>
      </c>
      <c r="Q235" s="239">
        <f t="shared" si="147"/>
        <v>10.553839999999999</v>
      </c>
      <c r="R235" s="239"/>
      <c r="S235" s="239">
        <f t="shared" si="148"/>
        <v>35.162759999999999</v>
      </c>
      <c r="T235" s="239">
        <f t="shared" si="149"/>
        <v>19.494890000000002</v>
      </c>
      <c r="U235" s="239">
        <f t="shared" si="150"/>
        <v>14.255560000000001</v>
      </c>
      <c r="V235" s="239">
        <f t="shared" si="151"/>
        <v>11.627840000000001</v>
      </c>
    </row>
    <row r="236" spans="1:22">
      <c r="A236" s="113"/>
      <c r="B236" s="114"/>
      <c r="C236" s="115"/>
      <c r="D236" s="116"/>
      <c r="E236" s="116"/>
      <c r="F236" s="116"/>
      <c r="G236" s="116"/>
      <c r="H236" s="116"/>
      <c r="I236" s="116"/>
      <c r="J236" s="116"/>
      <c r="K236" s="182"/>
      <c r="L236" s="173"/>
      <c r="N236" s="239"/>
      <c r="O236" s="239"/>
      <c r="P236" s="239"/>
      <c r="Q236" s="239"/>
      <c r="R236" s="239"/>
      <c r="S236" s="239"/>
      <c r="T236" s="239"/>
      <c r="U236" s="239"/>
      <c r="V236" s="239"/>
    </row>
    <row r="237" spans="1:22">
      <c r="A237" s="89" t="s">
        <v>449</v>
      </c>
      <c r="B237" s="90"/>
      <c r="C237" s="90"/>
      <c r="D237" s="91"/>
      <c r="E237" s="91"/>
      <c r="F237" s="91"/>
      <c r="G237" s="91"/>
      <c r="H237" s="91"/>
      <c r="I237" s="91"/>
      <c r="J237" s="91"/>
      <c r="K237" s="90"/>
      <c r="L237" s="168"/>
      <c r="N237" s="238"/>
      <c r="O237" s="238"/>
      <c r="P237" s="238"/>
      <c r="Q237" s="238"/>
      <c r="R237" s="238"/>
      <c r="S237" s="238"/>
      <c r="T237" s="238"/>
      <c r="U237" s="238"/>
      <c r="V237" s="238"/>
    </row>
    <row r="238" spans="1:22">
      <c r="A238" s="109" t="s">
        <v>450</v>
      </c>
      <c r="B238" s="109" t="s">
        <v>642</v>
      </c>
      <c r="C238" s="118"/>
      <c r="D238" s="105" t="s">
        <v>643</v>
      </c>
      <c r="E238" s="105" t="s">
        <v>644</v>
      </c>
      <c r="F238" s="105"/>
      <c r="G238" s="105"/>
      <c r="H238" s="105"/>
      <c r="I238" s="105"/>
      <c r="J238" s="105"/>
      <c r="K238" s="118"/>
      <c r="L238" s="173">
        <v>0</v>
      </c>
      <c r="N238" s="239">
        <f t="shared" si="144"/>
        <v>0</v>
      </c>
      <c r="O238" s="239">
        <f t="shared" si="145"/>
        <v>0</v>
      </c>
      <c r="P238" s="239">
        <f t="shared" si="146"/>
        <v>0</v>
      </c>
      <c r="Q238" s="239">
        <f t="shared" si="147"/>
        <v>0</v>
      </c>
      <c r="R238" s="239"/>
      <c r="S238" s="239">
        <f t="shared" si="148"/>
        <v>0</v>
      </c>
      <c r="T238" s="239">
        <f t="shared" si="149"/>
        <v>0</v>
      </c>
      <c r="U238" s="239">
        <f t="shared" si="150"/>
        <v>0</v>
      </c>
      <c r="V238" s="239">
        <f t="shared" si="151"/>
        <v>0</v>
      </c>
    </row>
    <row r="239" spans="1:22">
      <c r="A239" s="109" t="s">
        <v>645</v>
      </c>
      <c r="B239" s="109" t="s">
        <v>646</v>
      </c>
      <c r="C239" s="118"/>
      <c r="D239" s="105" t="s">
        <v>647</v>
      </c>
      <c r="E239" s="105"/>
      <c r="F239" s="105"/>
      <c r="G239" s="105"/>
      <c r="H239" s="105"/>
      <c r="I239" s="105"/>
      <c r="J239" s="105"/>
      <c r="K239" s="118"/>
      <c r="L239" s="173">
        <v>0</v>
      </c>
      <c r="N239" s="239">
        <f t="shared" ref="N239" si="152">L239*$N$8</f>
        <v>0</v>
      </c>
      <c r="O239" s="239">
        <f t="shared" ref="O239" si="153">L239*$O$8</f>
        <v>0</v>
      </c>
      <c r="P239" s="239">
        <f t="shared" ref="P239" si="154">L239*$P$8</f>
        <v>0</v>
      </c>
      <c r="Q239" s="239">
        <f t="shared" ref="Q239" si="155">L239*$Q$8</f>
        <v>0</v>
      </c>
      <c r="R239" s="239"/>
      <c r="S239" s="239">
        <f t="shared" ref="S239" si="156">L239*$S$8</f>
        <v>0</v>
      </c>
      <c r="T239" s="239">
        <f t="shared" ref="T239" si="157">L239*$T$8</f>
        <v>0</v>
      </c>
      <c r="U239" s="239">
        <f t="shared" ref="U239" si="158">L239*$U$8</f>
        <v>0</v>
      </c>
      <c r="V239" s="239">
        <f t="shared" ref="V239" si="159">L239*$V$8</f>
        <v>0</v>
      </c>
    </row>
    <row r="240" spans="1:22">
      <c r="A240" s="109" t="s">
        <v>648</v>
      </c>
      <c r="B240" s="109" t="s">
        <v>649</v>
      </c>
      <c r="C240" s="118"/>
      <c r="D240" s="118"/>
      <c r="E240" s="105" t="s">
        <v>650</v>
      </c>
      <c r="F240" s="105"/>
      <c r="G240" s="105"/>
      <c r="H240" s="105"/>
      <c r="I240" s="105"/>
      <c r="J240" s="105"/>
      <c r="K240" s="118"/>
      <c r="L240" s="173">
        <v>8</v>
      </c>
      <c r="N240" s="239">
        <f t="shared" si="144"/>
        <v>1.52352</v>
      </c>
      <c r="O240" s="239">
        <f t="shared" si="145"/>
        <v>0.82328000000000001</v>
      </c>
      <c r="P240" s="239">
        <f t="shared" si="146"/>
        <v>0.58911999999999998</v>
      </c>
      <c r="Q240" s="239">
        <f t="shared" si="147"/>
        <v>0.47167999999999999</v>
      </c>
      <c r="R240" s="239"/>
      <c r="S240" s="239">
        <f t="shared" si="148"/>
        <v>1.57152</v>
      </c>
      <c r="T240" s="239">
        <f t="shared" si="149"/>
        <v>0.87128000000000005</v>
      </c>
      <c r="U240" s="239">
        <f t="shared" si="150"/>
        <v>0.63712000000000002</v>
      </c>
      <c r="V240" s="239">
        <f t="shared" si="151"/>
        <v>0.51968000000000003</v>
      </c>
    </row>
    <row r="241" spans="1:22">
      <c r="A241" s="109" t="s">
        <v>651</v>
      </c>
      <c r="B241" s="109" t="s">
        <v>652</v>
      </c>
      <c r="C241" s="118"/>
      <c r="D241" s="105" t="s">
        <v>653</v>
      </c>
      <c r="E241" s="105" t="s">
        <v>654</v>
      </c>
      <c r="F241" s="105"/>
      <c r="G241" s="105"/>
      <c r="H241" s="105"/>
      <c r="I241" s="105"/>
      <c r="J241" s="105"/>
      <c r="K241" s="118"/>
      <c r="L241" s="173">
        <v>8</v>
      </c>
      <c r="N241" s="239">
        <f t="shared" si="144"/>
        <v>1.52352</v>
      </c>
      <c r="O241" s="239">
        <f t="shared" si="145"/>
        <v>0.82328000000000001</v>
      </c>
      <c r="P241" s="239">
        <f t="shared" si="146"/>
        <v>0.58911999999999998</v>
      </c>
      <c r="Q241" s="239">
        <f t="shared" si="147"/>
        <v>0.47167999999999999</v>
      </c>
      <c r="R241" s="239"/>
      <c r="S241" s="239">
        <f t="shared" si="148"/>
        <v>1.57152</v>
      </c>
      <c r="T241" s="239">
        <f t="shared" si="149"/>
        <v>0.87128000000000005</v>
      </c>
      <c r="U241" s="239">
        <f t="shared" si="150"/>
        <v>0.63712000000000002</v>
      </c>
      <c r="V241" s="239">
        <f t="shared" si="151"/>
        <v>0.51968000000000003</v>
      </c>
    </row>
    <row r="242" spans="1:22">
      <c r="A242" s="109" t="s">
        <v>655</v>
      </c>
      <c r="B242" s="109" t="s">
        <v>656</v>
      </c>
      <c r="C242" s="118"/>
      <c r="D242" s="105" t="s">
        <v>657</v>
      </c>
      <c r="E242" s="105" t="s">
        <v>658</v>
      </c>
      <c r="F242" s="105"/>
      <c r="G242" s="105"/>
      <c r="H242" s="105"/>
      <c r="I242" s="105"/>
      <c r="J242" s="105"/>
      <c r="K242" s="118"/>
      <c r="L242" s="173">
        <v>24</v>
      </c>
      <c r="N242" s="239">
        <f t="shared" si="144"/>
        <v>4.5705600000000004</v>
      </c>
      <c r="O242" s="239">
        <f t="shared" si="145"/>
        <v>2.46984</v>
      </c>
      <c r="P242" s="239">
        <f t="shared" si="146"/>
        <v>1.76736</v>
      </c>
      <c r="Q242" s="239">
        <f t="shared" si="147"/>
        <v>1.4150399999999999</v>
      </c>
      <c r="R242" s="239"/>
      <c r="S242" s="239">
        <f t="shared" si="148"/>
        <v>4.7145600000000005</v>
      </c>
      <c r="T242" s="239">
        <f t="shared" si="149"/>
        <v>2.6138400000000002</v>
      </c>
      <c r="U242" s="239">
        <f t="shared" si="150"/>
        <v>1.9113600000000002</v>
      </c>
      <c r="V242" s="239">
        <f t="shared" si="151"/>
        <v>1.55904</v>
      </c>
    </row>
    <row r="243" spans="1:22" ht="25.5">
      <c r="A243" s="109" t="s">
        <v>659</v>
      </c>
      <c r="B243" s="109" t="s">
        <v>660</v>
      </c>
      <c r="C243" s="118"/>
      <c r="D243" s="105" t="s">
        <v>661</v>
      </c>
      <c r="E243" s="105" t="s">
        <v>662</v>
      </c>
      <c r="F243" s="105"/>
      <c r="G243" s="105"/>
      <c r="H243" s="105"/>
      <c r="I243" s="105"/>
      <c r="J243" s="105"/>
      <c r="K243" s="118"/>
      <c r="L243" s="173">
        <v>35</v>
      </c>
      <c r="N243" s="239">
        <f t="shared" si="144"/>
        <v>6.6654</v>
      </c>
      <c r="O243" s="239">
        <f t="shared" si="145"/>
        <v>3.6018500000000002</v>
      </c>
      <c r="P243" s="239">
        <f t="shared" si="146"/>
        <v>2.5773999999999999</v>
      </c>
      <c r="Q243" s="239">
        <f t="shared" si="147"/>
        <v>2.0636000000000001</v>
      </c>
      <c r="R243" s="239"/>
      <c r="S243" s="239">
        <f t="shared" si="148"/>
        <v>6.8754</v>
      </c>
      <c r="T243" s="239">
        <f t="shared" si="149"/>
        <v>3.8118500000000002</v>
      </c>
      <c r="U243" s="239">
        <f t="shared" si="150"/>
        <v>2.7873999999999999</v>
      </c>
      <c r="V243" s="239">
        <f t="shared" si="151"/>
        <v>2.2736000000000001</v>
      </c>
    </row>
    <row r="244" spans="1:22">
      <c r="A244" s="109" t="s">
        <v>663</v>
      </c>
      <c r="B244" s="109" t="s">
        <v>656</v>
      </c>
      <c r="C244" s="118"/>
      <c r="D244" s="105"/>
      <c r="E244" s="105" t="s">
        <v>658</v>
      </c>
      <c r="F244" s="105"/>
      <c r="G244" s="105"/>
      <c r="H244" s="105"/>
      <c r="I244" s="105"/>
      <c r="J244" s="105"/>
      <c r="K244" s="118"/>
      <c r="L244" s="173">
        <v>35</v>
      </c>
      <c r="N244" s="239">
        <f t="shared" si="144"/>
        <v>6.6654</v>
      </c>
      <c r="O244" s="239">
        <f t="shared" si="145"/>
        <v>3.6018500000000002</v>
      </c>
      <c r="P244" s="239">
        <f t="shared" si="146"/>
        <v>2.5773999999999999</v>
      </c>
      <c r="Q244" s="239">
        <f t="shared" si="147"/>
        <v>2.0636000000000001</v>
      </c>
      <c r="R244" s="239"/>
      <c r="S244" s="239">
        <f t="shared" si="148"/>
        <v>6.8754</v>
      </c>
      <c r="T244" s="239">
        <f t="shared" si="149"/>
        <v>3.8118500000000002</v>
      </c>
      <c r="U244" s="239">
        <f t="shared" si="150"/>
        <v>2.7873999999999999</v>
      </c>
      <c r="V244" s="239">
        <f t="shared" si="151"/>
        <v>2.2736000000000001</v>
      </c>
    </row>
    <row r="245" spans="1:22" ht="25.5">
      <c r="A245" s="109" t="s">
        <v>663</v>
      </c>
      <c r="B245" s="109" t="s">
        <v>664</v>
      </c>
      <c r="C245" s="118"/>
      <c r="D245" s="105" t="s">
        <v>665</v>
      </c>
      <c r="E245" s="105" t="s">
        <v>666</v>
      </c>
      <c r="F245" s="105"/>
      <c r="G245" s="105"/>
      <c r="H245" s="105"/>
      <c r="I245" s="105"/>
      <c r="J245" s="105"/>
      <c r="K245" s="118"/>
      <c r="L245" s="173">
        <v>35</v>
      </c>
      <c r="N245" s="239">
        <f t="shared" ref="N245" si="160">L245*$N$8</f>
        <v>6.6654</v>
      </c>
      <c r="O245" s="239">
        <f t="shared" ref="O245" si="161">L245*$O$8</f>
        <v>3.6018500000000002</v>
      </c>
      <c r="P245" s="239">
        <f t="shared" ref="P245" si="162">L245*$P$8</f>
        <v>2.5773999999999999</v>
      </c>
      <c r="Q245" s="239">
        <f t="shared" ref="Q245" si="163">L245*$Q$8</f>
        <v>2.0636000000000001</v>
      </c>
      <c r="R245" s="239"/>
      <c r="S245" s="239">
        <f t="shared" ref="S245" si="164">L245*$S$8</f>
        <v>6.8754</v>
      </c>
      <c r="T245" s="239">
        <f t="shared" ref="T245" si="165">L245*$T$8</f>
        <v>3.8118500000000002</v>
      </c>
      <c r="U245" s="239">
        <f t="shared" ref="U245" si="166">L245*$U$8</f>
        <v>2.7873999999999999</v>
      </c>
      <c r="V245" s="239">
        <f t="shared" ref="V245" si="167">L245*$V$8</f>
        <v>2.2736000000000001</v>
      </c>
    </row>
    <row r="246" spans="1:22" ht="25.5">
      <c r="A246" s="109" t="s">
        <v>667</v>
      </c>
      <c r="B246" s="109" t="s">
        <v>668</v>
      </c>
      <c r="C246" s="118"/>
      <c r="D246" s="105" t="s">
        <v>669</v>
      </c>
      <c r="E246" s="105" t="s">
        <v>670</v>
      </c>
      <c r="F246" s="105"/>
      <c r="G246" s="105"/>
      <c r="H246" s="105"/>
      <c r="I246" s="105"/>
      <c r="J246" s="105"/>
      <c r="K246" s="118"/>
      <c r="L246" s="173">
        <v>40</v>
      </c>
      <c r="N246" s="239">
        <f t="shared" si="144"/>
        <v>7.6175999999999995</v>
      </c>
      <c r="O246" s="239">
        <f t="shared" si="145"/>
        <v>4.1164000000000005</v>
      </c>
      <c r="P246" s="239">
        <f t="shared" si="146"/>
        <v>2.9455999999999998</v>
      </c>
      <c r="Q246" s="239">
        <f t="shared" si="147"/>
        <v>2.3584000000000001</v>
      </c>
      <c r="R246" s="239"/>
      <c r="S246" s="239">
        <f t="shared" si="148"/>
        <v>7.8575999999999997</v>
      </c>
      <c r="T246" s="239">
        <f t="shared" si="149"/>
        <v>4.3564000000000007</v>
      </c>
      <c r="U246" s="239">
        <f t="shared" si="150"/>
        <v>3.1856</v>
      </c>
      <c r="V246" s="239">
        <f t="shared" si="151"/>
        <v>2.5984000000000003</v>
      </c>
    </row>
    <row r="247" spans="1:22" ht="15.95" customHeight="1">
      <c r="A247" s="109" t="s">
        <v>671</v>
      </c>
      <c r="B247" s="109" t="s">
        <v>672</v>
      </c>
      <c r="C247" s="118"/>
      <c r="D247" s="105" t="s">
        <v>673</v>
      </c>
      <c r="E247" s="105" t="s">
        <v>674</v>
      </c>
      <c r="F247" s="105"/>
      <c r="G247" s="105"/>
      <c r="H247" s="105"/>
      <c r="I247" s="105"/>
      <c r="J247" s="105"/>
      <c r="K247" s="118"/>
      <c r="L247" s="173">
        <v>89</v>
      </c>
      <c r="N247" s="239">
        <f t="shared" si="144"/>
        <v>16.949159999999999</v>
      </c>
      <c r="O247" s="239">
        <f t="shared" si="145"/>
        <v>9.1589899999999993</v>
      </c>
      <c r="P247" s="239">
        <f t="shared" si="146"/>
        <v>6.55396</v>
      </c>
      <c r="Q247" s="239">
        <f t="shared" si="147"/>
        <v>5.2474400000000001</v>
      </c>
      <c r="R247" s="239"/>
      <c r="S247" s="239">
        <f t="shared" si="148"/>
        <v>17.483160000000002</v>
      </c>
      <c r="T247" s="239">
        <f t="shared" si="149"/>
        <v>9.69299</v>
      </c>
      <c r="U247" s="239">
        <f t="shared" si="150"/>
        <v>7.0879599999999998</v>
      </c>
      <c r="V247" s="239">
        <f t="shared" si="151"/>
        <v>5.7814399999999999</v>
      </c>
    </row>
    <row r="248" spans="1:22">
      <c r="A248" s="109" t="s">
        <v>675</v>
      </c>
      <c r="B248" s="109" t="s">
        <v>676</v>
      </c>
      <c r="C248" s="118"/>
      <c r="D248" s="105" t="s">
        <v>677</v>
      </c>
      <c r="E248" s="105"/>
      <c r="F248" s="105"/>
      <c r="G248" s="105"/>
      <c r="H248" s="105"/>
      <c r="I248" s="105"/>
      <c r="J248" s="105"/>
      <c r="K248" s="118"/>
      <c r="L248" s="173">
        <v>89</v>
      </c>
      <c r="N248" s="239">
        <f t="shared" si="144"/>
        <v>16.949159999999999</v>
      </c>
      <c r="O248" s="239">
        <f t="shared" si="145"/>
        <v>9.1589899999999993</v>
      </c>
      <c r="P248" s="239">
        <f t="shared" si="146"/>
        <v>6.55396</v>
      </c>
      <c r="Q248" s="239">
        <f t="shared" si="147"/>
        <v>5.2474400000000001</v>
      </c>
      <c r="R248" s="239"/>
      <c r="S248" s="239">
        <f t="shared" si="148"/>
        <v>17.483160000000002</v>
      </c>
      <c r="T248" s="239">
        <f t="shared" si="149"/>
        <v>9.69299</v>
      </c>
      <c r="U248" s="239">
        <f t="shared" si="150"/>
        <v>7.0879599999999998</v>
      </c>
      <c r="V248" s="239">
        <f t="shared" si="151"/>
        <v>5.7814399999999999</v>
      </c>
    </row>
    <row r="249" spans="1:22" ht="25.5">
      <c r="A249" s="109" t="s">
        <v>678</v>
      </c>
      <c r="B249" s="109" t="s">
        <v>679</v>
      </c>
      <c r="C249" s="118"/>
      <c r="D249" s="105"/>
      <c r="E249" s="105" t="s">
        <v>680</v>
      </c>
      <c r="F249" s="105"/>
      <c r="G249" s="105"/>
      <c r="H249" s="105"/>
      <c r="I249" s="105"/>
      <c r="J249" s="105"/>
      <c r="K249" s="118"/>
      <c r="L249" s="173">
        <v>101</v>
      </c>
      <c r="N249" s="239">
        <f t="shared" si="144"/>
        <v>19.234439999999999</v>
      </c>
      <c r="O249" s="239">
        <f t="shared" si="145"/>
        <v>10.39391</v>
      </c>
      <c r="P249" s="239">
        <f t="shared" si="146"/>
        <v>7.43764</v>
      </c>
      <c r="Q249" s="239">
        <f t="shared" si="147"/>
        <v>5.9549599999999998</v>
      </c>
      <c r="R249" s="239"/>
      <c r="S249" s="239">
        <f t="shared" si="148"/>
        <v>19.840440000000001</v>
      </c>
      <c r="T249" s="239">
        <f t="shared" si="149"/>
        <v>10.99991</v>
      </c>
      <c r="U249" s="239">
        <f t="shared" si="150"/>
        <v>8.0436399999999999</v>
      </c>
      <c r="V249" s="239">
        <f t="shared" si="151"/>
        <v>6.5609600000000006</v>
      </c>
    </row>
    <row r="250" spans="1:22">
      <c r="A250" s="113"/>
      <c r="B250" s="114"/>
      <c r="C250" s="115"/>
      <c r="D250" s="116"/>
      <c r="E250" s="116"/>
      <c r="F250" s="116"/>
      <c r="G250" s="116"/>
      <c r="H250" s="116"/>
      <c r="I250" s="116"/>
      <c r="J250" s="116"/>
      <c r="K250" s="182"/>
      <c r="L250" s="173"/>
      <c r="N250" s="239"/>
      <c r="O250" s="239"/>
      <c r="P250" s="239"/>
      <c r="Q250" s="239"/>
      <c r="R250" s="239"/>
      <c r="S250" s="239"/>
      <c r="T250" s="239"/>
      <c r="U250" s="239"/>
      <c r="V250" s="239"/>
    </row>
    <row r="251" spans="1:22">
      <c r="A251" s="89" t="s">
        <v>210</v>
      </c>
      <c r="B251" s="62"/>
      <c r="C251" s="62"/>
      <c r="D251" s="81"/>
      <c r="E251" s="81"/>
      <c r="F251" s="81"/>
      <c r="G251" s="81"/>
      <c r="H251" s="81"/>
      <c r="I251" s="81"/>
      <c r="J251" s="81"/>
      <c r="K251" s="62"/>
      <c r="L251" s="169"/>
      <c r="N251" s="242"/>
      <c r="O251" s="242"/>
      <c r="P251" s="242"/>
      <c r="Q251" s="242"/>
      <c r="R251" s="242"/>
      <c r="S251" s="242"/>
      <c r="T251" s="242"/>
      <c r="U251" s="242"/>
      <c r="V251" s="242"/>
    </row>
    <row r="252" spans="1:22">
      <c r="A252" s="109" t="s">
        <v>681</v>
      </c>
      <c r="B252" s="109" t="s">
        <v>682</v>
      </c>
      <c r="C252" s="118"/>
      <c r="D252" s="118"/>
      <c r="E252" s="105"/>
      <c r="F252" s="105" t="s">
        <v>683</v>
      </c>
      <c r="G252" s="105" t="s">
        <v>684</v>
      </c>
      <c r="H252" s="105"/>
      <c r="I252" s="105"/>
      <c r="J252" s="105"/>
      <c r="K252" s="118"/>
      <c r="L252" s="173">
        <v>0</v>
      </c>
      <c r="N252" s="239">
        <f t="shared" si="144"/>
        <v>0</v>
      </c>
      <c r="O252" s="239">
        <f t="shared" si="145"/>
        <v>0</v>
      </c>
      <c r="P252" s="239">
        <f t="shared" si="146"/>
        <v>0</v>
      </c>
      <c r="Q252" s="239">
        <f t="shared" si="147"/>
        <v>0</v>
      </c>
      <c r="R252" s="239"/>
      <c r="S252" s="239">
        <f t="shared" si="148"/>
        <v>0</v>
      </c>
      <c r="T252" s="239">
        <f t="shared" si="149"/>
        <v>0</v>
      </c>
      <c r="U252" s="239">
        <f t="shared" si="150"/>
        <v>0</v>
      </c>
      <c r="V252" s="239">
        <f t="shared" si="151"/>
        <v>0</v>
      </c>
    </row>
    <row r="253" spans="1:22">
      <c r="A253" s="109" t="s">
        <v>685</v>
      </c>
      <c r="B253" s="109" t="s">
        <v>686</v>
      </c>
      <c r="C253" s="118"/>
      <c r="D253" s="118"/>
      <c r="E253" s="105"/>
      <c r="F253" s="105" t="s">
        <v>687</v>
      </c>
      <c r="G253" s="105" t="s">
        <v>688</v>
      </c>
      <c r="H253" s="105"/>
      <c r="I253" s="105"/>
      <c r="J253" s="105"/>
      <c r="K253" s="118"/>
      <c r="L253" s="173">
        <v>8</v>
      </c>
      <c r="N253" s="239">
        <f t="shared" si="144"/>
        <v>1.52352</v>
      </c>
      <c r="O253" s="239">
        <f t="shared" si="145"/>
        <v>0.82328000000000001</v>
      </c>
      <c r="P253" s="239">
        <f t="shared" si="146"/>
        <v>0.58911999999999998</v>
      </c>
      <c r="Q253" s="239">
        <f t="shared" si="147"/>
        <v>0.47167999999999999</v>
      </c>
      <c r="R253" s="239"/>
      <c r="S253" s="239">
        <f t="shared" si="148"/>
        <v>1.57152</v>
      </c>
      <c r="T253" s="239">
        <f t="shared" si="149"/>
        <v>0.87128000000000005</v>
      </c>
      <c r="U253" s="239">
        <f t="shared" si="150"/>
        <v>0.63712000000000002</v>
      </c>
      <c r="V253" s="239">
        <f t="shared" si="151"/>
        <v>0.51968000000000003</v>
      </c>
    </row>
    <row r="254" spans="1:22">
      <c r="A254" s="109" t="s">
        <v>689</v>
      </c>
      <c r="B254" s="109" t="s">
        <v>690</v>
      </c>
      <c r="C254" s="118"/>
      <c r="D254" s="118"/>
      <c r="E254" s="105"/>
      <c r="F254" s="105" t="s">
        <v>691</v>
      </c>
      <c r="G254" s="105" t="s">
        <v>692</v>
      </c>
      <c r="H254" s="105"/>
      <c r="I254" s="105"/>
      <c r="J254" s="105"/>
      <c r="K254" s="118"/>
      <c r="L254" s="173">
        <v>8</v>
      </c>
      <c r="N254" s="239">
        <f t="shared" si="144"/>
        <v>1.52352</v>
      </c>
      <c r="O254" s="239">
        <f t="shared" si="145"/>
        <v>0.82328000000000001</v>
      </c>
      <c r="P254" s="239">
        <f t="shared" si="146"/>
        <v>0.58911999999999998</v>
      </c>
      <c r="Q254" s="239">
        <f t="shared" si="147"/>
        <v>0.47167999999999999</v>
      </c>
      <c r="R254" s="239"/>
      <c r="S254" s="239">
        <f t="shared" si="148"/>
        <v>1.57152</v>
      </c>
      <c r="T254" s="239">
        <f t="shared" si="149"/>
        <v>0.87128000000000005</v>
      </c>
      <c r="U254" s="239">
        <f t="shared" si="150"/>
        <v>0.63712000000000002</v>
      </c>
      <c r="V254" s="239">
        <f t="shared" si="151"/>
        <v>0.51968000000000003</v>
      </c>
    </row>
    <row r="255" spans="1:22">
      <c r="A255" s="109" t="s">
        <v>693</v>
      </c>
      <c r="B255" s="109" t="s">
        <v>694</v>
      </c>
      <c r="C255" s="118"/>
      <c r="D255" s="118"/>
      <c r="E255" s="105"/>
      <c r="F255" s="105" t="s">
        <v>695</v>
      </c>
      <c r="G255" s="105" t="s">
        <v>696</v>
      </c>
      <c r="H255" s="105"/>
      <c r="I255" s="105"/>
      <c r="J255" s="105"/>
      <c r="K255" s="118"/>
      <c r="L255" s="173">
        <v>11</v>
      </c>
      <c r="N255" s="239">
        <f t="shared" si="144"/>
        <v>2.09484</v>
      </c>
      <c r="O255" s="239">
        <f t="shared" si="145"/>
        <v>1.13201</v>
      </c>
      <c r="P255" s="239">
        <f t="shared" si="146"/>
        <v>0.81003999999999998</v>
      </c>
      <c r="Q255" s="239">
        <f t="shared" si="147"/>
        <v>0.64856000000000003</v>
      </c>
      <c r="R255" s="239"/>
      <c r="S255" s="239">
        <f t="shared" si="148"/>
        <v>2.1608399999999999</v>
      </c>
      <c r="T255" s="239">
        <f t="shared" si="149"/>
        <v>1.19801</v>
      </c>
      <c r="U255" s="239">
        <f t="shared" si="150"/>
        <v>0.87604000000000004</v>
      </c>
      <c r="V255" s="239">
        <f t="shared" si="151"/>
        <v>0.71456000000000008</v>
      </c>
    </row>
    <row r="256" spans="1:22">
      <c r="A256" s="109" t="s">
        <v>697</v>
      </c>
      <c r="B256" s="109" t="s">
        <v>698</v>
      </c>
      <c r="C256" s="118"/>
      <c r="D256" s="118"/>
      <c r="E256" s="105"/>
      <c r="F256" s="105" t="s">
        <v>699</v>
      </c>
      <c r="G256" s="105" t="s">
        <v>700</v>
      </c>
      <c r="H256" s="105"/>
      <c r="I256" s="105"/>
      <c r="J256" s="105"/>
      <c r="K256" s="118"/>
      <c r="L256" s="173">
        <v>29</v>
      </c>
      <c r="N256" s="239">
        <f t="shared" si="144"/>
        <v>5.5227599999999999</v>
      </c>
      <c r="O256" s="239">
        <f t="shared" si="145"/>
        <v>2.9843899999999999</v>
      </c>
      <c r="P256" s="239">
        <f t="shared" si="146"/>
        <v>2.1355599999999999</v>
      </c>
      <c r="Q256" s="239">
        <f t="shared" si="147"/>
        <v>1.70984</v>
      </c>
      <c r="R256" s="239"/>
      <c r="S256" s="239">
        <f t="shared" si="148"/>
        <v>5.6967600000000003</v>
      </c>
      <c r="T256" s="239">
        <f t="shared" si="149"/>
        <v>3.1583900000000003</v>
      </c>
      <c r="U256" s="239">
        <f t="shared" si="150"/>
        <v>2.3095600000000003</v>
      </c>
      <c r="V256" s="239">
        <f t="shared" si="151"/>
        <v>1.8838400000000002</v>
      </c>
    </row>
    <row r="257" spans="1:22">
      <c r="A257" s="109" t="s">
        <v>701</v>
      </c>
      <c r="B257" s="109" t="s">
        <v>702</v>
      </c>
      <c r="C257" s="118"/>
      <c r="D257" s="118"/>
      <c r="E257" s="105"/>
      <c r="F257" s="105" t="s">
        <v>703</v>
      </c>
      <c r="G257" s="105" t="s">
        <v>704</v>
      </c>
      <c r="H257" s="105"/>
      <c r="I257" s="105"/>
      <c r="J257" s="105"/>
      <c r="K257" s="118"/>
      <c r="L257" s="173">
        <v>35</v>
      </c>
      <c r="N257" s="239">
        <f t="shared" si="144"/>
        <v>6.6654</v>
      </c>
      <c r="O257" s="239">
        <f t="shared" si="145"/>
        <v>3.6018500000000002</v>
      </c>
      <c r="P257" s="239">
        <f t="shared" si="146"/>
        <v>2.5773999999999999</v>
      </c>
      <c r="Q257" s="239">
        <f t="shared" si="147"/>
        <v>2.0636000000000001</v>
      </c>
      <c r="R257" s="239"/>
      <c r="S257" s="239">
        <f t="shared" si="148"/>
        <v>6.8754</v>
      </c>
      <c r="T257" s="239">
        <f t="shared" si="149"/>
        <v>3.8118500000000002</v>
      </c>
      <c r="U257" s="239">
        <f t="shared" si="150"/>
        <v>2.7873999999999999</v>
      </c>
      <c r="V257" s="239">
        <f t="shared" si="151"/>
        <v>2.2736000000000001</v>
      </c>
    </row>
    <row r="258" spans="1:22" ht="25.5">
      <c r="A258" s="109" t="s">
        <v>705</v>
      </c>
      <c r="B258" s="109" t="s">
        <v>706</v>
      </c>
      <c r="C258" s="118"/>
      <c r="D258" s="118"/>
      <c r="E258" s="105"/>
      <c r="F258" s="105" t="s">
        <v>707</v>
      </c>
      <c r="G258" s="105" t="s">
        <v>708</v>
      </c>
      <c r="H258" s="105"/>
      <c r="I258" s="105"/>
      <c r="J258" s="105"/>
      <c r="K258" s="118"/>
      <c r="L258" s="173">
        <v>69</v>
      </c>
      <c r="N258" s="239">
        <f t="shared" si="144"/>
        <v>13.140359999999999</v>
      </c>
      <c r="O258" s="239">
        <f t="shared" si="145"/>
        <v>7.1007899999999999</v>
      </c>
      <c r="P258" s="239">
        <f t="shared" si="146"/>
        <v>5.0811599999999997</v>
      </c>
      <c r="Q258" s="239">
        <f t="shared" si="147"/>
        <v>4.0682400000000003</v>
      </c>
      <c r="R258" s="239"/>
      <c r="S258" s="239">
        <f t="shared" si="148"/>
        <v>13.554360000000001</v>
      </c>
      <c r="T258" s="239">
        <f t="shared" si="149"/>
        <v>7.5147900000000005</v>
      </c>
      <c r="U258" s="239">
        <f t="shared" si="150"/>
        <v>5.4951600000000003</v>
      </c>
      <c r="V258" s="239">
        <f t="shared" si="151"/>
        <v>4.48224</v>
      </c>
    </row>
    <row r="259" spans="1:22">
      <c r="A259" s="109" t="s">
        <v>709</v>
      </c>
      <c r="B259" s="109" t="s">
        <v>710</v>
      </c>
      <c r="C259" s="118"/>
      <c r="D259" s="118"/>
      <c r="E259" s="105"/>
      <c r="F259" s="105" t="s">
        <v>711</v>
      </c>
      <c r="G259" s="105" t="s">
        <v>712</v>
      </c>
      <c r="H259" s="105"/>
      <c r="I259" s="105"/>
      <c r="J259" s="105"/>
      <c r="K259" s="118"/>
      <c r="L259" s="173">
        <v>80</v>
      </c>
      <c r="N259" s="239">
        <f t="shared" si="144"/>
        <v>15.235199999999999</v>
      </c>
      <c r="O259" s="239">
        <f t="shared" si="145"/>
        <v>8.232800000000001</v>
      </c>
      <c r="P259" s="239">
        <f t="shared" si="146"/>
        <v>5.8911999999999995</v>
      </c>
      <c r="Q259" s="239">
        <f t="shared" si="147"/>
        <v>4.7168000000000001</v>
      </c>
      <c r="R259" s="239"/>
      <c r="S259" s="239">
        <f t="shared" si="148"/>
        <v>15.715199999999999</v>
      </c>
      <c r="T259" s="239">
        <f t="shared" si="149"/>
        <v>8.7128000000000014</v>
      </c>
      <c r="U259" s="239">
        <f t="shared" si="150"/>
        <v>6.3712</v>
      </c>
      <c r="V259" s="239">
        <f t="shared" si="151"/>
        <v>5.1968000000000005</v>
      </c>
    </row>
    <row r="260" spans="1:22">
      <c r="A260" s="109" t="s">
        <v>713</v>
      </c>
      <c r="B260" s="109" t="s">
        <v>714</v>
      </c>
      <c r="C260" s="118"/>
      <c r="D260" s="118"/>
      <c r="E260" s="105"/>
      <c r="F260" s="105" t="s">
        <v>715</v>
      </c>
      <c r="G260" s="105"/>
      <c r="H260" s="105"/>
      <c r="I260" s="105"/>
      <c r="J260" s="105"/>
      <c r="K260" s="118"/>
      <c r="L260" s="173">
        <v>114</v>
      </c>
      <c r="N260" s="239">
        <f t="shared" si="144"/>
        <v>21.710159999999998</v>
      </c>
      <c r="O260" s="239">
        <f t="shared" si="145"/>
        <v>11.73174</v>
      </c>
      <c r="P260" s="239">
        <f t="shared" si="146"/>
        <v>8.3949599999999993</v>
      </c>
      <c r="Q260" s="239">
        <f t="shared" si="147"/>
        <v>6.7214399999999994</v>
      </c>
      <c r="R260" s="239"/>
      <c r="S260" s="239">
        <f t="shared" si="148"/>
        <v>22.394159999999999</v>
      </c>
      <c r="T260" s="239">
        <f t="shared" si="149"/>
        <v>12.415740000000001</v>
      </c>
      <c r="U260" s="239">
        <f t="shared" si="150"/>
        <v>9.0789600000000004</v>
      </c>
      <c r="V260" s="239">
        <f t="shared" si="151"/>
        <v>7.4054400000000005</v>
      </c>
    </row>
    <row r="261" spans="1:22" ht="25.5">
      <c r="A261" s="109" t="s">
        <v>716</v>
      </c>
      <c r="B261" s="109" t="s">
        <v>717</v>
      </c>
      <c r="C261" s="118"/>
      <c r="D261" s="118"/>
      <c r="E261" s="105"/>
      <c r="F261" s="105" t="s">
        <v>718</v>
      </c>
      <c r="G261" s="105" t="s">
        <v>719</v>
      </c>
      <c r="H261" s="105"/>
      <c r="I261" s="105"/>
      <c r="J261" s="105"/>
      <c r="K261" s="118"/>
      <c r="L261" s="173">
        <v>114</v>
      </c>
      <c r="N261" s="239">
        <f t="shared" si="144"/>
        <v>21.710159999999998</v>
      </c>
      <c r="O261" s="239">
        <f t="shared" si="145"/>
        <v>11.73174</v>
      </c>
      <c r="P261" s="239">
        <f t="shared" si="146"/>
        <v>8.3949599999999993</v>
      </c>
      <c r="Q261" s="239">
        <f t="shared" si="147"/>
        <v>6.7214399999999994</v>
      </c>
      <c r="R261" s="239"/>
      <c r="S261" s="239">
        <f t="shared" si="148"/>
        <v>22.394159999999999</v>
      </c>
      <c r="T261" s="239">
        <f t="shared" si="149"/>
        <v>12.415740000000001</v>
      </c>
      <c r="U261" s="239">
        <f t="shared" si="150"/>
        <v>9.0789600000000004</v>
      </c>
      <c r="V261" s="239">
        <f t="shared" si="151"/>
        <v>7.4054400000000005</v>
      </c>
    </row>
    <row r="262" spans="1:22">
      <c r="A262" s="109" t="s">
        <v>720</v>
      </c>
      <c r="B262" s="109" t="s">
        <v>721</v>
      </c>
      <c r="C262" s="118"/>
      <c r="D262" s="118"/>
      <c r="E262" s="105"/>
      <c r="F262" s="105" t="s">
        <v>722</v>
      </c>
      <c r="G262" s="105" t="s">
        <v>723</v>
      </c>
      <c r="H262" s="105"/>
      <c r="I262" s="105"/>
      <c r="J262" s="105"/>
      <c r="K262" s="118"/>
      <c r="L262" s="173">
        <v>125</v>
      </c>
      <c r="N262" s="239">
        <f t="shared" si="144"/>
        <v>23.805</v>
      </c>
      <c r="O262" s="239">
        <f t="shared" si="145"/>
        <v>12.86375</v>
      </c>
      <c r="P262" s="239">
        <f t="shared" si="146"/>
        <v>9.2050000000000001</v>
      </c>
      <c r="Q262" s="239">
        <f t="shared" si="147"/>
        <v>7.37</v>
      </c>
      <c r="R262" s="239"/>
      <c r="S262" s="239">
        <f t="shared" si="148"/>
        <v>24.555</v>
      </c>
      <c r="T262" s="239">
        <f t="shared" si="149"/>
        <v>13.613750000000001</v>
      </c>
      <c r="U262" s="239">
        <f t="shared" si="150"/>
        <v>9.9550000000000001</v>
      </c>
      <c r="V262" s="239">
        <f t="shared" si="151"/>
        <v>8.120000000000001</v>
      </c>
    </row>
    <row r="263" spans="1:22" s="16" customFormat="1" ht="12.75">
      <c r="A263" s="113"/>
      <c r="B263" s="114"/>
      <c r="C263" s="115"/>
      <c r="D263" s="116"/>
      <c r="E263" s="116"/>
      <c r="F263" s="116"/>
      <c r="G263" s="116"/>
      <c r="H263" s="116"/>
      <c r="I263" s="116"/>
      <c r="J263" s="116"/>
      <c r="K263" s="182"/>
      <c r="L263" s="173"/>
      <c r="N263" s="239"/>
      <c r="O263" s="239"/>
      <c r="P263" s="239"/>
      <c r="Q263" s="239"/>
      <c r="R263" s="239"/>
      <c r="S263" s="239"/>
      <c r="T263" s="239"/>
      <c r="U263" s="239"/>
      <c r="V263" s="239"/>
    </row>
    <row r="264" spans="1:22" s="16" customFormat="1" ht="12.75">
      <c r="A264" s="89" t="s">
        <v>724</v>
      </c>
      <c r="B264" s="62"/>
      <c r="C264" s="62"/>
      <c r="D264" s="81"/>
      <c r="E264" s="81"/>
      <c r="F264" s="81"/>
      <c r="G264" s="81"/>
      <c r="H264" s="81"/>
      <c r="I264" s="81"/>
      <c r="J264" s="81"/>
      <c r="K264" s="62"/>
      <c r="L264" s="169"/>
      <c r="N264" s="242"/>
      <c r="O264" s="242"/>
      <c r="P264" s="242"/>
      <c r="Q264" s="242"/>
      <c r="R264" s="242"/>
      <c r="S264" s="242"/>
      <c r="T264" s="242"/>
      <c r="U264" s="242"/>
      <c r="V264" s="242"/>
    </row>
    <row r="265" spans="1:22" s="16" customFormat="1" ht="12.75">
      <c r="A265" s="109" t="s">
        <v>725</v>
      </c>
      <c r="B265" s="109" t="s">
        <v>726</v>
      </c>
      <c r="C265" s="118"/>
      <c r="D265" s="118"/>
      <c r="E265" s="105"/>
      <c r="F265" s="105"/>
      <c r="G265" s="105"/>
      <c r="H265" s="105" t="s">
        <v>727</v>
      </c>
      <c r="I265" s="105" t="s">
        <v>728</v>
      </c>
      <c r="J265" s="105"/>
      <c r="K265" s="118"/>
      <c r="L265" s="173">
        <v>0</v>
      </c>
      <c r="N265" s="239">
        <f t="shared" si="144"/>
        <v>0</v>
      </c>
      <c r="O265" s="239">
        <f t="shared" si="145"/>
        <v>0</v>
      </c>
      <c r="P265" s="239">
        <f t="shared" si="146"/>
        <v>0</v>
      </c>
      <c r="Q265" s="239">
        <f t="shared" si="147"/>
        <v>0</v>
      </c>
      <c r="R265" s="239"/>
      <c r="S265" s="239">
        <f t="shared" si="148"/>
        <v>0</v>
      </c>
      <c r="T265" s="239">
        <f t="shared" si="149"/>
        <v>0</v>
      </c>
      <c r="U265" s="239">
        <f t="shared" si="150"/>
        <v>0</v>
      </c>
      <c r="V265" s="239">
        <f t="shared" si="151"/>
        <v>0</v>
      </c>
    </row>
    <row r="266" spans="1:22" s="16" customFormat="1" ht="12.75">
      <c r="A266" s="109" t="s">
        <v>729</v>
      </c>
      <c r="B266" s="109" t="s">
        <v>730</v>
      </c>
      <c r="C266" s="118"/>
      <c r="D266" s="118"/>
      <c r="E266" s="105"/>
      <c r="F266" s="105"/>
      <c r="G266" s="105"/>
      <c r="H266" s="105" t="s">
        <v>731</v>
      </c>
      <c r="I266" s="105"/>
      <c r="J266" s="105"/>
      <c r="K266" s="118"/>
      <c r="L266" s="173">
        <v>0</v>
      </c>
      <c r="N266" s="239">
        <f t="shared" si="144"/>
        <v>0</v>
      </c>
      <c r="O266" s="239">
        <f t="shared" si="145"/>
        <v>0</v>
      </c>
      <c r="P266" s="239">
        <f t="shared" si="146"/>
        <v>0</v>
      </c>
      <c r="Q266" s="239">
        <f t="shared" si="147"/>
        <v>0</v>
      </c>
      <c r="R266" s="239"/>
      <c r="S266" s="239">
        <f t="shared" si="148"/>
        <v>0</v>
      </c>
      <c r="T266" s="239">
        <f t="shared" si="149"/>
        <v>0</v>
      </c>
      <c r="U266" s="239">
        <f t="shared" si="150"/>
        <v>0</v>
      </c>
      <c r="V266" s="239">
        <f t="shared" si="151"/>
        <v>0</v>
      </c>
    </row>
    <row r="267" spans="1:22" s="16" customFormat="1" ht="12.75">
      <c r="A267" s="109" t="s">
        <v>732</v>
      </c>
      <c r="B267" s="109" t="s">
        <v>733</v>
      </c>
      <c r="C267" s="118"/>
      <c r="D267" s="118"/>
      <c r="E267" s="105"/>
      <c r="F267" s="105"/>
      <c r="G267" s="105"/>
      <c r="H267" s="105"/>
      <c r="I267" s="105" t="s">
        <v>734</v>
      </c>
      <c r="J267" s="105"/>
      <c r="K267" s="118"/>
      <c r="L267" s="173">
        <v>8</v>
      </c>
      <c r="N267" s="239">
        <f t="shared" si="144"/>
        <v>1.52352</v>
      </c>
      <c r="O267" s="239">
        <f t="shared" si="145"/>
        <v>0.82328000000000001</v>
      </c>
      <c r="P267" s="239">
        <f t="shared" si="146"/>
        <v>0.58911999999999998</v>
      </c>
      <c r="Q267" s="239">
        <f t="shared" si="147"/>
        <v>0.47167999999999999</v>
      </c>
      <c r="R267" s="239"/>
      <c r="S267" s="239">
        <f t="shared" si="148"/>
        <v>1.57152</v>
      </c>
      <c r="T267" s="239">
        <f t="shared" si="149"/>
        <v>0.87128000000000005</v>
      </c>
      <c r="U267" s="239">
        <f t="shared" si="150"/>
        <v>0.63712000000000002</v>
      </c>
      <c r="V267" s="239">
        <f t="shared" si="151"/>
        <v>0.51968000000000003</v>
      </c>
    </row>
    <row r="268" spans="1:22" s="16" customFormat="1" ht="12.75">
      <c r="A268" s="109" t="s">
        <v>735</v>
      </c>
      <c r="B268" s="109" t="s">
        <v>736</v>
      </c>
      <c r="C268" s="118"/>
      <c r="D268" s="118"/>
      <c r="E268" s="105"/>
      <c r="F268" s="105"/>
      <c r="G268" s="105"/>
      <c r="H268" s="105"/>
      <c r="I268" s="105" t="s">
        <v>737</v>
      </c>
      <c r="J268" s="105"/>
      <c r="K268" s="118"/>
      <c r="L268" s="173">
        <v>8</v>
      </c>
      <c r="N268" s="239">
        <f t="shared" si="144"/>
        <v>1.52352</v>
      </c>
      <c r="O268" s="239">
        <f t="shared" si="145"/>
        <v>0.82328000000000001</v>
      </c>
      <c r="P268" s="239">
        <f t="shared" si="146"/>
        <v>0.58911999999999998</v>
      </c>
      <c r="Q268" s="239">
        <f t="shared" si="147"/>
        <v>0.47167999999999999</v>
      </c>
      <c r="R268" s="239"/>
      <c r="S268" s="239">
        <f t="shared" si="148"/>
        <v>1.57152</v>
      </c>
      <c r="T268" s="239">
        <f t="shared" si="149"/>
        <v>0.87128000000000005</v>
      </c>
      <c r="U268" s="239">
        <f t="shared" si="150"/>
        <v>0.63712000000000002</v>
      </c>
      <c r="V268" s="239">
        <f t="shared" si="151"/>
        <v>0.51968000000000003</v>
      </c>
    </row>
    <row r="269" spans="1:22" s="16" customFormat="1" ht="12.75">
      <c r="A269" s="109" t="s">
        <v>738</v>
      </c>
      <c r="B269" s="109" t="s">
        <v>739</v>
      </c>
      <c r="C269" s="118"/>
      <c r="D269" s="118"/>
      <c r="E269" s="105"/>
      <c r="F269" s="105"/>
      <c r="G269" s="105"/>
      <c r="H269" s="105" t="s">
        <v>740</v>
      </c>
      <c r="I269" s="105"/>
      <c r="J269" s="105"/>
      <c r="K269" s="118"/>
      <c r="L269" s="173">
        <v>29</v>
      </c>
      <c r="N269" s="239">
        <f t="shared" si="144"/>
        <v>5.5227599999999999</v>
      </c>
      <c r="O269" s="239">
        <f t="shared" si="145"/>
        <v>2.9843899999999999</v>
      </c>
      <c r="P269" s="239">
        <f t="shared" si="146"/>
        <v>2.1355599999999999</v>
      </c>
      <c r="Q269" s="239">
        <f t="shared" si="147"/>
        <v>1.70984</v>
      </c>
      <c r="R269" s="239"/>
      <c r="S269" s="239">
        <f t="shared" si="148"/>
        <v>5.6967600000000003</v>
      </c>
      <c r="T269" s="239">
        <f t="shared" si="149"/>
        <v>3.1583900000000003</v>
      </c>
      <c r="U269" s="239">
        <f t="shared" si="150"/>
        <v>2.3095600000000003</v>
      </c>
      <c r="V269" s="239">
        <f t="shared" si="151"/>
        <v>1.8838400000000002</v>
      </c>
    </row>
    <row r="270" spans="1:22" s="16" customFormat="1" ht="12.75">
      <c r="A270" s="109" t="s">
        <v>741</v>
      </c>
      <c r="B270" s="109" t="s">
        <v>742</v>
      </c>
      <c r="C270" s="118"/>
      <c r="D270" s="118"/>
      <c r="E270" s="105"/>
      <c r="F270" s="105"/>
      <c r="G270" s="105"/>
      <c r="H270" s="105" t="s">
        <v>743</v>
      </c>
      <c r="I270" s="105"/>
      <c r="J270" s="105"/>
      <c r="K270" s="118"/>
      <c r="L270" s="173">
        <v>29</v>
      </c>
      <c r="N270" s="239">
        <f t="shared" ref="N270:N338" si="168">L270*$N$8</f>
        <v>5.5227599999999999</v>
      </c>
      <c r="O270" s="239">
        <f t="shared" ref="O270:O338" si="169">L270*$O$8</f>
        <v>2.9843899999999999</v>
      </c>
      <c r="P270" s="239">
        <f t="shared" ref="P270:P338" si="170">L270*$P$8</f>
        <v>2.1355599999999999</v>
      </c>
      <c r="Q270" s="239">
        <f t="shared" ref="Q270:Q338" si="171">L270*$Q$8</f>
        <v>1.70984</v>
      </c>
      <c r="R270" s="239"/>
      <c r="S270" s="239">
        <f t="shared" ref="S270:S338" si="172">L270*$S$8</f>
        <v>5.6967600000000003</v>
      </c>
      <c r="T270" s="239">
        <f t="shared" ref="T270:T338" si="173">L270*$T$8</f>
        <v>3.1583900000000003</v>
      </c>
      <c r="U270" s="239">
        <f t="shared" ref="U270:U338" si="174">L270*$U$8</f>
        <v>2.3095600000000003</v>
      </c>
      <c r="V270" s="239">
        <f t="shared" ref="V270:V338" si="175">L270*$V$8</f>
        <v>1.8838400000000002</v>
      </c>
    </row>
    <row r="271" spans="1:22" s="16" customFormat="1" ht="12.75">
      <c r="A271" s="109" t="s">
        <v>738</v>
      </c>
      <c r="B271" s="109" t="s">
        <v>739</v>
      </c>
      <c r="C271" s="118"/>
      <c r="D271" s="118"/>
      <c r="E271" s="105"/>
      <c r="F271" s="105"/>
      <c r="G271" s="105"/>
      <c r="H271" s="105"/>
      <c r="I271" s="105" t="s">
        <v>744</v>
      </c>
      <c r="J271" s="105"/>
      <c r="K271" s="118"/>
      <c r="L271" s="173">
        <v>35</v>
      </c>
      <c r="N271" s="239">
        <f t="shared" si="168"/>
        <v>6.6654</v>
      </c>
      <c r="O271" s="239">
        <f t="shared" si="169"/>
        <v>3.6018500000000002</v>
      </c>
      <c r="P271" s="239">
        <f t="shared" si="170"/>
        <v>2.5773999999999999</v>
      </c>
      <c r="Q271" s="239">
        <f t="shared" si="171"/>
        <v>2.0636000000000001</v>
      </c>
      <c r="R271" s="239"/>
      <c r="S271" s="239">
        <f t="shared" si="172"/>
        <v>6.8754</v>
      </c>
      <c r="T271" s="239">
        <f t="shared" si="173"/>
        <v>3.8118500000000002</v>
      </c>
      <c r="U271" s="239">
        <f t="shared" si="174"/>
        <v>2.7873999999999999</v>
      </c>
      <c r="V271" s="239">
        <f t="shared" si="175"/>
        <v>2.2736000000000001</v>
      </c>
    </row>
    <row r="272" spans="1:22" s="16" customFormat="1" ht="12.75">
      <c r="A272" s="109" t="s">
        <v>741</v>
      </c>
      <c r="B272" s="109" t="s">
        <v>745</v>
      </c>
      <c r="C272" s="118"/>
      <c r="D272" s="118"/>
      <c r="E272" s="105"/>
      <c r="F272" s="105"/>
      <c r="G272" s="105"/>
      <c r="H272" s="105"/>
      <c r="I272" s="105" t="s">
        <v>746</v>
      </c>
      <c r="J272" s="105"/>
      <c r="K272" s="118"/>
      <c r="L272" s="173">
        <v>40</v>
      </c>
      <c r="N272" s="239">
        <f t="shared" si="168"/>
        <v>7.6175999999999995</v>
      </c>
      <c r="O272" s="239">
        <f t="shared" si="169"/>
        <v>4.1164000000000005</v>
      </c>
      <c r="P272" s="239">
        <f t="shared" si="170"/>
        <v>2.9455999999999998</v>
      </c>
      <c r="Q272" s="239">
        <f t="shared" si="171"/>
        <v>2.3584000000000001</v>
      </c>
      <c r="R272" s="239"/>
      <c r="S272" s="239">
        <f t="shared" si="172"/>
        <v>7.8575999999999997</v>
      </c>
      <c r="T272" s="239">
        <f t="shared" si="173"/>
        <v>4.3564000000000007</v>
      </c>
      <c r="U272" s="239">
        <f t="shared" si="174"/>
        <v>3.1856</v>
      </c>
      <c r="V272" s="239">
        <f t="shared" si="175"/>
        <v>2.5984000000000003</v>
      </c>
    </row>
    <row r="273" spans="1:22" s="16" customFormat="1" ht="25.5">
      <c r="A273" s="109" t="s">
        <v>747</v>
      </c>
      <c r="B273" s="109" t="s">
        <v>748</v>
      </c>
      <c r="C273" s="118"/>
      <c r="D273" s="118"/>
      <c r="E273" s="105"/>
      <c r="F273" s="105"/>
      <c r="G273" s="105"/>
      <c r="H273" s="105" t="s">
        <v>749</v>
      </c>
      <c r="I273" s="105"/>
      <c r="J273" s="105"/>
      <c r="K273" s="118"/>
      <c r="L273" s="173">
        <v>74</v>
      </c>
      <c r="N273" s="239">
        <f t="shared" si="168"/>
        <v>14.092560000000001</v>
      </c>
      <c r="O273" s="239">
        <f t="shared" si="169"/>
        <v>7.6153399999999998</v>
      </c>
      <c r="P273" s="239">
        <f t="shared" si="170"/>
        <v>5.4493599999999995</v>
      </c>
      <c r="Q273" s="239">
        <f t="shared" si="171"/>
        <v>4.3630399999999998</v>
      </c>
      <c r="R273" s="239"/>
      <c r="S273" s="239">
        <f t="shared" si="172"/>
        <v>14.53656</v>
      </c>
      <c r="T273" s="239">
        <f t="shared" si="173"/>
        <v>8.0593400000000006</v>
      </c>
      <c r="U273" s="239">
        <f t="shared" si="174"/>
        <v>5.8933600000000004</v>
      </c>
      <c r="V273" s="239">
        <f t="shared" si="175"/>
        <v>4.8070400000000006</v>
      </c>
    </row>
    <row r="274" spans="1:22" s="16" customFormat="1" ht="25.5">
      <c r="A274" s="109" t="s">
        <v>750</v>
      </c>
      <c r="B274" s="109" t="s">
        <v>751</v>
      </c>
      <c r="C274" s="118"/>
      <c r="D274" s="118"/>
      <c r="E274" s="105"/>
      <c r="F274" s="105"/>
      <c r="G274" s="105"/>
      <c r="H274" s="105" t="s">
        <v>752</v>
      </c>
      <c r="I274" s="105" t="s">
        <v>753</v>
      </c>
      <c r="J274" s="105"/>
      <c r="K274" s="118"/>
      <c r="L274" s="173">
        <v>80</v>
      </c>
      <c r="N274" s="239">
        <f t="shared" si="168"/>
        <v>15.235199999999999</v>
      </c>
      <c r="O274" s="239">
        <f t="shared" si="169"/>
        <v>8.232800000000001</v>
      </c>
      <c r="P274" s="239">
        <f t="shared" si="170"/>
        <v>5.8911999999999995</v>
      </c>
      <c r="Q274" s="239">
        <f t="shared" si="171"/>
        <v>4.7168000000000001</v>
      </c>
      <c r="R274" s="239"/>
      <c r="S274" s="239">
        <f t="shared" si="172"/>
        <v>15.715199999999999</v>
      </c>
      <c r="T274" s="239">
        <f t="shared" si="173"/>
        <v>8.7128000000000014</v>
      </c>
      <c r="U274" s="239">
        <f t="shared" si="174"/>
        <v>6.3712</v>
      </c>
      <c r="V274" s="239">
        <f t="shared" si="175"/>
        <v>5.1968000000000005</v>
      </c>
    </row>
    <row r="275" spans="1:22" s="16" customFormat="1" ht="25.5">
      <c r="A275" s="109" t="s">
        <v>750</v>
      </c>
      <c r="B275" s="109" t="s">
        <v>751</v>
      </c>
      <c r="C275" s="118"/>
      <c r="D275" s="118"/>
      <c r="E275" s="105"/>
      <c r="F275" s="105"/>
      <c r="G275" s="105"/>
      <c r="H275" s="105"/>
      <c r="I275" s="105" t="s">
        <v>754</v>
      </c>
      <c r="J275" s="105"/>
      <c r="K275" s="118"/>
      <c r="L275" s="173">
        <v>89</v>
      </c>
      <c r="N275" s="239">
        <f t="shared" si="168"/>
        <v>16.949159999999999</v>
      </c>
      <c r="O275" s="239">
        <f t="shared" si="169"/>
        <v>9.1589899999999993</v>
      </c>
      <c r="P275" s="239">
        <f t="shared" si="170"/>
        <v>6.55396</v>
      </c>
      <c r="Q275" s="239">
        <f t="shared" si="171"/>
        <v>5.2474400000000001</v>
      </c>
      <c r="R275" s="239"/>
      <c r="S275" s="239">
        <f t="shared" si="172"/>
        <v>17.483160000000002</v>
      </c>
      <c r="T275" s="239">
        <f t="shared" si="173"/>
        <v>9.69299</v>
      </c>
      <c r="U275" s="239">
        <f t="shared" si="174"/>
        <v>7.0879599999999998</v>
      </c>
      <c r="V275" s="239">
        <f t="shared" si="175"/>
        <v>5.7814399999999999</v>
      </c>
    </row>
    <row r="276" spans="1:22" s="3" customFormat="1">
      <c r="A276" s="109" t="s">
        <v>755</v>
      </c>
      <c r="B276" s="109" t="s">
        <v>756</v>
      </c>
      <c r="C276" s="118"/>
      <c r="D276" s="118"/>
      <c r="E276" s="105"/>
      <c r="F276" s="105"/>
      <c r="G276" s="105"/>
      <c r="H276" s="105" t="s">
        <v>757</v>
      </c>
      <c r="I276" s="105"/>
      <c r="J276" s="105"/>
      <c r="K276" s="118"/>
      <c r="L276" s="173">
        <v>147</v>
      </c>
      <c r="N276" s="239">
        <f t="shared" si="168"/>
        <v>27.994679999999999</v>
      </c>
      <c r="O276" s="239">
        <f t="shared" si="169"/>
        <v>15.12777</v>
      </c>
      <c r="P276" s="239">
        <f t="shared" si="170"/>
        <v>10.82508</v>
      </c>
      <c r="Q276" s="239">
        <f t="shared" si="171"/>
        <v>8.6671200000000006</v>
      </c>
      <c r="R276" s="239"/>
      <c r="S276" s="239">
        <f t="shared" si="172"/>
        <v>28.87668</v>
      </c>
      <c r="T276" s="239">
        <f t="shared" si="173"/>
        <v>16.00977</v>
      </c>
      <c r="U276" s="239">
        <f t="shared" si="174"/>
        <v>11.707079999999999</v>
      </c>
      <c r="V276" s="239">
        <f t="shared" si="175"/>
        <v>9.5491200000000003</v>
      </c>
    </row>
    <row r="277" spans="1:22" s="3" customFormat="1" ht="25.5">
      <c r="A277" s="109" t="s">
        <v>758</v>
      </c>
      <c r="B277" s="109" t="s">
        <v>759</v>
      </c>
      <c r="C277" s="118"/>
      <c r="D277" s="118"/>
      <c r="E277" s="105"/>
      <c r="F277" s="105"/>
      <c r="G277" s="105"/>
      <c r="H277" s="105" t="s">
        <v>760</v>
      </c>
      <c r="I277" s="105"/>
      <c r="J277" s="105"/>
      <c r="K277" s="118"/>
      <c r="L277" s="173">
        <v>147</v>
      </c>
      <c r="N277" s="239">
        <f t="shared" si="168"/>
        <v>27.994679999999999</v>
      </c>
      <c r="O277" s="239">
        <f t="shared" si="169"/>
        <v>15.12777</v>
      </c>
      <c r="P277" s="239">
        <f t="shared" si="170"/>
        <v>10.82508</v>
      </c>
      <c r="Q277" s="239">
        <f t="shared" si="171"/>
        <v>8.6671200000000006</v>
      </c>
      <c r="R277" s="239"/>
      <c r="S277" s="239">
        <f t="shared" si="172"/>
        <v>28.87668</v>
      </c>
      <c r="T277" s="239">
        <f t="shared" si="173"/>
        <v>16.00977</v>
      </c>
      <c r="U277" s="239">
        <f t="shared" si="174"/>
        <v>11.707079999999999</v>
      </c>
      <c r="V277" s="239">
        <f t="shared" si="175"/>
        <v>9.5491200000000003</v>
      </c>
    </row>
    <row r="278" spans="1:22" s="3" customFormat="1" ht="25.5">
      <c r="A278" s="109" t="s">
        <v>761</v>
      </c>
      <c r="B278" s="109" t="s">
        <v>762</v>
      </c>
      <c r="C278" s="118"/>
      <c r="D278" s="118"/>
      <c r="E278" s="105"/>
      <c r="F278" s="105"/>
      <c r="G278" s="105"/>
      <c r="H278" s="105" t="s">
        <v>763</v>
      </c>
      <c r="I278" s="105" t="s">
        <v>764</v>
      </c>
      <c r="J278" s="105"/>
      <c r="K278" s="118"/>
      <c r="L278" s="173">
        <v>147</v>
      </c>
      <c r="N278" s="239">
        <f t="shared" si="168"/>
        <v>27.994679999999999</v>
      </c>
      <c r="O278" s="239">
        <f t="shared" si="169"/>
        <v>15.12777</v>
      </c>
      <c r="P278" s="239">
        <f t="shared" si="170"/>
        <v>10.82508</v>
      </c>
      <c r="Q278" s="239">
        <f t="shared" si="171"/>
        <v>8.6671200000000006</v>
      </c>
      <c r="R278" s="239"/>
      <c r="S278" s="239">
        <f t="shared" si="172"/>
        <v>28.87668</v>
      </c>
      <c r="T278" s="239">
        <f t="shared" si="173"/>
        <v>16.00977</v>
      </c>
      <c r="U278" s="239">
        <f t="shared" si="174"/>
        <v>11.707079999999999</v>
      </c>
      <c r="V278" s="239">
        <f t="shared" si="175"/>
        <v>9.5491200000000003</v>
      </c>
    </row>
    <row r="279" spans="1:22" s="3" customFormat="1" ht="25.5">
      <c r="A279" s="109" t="s">
        <v>765</v>
      </c>
      <c r="B279" s="109" t="s">
        <v>766</v>
      </c>
      <c r="C279" s="118"/>
      <c r="D279" s="118"/>
      <c r="E279" s="105"/>
      <c r="F279" s="105"/>
      <c r="G279" s="105"/>
      <c r="H279" s="105"/>
      <c r="I279" s="105" t="s">
        <v>767</v>
      </c>
      <c r="J279" s="105"/>
      <c r="K279" s="118"/>
      <c r="L279" s="173">
        <v>159</v>
      </c>
      <c r="N279" s="239">
        <f t="shared" si="168"/>
        <v>30.279959999999999</v>
      </c>
      <c r="O279" s="239">
        <f t="shared" si="169"/>
        <v>16.362690000000001</v>
      </c>
      <c r="P279" s="239">
        <f t="shared" si="170"/>
        <v>11.70876</v>
      </c>
      <c r="Q279" s="239">
        <f t="shared" si="171"/>
        <v>9.3746399999999994</v>
      </c>
      <c r="R279" s="239"/>
      <c r="S279" s="239">
        <f t="shared" si="172"/>
        <v>31.23396</v>
      </c>
      <c r="T279" s="239">
        <f t="shared" si="173"/>
        <v>17.316690000000001</v>
      </c>
      <c r="U279" s="239">
        <f t="shared" si="174"/>
        <v>12.66276</v>
      </c>
      <c r="V279" s="239">
        <f t="shared" si="175"/>
        <v>10.32864</v>
      </c>
    </row>
    <row r="280" spans="1:22" s="3" customFormat="1">
      <c r="A280" s="113"/>
      <c r="B280" s="114"/>
      <c r="C280" s="115"/>
      <c r="D280" s="116"/>
      <c r="E280" s="116"/>
      <c r="F280" s="116"/>
      <c r="G280" s="116"/>
      <c r="H280" s="116"/>
      <c r="I280" s="116"/>
      <c r="J280" s="116"/>
      <c r="K280" s="182"/>
      <c r="L280" s="173"/>
      <c r="N280" s="239"/>
      <c r="O280" s="239"/>
      <c r="P280" s="239"/>
      <c r="Q280" s="239"/>
      <c r="R280" s="239"/>
      <c r="S280" s="239"/>
      <c r="T280" s="239"/>
      <c r="U280" s="239"/>
      <c r="V280" s="239"/>
    </row>
    <row r="281" spans="1:22" s="3" customFormat="1">
      <c r="A281" s="89" t="s">
        <v>251</v>
      </c>
      <c r="B281" s="62"/>
      <c r="C281" s="62"/>
      <c r="D281" s="81"/>
      <c r="E281" s="81"/>
      <c r="F281" s="81"/>
      <c r="G281" s="81"/>
      <c r="H281" s="81"/>
      <c r="I281" s="81"/>
      <c r="J281" s="81"/>
      <c r="K281" s="62"/>
      <c r="L281" s="169"/>
      <c r="N281" s="242"/>
      <c r="O281" s="242"/>
      <c r="P281" s="242"/>
      <c r="Q281" s="242"/>
      <c r="R281" s="242"/>
      <c r="S281" s="242"/>
      <c r="T281" s="242"/>
      <c r="U281" s="242"/>
      <c r="V281" s="242"/>
    </row>
    <row r="282" spans="1:22" s="3" customFormat="1">
      <c r="A282" s="109" t="s">
        <v>768</v>
      </c>
      <c r="B282" s="109" t="s">
        <v>260</v>
      </c>
      <c r="C282" s="118"/>
      <c r="D282" s="105" t="s">
        <v>524</v>
      </c>
      <c r="E282" s="105" t="s">
        <v>769</v>
      </c>
      <c r="F282" s="105" t="s">
        <v>770</v>
      </c>
      <c r="G282" s="105" t="s">
        <v>771</v>
      </c>
      <c r="H282" s="105" t="s">
        <v>772</v>
      </c>
      <c r="I282" s="105" t="s">
        <v>773</v>
      </c>
      <c r="J282" s="105"/>
      <c r="K282" s="118"/>
      <c r="L282" s="173">
        <v>80</v>
      </c>
      <c r="N282" s="239">
        <f t="shared" si="168"/>
        <v>15.235199999999999</v>
      </c>
      <c r="O282" s="239">
        <f t="shared" si="169"/>
        <v>8.232800000000001</v>
      </c>
      <c r="P282" s="239">
        <f t="shared" si="170"/>
        <v>5.8911999999999995</v>
      </c>
      <c r="Q282" s="239">
        <f t="shared" si="171"/>
        <v>4.7168000000000001</v>
      </c>
      <c r="R282" s="239"/>
      <c r="S282" s="239">
        <f t="shared" si="172"/>
        <v>15.715199999999999</v>
      </c>
      <c r="T282" s="239">
        <f t="shared" si="173"/>
        <v>8.7128000000000014</v>
      </c>
      <c r="U282" s="239">
        <f t="shared" si="174"/>
        <v>6.3712</v>
      </c>
      <c r="V282" s="239">
        <f t="shared" si="175"/>
        <v>5.1968000000000005</v>
      </c>
    </row>
    <row r="283" spans="1:22" s="3" customFormat="1">
      <c r="A283" s="109"/>
      <c r="B283" s="109"/>
      <c r="C283" s="118"/>
      <c r="D283" s="105"/>
      <c r="E283" s="105"/>
      <c r="F283" s="105"/>
      <c r="G283" s="105"/>
      <c r="H283" s="105"/>
      <c r="I283" s="105"/>
      <c r="J283" s="105"/>
      <c r="K283" s="118"/>
      <c r="L283" s="173"/>
      <c r="N283" s="239"/>
      <c r="O283" s="239"/>
      <c r="P283" s="239"/>
      <c r="Q283" s="239"/>
      <c r="R283" s="239"/>
      <c r="S283" s="239"/>
      <c r="T283" s="239"/>
      <c r="U283" s="239"/>
      <c r="V283" s="239"/>
    </row>
    <row r="284" spans="1:22" s="3" customFormat="1">
      <c r="A284" s="89" t="s">
        <v>774</v>
      </c>
      <c r="B284" s="62"/>
      <c r="C284" s="62"/>
      <c r="D284" s="81"/>
      <c r="E284" s="81"/>
      <c r="F284" s="81"/>
      <c r="G284" s="81"/>
      <c r="H284" s="81"/>
      <c r="I284" s="81"/>
      <c r="J284" s="81"/>
      <c r="K284" s="62"/>
      <c r="L284" s="169"/>
      <c r="N284" s="242"/>
      <c r="O284" s="242"/>
      <c r="P284" s="242"/>
      <c r="Q284" s="242"/>
      <c r="R284" s="242"/>
      <c r="S284" s="242"/>
      <c r="T284" s="242"/>
      <c r="U284" s="242"/>
      <c r="V284" s="242"/>
    </row>
    <row r="285" spans="1:22" s="3" customFormat="1">
      <c r="A285" s="109" t="s">
        <v>775</v>
      </c>
      <c r="B285" s="109" t="s">
        <v>776</v>
      </c>
      <c r="C285" s="118"/>
      <c r="D285" s="105"/>
      <c r="E285" s="105"/>
      <c r="F285" s="105"/>
      <c r="G285" s="105"/>
      <c r="H285" s="105" t="s">
        <v>777</v>
      </c>
      <c r="I285" s="105" t="s">
        <v>778</v>
      </c>
      <c r="J285" s="105"/>
      <c r="K285" s="118"/>
      <c r="L285" s="173">
        <v>15</v>
      </c>
      <c r="N285" s="239">
        <f t="shared" ref="N285" si="176">L285*$N$8</f>
        <v>2.8565999999999998</v>
      </c>
      <c r="O285" s="239">
        <f t="shared" ref="O285" si="177">L285*$O$8</f>
        <v>1.54365</v>
      </c>
      <c r="P285" s="239">
        <f t="shared" ref="P285" si="178">L285*$P$8</f>
        <v>1.1046</v>
      </c>
      <c r="Q285" s="239">
        <f t="shared" ref="Q285" si="179">L285*$Q$8</f>
        <v>0.88439999999999996</v>
      </c>
      <c r="R285" s="239"/>
      <c r="S285" s="239">
        <f t="shared" ref="S285" si="180">L285*$S$8</f>
        <v>2.9466000000000001</v>
      </c>
      <c r="T285" s="239">
        <f t="shared" ref="T285" si="181">L285*$T$8</f>
        <v>1.63365</v>
      </c>
      <c r="U285" s="239">
        <f t="shared" ref="U285" si="182">L285*$U$8</f>
        <v>1.1946000000000001</v>
      </c>
      <c r="V285" s="239">
        <f t="shared" ref="V285" si="183">L285*$V$8</f>
        <v>0.97440000000000004</v>
      </c>
    </row>
    <row r="286" spans="1:22" s="3" customFormat="1">
      <c r="A286" s="106"/>
      <c r="B286" s="106"/>
      <c r="C286" s="107"/>
      <c r="D286" s="104"/>
      <c r="E286" s="104"/>
      <c r="F286" s="104"/>
      <c r="G286" s="104"/>
      <c r="H286" s="104"/>
      <c r="I286" s="104"/>
      <c r="J286" s="104"/>
      <c r="K286" s="107"/>
      <c r="L286" s="173"/>
      <c r="N286" s="239"/>
      <c r="O286" s="239"/>
      <c r="P286" s="239"/>
      <c r="Q286" s="239"/>
      <c r="R286" s="239"/>
      <c r="S286" s="239"/>
      <c r="T286" s="239"/>
      <c r="U286" s="239"/>
      <c r="V286" s="239"/>
    </row>
    <row r="287" spans="1:22" s="3" customFormat="1">
      <c r="A287" s="89" t="s">
        <v>779</v>
      </c>
      <c r="B287" s="62"/>
      <c r="C287" s="62"/>
      <c r="D287" s="81"/>
      <c r="E287" s="81"/>
      <c r="F287" s="81"/>
      <c r="G287" s="81"/>
      <c r="H287" s="81"/>
      <c r="I287" s="81"/>
      <c r="J287" s="81"/>
      <c r="K287" s="62"/>
      <c r="L287" s="169"/>
      <c r="N287" s="242"/>
      <c r="O287" s="242"/>
      <c r="P287" s="242"/>
      <c r="Q287" s="242"/>
      <c r="R287" s="242"/>
      <c r="S287" s="242"/>
      <c r="T287" s="242"/>
      <c r="U287" s="242"/>
      <c r="V287" s="242"/>
    </row>
    <row r="288" spans="1:22" s="3" customFormat="1">
      <c r="A288" s="109" t="s">
        <v>780</v>
      </c>
      <c r="B288" s="109" t="s">
        <v>271</v>
      </c>
      <c r="C288" s="118"/>
      <c r="D288" s="105" t="s">
        <v>781</v>
      </c>
      <c r="E288" s="105" t="s">
        <v>782</v>
      </c>
      <c r="F288" s="105" t="s">
        <v>783</v>
      </c>
      <c r="G288" s="105" t="s">
        <v>784</v>
      </c>
      <c r="H288" s="105" t="s">
        <v>785</v>
      </c>
      <c r="I288" s="105" t="s">
        <v>786</v>
      </c>
      <c r="J288" s="105"/>
      <c r="K288" s="118"/>
      <c r="L288" s="173">
        <v>5</v>
      </c>
      <c r="N288" s="239">
        <f t="shared" si="168"/>
        <v>0.95219999999999994</v>
      </c>
      <c r="O288" s="239">
        <f t="shared" si="169"/>
        <v>0.51455000000000006</v>
      </c>
      <c r="P288" s="239">
        <f t="shared" si="170"/>
        <v>0.36819999999999997</v>
      </c>
      <c r="Q288" s="239">
        <f t="shared" si="171"/>
        <v>0.29480000000000001</v>
      </c>
      <c r="R288" s="239"/>
      <c r="S288" s="239">
        <f t="shared" si="172"/>
        <v>0.98219999999999996</v>
      </c>
      <c r="T288" s="239">
        <f t="shared" si="173"/>
        <v>0.54455000000000009</v>
      </c>
      <c r="U288" s="239">
        <f t="shared" si="174"/>
        <v>0.3982</v>
      </c>
      <c r="V288" s="239">
        <f t="shared" si="175"/>
        <v>0.32480000000000003</v>
      </c>
    </row>
    <row r="289" spans="1:22" s="3" customFormat="1">
      <c r="A289" s="113"/>
      <c r="B289" s="114"/>
      <c r="C289" s="115"/>
      <c r="D289" s="116"/>
      <c r="E289" s="116"/>
      <c r="F289" s="116"/>
      <c r="G289" s="116"/>
      <c r="H289" s="116"/>
      <c r="I289" s="116"/>
      <c r="J289" s="116"/>
      <c r="K289" s="182"/>
      <c r="L289" s="173"/>
      <c r="N289" s="239"/>
      <c r="O289" s="239"/>
      <c r="P289" s="239"/>
      <c r="Q289" s="239"/>
      <c r="R289" s="239"/>
      <c r="S289" s="239"/>
      <c r="T289" s="239"/>
      <c r="U289" s="239"/>
      <c r="V289" s="239"/>
    </row>
    <row r="290" spans="1:22" s="3" customFormat="1">
      <c r="A290" s="89" t="s">
        <v>276</v>
      </c>
      <c r="B290" s="62"/>
      <c r="C290" s="62"/>
      <c r="D290" s="81"/>
      <c r="E290" s="81"/>
      <c r="F290" s="81"/>
      <c r="G290" s="81"/>
      <c r="H290" s="81"/>
      <c r="I290" s="81"/>
      <c r="J290" s="81"/>
      <c r="K290" s="62"/>
      <c r="L290" s="169"/>
      <c r="N290" s="242"/>
      <c r="O290" s="242"/>
      <c r="P290" s="242"/>
      <c r="Q290" s="242"/>
      <c r="R290" s="242"/>
      <c r="S290" s="242"/>
      <c r="T290" s="242"/>
      <c r="U290" s="242"/>
      <c r="V290" s="242"/>
    </row>
    <row r="291" spans="1:22">
      <c r="A291" s="109" t="s">
        <v>787</v>
      </c>
      <c r="B291" s="109" t="s">
        <v>285</v>
      </c>
      <c r="C291" s="118"/>
      <c r="D291" s="105" t="s">
        <v>788</v>
      </c>
      <c r="E291" s="105" t="s">
        <v>789</v>
      </c>
      <c r="F291" s="105" t="s">
        <v>790</v>
      </c>
      <c r="G291" s="105" t="s">
        <v>791</v>
      </c>
      <c r="H291" s="105" t="s">
        <v>792</v>
      </c>
      <c r="I291" s="105" t="s">
        <v>793</v>
      </c>
      <c r="J291" s="105"/>
      <c r="K291" s="118"/>
      <c r="L291" s="173">
        <v>0</v>
      </c>
      <c r="N291" s="239">
        <f t="shared" si="168"/>
        <v>0</v>
      </c>
      <c r="O291" s="239">
        <f t="shared" si="169"/>
        <v>0</v>
      </c>
      <c r="P291" s="239">
        <f t="shared" si="170"/>
        <v>0</v>
      </c>
      <c r="Q291" s="239">
        <f t="shared" si="171"/>
        <v>0</v>
      </c>
      <c r="R291" s="239"/>
      <c r="S291" s="239">
        <f t="shared" si="172"/>
        <v>0</v>
      </c>
      <c r="T291" s="239">
        <f t="shared" si="173"/>
        <v>0</v>
      </c>
      <c r="U291" s="239">
        <f t="shared" si="174"/>
        <v>0</v>
      </c>
      <c r="V291" s="239">
        <f t="shared" si="175"/>
        <v>0</v>
      </c>
    </row>
    <row r="292" spans="1:22">
      <c r="A292" s="113"/>
      <c r="B292" s="114"/>
      <c r="C292" s="115"/>
      <c r="D292" s="116"/>
      <c r="E292" s="116"/>
      <c r="F292" s="116"/>
      <c r="G292" s="116"/>
      <c r="H292" s="116"/>
      <c r="I292" s="116"/>
      <c r="J292" s="116"/>
      <c r="K292" s="182"/>
      <c r="L292" s="173"/>
      <c r="N292" s="239"/>
      <c r="O292" s="239"/>
      <c r="P292" s="239"/>
      <c r="Q292" s="239"/>
      <c r="R292" s="239"/>
      <c r="S292" s="239"/>
      <c r="T292" s="239"/>
      <c r="U292" s="239"/>
      <c r="V292" s="239"/>
    </row>
    <row r="293" spans="1:22">
      <c r="A293" s="89" t="s">
        <v>287</v>
      </c>
      <c r="B293" s="62"/>
      <c r="C293" s="62"/>
      <c r="D293" s="81"/>
      <c r="E293" s="81"/>
      <c r="F293" s="81"/>
      <c r="G293" s="81"/>
      <c r="H293" s="81"/>
      <c r="I293" s="81"/>
      <c r="J293" s="81"/>
      <c r="K293" s="62"/>
      <c r="L293" s="169"/>
      <c r="N293" s="242"/>
      <c r="O293" s="242"/>
      <c r="P293" s="242"/>
      <c r="Q293" s="242"/>
      <c r="R293" s="242"/>
      <c r="S293" s="242"/>
      <c r="T293" s="242"/>
      <c r="U293" s="242"/>
      <c r="V293" s="242"/>
    </row>
    <row r="294" spans="1:22">
      <c r="A294" s="109" t="s">
        <v>540</v>
      </c>
      <c r="B294" s="109" t="s">
        <v>541</v>
      </c>
      <c r="C294" s="118"/>
      <c r="D294" s="105" t="s">
        <v>794</v>
      </c>
      <c r="E294" s="105" t="s">
        <v>795</v>
      </c>
      <c r="F294" s="105" t="s">
        <v>796</v>
      </c>
      <c r="G294" s="105" t="s">
        <v>797</v>
      </c>
      <c r="H294" s="105" t="s">
        <v>798</v>
      </c>
      <c r="I294" s="105" t="s">
        <v>799</v>
      </c>
      <c r="J294" s="105"/>
      <c r="K294" s="118"/>
      <c r="L294" s="173">
        <v>2</v>
      </c>
      <c r="N294" s="239">
        <f t="shared" si="168"/>
        <v>0.38088</v>
      </c>
      <c r="O294" s="239">
        <f t="shared" si="169"/>
        <v>0.20582</v>
      </c>
      <c r="P294" s="239">
        <f t="shared" si="170"/>
        <v>0.14727999999999999</v>
      </c>
      <c r="Q294" s="239">
        <f t="shared" si="171"/>
        <v>0.11792</v>
      </c>
      <c r="R294" s="239"/>
      <c r="S294" s="239">
        <f t="shared" si="172"/>
        <v>0.39288000000000001</v>
      </c>
      <c r="T294" s="239">
        <f t="shared" si="173"/>
        <v>0.21782000000000001</v>
      </c>
      <c r="U294" s="239">
        <f t="shared" si="174"/>
        <v>0.15928</v>
      </c>
      <c r="V294" s="239">
        <f t="shared" si="175"/>
        <v>0.12992000000000001</v>
      </c>
    </row>
    <row r="295" spans="1:22">
      <c r="A295" s="109" t="s">
        <v>90</v>
      </c>
      <c r="B295" s="109" t="s">
        <v>288</v>
      </c>
      <c r="C295" s="118"/>
      <c r="D295" s="105" t="s">
        <v>800</v>
      </c>
      <c r="E295" s="105" t="s">
        <v>801</v>
      </c>
      <c r="F295" s="105" t="s">
        <v>802</v>
      </c>
      <c r="G295" s="105" t="s">
        <v>803</v>
      </c>
      <c r="H295" s="105" t="s">
        <v>804</v>
      </c>
      <c r="I295" s="105" t="s">
        <v>805</v>
      </c>
      <c r="J295" s="105"/>
      <c r="K295" s="118"/>
      <c r="L295" s="173">
        <v>6</v>
      </c>
      <c r="N295" s="239">
        <f t="shared" si="168"/>
        <v>1.1426400000000001</v>
      </c>
      <c r="O295" s="239">
        <f t="shared" si="169"/>
        <v>0.61746000000000001</v>
      </c>
      <c r="P295" s="239">
        <f t="shared" si="170"/>
        <v>0.44184000000000001</v>
      </c>
      <c r="Q295" s="239">
        <f t="shared" si="171"/>
        <v>0.35375999999999996</v>
      </c>
      <c r="R295" s="239"/>
      <c r="S295" s="239">
        <f t="shared" si="172"/>
        <v>1.1786400000000001</v>
      </c>
      <c r="T295" s="239">
        <f t="shared" si="173"/>
        <v>0.65346000000000004</v>
      </c>
      <c r="U295" s="239">
        <f t="shared" si="174"/>
        <v>0.47784000000000004</v>
      </c>
      <c r="V295" s="239">
        <f t="shared" si="175"/>
        <v>0.38976</v>
      </c>
    </row>
    <row r="296" spans="1:22">
      <c r="A296" s="113"/>
      <c r="B296" s="114"/>
      <c r="C296" s="115"/>
      <c r="D296" s="116"/>
      <c r="E296" s="116"/>
      <c r="F296" s="116"/>
      <c r="G296" s="116"/>
      <c r="H296" s="116"/>
      <c r="I296" s="116"/>
      <c r="J296" s="116"/>
      <c r="K296" s="182"/>
      <c r="L296" s="173"/>
      <c r="N296" s="239"/>
      <c r="O296" s="239"/>
      <c r="P296" s="239"/>
      <c r="Q296" s="239"/>
      <c r="R296" s="239"/>
      <c r="S296" s="239"/>
      <c r="T296" s="239"/>
      <c r="U296" s="239"/>
      <c r="V296" s="239"/>
    </row>
    <row r="297" spans="1:22">
      <c r="A297" s="89" t="s">
        <v>552</v>
      </c>
      <c r="B297" s="62"/>
      <c r="C297" s="62"/>
      <c r="D297" s="81"/>
      <c r="E297" s="81"/>
      <c r="F297" s="81"/>
      <c r="G297" s="81"/>
      <c r="H297" s="81"/>
      <c r="I297" s="81"/>
      <c r="J297" s="81"/>
      <c r="K297" s="62"/>
      <c r="L297" s="169"/>
      <c r="N297" s="242"/>
      <c r="O297" s="242"/>
      <c r="P297" s="242"/>
      <c r="Q297" s="242"/>
      <c r="R297" s="242"/>
      <c r="S297" s="242"/>
      <c r="T297" s="242"/>
      <c r="U297" s="242"/>
      <c r="V297" s="242"/>
    </row>
    <row r="298" spans="1:22">
      <c r="A298" s="109" t="s">
        <v>806</v>
      </c>
      <c r="B298" s="109" t="s">
        <v>807</v>
      </c>
      <c r="C298" s="118"/>
      <c r="D298" s="105" t="s">
        <v>808</v>
      </c>
      <c r="E298" s="105" t="s">
        <v>809</v>
      </c>
      <c r="F298" s="105" t="s">
        <v>810</v>
      </c>
      <c r="G298" s="105" t="s">
        <v>811</v>
      </c>
      <c r="H298" s="105" t="s">
        <v>812</v>
      </c>
      <c r="I298" s="105" t="s">
        <v>813</v>
      </c>
      <c r="J298" s="105"/>
      <c r="K298" s="118"/>
      <c r="L298" s="173">
        <v>6</v>
      </c>
      <c r="N298" s="239">
        <f t="shared" si="168"/>
        <v>1.1426400000000001</v>
      </c>
      <c r="O298" s="239">
        <f t="shared" si="169"/>
        <v>0.61746000000000001</v>
      </c>
      <c r="P298" s="239">
        <f t="shared" si="170"/>
        <v>0.44184000000000001</v>
      </c>
      <c r="Q298" s="239">
        <f t="shared" si="171"/>
        <v>0.35375999999999996</v>
      </c>
      <c r="R298" s="239"/>
      <c r="S298" s="239">
        <f t="shared" si="172"/>
        <v>1.1786400000000001</v>
      </c>
      <c r="T298" s="239">
        <f t="shared" si="173"/>
        <v>0.65346000000000004</v>
      </c>
      <c r="U298" s="239">
        <f t="shared" si="174"/>
        <v>0.47784000000000004</v>
      </c>
      <c r="V298" s="239">
        <f t="shared" si="175"/>
        <v>0.38976</v>
      </c>
    </row>
    <row r="299" spans="1:22">
      <c r="A299" s="109" t="s">
        <v>814</v>
      </c>
      <c r="B299" s="109" t="s">
        <v>815</v>
      </c>
      <c r="C299" s="118"/>
      <c r="D299" s="105"/>
      <c r="E299" s="105" t="s">
        <v>816</v>
      </c>
      <c r="F299" s="105"/>
      <c r="G299" s="105" t="s">
        <v>817</v>
      </c>
      <c r="H299" s="105"/>
      <c r="I299" s="105" t="s">
        <v>818</v>
      </c>
      <c r="J299" s="105"/>
      <c r="K299" s="118"/>
      <c r="L299" s="173">
        <v>7</v>
      </c>
      <c r="N299" s="239">
        <f t="shared" si="168"/>
        <v>1.33308</v>
      </c>
      <c r="O299" s="239">
        <f t="shared" si="169"/>
        <v>0.72036999999999995</v>
      </c>
      <c r="P299" s="239">
        <f t="shared" si="170"/>
        <v>0.51547999999999994</v>
      </c>
      <c r="Q299" s="239">
        <f t="shared" si="171"/>
        <v>0.41271999999999998</v>
      </c>
      <c r="R299" s="239"/>
      <c r="S299" s="239">
        <f t="shared" si="172"/>
        <v>1.3750800000000001</v>
      </c>
      <c r="T299" s="239">
        <f t="shared" si="173"/>
        <v>0.76236999999999999</v>
      </c>
      <c r="U299" s="239">
        <f t="shared" si="174"/>
        <v>0.55747999999999998</v>
      </c>
      <c r="V299" s="239">
        <f t="shared" si="175"/>
        <v>0.45472000000000001</v>
      </c>
    </row>
    <row r="300" spans="1:22">
      <c r="A300" s="109" t="s">
        <v>553</v>
      </c>
      <c r="B300" s="109" t="s">
        <v>819</v>
      </c>
      <c r="C300" s="118" t="s">
        <v>350</v>
      </c>
      <c r="D300" s="105" t="s">
        <v>820</v>
      </c>
      <c r="E300" s="105"/>
      <c r="F300" s="105" t="s">
        <v>821</v>
      </c>
      <c r="G300" s="105"/>
      <c r="H300" s="105" t="s">
        <v>822</v>
      </c>
      <c r="I300" s="105"/>
      <c r="J300" s="105"/>
      <c r="K300" s="118"/>
      <c r="L300" s="173">
        <v>7</v>
      </c>
      <c r="N300" s="239">
        <f t="shared" si="168"/>
        <v>1.33308</v>
      </c>
      <c r="O300" s="239">
        <f t="shared" si="169"/>
        <v>0.72036999999999995</v>
      </c>
      <c r="P300" s="239">
        <f t="shared" si="170"/>
        <v>0.51547999999999994</v>
      </c>
      <c r="Q300" s="239">
        <f t="shared" si="171"/>
        <v>0.41271999999999998</v>
      </c>
      <c r="R300" s="239"/>
      <c r="S300" s="239">
        <f t="shared" si="172"/>
        <v>1.3750800000000001</v>
      </c>
      <c r="T300" s="239">
        <f t="shared" si="173"/>
        <v>0.76236999999999999</v>
      </c>
      <c r="U300" s="239">
        <f t="shared" si="174"/>
        <v>0.55747999999999998</v>
      </c>
      <c r="V300" s="239">
        <f t="shared" si="175"/>
        <v>0.45472000000000001</v>
      </c>
    </row>
    <row r="301" spans="1:22">
      <c r="A301" s="109" t="s">
        <v>823</v>
      </c>
      <c r="B301" s="109" t="s">
        <v>296</v>
      </c>
      <c r="C301" s="118"/>
      <c r="D301" s="105" t="s">
        <v>824</v>
      </c>
      <c r="E301" s="105" t="s">
        <v>825</v>
      </c>
      <c r="F301" s="105" t="s">
        <v>826</v>
      </c>
      <c r="G301" s="105" t="s">
        <v>827</v>
      </c>
      <c r="H301" s="105" t="s">
        <v>828</v>
      </c>
      <c r="I301" s="105" t="s">
        <v>829</v>
      </c>
      <c r="J301" s="105"/>
      <c r="K301" s="118"/>
      <c r="L301" s="173">
        <v>85</v>
      </c>
      <c r="N301" s="239">
        <f t="shared" si="168"/>
        <v>16.1874</v>
      </c>
      <c r="O301" s="239">
        <f t="shared" si="169"/>
        <v>8.7473500000000008</v>
      </c>
      <c r="P301" s="239">
        <f t="shared" si="170"/>
        <v>6.2593999999999994</v>
      </c>
      <c r="Q301" s="239">
        <f t="shared" si="171"/>
        <v>5.0115999999999996</v>
      </c>
      <c r="R301" s="239"/>
      <c r="S301" s="239">
        <f t="shared" si="172"/>
        <v>16.697400000000002</v>
      </c>
      <c r="T301" s="239">
        <f t="shared" si="173"/>
        <v>9.2573500000000006</v>
      </c>
      <c r="U301" s="239">
        <f t="shared" si="174"/>
        <v>6.7694000000000001</v>
      </c>
      <c r="V301" s="239">
        <f t="shared" si="175"/>
        <v>5.5216000000000003</v>
      </c>
    </row>
    <row r="302" spans="1:22">
      <c r="A302" s="109" t="s">
        <v>830</v>
      </c>
      <c r="B302" s="109" t="s">
        <v>831</v>
      </c>
      <c r="C302" s="118"/>
      <c r="D302" s="105" t="s">
        <v>832</v>
      </c>
      <c r="E302" s="105"/>
      <c r="F302" s="105" t="s">
        <v>833</v>
      </c>
      <c r="G302" s="105"/>
      <c r="H302" s="105" t="s">
        <v>834</v>
      </c>
      <c r="I302" s="105"/>
      <c r="J302" s="105"/>
      <c r="K302" s="118"/>
      <c r="L302" s="173">
        <v>260</v>
      </c>
      <c r="N302" s="239">
        <f t="shared" si="168"/>
        <v>49.514400000000002</v>
      </c>
      <c r="O302" s="239">
        <f t="shared" si="169"/>
        <v>26.756599999999999</v>
      </c>
      <c r="P302" s="239">
        <f t="shared" si="170"/>
        <v>19.1464</v>
      </c>
      <c r="Q302" s="239">
        <f t="shared" si="171"/>
        <v>15.329599999999999</v>
      </c>
      <c r="R302" s="239"/>
      <c r="S302" s="239">
        <f t="shared" si="172"/>
        <v>51.074400000000004</v>
      </c>
      <c r="T302" s="239">
        <f t="shared" si="173"/>
        <v>28.316600000000001</v>
      </c>
      <c r="U302" s="239">
        <f t="shared" si="174"/>
        <v>20.706400000000002</v>
      </c>
      <c r="V302" s="239">
        <f t="shared" si="175"/>
        <v>16.889600000000002</v>
      </c>
    </row>
    <row r="303" spans="1:22">
      <c r="A303" s="113"/>
      <c r="B303" s="114"/>
      <c r="C303" s="115"/>
      <c r="D303" s="116"/>
      <c r="E303" s="116"/>
      <c r="F303" s="116"/>
      <c r="G303" s="116"/>
      <c r="H303" s="116"/>
      <c r="I303" s="116"/>
      <c r="J303" s="116"/>
      <c r="K303" s="182"/>
      <c r="L303" s="173"/>
      <c r="N303" s="239"/>
      <c r="O303" s="239"/>
      <c r="P303" s="239"/>
      <c r="Q303" s="239"/>
      <c r="R303" s="239"/>
      <c r="S303" s="239"/>
      <c r="T303" s="239"/>
      <c r="U303" s="239"/>
      <c r="V303" s="239"/>
    </row>
    <row r="304" spans="1:22">
      <c r="A304" s="89" t="s">
        <v>564</v>
      </c>
      <c r="B304" s="62"/>
      <c r="C304" s="62"/>
      <c r="D304" s="81"/>
      <c r="E304" s="81"/>
      <c r="F304" s="81"/>
      <c r="G304" s="81"/>
      <c r="H304" s="81"/>
      <c r="I304" s="81"/>
      <c r="J304" s="81"/>
      <c r="K304" s="62"/>
      <c r="L304" s="169"/>
      <c r="N304" s="242"/>
      <c r="O304" s="242"/>
      <c r="P304" s="242"/>
      <c r="Q304" s="242"/>
      <c r="R304" s="242"/>
      <c r="S304" s="242"/>
      <c r="T304" s="242"/>
      <c r="U304" s="242"/>
      <c r="V304" s="242"/>
    </row>
    <row r="305" spans="1:22">
      <c r="A305" s="109" t="s">
        <v>835</v>
      </c>
      <c r="B305" s="109" t="s">
        <v>836</v>
      </c>
      <c r="C305" s="118"/>
      <c r="D305" s="105" t="s">
        <v>837</v>
      </c>
      <c r="E305" s="105" t="s">
        <v>838</v>
      </c>
      <c r="F305" s="105" t="s">
        <v>839</v>
      </c>
      <c r="G305" s="105" t="s">
        <v>838</v>
      </c>
      <c r="H305" s="105" t="s">
        <v>840</v>
      </c>
      <c r="I305" s="105" t="s">
        <v>838</v>
      </c>
      <c r="J305" s="105"/>
      <c r="K305" s="118"/>
      <c r="L305" s="173">
        <v>1</v>
      </c>
      <c r="N305" s="239">
        <f t="shared" si="168"/>
        <v>0.19044</v>
      </c>
      <c r="O305" s="239">
        <f t="shared" si="169"/>
        <v>0.10291</v>
      </c>
      <c r="P305" s="239">
        <f t="shared" si="170"/>
        <v>7.3639999999999997E-2</v>
      </c>
      <c r="Q305" s="239">
        <f t="shared" si="171"/>
        <v>5.8959999999999999E-2</v>
      </c>
      <c r="R305" s="239"/>
      <c r="S305" s="239">
        <f t="shared" si="172"/>
        <v>0.19644</v>
      </c>
      <c r="T305" s="239">
        <f t="shared" si="173"/>
        <v>0.10891000000000001</v>
      </c>
      <c r="U305" s="239">
        <f t="shared" si="174"/>
        <v>7.9640000000000002E-2</v>
      </c>
      <c r="V305" s="239">
        <f t="shared" si="175"/>
        <v>6.4960000000000004E-2</v>
      </c>
    </row>
    <row r="306" spans="1:22">
      <c r="A306" s="109" t="s">
        <v>841</v>
      </c>
      <c r="B306" s="109" t="s">
        <v>842</v>
      </c>
      <c r="C306" s="118"/>
      <c r="D306" s="105" t="s">
        <v>843</v>
      </c>
      <c r="E306" s="105" t="s">
        <v>844</v>
      </c>
      <c r="F306" s="105" t="s">
        <v>845</v>
      </c>
      <c r="G306" s="105" t="s">
        <v>846</v>
      </c>
      <c r="H306" s="105" t="s">
        <v>847</v>
      </c>
      <c r="I306" s="105" t="s">
        <v>848</v>
      </c>
      <c r="J306" s="105"/>
      <c r="K306" s="118"/>
      <c r="L306" s="173">
        <v>7</v>
      </c>
      <c r="N306" s="239">
        <f t="shared" si="168"/>
        <v>1.33308</v>
      </c>
      <c r="O306" s="239">
        <f t="shared" si="169"/>
        <v>0.72036999999999995</v>
      </c>
      <c r="P306" s="239">
        <f t="shared" si="170"/>
        <v>0.51547999999999994</v>
      </c>
      <c r="Q306" s="239">
        <f t="shared" si="171"/>
        <v>0.41271999999999998</v>
      </c>
      <c r="R306" s="239"/>
      <c r="S306" s="239">
        <f t="shared" si="172"/>
        <v>1.3750800000000001</v>
      </c>
      <c r="T306" s="239">
        <f t="shared" si="173"/>
        <v>0.76236999999999999</v>
      </c>
      <c r="U306" s="239">
        <f t="shared" si="174"/>
        <v>0.55747999999999998</v>
      </c>
      <c r="V306" s="239">
        <f t="shared" si="175"/>
        <v>0.45472000000000001</v>
      </c>
    </row>
    <row r="307" spans="1:22">
      <c r="A307" s="109" t="s">
        <v>849</v>
      </c>
      <c r="B307" s="109" t="s">
        <v>850</v>
      </c>
      <c r="C307" s="118"/>
      <c r="D307" s="105"/>
      <c r="E307" s="105"/>
      <c r="F307" s="105"/>
      <c r="G307" s="105"/>
      <c r="H307" s="105" t="s">
        <v>851</v>
      </c>
      <c r="I307" s="105"/>
      <c r="J307" s="105"/>
      <c r="K307" s="118"/>
      <c r="L307" s="173">
        <v>10</v>
      </c>
      <c r="N307" s="239">
        <f t="shared" ref="N307" si="184">L307*$N$8</f>
        <v>1.9043999999999999</v>
      </c>
      <c r="O307" s="239">
        <f t="shared" ref="O307" si="185">L307*$O$8</f>
        <v>1.0291000000000001</v>
      </c>
      <c r="P307" s="239">
        <f t="shared" ref="P307" si="186">L307*$P$8</f>
        <v>0.73639999999999994</v>
      </c>
      <c r="Q307" s="239">
        <f t="shared" ref="Q307" si="187">L307*$Q$8</f>
        <v>0.58960000000000001</v>
      </c>
      <c r="R307" s="239"/>
      <c r="S307" s="239">
        <f t="shared" ref="S307" si="188">L307*$S$8</f>
        <v>1.9643999999999999</v>
      </c>
      <c r="T307" s="239">
        <f t="shared" ref="T307" si="189">L307*$T$8</f>
        <v>1.0891000000000002</v>
      </c>
      <c r="U307" s="239">
        <f t="shared" ref="U307" si="190">L307*$U$8</f>
        <v>0.7964</v>
      </c>
      <c r="V307" s="239">
        <f t="shared" ref="V307" si="191">L307*$V$8</f>
        <v>0.64960000000000007</v>
      </c>
    </row>
    <row r="308" spans="1:22" s="3" customFormat="1">
      <c r="A308" s="113"/>
      <c r="B308" s="114"/>
      <c r="C308" s="115"/>
      <c r="D308" s="116"/>
      <c r="E308" s="116"/>
      <c r="F308" s="116"/>
      <c r="G308" s="116"/>
      <c r="H308" s="116"/>
      <c r="I308" s="116"/>
      <c r="J308" s="116"/>
      <c r="K308" s="182"/>
      <c r="L308" s="173"/>
      <c r="N308" s="239"/>
      <c r="O308" s="239"/>
      <c r="P308" s="239"/>
      <c r="Q308" s="239"/>
      <c r="R308" s="239"/>
      <c r="S308" s="239"/>
      <c r="T308" s="239"/>
      <c r="U308" s="239"/>
      <c r="V308" s="239"/>
    </row>
    <row r="309" spans="1:22">
      <c r="A309" s="89" t="s">
        <v>853</v>
      </c>
      <c r="B309" s="90"/>
      <c r="C309" s="90"/>
      <c r="D309" s="91"/>
      <c r="E309" s="91"/>
      <c r="F309" s="91"/>
      <c r="G309" s="91"/>
      <c r="H309" s="91"/>
      <c r="I309" s="91"/>
      <c r="J309" s="91"/>
      <c r="K309" s="90"/>
      <c r="L309" s="168"/>
      <c r="N309" s="238"/>
      <c r="O309" s="238"/>
      <c r="P309" s="238"/>
      <c r="Q309" s="238"/>
      <c r="R309" s="238"/>
      <c r="S309" s="238"/>
      <c r="T309" s="238"/>
      <c r="U309" s="238"/>
      <c r="V309" s="238"/>
    </row>
    <row r="310" spans="1:22">
      <c r="A310" s="109" t="s">
        <v>317</v>
      </c>
      <c r="B310" s="109" t="s">
        <v>318</v>
      </c>
      <c r="C310" s="118"/>
      <c r="D310" s="104" t="s">
        <v>854</v>
      </c>
      <c r="E310" s="104" t="s">
        <v>854</v>
      </c>
      <c r="F310" s="104" t="s">
        <v>854</v>
      </c>
      <c r="G310" s="104" t="s">
        <v>854</v>
      </c>
      <c r="H310" s="104" t="s">
        <v>854</v>
      </c>
      <c r="I310" s="104" t="s">
        <v>854</v>
      </c>
      <c r="J310" s="104"/>
      <c r="K310" s="107"/>
      <c r="L310" s="173">
        <v>20</v>
      </c>
      <c r="N310" s="239">
        <f t="shared" si="168"/>
        <v>3.8087999999999997</v>
      </c>
      <c r="O310" s="239">
        <f t="shared" si="169"/>
        <v>2.0582000000000003</v>
      </c>
      <c r="P310" s="239">
        <f t="shared" si="170"/>
        <v>1.4727999999999999</v>
      </c>
      <c r="Q310" s="239">
        <f t="shared" si="171"/>
        <v>1.1792</v>
      </c>
      <c r="R310" s="239"/>
      <c r="S310" s="239">
        <f t="shared" si="172"/>
        <v>3.9287999999999998</v>
      </c>
      <c r="T310" s="239">
        <f t="shared" si="173"/>
        <v>2.1782000000000004</v>
      </c>
      <c r="U310" s="239">
        <f t="shared" si="174"/>
        <v>1.5928</v>
      </c>
      <c r="V310" s="239">
        <f t="shared" si="175"/>
        <v>1.2992000000000001</v>
      </c>
    </row>
    <row r="311" spans="1:22">
      <c r="A311" s="109" t="s">
        <v>320</v>
      </c>
      <c r="B311" s="119" t="s">
        <v>321</v>
      </c>
      <c r="C311" s="120"/>
      <c r="D311" s="104" t="s">
        <v>855</v>
      </c>
      <c r="E311" s="104" t="s">
        <v>855</v>
      </c>
      <c r="F311" s="104" t="s">
        <v>855</v>
      </c>
      <c r="G311" s="104" t="s">
        <v>855</v>
      </c>
      <c r="H311" s="104" t="s">
        <v>855</v>
      </c>
      <c r="I311" s="104" t="s">
        <v>855</v>
      </c>
      <c r="J311" s="104"/>
      <c r="K311" s="107"/>
      <c r="L311" s="173">
        <v>60</v>
      </c>
      <c r="N311" s="239">
        <f t="shared" si="168"/>
        <v>11.426399999999999</v>
      </c>
      <c r="O311" s="239">
        <f t="shared" si="169"/>
        <v>6.1745999999999999</v>
      </c>
      <c r="P311" s="239">
        <f t="shared" si="170"/>
        <v>4.4184000000000001</v>
      </c>
      <c r="Q311" s="239">
        <f t="shared" si="171"/>
        <v>3.5375999999999999</v>
      </c>
      <c r="R311" s="239"/>
      <c r="S311" s="239">
        <f t="shared" si="172"/>
        <v>11.7864</v>
      </c>
      <c r="T311" s="239">
        <f t="shared" si="173"/>
        <v>6.5346000000000002</v>
      </c>
      <c r="U311" s="239">
        <f t="shared" si="174"/>
        <v>4.7784000000000004</v>
      </c>
      <c r="V311" s="239">
        <f t="shared" si="175"/>
        <v>3.8976000000000002</v>
      </c>
    </row>
    <row r="312" spans="1:22">
      <c r="A312" s="109" t="s">
        <v>323</v>
      </c>
      <c r="B312" s="109" t="s">
        <v>324</v>
      </c>
      <c r="C312" s="118"/>
      <c r="D312" s="104" t="s">
        <v>856</v>
      </c>
      <c r="E312" s="104" t="s">
        <v>856</v>
      </c>
      <c r="F312" s="104" t="s">
        <v>856</v>
      </c>
      <c r="G312" s="104" t="s">
        <v>856</v>
      </c>
      <c r="H312" s="104" t="s">
        <v>856</v>
      </c>
      <c r="I312" s="104" t="s">
        <v>856</v>
      </c>
      <c r="J312" s="104"/>
      <c r="K312" s="107"/>
      <c r="L312" s="173">
        <v>80</v>
      </c>
      <c r="N312" s="239">
        <f t="shared" si="168"/>
        <v>15.235199999999999</v>
      </c>
      <c r="O312" s="239">
        <f t="shared" si="169"/>
        <v>8.232800000000001</v>
      </c>
      <c r="P312" s="239">
        <f t="shared" si="170"/>
        <v>5.8911999999999995</v>
      </c>
      <c r="Q312" s="239">
        <f t="shared" si="171"/>
        <v>4.7168000000000001</v>
      </c>
      <c r="R312" s="239"/>
      <c r="S312" s="239">
        <f t="shared" si="172"/>
        <v>15.715199999999999</v>
      </c>
      <c r="T312" s="239">
        <f t="shared" si="173"/>
        <v>8.7128000000000014</v>
      </c>
      <c r="U312" s="239">
        <f t="shared" si="174"/>
        <v>6.3712</v>
      </c>
      <c r="V312" s="239">
        <f t="shared" si="175"/>
        <v>5.1968000000000005</v>
      </c>
    </row>
    <row r="313" spans="1:22">
      <c r="A313" s="109" t="s">
        <v>574</v>
      </c>
      <c r="B313" s="109" t="s">
        <v>575</v>
      </c>
      <c r="C313" s="118"/>
      <c r="D313" s="104" t="s">
        <v>857</v>
      </c>
      <c r="E313" s="104" t="s">
        <v>857</v>
      </c>
      <c r="F313" s="104" t="s">
        <v>857</v>
      </c>
      <c r="G313" s="104" t="s">
        <v>857</v>
      </c>
      <c r="H313" s="104" t="s">
        <v>857</v>
      </c>
      <c r="I313" s="104" t="s">
        <v>857</v>
      </c>
      <c r="J313" s="104"/>
      <c r="K313" s="107"/>
      <c r="L313" s="173">
        <v>20</v>
      </c>
      <c r="N313" s="239">
        <f t="shared" si="168"/>
        <v>3.8087999999999997</v>
      </c>
      <c r="O313" s="239">
        <f t="shared" si="169"/>
        <v>2.0582000000000003</v>
      </c>
      <c r="P313" s="239">
        <f t="shared" si="170"/>
        <v>1.4727999999999999</v>
      </c>
      <c r="Q313" s="239">
        <f t="shared" si="171"/>
        <v>1.1792</v>
      </c>
      <c r="R313" s="239"/>
      <c r="S313" s="239">
        <f t="shared" si="172"/>
        <v>3.9287999999999998</v>
      </c>
      <c r="T313" s="239">
        <f t="shared" si="173"/>
        <v>2.1782000000000004</v>
      </c>
      <c r="U313" s="239">
        <f t="shared" si="174"/>
        <v>1.5928</v>
      </c>
      <c r="V313" s="239">
        <f t="shared" si="175"/>
        <v>1.2992000000000001</v>
      </c>
    </row>
    <row r="314" spans="1:22">
      <c r="A314" s="109" t="s">
        <v>326</v>
      </c>
      <c r="B314" s="109" t="s">
        <v>327</v>
      </c>
      <c r="C314" s="118"/>
      <c r="D314" s="105" t="s">
        <v>328</v>
      </c>
      <c r="E314" s="105" t="s">
        <v>328</v>
      </c>
      <c r="F314" s="105" t="s">
        <v>328</v>
      </c>
      <c r="G314" s="105" t="s">
        <v>328</v>
      </c>
      <c r="H314" s="105" t="s">
        <v>328</v>
      </c>
      <c r="I314" s="105" t="s">
        <v>328</v>
      </c>
      <c r="J314" s="105"/>
      <c r="K314" s="118"/>
      <c r="L314" s="173">
        <v>158</v>
      </c>
      <c r="N314" s="239">
        <f t="shared" si="168"/>
        <v>30.08952</v>
      </c>
      <c r="O314" s="239">
        <f t="shared" si="169"/>
        <v>16.259779999999999</v>
      </c>
      <c r="P314" s="239">
        <f t="shared" si="170"/>
        <v>11.635119999999999</v>
      </c>
      <c r="Q314" s="239">
        <f t="shared" si="171"/>
        <v>9.3156800000000004</v>
      </c>
      <c r="R314" s="239"/>
      <c r="S314" s="239">
        <f t="shared" si="172"/>
        <v>31.037520000000001</v>
      </c>
      <c r="T314" s="239">
        <f t="shared" si="173"/>
        <v>17.20778</v>
      </c>
      <c r="U314" s="239">
        <f t="shared" si="174"/>
        <v>12.583120000000001</v>
      </c>
      <c r="V314" s="239">
        <f t="shared" si="175"/>
        <v>10.263680000000001</v>
      </c>
    </row>
    <row r="315" spans="1:22">
      <c r="A315" s="109" t="s">
        <v>1682</v>
      </c>
      <c r="B315" s="109" t="s">
        <v>1666</v>
      </c>
      <c r="C315" s="118"/>
      <c r="D315" s="109" t="s">
        <v>1708</v>
      </c>
      <c r="E315" s="109" t="s">
        <v>1708</v>
      </c>
      <c r="F315" s="109" t="s">
        <v>1708</v>
      </c>
      <c r="G315" s="109" t="s">
        <v>1708</v>
      </c>
      <c r="H315" s="109" t="s">
        <v>1708</v>
      </c>
      <c r="I315" s="105" t="s">
        <v>1708</v>
      </c>
      <c r="J315" s="105"/>
      <c r="K315" s="118"/>
      <c r="L315" s="173">
        <v>22</v>
      </c>
      <c r="N315" s="239">
        <f t="shared" ref="N315:N316" si="192">L315*$N$8</f>
        <v>4.1896800000000001</v>
      </c>
      <c r="O315" s="239">
        <f t="shared" ref="O315:O316" si="193">L315*$O$8</f>
        <v>2.2640199999999999</v>
      </c>
      <c r="P315" s="239">
        <f t="shared" ref="P315:P316" si="194">L315*$P$8</f>
        <v>1.62008</v>
      </c>
      <c r="Q315" s="239">
        <f t="shared" ref="Q315:Q316" si="195">L315*$Q$8</f>
        <v>1.2971200000000001</v>
      </c>
      <c r="R315" s="239"/>
      <c r="S315" s="239">
        <f t="shared" ref="S315:S316" si="196">L315*$S$8</f>
        <v>4.3216799999999997</v>
      </c>
      <c r="T315" s="239">
        <f t="shared" ref="T315:T316" si="197">L315*$T$8</f>
        <v>2.39602</v>
      </c>
      <c r="U315" s="239">
        <f t="shared" ref="U315:U316" si="198">L315*$U$8</f>
        <v>1.7520800000000001</v>
      </c>
      <c r="V315" s="239">
        <f t="shared" ref="V315:V316" si="199">L315*$V$8</f>
        <v>1.4291200000000002</v>
      </c>
    </row>
    <row r="316" spans="1:22" ht="25.5">
      <c r="A316" s="109" t="s">
        <v>329</v>
      </c>
      <c r="B316" s="109" t="s">
        <v>330</v>
      </c>
      <c r="C316" s="118"/>
      <c r="D316" s="109" t="s">
        <v>1712</v>
      </c>
      <c r="E316" s="109" t="s">
        <v>1712</v>
      </c>
      <c r="F316" s="109" t="s">
        <v>1712</v>
      </c>
      <c r="G316" s="109" t="s">
        <v>1712</v>
      </c>
      <c r="H316" s="109" t="s">
        <v>1712</v>
      </c>
      <c r="I316" s="109" t="s">
        <v>1712</v>
      </c>
      <c r="J316" s="105"/>
      <c r="K316" s="118"/>
      <c r="L316" s="173">
        <v>82</v>
      </c>
      <c r="N316" s="239">
        <f t="shared" si="192"/>
        <v>15.61608</v>
      </c>
      <c r="O316" s="239">
        <f t="shared" si="193"/>
        <v>8.4386200000000002</v>
      </c>
      <c r="P316" s="239">
        <f t="shared" si="194"/>
        <v>6.0384799999999998</v>
      </c>
      <c r="Q316" s="239">
        <f t="shared" si="195"/>
        <v>4.8347199999999999</v>
      </c>
      <c r="R316" s="239"/>
      <c r="S316" s="239">
        <f t="shared" si="196"/>
        <v>16.108080000000001</v>
      </c>
      <c r="T316" s="239">
        <f t="shared" si="197"/>
        <v>8.9306200000000011</v>
      </c>
      <c r="U316" s="239">
        <f t="shared" si="198"/>
        <v>6.5304799999999998</v>
      </c>
      <c r="V316" s="239">
        <f t="shared" si="199"/>
        <v>5.3267199999999999</v>
      </c>
    </row>
    <row r="317" spans="1:22">
      <c r="A317" s="113"/>
      <c r="B317" s="114"/>
      <c r="C317" s="115"/>
      <c r="D317" s="116"/>
      <c r="E317" s="116"/>
      <c r="F317" s="116"/>
      <c r="G317" s="116"/>
      <c r="H317" s="116"/>
      <c r="I317" s="116"/>
      <c r="J317" s="116"/>
      <c r="K317" s="182"/>
      <c r="L317" s="173"/>
      <c r="N317" s="239"/>
      <c r="O317" s="239"/>
      <c r="P317" s="239"/>
      <c r="Q317" s="239"/>
      <c r="R317" s="239"/>
      <c r="S317" s="239"/>
      <c r="T317" s="239"/>
      <c r="U317" s="239"/>
      <c r="V317" s="239"/>
    </row>
    <row r="318" spans="1:22" s="13" customFormat="1" ht="20.25">
      <c r="A318" s="101" t="s">
        <v>858</v>
      </c>
      <c r="B318" s="101"/>
      <c r="C318" s="102"/>
      <c r="D318" s="103"/>
      <c r="E318" s="103"/>
      <c r="F318" s="103"/>
      <c r="G318" s="103"/>
      <c r="H318" s="103"/>
      <c r="I318" s="103"/>
      <c r="J318" s="103"/>
      <c r="K318" s="101"/>
      <c r="L318" s="103"/>
      <c r="N318" s="189" t="s">
        <v>1571</v>
      </c>
      <c r="O318" s="189"/>
      <c r="P318" s="189"/>
      <c r="Q318" s="189"/>
      <c r="R318" s="145"/>
      <c r="S318" s="189" t="s">
        <v>1572</v>
      </c>
      <c r="T318" s="189"/>
      <c r="U318" s="189"/>
      <c r="V318" s="189"/>
    </row>
    <row r="319" spans="1:22" s="13" customFormat="1" ht="99.95" customHeight="1">
      <c r="A319" s="17" t="s">
        <v>117</v>
      </c>
      <c r="B319" s="17" t="s">
        <v>118</v>
      </c>
      <c r="C319" s="17" t="s">
        <v>119</v>
      </c>
      <c r="D319" s="17"/>
      <c r="E319" s="17"/>
      <c r="F319" s="17"/>
      <c r="G319" s="17"/>
      <c r="H319" s="17"/>
      <c r="I319" s="17"/>
      <c r="J319" s="17"/>
      <c r="K319" s="17" t="s">
        <v>120</v>
      </c>
      <c r="L319" s="17" t="s">
        <v>1573</v>
      </c>
      <c r="N319" s="147" t="s">
        <v>1574</v>
      </c>
      <c r="O319" s="146" t="s">
        <v>1575</v>
      </c>
      <c r="P319" s="147" t="s">
        <v>1576</v>
      </c>
      <c r="Q319" s="147" t="s">
        <v>1577</v>
      </c>
      <c r="R319" s="145"/>
      <c r="S319" s="147" t="s">
        <v>1574</v>
      </c>
      <c r="T319" s="146" t="s">
        <v>1575</v>
      </c>
      <c r="U319" s="147" t="s">
        <v>1576</v>
      </c>
      <c r="V319" s="147" t="s">
        <v>1577</v>
      </c>
    </row>
    <row r="320" spans="1:22" ht="11.45" customHeight="1">
      <c r="A320" s="113"/>
      <c r="B320" s="114"/>
      <c r="C320" s="115"/>
      <c r="D320" s="116"/>
      <c r="E320" s="116"/>
      <c r="F320" s="116"/>
      <c r="G320" s="116"/>
      <c r="H320" s="116"/>
      <c r="I320" s="116"/>
      <c r="J320" s="116"/>
      <c r="K320" s="182"/>
      <c r="L320" s="173"/>
      <c r="N320" s="239"/>
      <c r="O320" s="239"/>
      <c r="P320" s="239"/>
      <c r="Q320" s="239"/>
      <c r="R320" s="239"/>
      <c r="S320" s="239"/>
      <c r="T320" s="239"/>
      <c r="U320" s="239"/>
      <c r="V320" s="239"/>
    </row>
    <row r="321" spans="1:22" ht="150" customHeight="1">
      <c r="A321" s="113" t="s">
        <v>859</v>
      </c>
      <c r="B321" s="114" t="s">
        <v>860</v>
      </c>
      <c r="C321" s="115"/>
      <c r="D321" s="116"/>
      <c r="E321" s="116"/>
      <c r="F321" s="116"/>
      <c r="G321" s="116"/>
      <c r="H321" s="116"/>
      <c r="I321" s="116"/>
      <c r="J321" s="116"/>
      <c r="K321" s="182"/>
      <c r="L321" s="173">
        <v>672</v>
      </c>
      <c r="N321" s="239">
        <f t="shared" si="168"/>
        <v>127.97568</v>
      </c>
      <c r="O321" s="239">
        <f t="shared" si="169"/>
        <v>69.155519999999996</v>
      </c>
      <c r="P321" s="239">
        <f t="shared" si="170"/>
        <v>49.486080000000001</v>
      </c>
      <c r="Q321" s="239">
        <f t="shared" si="171"/>
        <v>39.621119999999998</v>
      </c>
      <c r="R321" s="239"/>
      <c r="S321" s="239">
        <f t="shared" si="172"/>
        <v>132.00767999999999</v>
      </c>
      <c r="T321" s="239">
        <f t="shared" si="173"/>
        <v>73.187520000000006</v>
      </c>
      <c r="U321" s="239">
        <f t="shared" si="174"/>
        <v>53.518080000000005</v>
      </c>
      <c r="V321" s="239">
        <f t="shared" si="175"/>
        <v>43.653120000000001</v>
      </c>
    </row>
    <row r="322" spans="1:22" s="1" customFormat="1" ht="12" customHeight="1">
      <c r="A322" s="113"/>
      <c r="B322" s="114"/>
      <c r="C322" s="115"/>
      <c r="D322" s="116"/>
      <c r="E322" s="116"/>
      <c r="F322" s="116"/>
      <c r="G322" s="116"/>
      <c r="H322" s="116"/>
      <c r="I322" s="116"/>
      <c r="J322" s="116"/>
      <c r="K322" s="182"/>
      <c r="L322" s="173"/>
      <c r="N322" s="239"/>
      <c r="O322" s="239"/>
      <c r="P322" s="239"/>
      <c r="Q322" s="239"/>
      <c r="R322" s="239"/>
      <c r="S322" s="239"/>
      <c r="T322" s="239"/>
      <c r="U322" s="239"/>
      <c r="V322" s="239"/>
    </row>
    <row r="323" spans="1:22" s="1" customFormat="1" ht="150" customHeight="1">
      <c r="A323" s="109" t="s">
        <v>861</v>
      </c>
      <c r="B323" s="114" t="s">
        <v>862</v>
      </c>
      <c r="C323" s="115"/>
      <c r="D323" s="116"/>
      <c r="E323" s="116"/>
      <c r="F323" s="116"/>
      <c r="G323" s="116"/>
      <c r="H323" s="116"/>
      <c r="I323" s="116"/>
      <c r="J323" s="116"/>
      <c r="K323" s="183"/>
      <c r="L323" s="173">
        <v>852</v>
      </c>
      <c r="N323" s="239">
        <f t="shared" si="168"/>
        <v>162.25487999999999</v>
      </c>
      <c r="O323" s="239">
        <f t="shared" si="169"/>
        <v>87.679320000000004</v>
      </c>
      <c r="P323" s="239">
        <f t="shared" si="170"/>
        <v>62.741279999999996</v>
      </c>
      <c r="Q323" s="239">
        <f t="shared" si="171"/>
        <v>50.233919999999998</v>
      </c>
      <c r="R323" s="239"/>
      <c r="S323" s="239">
        <f t="shared" si="172"/>
        <v>167.36688000000001</v>
      </c>
      <c r="T323" s="239">
        <f t="shared" si="173"/>
        <v>92.791319999999999</v>
      </c>
      <c r="U323" s="239">
        <f t="shared" si="174"/>
        <v>67.853279999999998</v>
      </c>
      <c r="V323" s="239">
        <f t="shared" si="175"/>
        <v>55.345920000000007</v>
      </c>
    </row>
    <row r="324" spans="1:22">
      <c r="A324" s="113"/>
      <c r="B324" s="114"/>
      <c r="C324" s="115"/>
      <c r="D324" s="116"/>
      <c r="E324" s="116"/>
      <c r="F324" s="116"/>
      <c r="G324" s="116"/>
      <c r="H324" s="116"/>
      <c r="I324" s="116"/>
      <c r="J324" s="116"/>
      <c r="K324" s="182"/>
      <c r="L324" s="173"/>
      <c r="N324" s="239"/>
      <c r="O324" s="239"/>
      <c r="P324" s="239"/>
      <c r="Q324" s="239"/>
      <c r="R324" s="239"/>
      <c r="S324" s="239"/>
      <c r="T324" s="239"/>
      <c r="U324" s="239"/>
      <c r="V324" s="239"/>
    </row>
    <row r="325" spans="1:22" ht="60" customHeight="1">
      <c r="A325" s="18" t="s">
        <v>863</v>
      </c>
      <c r="B325" s="17" t="s">
        <v>338</v>
      </c>
      <c r="C325" s="17" t="s">
        <v>119</v>
      </c>
      <c r="D325" s="17" t="s">
        <v>1585</v>
      </c>
      <c r="E325" s="17" t="s">
        <v>1586</v>
      </c>
      <c r="F325" s="17"/>
      <c r="G325" s="17"/>
      <c r="H325" s="71"/>
      <c r="I325" s="71"/>
      <c r="J325" s="71"/>
      <c r="K325" s="17" t="s">
        <v>120</v>
      </c>
      <c r="L325" s="176" t="s">
        <v>938</v>
      </c>
      <c r="N325" s="147" t="s">
        <v>1574</v>
      </c>
      <c r="O325" s="146" t="s">
        <v>1575</v>
      </c>
      <c r="P325" s="147" t="s">
        <v>1576</v>
      </c>
      <c r="Q325" s="147" t="s">
        <v>1577</v>
      </c>
      <c r="R325" s="145"/>
      <c r="S325" s="147" t="s">
        <v>1574</v>
      </c>
      <c r="T325" s="146" t="s">
        <v>1575</v>
      </c>
      <c r="U325" s="147" t="s">
        <v>1576</v>
      </c>
      <c r="V325" s="147" t="s">
        <v>1577</v>
      </c>
    </row>
    <row r="326" spans="1:22">
      <c r="A326" s="89" t="s">
        <v>140</v>
      </c>
      <c r="B326" s="62"/>
      <c r="C326" s="62"/>
      <c r="D326" s="81"/>
      <c r="E326" s="81"/>
      <c r="F326" s="81"/>
      <c r="G326" s="81"/>
      <c r="H326" s="81"/>
      <c r="I326" s="81"/>
      <c r="J326" s="81"/>
      <c r="K326" s="62"/>
      <c r="L326" s="169"/>
      <c r="N326" s="242"/>
      <c r="O326" s="242"/>
      <c r="P326" s="242"/>
      <c r="Q326" s="242"/>
      <c r="R326" s="242"/>
      <c r="S326" s="242"/>
      <c r="T326" s="242"/>
      <c r="U326" s="242"/>
      <c r="V326" s="242"/>
    </row>
    <row r="327" spans="1:22" s="3" customFormat="1">
      <c r="A327" s="109" t="s">
        <v>865</v>
      </c>
      <c r="B327" s="109" t="s">
        <v>866</v>
      </c>
      <c r="C327" s="118" t="s">
        <v>350</v>
      </c>
      <c r="D327" s="105" t="s">
        <v>867</v>
      </c>
      <c r="E327" s="105" t="s">
        <v>868</v>
      </c>
      <c r="F327" s="105"/>
      <c r="G327" s="105"/>
      <c r="H327" s="105"/>
      <c r="I327" s="105"/>
      <c r="J327" s="105"/>
      <c r="K327" s="118"/>
      <c r="L327" s="173">
        <v>119</v>
      </c>
      <c r="N327" s="239">
        <f t="shared" si="168"/>
        <v>22.66236</v>
      </c>
      <c r="O327" s="239">
        <f t="shared" si="169"/>
        <v>12.24629</v>
      </c>
      <c r="P327" s="239">
        <f t="shared" si="170"/>
        <v>8.7631599999999992</v>
      </c>
      <c r="Q327" s="239">
        <f t="shared" si="171"/>
        <v>7.0162399999999998</v>
      </c>
      <c r="R327" s="239"/>
      <c r="S327" s="239">
        <f t="shared" si="172"/>
        <v>23.376360000000002</v>
      </c>
      <c r="T327" s="239">
        <f t="shared" si="173"/>
        <v>12.960290000000001</v>
      </c>
      <c r="U327" s="239">
        <f t="shared" si="174"/>
        <v>9.4771599999999996</v>
      </c>
      <c r="V327" s="239">
        <f t="shared" si="175"/>
        <v>7.7302400000000002</v>
      </c>
    </row>
    <row r="328" spans="1:22" s="3" customFormat="1">
      <c r="A328" s="109" t="s">
        <v>869</v>
      </c>
      <c r="B328" s="109" t="s">
        <v>870</v>
      </c>
      <c r="C328" s="118" t="s">
        <v>350</v>
      </c>
      <c r="D328" s="118"/>
      <c r="E328" s="105" t="s">
        <v>871</v>
      </c>
      <c r="F328" s="105"/>
      <c r="G328" s="105"/>
      <c r="H328" s="105"/>
      <c r="I328" s="105"/>
      <c r="J328" s="105"/>
      <c r="K328" s="118"/>
      <c r="L328" s="173">
        <v>119</v>
      </c>
      <c r="N328" s="239">
        <f t="shared" si="168"/>
        <v>22.66236</v>
      </c>
      <c r="O328" s="239">
        <f t="shared" si="169"/>
        <v>12.24629</v>
      </c>
      <c r="P328" s="239">
        <f t="shared" si="170"/>
        <v>8.7631599999999992</v>
      </c>
      <c r="Q328" s="239">
        <f t="shared" si="171"/>
        <v>7.0162399999999998</v>
      </c>
      <c r="R328" s="239"/>
      <c r="S328" s="239">
        <f t="shared" si="172"/>
        <v>23.376360000000002</v>
      </c>
      <c r="T328" s="239">
        <f t="shared" si="173"/>
        <v>12.960290000000001</v>
      </c>
      <c r="U328" s="239">
        <f t="shared" si="174"/>
        <v>9.4771599999999996</v>
      </c>
      <c r="V328" s="239">
        <f t="shared" si="175"/>
        <v>7.7302400000000002</v>
      </c>
    </row>
    <row r="329" spans="1:22" s="3" customFormat="1">
      <c r="A329" s="109" t="s">
        <v>872</v>
      </c>
      <c r="B329" s="109" t="s">
        <v>873</v>
      </c>
      <c r="C329" s="118" t="s">
        <v>350</v>
      </c>
      <c r="D329" s="105" t="s">
        <v>874</v>
      </c>
      <c r="E329" s="105"/>
      <c r="F329" s="105"/>
      <c r="G329" s="105"/>
      <c r="H329" s="105"/>
      <c r="I329" s="105"/>
      <c r="J329" s="105"/>
      <c r="K329" s="118"/>
      <c r="L329" s="173">
        <v>243</v>
      </c>
      <c r="N329" s="239">
        <f t="shared" si="168"/>
        <v>46.276919999999997</v>
      </c>
      <c r="O329" s="239">
        <f t="shared" si="169"/>
        <v>25.00713</v>
      </c>
      <c r="P329" s="239">
        <f t="shared" si="170"/>
        <v>17.89452</v>
      </c>
      <c r="Q329" s="239">
        <f t="shared" si="171"/>
        <v>14.32728</v>
      </c>
      <c r="R329" s="239"/>
      <c r="S329" s="239">
        <f t="shared" si="172"/>
        <v>47.734920000000002</v>
      </c>
      <c r="T329" s="239">
        <f t="shared" si="173"/>
        <v>26.465130000000002</v>
      </c>
      <c r="U329" s="239">
        <f t="shared" si="174"/>
        <v>19.352520000000002</v>
      </c>
      <c r="V329" s="239">
        <f t="shared" si="175"/>
        <v>15.78528</v>
      </c>
    </row>
    <row r="330" spans="1:22" s="3" customFormat="1">
      <c r="A330" s="109" t="s">
        <v>875</v>
      </c>
      <c r="B330" s="109" t="s">
        <v>876</v>
      </c>
      <c r="C330" s="118" t="s">
        <v>350</v>
      </c>
      <c r="D330" s="118"/>
      <c r="E330" s="105" t="s">
        <v>877</v>
      </c>
      <c r="F330" s="105"/>
      <c r="G330" s="105"/>
      <c r="H330" s="105"/>
      <c r="I330" s="105"/>
      <c r="J330" s="105"/>
      <c r="K330" s="118"/>
      <c r="L330" s="173">
        <v>243</v>
      </c>
      <c r="N330" s="239">
        <f t="shared" si="168"/>
        <v>46.276919999999997</v>
      </c>
      <c r="O330" s="239">
        <f t="shared" si="169"/>
        <v>25.00713</v>
      </c>
      <c r="P330" s="239">
        <f t="shared" si="170"/>
        <v>17.89452</v>
      </c>
      <c r="Q330" s="239">
        <f t="shared" si="171"/>
        <v>14.32728</v>
      </c>
      <c r="R330" s="239"/>
      <c r="S330" s="239">
        <f t="shared" si="172"/>
        <v>47.734920000000002</v>
      </c>
      <c r="T330" s="239">
        <f t="shared" si="173"/>
        <v>26.465130000000002</v>
      </c>
      <c r="U330" s="239">
        <f t="shared" si="174"/>
        <v>19.352520000000002</v>
      </c>
      <c r="V330" s="239">
        <f t="shared" si="175"/>
        <v>15.78528</v>
      </c>
    </row>
    <row r="331" spans="1:22" s="3" customFormat="1">
      <c r="A331" s="113"/>
      <c r="B331" s="114"/>
      <c r="C331" s="115"/>
      <c r="D331" s="116"/>
      <c r="E331" s="116"/>
      <c r="F331" s="116"/>
      <c r="G331" s="116"/>
      <c r="H331" s="116"/>
      <c r="I331" s="116"/>
      <c r="J331" s="116"/>
      <c r="K331" s="182"/>
      <c r="L331" s="173"/>
      <c r="N331" s="239"/>
      <c r="O331" s="239"/>
      <c r="P331" s="239"/>
      <c r="Q331" s="239"/>
      <c r="R331" s="239"/>
      <c r="S331" s="239"/>
      <c r="T331" s="239"/>
      <c r="U331" s="239"/>
      <c r="V331" s="239"/>
    </row>
    <row r="332" spans="1:22" s="3" customFormat="1">
      <c r="A332" s="89" t="s">
        <v>1587</v>
      </c>
      <c r="B332" s="62"/>
      <c r="C332" s="62"/>
      <c r="D332" s="81"/>
      <c r="E332" s="81"/>
      <c r="F332" s="81"/>
      <c r="G332" s="81"/>
      <c r="H332" s="81"/>
      <c r="I332" s="81"/>
      <c r="J332" s="81"/>
      <c r="K332" s="62"/>
      <c r="L332" s="169"/>
      <c r="N332" s="242"/>
      <c r="O332" s="242"/>
      <c r="P332" s="242"/>
      <c r="Q332" s="242"/>
      <c r="R332" s="242"/>
      <c r="S332" s="242"/>
      <c r="T332" s="242"/>
      <c r="U332" s="242"/>
      <c r="V332" s="242"/>
    </row>
    <row r="333" spans="1:22" s="3" customFormat="1" ht="25.5">
      <c r="A333" s="109" t="s">
        <v>879</v>
      </c>
      <c r="B333" s="109" t="s">
        <v>880</v>
      </c>
      <c r="C333" s="118"/>
      <c r="D333" s="105" t="s">
        <v>881</v>
      </c>
      <c r="E333" s="105"/>
      <c r="F333" s="105"/>
      <c r="G333" s="105"/>
      <c r="H333" s="105"/>
      <c r="I333" s="105"/>
      <c r="J333" s="105"/>
      <c r="K333" s="118"/>
      <c r="L333" s="173">
        <v>45</v>
      </c>
      <c r="N333" s="239">
        <f t="shared" si="168"/>
        <v>8.5698000000000008</v>
      </c>
      <c r="O333" s="239">
        <f t="shared" si="169"/>
        <v>4.6309500000000003</v>
      </c>
      <c r="P333" s="239">
        <f t="shared" si="170"/>
        <v>3.3138000000000001</v>
      </c>
      <c r="Q333" s="239">
        <f t="shared" si="171"/>
        <v>2.6532</v>
      </c>
      <c r="R333" s="239"/>
      <c r="S333" s="239">
        <f t="shared" si="172"/>
        <v>8.8398000000000003</v>
      </c>
      <c r="T333" s="239">
        <f t="shared" si="173"/>
        <v>4.9009499999999999</v>
      </c>
      <c r="U333" s="239">
        <f t="shared" si="174"/>
        <v>3.5838000000000001</v>
      </c>
      <c r="V333" s="239">
        <f t="shared" si="175"/>
        <v>2.9232</v>
      </c>
    </row>
    <row r="334" spans="1:22" s="3" customFormat="1">
      <c r="A334" s="109" t="s">
        <v>882</v>
      </c>
      <c r="B334" s="109" t="s">
        <v>883</v>
      </c>
      <c r="C334" s="118"/>
      <c r="D334" s="105" t="s">
        <v>884</v>
      </c>
      <c r="E334" s="105"/>
      <c r="F334" s="105"/>
      <c r="G334" s="105"/>
      <c r="H334" s="105"/>
      <c r="I334" s="105"/>
      <c r="J334" s="105"/>
      <c r="K334" s="118"/>
      <c r="L334" s="173">
        <v>74</v>
      </c>
      <c r="N334" s="239">
        <f t="shared" si="168"/>
        <v>14.092560000000001</v>
      </c>
      <c r="O334" s="239">
        <f t="shared" si="169"/>
        <v>7.6153399999999998</v>
      </c>
      <c r="P334" s="239">
        <f t="shared" si="170"/>
        <v>5.4493599999999995</v>
      </c>
      <c r="Q334" s="239">
        <f t="shared" si="171"/>
        <v>4.3630399999999998</v>
      </c>
      <c r="R334" s="239"/>
      <c r="S334" s="239">
        <f t="shared" si="172"/>
        <v>14.53656</v>
      </c>
      <c r="T334" s="239">
        <f t="shared" si="173"/>
        <v>8.0593400000000006</v>
      </c>
      <c r="U334" s="239">
        <f t="shared" si="174"/>
        <v>5.8933600000000004</v>
      </c>
      <c r="V334" s="239">
        <f t="shared" si="175"/>
        <v>4.8070400000000006</v>
      </c>
    </row>
    <row r="335" spans="1:22" s="3" customFormat="1">
      <c r="A335" s="109" t="s">
        <v>885</v>
      </c>
      <c r="B335" s="109" t="s">
        <v>886</v>
      </c>
      <c r="C335" s="118"/>
      <c r="D335" s="105" t="s">
        <v>887</v>
      </c>
      <c r="E335" s="105"/>
      <c r="F335" s="105"/>
      <c r="G335" s="105"/>
      <c r="H335" s="105"/>
      <c r="I335" s="105"/>
      <c r="J335" s="105"/>
      <c r="K335" s="118"/>
      <c r="L335" s="173">
        <v>101</v>
      </c>
      <c r="N335" s="239">
        <f t="shared" si="168"/>
        <v>19.234439999999999</v>
      </c>
      <c r="O335" s="239">
        <f t="shared" si="169"/>
        <v>10.39391</v>
      </c>
      <c r="P335" s="239">
        <f t="shared" si="170"/>
        <v>7.43764</v>
      </c>
      <c r="Q335" s="239">
        <f t="shared" si="171"/>
        <v>5.9549599999999998</v>
      </c>
      <c r="R335" s="239"/>
      <c r="S335" s="239">
        <f t="shared" si="172"/>
        <v>19.840440000000001</v>
      </c>
      <c r="T335" s="239">
        <f t="shared" si="173"/>
        <v>10.99991</v>
      </c>
      <c r="U335" s="239">
        <f t="shared" si="174"/>
        <v>8.0436399999999999</v>
      </c>
      <c r="V335" s="239">
        <f t="shared" si="175"/>
        <v>6.5609600000000006</v>
      </c>
    </row>
    <row r="336" spans="1:22" s="3" customFormat="1">
      <c r="A336" s="113"/>
      <c r="B336" s="114"/>
      <c r="C336" s="115"/>
      <c r="D336" s="116"/>
      <c r="E336" s="116"/>
      <c r="F336" s="116"/>
      <c r="G336" s="116"/>
      <c r="H336" s="116"/>
      <c r="I336" s="116"/>
      <c r="J336" s="116"/>
      <c r="K336" s="182"/>
      <c r="L336" s="173"/>
      <c r="N336" s="239"/>
      <c r="O336" s="239"/>
      <c r="P336" s="239"/>
      <c r="Q336" s="239"/>
      <c r="R336" s="239"/>
      <c r="S336" s="239"/>
      <c r="T336" s="239"/>
      <c r="U336" s="239"/>
      <c r="V336" s="239"/>
    </row>
    <row r="337" spans="1:22" s="3" customFormat="1">
      <c r="A337" s="89" t="s">
        <v>888</v>
      </c>
      <c r="B337" s="62"/>
      <c r="C337" s="62"/>
      <c r="D337" s="81"/>
      <c r="E337" s="81"/>
      <c r="F337" s="81"/>
      <c r="G337" s="81"/>
      <c r="H337" s="81"/>
      <c r="I337" s="81"/>
      <c r="J337" s="81"/>
      <c r="K337" s="62"/>
      <c r="L337" s="169"/>
      <c r="N337" s="242"/>
      <c r="O337" s="242"/>
      <c r="P337" s="242"/>
      <c r="Q337" s="242"/>
      <c r="R337" s="242"/>
      <c r="S337" s="242"/>
      <c r="T337" s="242"/>
      <c r="U337" s="242"/>
      <c r="V337" s="242"/>
    </row>
    <row r="338" spans="1:22" s="3" customFormat="1">
      <c r="A338" s="109" t="s">
        <v>889</v>
      </c>
      <c r="B338" s="109" t="s">
        <v>890</v>
      </c>
      <c r="C338" s="118"/>
      <c r="D338" s="118"/>
      <c r="E338" s="105" t="s">
        <v>891</v>
      </c>
      <c r="F338" s="105"/>
      <c r="G338" s="105"/>
      <c r="H338" s="105"/>
      <c r="I338" s="105"/>
      <c r="J338" s="105"/>
      <c r="K338" s="118"/>
      <c r="L338" s="173">
        <v>56</v>
      </c>
      <c r="N338" s="239">
        <f t="shared" si="168"/>
        <v>10.66464</v>
      </c>
      <c r="O338" s="239">
        <f t="shared" si="169"/>
        <v>5.7629599999999996</v>
      </c>
      <c r="P338" s="239">
        <f t="shared" si="170"/>
        <v>4.1238399999999995</v>
      </c>
      <c r="Q338" s="239">
        <f t="shared" si="171"/>
        <v>3.3017599999999998</v>
      </c>
      <c r="R338" s="239"/>
      <c r="S338" s="239">
        <f t="shared" si="172"/>
        <v>11.000640000000001</v>
      </c>
      <c r="T338" s="239">
        <f t="shared" si="173"/>
        <v>6.0989599999999999</v>
      </c>
      <c r="U338" s="239">
        <f t="shared" si="174"/>
        <v>4.4598399999999998</v>
      </c>
      <c r="V338" s="239">
        <f t="shared" si="175"/>
        <v>3.6377600000000001</v>
      </c>
    </row>
    <row r="339" spans="1:22" s="3" customFormat="1">
      <c r="A339" s="109" t="s">
        <v>892</v>
      </c>
      <c r="B339" s="109" t="s">
        <v>893</v>
      </c>
      <c r="C339" s="118"/>
      <c r="D339" s="118"/>
      <c r="E339" s="105" t="s">
        <v>894</v>
      </c>
      <c r="F339" s="105"/>
      <c r="G339" s="105"/>
      <c r="H339" s="105"/>
      <c r="I339" s="105"/>
      <c r="J339" s="105"/>
      <c r="K339" s="118"/>
      <c r="L339" s="173">
        <v>89</v>
      </c>
      <c r="N339" s="239">
        <f t="shared" ref="N339:N373" si="200">L339*$N$8</f>
        <v>16.949159999999999</v>
      </c>
      <c r="O339" s="239">
        <f t="shared" ref="O339:O373" si="201">L339*$O$8</f>
        <v>9.1589899999999993</v>
      </c>
      <c r="P339" s="239">
        <f t="shared" ref="P339:P373" si="202">L339*$P$8</f>
        <v>6.55396</v>
      </c>
      <c r="Q339" s="239">
        <f t="shared" ref="Q339:Q373" si="203">L339*$Q$8</f>
        <v>5.2474400000000001</v>
      </c>
      <c r="R339" s="239"/>
      <c r="S339" s="239">
        <f t="shared" ref="S339:S373" si="204">L339*$S$8</f>
        <v>17.483160000000002</v>
      </c>
      <c r="T339" s="239">
        <f t="shared" ref="T339:T373" si="205">L339*$T$8</f>
        <v>9.69299</v>
      </c>
      <c r="U339" s="239">
        <f t="shared" ref="U339:U373" si="206">L339*$U$8</f>
        <v>7.0879599999999998</v>
      </c>
      <c r="V339" s="239">
        <f t="shared" ref="V339:V373" si="207">L339*$V$8</f>
        <v>5.7814399999999999</v>
      </c>
    </row>
    <row r="340" spans="1:22" s="3" customFormat="1">
      <c r="A340" s="113"/>
      <c r="B340" s="114"/>
      <c r="C340" s="115"/>
      <c r="D340" s="116"/>
      <c r="E340" s="116"/>
      <c r="F340" s="116"/>
      <c r="G340" s="116"/>
      <c r="H340" s="116"/>
      <c r="I340" s="116"/>
      <c r="J340" s="116"/>
      <c r="K340" s="182"/>
      <c r="L340" s="173"/>
      <c r="N340" s="239"/>
      <c r="O340" s="239"/>
      <c r="P340" s="239"/>
      <c r="Q340" s="239"/>
      <c r="R340" s="239"/>
      <c r="S340" s="239"/>
      <c r="T340" s="239"/>
      <c r="U340" s="239"/>
      <c r="V340" s="239"/>
    </row>
    <row r="341" spans="1:22" s="3" customFormat="1">
      <c r="A341" s="99" t="s">
        <v>895</v>
      </c>
      <c r="B341" s="62"/>
      <c r="C341" s="62"/>
      <c r="D341" s="100"/>
      <c r="E341" s="100"/>
      <c r="F341" s="100"/>
      <c r="G341" s="100"/>
      <c r="H341" s="100"/>
      <c r="I341" s="100"/>
      <c r="J341" s="100"/>
      <c r="K341" s="185"/>
      <c r="L341" s="170"/>
      <c r="N341" s="247"/>
      <c r="O341" s="247"/>
      <c r="P341" s="247"/>
      <c r="Q341" s="247"/>
      <c r="R341" s="247"/>
      <c r="S341" s="247"/>
      <c r="T341" s="247"/>
      <c r="U341" s="247"/>
      <c r="V341" s="247"/>
    </row>
    <row r="342" spans="1:22" s="3" customFormat="1">
      <c r="A342" s="109" t="s">
        <v>896</v>
      </c>
      <c r="B342" s="109" t="s">
        <v>897</v>
      </c>
      <c r="C342" s="118"/>
      <c r="D342" s="105" t="s">
        <v>898</v>
      </c>
      <c r="E342" s="105"/>
      <c r="F342" s="105"/>
      <c r="G342" s="105"/>
      <c r="H342" s="105"/>
      <c r="I342" s="105"/>
      <c r="J342" s="105"/>
      <c r="K342" s="118"/>
      <c r="L342" s="173">
        <v>49</v>
      </c>
      <c r="N342" s="239">
        <f t="shared" si="200"/>
        <v>9.3315599999999996</v>
      </c>
      <c r="O342" s="239">
        <f t="shared" si="201"/>
        <v>5.0425899999999997</v>
      </c>
      <c r="P342" s="239">
        <f t="shared" si="202"/>
        <v>3.6083599999999998</v>
      </c>
      <c r="Q342" s="239">
        <f t="shared" si="203"/>
        <v>2.8890400000000001</v>
      </c>
      <c r="R342" s="239"/>
      <c r="S342" s="239">
        <f t="shared" si="204"/>
        <v>9.6255600000000001</v>
      </c>
      <c r="T342" s="239">
        <f t="shared" si="205"/>
        <v>5.3365900000000002</v>
      </c>
      <c r="U342" s="239">
        <f t="shared" si="206"/>
        <v>3.9023600000000003</v>
      </c>
      <c r="V342" s="239">
        <f t="shared" si="207"/>
        <v>3.1830400000000001</v>
      </c>
    </row>
    <row r="343" spans="1:22" s="3" customFormat="1">
      <c r="A343" s="231"/>
      <c r="B343" s="231"/>
      <c r="C343" s="212"/>
      <c r="D343" s="228"/>
      <c r="E343" s="228"/>
      <c r="F343" s="228"/>
      <c r="G343" s="228"/>
      <c r="H343" s="228"/>
      <c r="I343" s="228"/>
      <c r="J343" s="228"/>
      <c r="K343" s="229"/>
      <c r="L343" s="173"/>
      <c r="N343" s="239"/>
      <c r="O343" s="239"/>
      <c r="P343" s="239"/>
      <c r="Q343" s="239"/>
      <c r="R343" s="239"/>
      <c r="S343" s="239"/>
      <c r="T343" s="239"/>
      <c r="U343" s="239"/>
      <c r="V343" s="239"/>
    </row>
    <row r="344" spans="1:22" s="3" customFormat="1">
      <c r="A344" s="89" t="s">
        <v>276</v>
      </c>
      <c r="B344" s="62"/>
      <c r="C344" s="62"/>
      <c r="D344" s="81"/>
      <c r="E344" s="81"/>
      <c r="F344" s="81"/>
      <c r="G344" s="81"/>
      <c r="H344" s="81"/>
      <c r="I344" s="81"/>
      <c r="J344" s="81"/>
      <c r="K344" s="62"/>
      <c r="L344" s="169"/>
      <c r="N344" s="242"/>
      <c r="O344" s="242"/>
      <c r="P344" s="242"/>
      <c r="Q344" s="242"/>
      <c r="R344" s="242"/>
      <c r="S344" s="242"/>
      <c r="T344" s="242"/>
      <c r="U344" s="242"/>
      <c r="V344" s="242"/>
    </row>
    <row r="345" spans="1:22" s="21" customFormat="1">
      <c r="A345" s="109" t="s">
        <v>787</v>
      </c>
      <c r="B345" s="109" t="s">
        <v>285</v>
      </c>
      <c r="C345" s="118"/>
      <c r="D345" s="105" t="s">
        <v>899</v>
      </c>
      <c r="E345" s="105" t="s">
        <v>900</v>
      </c>
      <c r="F345" s="105"/>
      <c r="G345" s="105"/>
      <c r="H345" s="105"/>
      <c r="I345" s="105"/>
      <c r="J345" s="105"/>
      <c r="K345" s="118"/>
      <c r="L345" s="173">
        <v>0</v>
      </c>
      <c r="N345" s="239">
        <f t="shared" si="200"/>
        <v>0</v>
      </c>
      <c r="O345" s="239">
        <f t="shared" si="201"/>
        <v>0</v>
      </c>
      <c r="P345" s="239">
        <f t="shared" si="202"/>
        <v>0</v>
      </c>
      <c r="Q345" s="239">
        <f t="shared" si="203"/>
        <v>0</v>
      </c>
      <c r="R345" s="239"/>
      <c r="S345" s="239">
        <f t="shared" si="204"/>
        <v>0</v>
      </c>
      <c r="T345" s="239">
        <f t="shared" si="205"/>
        <v>0</v>
      </c>
      <c r="U345" s="239">
        <f t="shared" si="206"/>
        <v>0</v>
      </c>
      <c r="V345" s="239">
        <f t="shared" si="207"/>
        <v>0</v>
      </c>
    </row>
    <row r="346" spans="1:22" s="21" customFormat="1">
      <c r="A346" s="113"/>
      <c r="B346" s="114"/>
      <c r="C346" s="115"/>
      <c r="D346" s="116"/>
      <c r="E346" s="116"/>
      <c r="F346" s="116"/>
      <c r="G346" s="116"/>
      <c r="H346" s="116"/>
      <c r="I346" s="116"/>
      <c r="J346" s="116"/>
      <c r="K346" s="182"/>
      <c r="L346" s="173"/>
      <c r="N346" s="239"/>
      <c r="O346" s="239"/>
      <c r="P346" s="239"/>
      <c r="Q346" s="239"/>
      <c r="R346" s="239"/>
      <c r="S346" s="239"/>
      <c r="T346" s="239"/>
      <c r="U346" s="239"/>
      <c r="V346" s="239"/>
    </row>
    <row r="347" spans="1:22" s="21" customFormat="1">
      <c r="A347" s="89" t="s">
        <v>251</v>
      </c>
      <c r="B347" s="62"/>
      <c r="C347" s="62"/>
      <c r="D347" s="81"/>
      <c r="E347" s="81"/>
      <c r="F347" s="81"/>
      <c r="G347" s="81"/>
      <c r="H347" s="81"/>
      <c r="I347" s="81"/>
      <c r="J347" s="81"/>
      <c r="K347" s="62"/>
      <c r="L347" s="169"/>
      <c r="N347" s="242"/>
      <c r="O347" s="242"/>
      <c r="P347" s="242"/>
      <c r="Q347" s="242"/>
      <c r="R347" s="242"/>
      <c r="S347" s="242"/>
      <c r="T347" s="242"/>
      <c r="U347" s="242"/>
      <c r="V347" s="242"/>
    </row>
    <row r="348" spans="1:22" s="21" customFormat="1">
      <c r="A348" s="109" t="s">
        <v>901</v>
      </c>
      <c r="B348" s="109" t="s">
        <v>902</v>
      </c>
      <c r="C348" s="118"/>
      <c r="D348" s="105" t="s">
        <v>903</v>
      </c>
      <c r="E348" s="105" t="s">
        <v>904</v>
      </c>
      <c r="F348" s="105"/>
      <c r="G348" s="105"/>
      <c r="H348" s="105"/>
      <c r="I348" s="105"/>
      <c r="J348" s="105"/>
      <c r="K348" s="118"/>
      <c r="L348" s="173">
        <v>6</v>
      </c>
      <c r="N348" s="239">
        <f t="shared" si="200"/>
        <v>1.1426400000000001</v>
      </c>
      <c r="O348" s="239">
        <f t="shared" si="201"/>
        <v>0.61746000000000001</v>
      </c>
      <c r="P348" s="239">
        <f t="shared" si="202"/>
        <v>0.44184000000000001</v>
      </c>
      <c r="Q348" s="239">
        <f t="shared" si="203"/>
        <v>0.35375999999999996</v>
      </c>
      <c r="R348" s="239"/>
      <c r="S348" s="239">
        <f t="shared" si="204"/>
        <v>1.1786400000000001</v>
      </c>
      <c r="T348" s="239">
        <f t="shared" si="205"/>
        <v>0.65346000000000004</v>
      </c>
      <c r="U348" s="239">
        <f t="shared" si="206"/>
        <v>0.47784000000000004</v>
      </c>
      <c r="V348" s="239">
        <f t="shared" si="207"/>
        <v>0.38976</v>
      </c>
    </row>
    <row r="349" spans="1:22" s="21" customFormat="1">
      <c r="A349" s="109" t="s">
        <v>905</v>
      </c>
      <c r="B349" s="109" t="s">
        <v>906</v>
      </c>
      <c r="C349" s="118"/>
      <c r="D349" s="105" t="s">
        <v>907</v>
      </c>
      <c r="E349" s="105" t="s">
        <v>908</v>
      </c>
      <c r="F349" s="105"/>
      <c r="G349" s="105"/>
      <c r="H349" s="105"/>
      <c r="I349" s="105"/>
      <c r="J349" s="105"/>
      <c r="K349" s="118"/>
      <c r="L349" s="173">
        <v>6</v>
      </c>
      <c r="N349" s="239">
        <f t="shared" si="200"/>
        <v>1.1426400000000001</v>
      </c>
      <c r="O349" s="239">
        <f t="shared" si="201"/>
        <v>0.61746000000000001</v>
      </c>
      <c r="P349" s="239">
        <f t="shared" si="202"/>
        <v>0.44184000000000001</v>
      </c>
      <c r="Q349" s="239">
        <f t="shared" si="203"/>
        <v>0.35375999999999996</v>
      </c>
      <c r="R349" s="239"/>
      <c r="S349" s="239">
        <f t="shared" si="204"/>
        <v>1.1786400000000001</v>
      </c>
      <c r="T349" s="239">
        <f t="shared" si="205"/>
        <v>0.65346000000000004</v>
      </c>
      <c r="U349" s="239">
        <f t="shared" si="206"/>
        <v>0.47784000000000004</v>
      </c>
      <c r="V349" s="239">
        <f t="shared" si="207"/>
        <v>0.38976</v>
      </c>
    </row>
    <row r="350" spans="1:22">
      <c r="A350" s="109" t="s">
        <v>768</v>
      </c>
      <c r="B350" s="109" t="s">
        <v>260</v>
      </c>
      <c r="C350" s="118"/>
      <c r="D350" s="105" t="s">
        <v>909</v>
      </c>
      <c r="E350" s="105" t="s">
        <v>910</v>
      </c>
      <c r="F350" s="105"/>
      <c r="G350" s="105"/>
      <c r="H350" s="105"/>
      <c r="I350" s="105"/>
      <c r="J350" s="105"/>
      <c r="K350" s="118"/>
      <c r="L350" s="173">
        <v>80</v>
      </c>
      <c r="N350" s="239">
        <f t="shared" si="200"/>
        <v>15.235199999999999</v>
      </c>
      <c r="O350" s="239">
        <f t="shared" si="201"/>
        <v>8.232800000000001</v>
      </c>
      <c r="P350" s="239">
        <f t="shared" si="202"/>
        <v>5.8911999999999995</v>
      </c>
      <c r="Q350" s="239">
        <f t="shared" si="203"/>
        <v>4.7168000000000001</v>
      </c>
      <c r="R350" s="239"/>
      <c r="S350" s="239">
        <f t="shared" si="204"/>
        <v>15.715199999999999</v>
      </c>
      <c r="T350" s="239">
        <f t="shared" si="205"/>
        <v>8.7128000000000014</v>
      </c>
      <c r="U350" s="239">
        <f t="shared" si="206"/>
        <v>6.3712</v>
      </c>
      <c r="V350" s="239">
        <f t="shared" si="207"/>
        <v>5.1968000000000005</v>
      </c>
    </row>
    <row r="351" spans="1:22" s="21" customFormat="1">
      <c r="A351" s="113"/>
      <c r="B351" s="114"/>
      <c r="C351" s="115"/>
      <c r="D351" s="116"/>
      <c r="E351" s="116"/>
      <c r="F351" s="116"/>
      <c r="G351" s="116"/>
      <c r="H351" s="116"/>
      <c r="I351" s="116"/>
      <c r="J351" s="116"/>
      <c r="K351" s="182"/>
      <c r="L351" s="173"/>
      <c r="N351" s="239"/>
      <c r="O351" s="239"/>
      <c r="P351" s="239"/>
      <c r="Q351" s="239"/>
      <c r="R351" s="239"/>
      <c r="S351" s="239"/>
      <c r="T351" s="239"/>
      <c r="U351" s="239"/>
      <c r="V351" s="239"/>
    </row>
    <row r="352" spans="1:22" s="21" customFormat="1">
      <c r="A352" s="89" t="s">
        <v>774</v>
      </c>
      <c r="B352" s="62"/>
      <c r="C352" s="62"/>
      <c r="D352" s="81"/>
      <c r="E352" s="81"/>
      <c r="F352" s="81"/>
      <c r="G352" s="81"/>
      <c r="H352" s="81"/>
      <c r="I352" s="81"/>
      <c r="J352" s="81"/>
      <c r="K352" s="62"/>
      <c r="L352" s="169"/>
      <c r="N352" s="242"/>
      <c r="O352" s="242"/>
      <c r="P352" s="242"/>
      <c r="Q352" s="242"/>
      <c r="R352" s="242"/>
      <c r="S352" s="242"/>
      <c r="T352" s="242"/>
      <c r="U352" s="242"/>
      <c r="V352" s="242"/>
    </row>
    <row r="353" spans="1:22" s="21" customFormat="1">
      <c r="A353" s="109" t="s">
        <v>911</v>
      </c>
      <c r="B353" s="109" t="s">
        <v>912</v>
      </c>
      <c r="C353" s="118"/>
      <c r="D353" s="118"/>
      <c r="E353" s="105" t="s">
        <v>913</v>
      </c>
      <c r="F353" s="105"/>
      <c r="G353" s="105"/>
      <c r="H353" s="105"/>
      <c r="I353" s="105"/>
      <c r="J353" s="105"/>
      <c r="K353" s="118"/>
      <c r="L353" s="173">
        <v>0</v>
      </c>
      <c r="N353" s="239">
        <f t="shared" si="200"/>
        <v>0</v>
      </c>
      <c r="O353" s="239">
        <f t="shared" si="201"/>
        <v>0</v>
      </c>
      <c r="P353" s="239">
        <f t="shared" si="202"/>
        <v>0</v>
      </c>
      <c r="Q353" s="239">
        <f t="shared" si="203"/>
        <v>0</v>
      </c>
      <c r="R353" s="239"/>
      <c r="S353" s="239">
        <f t="shared" si="204"/>
        <v>0</v>
      </c>
      <c r="T353" s="239">
        <f t="shared" si="205"/>
        <v>0</v>
      </c>
      <c r="U353" s="239">
        <f t="shared" si="206"/>
        <v>0</v>
      </c>
      <c r="V353" s="239">
        <f t="shared" si="207"/>
        <v>0</v>
      </c>
    </row>
    <row r="354" spans="1:22" s="21" customFormat="1">
      <c r="A354" s="113"/>
      <c r="B354" s="114"/>
      <c r="C354" s="115"/>
      <c r="D354" s="116"/>
      <c r="E354" s="116"/>
      <c r="F354" s="116"/>
      <c r="G354" s="116"/>
      <c r="H354" s="116"/>
      <c r="I354" s="116"/>
      <c r="J354" s="116"/>
      <c r="K354" s="182"/>
      <c r="L354" s="173"/>
      <c r="N354" s="239"/>
      <c r="O354" s="239"/>
      <c r="P354" s="239"/>
      <c r="Q354" s="239"/>
      <c r="R354" s="239"/>
      <c r="S354" s="239"/>
      <c r="T354" s="239"/>
      <c r="U354" s="239"/>
      <c r="V354" s="239"/>
    </row>
    <row r="355" spans="1:22" s="21" customFormat="1">
      <c r="A355" s="89" t="s">
        <v>552</v>
      </c>
      <c r="B355" s="62"/>
      <c r="C355" s="62"/>
      <c r="D355" s="81"/>
      <c r="E355" s="81"/>
      <c r="F355" s="81"/>
      <c r="G355" s="81"/>
      <c r="H355" s="81"/>
      <c r="I355" s="81"/>
      <c r="J355" s="81"/>
      <c r="K355" s="62"/>
      <c r="L355" s="169"/>
      <c r="N355" s="242"/>
      <c r="O355" s="242"/>
      <c r="P355" s="242"/>
      <c r="Q355" s="242"/>
      <c r="R355" s="242"/>
      <c r="S355" s="242"/>
      <c r="T355" s="242"/>
      <c r="U355" s="242"/>
      <c r="V355" s="242"/>
    </row>
    <row r="356" spans="1:22" s="21" customFormat="1">
      <c r="A356" s="109" t="s">
        <v>806</v>
      </c>
      <c r="B356" s="109" t="s">
        <v>807</v>
      </c>
      <c r="C356" s="118"/>
      <c r="D356" s="105" t="s">
        <v>914</v>
      </c>
      <c r="E356" s="105" t="s">
        <v>915</v>
      </c>
      <c r="F356" s="105"/>
      <c r="G356" s="105"/>
      <c r="H356" s="105"/>
      <c r="I356" s="105"/>
      <c r="J356" s="105"/>
      <c r="K356" s="118"/>
      <c r="L356" s="173">
        <v>6</v>
      </c>
      <c r="N356" s="239">
        <f t="shared" si="200"/>
        <v>1.1426400000000001</v>
      </c>
      <c r="O356" s="239">
        <f t="shared" si="201"/>
        <v>0.61746000000000001</v>
      </c>
      <c r="P356" s="239">
        <f t="shared" si="202"/>
        <v>0.44184000000000001</v>
      </c>
      <c r="Q356" s="239">
        <f t="shared" si="203"/>
        <v>0.35375999999999996</v>
      </c>
      <c r="R356" s="239"/>
      <c r="S356" s="239">
        <f t="shared" si="204"/>
        <v>1.1786400000000001</v>
      </c>
      <c r="T356" s="239">
        <f t="shared" si="205"/>
        <v>0.65346000000000004</v>
      </c>
      <c r="U356" s="239">
        <f t="shared" si="206"/>
        <v>0.47784000000000004</v>
      </c>
      <c r="V356" s="239">
        <f t="shared" si="207"/>
        <v>0.38976</v>
      </c>
    </row>
    <row r="357" spans="1:22" s="21" customFormat="1">
      <c r="A357" s="109" t="s">
        <v>916</v>
      </c>
      <c r="B357" s="109" t="s">
        <v>554</v>
      </c>
      <c r="C357" s="118" t="s">
        <v>350</v>
      </c>
      <c r="D357" s="105" t="s">
        <v>917</v>
      </c>
      <c r="E357" s="105" t="s">
        <v>918</v>
      </c>
      <c r="F357" s="105"/>
      <c r="G357" s="105"/>
      <c r="H357" s="105"/>
      <c r="I357" s="105"/>
      <c r="J357" s="105"/>
      <c r="K357" s="118"/>
      <c r="L357" s="173">
        <v>7</v>
      </c>
      <c r="N357" s="239">
        <f t="shared" si="200"/>
        <v>1.33308</v>
      </c>
      <c r="O357" s="239">
        <f t="shared" si="201"/>
        <v>0.72036999999999995</v>
      </c>
      <c r="P357" s="239">
        <f t="shared" si="202"/>
        <v>0.51547999999999994</v>
      </c>
      <c r="Q357" s="239">
        <f t="shared" si="203"/>
        <v>0.41271999999999998</v>
      </c>
      <c r="R357" s="239"/>
      <c r="S357" s="239">
        <f t="shared" si="204"/>
        <v>1.3750800000000001</v>
      </c>
      <c r="T357" s="239">
        <f t="shared" si="205"/>
        <v>0.76236999999999999</v>
      </c>
      <c r="U357" s="239">
        <f t="shared" si="206"/>
        <v>0.55747999999999998</v>
      </c>
      <c r="V357" s="239">
        <f t="shared" si="207"/>
        <v>0.45472000000000001</v>
      </c>
    </row>
    <row r="358" spans="1:22" s="21" customFormat="1" ht="29.45" customHeight="1">
      <c r="A358" s="109" t="s">
        <v>919</v>
      </c>
      <c r="B358" s="109" t="s">
        <v>296</v>
      </c>
      <c r="C358" s="118"/>
      <c r="D358" s="105" t="s">
        <v>920</v>
      </c>
      <c r="E358" s="105" t="s">
        <v>921</v>
      </c>
      <c r="F358" s="105"/>
      <c r="G358" s="105"/>
      <c r="H358" s="105"/>
      <c r="I358" s="105"/>
      <c r="J358" s="105"/>
      <c r="K358" s="118"/>
      <c r="L358" s="173">
        <v>85</v>
      </c>
      <c r="N358" s="239">
        <f t="shared" si="200"/>
        <v>16.1874</v>
      </c>
      <c r="O358" s="239">
        <f t="shared" si="201"/>
        <v>8.7473500000000008</v>
      </c>
      <c r="P358" s="239">
        <f t="shared" si="202"/>
        <v>6.2593999999999994</v>
      </c>
      <c r="Q358" s="239">
        <f t="shared" si="203"/>
        <v>5.0115999999999996</v>
      </c>
      <c r="R358" s="239"/>
      <c r="S358" s="239">
        <f t="shared" si="204"/>
        <v>16.697400000000002</v>
      </c>
      <c r="T358" s="239">
        <f t="shared" si="205"/>
        <v>9.2573500000000006</v>
      </c>
      <c r="U358" s="239">
        <f t="shared" si="206"/>
        <v>6.7694000000000001</v>
      </c>
      <c r="V358" s="239">
        <f t="shared" si="207"/>
        <v>5.5216000000000003</v>
      </c>
    </row>
    <row r="359" spans="1:22" s="21" customFormat="1" ht="26.25" customHeight="1">
      <c r="A359" s="109" t="s">
        <v>830</v>
      </c>
      <c r="B359" s="109" t="s">
        <v>831</v>
      </c>
      <c r="C359" s="118"/>
      <c r="D359" s="105" t="s">
        <v>922</v>
      </c>
      <c r="E359" s="105" t="s">
        <v>923</v>
      </c>
      <c r="F359" s="105"/>
      <c r="G359" s="105"/>
      <c r="H359" s="105"/>
      <c r="I359" s="105"/>
      <c r="J359" s="105"/>
      <c r="K359" s="118"/>
      <c r="L359" s="173">
        <v>260</v>
      </c>
      <c r="N359" s="239">
        <f t="shared" si="200"/>
        <v>49.514400000000002</v>
      </c>
      <c r="O359" s="239">
        <f t="shared" si="201"/>
        <v>26.756599999999999</v>
      </c>
      <c r="P359" s="239">
        <f t="shared" si="202"/>
        <v>19.1464</v>
      </c>
      <c r="Q359" s="239">
        <f t="shared" si="203"/>
        <v>15.329599999999999</v>
      </c>
      <c r="R359" s="239"/>
      <c r="S359" s="239">
        <f t="shared" si="204"/>
        <v>51.074400000000004</v>
      </c>
      <c r="T359" s="239">
        <f t="shared" si="205"/>
        <v>28.316600000000001</v>
      </c>
      <c r="U359" s="239">
        <f t="shared" si="206"/>
        <v>20.706400000000002</v>
      </c>
      <c r="V359" s="239">
        <f t="shared" si="207"/>
        <v>16.889600000000002</v>
      </c>
    </row>
    <row r="360" spans="1:22" s="3" customFormat="1">
      <c r="A360" s="113"/>
      <c r="B360" s="114"/>
      <c r="C360" s="115"/>
      <c r="D360" s="116"/>
      <c r="E360" s="116"/>
      <c r="F360" s="116"/>
      <c r="G360" s="116"/>
      <c r="H360" s="116"/>
      <c r="I360" s="116"/>
      <c r="J360" s="116"/>
      <c r="K360" s="182"/>
      <c r="L360" s="173"/>
      <c r="N360" s="239"/>
      <c r="O360" s="239"/>
      <c r="P360" s="239"/>
      <c r="Q360" s="239"/>
      <c r="R360" s="239"/>
      <c r="S360" s="239"/>
      <c r="T360" s="239"/>
      <c r="U360" s="239"/>
      <c r="V360" s="239"/>
    </row>
    <row r="361" spans="1:22" s="3" customFormat="1">
      <c r="A361" s="89" t="s">
        <v>304</v>
      </c>
      <c r="B361" s="62"/>
      <c r="C361" s="62"/>
      <c r="D361" s="81"/>
      <c r="E361" s="81"/>
      <c r="F361" s="81"/>
      <c r="G361" s="81"/>
      <c r="H361" s="81"/>
      <c r="I361" s="81"/>
      <c r="J361" s="81"/>
      <c r="K361" s="62"/>
      <c r="L361" s="169"/>
      <c r="N361" s="242"/>
      <c r="O361" s="242"/>
      <c r="P361" s="242"/>
      <c r="Q361" s="242"/>
      <c r="R361" s="242"/>
      <c r="S361" s="242"/>
      <c r="T361" s="242"/>
      <c r="U361" s="242"/>
      <c r="V361" s="242"/>
    </row>
    <row r="362" spans="1:22" s="3" customFormat="1">
      <c r="A362" s="109" t="s">
        <v>841</v>
      </c>
      <c r="B362" s="109" t="s">
        <v>842</v>
      </c>
      <c r="C362" s="118"/>
      <c r="D362" s="105" t="s">
        <v>924</v>
      </c>
      <c r="E362" s="105"/>
      <c r="F362" s="105"/>
      <c r="G362" s="105"/>
      <c r="H362" s="105"/>
      <c r="I362" s="105"/>
      <c r="J362" s="105"/>
      <c r="K362" s="118"/>
      <c r="L362" s="173">
        <v>7</v>
      </c>
      <c r="N362" s="239">
        <f t="shared" si="200"/>
        <v>1.33308</v>
      </c>
      <c r="O362" s="239">
        <f t="shared" si="201"/>
        <v>0.72036999999999995</v>
      </c>
      <c r="P362" s="239">
        <f t="shared" si="202"/>
        <v>0.51547999999999994</v>
      </c>
      <c r="Q362" s="239">
        <f t="shared" si="203"/>
        <v>0.41271999999999998</v>
      </c>
      <c r="R362" s="239"/>
      <c r="S362" s="239">
        <f t="shared" si="204"/>
        <v>1.3750800000000001</v>
      </c>
      <c r="T362" s="239">
        <f t="shared" si="205"/>
        <v>0.76236999999999999</v>
      </c>
      <c r="U362" s="239">
        <f t="shared" si="206"/>
        <v>0.55747999999999998</v>
      </c>
      <c r="V362" s="239">
        <f t="shared" si="207"/>
        <v>0.45472000000000001</v>
      </c>
    </row>
    <row r="363" spans="1:22" s="3" customFormat="1">
      <c r="A363" s="109" t="s">
        <v>835</v>
      </c>
      <c r="B363" s="109" t="s">
        <v>836</v>
      </c>
      <c r="C363" s="118"/>
      <c r="D363" s="105" t="s">
        <v>925</v>
      </c>
      <c r="E363" s="105" t="s">
        <v>926</v>
      </c>
      <c r="F363" s="105"/>
      <c r="G363" s="105"/>
      <c r="H363" s="105"/>
      <c r="I363" s="105"/>
      <c r="J363" s="105"/>
      <c r="K363" s="118"/>
      <c r="L363" s="173">
        <v>1</v>
      </c>
      <c r="N363" s="239">
        <f t="shared" si="200"/>
        <v>0.19044</v>
      </c>
      <c r="O363" s="239">
        <f t="shared" si="201"/>
        <v>0.10291</v>
      </c>
      <c r="P363" s="239">
        <f t="shared" si="202"/>
        <v>7.3639999999999997E-2</v>
      </c>
      <c r="Q363" s="239">
        <f t="shared" si="203"/>
        <v>5.8959999999999999E-2</v>
      </c>
      <c r="R363" s="239"/>
      <c r="S363" s="239">
        <f t="shared" si="204"/>
        <v>0.19644</v>
      </c>
      <c r="T363" s="239">
        <f t="shared" si="205"/>
        <v>0.10891000000000001</v>
      </c>
      <c r="U363" s="239">
        <f t="shared" si="206"/>
        <v>7.9640000000000002E-2</v>
      </c>
      <c r="V363" s="239">
        <f t="shared" si="207"/>
        <v>6.4960000000000004E-2</v>
      </c>
    </row>
    <row r="364" spans="1:22" s="3" customFormat="1">
      <c r="A364" s="113"/>
      <c r="B364" s="114"/>
      <c r="C364" s="115"/>
      <c r="D364" s="116"/>
      <c r="E364" s="116"/>
      <c r="F364" s="116"/>
      <c r="G364" s="116"/>
      <c r="H364" s="116"/>
      <c r="I364" s="116"/>
      <c r="J364" s="116"/>
      <c r="K364" s="182"/>
      <c r="L364" s="173"/>
      <c r="N364" s="239"/>
      <c r="O364" s="239"/>
      <c r="P364" s="239"/>
      <c r="Q364" s="239"/>
      <c r="R364" s="239"/>
      <c r="S364" s="239"/>
      <c r="T364" s="239"/>
      <c r="U364" s="239"/>
      <c r="V364" s="239"/>
    </row>
    <row r="365" spans="1:22" s="3" customFormat="1">
      <c r="A365" s="123" t="s">
        <v>287</v>
      </c>
      <c r="B365" s="181"/>
      <c r="C365" s="181"/>
      <c r="D365" s="125"/>
      <c r="E365" s="125"/>
      <c r="F365" s="125"/>
      <c r="G365" s="125"/>
      <c r="H365" s="125"/>
      <c r="I365" s="125"/>
      <c r="J365" s="125"/>
      <c r="K365" s="181"/>
      <c r="L365" s="126"/>
      <c r="N365" s="240"/>
      <c r="O365" s="240"/>
      <c r="P365" s="240"/>
      <c r="Q365" s="240"/>
      <c r="R365" s="240"/>
      <c r="S365" s="240"/>
      <c r="T365" s="240"/>
      <c r="U365" s="240"/>
      <c r="V365" s="240"/>
    </row>
    <row r="366" spans="1:22" s="3" customFormat="1">
      <c r="A366" s="109" t="s">
        <v>90</v>
      </c>
      <c r="B366" s="109" t="s">
        <v>927</v>
      </c>
      <c r="C366" s="118"/>
      <c r="D366" s="105" t="s">
        <v>928</v>
      </c>
      <c r="E366" s="105"/>
      <c r="F366" s="105"/>
      <c r="G366" s="105"/>
      <c r="H366" s="105"/>
      <c r="I366" s="105"/>
      <c r="J366" s="105"/>
      <c r="K366" s="118"/>
      <c r="L366" s="173">
        <v>6</v>
      </c>
      <c r="N366" s="239">
        <f t="shared" si="200"/>
        <v>1.1426400000000001</v>
      </c>
      <c r="O366" s="239">
        <f t="shared" si="201"/>
        <v>0.61746000000000001</v>
      </c>
      <c r="P366" s="239">
        <f t="shared" si="202"/>
        <v>0.44184000000000001</v>
      </c>
      <c r="Q366" s="239">
        <f t="shared" si="203"/>
        <v>0.35375999999999996</v>
      </c>
      <c r="R366" s="239"/>
      <c r="S366" s="239">
        <f t="shared" si="204"/>
        <v>1.1786400000000001</v>
      </c>
      <c r="T366" s="239">
        <f t="shared" si="205"/>
        <v>0.65346000000000004</v>
      </c>
      <c r="U366" s="239">
        <f t="shared" si="206"/>
        <v>0.47784000000000004</v>
      </c>
      <c r="V366" s="239">
        <f t="shared" si="207"/>
        <v>0.38976</v>
      </c>
    </row>
    <row r="367" spans="1:22" s="3" customFormat="1">
      <c r="A367" s="113"/>
      <c r="B367" s="114"/>
      <c r="C367" s="115"/>
      <c r="D367" s="116"/>
      <c r="E367" s="116"/>
      <c r="F367" s="116"/>
      <c r="G367" s="116"/>
      <c r="H367" s="116"/>
      <c r="I367" s="116"/>
      <c r="J367" s="116"/>
      <c r="K367" s="182"/>
      <c r="L367" s="173"/>
      <c r="N367" s="239"/>
      <c r="O367" s="239"/>
      <c r="P367" s="239"/>
      <c r="Q367" s="239"/>
      <c r="R367" s="239"/>
      <c r="S367" s="239"/>
      <c r="T367" s="239"/>
      <c r="U367" s="239"/>
      <c r="V367" s="239"/>
    </row>
    <row r="368" spans="1:22" s="3" customFormat="1">
      <c r="A368" s="89" t="s">
        <v>929</v>
      </c>
      <c r="B368" s="90"/>
      <c r="C368" s="90"/>
      <c r="D368" s="91"/>
      <c r="E368" s="91"/>
      <c r="F368" s="91"/>
      <c r="G368" s="91"/>
      <c r="H368" s="91"/>
      <c r="I368" s="91"/>
      <c r="J368" s="91"/>
      <c r="K368" s="90"/>
      <c r="L368" s="168"/>
      <c r="N368" s="238"/>
      <c r="O368" s="238"/>
      <c r="P368" s="238"/>
      <c r="Q368" s="238"/>
      <c r="R368" s="238"/>
      <c r="S368" s="238"/>
      <c r="T368" s="238"/>
      <c r="U368" s="238"/>
      <c r="V368" s="238"/>
    </row>
    <row r="369" spans="1:22" s="3" customFormat="1">
      <c r="A369" s="109" t="s">
        <v>317</v>
      </c>
      <c r="B369" s="109" t="s">
        <v>318</v>
      </c>
      <c r="C369" s="118"/>
      <c r="D369" s="206" t="s">
        <v>930</v>
      </c>
      <c r="E369" s="206" t="s">
        <v>930</v>
      </c>
      <c r="F369" s="206"/>
      <c r="G369" s="206"/>
      <c r="H369" s="206"/>
      <c r="I369" s="206"/>
      <c r="J369" s="206"/>
      <c r="K369" s="122"/>
      <c r="L369" s="173">
        <v>10</v>
      </c>
      <c r="N369" s="239">
        <f t="shared" si="200"/>
        <v>1.9043999999999999</v>
      </c>
      <c r="O369" s="239">
        <f t="shared" si="201"/>
        <v>1.0291000000000001</v>
      </c>
      <c r="P369" s="239">
        <f t="shared" si="202"/>
        <v>0.73639999999999994</v>
      </c>
      <c r="Q369" s="239">
        <f t="shared" si="203"/>
        <v>0.58960000000000001</v>
      </c>
      <c r="R369" s="239"/>
      <c r="S369" s="239">
        <f t="shared" si="204"/>
        <v>1.9643999999999999</v>
      </c>
      <c r="T369" s="239">
        <f t="shared" si="205"/>
        <v>1.0891000000000002</v>
      </c>
      <c r="U369" s="239">
        <f t="shared" si="206"/>
        <v>0.7964</v>
      </c>
      <c r="V369" s="239">
        <f t="shared" si="207"/>
        <v>0.64960000000000007</v>
      </c>
    </row>
    <row r="370" spans="1:22" s="3" customFormat="1">
      <c r="A370" s="109" t="s">
        <v>320</v>
      </c>
      <c r="B370" s="119" t="s">
        <v>321</v>
      </c>
      <c r="C370" s="120"/>
      <c r="D370" s="206" t="s">
        <v>931</v>
      </c>
      <c r="E370" s="206" t="s">
        <v>931</v>
      </c>
      <c r="F370" s="206"/>
      <c r="G370" s="206"/>
      <c r="H370" s="206"/>
      <c r="I370" s="206"/>
      <c r="J370" s="206"/>
      <c r="K370" s="122"/>
      <c r="L370" s="173">
        <v>30</v>
      </c>
      <c r="N370" s="239">
        <f t="shared" si="200"/>
        <v>5.7131999999999996</v>
      </c>
      <c r="O370" s="239">
        <f t="shared" si="201"/>
        <v>3.0872999999999999</v>
      </c>
      <c r="P370" s="239">
        <f t="shared" si="202"/>
        <v>2.2092000000000001</v>
      </c>
      <c r="Q370" s="239">
        <f t="shared" si="203"/>
        <v>1.7687999999999999</v>
      </c>
      <c r="R370" s="239"/>
      <c r="S370" s="239">
        <f t="shared" si="204"/>
        <v>5.8932000000000002</v>
      </c>
      <c r="T370" s="239">
        <f t="shared" si="205"/>
        <v>3.2673000000000001</v>
      </c>
      <c r="U370" s="239">
        <f t="shared" si="206"/>
        <v>2.3892000000000002</v>
      </c>
      <c r="V370" s="239">
        <f t="shared" si="207"/>
        <v>1.9488000000000001</v>
      </c>
    </row>
    <row r="371" spans="1:22" s="3" customFormat="1">
      <c r="A371" s="109" t="s">
        <v>323</v>
      </c>
      <c r="B371" s="109" t="s">
        <v>324</v>
      </c>
      <c r="C371" s="118"/>
      <c r="D371" s="207" t="s">
        <v>932</v>
      </c>
      <c r="E371" s="207" t="s">
        <v>932</v>
      </c>
      <c r="F371" s="104"/>
      <c r="G371" s="104"/>
      <c r="H371" s="104"/>
      <c r="I371" s="104"/>
      <c r="J371" s="104"/>
      <c r="K371" s="107"/>
      <c r="L371" s="173">
        <v>60</v>
      </c>
      <c r="N371" s="239">
        <f t="shared" si="200"/>
        <v>11.426399999999999</v>
      </c>
      <c r="O371" s="239">
        <f t="shared" si="201"/>
        <v>6.1745999999999999</v>
      </c>
      <c r="P371" s="239">
        <f t="shared" si="202"/>
        <v>4.4184000000000001</v>
      </c>
      <c r="Q371" s="239">
        <f t="shared" si="203"/>
        <v>3.5375999999999999</v>
      </c>
      <c r="R371" s="239"/>
      <c r="S371" s="239">
        <f t="shared" si="204"/>
        <v>11.7864</v>
      </c>
      <c r="T371" s="239">
        <f t="shared" si="205"/>
        <v>6.5346000000000002</v>
      </c>
      <c r="U371" s="239">
        <f t="shared" si="206"/>
        <v>4.7784000000000004</v>
      </c>
      <c r="V371" s="239">
        <f t="shared" si="207"/>
        <v>3.8976000000000002</v>
      </c>
    </row>
    <row r="372" spans="1:22" s="3" customFormat="1">
      <c r="A372" s="109" t="s">
        <v>574</v>
      </c>
      <c r="B372" s="109" t="s">
        <v>575</v>
      </c>
      <c r="C372" s="118"/>
      <c r="D372" s="104" t="s">
        <v>933</v>
      </c>
      <c r="E372" s="104" t="s">
        <v>933</v>
      </c>
      <c r="F372" s="104"/>
      <c r="G372" s="104"/>
      <c r="H372" s="104"/>
      <c r="I372" s="104"/>
      <c r="J372" s="104"/>
      <c r="K372" s="107"/>
      <c r="L372" s="173">
        <v>20</v>
      </c>
      <c r="N372" s="239">
        <f t="shared" si="200"/>
        <v>3.8087999999999997</v>
      </c>
      <c r="O372" s="239">
        <f t="shared" si="201"/>
        <v>2.0582000000000003</v>
      </c>
      <c r="P372" s="239">
        <f t="shared" si="202"/>
        <v>1.4727999999999999</v>
      </c>
      <c r="Q372" s="239">
        <f t="shared" si="203"/>
        <v>1.1792</v>
      </c>
      <c r="R372" s="239"/>
      <c r="S372" s="239">
        <f t="shared" si="204"/>
        <v>3.9287999999999998</v>
      </c>
      <c r="T372" s="239">
        <f t="shared" si="205"/>
        <v>2.1782000000000004</v>
      </c>
      <c r="U372" s="239">
        <f t="shared" si="206"/>
        <v>1.5928</v>
      </c>
      <c r="V372" s="239">
        <f t="shared" si="207"/>
        <v>1.2992000000000001</v>
      </c>
    </row>
    <row r="373" spans="1:22" s="3" customFormat="1">
      <c r="A373" s="109" t="s">
        <v>326</v>
      </c>
      <c r="B373" s="109" t="s">
        <v>327</v>
      </c>
      <c r="C373" s="118"/>
      <c r="D373" s="105" t="s">
        <v>328</v>
      </c>
      <c r="E373" s="105" t="s">
        <v>328</v>
      </c>
      <c r="F373" s="105"/>
      <c r="G373" s="105"/>
      <c r="H373" s="105"/>
      <c r="I373" s="105"/>
      <c r="J373" s="105"/>
      <c r="K373" s="118"/>
      <c r="L373" s="173">
        <v>158</v>
      </c>
      <c r="N373" s="239">
        <f t="shared" si="200"/>
        <v>30.08952</v>
      </c>
      <c r="O373" s="239">
        <f t="shared" si="201"/>
        <v>16.259779999999999</v>
      </c>
      <c r="P373" s="239">
        <f t="shared" si="202"/>
        <v>11.635119999999999</v>
      </c>
      <c r="Q373" s="239">
        <f t="shared" si="203"/>
        <v>9.3156800000000004</v>
      </c>
      <c r="R373" s="239"/>
      <c r="S373" s="239">
        <f t="shared" si="204"/>
        <v>31.037520000000001</v>
      </c>
      <c r="T373" s="239">
        <f t="shared" si="205"/>
        <v>17.20778</v>
      </c>
      <c r="U373" s="239">
        <f t="shared" si="206"/>
        <v>12.583120000000001</v>
      </c>
      <c r="V373" s="239">
        <f t="shared" si="207"/>
        <v>10.263680000000001</v>
      </c>
    </row>
    <row r="374" spans="1:22" s="3" customFormat="1">
      <c r="A374" s="109" t="s">
        <v>1682</v>
      </c>
      <c r="B374" s="109" t="s">
        <v>1666</v>
      </c>
      <c r="C374" s="118"/>
      <c r="D374" s="109" t="s">
        <v>1706</v>
      </c>
      <c r="E374" s="105" t="s">
        <v>1706</v>
      </c>
      <c r="F374" s="105"/>
      <c r="G374" s="105"/>
      <c r="H374" s="105"/>
      <c r="I374" s="105"/>
      <c r="J374" s="105"/>
      <c r="K374" s="118"/>
      <c r="L374" s="173">
        <v>22</v>
      </c>
      <c r="N374" s="239">
        <f t="shared" ref="N374:N375" si="208">L374*$N$8</f>
        <v>4.1896800000000001</v>
      </c>
      <c r="O374" s="239">
        <f t="shared" ref="O374:O375" si="209">L374*$O$8</f>
        <v>2.2640199999999999</v>
      </c>
      <c r="P374" s="239">
        <f t="shared" ref="P374:P375" si="210">L374*$P$8</f>
        <v>1.62008</v>
      </c>
      <c r="Q374" s="239">
        <f t="shared" ref="Q374:Q375" si="211">L374*$Q$8</f>
        <v>1.2971200000000001</v>
      </c>
      <c r="R374" s="239"/>
      <c r="S374" s="239">
        <f t="shared" ref="S374:S375" si="212">L374*$S$8</f>
        <v>4.3216799999999997</v>
      </c>
      <c r="T374" s="239">
        <f t="shared" ref="T374:T375" si="213">L374*$T$8</f>
        <v>2.39602</v>
      </c>
      <c r="U374" s="239">
        <f t="shared" ref="U374:U375" si="214">L374*$U$8</f>
        <v>1.7520800000000001</v>
      </c>
      <c r="V374" s="239">
        <f t="shared" ref="V374:V375" si="215">L374*$V$8</f>
        <v>1.4291200000000002</v>
      </c>
    </row>
    <row r="375" spans="1:22" s="3" customFormat="1" ht="25.5">
      <c r="A375" s="109" t="s">
        <v>329</v>
      </c>
      <c r="B375" s="109" t="s">
        <v>330</v>
      </c>
      <c r="C375" s="118"/>
      <c r="D375" s="109" t="s">
        <v>1713</v>
      </c>
      <c r="E375" s="109" t="s">
        <v>1713</v>
      </c>
      <c r="F375" s="105"/>
      <c r="G375" s="105"/>
      <c r="H375" s="105"/>
      <c r="I375" s="105"/>
      <c r="J375" s="105"/>
      <c r="K375" s="118"/>
      <c r="L375" s="173">
        <v>52</v>
      </c>
      <c r="N375" s="239">
        <f t="shared" si="208"/>
        <v>9.9028799999999997</v>
      </c>
      <c r="O375" s="239">
        <f t="shared" si="209"/>
        <v>5.3513200000000003</v>
      </c>
      <c r="P375" s="239">
        <f t="shared" si="210"/>
        <v>3.8292799999999998</v>
      </c>
      <c r="Q375" s="239">
        <f t="shared" si="211"/>
        <v>3.0659199999999998</v>
      </c>
      <c r="R375" s="239"/>
      <c r="S375" s="239">
        <f t="shared" si="212"/>
        <v>10.214880000000001</v>
      </c>
      <c r="T375" s="239">
        <f t="shared" si="213"/>
        <v>5.6633200000000006</v>
      </c>
      <c r="U375" s="239">
        <f t="shared" si="214"/>
        <v>4.1412800000000001</v>
      </c>
      <c r="V375" s="239">
        <f t="shared" si="215"/>
        <v>3.37792</v>
      </c>
    </row>
    <row r="376" spans="1:22">
      <c r="H376" s="20"/>
      <c r="I376" s="20"/>
      <c r="J376" s="20"/>
      <c r="K376" s="184"/>
    </row>
    <row r="377" spans="1:22">
      <c r="H377" s="20"/>
      <c r="I377" s="20"/>
      <c r="J377" s="20"/>
      <c r="K377" s="184"/>
    </row>
    <row r="378" spans="1:22">
      <c r="H378" s="20"/>
      <c r="I378" s="20"/>
      <c r="J378" s="20"/>
      <c r="K378" s="184"/>
    </row>
    <row r="379" spans="1:22">
      <c r="H379" s="20"/>
      <c r="I379" s="20"/>
      <c r="J379" s="20"/>
      <c r="K379" s="184"/>
    </row>
    <row r="380" spans="1:22">
      <c r="H380" s="20"/>
      <c r="I380" s="20"/>
      <c r="J380" s="20"/>
      <c r="K380" s="184"/>
    </row>
    <row r="381" spans="1:22">
      <c r="H381" s="20"/>
      <c r="I381" s="20"/>
      <c r="J381" s="20"/>
      <c r="K381" s="184"/>
    </row>
    <row r="382" spans="1:22">
      <c r="H382" s="20"/>
      <c r="I382" s="20"/>
      <c r="J382" s="20"/>
      <c r="K382" s="184"/>
    </row>
    <row r="383" spans="1:22">
      <c r="H383" s="20"/>
      <c r="I383" s="20"/>
      <c r="J383" s="20"/>
      <c r="K383" s="184"/>
    </row>
    <row r="384" spans="1:22">
      <c r="H384" s="20"/>
      <c r="I384" s="20"/>
      <c r="J384" s="20"/>
      <c r="K384" s="184"/>
    </row>
    <row r="385" spans="8:11">
      <c r="H385" s="20"/>
      <c r="I385" s="20"/>
      <c r="J385" s="20"/>
      <c r="K385" s="184"/>
    </row>
    <row r="386" spans="8:11">
      <c r="H386" s="20"/>
      <c r="I386" s="20"/>
      <c r="J386" s="20"/>
      <c r="K386" s="184"/>
    </row>
    <row r="387" spans="8:11">
      <c r="H387" s="20"/>
      <c r="I387" s="20"/>
      <c r="J387" s="20"/>
      <c r="K387" s="184"/>
    </row>
    <row r="388" spans="8:11">
      <c r="H388" s="20"/>
      <c r="I388" s="20"/>
      <c r="J388" s="20"/>
      <c r="K388" s="184"/>
    </row>
    <row r="389" spans="8:11">
      <c r="H389" s="20"/>
      <c r="I389" s="20"/>
      <c r="J389" s="20"/>
      <c r="K389" s="184"/>
    </row>
    <row r="390" spans="8:11">
      <c r="H390" s="20"/>
      <c r="I390" s="20"/>
      <c r="J390" s="20"/>
      <c r="K390" s="184"/>
    </row>
    <row r="391" spans="8:11">
      <c r="H391" s="20"/>
      <c r="I391" s="20"/>
      <c r="J391" s="20"/>
      <c r="K391" s="184"/>
    </row>
    <row r="392" spans="8:11">
      <c r="H392" s="20"/>
      <c r="I392" s="20"/>
      <c r="J392" s="20"/>
      <c r="K392" s="184"/>
    </row>
    <row r="393" spans="8:11">
      <c r="H393" s="20"/>
      <c r="I393" s="20"/>
      <c r="J393" s="20"/>
      <c r="K393" s="184"/>
    </row>
    <row r="394" spans="8:11">
      <c r="H394" s="20"/>
      <c r="I394" s="20"/>
      <c r="J394" s="20"/>
      <c r="K394" s="184"/>
    </row>
    <row r="395" spans="8:11">
      <c r="H395" s="20"/>
      <c r="I395" s="20"/>
      <c r="J395" s="20"/>
      <c r="K395" s="184"/>
    </row>
    <row r="396" spans="8:11">
      <c r="H396" s="20"/>
      <c r="I396" s="20"/>
      <c r="J396" s="20"/>
      <c r="K396" s="184"/>
    </row>
    <row r="397" spans="8:11">
      <c r="H397" s="20"/>
      <c r="I397" s="20"/>
      <c r="J397" s="20"/>
      <c r="K397" s="184"/>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A291"/>
  <sheetViews>
    <sheetView topLeftCell="B244" zoomScale="70" zoomScaleNormal="70" workbookViewId="0">
      <selection activeCell="B276" sqref="B276"/>
    </sheetView>
  </sheetViews>
  <sheetFormatPr baseColWidth="10" defaultColWidth="9.140625" defaultRowHeight="12.75"/>
  <cols>
    <col min="1" max="1" width="98.42578125" style="19" customWidth="1"/>
    <col min="2" max="2" width="56.42578125" style="19" bestFit="1" customWidth="1"/>
    <col min="3" max="3" width="18.42578125" style="19" customWidth="1"/>
    <col min="4" max="4" width="16.42578125" style="44" customWidth="1"/>
    <col min="5" max="5" width="10.42578125" style="44" customWidth="1"/>
    <col min="6" max="6" width="12.140625" style="19" customWidth="1"/>
    <col min="7" max="7" width="11.5703125" style="19" customWidth="1"/>
    <col min="8" max="8" width="12.140625" style="19" customWidth="1"/>
    <col min="9" max="9" width="12.85546875" style="19" customWidth="1"/>
    <col min="10" max="10" width="9.140625" style="19" bestFit="1" customWidth="1"/>
    <col min="11" max="11" width="8.42578125" style="19" customWidth="1"/>
    <col min="12" max="12" width="8.42578125" style="19" bestFit="1" customWidth="1"/>
    <col min="13" max="13" width="9.42578125" style="19" bestFit="1" customWidth="1"/>
    <col min="14" max="14" width="8.42578125" style="19" customWidth="1"/>
    <col min="15" max="18" width="8.42578125" style="19" bestFit="1" customWidth="1"/>
    <col min="19" max="19" width="9.140625" style="19" bestFit="1" customWidth="1"/>
    <col min="20" max="21" width="9.140625" style="19" customWidth="1"/>
    <col min="22" max="22" width="9.140625" style="19" bestFit="1" customWidth="1"/>
    <col min="23" max="23" width="9.140625" style="19"/>
    <col min="24" max="24" width="11.42578125" style="19" customWidth="1"/>
    <col min="25" max="25" width="13.42578125" style="19" customWidth="1"/>
    <col min="26" max="26" width="14" style="19" customWidth="1"/>
    <col min="27" max="27" width="12.42578125" style="19" customWidth="1"/>
    <col min="28" max="28" width="13.5703125" style="19" customWidth="1"/>
    <col min="29" max="16384" width="9.140625" style="19"/>
  </cols>
  <sheetData>
    <row r="1" spans="1:22">
      <c r="E1" s="10"/>
      <c r="F1" s="10"/>
      <c r="G1" s="10"/>
      <c r="H1" s="10"/>
      <c r="I1" s="10"/>
      <c r="J1" s="10"/>
      <c r="K1" s="10"/>
    </row>
    <row r="2" spans="1:22">
      <c r="E2" s="10"/>
      <c r="F2" s="10"/>
      <c r="G2" s="10"/>
      <c r="H2" s="10"/>
      <c r="I2" s="10"/>
      <c r="J2" s="10"/>
      <c r="K2" s="10"/>
    </row>
    <row r="3" spans="1:22">
      <c r="E3" s="10"/>
      <c r="F3" s="10"/>
      <c r="G3" s="10"/>
      <c r="H3" s="10"/>
      <c r="I3" s="10"/>
      <c r="J3" s="10"/>
      <c r="K3" s="10"/>
    </row>
    <row r="4" spans="1:22">
      <c r="E4" s="10"/>
      <c r="F4" s="10"/>
      <c r="G4" s="10"/>
      <c r="H4" s="10"/>
      <c r="I4" s="10"/>
      <c r="J4" s="10"/>
      <c r="K4" s="10"/>
    </row>
    <row r="5" spans="1:22">
      <c r="E5" s="10"/>
      <c r="F5" s="10"/>
      <c r="G5" s="10"/>
      <c r="H5" s="10"/>
      <c r="I5" s="10"/>
      <c r="J5" s="10"/>
      <c r="K5" s="10"/>
    </row>
    <row r="6" spans="1:22">
      <c r="E6" s="10"/>
      <c r="F6" s="10"/>
      <c r="G6" s="10"/>
      <c r="H6" s="10"/>
      <c r="I6" s="10"/>
      <c r="J6" s="10"/>
      <c r="K6" s="10"/>
    </row>
    <row r="7" spans="1:22">
      <c r="E7" s="10"/>
      <c r="F7" s="10"/>
      <c r="G7" s="10"/>
      <c r="H7" s="10"/>
      <c r="I7" s="10"/>
      <c r="J7" s="10"/>
      <c r="K7" s="10"/>
    </row>
    <row r="8" spans="1:22">
      <c r="E8" s="10"/>
      <c r="F8" s="10"/>
      <c r="G8" s="10"/>
      <c r="H8" s="10"/>
      <c r="I8" s="10"/>
      <c r="J8" s="10"/>
      <c r="K8" s="10"/>
    </row>
    <row r="9" spans="1:22">
      <c r="E9" s="10"/>
      <c r="F9" s="10"/>
      <c r="G9" s="10"/>
      <c r="H9" s="10"/>
      <c r="I9" s="10"/>
      <c r="J9" s="10"/>
      <c r="K9" s="10"/>
    </row>
    <row r="10" spans="1:22" ht="25.5">
      <c r="A10" s="46" t="s">
        <v>934</v>
      </c>
      <c r="B10" s="22"/>
      <c r="C10" s="22"/>
      <c r="E10" s="10"/>
      <c r="F10" s="163" t="s">
        <v>1570</v>
      </c>
      <c r="G10" s="163" t="s">
        <v>1570</v>
      </c>
      <c r="H10" s="163" t="s">
        <v>1570</v>
      </c>
      <c r="I10" s="163" t="s">
        <v>1570</v>
      </c>
      <c r="J10" s="10"/>
      <c r="K10" s="10"/>
      <c r="L10" s="10"/>
      <c r="M10" s="10"/>
      <c r="N10" s="10"/>
      <c r="O10" s="10"/>
      <c r="P10" s="10"/>
      <c r="Q10" s="10"/>
      <c r="R10" s="10"/>
      <c r="S10" s="10"/>
      <c r="T10" s="10"/>
      <c r="U10" s="10"/>
      <c r="V10" s="10"/>
    </row>
    <row r="11" spans="1:22">
      <c r="A11" s="46"/>
      <c r="B11" s="22"/>
      <c r="C11" s="22"/>
      <c r="E11" s="10"/>
      <c r="F11" s="158">
        <v>0.25186999999999998</v>
      </c>
      <c r="G11" s="158">
        <v>0.12719</v>
      </c>
      <c r="H11" s="159">
        <v>8.5629999999999998E-2</v>
      </c>
      <c r="I11" s="160">
        <v>6.4860000000000001E-2</v>
      </c>
      <c r="J11" s="10"/>
      <c r="K11" s="10"/>
      <c r="L11" s="10"/>
      <c r="M11" s="10"/>
      <c r="N11" s="10"/>
      <c r="O11" s="10"/>
      <c r="P11" s="10"/>
      <c r="Q11" s="10"/>
      <c r="R11" s="10"/>
      <c r="S11" s="10"/>
      <c r="T11" s="10"/>
      <c r="U11" s="10"/>
      <c r="V11" s="10"/>
    </row>
    <row r="12" spans="1:22" ht="42.75" customHeight="1">
      <c r="A12" s="23" t="s">
        <v>935</v>
      </c>
      <c r="B12" s="24"/>
      <c r="C12" s="25"/>
      <c r="D12" s="25"/>
      <c r="E12" s="10"/>
      <c r="F12" s="165" t="s">
        <v>1588</v>
      </c>
      <c r="G12" s="166"/>
      <c r="H12" s="166"/>
      <c r="I12" s="167"/>
      <c r="J12" s="10"/>
      <c r="K12" s="10"/>
      <c r="M12" s="10"/>
      <c r="N12" s="10"/>
      <c r="O12" s="10"/>
      <c r="P12" s="10"/>
      <c r="Q12" s="10"/>
      <c r="R12" s="10"/>
      <c r="S12" s="10"/>
      <c r="T12" s="10"/>
      <c r="U12" s="10"/>
      <c r="V12" s="10"/>
    </row>
    <row r="13" spans="1:22" ht="42" customHeight="1">
      <c r="A13" s="76" t="s">
        <v>936</v>
      </c>
      <c r="B13" s="76" t="s">
        <v>937</v>
      </c>
      <c r="C13" s="5" t="s">
        <v>120</v>
      </c>
      <c r="D13" s="216" t="s">
        <v>938</v>
      </c>
      <c r="E13" s="10"/>
      <c r="F13" s="177" t="s">
        <v>1574</v>
      </c>
      <c r="G13" s="178" t="s">
        <v>1575</v>
      </c>
      <c r="H13" s="177" t="s">
        <v>1576</v>
      </c>
      <c r="I13" s="177" t="s">
        <v>1577</v>
      </c>
      <c r="P13" s="10"/>
      <c r="Q13" s="10"/>
      <c r="R13" s="10"/>
      <c r="S13" s="10"/>
      <c r="T13" s="10"/>
      <c r="U13" s="10"/>
      <c r="V13" s="10"/>
    </row>
    <row r="14" spans="1:22">
      <c r="A14" s="59" t="s">
        <v>939</v>
      </c>
      <c r="B14" s="60"/>
      <c r="C14" s="62"/>
      <c r="D14" s="217"/>
      <c r="E14" s="10"/>
      <c r="F14" s="217"/>
      <c r="G14" s="217"/>
      <c r="H14" s="217"/>
      <c r="I14" s="77"/>
      <c r="P14" s="10"/>
      <c r="Q14" s="10"/>
      <c r="R14" s="10"/>
      <c r="S14" s="10"/>
      <c r="T14" s="10"/>
      <c r="U14" s="10"/>
      <c r="V14" s="10"/>
    </row>
    <row r="15" spans="1:22">
      <c r="A15" s="63" t="s">
        <v>940</v>
      </c>
      <c r="B15" s="64" t="s">
        <v>941</v>
      </c>
      <c r="C15" s="74" t="s">
        <v>942</v>
      </c>
      <c r="D15" s="218">
        <v>46</v>
      </c>
      <c r="E15" s="10"/>
      <c r="F15" s="252">
        <f>D15*$F$11</f>
        <v>11.58602</v>
      </c>
      <c r="G15" s="252">
        <f>D15*$G$11</f>
        <v>5.8507400000000001</v>
      </c>
      <c r="H15" s="252">
        <f>D15*$H$11</f>
        <v>3.9389799999999999</v>
      </c>
      <c r="I15" s="253">
        <f>D15*$I$11</f>
        <v>2.9835600000000002</v>
      </c>
      <c r="P15" s="10"/>
      <c r="Q15" s="10"/>
      <c r="R15" s="10"/>
      <c r="S15" s="10"/>
      <c r="T15" s="10"/>
      <c r="U15" s="10"/>
      <c r="V15" s="10"/>
    </row>
    <row r="16" spans="1:22">
      <c r="A16" s="63" t="s">
        <v>943</v>
      </c>
      <c r="B16" s="64" t="s">
        <v>944</v>
      </c>
      <c r="C16" s="74" t="s">
        <v>945</v>
      </c>
      <c r="D16" s="218">
        <v>87</v>
      </c>
      <c r="E16" s="10"/>
      <c r="F16" s="252">
        <f t="shared" ref="F16:F75" si="0">D16*$F$11</f>
        <v>21.912689999999998</v>
      </c>
      <c r="G16" s="252">
        <f t="shared" ref="G16:G75" si="1">D16*$G$11</f>
        <v>11.065529999999999</v>
      </c>
      <c r="H16" s="252">
        <f t="shared" ref="H16:H75" si="2">D16*$H$11</f>
        <v>7.4498099999999994</v>
      </c>
      <c r="I16" s="253">
        <f t="shared" ref="I16:I75" si="3">D16*$I$11</f>
        <v>5.6428200000000004</v>
      </c>
      <c r="N16" s="10"/>
      <c r="O16" s="10"/>
      <c r="P16" s="10"/>
      <c r="Q16" s="10"/>
      <c r="R16" s="10"/>
      <c r="S16" s="10"/>
      <c r="T16" s="10"/>
      <c r="U16" s="10"/>
      <c r="V16" s="10"/>
    </row>
    <row r="17" spans="1:22">
      <c r="A17" s="63"/>
      <c r="B17" s="64"/>
      <c r="C17" s="65"/>
      <c r="D17" s="218"/>
      <c r="E17" s="10"/>
      <c r="F17" s="252"/>
      <c r="G17" s="252"/>
      <c r="H17" s="252"/>
      <c r="I17" s="253"/>
      <c r="N17" s="10"/>
      <c r="O17" s="10"/>
      <c r="P17" s="10"/>
      <c r="Q17" s="10"/>
      <c r="R17" s="10"/>
      <c r="S17" s="10"/>
      <c r="T17" s="10"/>
      <c r="U17" s="10"/>
      <c r="V17" s="10"/>
    </row>
    <row r="18" spans="1:22">
      <c r="A18" s="59" t="s">
        <v>946</v>
      </c>
      <c r="B18" s="60"/>
      <c r="C18" s="62"/>
      <c r="D18" s="217"/>
      <c r="E18" s="10"/>
      <c r="F18" s="254"/>
      <c r="G18" s="254"/>
      <c r="H18" s="254"/>
      <c r="I18" s="255"/>
      <c r="N18" s="10"/>
      <c r="O18" s="10"/>
      <c r="P18" s="10"/>
      <c r="Q18" s="10"/>
      <c r="R18" s="10"/>
      <c r="S18" s="10"/>
      <c r="T18" s="10"/>
      <c r="U18" s="10"/>
      <c r="V18" s="10"/>
    </row>
    <row r="19" spans="1:22">
      <c r="A19" s="63" t="s">
        <v>947</v>
      </c>
      <c r="B19" s="64" t="s">
        <v>948</v>
      </c>
      <c r="C19" s="107" t="s">
        <v>949</v>
      </c>
      <c r="D19" s="218">
        <v>174</v>
      </c>
      <c r="E19" s="10"/>
      <c r="F19" s="252">
        <f t="shared" si="0"/>
        <v>43.825379999999996</v>
      </c>
      <c r="G19" s="252">
        <f t="shared" si="1"/>
        <v>22.131059999999998</v>
      </c>
      <c r="H19" s="252">
        <f t="shared" si="2"/>
        <v>14.899619999999999</v>
      </c>
      <c r="I19" s="253">
        <f t="shared" si="3"/>
        <v>11.285640000000001</v>
      </c>
      <c r="N19" s="10"/>
      <c r="O19" s="10"/>
      <c r="P19" s="10"/>
      <c r="Q19" s="10"/>
      <c r="R19" s="10"/>
      <c r="S19" s="10"/>
      <c r="T19" s="10"/>
      <c r="U19" s="10"/>
      <c r="V19" s="10"/>
    </row>
    <row r="20" spans="1:22">
      <c r="A20" s="63" t="s">
        <v>950</v>
      </c>
      <c r="B20" s="64" t="s">
        <v>951</v>
      </c>
      <c r="C20" s="65" t="s">
        <v>952</v>
      </c>
      <c r="D20" s="218">
        <v>25</v>
      </c>
      <c r="E20" s="10"/>
      <c r="F20" s="252">
        <f t="shared" si="0"/>
        <v>6.2967499999999994</v>
      </c>
      <c r="G20" s="252">
        <f t="shared" si="1"/>
        <v>3.1797499999999999</v>
      </c>
      <c r="H20" s="252">
        <f t="shared" si="2"/>
        <v>2.1407500000000002</v>
      </c>
      <c r="I20" s="253">
        <f t="shared" si="3"/>
        <v>1.6214999999999999</v>
      </c>
      <c r="N20" s="10"/>
      <c r="O20" s="10"/>
      <c r="P20" s="10"/>
      <c r="Q20" s="10"/>
      <c r="R20" s="10"/>
      <c r="S20" s="10"/>
      <c r="T20" s="10"/>
      <c r="U20" s="10"/>
      <c r="V20" s="10"/>
    </row>
    <row r="21" spans="1:22">
      <c r="A21" s="63" t="s">
        <v>953</v>
      </c>
      <c r="B21" s="64" t="s">
        <v>954</v>
      </c>
      <c r="C21" s="107" t="s">
        <v>955</v>
      </c>
      <c r="D21" s="218">
        <v>371</v>
      </c>
      <c r="E21" s="10"/>
      <c r="F21" s="252">
        <f t="shared" si="0"/>
        <v>93.443770000000001</v>
      </c>
      <c r="G21" s="252">
        <f t="shared" si="1"/>
        <v>47.187489999999997</v>
      </c>
      <c r="H21" s="252">
        <f t="shared" si="2"/>
        <v>31.768729999999998</v>
      </c>
      <c r="I21" s="253">
        <f t="shared" si="3"/>
        <v>24.06306</v>
      </c>
      <c r="N21" s="10"/>
      <c r="O21" s="10"/>
      <c r="P21" s="10"/>
      <c r="Q21" s="10"/>
      <c r="R21" s="10"/>
      <c r="S21" s="10"/>
      <c r="T21" s="10"/>
      <c r="U21" s="10"/>
      <c r="V21" s="10"/>
    </row>
    <row r="22" spans="1:22">
      <c r="A22" s="63"/>
      <c r="B22" s="64"/>
      <c r="C22" s="65"/>
      <c r="D22" s="218"/>
      <c r="E22" s="10"/>
      <c r="F22" s="252"/>
      <c r="G22" s="252"/>
      <c r="H22" s="252"/>
      <c r="I22" s="253"/>
      <c r="N22" s="10"/>
      <c r="O22" s="10"/>
      <c r="P22" s="10"/>
      <c r="Q22" s="10"/>
      <c r="R22" s="10"/>
      <c r="S22" s="10"/>
      <c r="T22" s="10"/>
      <c r="U22" s="10"/>
      <c r="V22" s="10"/>
    </row>
    <row r="23" spans="1:22">
      <c r="A23" s="59" t="s">
        <v>956</v>
      </c>
      <c r="B23" s="60"/>
      <c r="C23" s="62"/>
      <c r="D23" s="217"/>
      <c r="E23" s="10"/>
      <c r="F23" s="254"/>
      <c r="G23" s="254"/>
      <c r="H23" s="254"/>
      <c r="I23" s="255"/>
      <c r="N23" s="10"/>
      <c r="O23" s="10"/>
      <c r="P23" s="10"/>
      <c r="Q23" s="10"/>
      <c r="R23" s="10"/>
      <c r="S23" s="10"/>
      <c r="T23" s="10"/>
      <c r="U23" s="10"/>
      <c r="V23" s="10"/>
    </row>
    <row r="24" spans="1:22">
      <c r="A24" s="63" t="s">
        <v>958</v>
      </c>
      <c r="B24" s="64" t="s">
        <v>958</v>
      </c>
      <c r="C24" s="65" t="s">
        <v>959</v>
      </c>
      <c r="D24" s="218">
        <v>11</v>
      </c>
      <c r="E24" s="10"/>
      <c r="F24" s="252">
        <f t="shared" si="0"/>
        <v>2.7705699999999998</v>
      </c>
      <c r="G24" s="252">
        <f t="shared" si="1"/>
        <v>1.3990899999999999</v>
      </c>
      <c r="H24" s="252">
        <f t="shared" si="2"/>
        <v>0.94192999999999993</v>
      </c>
      <c r="I24" s="253">
        <f t="shared" si="3"/>
        <v>0.71345999999999998</v>
      </c>
      <c r="N24" s="10"/>
      <c r="O24" s="10"/>
      <c r="P24" s="10"/>
      <c r="Q24" s="10"/>
      <c r="R24" s="10"/>
      <c r="S24" s="10"/>
      <c r="T24" s="10"/>
      <c r="U24" s="10"/>
      <c r="V24" s="10"/>
    </row>
    <row r="25" spans="1:22">
      <c r="A25" s="63" t="s">
        <v>960</v>
      </c>
      <c r="B25" s="78" t="s">
        <v>961</v>
      </c>
      <c r="C25" s="65" t="s">
        <v>962</v>
      </c>
      <c r="D25" s="218">
        <v>119</v>
      </c>
      <c r="E25" s="10"/>
      <c r="F25" s="252">
        <f t="shared" si="0"/>
        <v>29.972529999999999</v>
      </c>
      <c r="G25" s="252">
        <f t="shared" si="1"/>
        <v>15.13561</v>
      </c>
      <c r="H25" s="252">
        <f t="shared" si="2"/>
        <v>10.189969999999999</v>
      </c>
      <c r="I25" s="253">
        <f t="shared" si="3"/>
        <v>7.7183400000000004</v>
      </c>
      <c r="N25" s="10"/>
      <c r="O25" s="10"/>
      <c r="P25" s="10"/>
      <c r="Q25" s="10"/>
      <c r="R25" s="10"/>
      <c r="S25" s="10"/>
      <c r="T25" s="10"/>
      <c r="U25" s="10"/>
      <c r="V25" s="10"/>
    </row>
    <row r="26" spans="1:22">
      <c r="A26" s="63" t="s">
        <v>963</v>
      </c>
      <c r="B26" s="7" t="s">
        <v>964</v>
      </c>
      <c r="C26" s="65" t="s">
        <v>965</v>
      </c>
      <c r="D26" s="218">
        <v>14</v>
      </c>
      <c r="E26" s="10"/>
      <c r="F26" s="252">
        <f t="shared" si="0"/>
        <v>3.5261799999999996</v>
      </c>
      <c r="G26" s="252">
        <f t="shared" si="1"/>
        <v>1.7806599999999999</v>
      </c>
      <c r="H26" s="252">
        <f t="shared" si="2"/>
        <v>1.19882</v>
      </c>
      <c r="I26" s="253">
        <f t="shared" si="3"/>
        <v>0.90803999999999996</v>
      </c>
      <c r="N26" s="10"/>
      <c r="O26" s="10"/>
      <c r="P26" s="10"/>
      <c r="Q26" s="10"/>
      <c r="R26" s="10"/>
      <c r="S26" s="10"/>
      <c r="T26" s="10"/>
      <c r="U26" s="10"/>
      <c r="V26" s="10"/>
    </row>
    <row r="27" spans="1:22">
      <c r="A27" s="63" t="s">
        <v>966</v>
      </c>
      <c r="B27" s="78" t="s">
        <v>966</v>
      </c>
      <c r="C27" s="79" t="s">
        <v>967</v>
      </c>
      <c r="D27" s="218">
        <v>14</v>
      </c>
      <c r="E27" s="10"/>
      <c r="F27" s="252">
        <f t="shared" si="0"/>
        <v>3.5261799999999996</v>
      </c>
      <c r="G27" s="252">
        <f t="shared" si="1"/>
        <v>1.7806599999999999</v>
      </c>
      <c r="H27" s="252">
        <f t="shared" si="2"/>
        <v>1.19882</v>
      </c>
      <c r="I27" s="253">
        <f t="shared" si="3"/>
        <v>0.90803999999999996</v>
      </c>
      <c r="N27" s="10"/>
      <c r="O27" s="10"/>
      <c r="P27" s="10"/>
      <c r="Q27" s="10"/>
      <c r="R27" s="10"/>
      <c r="S27" s="10"/>
      <c r="T27" s="10"/>
      <c r="U27" s="10"/>
      <c r="V27" s="10"/>
    </row>
    <row r="28" spans="1:22">
      <c r="A28" s="63" t="s">
        <v>968</v>
      </c>
      <c r="B28" s="7" t="s">
        <v>969</v>
      </c>
      <c r="C28" s="66" t="s">
        <v>965</v>
      </c>
      <c r="D28" s="218">
        <v>16</v>
      </c>
      <c r="E28" s="10"/>
      <c r="F28" s="252">
        <f t="shared" si="0"/>
        <v>4.0299199999999997</v>
      </c>
      <c r="G28" s="252">
        <f t="shared" si="1"/>
        <v>2.03504</v>
      </c>
      <c r="H28" s="252">
        <f t="shared" si="2"/>
        <v>1.37008</v>
      </c>
      <c r="I28" s="253">
        <f t="shared" si="3"/>
        <v>1.03776</v>
      </c>
      <c r="N28" s="10"/>
      <c r="O28" s="10"/>
      <c r="P28" s="10"/>
      <c r="Q28" s="10"/>
      <c r="R28" s="10"/>
      <c r="S28" s="10"/>
      <c r="T28" s="10"/>
      <c r="U28" s="10"/>
      <c r="V28" s="10"/>
    </row>
    <row r="29" spans="1:22">
      <c r="A29" s="109" t="s">
        <v>970</v>
      </c>
      <c r="B29" s="113" t="s">
        <v>971</v>
      </c>
      <c r="C29" s="107" t="s">
        <v>972</v>
      </c>
      <c r="D29" s="219">
        <v>29</v>
      </c>
      <c r="E29" s="10"/>
      <c r="F29" s="256">
        <f t="shared" si="0"/>
        <v>7.3042299999999996</v>
      </c>
      <c r="G29" s="256">
        <f t="shared" si="1"/>
        <v>3.68851</v>
      </c>
      <c r="H29" s="256">
        <f t="shared" si="2"/>
        <v>2.4832700000000001</v>
      </c>
      <c r="I29" s="248">
        <f t="shared" si="3"/>
        <v>1.8809400000000001</v>
      </c>
      <c r="N29" s="10"/>
      <c r="O29" s="10"/>
      <c r="P29" s="10"/>
      <c r="Q29" s="10"/>
      <c r="R29" s="10"/>
      <c r="S29" s="10"/>
      <c r="T29" s="10"/>
      <c r="U29" s="10"/>
      <c r="V29" s="10"/>
    </row>
    <row r="30" spans="1:22">
      <c r="A30" s="109" t="s">
        <v>973</v>
      </c>
      <c r="B30" s="113" t="s">
        <v>974</v>
      </c>
      <c r="C30" s="107" t="s">
        <v>975</v>
      </c>
      <c r="D30" s="219">
        <v>19</v>
      </c>
      <c r="E30" s="10"/>
      <c r="F30" s="256">
        <f t="shared" si="0"/>
        <v>4.7855299999999996</v>
      </c>
      <c r="G30" s="256">
        <f t="shared" si="1"/>
        <v>2.4166099999999999</v>
      </c>
      <c r="H30" s="256">
        <f t="shared" si="2"/>
        <v>1.62697</v>
      </c>
      <c r="I30" s="248">
        <f t="shared" si="3"/>
        <v>1.23234</v>
      </c>
      <c r="N30" s="10"/>
      <c r="O30" s="10"/>
      <c r="P30" s="10"/>
      <c r="Q30" s="10"/>
      <c r="R30" s="10"/>
      <c r="S30" s="10"/>
      <c r="T30" s="10"/>
      <c r="U30" s="10"/>
      <c r="V30" s="10"/>
    </row>
    <row r="31" spans="1:22">
      <c r="A31" s="63" t="s">
        <v>976</v>
      </c>
      <c r="B31" s="64" t="s">
        <v>977</v>
      </c>
      <c r="C31" s="66" t="s">
        <v>978</v>
      </c>
      <c r="D31" s="218">
        <v>49</v>
      </c>
      <c r="E31" s="10"/>
      <c r="F31" s="252">
        <f t="shared" si="0"/>
        <v>12.341629999999999</v>
      </c>
      <c r="G31" s="252">
        <f t="shared" si="1"/>
        <v>6.23231</v>
      </c>
      <c r="H31" s="252">
        <f t="shared" si="2"/>
        <v>4.1958700000000002</v>
      </c>
      <c r="I31" s="253">
        <f t="shared" si="3"/>
        <v>3.17814</v>
      </c>
      <c r="N31" s="10"/>
      <c r="O31" s="10"/>
      <c r="P31" s="10"/>
      <c r="Q31" s="10"/>
      <c r="R31" s="10"/>
      <c r="S31" s="10"/>
      <c r="T31" s="10"/>
      <c r="U31" s="10"/>
      <c r="V31" s="10"/>
    </row>
    <row r="32" spans="1:22">
      <c r="A32" s="63" t="s">
        <v>979</v>
      </c>
      <c r="B32" s="64" t="s">
        <v>980</v>
      </c>
      <c r="C32" s="66" t="s">
        <v>981</v>
      </c>
      <c r="D32" s="218">
        <v>67</v>
      </c>
      <c r="E32" s="10"/>
      <c r="F32" s="252">
        <f t="shared" si="0"/>
        <v>16.87529</v>
      </c>
      <c r="G32" s="252">
        <f t="shared" si="1"/>
        <v>8.5217299999999998</v>
      </c>
      <c r="H32" s="252">
        <f t="shared" si="2"/>
        <v>5.7372100000000001</v>
      </c>
      <c r="I32" s="253">
        <f t="shared" si="3"/>
        <v>4.3456200000000003</v>
      </c>
      <c r="N32" s="10"/>
      <c r="O32" s="10"/>
      <c r="P32" s="10"/>
      <c r="Q32" s="10"/>
      <c r="R32" s="10"/>
      <c r="S32" s="10"/>
      <c r="T32" s="10"/>
      <c r="U32" s="10"/>
      <c r="V32" s="10"/>
    </row>
    <row r="33" spans="1:22">
      <c r="A33" s="80" t="s">
        <v>982</v>
      </c>
      <c r="B33" s="80" t="s">
        <v>983</v>
      </c>
      <c r="C33" s="66" t="s">
        <v>984</v>
      </c>
      <c r="D33" s="218">
        <v>31</v>
      </c>
      <c r="E33" s="10"/>
      <c r="F33" s="252">
        <f t="shared" si="0"/>
        <v>7.8079699999999992</v>
      </c>
      <c r="G33" s="252">
        <f t="shared" si="1"/>
        <v>3.9428899999999998</v>
      </c>
      <c r="H33" s="252">
        <f t="shared" si="2"/>
        <v>2.6545299999999998</v>
      </c>
      <c r="I33" s="253">
        <f t="shared" si="3"/>
        <v>2.0106600000000001</v>
      </c>
      <c r="N33" s="10"/>
      <c r="O33" s="10"/>
      <c r="P33" s="10"/>
      <c r="Q33" s="10"/>
      <c r="R33" s="10"/>
      <c r="S33" s="10"/>
      <c r="T33" s="10"/>
      <c r="U33" s="10"/>
      <c r="V33" s="10"/>
    </row>
    <row r="34" spans="1:22">
      <c r="A34" s="63"/>
      <c r="B34" s="64"/>
      <c r="C34" s="66"/>
      <c r="D34" s="218"/>
      <c r="E34" s="10"/>
      <c r="F34" s="252"/>
      <c r="G34" s="252"/>
      <c r="H34" s="252"/>
      <c r="I34" s="253"/>
      <c r="N34" s="10"/>
      <c r="O34" s="10"/>
      <c r="P34" s="10"/>
      <c r="Q34" s="10"/>
      <c r="R34" s="10"/>
      <c r="S34" s="10"/>
      <c r="T34" s="10"/>
      <c r="U34" s="10"/>
      <c r="V34" s="10"/>
    </row>
    <row r="35" spans="1:22">
      <c r="A35" s="81" t="s">
        <v>985</v>
      </c>
      <c r="B35" s="60"/>
      <c r="C35" s="62"/>
      <c r="D35" s="217"/>
      <c r="E35" s="10"/>
      <c r="F35" s="254"/>
      <c r="G35" s="254"/>
      <c r="H35" s="254"/>
      <c r="I35" s="255"/>
      <c r="N35" s="10"/>
      <c r="O35" s="10"/>
      <c r="P35" s="10"/>
      <c r="Q35" s="10"/>
      <c r="R35" s="10"/>
      <c r="S35" s="10"/>
      <c r="T35" s="10"/>
      <c r="U35" s="10"/>
      <c r="V35" s="10"/>
    </row>
    <row r="36" spans="1:22">
      <c r="A36" s="63" t="s">
        <v>986</v>
      </c>
      <c r="B36" s="64" t="s">
        <v>987</v>
      </c>
      <c r="C36" s="65" t="s">
        <v>988</v>
      </c>
      <c r="D36" s="218">
        <v>4</v>
      </c>
      <c r="E36" s="10"/>
      <c r="F36" s="252">
        <f t="shared" si="0"/>
        <v>1.0074799999999999</v>
      </c>
      <c r="G36" s="252">
        <f t="shared" si="1"/>
        <v>0.50875999999999999</v>
      </c>
      <c r="H36" s="252">
        <f t="shared" si="2"/>
        <v>0.34251999999999999</v>
      </c>
      <c r="I36" s="253">
        <f t="shared" si="3"/>
        <v>0.25944</v>
      </c>
      <c r="N36" s="10"/>
      <c r="O36" s="10"/>
      <c r="P36" s="10"/>
      <c r="Q36" s="10"/>
      <c r="R36" s="10"/>
      <c r="S36" s="10"/>
      <c r="T36" s="10"/>
      <c r="U36" s="10"/>
      <c r="V36" s="10"/>
    </row>
    <row r="37" spans="1:22">
      <c r="A37" s="63" t="s">
        <v>989</v>
      </c>
      <c r="B37" s="64" t="s">
        <v>990</v>
      </c>
      <c r="C37" s="75" t="s">
        <v>991</v>
      </c>
      <c r="D37" s="218">
        <v>13</v>
      </c>
      <c r="E37" s="10"/>
      <c r="F37" s="252">
        <f t="shared" si="0"/>
        <v>3.2743099999999998</v>
      </c>
      <c r="G37" s="252">
        <f t="shared" si="1"/>
        <v>1.65347</v>
      </c>
      <c r="H37" s="252">
        <f t="shared" si="2"/>
        <v>1.1131899999999999</v>
      </c>
      <c r="I37" s="253">
        <f t="shared" si="3"/>
        <v>0.84318000000000004</v>
      </c>
      <c r="N37" s="10"/>
      <c r="O37" s="10"/>
      <c r="P37" s="10"/>
      <c r="Q37" s="10"/>
      <c r="R37" s="10"/>
      <c r="S37" s="10"/>
      <c r="T37" s="10"/>
      <c r="U37" s="10"/>
      <c r="V37" s="10"/>
    </row>
    <row r="38" spans="1:22">
      <c r="A38" s="63" t="s">
        <v>992</v>
      </c>
      <c r="B38" s="64" t="s">
        <v>1654</v>
      </c>
      <c r="C38" s="65" t="s">
        <v>1642</v>
      </c>
      <c r="D38" s="218">
        <v>17</v>
      </c>
      <c r="E38" s="10"/>
      <c r="F38" s="252">
        <f t="shared" si="0"/>
        <v>4.28179</v>
      </c>
      <c r="G38" s="252">
        <f t="shared" si="1"/>
        <v>2.1622300000000001</v>
      </c>
      <c r="H38" s="252">
        <f t="shared" si="2"/>
        <v>1.4557100000000001</v>
      </c>
      <c r="I38" s="253">
        <f t="shared" si="3"/>
        <v>1.1026199999999999</v>
      </c>
      <c r="N38" s="10"/>
      <c r="O38" s="10"/>
      <c r="P38" s="10"/>
      <c r="Q38" s="10"/>
      <c r="R38" s="10"/>
      <c r="S38" s="10"/>
      <c r="T38" s="10"/>
      <c r="U38" s="10"/>
      <c r="V38" s="10"/>
    </row>
    <row r="39" spans="1:22">
      <c r="A39" s="63" t="s">
        <v>993</v>
      </c>
      <c r="B39" s="64" t="s">
        <v>994</v>
      </c>
      <c r="C39" s="65" t="s">
        <v>995</v>
      </c>
      <c r="D39" s="218">
        <v>19</v>
      </c>
      <c r="E39" s="10"/>
      <c r="F39" s="252">
        <f t="shared" ref="F39" si="4">D39*$F$11</f>
        <v>4.7855299999999996</v>
      </c>
      <c r="G39" s="252">
        <f t="shared" ref="G39" si="5">D39*$G$11</f>
        <v>2.4166099999999999</v>
      </c>
      <c r="H39" s="252">
        <f t="shared" ref="H39" si="6">D39*$H$11</f>
        <v>1.62697</v>
      </c>
      <c r="I39" s="253">
        <f t="shared" ref="I39" si="7">D39*$I$11</f>
        <v>1.23234</v>
      </c>
      <c r="N39" s="10"/>
      <c r="O39" s="10"/>
      <c r="P39" s="10"/>
      <c r="Q39" s="10"/>
      <c r="R39" s="10"/>
      <c r="S39" s="10"/>
      <c r="T39" s="10"/>
      <c r="U39" s="10"/>
      <c r="V39" s="10"/>
    </row>
    <row r="40" spans="1:22">
      <c r="A40" s="63" t="s">
        <v>996</v>
      </c>
      <c r="B40" s="64" t="s">
        <v>997</v>
      </c>
      <c r="C40" s="65" t="s">
        <v>998</v>
      </c>
      <c r="D40" s="218">
        <v>27</v>
      </c>
      <c r="E40" s="10"/>
      <c r="F40" s="252">
        <f t="shared" si="0"/>
        <v>6.8004899999999999</v>
      </c>
      <c r="G40" s="252">
        <f t="shared" si="1"/>
        <v>3.4341300000000001</v>
      </c>
      <c r="H40" s="252">
        <f t="shared" si="2"/>
        <v>2.3120099999999999</v>
      </c>
      <c r="I40" s="253">
        <f t="shared" si="3"/>
        <v>1.75122</v>
      </c>
      <c r="N40" s="10"/>
      <c r="O40" s="10"/>
      <c r="P40" s="10"/>
      <c r="Q40" s="10"/>
      <c r="R40" s="10"/>
      <c r="S40" s="10"/>
      <c r="T40" s="10"/>
      <c r="U40" s="10"/>
      <c r="V40" s="10"/>
    </row>
    <row r="41" spans="1:22">
      <c r="A41" s="63" t="s">
        <v>999</v>
      </c>
      <c r="B41" s="64" t="s">
        <v>1000</v>
      </c>
      <c r="C41" s="65" t="s">
        <v>1001</v>
      </c>
      <c r="D41" s="218">
        <v>31</v>
      </c>
      <c r="E41" s="10"/>
      <c r="F41" s="252">
        <f t="shared" si="0"/>
        <v>7.8079699999999992</v>
      </c>
      <c r="G41" s="252">
        <f t="shared" si="1"/>
        <v>3.9428899999999998</v>
      </c>
      <c r="H41" s="252">
        <f t="shared" si="2"/>
        <v>2.6545299999999998</v>
      </c>
      <c r="I41" s="253">
        <f t="shared" si="3"/>
        <v>2.0106600000000001</v>
      </c>
      <c r="N41" s="10"/>
      <c r="O41" s="10"/>
      <c r="P41" s="10"/>
      <c r="Q41" s="10"/>
      <c r="R41" s="10"/>
      <c r="S41" s="10"/>
      <c r="T41" s="10"/>
      <c r="U41" s="10"/>
      <c r="V41" s="10"/>
    </row>
    <row r="42" spans="1:22">
      <c r="A42" s="109" t="s">
        <v>1002</v>
      </c>
      <c r="B42" s="105" t="s">
        <v>314</v>
      </c>
      <c r="C42" s="213" t="s">
        <v>1003</v>
      </c>
      <c r="D42" s="219">
        <v>32</v>
      </c>
      <c r="E42" s="10"/>
      <c r="F42" s="256">
        <f t="shared" si="0"/>
        <v>8.0598399999999994</v>
      </c>
      <c r="G42" s="256">
        <f t="shared" si="1"/>
        <v>4.0700799999999999</v>
      </c>
      <c r="H42" s="256">
        <f t="shared" si="2"/>
        <v>2.7401599999999999</v>
      </c>
      <c r="I42" s="248">
        <f t="shared" si="3"/>
        <v>2.07552</v>
      </c>
      <c r="N42" s="10"/>
      <c r="O42" s="10"/>
      <c r="P42" s="10"/>
      <c r="Q42" s="10"/>
      <c r="R42" s="10"/>
      <c r="S42" s="10"/>
      <c r="T42" s="10"/>
      <c r="U42" s="10"/>
      <c r="V42" s="10"/>
    </row>
    <row r="43" spans="1:22">
      <c r="A43" s="63" t="s">
        <v>1004</v>
      </c>
      <c r="B43" s="64" t="s">
        <v>1005</v>
      </c>
      <c r="C43" s="65" t="s">
        <v>1006</v>
      </c>
      <c r="D43" s="218">
        <v>35</v>
      </c>
      <c r="E43" s="10"/>
      <c r="F43" s="252">
        <f t="shared" si="0"/>
        <v>8.8154500000000002</v>
      </c>
      <c r="G43" s="252">
        <f t="shared" si="1"/>
        <v>4.4516499999999999</v>
      </c>
      <c r="H43" s="252">
        <f t="shared" si="2"/>
        <v>2.9970499999999998</v>
      </c>
      <c r="I43" s="253">
        <f t="shared" si="3"/>
        <v>2.2701000000000002</v>
      </c>
      <c r="N43" s="10"/>
      <c r="O43" s="10"/>
      <c r="P43" s="10"/>
      <c r="Q43" s="10"/>
      <c r="R43" s="10"/>
      <c r="S43" s="10"/>
      <c r="T43" s="10"/>
      <c r="U43" s="10"/>
      <c r="V43" s="10"/>
    </row>
    <row r="44" spans="1:22">
      <c r="A44" s="63" t="s">
        <v>1007</v>
      </c>
      <c r="B44" s="64" t="s">
        <v>1008</v>
      </c>
      <c r="C44" s="65" t="s">
        <v>1009</v>
      </c>
      <c r="D44" s="218">
        <v>47</v>
      </c>
      <c r="E44" s="10"/>
      <c r="F44" s="252">
        <f t="shared" si="0"/>
        <v>11.83789</v>
      </c>
      <c r="G44" s="252">
        <f t="shared" si="1"/>
        <v>5.9779299999999997</v>
      </c>
      <c r="H44" s="252">
        <f t="shared" si="2"/>
        <v>4.02461</v>
      </c>
      <c r="I44" s="253">
        <f t="shared" si="3"/>
        <v>3.0484200000000001</v>
      </c>
      <c r="N44" s="10"/>
      <c r="O44" s="10"/>
      <c r="P44" s="10"/>
      <c r="Q44" s="10"/>
      <c r="R44" s="10"/>
      <c r="S44" s="10"/>
      <c r="T44" s="10"/>
      <c r="U44" s="10"/>
      <c r="V44" s="10"/>
    </row>
    <row r="45" spans="1:22">
      <c r="A45" s="63" t="s">
        <v>1010</v>
      </c>
      <c r="B45" s="64" t="s">
        <v>1011</v>
      </c>
      <c r="C45" s="65" t="s">
        <v>1012</v>
      </c>
      <c r="D45" s="218">
        <v>5</v>
      </c>
      <c r="E45" s="10"/>
      <c r="F45" s="252">
        <f t="shared" si="0"/>
        <v>1.25935</v>
      </c>
      <c r="G45" s="252">
        <f t="shared" si="1"/>
        <v>0.63595000000000002</v>
      </c>
      <c r="H45" s="252">
        <f t="shared" si="2"/>
        <v>0.42814999999999998</v>
      </c>
      <c r="I45" s="253">
        <f t="shared" si="3"/>
        <v>0.32430000000000003</v>
      </c>
      <c r="N45" s="10"/>
      <c r="O45" s="10"/>
      <c r="P45" s="10"/>
      <c r="Q45" s="10"/>
      <c r="R45" s="10"/>
      <c r="S45" s="10"/>
      <c r="T45" s="10"/>
      <c r="U45" s="10"/>
      <c r="V45" s="10"/>
    </row>
    <row r="46" spans="1:22">
      <c r="A46" s="63" t="s">
        <v>1013</v>
      </c>
      <c r="B46" s="64" t="s">
        <v>1014</v>
      </c>
      <c r="C46" s="65" t="s">
        <v>1015</v>
      </c>
      <c r="D46" s="218">
        <v>57</v>
      </c>
      <c r="E46" s="10"/>
      <c r="F46" s="252">
        <f t="shared" si="0"/>
        <v>14.356589999999999</v>
      </c>
      <c r="G46" s="252">
        <f t="shared" si="1"/>
        <v>7.2498300000000002</v>
      </c>
      <c r="H46" s="252">
        <f t="shared" si="2"/>
        <v>4.8809100000000001</v>
      </c>
      <c r="I46" s="253">
        <f t="shared" si="3"/>
        <v>3.6970200000000002</v>
      </c>
      <c r="N46" s="10"/>
      <c r="O46" s="10"/>
      <c r="P46" s="10"/>
      <c r="Q46" s="10"/>
      <c r="R46" s="10"/>
      <c r="S46" s="10"/>
      <c r="T46" s="10"/>
      <c r="U46" s="10"/>
      <c r="V46" s="10"/>
    </row>
    <row r="47" spans="1:22">
      <c r="A47" s="63" t="s">
        <v>1016</v>
      </c>
      <c r="B47" s="64" t="s">
        <v>1017</v>
      </c>
      <c r="C47" s="65" t="s">
        <v>1018</v>
      </c>
      <c r="D47" s="218">
        <v>436</v>
      </c>
      <c r="E47" s="10"/>
      <c r="F47" s="252">
        <f t="shared" si="0"/>
        <v>109.81531999999999</v>
      </c>
      <c r="G47" s="252">
        <f t="shared" si="1"/>
        <v>55.454839999999997</v>
      </c>
      <c r="H47" s="252">
        <f t="shared" si="2"/>
        <v>37.334679999999999</v>
      </c>
      <c r="I47" s="253">
        <f t="shared" si="3"/>
        <v>28.278960000000001</v>
      </c>
      <c r="N47" s="10"/>
      <c r="O47" s="10"/>
      <c r="P47" s="10"/>
      <c r="Q47" s="10"/>
      <c r="R47" s="10"/>
      <c r="S47" s="10"/>
      <c r="T47" s="10"/>
      <c r="U47" s="10"/>
      <c r="V47" s="10"/>
    </row>
    <row r="48" spans="1:22">
      <c r="A48" s="63"/>
      <c r="B48" s="64"/>
      <c r="C48" s="65"/>
      <c r="D48" s="218"/>
      <c r="E48" s="10"/>
      <c r="F48" s="252"/>
      <c r="G48" s="252"/>
      <c r="H48" s="252"/>
      <c r="I48" s="253"/>
      <c r="N48" s="10"/>
      <c r="O48" s="10"/>
      <c r="P48" s="10"/>
      <c r="Q48" s="10"/>
      <c r="R48" s="10"/>
      <c r="S48" s="10"/>
      <c r="T48" s="10"/>
      <c r="U48" s="10"/>
      <c r="V48" s="10"/>
    </row>
    <row r="49" spans="1:22">
      <c r="A49" s="59" t="s">
        <v>1019</v>
      </c>
      <c r="B49" s="60"/>
      <c r="C49" s="62"/>
      <c r="D49" s="217"/>
      <c r="E49" s="10"/>
      <c r="F49" s="254"/>
      <c r="G49" s="254"/>
      <c r="H49" s="254"/>
      <c r="I49" s="255"/>
      <c r="N49" s="10"/>
      <c r="O49" s="10"/>
      <c r="P49" s="10"/>
      <c r="Q49" s="10"/>
      <c r="R49" s="10"/>
      <c r="S49" s="10"/>
      <c r="T49" s="10"/>
      <c r="U49" s="10"/>
      <c r="V49" s="10"/>
    </row>
    <row r="50" spans="1:22">
      <c r="A50" s="109" t="s">
        <v>1020</v>
      </c>
      <c r="B50" s="113" t="s">
        <v>1021</v>
      </c>
      <c r="C50" s="107" t="s">
        <v>1022</v>
      </c>
      <c r="D50" s="219">
        <v>18</v>
      </c>
      <c r="E50" s="10"/>
      <c r="F50" s="256">
        <f t="shared" si="0"/>
        <v>4.5336599999999994</v>
      </c>
      <c r="G50" s="256">
        <f t="shared" si="1"/>
        <v>2.2894199999999998</v>
      </c>
      <c r="H50" s="256">
        <f t="shared" si="2"/>
        <v>1.5413399999999999</v>
      </c>
      <c r="I50" s="248">
        <f t="shared" si="3"/>
        <v>1.1674800000000001</v>
      </c>
      <c r="N50" s="10"/>
      <c r="O50" s="10"/>
      <c r="P50" s="10"/>
      <c r="Q50" s="10"/>
      <c r="R50" s="10"/>
      <c r="S50" s="10"/>
      <c r="T50" s="10"/>
      <c r="U50" s="10"/>
      <c r="V50" s="10"/>
    </row>
    <row r="51" spans="1:22">
      <c r="A51" s="109" t="s">
        <v>1023</v>
      </c>
      <c r="B51" s="113" t="s">
        <v>1024</v>
      </c>
      <c r="C51" s="107" t="s">
        <v>1025</v>
      </c>
      <c r="D51" s="219">
        <v>64</v>
      </c>
      <c r="E51" s="10"/>
      <c r="F51" s="256">
        <f t="shared" si="0"/>
        <v>16.119679999999999</v>
      </c>
      <c r="G51" s="256">
        <f t="shared" si="1"/>
        <v>8.1401599999999998</v>
      </c>
      <c r="H51" s="256">
        <f t="shared" si="2"/>
        <v>5.4803199999999999</v>
      </c>
      <c r="I51" s="248">
        <f t="shared" si="3"/>
        <v>4.1510400000000001</v>
      </c>
      <c r="N51" s="10"/>
      <c r="O51" s="10"/>
      <c r="P51" s="10"/>
      <c r="Q51" s="10"/>
      <c r="R51" s="10"/>
      <c r="S51" s="10"/>
      <c r="T51" s="10"/>
      <c r="U51" s="10"/>
      <c r="V51" s="10"/>
    </row>
    <row r="52" spans="1:22">
      <c r="A52" s="72"/>
      <c r="B52" s="72"/>
      <c r="C52" s="70"/>
      <c r="D52" s="218"/>
      <c r="E52" s="10"/>
      <c r="F52" s="252"/>
      <c r="G52" s="252"/>
      <c r="H52" s="252"/>
      <c r="I52" s="253"/>
      <c r="N52" s="10"/>
      <c r="O52" s="10"/>
      <c r="P52" s="10"/>
      <c r="Q52" s="10"/>
      <c r="R52" s="10"/>
      <c r="S52" s="10"/>
      <c r="T52" s="10"/>
      <c r="U52" s="10"/>
      <c r="V52" s="10"/>
    </row>
    <row r="53" spans="1:22">
      <c r="A53" s="59" t="s">
        <v>1026</v>
      </c>
      <c r="B53" s="60"/>
      <c r="C53" s="62"/>
      <c r="D53" s="217"/>
      <c r="E53" s="10"/>
      <c r="F53" s="254"/>
      <c r="G53" s="254"/>
      <c r="H53" s="254"/>
      <c r="I53" s="255"/>
      <c r="N53" s="10"/>
      <c r="O53" s="10"/>
      <c r="P53" s="10"/>
      <c r="Q53" s="10"/>
      <c r="R53" s="10"/>
      <c r="S53" s="10"/>
      <c r="T53" s="10"/>
      <c r="U53" s="10"/>
      <c r="V53" s="10"/>
    </row>
    <row r="54" spans="1:22">
      <c r="A54" s="63" t="s">
        <v>1027</v>
      </c>
      <c r="B54" s="64" t="s">
        <v>1027</v>
      </c>
      <c r="C54" s="75" t="s">
        <v>1028</v>
      </c>
      <c r="D54" s="218">
        <v>7</v>
      </c>
      <c r="E54" s="10"/>
      <c r="F54" s="252">
        <f t="shared" si="0"/>
        <v>1.7630899999999998</v>
      </c>
      <c r="G54" s="252">
        <f t="shared" si="1"/>
        <v>0.89032999999999995</v>
      </c>
      <c r="H54" s="252">
        <f t="shared" si="2"/>
        <v>0.59941</v>
      </c>
      <c r="I54" s="253">
        <f t="shared" si="3"/>
        <v>0.45401999999999998</v>
      </c>
      <c r="N54" s="10"/>
      <c r="O54" s="10"/>
      <c r="P54" s="10"/>
      <c r="Q54" s="10"/>
      <c r="R54" s="10"/>
      <c r="S54" s="10"/>
      <c r="T54" s="10"/>
      <c r="U54" s="10"/>
      <c r="V54" s="10"/>
    </row>
    <row r="55" spans="1:22">
      <c r="A55" s="63" t="s">
        <v>1029</v>
      </c>
      <c r="B55" s="64" t="s">
        <v>1029</v>
      </c>
      <c r="C55" s="75" t="s">
        <v>1030</v>
      </c>
      <c r="D55" s="218">
        <v>12</v>
      </c>
      <c r="E55" s="10"/>
      <c r="F55" s="252">
        <f t="shared" si="0"/>
        <v>3.0224399999999996</v>
      </c>
      <c r="G55" s="252">
        <f t="shared" si="1"/>
        <v>1.5262799999999999</v>
      </c>
      <c r="H55" s="252">
        <f t="shared" si="2"/>
        <v>1.02756</v>
      </c>
      <c r="I55" s="253">
        <f t="shared" si="3"/>
        <v>0.77832000000000001</v>
      </c>
      <c r="N55" s="10"/>
      <c r="O55" s="10"/>
      <c r="P55" s="10"/>
      <c r="Q55" s="10"/>
      <c r="R55" s="10"/>
      <c r="S55" s="10"/>
      <c r="T55" s="10"/>
      <c r="U55" s="10"/>
      <c r="V55" s="10"/>
    </row>
    <row r="56" spans="1:22">
      <c r="A56" s="64" t="s">
        <v>1031</v>
      </c>
      <c r="B56" s="64" t="s">
        <v>1031</v>
      </c>
      <c r="C56" s="65" t="s">
        <v>1032</v>
      </c>
      <c r="D56" s="218">
        <v>27</v>
      </c>
      <c r="E56" s="10"/>
      <c r="F56" s="252">
        <f t="shared" si="0"/>
        <v>6.8004899999999999</v>
      </c>
      <c r="G56" s="252">
        <f t="shared" si="1"/>
        <v>3.4341300000000001</v>
      </c>
      <c r="H56" s="252">
        <f t="shared" si="2"/>
        <v>2.3120099999999999</v>
      </c>
      <c r="I56" s="253">
        <f t="shared" si="3"/>
        <v>1.75122</v>
      </c>
      <c r="N56" s="10"/>
      <c r="O56" s="10"/>
      <c r="P56" s="10"/>
      <c r="Q56" s="10"/>
      <c r="R56" s="10"/>
      <c r="S56" s="10"/>
      <c r="T56" s="10"/>
      <c r="U56" s="10"/>
      <c r="V56" s="10"/>
    </row>
    <row r="57" spans="1:22">
      <c r="A57" s="64" t="s">
        <v>1033</v>
      </c>
      <c r="B57" s="64" t="s">
        <v>1033</v>
      </c>
      <c r="C57" s="70" t="s">
        <v>1034</v>
      </c>
      <c r="D57" s="218">
        <v>47</v>
      </c>
      <c r="E57" s="10"/>
      <c r="F57" s="252">
        <f t="shared" si="0"/>
        <v>11.83789</v>
      </c>
      <c r="G57" s="252">
        <f t="shared" si="1"/>
        <v>5.9779299999999997</v>
      </c>
      <c r="H57" s="252">
        <f t="shared" si="2"/>
        <v>4.02461</v>
      </c>
      <c r="I57" s="253">
        <f t="shared" si="3"/>
        <v>3.0484200000000001</v>
      </c>
      <c r="N57" s="10"/>
      <c r="O57" s="10"/>
      <c r="P57" s="10"/>
      <c r="Q57" s="10"/>
      <c r="R57" s="10"/>
      <c r="S57" s="10"/>
      <c r="T57" s="10"/>
      <c r="U57" s="10"/>
      <c r="V57" s="10"/>
    </row>
    <row r="58" spans="1:22" ht="12.95" customHeight="1">
      <c r="A58" s="63" t="s">
        <v>1035</v>
      </c>
      <c r="B58" s="64" t="s">
        <v>1036</v>
      </c>
      <c r="C58" s="65" t="s">
        <v>1037</v>
      </c>
      <c r="D58" s="218">
        <v>44</v>
      </c>
      <c r="E58" s="10"/>
      <c r="F58" s="252">
        <f t="shared" si="0"/>
        <v>11.082279999999999</v>
      </c>
      <c r="G58" s="252">
        <f t="shared" si="1"/>
        <v>5.5963599999999998</v>
      </c>
      <c r="H58" s="252">
        <f t="shared" si="2"/>
        <v>3.7677199999999997</v>
      </c>
      <c r="I58" s="253">
        <f t="shared" si="3"/>
        <v>2.8538399999999999</v>
      </c>
      <c r="N58" s="10"/>
      <c r="O58" s="10"/>
      <c r="P58" s="10"/>
      <c r="Q58" s="10"/>
      <c r="R58" s="10"/>
      <c r="S58" s="10"/>
      <c r="T58" s="10"/>
      <c r="U58" s="10"/>
      <c r="V58" s="10"/>
    </row>
    <row r="59" spans="1:22">
      <c r="A59" s="109" t="s">
        <v>1038</v>
      </c>
      <c r="B59" s="113" t="s">
        <v>1039</v>
      </c>
      <c r="C59" s="107" t="s">
        <v>1655</v>
      </c>
      <c r="D59" s="219">
        <v>56</v>
      </c>
      <c r="E59" s="10"/>
      <c r="F59" s="256">
        <f t="shared" si="0"/>
        <v>14.104719999999999</v>
      </c>
      <c r="G59" s="256">
        <f t="shared" si="1"/>
        <v>7.1226399999999996</v>
      </c>
      <c r="H59" s="256">
        <f t="shared" si="2"/>
        <v>4.79528</v>
      </c>
      <c r="I59" s="248">
        <f t="shared" si="3"/>
        <v>3.6321599999999998</v>
      </c>
      <c r="R59" s="10"/>
      <c r="S59" s="10"/>
      <c r="T59" s="10"/>
      <c r="U59" s="10"/>
      <c r="V59" s="10"/>
    </row>
    <row r="60" spans="1:22">
      <c r="A60" s="72" t="s">
        <v>1040</v>
      </c>
      <c r="B60" s="72" t="s">
        <v>1041</v>
      </c>
      <c r="C60" s="70" t="s">
        <v>1042</v>
      </c>
      <c r="D60" s="218">
        <v>82</v>
      </c>
      <c r="E60" s="10"/>
      <c r="F60" s="252">
        <f t="shared" si="0"/>
        <v>20.65334</v>
      </c>
      <c r="G60" s="252">
        <f t="shared" si="1"/>
        <v>10.42958</v>
      </c>
      <c r="H60" s="252">
        <f t="shared" si="2"/>
        <v>7.0216599999999998</v>
      </c>
      <c r="I60" s="253">
        <f t="shared" si="3"/>
        <v>5.3185200000000004</v>
      </c>
      <c r="R60" s="10"/>
      <c r="S60" s="10"/>
      <c r="T60" s="10"/>
      <c r="U60" s="10"/>
      <c r="V60" s="10"/>
    </row>
    <row r="61" spans="1:22">
      <c r="A61" s="172" t="s">
        <v>1043</v>
      </c>
      <c r="B61" s="172" t="s">
        <v>1044</v>
      </c>
      <c r="C61" s="212" t="s">
        <v>1657</v>
      </c>
      <c r="D61" s="219">
        <v>63</v>
      </c>
      <c r="E61" s="10"/>
      <c r="F61" s="256">
        <f t="shared" si="0"/>
        <v>15.867809999999999</v>
      </c>
      <c r="G61" s="256">
        <f t="shared" si="1"/>
        <v>8.0129699999999993</v>
      </c>
      <c r="H61" s="256">
        <f t="shared" si="2"/>
        <v>5.3946899999999998</v>
      </c>
      <c r="I61" s="248">
        <f t="shared" si="3"/>
        <v>4.0861799999999997</v>
      </c>
      <c r="R61" s="10"/>
      <c r="S61" s="10"/>
      <c r="T61" s="10"/>
      <c r="U61" s="10"/>
      <c r="V61" s="10"/>
    </row>
    <row r="62" spans="1:22">
      <c r="A62" s="109" t="s">
        <v>1045</v>
      </c>
      <c r="B62" s="105" t="s">
        <v>1046</v>
      </c>
      <c r="C62" s="107" t="s">
        <v>1658</v>
      </c>
      <c r="D62" s="219">
        <v>126</v>
      </c>
      <c r="E62" s="10"/>
      <c r="F62" s="256">
        <f t="shared" si="0"/>
        <v>31.735619999999997</v>
      </c>
      <c r="G62" s="256">
        <f t="shared" si="1"/>
        <v>16.025939999999999</v>
      </c>
      <c r="H62" s="256">
        <f t="shared" si="2"/>
        <v>10.78938</v>
      </c>
      <c r="I62" s="248">
        <f t="shared" si="3"/>
        <v>8.1723599999999994</v>
      </c>
      <c r="R62" s="10"/>
      <c r="S62" s="10"/>
      <c r="T62" s="10"/>
      <c r="U62" s="10"/>
      <c r="V62" s="10"/>
    </row>
    <row r="63" spans="1:22">
      <c r="A63" s="63" t="s">
        <v>1047</v>
      </c>
      <c r="B63" s="64" t="s">
        <v>1048</v>
      </c>
      <c r="C63" s="65" t="s">
        <v>1049</v>
      </c>
      <c r="D63" s="218">
        <v>131</v>
      </c>
      <c r="E63" s="10"/>
      <c r="F63" s="252">
        <f t="shared" si="0"/>
        <v>32.994969999999995</v>
      </c>
      <c r="G63" s="252">
        <f t="shared" si="1"/>
        <v>16.66189</v>
      </c>
      <c r="H63" s="252">
        <f t="shared" si="2"/>
        <v>11.21753</v>
      </c>
      <c r="I63" s="253">
        <f t="shared" si="3"/>
        <v>8.4966600000000003</v>
      </c>
      <c r="R63" s="10"/>
      <c r="S63" s="10"/>
      <c r="T63" s="10"/>
      <c r="U63" s="10"/>
      <c r="V63" s="10"/>
    </row>
    <row r="64" spans="1:22">
      <c r="A64" s="109" t="s">
        <v>1050</v>
      </c>
      <c r="B64" s="105" t="s">
        <v>1051</v>
      </c>
      <c r="C64" s="107" t="s">
        <v>1659</v>
      </c>
      <c r="D64" s="219">
        <v>131</v>
      </c>
      <c r="E64" s="10"/>
      <c r="F64" s="256">
        <f t="shared" si="0"/>
        <v>32.994969999999995</v>
      </c>
      <c r="G64" s="256">
        <f t="shared" si="1"/>
        <v>16.66189</v>
      </c>
      <c r="H64" s="256">
        <f t="shared" si="2"/>
        <v>11.21753</v>
      </c>
      <c r="I64" s="248">
        <f t="shared" si="3"/>
        <v>8.4966600000000003</v>
      </c>
      <c r="R64" s="10"/>
      <c r="S64" s="10"/>
      <c r="T64" s="10"/>
      <c r="U64" s="10"/>
      <c r="V64" s="10"/>
    </row>
    <row r="65" spans="1:22">
      <c r="A65" s="109" t="s">
        <v>1052</v>
      </c>
      <c r="B65" s="105" t="s">
        <v>1053</v>
      </c>
      <c r="C65" s="107" t="s">
        <v>1660</v>
      </c>
      <c r="D65" s="219">
        <v>150</v>
      </c>
      <c r="E65" s="10"/>
      <c r="F65" s="256">
        <f t="shared" si="0"/>
        <v>37.780499999999996</v>
      </c>
      <c r="G65" s="256">
        <f t="shared" si="1"/>
        <v>19.078499999999998</v>
      </c>
      <c r="H65" s="256">
        <f t="shared" si="2"/>
        <v>12.8445</v>
      </c>
      <c r="I65" s="248">
        <f t="shared" si="3"/>
        <v>9.729000000000001</v>
      </c>
      <c r="R65" s="10"/>
      <c r="S65" s="10"/>
      <c r="T65" s="10"/>
      <c r="U65" s="10"/>
      <c r="V65" s="10"/>
    </row>
    <row r="66" spans="1:22">
      <c r="A66" s="63" t="s">
        <v>1054</v>
      </c>
      <c r="B66" s="64" t="s">
        <v>1055</v>
      </c>
      <c r="C66" s="65" t="s">
        <v>1056</v>
      </c>
      <c r="D66" s="218">
        <v>218</v>
      </c>
      <c r="E66" s="10"/>
      <c r="F66" s="252">
        <f t="shared" si="0"/>
        <v>54.907659999999993</v>
      </c>
      <c r="G66" s="252">
        <f t="shared" si="1"/>
        <v>27.727419999999999</v>
      </c>
      <c r="H66" s="252">
        <f t="shared" si="2"/>
        <v>18.667339999999999</v>
      </c>
      <c r="I66" s="253">
        <f t="shared" si="3"/>
        <v>14.139480000000001</v>
      </c>
      <c r="R66" s="10"/>
      <c r="S66" s="10"/>
      <c r="T66" s="10"/>
      <c r="U66" s="10"/>
      <c r="V66" s="10"/>
    </row>
    <row r="67" spans="1:22">
      <c r="A67" s="109" t="s">
        <v>1057</v>
      </c>
      <c r="B67" s="105" t="s">
        <v>1058</v>
      </c>
      <c r="C67" s="107" t="s">
        <v>1661</v>
      </c>
      <c r="D67" s="219">
        <v>199</v>
      </c>
      <c r="E67" s="10"/>
      <c r="F67" s="256">
        <f t="shared" si="0"/>
        <v>50.122129999999999</v>
      </c>
      <c r="G67" s="256">
        <f t="shared" si="1"/>
        <v>25.31081</v>
      </c>
      <c r="H67" s="256">
        <f t="shared" si="2"/>
        <v>17.040369999999999</v>
      </c>
      <c r="I67" s="248">
        <f t="shared" si="3"/>
        <v>12.90714</v>
      </c>
      <c r="R67" s="10"/>
      <c r="S67" s="10"/>
      <c r="T67" s="10"/>
      <c r="U67" s="10"/>
      <c r="V67" s="10"/>
    </row>
    <row r="68" spans="1:22">
      <c r="A68" s="109" t="s">
        <v>1059</v>
      </c>
      <c r="B68" s="105" t="s">
        <v>1060</v>
      </c>
      <c r="C68" s="107" t="s">
        <v>1662</v>
      </c>
      <c r="D68" s="219">
        <v>211</v>
      </c>
      <c r="E68" s="10"/>
      <c r="F68" s="256">
        <f t="shared" si="0"/>
        <v>53.144569999999995</v>
      </c>
      <c r="G68" s="256">
        <f t="shared" si="1"/>
        <v>26.83709</v>
      </c>
      <c r="H68" s="256">
        <f t="shared" si="2"/>
        <v>18.06793</v>
      </c>
      <c r="I68" s="248">
        <f t="shared" si="3"/>
        <v>13.685460000000001</v>
      </c>
      <c r="R68" s="10"/>
      <c r="S68" s="10"/>
      <c r="T68" s="10"/>
      <c r="U68" s="10"/>
      <c r="V68" s="10"/>
    </row>
    <row r="69" spans="1:22">
      <c r="A69" s="63" t="s">
        <v>1061</v>
      </c>
      <c r="B69" s="63" t="s">
        <v>1062</v>
      </c>
      <c r="C69" s="74" t="s">
        <v>1063</v>
      </c>
      <c r="D69" s="219">
        <v>109</v>
      </c>
      <c r="E69" s="10"/>
      <c r="F69" s="256">
        <f t="shared" si="0"/>
        <v>27.453829999999996</v>
      </c>
      <c r="G69" s="256">
        <f t="shared" si="1"/>
        <v>13.863709999999999</v>
      </c>
      <c r="H69" s="256">
        <f t="shared" si="2"/>
        <v>9.3336699999999997</v>
      </c>
      <c r="I69" s="248">
        <f t="shared" si="3"/>
        <v>7.0697400000000004</v>
      </c>
      <c r="R69" s="10"/>
      <c r="S69" s="10"/>
      <c r="T69" s="10"/>
      <c r="U69" s="10"/>
      <c r="V69" s="10"/>
    </row>
    <row r="70" spans="1:22">
      <c r="A70" s="109" t="s">
        <v>1064</v>
      </c>
      <c r="B70" s="109" t="s">
        <v>1065</v>
      </c>
      <c r="C70" s="118" t="s">
        <v>1668</v>
      </c>
      <c r="D70" s="219">
        <v>94</v>
      </c>
      <c r="E70" s="10"/>
      <c r="F70" s="256">
        <f t="shared" si="0"/>
        <v>23.67578</v>
      </c>
      <c r="G70" s="256">
        <f t="shared" si="1"/>
        <v>11.955859999999999</v>
      </c>
      <c r="H70" s="256">
        <f t="shared" si="2"/>
        <v>8.04922</v>
      </c>
      <c r="I70" s="248">
        <f t="shared" si="3"/>
        <v>6.0968400000000003</v>
      </c>
      <c r="R70" s="10"/>
      <c r="S70" s="10"/>
      <c r="T70" s="10"/>
      <c r="U70" s="10"/>
      <c r="V70" s="10"/>
    </row>
    <row r="71" spans="1:22">
      <c r="A71" s="109" t="s">
        <v>1667</v>
      </c>
      <c r="B71" s="109" t="s">
        <v>1656</v>
      </c>
      <c r="C71" s="118" t="s">
        <v>1681</v>
      </c>
      <c r="D71" s="219">
        <v>140</v>
      </c>
      <c r="E71" s="10"/>
      <c r="F71" s="256">
        <f t="shared" ref="F71" si="8">D71*$F$11</f>
        <v>35.261800000000001</v>
      </c>
      <c r="G71" s="256">
        <f t="shared" ref="G71" si="9">D71*$G$11</f>
        <v>17.8066</v>
      </c>
      <c r="H71" s="256">
        <f t="shared" ref="H71" si="10">D71*$H$11</f>
        <v>11.988199999999999</v>
      </c>
      <c r="I71" s="248">
        <f t="shared" ref="I71" si="11">D71*$I$11</f>
        <v>9.0804000000000009</v>
      </c>
      <c r="R71" s="10"/>
      <c r="S71" s="10"/>
      <c r="T71" s="10"/>
      <c r="U71" s="10"/>
      <c r="V71" s="10"/>
    </row>
    <row r="72" spans="1:22">
      <c r="A72" s="63"/>
      <c r="B72" s="64"/>
      <c r="C72" s="65"/>
      <c r="D72" s="218"/>
      <c r="E72" s="10"/>
      <c r="F72" s="252"/>
      <c r="G72" s="252"/>
      <c r="H72" s="252"/>
      <c r="I72" s="253"/>
      <c r="N72" s="10"/>
      <c r="O72" s="10"/>
      <c r="P72" s="10"/>
      <c r="Q72" s="10"/>
      <c r="R72" s="10"/>
      <c r="S72" s="10"/>
      <c r="T72" s="10"/>
      <c r="U72" s="10"/>
      <c r="V72" s="10"/>
    </row>
    <row r="73" spans="1:22">
      <c r="A73" s="59" t="s">
        <v>1066</v>
      </c>
      <c r="B73" s="60"/>
      <c r="C73" s="62"/>
      <c r="D73" s="217"/>
      <c r="E73" s="10"/>
      <c r="F73" s="254"/>
      <c r="G73" s="254"/>
      <c r="H73" s="254"/>
      <c r="I73" s="255"/>
    </row>
    <row r="74" spans="1:22">
      <c r="A74" s="63" t="s">
        <v>1641</v>
      </c>
      <c r="B74" s="64" t="s">
        <v>1685</v>
      </c>
      <c r="C74" s="66" t="s">
        <v>1684</v>
      </c>
      <c r="D74" s="218">
        <v>29</v>
      </c>
      <c r="E74" s="10"/>
      <c r="F74" s="252">
        <f t="shared" ref="F74" si="12">D74*$F$11</f>
        <v>7.3042299999999996</v>
      </c>
      <c r="G74" s="252">
        <f t="shared" ref="G74" si="13">D74*$G$11</f>
        <v>3.68851</v>
      </c>
      <c r="H74" s="252">
        <f t="shared" ref="H74" si="14">D74*$H$11</f>
        <v>2.4832700000000001</v>
      </c>
      <c r="I74" s="253">
        <f t="shared" ref="I74" si="15">D74*$I$11</f>
        <v>1.8809400000000001</v>
      </c>
    </row>
    <row r="75" spans="1:22">
      <c r="A75" s="63" t="s">
        <v>1639</v>
      </c>
      <c r="B75" s="64" t="s">
        <v>1067</v>
      </c>
      <c r="C75" s="66" t="s">
        <v>1068</v>
      </c>
      <c r="D75" s="218">
        <v>28</v>
      </c>
      <c r="E75" s="10"/>
      <c r="F75" s="252">
        <f t="shared" si="0"/>
        <v>7.0523599999999993</v>
      </c>
      <c r="G75" s="252">
        <f t="shared" si="1"/>
        <v>3.5613199999999998</v>
      </c>
      <c r="H75" s="252">
        <f t="shared" si="2"/>
        <v>2.39764</v>
      </c>
      <c r="I75" s="253">
        <f t="shared" si="3"/>
        <v>1.8160799999999999</v>
      </c>
      <c r="N75" s="10"/>
      <c r="O75" s="10"/>
      <c r="P75" s="10"/>
      <c r="Q75" s="10"/>
      <c r="R75" s="10"/>
      <c r="S75" s="10"/>
      <c r="T75" s="10"/>
      <c r="U75" s="10"/>
      <c r="V75" s="10"/>
    </row>
    <row r="76" spans="1:22">
      <c r="A76" s="63" t="s">
        <v>1640</v>
      </c>
      <c r="B76" s="64" t="s">
        <v>1702</v>
      </c>
      <c r="C76" s="66" t="s">
        <v>1686</v>
      </c>
      <c r="D76" s="218">
        <v>24</v>
      </c>
      <c r="E76" s="10"/>
      <c r="F76" s="252">
        <f t="shared" ref="F76:F79" si="16">D76*$F$11</f>
        <v>6.0448799999999991</v>
      </c>
      <c r="G76" s="252">
        <f t="shared" ref="G76:G79" si="17">D76*$G$11</f>
        <v>3.0525599999999997</v>
      </c>
      <c r="H76" s="252">
        <f t="shared" ref="H76:H79" si="18">D76*$H$11</f>
        <v>2.0551200000000001</v>
      </c>
      <c r="I76" s="253">
        <f t="shared" ref="I76:I79" si="19">D76*$I$11</f>
        <v>1.55664</v>
      </c>
      <c r="N76" s="10"/>
      <c r="O76" s="10"/>
      <c r="P76" s="10"/>
      <c r="Q76" s="10"/>
      <c r="R76" s="10"/>
      <c r="S76" s="10"/>
      <c r="T76" s="10"/>
      <c r="U76" s="10"/>
      <c r="V76" s="10"/>
    </row>
    <row r="77" spans="1:22">
      <c r="A77" s="63" t="s">
        <v>1637</v>
      </c>
      <c r="B77" s="64" t="s">
        <v>1069</v>
      </c>
      <c r="C77" s="66" t="s">
        <v>1070</v>
      </c>
      <c r="D77" s="218">
        <v>23</v>
      </c>
      <c r="E77" s="10"/>
      <c r="F77" s="252">
        <f t="shared" si="16"/>
        <v>5.7930099999999998</v>
      </c>
      <c r="G77" s="252">
        <f t="shared" si="17"/>
        <v>2.92537</v>
      </c>
      <c r="H77" s="252">
        <f t="shared" si="18"/>
        <v>1.96949</v>
      </c>
      <c r="I77" s="253">
        <f t="shared" si="19"/>
        <v>1.4917800000000001</v>
      </c>
      <c r="N77" s="10"/>
      <c r="O77" s="10"/>
      <c r="P77" s="10"/>
      <c r="Q77" s="10"/>
      <c r="R77" s="10"/>
      <c r="S77" s="10"/>
      <c r="T77" s="10"/>
      <c r="U77" s="10"/>
      <c r="V77" s="10"/>
    </row>
    <row r="78" spans="1:22">
      <c r="A78" s="63" t="s">
        <v>1689</v>
      </c>
      <c r="B78" s="64" t="s">
        <v>1703</v>
      </c>
      <c r="C78" s="66" t="s">
        <v>1688</v>
      </c>
      <c r="D78" s="218">
        <v>23</v>
      </c>
      <c r="E78" s="10"/>
      <c r="F78" s="252">
        <f t="shared" si="16"/>
        <v>5.7930099999999998</v>
      </c>
      <c r="G78" s="252">
        <f t="shared" si="17"/>
        <v>2.92537</v>
      </c>
      <c r="H78" s="252">
        <f t="shared" si="18"/>
        <v>1.96949</v>
      </c>
      <c r="I78" s="253">
        <f t="shared" si="19"/>
        <v>1.4917800000000001</v>
      </c>
      <c r="N78" s="10"/>
      <c r="O78" s="10"/>
      <c r="P78" s="10"/>
      <c r="Q78" s="10"/>
      <c r="R78" s="10"/>
      <c r="S78" s="10"/>
      <c r="T78" s="10"/>
      <c r="U78" s="10"/>
      <c r="V78" s="10"/>
    </row>
    <row r="79" spans="1:22">
      <c r="A79" s="63" t="s">
        <v>1638</v>
      </c>
      <c r="B79" s="64" t="s">
        <v>1703</v>
      </c>
      <c r="C79" s="66" t="s">
        <v>1687</v>
      </c>
      <c r="D79" s="218">
        <v>23</v>
      </c>
      <c r="E79" s="10"/>
      <c r="F79" s="252">
        <f t="shared" si="16"/>
        <v>5.7930099999999998</v>
      </c>
      <c r="G79" s="252">
        <f t="shared" si="17"/>
        <v>2.92537</v>
      </c>
      <c r="H79" s="252">
        <f t="shared" si="18"/>
        <v>1.96949</v>
      </c>
      <c r="I79" s="253">
        <f t="shared" si="19"/>
        <v>1.4917800000000001</v>
      </c>
      <c r="N79" s="10"/>
      <c r="O79" s="10"/>
      <c r="P79" s="10"/>
      <c r="Q79" s="10"/>
      <c r="R79" s="10"/>
      <c r="S79" s="10"/>
      <c r="T79" s="10"/>
      <c r="U79" s="10"/>
      <c r="V79" s="10"/>
    </row>
    <row r="80" spans="1:22">
      <c r="A80" s="63"/>
      <c r="B80" s="64"/>
      <c r="C80" s="66"/>
      <c r="D80" s="218"/>
      <c r="E80" s="10"/>
      <c r="F80" s="252"/>
      <c r="G80" s="252"/>
      <c r="H80" s="252"/>
      <c r="I80" s="253"/>
      <c r="N80" s="10"/>
      <c r="O80" s="10"/>
      <c r="P80" s="10"/>
      <c r="Q80" s="10"/>
      <c r="R80" s="10"/>
      <c r="S80" s="10"/>
      <c r="T80" s="10"/>
      <c r="U80" s="10"/>
      <c r="V80" s="10"/>
    </row>
    <row r="81" spans="1:22">
      <c r="A81" s="59" t="s">
        <v>1071</v>
      </c>
      <c r="B81" s="60"/>
      <c r="C81" s="62"/>
      <c r="D81" s="217"/>
      <c r="E81" s="10"/>
      <c r="F81" s="254"/>
      <c r="G81" s="254"/>
      <c r="H81" s="254"/>
      <c r="I81" s="255"/>
      <c r="N81" s="10"/>
      <c r="O81" s="10"/>
      <c r="P81" s="10"/>
      <c r="Q81" s="10"/>
      <c r="R81" s="10"/>
      <c r="S81" s="10"/>
      <c r="T81" s="10"/>
      <c r="U81" s="10"/>
      <c r="V81" s="10"/>
    </row>
    <row r="82" spans="1:22">
      <c r="A82" s="63" t="s">
        <v>1072</v>
      </c>
      <c r="B82" s="64" t="s">
        <v>1073</v>
      </c>
      <c r="C82" s="66" t="s">
        <v>1074</v>
      </c>
      <c r="D82" s="218">
        <v>19</v>
      </c>
      <c r="E82" s="10"/>
      <c r="F82" s="252">
        <f t="shared" ref="F82:F143" si="20">D82*$F$11</f>
        <v>4.7855299999999996</v>
      </c>
      <c r="G82" s="252">
        <f t="shared" ref="G82:G143" si="21">D82*$G$11</f>
        <v>2.4166099999999999</v>
      </c>
      <c r="H82" s="252">
        <f t="shared" ref="H82:H143" si="22">D82*$H$11</f>
        <v>1.62697</v>
      </c>
      <c r="I82" s="253">
        <f t="shared" ref="I82:I143" si="23">D82*$I$11</f>
        <v>1.23234</v>
      </c>
      <c r="N82" s="10"/>
      <c r="O82" s="10"/>
      <c r="P82" s="10"/>
      <c r="Q82" s="10"/>
      <c r="R82" s="10"/>
      <c r="S82" s="10"/>
      <c r="T82" s="10"/>
      <c r="U82" s="10"/>
      <c r="V82" s="10"/>
    </row>
    <row r="83" spans="1:22">
      <c r="A83" s="63" t="s">
        <v>1075</v>
      </c>
      <c r="B83" s="64" t="s">
        <v>1076</v>
      </c>
      <c r="C83" s="66" t="s">
        <v>1077</v>
      </c>
      <c r="D83" s="218">
        <v>19</v>
      </c>
      <c r="E83" s="10"/>
      <c r="F83" s="252">
        <f t="shared" si="20"/>
        <v>4.7855299999999996</v>
      </c>
      <c r="G83" s="252">
        <f t="shared" si="21"/>
        <v>2.4166099999999999</v>
      </c>
      <c r="H83" s="252">
        <f t="shared" si="22"/>
        <v>1.62697</v>
      </c>
      <c r="I83" s="253">
        <f t="shared" si="23"/>
        <v>1.23234</v>
      </c>
      <c r="N83" s="10"/>
      <c r="O83" s="10"/>
      <c r="P83" s="10"/>
      <c r="Q83" s="10"/>
      <c r="R83" s="10"/>
      <c r="S83" s="10"/>
      <c r="T83" s="10"/>
      <c r="U83" s="10"/>
      <c r="V83" s="10"/>
    </row>
    <row r="84" spans="1:22">
      <c r="A84" s="63" t="s">
        <v>1078</v>
      </c>
      <c r="B84" s="64" t="s">
        <v>1079</v>
      </c>
      <c r="C84" s="66" t="s">
        <v>1080</v>
      </c>
      <c r="D84" s="218">
        <v>14</v>
      </c>
      <c r="E84" s="10"/>
      <c r="F84" s="252">
        <f t="shared" si="20"/>
        <v>3.5261799999999996</v>
      </c>
      <c r="G84" s="252">
        <f t="shared" si="21"/>
        <v>1.7806599999999999</v>
      </c>
      <c r="H84" s="252">
        <f t="shared" si="22"/>
        <v>1.19882</v>
      </c>
      <c r="I84" s="253">
        <f t="shared" si="23"/>
        <v>0.90803999999999996</v>
      </c>
      <c r="N84" s="10"/>
      <c r="O84" s="10"/>
      <c r="P84" s="10"/>
      <c r="Q84" s="10"/>
      <c r="R84" s="10"/>
      <c r="S84" s="10"/>
      <c r="T84" s="10"/>
      <c r="U84" s="10"/>
      <c r="V84" s="10"/>
    </row>
    <row r="85" spans="1:22">
      <c r="A85" s="63" t="s">
        <v>1081</v>
      </c>
      <c r="B85" s="64" t="s">
        <v>1082</v>
      </c>
      <c r="C85" s="66" t="s">
        <v>1083</v>
      </c>
      <c r="D85" s="218">
        <v>8</v>
      </c>
      <c r="E85" s="10"/>
      <c r="F85" s="252">
        <f t="shared" si="20"/>
        <v>2.0149599999999999</v>
      </c>
      <c r="G85" s="252">
        <f t="shared" si="21"/>
        <v>1.01752</v>
      </c>
      <c r="H85" s="252">
        <f t="shared" si="22"/>
        <v>0.68503999999999998</v>
      </c>
      <c r="I85" s="253">
        <f t="shared" si="23"/>
        <v>0.51888000000000001</v>
      </c>
      <c r="N85" s="10"/>
      <c r="O85" s="10"/>
      <c r="P85" s="10"/>
      <c r="Q85" s="10"/>
      <c r="R85" s="10"/>
      <c r="S85" s="10"/>
      <c r="T85" s="10"/>
      <c r="U85" s="10"/>
      <c r="V85" s="10"/>
    </row>
    <row r="86" spans="1:22">
      <c r="A86" s="63"/>
      <c r="B86" s="64"/>
      <c r="C86" s="66"/>
      <c r="D86" s="218"/>
      <c r="E86" s="10"/>
      <c r="F86" s="252"/>
      <c r="G86" s="252"/>
      <c r="H86" s="252"/>
      <c r="I86" s="253"/>
      <c r="N86" s="10"/>
      <c r="O86" s="10"/>
      <c r="P86" s="10"/>
      <c r="Q86" s="10"/>
      <c r="R86" s="10"/>
      <c r="S86" s="10"/>
      <c r="T86" s="10"/>
      <c r="U86" s="10"/>
      <c r="V86" s="10"/>
    </row>
    <row r="87" spans="1:22">
      <c r="A87" s="59" t="s">
        <v>1084</v>
      </c>
      <c r="B87" s="60"/>
      <c r="C87" s="62"/>
      <c r="D87" s="217"/>
      <c r="E87" s="10"/>
      <c r="F87" s="254"/>
      <c r="G87" s="254"/>
      <c r="H87" s="254"/>
      <c r="I87" s="255"/>
      <c r="N87" s="10"/>
      <c r="O87" s="10"/>
      <c r="P87" s="10"/>
      <c r="Q87" s="10"/>
      <c r="R87" s="10"/>
      <c r="S87" s="10"/>
      <c r="T87" s="10"/>
      <c r="U87" s="10"/>
      <c r="V87" s="10"/>
    </row>
    <row r="88" spans="1:22" ht="15">
      <c r="A88" s="208" t="s">
        <v>1085</v>
      </c>
      <c r="B88" s="209" t="s">
        <v>1086</v>
      </c>
      <c r="C88" s="214" t="s">
        <v>1087</v>
      </c>
      <c r="D88" s="221">
        <v>681</v>
      </c>
      <c r="E88" s="10"/>
      <c r="F88" s="259">
        <f t="shared" si="20"/>
        <v>171.52346999999997</v>
      </c>
      <c r="G88" s="259">
        <f t="shared" si="21"/>
        <v>86.616389999999996</v>
      </c>
      <c r="H88" s="259">
        <f t="shared" si="22"/>
        <v>58.314029999999995</v>
      </c>
      <c r="I88" s="260">
        <f t="shared" si="23"/>
        <v>44.16966</v>
      </c>
      <c r="N88" s="10"/>
      <c r="O88" s="10"/>
      <c r="P88" s="10"/>
      <c r="Q88" s="10"/>
      <c r="R88" s="10"/>
      <c r="S88" s="10"/>
      <c r="T88" s="10"/>
      <c r="U88" s="10"/>
      <c r="V88" s="10"/>
    </row>
    <row r="89" spans="1:22">
      <c r="A89" s="113" t="s">
        <v>1088</v>
      </c>
      <c r="B89" s="172" t="s">
        <v>1089</v>
      </c>
      <c r="C89" s="107" t="s">
        <v>1090</v>
      </c>
      <c r="D89" s="220">
        <v>265</v>
      </c>
      <c r="E89" s="10"/>
      <c r="F89" s="257">
        <f t="shared" si="20"/>
        <v>66.745549999999994</v>
      </c>
      <c r="G89" s="257">
        <f t="shared" si="21"/>
        <v>33.705350000000003</v>
      </c>
      <c r="H89" s="257">
        <f t="shared" si="22"/>
        <v>22.691949999999999</v>
      </c>
      <c r="I89" s="258">
        <f t="shared" si="23"/>
        <v>17.187899999999999</v>
      </c>
      <c r="N89" s="10"/>
      <c r="O89" s="10"/>
      <c r="P89" s="10"/>
      <c r="Q89" s="10"/>
      <c r="R89" s="10"/>
      <c r="S89" s="10"/>
      <c r="T89" s="10"/>
      <c r="U89" s="10"/>
      <c r="V89" s="10"/>
    </row>
    <row r="90" spans="1:22">
      <c r="A90" s="202" t="s">
        <v>1091</v>
      </c>
      <c r="B90" s="203" t="s">
        <v>1092</v>
      </c>
      <c r="C90" s="107" t="s">
        <v>1093</v>
      </c>
      <c r="D90" s="220">
        <v>198</v>
      </c>
      <c r="E90" s="10"/>
      <c r="F90" s="257">
        <f t="shared" si="20"/>
        <v>49.870259999999995</v>
      </c>
      <c r="G90" s="257">
        <f t="shared" si="21"/>
        <v>25.183620000000001</v>
      </c>
      <c r="H90" s="257">
        <f t="shared" si="22"/>
        <v>16.954740000000001</v>
      </c>
      <c r="I90" s="258">
        <f t="shared" si="23"/>
        <v>12.842280000000001</v>
      </c>
      <c r="N90" s="10"/>
      <c r="O90" s="10"/>
      <c r="P90" s="10"/>
      <c r="Q90" s="10"/>
      <c r="R90" s="10"/>
      <c r="S90" s="10"/>
      <c r="T90" s="10"/>
      <c r="U90" s="10"/>
      <c r="V90" s="10"/>
    </row>
    <row r="91" spans="1:22">
      <c r="A91" s="202" t="s">
        <v>1094</v>
      </c>
      <c r="B91" s="203" t="s">
        <v>1095</v>
      </c>
      <c r="C91" s="107" t="s">
        <v>1096</v>
      </c>
      <c r="D91" s="220">
        <v>161</v>
      </c>
      <c r="E91" s="10"/>
      <c r="F91" s="257">
        <f t="shared" si="20"/>
        <v>40.551069999999996</v>
      </c>
      <c r="G91" s="257">
        <f t="shared" si="21"/>
        <v>20.477589999999999</v>
      </c>
      <c r="H91" s="257">
        <f t="shared" si="22"/>
        <v>13.786429999999999</v>
      </c>
      <c r="I91" s="258">
        <f t="shared" si="23"/>
        <v>10.442460000000001</v>
      </c>
      <c r="N91" s="10"/>
      <c r="O91" s="10"/>
      <c r="P91" s="10"/>
      <c r="Q91" s="10"/>
      <c r="R91" s="10"/>
      <c r="S91" s="10"/>
      <c r="T91" s="10"/>
      <c r="U91" s="10"/>
      <c r="V91" s="10"/>
    </row>
    <row r="92" spans="1:22">
      <c r="A92" s="202" t="s">
        <v>1097</v>
      </c>
      <c r="B92" s="203" t="s">
        <v>1098</v>
      </c>
      <c r="C92" s="107" t="s">
        <v>1099</v>
      </c>
      <c r="D92" s="220">
        <v>160</v>
      </c>
      <c r="E92" s="10"/>
      <c r="F92" s="257">
        <f t="shared" si="20"/>
        <v>40.299199999999999</v>
      </c>
      <c r="G92" s="257">
        <f t="shared" si="21"/>
        <v>20.3504</v>
      </c>
      <c r="H92" s="257">
        <f t="shared" si="22"/>
        <v>13.700799999999999</v>
      </c>
      <c r="I92" s="258">
        <f t="shared" si="23"/>
        <v>10.377600000000001</v>
      </c>
      <c r="N92" s="10"/>
      <c r="O92" s="10"/>
      <c r="P92" s="10"/>
      <c r="Q92" s="10"/>
      <c r="R92" s="10"/>
      <c r="S92" s="10"/>
      <c r="T92" s="10"/>
      <c r="U92" s="10"/>
      <c r="V92" s="10"/>
    </row>
    <row r="93" spans="1:22">
      <c r="A93" s="202" t="s">
        <v>1100</v>
      </c>
      <c r="B93" s="203" t="s">
        <v>1101</v>
      </c>
      <c r="C93" s="107" t="s">
        <v>1102</v>
      </c>
      <c r="D93" s="220">
        <v>147</v>
      </c>
      <c r="E93" s="10"/>
      <c r="F93" s="257">
        <f t="shared" si="20"/>
        <v>37.024889999999999</v>
      </c>
      <c r="G93" s="257">
        <f t="shared" si="21"/>
        <v>18.696929999999998</v>
      </c>
      <c r="H93" s="257">
        <f t="shared" si="22"/>
        <v>12.58761</v>
      </c>
      <c r="I93" s="258">
        <f t="shared" si="23"/>
        <v>9.5344200000000008</v>
      </c>
      <c r="N93" s="10"/>
      <c r="O93" s="10"/>
      <c r="P93" s="10"/>
      <c r="Q93" s="10"/>
      <c r="R93" s="10"/>
      <c r="S93" s="10"/>
      <c r="T93" s="10"/>
      <c r="U93" s="10"/>
      <c r="V93" s="10"/>
    </row>
    <row r="94" spans="1:22">
      <c r="A94" s="202" t="s">
        <v>1103</v>
      </c>
      <c r="B94" s="203" t="s">
        <v>1104</v>
      </c>
      <c r="C94" s="107" t="s">
        <v>1105</v>
      </c>
      <c r="D94" s="220">
        <v>128</v>
      </c>
      <c r="E94" s="10"/>
      <c r="F94" s="257">
        <f t="shared" si="20"/>
        <v>32.239359999999998</v>
      </c>
      <c r="G94" s="257">
        <f t="shared" si="21"/>
        <v>16.28032</v>
      </c>
      <c r="H94" s="257">
        <f t="shared" si="22"/>
        <v>10.96064</v>
      </c>
      <c r="I94" s="258">
        <f t="shared" si="23"/>
        <v>8.3020800000000001</v>
      </c>
      <c r="N94" s="10"/>
      <c r="O94" s="10"/>
      <c r="P94" s="10"/>
      <c r="Q94" s="10"/>
      <c r="R94" s="10"/>
      <c r="S94" s="10"/>
      <c r="T94" s="10"/>
      <c r="U94" s="10"/>
      <c r="V94" s="10"/>
    </row>
    <row r="95" spans="1:22">
      <c r="A95" s="202" t="s">
        <v>1106</v>
      </c>
      <c r="B95" s="203" t="s">
        <v>1107</v>
      </c>
      <c r="C95" s="107" t="s">
        <v>1108</v>
      </c>
      <c r="D95" s="220">
        <v>125</v>
      </c>
      <c r="E95" s="10"/>
      <c r="F95" s="257">
        <f t="shared" si="20"/>
        <v>31.483749999999997</v>
      </c>
      <c r="G95" s="257">
        <f t="shared" si="21"/>
        <v>15.89875</v>
      </c>
      <c r="H95" s="257">
        <f t="shared" si="22"/>
        <v>10.703749999999999</v>
      </c>
      <c r="I95" s="258">
        <f t="shared" si="23"/>
        <v>8.1074999999999999</v>
      </c>
      <c r="N95" s="10"/>
      <c r="O95" s="10"/>
      <c r="P95" s="10"/>
      <c r="Q95" s="10"/>
      <c r="R95" s="10"/>
      <c r="S95" s="10"/>
      <c r="T95" s="10"/>
      <c r="U95" s="10"/>
      <c r="V95" s="10"/>
    </row>
    <row r="96" spans="1:22">
      <c r="A96" s="83"/>
      <c r="B96" s="83"/>
      <c r="C96" s="66"/>
      <c r="D96" s="218"/>
      <c r="E96" s="10"/>
      <c r="F96" s="252"/>
      <c r="G96" s="252"/>
      <c r="H96" s="252"/>
      <c r="I96" s="253"/>
      <c r="N96" s="10"/>
      <c r="O96" s="10"/>
      <c r="P96" s="10"/>
      <c r="Q96" s="10"/>
      <c r="R96" s="10"/>
      <c r="S96" s="10"/>
      <c r="T96" s="10"/>
      <c r="U96" s="10"/>
      <c r="V96" s="10"/>
    </row>
    <row r="97" spans="1:22">
      <c r="A97" s="59" t="s">
        <v>1109</v>
      </c>
      <c r="B97" s="60"/>
      <c r="C97" s="62"/>
      <c r="D97" s="217"/>
      <c r="E97" s="10"/>
      <c r="F97" s="254"/>
      <c r="G97" s="254"/>
      <c r="H97" s="254"/>
      <c r="I97" s="255"/>
      <c r="N97" s="10"/>
      <c r="O97" s="10"/>
      <c r="P97" s="10"/>
      <c r="Q97" s="10"/>
      <c r="R97" s="10"/>
      <c r="S97" s="10"/>
      <c r="T97" s="10"/>
      <c r="U97" s="10"/>
      <c r="V97" s="10"/>
    </row>
    <row r="98" spans="1:22">
      <c r="A98" s="199" t="s">
        <v>1110</v>
      </c>
      <c r="B98" s="200" t="s">
        <v>1111</v>
      </c>
      <c r="C98" s="201" t="s">
        <v>1112</v>
      </c>
      <c r="D98" s="220">
        <v>336</v>
      </c>
      <c r="E98" s="10"/>
      <c r="F98" s="257">
        <f t="shared" si="20"/>
        <v>84.628319999999988</v>
      </c>
      <c r="G98" s="257">
        <f t="shared" si="21"/>
        <v>42.735839999999996</v>
      </c>
      <c r="H98" s="257">
        <f t="shared" si="22"/>
        <v>28.77168</v>
      </c>
      <c r="I98" s="258">
        <f t="shared" si="23"/>
        <v>21.792960000000001</v>
      </c>
      <c r="N98" s="10"/>
      <c r="O98" s="10"/>
      <c r="P98" s="10"/>
      <c r="Q98" s="10"/>
      <c r="R98" s="10"/>
      <c r="S98" s="10"/>
      <c r="T98" s="10"/>
      <c r="U98" s="10"/>
      <c r="V98" s="10"/>
    </row>
    <row r="99" spans="1:22">
      <c r="A99" s="210" t="s">
        <v>1113</v>
      </c>
      <c r="B99" s="172" t="s">
        <v>1114</v>
      </c>
      <c r="C99" s="211" t="s">
        <v>1115</v>
      </c>
      <c r="D99" s="220">
        <v>163</v>
      </c>
      <c r="E99" s="10"/>
      <c r="F99" s="257">
        <f t="shared" si="20"/>
        <v>41.054809999999996</v>
      </c>
      <c r="G99" s="257">
        <f t="shared" si="21"/>
        <v>20.73197</v>
      </c>
      <c r="H99" s="257">
        <f t="shared" si="22"/>
        <v>13.957689999999999</v>
      </c>
      <c r="I99" s="258">
        <f t="shared" si="23"/>
        <v>10.572179999999999</v>
      </c>
      <c r="N99" s="10"/>
      <c r="O99" s="10"/>
      <c r="P99" s="10"/>
      <c r="Q99" s="10"/>
      <c r="R99" s="10"/>
      <c r="S99" s="10"/>
      <c r="T99" s="10"/>
      <c r="U99" s="10"/>
      <c r="V99" s="10"/>
    </row>
    <row r="100" spans="1:22">
      <c r="A100" s="199" t="s">
        <v>1116</v>
      </c>
      <c r="B100" s="200" t="s">
        <v>1117</v>
      </c>
      <c r="C100" s="201" t="s">
        <v>1118</v>
      </c>
      <c r="D100" s="220">
        <v>259</v>
      </c>
      <c r="E100" s="10"/>
      <c r="F100" s="257">
        <f t="shared" si="20"/>
        <v>65.23433</v>
      </c>
      <c r="G100" s="257">
        <f t="shared" si="21"/>
        <v>32.942210000000003</v>
      </c>
      <c r="H100" s="257">
        <f t="shared" si="22"/>
        <v>22.178169999999998</v>
      </c>
      <c r="I100" s="258">
        <f t="shared" si="23"/>
        <v>16.798739999999999</v>
      </c>
      <c r="N100" s="10"/>
      <c r="O100" s="10"/>
      <c r="P100" s="10"/>
      <c r="Q100" s="10"/>
      <c r="R100" s="10"/>
      <c r="S100" s="10"/>
      <c r="T100" s="10"/>
      <c r="U100" s="10"/>
      <c r="V100" s="10"/>
    </row>
    <row r="101" spans="1:22">
      <c r="A101" s="199" t="s">
        <v>1119</v>
      </c>
      <c r="B101" s="200" t="s">
        <v>1120</v>
      </c>
      <c r="C101" s="201" t="s">
        <v>1121</v>
      </c>
      <c r="D101" s="220">
        <v>192</v>
      </c>
      <c r="E101" s="10"/>
      <c r="F101" s="257">
        <f t="shared" si="20"/>
        <v>48.359039999999993</v>
      </c>
      <c r="G101" s="257">
        <f t="shared" si="21"/>
        <v>24.420479999999998</v>
      </c>
      <c r="H101" s="257">
        <f t="shared" si="22"/>
        <v>16.44096</v>
      </c>
      <c r="I101" s="258">
        <f t="shared" si="23"/>
        <v>12.45312</v>
      </c>
      <c r="N101" s="10"/>
      <c r="O101" s="10"/>
      <c r="P101" s="10"/>
      <c r="Q101" s="10"/>
      <c r="R101" s="10"/>
      <c r="S101" s="10"/>
      <c r="T101" s="10"/>
      <c r="U101" s="10"/>
      <c r="V101" s="10"/>
    </row>
    <row r="102" spans="1:22">
      <c r="A102" s="199" t="s">
        <v>1122</v>
      </c>
      <c r="B102" s="200" t="s">
        <v>1123</v>
      </c>
      <c r="C102" s="201" t="s">
        <v>1124</v>
      </c>
      <c r="D102" s="220">
        <v>138</v>
      </c>
      <c r="E102" s="10"/>
      <c r="F102" s="257">
        <f t="shared" si="20"/>
        <v>34.75806</v>
      </c>
      <c r="G102" s="257">
        <f t="shared" si="21"/>
        <v>17.552219999999998</v>
      </c>
      <c r="H102" s="257">
        <f t="shared" si="22"/>
        <v>11.816939999999999</v>
      </c>
      <c r="I102" s="258">
        <f t="shared" si="23"/>
        <v>8.9506800000000002</v>
      </c>
      <c r="N102" s="10"/>
      <c r="O102" s="10"/>
      <c r="P102" s="10"/>
      <c r="Q102" s="10"/>
      <c r="R102" s="10"/>
      <c r="S102" s="10"/>
      <c r="T102" s="10"/>
      <c r="U102" s="10"/>
      <c r="V102" s="10"/>
    </row>
    <row r="103" spans="1:22">
      <c r="A103" s="172" t="s">
        <v>1125</v>
      </c>
      <c r="B103" s="172" t="s">
        <v>1126</v>
      </c>
      <c r="C103" s="111" t="s">
        <v>1127</v>
      </c>
      <c r="D103" s="220">
        <v>116</v>
      </c>
      <c r="E103" s="10"/>
      <c r="F103" s="257">
        <f t="shared" si="20"/>
        <v>29.216919999999998</v>
      </c>
      <c r="G103" s="257">
        <f t="shared" si="21"/>
        <v>14.75404</v>
      </c>
      <c r="H103" s="257">
        <f t="shared" si="22"/>
        <v>9.9330800000000004</v>
      </c>
      <c r="I103" s="258">
        <f t="shared" si="23"/>
        <v>7.5237600000000002</v>
      </c>
      <c r="N103" s="10"/>
      <c r="O103" s="10"/>
      <c r="P103" s="10"/>
      <c r="Q103" s="10"/>
      <c r="R103" s="10"/>
      <c r="S103" s="10"/>
      <c r="T103" s="10"/>
      <c r="U103" s="10"/>
      <c r="V103" s="10"/>
    </row>
    <row r="104" spans="1:22">
      <c r="A104" s="172" t="s">
        <v>1128</v>
      </c>
      <c r="B104" s="172" t="s">
        <v>1129</v>
      </c>
      <c r="C104" s="111" t="s">
        <v>1130</v>
      </c>
      <c r="D104" s="220">
        <v>104</v>
      </c>
      <c r="E104" s="10"/>
      <c r="F104" s="257">
        <f t="shared" si="20"/>
        <v>26.194479999999999</v>
      </c>
      <c r="G104" s="257">
        <f t="shared" si="21"/>
        <v>13.22776</v>
      </c>
      <c r="H104" s="257">
        <f t="shared" si="22"/>
        <v>8.9055199999999992</v>
      </c>
      <c r="I104" s="258">
        <f t="shared" si="23"/>
        <v>6.7454400000000003</v>
      </c>
      <c r="N104" s="10"/>
      <c r="O104" s="10"/>
      <c r="P104" s="10"/>
      <c r="Q104" s="10"/>
      <c r="R104" s="10"/>
      <c r="S104" s="10"/>
      <c r="T104" s="10"/>
      <c r="U104" s="10"/>
      <c r="V104" s="10"/>
    </row>
    <row r="105" spans="1:22">
      <c r="A105" s="72"/>
      <c r="B105" s="72"/>
      <c r="C105" s="66"/>
      <c r="D105" s="218"/>
      <c r="E105" s="10"/>
      <c r="F105" s="252"/>
      <c r="G105" s="252"/>
      <c r="H105" s="252"/>
      <c r="I105" s="253"/>
      <c r="N105" s="10"/>
      <c r="O105" s="10"/>
      <c r="P105" s="10"/>
      <c r="Q105" s="10"/>
      <c r="R105" s="10"/>
      <c r="S105" s="10"/>
      <c r="T105" s="10"/>
      <c r="U105" s="10"/>
      <c r="V105" s="10"/>
    </row>
    <row r="106" spans="1:22">
      <c r="A106" s="59" t="s">
        <v>1131</v>
      </c>
      <c r="B106" s="60"/>
      <c r="C106" s="62"/>
      <c r="D106" s="217"/>
      <c r="E106" s="10"/>
      <c r="F106" s="254"/>
      <c r="G106" s="254"/>
      <c r="H106" s="254"/>
      <c r="I106" s="255"/>
      <c r="N106" s="10"/>
      <c r="O106" s="10"/>
      <c r="P106" s="10"/>
      <c r="Q106" s="10"/>
      <c r="R106" s="10"/>
      <c r="S106" s="10"/>
      <c r="T106" s="10"/>
      <c r="U106" s="10"/>
      <c r="V106" s="10"/>
    </row>
    <row r="107" spans="1:22">
      <c r="A107" s="72" t="s">
        <v>1132</v>
      </c>
      <c r="B107" s="72" t="s">
        <v>1133</v>
      </c>
      <c r="C107" s="66" t="s">
        <v>1134</v>
      </c>
      <c r="D107" s="218">
        <v>19</v>
      </c>
      <c r="E107" s="10"/>
      <c r="F107" s="252">
        <f t="shared" si="20"/>
        <v>4.7855299999999996</v>
      </c>
      <c r="G107" s="252">
        <f t="shared" si="21"/>
        <v>2.4166099999999999</v>
      </c>
      <c r="H107" s="252">
        <f t="shared" si="22"/>
        <v>1.62697</v>
      </c>
      <c r="I107" s="253">
        <f t="shared" si="23"/>
        <v>1.23234</v>
      </c>
      <c r="N107" s="10"/>
      <c r="O107" s="10"/>
      <c r="P107" s="10"/>
      <c r="Q107" s="10"/>
      <c r="R107" s="10"/>
      <c r="S107" s="10"/>
      <c r="T107" s="10"/>
      <c r="U107" s="10"/>
      <c r="V107" s="10"/>
    </row>
    <row r="108" spans="1:22">
      <c r="A108" s="72" t="s">
        <v>1135</v>
      </c>
      <c r="B108" s="72" t="s">
        <v>1136</v>
      </c>
      <c r="C108" s="66" t="s">
        <v>1137</v>
      </c>
      <c r="D108" s="218">
        <v>19</v>
      </c>
      <c r="E108" s="10"/>
      <c r="F108" s="252">
        <f t="shared" ref="F108:F109" si="24">D108*$F$11</f>
        <v>4.7855299999999996</v>
      </c>
      <c r="G108" s="252">
        <f t="shared" ref="G108:G109" si="25">D108*$G$11</f>
        <v>2.4166099999999999</v>
      </c>
      <c r="H108" s="252">
        <f t="shared" ref="H108:H109" si="26">D108*$H$11</f>
        <v>1.62697</v>
      </c>
      <c r="I108" s="253">
        <f t="shared" ref="I108:I109" si="27">D108*$I$11</f>
        <v>1.23234</v>
      </c>
      <c r="N108" s="10"/>
      <c r="O108" s="10"/>
      <c r="P108" s="10"/>
      <c r="Q108" s="10"/>
      <c r="R108" s="10"/>
      <c r="S108" s="10"/>
      <c r="T108" s="10"/>
      <c r="U108" s="10"/>
      <c r="V108" s="10"/>
    </row>
    <row r="109" spans="1:22">
      <c r="A109" s="72" t="s">
        <v>1138</v>
      </c>
      <c r="B109" s="72" t="s">
        <v>1139</v>
      </c>
      <c r="C109" s="66" t="s">
        <v>1140</v>
      </c>
      <c r="D109" s="218">
        <v>19</v>
      </c>
      <c r="E109" s="10"/>
      <c r="F109" s="252">
        <f t="shared" si="24"/>
        <v>4.7855299999999996</v>
      </c>
      <c r="G109" s="252">
        <f t="shared" si="25"/>
        <v>2.4166099999999999</v>
      </c>
      <c r="H109" s="252">
        <f t="shared" si="26"/>
        <v>1.62697</v>
      </c>
      <c r="I109" s="253">
        <f t="shared" si="27"/>
        <v>1.23234</v>
      </c>
      <c r="N109" s="10"/>
      <c r="O109" s="10"/>
      <c r="P109" s="10"/>
      <c r="Q109" s="10"/>
      <c r="R109" s="10"/>
      <c r="S109" s="10"/>
      <c r="T109" s="10"/>
      <c r="U109" s="10"/>
      <c r="V109" s="10"/>
    </row>
    <row r="110" spans="1:22">
      <c r="A110" s="72" t="s">
        <v>1141</v>
      </c>
      <c r="B110" s="72" t="s">
        <v>1142</v>
      </c>
      <c r="C110" s="66" t="s">
        <v>1143</v>
      </c>
      <c r="D110" s="218">
        <v>19</v>
      </c>
      <c r="E110" s="10"/>
      <c r="F110" s="252">
        <f t="shared" si="20"/>
        <v>4.7855299999999996</v>
      </c>
      <c r="G110" s="252">
        <f t="shared" si="21"/>
        <v>2.4166099999999999</v>
      </c>
      <c r="H110" s="252">
        <f t="shared" si="22"/>
        <v>1.62697</v>
      </c>
      <c r="I110" s="253">
        <f t="shared" si="23"/>
        <v>1.23234</v>
      </c>
      <c r="N110" s="10"/>
      <c r="O110" s="10"/>
      <c r="P110" s="10"/>
      <c r="Q110" s="10"/>
      <c r="R110" s="10"/>
      <c r="S110" s="10"/>
      <c r="T110" s="10"/>
      <c r="U110" s="10"/>
      <c r="V110" s="10"/>
    </row>
    <row r="111" spans="1:22">
      <c r="A111" s="72" t="s">
        <v>1144</v>
      </c>
      <c r="B111" s="72" t="s">
        <v>1145</v>
      </c>
      <c r="C111" s="70" t="s">
        <v>1146</v>
      </c>
      <c r="D111" s="218">
        <v>18</v>
      </c>
      <c r="E111" s="10"/>
      <c r="F111" s="252">
        <f t="shared" si="20"/>
        <v>4.5336599999999994</v>
      </c>
      <c r="G111" s="252">
        <f t="shared" si="21"/>
        <v>2.2894199999999998</v>
      </c>
      <c r="H111" s="252">
        <f t="shared" si="22"/>
        <v>1.5413399999999999</v>
      </c>
      <c r="I111" s="253">
        <f t="shared" si="23"/>
        <v>1.1674800000000001</v>
      </c>
      <c r="N111" s="10"/>
      <c r="O111" s="10"/>
      <c r="P111" s="10"/>
      <c r="Q111" s="10"/>
      <c r="R111" s="10"/>
      <c r="S111" s="10"/>
      <c r="T111" s="10"/>
      <c r="U111" s="10"/>
      <c r="V111" s="10"/>
    </row>
    <row r="112" spans="1:22">
      <c r="A112" s="72" t="s">
        <v>1147</v>
      </c>
      <c r="B112" s="72" t="s">
        <v>1148</v>
      </c>
      <c r="C112" s="111" t="s">
        <v>1149</v>
      </c>
      <c r="D112" s="218">
        <v>145</v>
      </c>
      <c r="E112" s="10"/>
      <c r="F112" s="252">
        <f t="shared" si="20"/>
        <v>36.521149999999999</v>
      </c>
      <c r="G112" s="252">
        <f t="shared" si="21"/>
        <v>18.442550000000001</v>
      </c>
      <c r="H112" s="252">
        <f t="shared" si="22"/>
        <v>12.41635</v>
      </c>
      <c r="I112" s="253">
        <f t="shared" si="23"/>
        <v>9.4047000000000001</v>
      </c>
      <c r="N112" s="10"/>
      <c r="O112" s="10"/>
      <c r="P112" s="10"/>
      <c r="Q112" s="10"/>
      <c r="R112" s="10"/>
      <c r="S112" s="10"/>
      <c r="T112" s="10"/>
      <c r="U112" s="10"/>
      <c r="V112" s="10"/>
    </row>
    <row r="113" spans="1:22">
      <c r="A113" s="72" t="s">
        <v>1150</v>
      </c>
      <c r="B113" s="72" t="s">
        <v>1151</v>
      </c>
      <c r="C113" s="66" t="s">
        <v>1152</v>
      </c>
      <c r="D113" s="218">
        <v>22</v>
      </c>
      <c r="E113" s="10"/>
      <c r="F113" s="252">
        <f t="shared" si="20"/>
        <v>5.5411399999999995</v>
      </c>
      <c r="G113" s="252">
        <f t="shared" si="21"/>
        <v>2.7981799999999999</v>
      </c>
      <c r="H113" s="252">
        <f t="shared" si="22"/>
        <v>1.8838599999999999</v>
      </c>
      <c r="I113" s="253">
        <f t="shared" si="23"/>
        <v>1.42692</v>
      </c>
      <c r="N113" s="10"/>
      <c r="O113" s="10"/>
      <c r="P113" s="10"/>
      <c r="Q113" s="10"/>
      <c r="R113" s="10"/>
      <c r="S113" s="10"/>
      <c r="T113" s="10"/>
      <c r="U113" s="10"/>
      <c r="V113" s="10"/>
    </row>
    <row r="114" spans="1:22">
      <c r="A114" s="63"/>
      <c r="B114" s="64"/>
      <c r="C114" s="66"/>
      <c r="D114" s="218"/>
      <c r="E114" s="10"/>
      <c r="F114" s="252"/>
      <c r="G114" s="252"/>
      <c r="H114" s="252"/>
      <c r="I114" s="253"/>
      <c r="N114" s="10"/>
      <c r="O114" s="10"/>
      <c r="P114" s="10"/>
      <c r="Q114" s="10"/>
      <c r="R114" s="10"/>
      <c r="S114" s="10"/>
      <c r="T114" s="10"/>
      <c r="U114" s="10"/>
      <c r="V114" s="10"/>
    </row>
    <row r="115" spans="1:22">
      <c r="A115" s="59" t="s">
        <v>1153</v>
      </c>
      <c r="B115" s="60"/>
      <c r="C115" s="62"/>
      <c r="D115" s="217"/>
      <c r="E115" s="10"/>
      <c r="F115" s="254"/>
      <c r="G115" s="254"/>
      <c r="H115" s="254"/>
      <c r="I115" s="255"/>
      <c r="N115" s="10"/>
      <c r="O115" s="10"/>
      <c r="P115" s="10"/>
      <c r="Q115" s="10"/>
      <c r="R115" s="10"/>
      <c r="S115" s="10"/>
      <c r="T115" s="10"/>
      <c r="U115" s="10"/>
      <c r="V115" s="10"/>
    </row>
    <row r="116" spans="1:22">
      <c r="A116" s="109" t="s">
        <v>1154</v>
      </c>
      <c r="B116" s="105" t="s">
        <v>1155</v>
      </c>
      <c r="C116" s="111" t="s">
        <v>1156</v>
      </c>
      <c r="D116" s="219">
        <v>156</v>
      </c>
      <c r="E116" s="10"/>
      <c r="F116" s="256">
        <f t="shared" si="20"/>
        <v>39.291719999999998</v>
      </c>
      <c r="G116" s="256">
        <f t="shared" si="21"/>
        <v>19.841639999999998</v>
      </c>
      <c r="H116" s="256">
        <f t="shared" si="22"/>
        <v>13.358279999999999</v>
      </c>
      <c r="I116" s="248">
        <f t="shared" si="23"/>
        <v>10.11816</v>
      </c>
      <c r="N116" s="10"/>
      <c r="O116" s="10"/>
      <c r="P116" s="10"/>
      <c r="Q116" s="10"/>
      <c r="R116" s="10"/>
      <c r="S116" s="10"/>
      <c r="T116" s="10"/>
      <c r="U116" s="10"/>
      <c r="V116" s="10"/>
    </row>
    <row r="117" spans="1:22">
      <c r="A117" s="63" t="s">
        <v>1157</v>
      </c>
      <c r="B117" s="64" t="s">
        <v>1158</v>
      </c>
      <c r="C117" s="66" t="s">
        <v>1159</v>
      </c>
      <c r="D117" s="218">
        <v>92</v>
      </c>
      <c r="E117" s="10"/>
      <c r="F117" s="252">
        <f t="shared" si="20"/>
        <v>23.172039999999999</v>
      </c>
      <c r="G117" s="252">
        <f t="shared" si="21"/>
        <v>11.70148</v>
      </c>
      <c r="H117" s="252">
        <f t="shared" si="22"/>
        <v>7.8779599999999999</v>
      </c>
      <c r="I117" s="253">
        <f t="shared" si="23"/>
        <v>5.9671200000000004</v>
      </c>
      <c r="N117" s="10"/>
      <c r="O117" s="10"/>
      <c r="P117" s="10"/>
      <c r="Q117" s="10"/>
      <c r="R117" s="10"/>
      <c r="S117" s="10"/>
      <c r="T117" s="10"/>
      <c r="U117" s="10"/>
      <c r="V117" s="10"/>
    </row>
    <row r="118" spans="1:22">
      <c r="A118" s="109" t="s">
        <v>1160</v>
      </c>
      <c r="B118" s="105" t="s">
        <v>1161</v>
      </c>
      <c r="C118" s="111" t="s">
        <v>1162</v>
      </c>
      <c r="D118" s="219">
        <v>87</v>
      </c>
      <c r="E118" s="10"/>
      <c r="F118" s="256">
        <f t="shared" si="20"/>
        <v>21.912689999999998</v>
      </c>
      <c r="G118" s="256">
        <f t="shared" si="21"/>
        <v>11.065529999999999</v>
      </c>
      <c r="H118" s="256">
        <f t="shared" si="22"/>
        <v>7.4498099999999994</v>
      </c>
      <c r="I118" s="248">
        <f t="shared" si="23"/>
        <v>5.6428200000000004</v>
      </c>
      <c r="N118" s="10"/>
      <c r="O118" s="10"/>
      <c r="P118" s="10"/>
      <c r="Q118" s="10"/>
      <c r="R118" s="10"/>
      <c r="S118" s="10"/>
      <c r="T118" s="10"/>
      <c r="U118" s="10"/>
      <c r="V118" s="10"/>
    </row>
    <row r="119" spans="1:22">
      <c r="A119" s="63" t="s">
        <v>1163</v>
      </c>
      <c r="B119" s="64" t="s">
        <v>1164</v>
      </c>
      <c r="C119" s="66" t="s">
        <v>1165</v>
      </c>
      <c r="D119" s="218">
        <v>149</v>
      </c>
      <c r="E119" s="10"/>
      <c r="F119" s="252">
        <f t="shared" si="20"/>
        <v>37.52863</v>
      </c>
      <c r="G119" s="252">
        <f t="shared" si="21"/>
        <v>18.951309999999999</v>
      </c>
      <c r="H119" s="252">
        <f t="shared" si="22"/>
        <v>12.75887</v>
      </c>
      <c r="I119" s="253">
        <f t="shared" si="23"/>
        <v>9.6641399999999997</v>
      </c>
      <c r="N119" s="10"/>
      <c r="O119" s="10"/>
      <c r="P119" s="10"/>
      <c r="Q119" s="10"/>
      <c r="R119" s="10"/>
      <c r="S119" s="10"/>
      <c r="T119" s="10"/>
      <c r="U119" s="10"/>
      <c r="V119" s="10"/>
    </row>
    <row r="120" spans="1:22">
      <c r="A120" s="63" t="s">
        <v>1166</v>
      </c>
      <c r="B120" s="64" t="s">
        <v>1167</v>
      </c>
      <c r="C120" s="74" t="s">
        <v>1168</v>
      </c>
      <c r="D120" s="218">
        <v>74</v>
      </c>
      <c r="E120" s="10"/>
      <c r="F120" s="252">
        <f t="shared" si="20"/>
        <v>18.638379999999998</v>
      </c>
      <c r="G120" s="252">
        <f t="shared" si="21"/>
        <v>9.4120600000000003</v>
      </c>
      <c r="H120" s="252">
        <f t="shared" si="22"/>
        <v>6.3366199999999999</v>
      </c>
      <c r="I120" s="253">
        <f t="shared" si="23"/>
        <v>4.7996400000000001</v>
      </c>
      <c r="N120" s="10"/>
      <c r="O120" s="10"/>
      <c r="P120" s="10"/>
      <c r="Q120" s="10"/>
      <c r="R120" s="10"/>
      <c r="S120" s="10"/>
      <c r="T120" s="10"/>
      <c r="U120" s="10"/>
      <c r="V120" s="10"/>
    </row>
    <row r="121" spans="1:22">
      <c r="A121" s="63"/>
      <c r="B121" s="64"/>
      <c r="C121" s="74"/>
      <c r="D121" s="218"/>
      <c r="E121" s="10"/>
      <c r="F121" s="252"/>
      <c r="G121" s="252"/>
      <c r="H121" s="252"/>
      <c r="I121" s="253"/>
      <c r="N121" s="10"/>
      <c r="O121" s="10"/>
      <c r="P121" s="10"/>
      <c r="Q121" s="10"/>
      <c r="R121" s="10"/>
      <c r="S121" s="10"/>
      <c r="T121" s="10"/>
      <c r="U121" s="10"/>
      <c r="V121" s="10"/>
    </row>
    <row r="122" spans="1:22">
      <c r="A122" s="59" t="s">
        <v>1169</v>
      </c>
      <c r="B122" s="60"/>
      <c r="C122" s="62"/>
      <c r="D122" s="217"/>
      <c r="E122" s="10"/>
      <c r="F122" s="254"/>
      <c r="G122" s="254"/>
      <c r="H122" s="254"/>
      <c r="I122" s="255"/>
      <c r="N122" s="10"/>
      <c r="O122" s="10"/>
      <c r="P122" s="10"/>
      <c r="Q122" s="10"/>
      <c r="R122" s="10"/>
      <c r="S122" s="10"/>
      <c r="T122" s="10"/>
      <c r="U122" s="10"/>
      <c r="V122" s="10"/>
    </row>
    <row r="123" spans="1:22">
      <c r="A123" s="63" t="s">
        <v>1170</v>
      </c>
      <c r="B123" s="64" t="s">
        <v>1171</v>
      </c>
      <c r="C123" s="66" t="s">
        <v>1172</v>
      </c>
      <c r="D123" s="218">
        <v>12</v>
      </c>
      <c r="E123" s="10"/>
      <c r="F123" s="252">
        <f t="shared" si="20"/>
        <v>3.0224399999999996</v>
      </c>
      <c r="G123" s="252">
        <f t="shared" si="21"/>
        <v>1.5262799999999999</v>
      </c>
      <c r="H123" s="252">
        <f t="shared" si="22"/>
        <v>1.02756</v>
      </c>
      <c r="I123" s="253">
        <f t="shared" si="23"/>
        <v>0.77832000000000001</v>
      </c>
      <c r="N123" s="10"/>
      <c r="O123" s="10"/>
      <c r="P123" s="10"/>
      <c r="Q123" s="10"/>
      <c r="R123" s="10"/>
      <c r="S123" s="10"/>
      <c r="T123" s="10"/>
      <c r="U123" s="10"/>
      <c r="V123" s="10"/>
    </row>
    <row r="124" spans="1:22">
      <c r="A124" s="63" t="s">
        <v>1173</v>
      </c>
      <c r="B124" s="64" t="s">
        <v>1174</v>
      </c>
      <c r="C124" s="66" t="s">
        <v>1175</v>
      </c>
      <c r="D124" s="218">
        <v>8</v>
      </c>
      <c r="E124" s="10"/>
      <c r="F124" s="252">
        <f t="shared" si="20"/>
        <v>2.0149599999999999</v>
      </c>
      <c r="G124" s="252">
        <f t="shared" si="21"/>
        <v>1.01752</v>
      </c>
      <c r="H124" s="252">
        <f t="shared" si="22"/>
        <v>0.68503999999999998</v>
      </c>
      <c r="I124" s="253">
        <f t="shared" si="23"/>
        <v>0.51888000000000001</v>
      </c>
      <c r="N124" s="10"/>
      <c r="O124" s="10"/>
      <c r="P124" s="10"/>
      <c r="Q124" s="10"/>
      <c r="R124" s="10"/>
      <c r="S124" s="10"/>
      <c r="T124" s="10"/>
      <c r="U124" s="10"/>
      <c r="V124" s="10"/>
    </row>
    <row r="125" spans="1:22">
      <c r="A125" s="72" t="s">
        <v>1176</v>
      </c>
      <c r="B125" s="72" t="s">
        <v>1177</v>
      </c>
      <c r="C125" s="70" t="s">
        <v>1178</v>
      </c>
      <c r="D125" s="218">
        <v>16</v>
      </c>
      <c r="E125" s="10"/>
      <c r="F125" s="252">
        <f t="shared" si="20"/>
        <v>4.0299199999999997</v>
      </c>
      <c r="G125" s="252">
        <f t="shared" si="21"/>
        <v>2.03504</v>
      </c>
      <c r="H125" s="252">
        <f t="shared" si="22"/>
        <v>1.37008</v>
      </c>
      <c r="I125" s="253">
        <f t="shared" si="23"/>
        <v>1.03776</v>
      </c>
      <c r="N125" s="10"/>
      <c r="O125" s="10"/>
      <c r="P125" s="10"/>
      <c r="Q125" s="10"/>
      <c r="R125" s="10"/>
      <c r="S125" s="10"/>
      <c r="T125" s="10"/>
      <c r="U125" s="10"/>
      <c r="V125" s="10"/>
    </row>
    <row r="126" spans="1:22">
      <c r="A126" s="72" t="s">
        <v>1179</v>
      </c>
      <c r="B126" s="72" t="s">
        <v>1180</v>
      </c>
      <c r="C126" s="70" t="s">
        <v>1181</v>
      </c>
      <c r="D126" s="218">
        <v>12</v>
      </c>
      <c r="E126" s="10"/>
      <c r="F126" s="252">
        <f t="shared" si="20"/>
        <v>3.0224399999999996</v>
      </c>
      <c r="G126" s="252">
        <f t="shared" si="21"/>
        <v>1.5262799999999999</v>
      </c>
      <c r="H126" s="252">
        <f t="shared" si="22"/>
        <v>1.02756</v>
      </c>
      <c r="I126" s="253">
        <f t="shared" si="23"/>
        <v>0.77832000000000001</v>
      </c>
      <c r="N126" s="10"/>
      <c r="O126" s="10"/>
      <c r="P126" s="10"/>
      <c r="Q126" s="10"/>
      <c r="R126" s="10"/>
      <c r="S126" s="10"/>
      <c r="T126" s="10"/>
      <c r="U126" s="10"/>
      <c r="V126" s="10"/>
    </row>
    <row r="127" spans="1:22">
      <c r="A127" s="72" t="s">
        <v>1182</v>
      </c>
      <c r="B127" s="72" t="s">
        <v>1183</v>
      </c>
      <c r="C127" s="70" t="s">
        <v>1184</v>
      </c>
      <c r="D127" s="218">
        <v>8</v>
      </c>
      <c r="E127" s="10"/>
      <c r="F127" s="252">
        <f t="shared" si="20"/>
        <v>2.0149599999999999</v>
      </c>
      <c r="G127" s="252">
        <f t="shared" si="21"/>
        <v>1.01752</v>
      </c>
      <c r="H127" s="252">
        <f t="shared" si="22"/>
        <v>0.68503999999999998</v>
      </c>
      <c r="I127" s="253">
        <f t="shared" si="23"/>
        <v>0.51888000000000001</v>
      </c>
      <c r="N127" s="10"/>
      <c r="O127" s="10"/>
      <c r="P127" s="10"/>
      <c r="Q127" s="10"/>
      <c r="R127" s="10"/>
      <c r="S127" s="10"/>
      <c r="T127" s="10"/>
      <c r="U127" s="10"/>
      <c r="V127" s="10"/>
    </row>
    <row r="128" spans="1:22">
      <c r="A128" s="63" t="s">
        <v>1185</v>
      </c>
      <c r="B128" s="64" t="s">
        <v>1186</v>
      </c>
      <c r="C128" s="65" t="s">
        <v>1187</v>
      </c>
      <c r="D128" s="218">
        <v>14</v>
      </c>
      <c r="E128" s="10"/>
      <c r="F128" s="252">
        <f t="shared" si="20"/>
        <v>3.5261799999999996</v>
      </c>
      <c r="G128" s="252">
        <f t="shared" si="21"/>
        <v>1.7806599999999999</v>
      </c>
      <c r="H128" s="252">
        <f t="shared" si="22"/>
        <v>1.19882</v>
      </c>
      <c r="I128" s="253">
        <f t="shared" si="23"/>
        <v>0.90803999999999996</v>
      </c>
      <c r="N128" s="10"/>
      <c r="O128" s="10"/>
      <c r="P128" s="10"/>
      <c r="Q128" s="10"/>
      <c r="R128" s="10"/>
      <c r="S128" s="10"/>
      <c r="T128" s="10"/>
      <c r="U128" s="10"/>
      <c r="V128" s="10"/>
    </row>
    <row r="129" spans="1:22">
      <c r="A129" s="63" t="s">
        <v>1188</v>
      </c>
      <c r="B129" s="64" t="s">
        <v>1189</v>
      </c>
      <c r="C129" s="65" t="s">
        <v>1190</v>
      </c>
      <c r="D129" s="218">
        <v>13</v>
      </c>
      <c r="E129" s="10"/>
      <c r="F129" s="252">
        <f t="shared" si="20"/>
        <v>3.2743099999999998</v>
      </c>
      <c r="G129" s="252">
        <f t="shared" si="21"/>
        <v>1.65347</v>
      </c>
      <c r="H129" s="252">
        <f t="shared" si="22"/>
        <v>1.1131899999999999</v>
      </c>
      <c r="I129" s="253">
        <f t="shared" si="23"/>
        <v>0.84318000000000004</v>
      </c>
      <c r="N129" s="10"/>
      <c r="O129" s="10"/>
      <c r="P129" s="10"/>
      <c r="Q129" s="10"/>
      <c r="R129" s="10"/>
      <c r="S129" s="10"/>
      <c r="T129" s="10"/>
      <c r="U129" s="10"/>
      <c r="V129" s="10"/>
    </row>
    <row r="130" spans="1:22">
      <c r="A130" s="63" t="s">
        <v>1191</v>
      </c>
      <c r="B130" s="64" t="s">
        <v>1192</v>
      </c>
      <c r="C130" s="65" t="s">
        <v>1193</v>
      </c>
      <c r="D130" s="218">
        <v>11</v>
      </c>
      <c r="E130" s="10"/>
      <c r="F130" s="252">
        <f t="shared" si="20"/>
        <v>2.7705699999999998</v>
      </c>
      <c r="G130" s="252">
        <f t="shared" si="21"/>
        <v>1.3990899999999999</v>
      </c>
      <c r="H130" s="252">
        <f t="shared" si="22"/>
        <v>0.94192999999999993</v>
      </c>
      <c r="I130" s="253">
        <f t="shared" si="23"/>
        <v>0.71345999999999998</v>
      </c>
      <c r="N130" s="10"/>
      <c r="O130" s="10"/>
      <c r="P130" s="10"/>
      <c r="Q130" s="10"/>
      <c r="R130" s="10"/>
      <c r="S130" s="10"/>
      <c r="T130" s="10"/>
      <c r="U130" s="10"/>
      <c r="V130" s="10"/>
    </row>
    <row r="131" spans="1:22">
      <c r="A131" s="63" t="s">
        <v>1194</v>
      </c>
      <c r="B131" s="64" t="s">
        <v>1195</v>
      </c>
      <c r="C131" s="65" t="s">
        <v>1196</v>
      </c>
      <c r="D131" s="218">
        <v>34</v>
      </c>
      <c r="E131" s="10"/>
      <c r="F131" s="252">
        <f t="shared" si="20"/>
        <v>8.56358</v>
      </c>
      <c r="G131" s="252">
        <f t="shared" si="21"/>
        <v>4.3244600000000002</v>
      </c>
      <c r="H131" s="252">
        <f t="shared" si="22"/>
        <v>2.9114200000000001</v>
      </c>
      <c r="I131" s="253">
        <f t="shared" si="23"/>
        <v>2.2052399999999999</v>
      </c>
      <c r="N131" s="10"/>
      <c r="O131" s="10"/>
      <c r="P131" s="10"/>
      <c r="Q131" s="10"/>
      <c r="R131" s="10"/>
      <c r="S131" s="10"/>
      <c r="T131" s="10"/>
      <c r="U131" s="10"/>
      <c r="V131" s="10"/>
    </row>
    <row r="132" spans="1:22">
      <c r="A132" s="63" t="s">
        <v>1197</v>
      </c>
      <c r="B132" s="64" t="s">
        <v>1198</v>
      </c>
      <c r="C132" s="65" t="s">
        <v>1199</v>
      </c>
      <c r="D132" s="218">
        <v>9</v>
      </c>
      <c r="E132" s="10"/>
      <c r="F132" s="252">
        <f t="shared" si="20"/>
        <v>2.2668299999999997</v>
      </c>
      <c r="G132" s="252">
        <f t="shared" si="21"/>
        <v>1.1447099999999999</v>
      </c>
      <c r="H132" s="252">
        <f t="shared" si="22"/>
        <v>0.77066999999999997</v>
      </c>
      <c r="I132" s="253">
        <f t="shared" si="23"/>
        <v>0.58374000000000004</v>
      </c>
      <c r="N132" s="10"/>
      <c r="O132" s="10"/>
      <c r="P132" s="10"/>
      <c r="Q132" s="10"/>
      <c r="R132" s="10"/>
      <c r="S132" s="10"/>
      <c r="T132" s="10"/>
      <c r="U132" s="10"/>
      <c r="V132" s="10"/>
    </row>
    <row r="133" spans="1:22">
      <c r="A133" s="63" t="s">
        <v>1200</v>
      </c>
      <c r="B133" s="64" t="s">
        <v>1201</v>
      </c>
      <c r="C133" s="65" t="s">
        <v>1202</v>
      </c>
      <c r="D133" s="218">
        <v>8</v>
      </c>
      <c r="E133" s="10"/>
      <c r="F133" s="252">
        <f t="shared" si="20"/>
        <v>2.0149599999999999</v>
      </c>
      <c r="G133" s="252">
        <f t="shared" si="21"/>
        <v>1.01752</v>
      </c>
      <c r="H133" s="252">
        <f t="shared" si="22"/>
        <v>0.68503999999999998</v>
      </c>
      <c r="I133" s="253">
        <f t="shared" si="23"/>
        <v>0.51888000000000001</v>
      </c>
      <c r="N133" s="10"/>
      <c r="O133" s="10"/>
      <c r="P133" s="10"/>
      <c r="Q133" s="10"/>
      <c r="R133" s="10"/>
      <c r="S133" s="10"/>
      <c r="T133" s="10"/>
      <c r="U133" s="10"/>
      <c r="V133" s="10"/>
    </row>
    <row r="134" spans="1:22">
      <c r="A134" s="63" t="s">
        <v>1203</v>
      </c>
      <c r="B134" s="64" t="s">
        <v>1204</v>
      </c>
      <c r="C134" s="65" t="s">
        <v>1205</v>
      </c>
      <c r="D134" s="218">
        <v>6</v>
      </c>
      <c r="E134" s="10"/>
      <c r="F134" s="252">
        <f t="shared" si="20"/>
        <v>1.5112199999999998</v>
      </c>
      <c r="G134" s="252">
        <f t="shared" si="21"/>
        <v>0.76313999999999993</v>
      </c>
      <c r="H134" s="252">
        <f t="shared" si="22"/>
        <v>0.51378000000000001</v>
      </c>
      <c r="I134" s="253">
        <f t="shared" si="23"/>
        <v>0.38916000000000001</v>
      </c>
      <c r="N134" s="10"/>
      <c r="O134" s="10"/>
      <c r="P134" s="10"/>
      <c r="Q134" s="10"/>
      <c r="R134" s="10"/>
      <c r="S134" s="10"/>
      <c r="T134" s="10"/>
      <c r="U134" s="10"/>
      <c r="V134" s="10"/>
    </row>
    <row r="135" spans="1:22">
      <c r="A135" s="63" t="s">
        <v>1206</v>
      </c>
      <c r="B135" s="64" t="s">
        <v>1207</v>
      </c>
      <c r="C135" s="65" t="s">
        <v>1208</v>
      </c>
      <c r="D135" s="218">
        <v>6</v>
      </c>
      <c r="E135" s="10"/>
      <c r="F135" s="252">
        <f t="shared" si="20"/>
        <v>1.5112199999999998</v>
      </c>
      <c r="G135" s="252">
        <f t="shared" si="21"/>
        <v>0.76313999999999993</v>
      </c>
      <c r="H135" s="252">
        <f t="shared" si="22"/>
        <v>0.51378000000000001</v>
      </c>
      <c r="I135" s="253">
        <f t="shared" si="23"/>
        <v>0.38916000000000001</v>
      </c>
      <c r="N135" s="10"/>
      <c r="O135" s="10"/>
      <c r="P135" s="10"/>
      <c r="Q135" s="10"/>
      <c r="R135" s="10"/>
      <c r="S135" s="10"/>
      <c r="T135" s="10"/>
      <c r="U135" s="10"/>
      <c r="V135" s="10"/>
    </row>
    <row r="136" spans="1:22">
      <c r="A136" s="63" t="s">
        <v>1209</v>
      </c>
      <c r="B136" s="64" t="s">
        <v>1210</v>
      </c>
      <c r="C136" s="65" t="s">
        <v>1211</v>
      </c>
      <c r="D136" s="218">
        <v>18</v>
      </c>
      <c r="E136" s="10"/>
      <c r="F136" s="252">
        <f t="shared" si="20"/>
        <v>4.5336599999999994</v>
      </c>
      <c r="G136" s="252">
        <f t="shared" si="21"/>
        <v>2.2894199999999998</v>
      </c>
      <c r="H136" s="252">
        <f t="shared" si="22"/>
        <v>1.5413399999999999</v>
      </c>
      <c r="I136" s="253">
        <f t="shared" si="23"/>
        <v>1.1674800000000001</v>
      </c>
      <c r="N136" s="10"/>
      <c r="O136" s="10"/>
      <c r="P136" s="10"/>
      <c r="Q136" s="10"/>
      <c r="R136" s="10"/>
      <c r="S136" s="10"/>
      <c r="T136" s="10"/>
      <c r="U136" s="10"/>
      <c r="V136" s="10"/>
    </row>
    <row r="137" spans="1:22">
      <c r="A137" s="72" t="s">
        <v>1212</v>
      </c>
      <c r="B137" s="72" t="s">
        <v>1213</v>
      </c>
      <c r="C137" s="70" t="s">
        <v>1214</v>
      </c>
      <c r="D137" s="218">
        <v>36</v>
      </c>
      <c r="E137" s="10"/>
      <c r="F137" s="252">
        <f t="shared" si="20"/>
        <v>9.0673199999999987</v>
      </c>
      <c r="G137" s="252">
        <f t="shared" si="21"/>
        <v>4.5788399999999996</v>
      </c>
      <c r="H137" s="252">
        <f t="shared" si="22"/>
        <v>3.0826799999999999</v>
      </c>
      <c r="I137" s="253">
        <f t="shared" si="23"/>
        <v>2.3349600000000001</v>
      </c>
      <c r="N137" s="10"/>
      <c r="O137" s="10"/>
      <c r="P137" s="10"/>
      <c r="Q137" s="10"/>
      <c r="R137" s="10"/>
      <c r="S137" s="10"/>
      <c r="T137" s="10"/>
      <c r="U137" s="10"/>
      <c r="V137" s="10"/>
    </row>
    <row r="138" spans="1:22">
      <c r="A138" s="72" t="s">
        <v>1215</v>
      </c>
      <c r="B138" s="72" t="s">
        <v>1216</v>
      </c>
      <c r="C138" s="70" t="s">
        <v>1217</v>
      </c>
      <c r="D138" s="218">
        <v>14</v>
      </c>
      <c r="E138" s="10"/>
      <c r="F138" s="252">
        <f t="shared" si="20"/>
        <v>3.5261799999999996</v>
      </c>
      <c r="G138" s="252">
        <f t="shared" si="21"/>
        <v>1.7806599999999999</v>
      </c>
      <c r="H138" s="252">
        <f t="shared" si="22"/>
        <v>1.19882</v>
      </c>
      <c r="I138" s="253">
        <f t="shared" si="23"/>
        <v>0.90803999999999996</v>
      </c>
      <c r="N138" s="10"/>
      <c r="O138" s="10"/>
      <c r="P138" s="10"/>
      <c r="Q138" s="10"/>
      <c r="R138" s="10"/>
      <c r="S138" s="10"/>
      <c r="T138" s="10"/>
      <c r="U138" s="10"/>
      <c r="V138" s="10"/>
    </row>
    <row r="139" spans="1:22">
      <c r="A139" s="72" t="s">
        <v>1218</v>
      </c>
      <c r="B139" s="72" t="s">
        <v>1219</v>
      </c>
      <c r="C139" s="70" t="s">
        <v>1220</v>
      </c>
      <c r="D139" s="218">
        <v>12</v>
      </c>
      <c r="E139" s="10"/>
      <c r="F139" s="252">
        <f t="shared" si="20"/>
        <v>3.0224399999999996</v>
      </c>
      <c r="G139" s="252">
        <f t="shared" si="21"/>
        <v>1.5262799999999999</v>
      </c>
      <c r="H139" s="252">
        <f t="shared" si="22"/>
        <v>1.02756</v>
      </c>
      <c r="I139" s="253">
        <f t="shared" si="23"/>
        <v>0.77832000000000001</v>
      </c>
      <c r="N139" s="10"/>
      <c r="O139" s="10"/>
      <c r="P139" s="10"/>
      <c r="Q139" s="10"/>
      <c r="R139" s="10"/>
      <c r="S139" s="10"/>
      <c r="T139" s="10"/>
      <c r="U139" s="10"/>
      <c r="V139" s="10"/>
    </row>
    <row r="140" spans="1:22">
      <c r="A140" s="72"/>
      <c r="B140" s="72"/>
      <c r="C140" s="84"/>
      <c r="D140" s="218"/>
      <c r="E140" s="10"/>
      <c r="F140" s="252"/>
      <c r="G140" s="252"/>
      <c r="H140" s="252"/>
      <c r="I140" s="253"/>
      <c r="N140" s="10"/>
      <c r="O140" s="10"/>
      <c r="P140" s="10"/>
      <c r="Q140" s="10"/>
      <c r="R140" s="10"/>
      <c r="S140" s="10"/>
      <c r="T140" s="10"/>
      <c r="U140" s="10"/>
      <c r="V140" s="10"/>
    </row>
    <row r="141" spans="1:22">
      <c r="A141" s="59" t="s">
        <v>1221</v>
      </c>
      <c r="B141" s="60"/>
      <c r="C141" s="62"/>
      <c r="D141" s="217"/>
      <c r="E141" s="10"/>
      <c r="F141" s="254"/>
      <c r="G141" s="254"/>
      <c r="H141" s="254"/>
      <c r="I141" s="255"/>
      <c r="N141" s="10"/>
      <c r="O141" s="10"/>
      <c r="P141" s="10"/>
      <c r="Q141" s="10"/>
      <c r="R141" s="10"/>
      <c r="S141" s="10"/>
      <c r="T141" s="10"/>
      <c r="U141" s="10"/>
      <c r="V141" s="10"/>
    </row>
    <row r="142" spans="1:22">
      <c r="A142" s="109" t="s">
        <v>1222</v>
      </c>
      <c r="B142" s="105" t="s">
        <v>1223</v>
      </c>
      <c r="C142" s="111" t="s">
        <v>1224</v>
      </c>
      <c r="D142" s="219">
        <v>12</v>
      </c>
      <c r="E142" s="10"/>
      <c r="F142" s="256">
        <f t="shared" si="20"/>
        <v>3.0224399999999996</v>
      </c>
      <c r="G142" s="256">
        <f t="shared" si="21"/>
        <v>1.5262799999999999</v>
      </c>
      <c r="H142" s="256">
        <f t="shared" si="22"/>
        <v>1.02756</v>
      </c>
      <c r="I142" s="248">
        <f t="shared" si="23"/>
        <v>0.77832000000000001</v>
      </c>
      <c r="N142" s="10"/>
      <c r="O142" s="10"/>
      <c r="P142" s="10"/>
      <c r="Q142" s="10"/>
      <c r="R142" s="10"/>
      <c r="S142" s="10"/>
      <c r="T142" s="10"/>
      <c r="U142" s="10"/>
      <c r="V142" s="10"/>
    </row>
    <row r="143" spans="1:22">
      <c r="A143" s="109" t="s">
        <v>1225</v>
      </c>
      <c r="B143" s="105" t="s">
        <v>1226</v>
      </c>
      <c r="C143" s="111" t="s">
        <v>1227</v>
      </c>
      <c r="D143" s="219">
        <v>9</v>
      </c>
      <c r="E143" s="10"/>
      <c r="F143" s="256">
        <f t="shared" si="20"/>
        <v>2.2668299999999997</v>
      </c>
      <c r="G143" s="256">
        <f t="shared" si="21"/>
        <v>1.1447099999999999</v>
      </c>
      <c r="H143" s="256">
        <f t="shared" si="22"/>
        <v>0.77066999999999997</v>
      </c>
      <c r="I143" s="248">
        <f t="shared" si="23"/>
        <v>0.58374000000000004</v>
      </c>
      <c r="N143" s="10"/>
      <c r="O143" s="10"/>
      <c r="P143" s="10"/>
      <c r="Q143" s="10"/>
      <c r="R143" s="10"/>
      <c r="S143" s="10"/>
      <c r="T143" s="10"/>
      <c r="U143" s="10"/>
      <c r="V143" s="10"/>
    </row>
    <row r="144" spans="1:22">
      <c r="A144" s="63"/>
      <c r="B144" s="64"/>
      <c r="C144" s="66"/>
      <c r="D144" s="218"/>
      <c r="E144" s="10"/>
      <c r="F144" s="252"/>
      <c r="G144" s="252"/>
      <c r="H144" s="252"/>
      <c r="I144" s="253"/>
      <c r="N144" s="10"/>
      <c r="O144" s="10"/>
      <c r="P144" s="10"/>
      <c r="Q144" s="10"/>
      <c r="R144" s="10"/>
      <c r="S144" s="10"/>
      <c r="T144" s="10"/>
      <c r="U144" s="10"/>
      <c r="V144" s="10"/>
    </row>
    <row r="145" spans="1:22">
      <c r="A145" s="59" t="s">
        <v>1228</v>
      </c>
      <c r="B145" s="60"/>
      <c r="C145" s="62"/>
      <c r="D145" s="217"/>
      <c r="E145" s="10"/>
      <c r="F145" s="254"/>
      <c r="G145" s="254"/>
      <c r="H145" s="254"/>
      <c r="I145" s="255"/>
      <c r="N145" s="10"/>
      <c r="O145" s="10"/>
      <c r="P145" s="10"/>
      <c r="Q145" s="10"/>
      <c r="R145" s="10"/>
      <c r="S145" s="10"/>
      <c r="T145" s="10"/>
      <c r="U145" s="10"/>
      <c r="V145" s="10"/>
    </row>
    <row r="146" spans="1:22">
      <c r="A146" s="63" t="s">
        <v>1229</v>
      </c>
      <c r="B146" s="64" t="s">
        <v>1230</v>
      </c>
      <c r="C146" s="111" t="s">
        <v>1231</v>
      </c>
      <c r="D146" s="218">
        <v>16</v>
      </c>
      <c r="E146" s="10"/>
      <c r="F146" s="252">
        <f t="shared" ref="F146:F205" si="28">D146*$F$11</f>
        <v>4.0299199999999997</v>
      </c>
      <c r="G146" s="252">
        <f t="shared" ref="G146:G205" si="29">D146*$G$11</f>
        <v>2.03504</v>
      </c>
      <c r="H146" s="252">
        <f t="shared" ref="H146:H205" si="30">D146*$H$11</f>
        <v>1.37008</v>
      </c>
      <c r="I146" s="253">
        <f t="shared" ref="I146:I205" si="31">D146*$I$11</f>
        <v>1.03776</v>
      </c>
      <c r="N146" s="10"/>
      <c r="O146" s="10"/>
      <c r="P146" s="10"/>
      <c r="Q146" s="10"/>
      <c r="R146" s="10"/>
      <c r="S146" s="10"/>
      <c r="T146" s="10"/>
      <c r="U146" s="10"/>
      <c r="V146" s="10"/>
    </row>
    <row r="147" spans="1:22">
      <c r="A147" s="63" t="s">
        <v>1232</v>
      </c>
      <c r="B147" s="64" t="s">
        <v>1233</v>
      </c>
      <c r="C147" s="118" t="s">
        <v>1234</v>
      </c>
      <c r="D147" s="218">
        <v>24</v>
      </c>
      <c r="E147" s="10"/>
      <c r="F147" s="252">
        <f t="shared" si="28"/>
        <v>6.0448799999999991</v>
      </c>
      <c r="G147" s="252">
        <f t="shared" si="29"/>
        <v>3.0525599999999997</v>
      </c>
      <c r="H147" s="252">
        <f t="shared" si="30"/>
        <v>2.0551200000000001</v>
      </c>
      <c r="I147" s="253">
        <f t="shared" si="31"/>
        <v>1.55664</v>
      </c>
      <c r="N147" s="10"/>
      <c r="O147" s="10"/>
      <c r="P147" s="10"/>
      <c r="Q147" s="10"/>
      <c r="R147" s="10"/>
      <c r="S147" s="10"/>
      <c r="T147" s="10"/>
      <c r="U147" s="10"/>
      <c r="V147" s="10"/>
    </row>
    <row r="148" spans="1:22">
      <c r="A148" s="63" t="s">
        <v>1235</v>
      </c>
      <c r="B148" s="64" t="s">
        <v>1236</v>
      </c>
      <c r="C148" s="118" t="s">
        <v>1237</v>
      </c>
      <c r="D148" s="218">
        <v>12</v>
      </c>
      <c r="E148" s="10"/>
      <c r="F148" s="252">
        <f t="shared" si="28"/>
        <v>3.0224399999999996</v>
      </c>
      <c r="G148" s="252">
        <f t="shared" si="29"/>
        <v>1.5262799999999999</v>
      </c>
      <c r="H148" s="252">
        <f t="shared" si="30"/>
        <v>1.02756</v>
      </c>
      <c r="I148" s="253">
        <f t="shared" si="31"/>
        <v>0.77832000000000001</v>
      </c>
      <c r="N148" s="10"/>
      <c r="O148" s="10"/>
      <c r="P148" s="10"/>
      <c r="Q148" s="10"/>
      <c r="R148" s="10"/>
      <c r="S148" s="10"/>
      <c r="T148" s="10"/>
      <c r="U148" s="10"/>
      <c r="V148" s="10"/>
    </row>
    <row r="149" spans="1:22">
      <c r="A149" s="63" t="s">
        <v>1238</v>
      </c>
      <c r="B149" s="64" t="s">
        <v>1239</v>
      </c>
      <c r="C149" s="118" t="s">
        <v>1240</v>
      </c>
      <c r="D149" s="218">
        <v>26</v>
      </c>
      <c r="E149" s="10"/>
      <c r="F149" s="252">
        <f t="shared" si="28"/>
        <v>6.5486199999999997</v>
      </c>
      <c r="G149" s="252">
        <f t="shared" si="29"/>
        <v>3.30694</v>
      </c>
      <c r="H149" s="252">
        <f t="shared" si="30"/>
        <v>2.2263799999999998</v>
      </c>
      <c r="I149" s="253">
        <f t="shared" si="31"/>
        <v>1.6863600000000001</v>
      </c>
      <c r="N149" s="10"/>
      <c r="O149" s="10"/>
      <c r="P149" s="10"/>
      <c r="Q149" s="10"/>
      <c r="R149" s="10"/>
      <c r="S149" s="10"/>
      <c r="T149" s="10"/>
      <c r="U149" s="10"/>
      <c r="V149" s="10"/>
    </row>
    <row r="150" spans="1:22">
      <c r="A150" s="63" t="s">
        <v>1241</v>
      </c>
      <c r="B150" s="64" t="s">
        <v>1233</v>
      </c>
      <c r="C150" s="118" t="s">
        <v>1242</v>
      </c>
      <c r="D150" s="218">
        <v>12</v>
      </c>
      <c r="E150" s="10"/>
      <c r="F150" s="252">
        <f t="shared" si="28"/>
        <v>3.0224399999999996</v>
      </c>
      <c r="G150" s="252">
        <f t="shared" si="29"/>
        <v>1.5262799999999999</v>
      </c>
      <c r="H150" s="252">
        <f t="shared" si="30"/>
        <v>1.02756</v>
      </c>
      <c r="I150" s="253">
        <f t="shared" si="31"/>
        <v>0.77832000000000001</v>
      </c>
      <c r="N150" s="10"/>
      <c r="O150" s="10"/>
      <c r="P150" s="10"/>
      <c r="Q150" s="10"/>
      <c r="R150" s="10"/>
      <c r="S150" s="10"/>
      <c r="T150" s="10"/>
      <c r="U150" s="10"/>
      <c r="V150" s="10"/>
    </row>
    <row r="151" spans="1:22">
      <c r="A151" s="63"/>
      <c r="B151" s="64"/>
      <c r="C151" s="74"/>
      <c r="D151" s="218"/>
      <c r="E151" s="10"/>
      <c r="F151" s="252"/>
      <c r="G151" s="252"/>
      <c r="H151" s="252"/>
      <c r="I151" s="253"/>
      <c r="N151" s="10"/>
      <c r="O151" s="10"/>
      <c r="P151" s="10"/>
      <c r="Q151" s="10"/>
      <c r="R151" s="10"/>
      <c r="S151" s="10"/>
      <c r="T151" s="10"/>
      <c r="U151" s="10"/>
      <c r="V151" s="10"/>
    </row>
    <row r="152" spans="1:22">
      <c r="A152" s="59" t="s">
        <v>1243</v>
      </c>
      <c r="B152" s="60"/>
      <c r="C152" s="62"/>
      <c r="D152" s="217"/>
      <c r="E152" s="10"/>
      <c r="F152" s="254"/>
      <c r="G152" s="254"/>
      <c r="H152" s="254"/>
      <c r="I152" s="255"/>
      <c r="N152" s="10"/>
      <c r="O152" s="10"/>
      <c r="P152" s="10"/>
      <c r="Q152" s="10"/>
      <c r="R152" s="10"/>
      <c r="S152" s="10"/>
      <c r="T152" s="10"/>
      <c r="U152" s="10"/>
      <c r="V152" s="10"/>
    </row>
    <row r="153" spans="1:22">
      <c r="A153" s="63" t="s">
        <v>1244</v>
      </c>
      <c r="B153" s="64" t="s">
        <v>1245</v>
      </c>
      <c r="C153" s="118" t="s">
        <v>1246</v>
      </c>
      <c r="D153" s="218">
        <v>8</v>
      </c>
      <c r="E153" s="10"/>
      <c r="F153" s="252">
        <f t="shared" si="28"/>
        <v>2.0149599999999999</v>
      </c>
      <c r="G153" s="252">
        <f t="shared" si="29"/>
        <v>1.01752</v>
      </c>
      <c r="H153" s="252">
        <f t="shared" si="30"/>
        <v>0.68503999999999998</v>
      </c>
      <c r="I153" s="253">
        <f t="shared" si="31"/>
        <v>0.51888000000000001</v>
      </c>
      <c r="N153" s="10"/>
      <c r="O153" s="10"/>
      <c r="P153" s="10"/>
      <c r="Q153" s="10"/>
      <c r="R153" s="10"/>
      <c r="S153" s="10"/>
      <c r="T153" s="10"/>
      <c r="U153" s="10"/>
      <c r="V153" s="10"/>
    </row>
    <row r="154" spans="1:22">
      <c r="A154" s="63" t="s">
        <v>1247</v>
      </c>
      <c r="B154" s="64" t="s">
        <v>1248</v>
      </c>
      <c r="C154" s="118" t="s">
        <v>1249</v>
      </c>
      <c r="D154" s="218">
        <v>167</v>
      </c>
      <c r="E154" s="10"/>
      <c r="F154" s="252">
        <f t="shared" si="28"/>
        <v>42.062289999999997</v>
      </c>
      <c r="G154" s="252">
        <f t="shared" si="29"/>
        <v>21.240729999999999</v>
      </c>
      <c r="H154" s="252">
        <f t="shared" si="30"/>
        <v>14.30021</v>
      </c>
      <c r="I154" s="253">
        <f t="shared" si="31"/>
        <v>10.831620000000001</v>
      </c>
      <c r="N154" s="10"/>
      <c r="O154" s="10"/>
      <c r="P154" s="10"/>
      <c r="Q154" s="10"/>
      <c r="R154" s="10"/>
      <c r="S154" s="10"/>
      <c r="T154" s="10"/>
      <c r="U154" s="10"/>
      <c r="V154" s="10"/>
    </row>
    <row r="155" spans="1:22">
      <c r="A155" s="63" t="s">
        <v>1250</v>
      </c>
      <c r="B155" s="64" t="s">
        <v>1251</v>
      </c>
      <c r="C155" s="118" t="s">
        <v>1252</v>
      </c>
      <c r="D155" s="218">
        <v>9</v>
      </c>
      <c r="E155" s="10"/>
      <c r="F155" s="252">
        <f t="shared" si="28"/>
        <v>2.2668299999999997</v>
      </c>
      <c r="G155" s="252">
        <f t="shared" si="29"/>
        <v>1.1447099999999999</v>
      </c>
      <c r="H155" s="252">
        <f t="shared" si="30"/>
        <v>0.77066999999999997</v>
      </c>
      <c r="I155" s="253">
        <f t="shared" si="31"/>
        <v>0.58374000000000004</v>
      </c>
      <c r="N155" s="10"/>
      <c r="O155" s="10"/>
      <c r="P155" s="10"/>
      <c r="Q155" s="10"/>
      <c r="R155" s="10"/>
      <c r="S155" s="10"/>
      <c r="T155" s="10"/>
      <c r="U155" s="10"/>
      <c r="V155" s="10"/>
    </row>
    <row r="156" spans="1:22">
      <c r="A156" s="63" t="s">
        <v>1253</v>
      </c>
      <c r="B156" s="64" t="s">
        <v>1251</v>
      </c>
      <c r="C156" s="118" t="s">
        <v>1254</v>
      </c>
      <c r="D156" s="218">
        <v>147</v>
      </c>
      <c r="E156" s="10"/>
      <c r="F156" s="252">
        <f t="shared" si="28"/>
        <v>37.024889999999999</v>
      </c>
      <c r="G156" s="252">
        <f t="shared" si="29"/>
        <v>18.696929999999998</v>
      </c>
      <c r="H156" s="252">
        <f t="shared" si="30"/>
        <v>12.58761</v>
      </c>
      <c r="I156" s="253">
        <f t="shared" si="31"/>
        <v>9.5344200000000008</v>
      </c>
      <c r="N156" s="10"/>
      <c r="O156" s="10"/>
      <c r="P156" s="10"/>
      <c r="Q156" s="10"/>
      <c r="R156" s="10"/>
      <c r="S156" s="10"/>
      <c r="T156" s="10"/>
      <c r="U156" s="10"/>
      <c r="V156" s="10"/>
    </row>
    <row r="157" spans="1:22">
      <c r="A157" s="109" t="s">
        <v>1255</v>
      </c>
      <c r="B157" s="105" t="s">
        <v>1256</v>
      </c>
      <c r="C157" s="118" t="s">
        <v>1257</v>
      </c>
      <c r="D157" s="219">
        <v>34</v>
      </c>
      <c r="E157" s="10"/>
      <c r="F157" s="256">
        <f t="shared" si="28"/>
        <v>8.56358</v>
      </c>
      <c r="G157" s="256">
        <f t="shared" si="29"/>
        <v>4.3244600000000002</v>
      </c>
      <c r="H157" s="256">
        <f t="shared" si="30"/>
        <v>2.9114200000000001</v>
      </c>
      <c r="I157" s="248">
        <f t="shared" si="31"/>
        <v>2.2052399999999999</v>
      </c>
      <c r="N157" s="10"/>
      <c r="O157" s="10"/>
      <c r="P157" s="10"/>
      <c r="Q157" s="10"/>
      <c r="R157" s="10"/>
      <c r="S157" s="10"/>
      <c r="T157" s="10"/>
      <c r="U157" s="10"/>
      <c r="V157" s="10"/>
    </row>
    <row r="158" spans="1:22">
      <c r="A158" s="63" t="s">
        <v>1258</v>
      </c>
      <c r="B158" s="64" t="s">
        <v>1259</v>
      </c>
      <c r="C158" s="118" t="s">
        <v>1260</v>
      </c>
      <c r="D158" s="218">
        <v>12</v>
      </c>
      <c r="E158" s="10"/>
      <c r="F158" s="252">
        <f t="shared" si="28"/>
        <v>3.0224399999999996</v>
      </c>
      <c r="G158" s="252">
        <f t="shared" si="29"/>
        <v>1.5262799999999999</v>
      </c>
      <c r="H158" s="252">
        <f t="shared" si="30"/>
        <v>1.02756</v>
      </c>
      <c r="I158" s="253">
        <f t="shared" si="31"/>
        <v>0.77832000000000001</v>
      </c>
      <c r="N158" s="10"/>
      <c r="O158" s="10"/>
      <c r="P158" s="10"/>
      <c r="Q158" s="10"/>
      <c r="R158" s="10"/>
      <c r="S158" s="10"/>
      <c r="T158" s="10"/>
      <c r="U158" s="10"/>
      <c r="V158" s="10"/>
    </row>
    <row r="159" spans="1:22">
      <c r="A159" s="63" t="s">
        <v>1261</v>
      </c>
      <c r="B159" s="64" t="s">
        <v>1262</v>
      </c>
      <c r="C159" s="118" t="s">
        <v>1263</v>
      </c>
      <c r="D159" s="218">
        <v>15</v>
      </c>
      <c r="E159" s="10"/>
      <c r="F159" s="252">
        <f t="shared" si="28"/>
        <v>3.7780499999999999</v>
      </c>
      <c r="G159" s="252">
        <f t="shared" si="29"/>
        <v>1.90785</v>
      </c>
      <c r="H159" s="252">
        <f t="shared" si="30"/>
        <v>1.2844499999999999</v>
      </c>
      <c r="I159" s="253">
        <f t="shared" si="31"/>
        <v>0.97289999999999999</v>
      </c>
      <c r="N159" s="10"/>
      <c r="O159" s="10"/>
      <c r="P159" s="10"/>
      <c r="Q159" s="10"/>
      <c r="R159" s="10"/>
      <c r="S159" s="10"/>
      <c r="T159" s="10"/>
      <c r="U159" s="10"/>
      <c r="V159" s="10"/>
    </row>
    <row r="160" spans="1:22">
      <c r="A160" s="63" t="s">
        <v>1264</v>
      </c>
      <c r="B160" s="64" t="s">
        <v>1265</v>
      </c>
      <c r="C160" s="118" t="s">
        <v>1266</v>
      </c>
      <c r="D160" s="218">
        <v>6</v>
      </c>
      <c r="E160" s="10"/>
      <c r="F160" s="252">
        <f t="shared" si="28"/>
        <v>1.5112199999999998</v>
      </c>
      <c r="G160" s="252">
        <f t="shared" si="29"/>
        <v>0.76313999999999993</v>
      </c>
      <c r="H160" s="252">
        <f t="shared" si="30"/>
        <v>0.51378000000000001</v>
      </c>
      <c r="I160" s="253">
        <f t="shared" si="31"/>
        <v>0.38916000000000001</v>
      </c>
      <c r="N160" s="47"/>
      <c r="O160" s="47"/>
      <c r="P160" s="51"/>
      <c r="Q160" s="51"/>
      <c r="R160" s="47"/>
      <c r="S160" s="47"/>
      <c r="T160" s="48"/>
    </row>
    <row r="161" spans="1:22">
      <c r="A161" s="63" t="s">
        <v>1267</v>
      </c>
      <c r="B161" s="64" t="s">
        <v>1268</v>
      </c>
      <c r="C161" s="118" t="s">
        <v>1269</v>
      </c>
      <c r="D161" s="218">
        <v>9</v>
      </c>
      <c r="E161" s="10"/>
      <c r="F161" s="252">
        <f t="shared" si="28"/>
        <v>2.2668299999999997</v>
      </c>
      <c r="G161" s="252">
        <f t="shared" si="29"/>
        <v>1.1447099999999999</v>
      </c>
      <c r="H161" s="252">
        <f t="shared" si="30"/>
        <v>0.77066999999999997</v>
      </c>
      <c r="I161" s="253">
        <f t="shared" si="31"/>
        <v>0.58374000000000004</v>
      </c>
      <c r="N161" s="49"/>
      <c r="O161" s="49"/>
      <c r="P161" s="52"/>
      <c r="Q161" s="52"/>
      <c r="R161" s="49"/>
      <c r="S161" s="49"/>
      <c r="T161" s="50"/>
    </row>
    <row r="162" spans="1:22">
      <c r="A162" s="63" t="s">
        <v>1270</v>
      </c>
      <c r="B162" s="64" t="s">
        <v>1271</v>
      </c>
      <c r="C162" s="215" t="s">
        <v>1272</v>
      </c>
      <c r="D162" s="218">
        <v>13</v>
      </c>
      <c r="E162" s="10"/>
      <c r="F162" s="252">
        <f t="shared" si="28"/>
        <v>3.2743099999999998</v>
      </c>
      <c r="G162" s="252">
        <f t="shared" si="29"/>
        <v>1.65347</v>
      </c>
      <c r="H162" s="252">
        <f t="shared" si="30"/>
        <v>1.1131899999999999</v>
      </c>
      <c r="I162" s="253">
        <f t="shared" si="31"/>
        <v>0.84318000000000004</v>
      </c>
      <c r="N162" s="10"/>
      <c r="O162" s="10"/>
      <c r="P162" s="10"/>
      <c r="Q162" s="10"/>
      <c r="R162" s="10"/>
      <c r="S162" s="10"/>
      <c r="T162" s="10"/>
    </row>
    <row r="163" spans="1:22">
      <c r="A163" s="63" t="s">
        <v>1273</v>
      </c>
      <c r="B163" s="64" t="s">
        <v>1274</v>
      </c>
      <c r="C163" s="118" t="s">
        <v>1275</v>
      </c>
      <c r="D163" s="218">
        <v>29</v>
      </c>
      <c r="E163" s="10"/>
      <c r="F163" s="252">
        <f t="shared" si="28"/>
        <v>7.3042299999999996</v>
      </c>
      <c r="G163" s="252">
        <f t="shared" si="29"/>
        <v>3.68851</v>
      </c>
      <c r="H163" s="252">
        <f t="shared" si="30"/>
        <v>2.4832700000000001</v>
      </c>
      <c r="I163" s="253">
        <f t="shared" si="31"/>
        <v>1.8809400000000001</v>
      </c>
      <c r="N163" s="10"/>
      <c r="O163" s="10"/>
      <c r="P163" s="10"/>
      <c r="Q163" s="10"/>
      <c r="R163" s="10"/>
      <c r="S163" s="10"/>
      <c r="T163" s="10"/>
    </row>
    <row r="164" spans="1:22">
      <c r="A164" s="109" t="s">
        <v>1276</v>
      </c>
      <c r="B164" s="105" t="s">
        <v>1277</v>
      </c>
      <c r="C164" s="118" t="s">
        <v>1278</v>
      </c>
      <c r="D164" s="219">
        <v>36</v>
      </c>
      <c r="E164" s="10"/>
      <c r="F164" s="256">
        <f t="shared" si="28"/>
        <v>9.0673199999999987</v>
      </c>
      <c r="G164" s="256">
        <f t="shared" si="29"/>
        <v>4.5788399999999996</v>
      </c>
      <c r="H164" s="256">
        <f t="shared" si="30"/>
        <v>3.0826799999999999</v>
      </c>
      <c r="I164" s="248">
        <f t="shared" si="31"/>
        <v>2.3349600000000001</v>
      </c>
      <c r="N164" s="10"/>
      <c r="O164" s="10"/>
      <c r="P164" s="10"/>
      <c r="Q164" s="10"/>
      <c r="R164" s="10"/>
      <c r="S164" s="10"/>
      <c r="T164" s="10"/>
    </row>
    <row r="165" spans="1:22">
      <c r="A165" s="63" t="s">
        <v>1279</v>
      </c>
      <c r="B165" s="64" t="s">
        <v>1280</v>
      </c>
      <c r="C165" s="118" t="s">
        <v>1281</v>
      </c>
      <c r="D165" s="218">
        <v>186</v>
      </c>
      <c r="E165" s="10"/>
      <c r="F165" s="252">
        <f t="shared" si="28"/>
        <v>46.847819999999999</v>
      </c>
      <c r="G165" s="252">
        <f t="shared" si="29"/>
        <v>23.657339999999998</v>
      </c>
      <c r="H165" s="252">
        <f t="shared" si="30"/>
        <v>15.92718</v>
      </c>
      <c r="I165" s="253">
        <f t="shared" si="31"/>
        <v>12.06396</v>
      </c>
      <c r="N165" s="10"/>
      <c r="O165" s="10"/>
      <c r="P165" s="10"/>
      <c r="Q165" s="10"/>
      <c r="R165" s="10"/>
      <c r="S165" s="10"/>
      <c r="T165" s="10"/>
    </row>
    <row r="166" spans="1:22">
      <c r="A166" s="63" t="s">
        <v>1282</v>
      </c>
      <c r="B166" s="64" t="s">
        <v>1283</v>
      </c>
      <c r="C166" s="118" t="s">
        <v>1284</v>
      </c>
      <c r="D166" s="218">
        <v>138</v>
      </c>
      <c r="E166" s="10"/>
      <c r="F166" s="252">
        <f t="shared" si="28"/>
        <v>34.75806</v>
      </c>
      <c r="G166" s="252">
        <f t="shared" si="29"/>
        <v>17.552219999999998</v>
      </c>
      <c r="H166" s="252">
        <f t="shared" si="30"/>
        <v>11.816939999999999</v>
      </c>
      <c r="I166" s="253">
        <f t="shared" si="31"/>
        <v>8.9506800000000002</v>
      </c>
      <c r="N166" s="10"/>
      <c r="O166" s="10"/>
      <c r="P166" s="10"/>
      <c r="Q166" s="10"/>
      <c r="R166" s="10"/>
      <c r="S166" s="10"/>
      <c r="T166" s="10"/>
      <c r="U166" s="10"/>
      <c r="V166" s="10"/>
    </row>
    <row r="167" spans="1:22">
      <c r="A167" s="63" t="s">
        <v>1285</v>
      </c>
      <c r="B167" s="63" t="s">
        <v>1286</v>
      </c>
      <c r="C167" s="118" t="s">
        <v>1287</v>
      </c>
      <c r="D167" s="218">
        <v>6</v>
      </c>
      <c r="E167" s="10"/>
      <c r="F167" s="252">
        <f t="shared" si="28"/>
        <v>1.5112199999999998</v>
      </c>
      <c r="G167" s="252">
        <f t="shared" si="29"/>
        <v>0.76313999999999993</v>
      </c>
      <c r="H167" s="252">
        <f t="shared" si="30"/>
        <v>0.51378000000000001</v>
      </c>
      <c r="I167" s="253">
        <f t="shared" si="31"/>
        <v>0.38916000000000001</v>
      </c>
      <c r="N167" s="10"/>
      <c r="O167" s="10"/>
      <c r="P167" s="10"/>
      <c r="Q167" s="10"/>
      <c r="R167" s="10"/>
      <c r="S167" s="10"/>
      <c r="T167" s="10"/>
      <c r="U167" s="10"/>
      <c r="V167" s="10"/>
    </row>
    <row r="168" spans="1:22">
      <c r="A168" s="63" t="s">
        <v>1288</v>
      </c>
      <c r="B168" s="63" t="s">
        <v>1289</v>
      </c>
      <c r="C168" s="118" t="s">
        <v>1290</v>
      </c>
      <c r="D168" s="218">
        <v>6</v>
      </c>
      <c r="E168" s="10"/>
      <c r="F168" s="252">
        <f t="shared" si="28"/>
        <v>1.5112199999999998</v>
      </c>
      <c r="G168" s="252">
        <f t="shared" si="29"/>
        <v>0.76313999999999993</v>
      </c>
      <c r="H168" s="252">
        <f t="shared" si="30"/>
        <v>0.51378000000000001</v>
      </c>
      <c r="I168" s="253">
        <f t="shared" si="31"/>
        <v>0.38916000000000001</v>
      </c>
      <c r="N168" s="10"/>
      <c r="O168" s="10"/>
      <c r="P168" s="10"/>
      <c r="Q168" s="10"/>
      <c r="R168" s="10"/>
      <c r="S168" s="10"/>
      <c r="T168" s="10"/>
      <c r="U168" s="10"/>
      <c r="V168" s="10"/>
    </row>
    <row r="169" spans="1:22">
      <c r="A169" s="63" t="s">
        <v>1291</v>
      </c>
      <c r="B169" s="63" t="s">
        <v>1292</v>
      </c>
      <c r="C169" s="118" t="s">
        <v>1293</v>
      </c>
      <c r="D169" s="218">
        <v>8</v>
      </c>
      <c r="E169" s="10"/>
      <c r="F169" s="252">
        <f t="shared" si="28"/>
        <v>2.0149599999999999</v>
      </c>
      <c r="G169" s="252">
        <f t="shared" si="29"/>
        <v>1.01752</v>
      </c>
      <c r="H169" s="252">
        <f t="shared" si="30"/>
        <v>0.68503999999999998</v>
      </c>
      <c r="I169" s="253">
        <f t="shared" si="31"/>
        <v>0.51888000000000001</v>
      </c>
      <c r="N169" s="10"/>
      <c r="O169" s="10"/>
      <c r="P169" s="10"/>
      <c r="Q169" s="10"/>
      <c r="R169" s="10"/>
      <c r="S169" s="10"/>
      <c r="T169" s="10"/>
      <c r="U169" s="10"/>
      <c r="V169" s="10"/>
    </row>
    <row r="170" spans="1:22">
      <c r="A170" s="63" t="s">
        <v>1294</v>
      </c>
      <c r="B170" s="63" t="s">
        <v>1295</v>
      </c>
      <c r="C170" s="118" t="s">
        <v>1296</v>
      </c>
      <c r="D170" s="218">
        <v>8</v>
      </c>
      <c r="E170" s="10"/>
      <c r="F170" s="252">
        <f t="shared" si="28"/>
        <v>2.0149599999999999</v>
      </c>
      <c r="G170" s="252">
        <f t="shared" si="29"/>
        <v>1.01752</v>
      </c>
      <c r="H170" s="252">
        <f t="shared" si="30"/>
        <v>0.68503999999999998</v>
      </c>
      <c r="I170" s="253">
        <f t="shared" si="31"/>
        <v>0.51888000000000001</v>
      </c>
      <c r="N170" s="10"/>
      <c r="O170" s="10"/>
      <c r="P170" s="10"/>
      <c r="Q170" s="10"/>
      <c r="R170" s="10"/>
      <c r="S170" s="10"/>
      <c r="T170" s="10"/>
      <c r="U170" s="10"/>
      <c r="V170" s="10"/>
    </row>
    <row r="171" spans="1:22">
      <c r="A171" s="63" t="s">
        <v>1297</v>
      </c>
      <c r="B171" s="63" t="s">
        <v>1298</v>
      </c>
      <c r="C171" s="118" t="s">
        <v>1299</v>
      </c>
      <c r="D171" s="218">
        <v>9</v>
      </c>
      <c r="E171" s="10"/>
      <c r="F171" s="252">
        <f t="shared" si="28"/>
        <v>2.2668299999999997</v>
      </c>
      <c r="G171" s="252">
        <f t="shared" si="29"/>
        <v>1.1447099999999999</v>
      </c>
      <c r="H171" s="252">
        <f t="shared" si="30"/>
        <v>0.77066999999999997</v>
      </c>
      <c r="I171" s="253">
        <f t="shared" si="31"/>
        <v>0.58374000000000004</v>
      </c>
      <c r="N171" s="10"/>
      <c r="O171" s="10"/>
      <c r="P171" s="10"/>
      <c r="Q171" s="10"/>
      <c r="R171" s="10"/>
      <c r="S171" s="10"/>
      <c r="T171" s="10"/>
      <c r="U171" s="10"/>
      <c r="V171" s="10"/>
    </row>
    <row r="172" spans="1:22" ht="14.25" customHeight="1">
      <c r="A172" s="63" t="s">
        <v>1300</v>
      </c>
      <c r="B172" s="63" t="s">
        <v>1301</v>
      </c>
      <c r="C172" s="118" t="s">
        <v>1302</v>
      </c>
      <c r="D172" s="218">
        <v>9</v>
      </c>
      <c r="E172" s="10"/>
      <c r="F172" s="252">
        <f t="shared" si="28"/>
        <v>2.2668299999999997</v>
      </c>
      <c r="G172" s="252">
        <f t="shared" si="29"/>
        <v>1.1447099999999999</v>
      </c>
      <c r="H172" s="252">
        <f t="shared" si="30"/>
        <v>0.77066999999999997</v>
      </c>
      <c r="I172" s="253">
        <f t="shared" si="31"/>
        <v>0.58374000000000004</v>
      </c>
      <c r="N172" s="10"/>
      <c r="O172" s="10"/>
      <c r="P172" s="10"/>
      <c r="Q172" s="10"/>
      <c r="R172" s="10"/>
      <c r="S172" s="10"/>
      <c r="T172" s="10"/>
      <c r="U172" s="10"/>
      <c r="V172" s="10"/>
    </row>
    <row r="173" spans="1:22">
      <c r="A173" s="63" t="s">
        <v>1303</v>
      </c>
      <c r="B173" s="63" t="s">
        <v>1304</v>
      </c>
      <c r="C173" s="118" t="s">
        <v>1305</v>
      </c>
      <c r="D173" s="218">
        <v>16</v>
      </c>
      <c r="E173" s="10"/>
      <c r="F173" s="252">
        <f t="shared" si="28"/>
        <v>4.0299199999999997</v>
      </c>
      <c r="G173" s="252">
        <f t="shared" si="29"/>
        <v>2.03504</v>
      </c>
      <c r="H173" s="252">
        <f t="shared" si="30"/>
        <v>1.37008</v>
      </c>
      <c r="I173" s="253">
        <f t="shared" si="31"/>
        <v>1.03776</v>
      </c>
      <c r="N173" s="10"/>
      <c r="O173" s="10"/>
      <c r="P173" s="10"/>
      <c r="Q173" s="10"/>
      <c r="R173" s="10"/>
      <c r="S173" s="10"/>
      <c r="T173" s="10"/>
      <c r="U173" s="10"/>
      <c r="V173" s="10"/>
    </row>
    <row r="174" spans="1:22">
      <c r="A174" s="63" t="s">
        <v>1306</v>
      </c>
      <c r="B174" s="63" t="s">
        <v>1307</v>
      </c>
      <c r="C174" s="118" t="s">
        <v>1308</v>
      </c>
      <c r="D174" s="218">
        <v>22</v>
      </c>
      <c r="E174" s="10"/>
      <c r="F174" s="252">
        <f t="shared" si="28"/>
        <v>5.5411399999999995</v>
      </c>
      <c r="G174" s="252">
        <f t="shared" si="29"/>
        <v>2.7981799999999999</v>
      </c>
      <c r="H174" s="252">
        <f t="shared" si="30"/>
        <v>1.8838599999999999</v>
      </c>
      <c r="I174" s="253">
        <f t="shared" si="31"/>
        <v>1.42692</v>
      </c>
      <c r="N174" s="10"/>
      <c r="O174" s="10"/>
      <c r="P174" s="10"/>
      <c r="Q174" s="10"/>
      <c r="R174" s="10"/>
      <c r="S174" s="10"/>
      <c r="T174" s="10"/>
      <c r="U174" s="10"/>
      <c r="V174" s="10"/>
    </row>
    <row r="175" spans="1:22">
      <c r="A175" s="63" t="s">
        <v>1309</v>
      </c>
      <c r="B175" s="63" t="s">
        <v>1310</v>
      </c>
      <c r="C175" s="118" t="s">
        <v>1311</v>
      </c>
      <c r="D175" s="218">
        <v>26</v>
      </c>
      <c r="E175" s="10"/>
      <c r="F175" s="252">
        <f t="shared" si="28"/>
        <v>6.5486199999999997</v>
      </c>
      <c r="G175" s="252">
        <f t="shared" si="29"/>
        <v>3.30694</v>
      </c>
      <c r="H175" s="252">
        <f t="shared" si="30"/>
        <v>2.2263799999999998</v>
      </c>
      <c r="I175" s="253">
        <f t="shared" si="31"/>
        <v>1.6863600000000001</v>
      </c>
      <c r="N175" s="10"/>
      <c r="O175" s="10"/>
      <c r="P175" s="10"/>
      <c r="Q175" s="10"/>
      <c r="R175" s="10"/>
      <c r="S175" s="10"/>
      <c r="T175" s="10"/>
      <c r="U175" s="10"/>
      <c r="V175" s="10"/>
    </row>
    <row r="176" spans="1:22">
      <c r="A176" s="63" t="s">
        <v>1312</v>
      </c>
      <c r="B176" s="63" t="s">
        <v>1313</v>
      </c>
      <c r="C176" s="118" t="s">
        <v>1314</v>
      </c>
      <c r="D176" s="218">
        <v>28</v>
      </c>
      <c r="E176" s="10"/>
      <c r="F176" s="252">
        <f t="shared" si="28"/>
        <v>7.0523599999999993</v>
      </c>
      <c r="G176" s="252">
        <f t="shared" si="29"/>
        <v>3.5613199999999998</v>
      </c>
      <c r="H176" s="252">
        <f t="shared" si="30"/>
        <v>2.39764</v>
      </c>
      <c r="I176" s="253">
        <f t="shared" si="31"/>
        <v>1.8160799999999999</v>
      </c>
      <c r="N176" s="10"/>
      <c r="O176" s="10"/>
      <c r="P176" s="10"/>
      <c r="Q176" s="10"/>
      <c r="R176" s="10"/>
      <c r="S176" s="10"/>
      <c r="T176" s="10"/>
      <c r="U176" s="10"/>
      <c r="V176" s="10"/>
    </row>
    <row r="177" spans="1:22">
      <c r="A177" s="63" t="s">
        <v>1315</v>
      </c>
      <c r="B177" s="63" t="s">
        <v>1316</v>
      </c>
      <c r="C177" s="118" t="s">
        <v>1317</v>
      </c>
      <c r="D177" s="218">
        <v>30</v>
      </c>
      <c r="E177" s="10"/>
      <c r="F177" s="252">
        <f t="shared" si="28"/>
        <v>7.5560999999999998</v>
      </c>
      <c r="G177" s="252">
        <f t="shared" si="29"/>
        <v>3.8157000000000001</v>
      </c>
      <c r="H177" s="252">
        <f t="shared" si="30"/>
        <v>2.5688999999999997</v>
      </c>
      <c r="I177" s="253">
        <f t="shared" si="31"/>
        <v>1.9458</v>
      </c>
    </row>
    <row r="178" spans="1:22">
      <c r="A178" s="63" t="s">
        <v>1318</v>
      </c>
      <c r="B178" s="63" t="s">
        <v>1319</v>
      </c>
      <c r="C178" s="118" t="s">
        <v>1320</v>
      </c>
      <c r="D178" s="218">
        <v>62</v>
      </c>
      <c r="E178" s="10"/>
      <c r="F178" s="252">
        <f t="shared" si="28"/>
        <v>15.615939999999998</v>
      </c>
      <c r="G178" s="252">
        <f t="shared" si="29"/>
        <v>7.8857799999999996</v>
      </c>
      <c r="H178" s="252">
        <f t="shared" si="30"/>
        <v>5.3090599999999997</v>
      </c>
      <c r="I178" s="253">
        <f t="shared" si="31"/>
        <v>4.0213200000000002</v>
      </c>
    </row>
    <row r="179" spans="1:22">
      <c r="A179" s="63"/>
      <c r="B179" s="64"/>
      <c r="C179" s="118"/>
      <c r="D179" s="218"/>
      <c r="E179" s="10"/>
      <c r="F179" s="252"/>
      <c r="G179" s="252"/>
      <c r="H179" s="252"/>
      <c r="I179" s="253"/>
    </row>
    <row r="180" spans="1:22">
      <c r="A180" s="59" t="s">
        <v>1321</v>
      </c>
      <c r="B180" s="60"/>
      <c r="C180" s="62"/>
      <c r="D180" s="217"/>
      <c r="E180" s="10"/>
      <c r="F180" s="254"/>
      <c r="G180" s="254"/>
      <c r="H180" s="254"/>
      <c r="I180" s="255"/>
    </row>
    <row r="181" spans="1:22">
      <c r="A181" s="63" t="s">
        <v>1322</v>
      </c>
      <c r="B181" s="63" t="s">
        <v>1323</v>
      </c>
      <c r="C181" s="74" t="s">
        <v>1324</v>
      </c>
      <c r="D181" s="218">
        <v>2411</v>
      </c>
      <c r="E181" s="10"/>
      <c r="F181" s="252">
        <f t="shared" si="28"/>
        <v>607.25856999999996</v>
      </c>
      <c r="G181" s="252">
        <f t="shared" si="29"/>
        <v>306.65508999999997</v>
      </c>
      <c r="H181" s="252">
        <f t="shared" si="30"/>
        <v>206.45392999999999</v>
      </c>
      <c r="I181" s="253">
        <f t="shared" si="31"/>
        <v>156.37746000000001</v>
      </c>
    </row>
    <row r="182" spans="1:22">
      <c r="A182" s="63"/>
      <c r="B182" s="64"/>
      <c r="C182" s="74"/>
      <c r="D182" s="218"/>
      <c r="E182" s="10"/>
      <c r="F182" s="252"/>
      <c r="G182" s="252"/>
      <c r="H182" s="252"/>
      <c r="I182" s="253"/>
    </row>
    <row r="183" spans="1:22">
      <c r="A183" s="81" t="s">
        <v>1325</v>
      </c>
      <c r="B183" s="60"/>
      <c r="C183" s="62"/>
      <c r="D183" s="217"/>
      <c r="E183" s="10"/>
      <c r="F183" s="254"/>
      <c r="G183" s="254"/>
      <c r="H183" s="254"/>
      <c r="I183" s="255"/>
    </row>
    <row r="184" spans="1:22">
      <c r="A184" s="63" t="s">
        <v>1326</v>
      </c>
      <c r="B184" s="64" t="s">
        <v>1327</v>
      </c>
      <c r="C184" s="74" t="s">
        <v>1328</v>
      </c>
      <c r="D184" s="218">
        <v>3</v>
      </c>
      <c r="E184" s="10"/>
      <c r="F184" s="252">
        <f t="shared" si="28"/>
        <v>0.75560999999999989</v>
      </c>
      <c r="G184" s="252">
        <f t="shared" si="29"/>
        <v>0.38156999999999996</v>
      </c>
      <c r="H184" s="252">
        <f t="shared" si="30"/>
        <v>0.25689000000000001</v>
      </c>
      <c r="I184" s="253">
        <f t="shared" si="31"/>
        <v>0.19458</v>
      </c>
    </row>
    <row r="185" spans="1:22">
      <c r="A185" s="80" t="s">
        <v>1329</v>
      </c>
      <c r="B185" s="72" t="s">
        <v>1330</v>
      </c>
      <c r="C185" s="66" t="s">
        <v>1331</v>
      </c>
      <c r="D185" s="218">
        <v>5</v>
      </c>
      <c r="E185" s="10"/>
      <c r="F185" s="252">
        <f t="shared" si="28"/>
        <v>1.25935</v>
      </c>
      <c r="G185" s="252">
        <f t="shared" si="29"/>
        <v>0.63595000000000002</v>
      </c>
      <c r="H185" s="252">
        <f t="shared" si="30"/>
        <v>0.42814999999999998</v>
      </c>
      <c r="I185" s="253">
        <f t="shared" si="31"/>
        <v>0.32430000000000003</v>
      </c>
    </row>
    <row r="186" spans="1:22">
      <c r="A186" s="80" t="s">
        <v>1332</v>
      </c>
      <c r="B186" s="72" t="s">
        <v>1330</v>
      </c>
      <c r="C186" s="66" t="s">
        <v>1331</v>
      </c>
      <c r="D186" s="218">
        <v>5</v>
      </c>
      <c r="E186" s="10"/>
      <c r="F186" s="252">
        <f t="shared" si="28"/>
        <v>1.25935</v>
      </c>
      <c r="G186" s="252">
        <f t="shared" si="29"/>
        <v>0.63595000000000002</v>
      </c>
      <c r="H186" s="252">
        <f t="shared" si="30"/>
        <v>0.42814999999999998</v>
      </c>
      <c r="I186" s="253">
        <f t="shared" si="31"/>
        <v>0.32430000000000003</v>
      </c>
    </row>
    <row r="187" spans="1:22" ht="25.5">
      <c r="A187" s="63" t="s">
        <v>1333</v>
      </c>
      <c r="B187" s="64" t="s">
        <v>1334</v>
      </c>
      <c r="C187" s="74" t="s">
        <v>1335</v>
      </c>
      <c r="D187" s="218">
        <v>3</v>
      </c>
      <c r="E187" s="10"/>
      <c r="F187" s="252">
        <f t="shared" si="28"/>
        <v>0.75560999999999989</v>
      </c>
      <c r="G187" s="252">
        <f t="shared" si="29"/>
        <v>0.38156999999999996</v>
      </c>
      <c r="H187" s="252">
        <f t="shared" si="30"/>
        <v>0.25689000000000001</v>
      </c>
      <c r="I187" s="253">
        <f t="shared" si="31"/>
        <v>0.19458</v>
      </c>
      <c r="N187" s="10"/>
      <c r="O187" s="10"/>
      <c r="P187" s="10"/>
      <c r="Q187" s="10"/>
      <c r="R187" s="10"/>
      <c r="S187" s="10"/>
      <c r="T187" s="10"/>
      <c r="U187" s="10"/>
      <c r="V187" s="10"/>
    </row>
    <row r="188" spans="1:22" ht="25.5">
      <c r="A188" s="63" t="s">
        <v>1336</v>
      </c>
      <c r="B188" s="64" t="s">
        <v>1337</v>
      </c>
      <c r="C188" s="74" t="s">
        <v>1338</v>
      </c>
      <c r="D188" s="218">
        <v>6</v>
      </c>
      <c r="E188" s="10"/>
      <c r="F188" s="252">
        <f t="shared" si="28"/>
        <v>1.5112199999999998</v>
      </c>
      <c r="G188" s="252">
        <f t="shared" si="29"/>
        <v>0.76313999999999993</v>
      </c>
      <c r="H188" s="252">
        <f t="shared" si="30"/>
        <v>0.51378000000000001</v>
      </c>
      <c r="I188" s="253">
        <f t="shared" si="31"/>
        <v>0.38916000000000001</v>
      </c>
      <c r="N188" s="10"/>
      <c r="O188" s="10"/>
      <c r="P188" s="10"/>
      <c r="Q188" s="10"/>
      <c r="R188" s="10"/>
      <c r="S188" s="10"/>
      <c r="T188" s="10"/>
      <c r="U188" s="10"/>
      <c r="V188" s="10"/>
    </row>
    <row r="189" spans="1:22" ht="25.5">
      <c r="A189" s="63" t="s">
        <v>1339</v>
      </c>
      <c r="B189" s="64" t="s">
        <v>1340</v>
      </c>
      <c r="C189" s="74" t="s">
        <v>1341</v>
      </c>
      <c r="D189" s="218">
        <v>6</v>
      </c>
      <c r="E189" s="10"/>
      <c r="F189" s="252">
        <f t="shared" si="28"/>
        <v>1.5112199999999998</v>
      </c>
      <c r="G189" s="252">
        <f t="shared" si="29"/>
        <v>0.76313999999999993</v>
      </c>
      <c r="H189" s="252">
        <f t="shared" si="30"/>
        <v>0.51378000000000001</v>
      </c>
      <c r="I189" s="253">
        <f t="shared" si="31"/>
        <v>0.38916000000000001</v>
      </c>
      <c r="N189" s="10"/>
      <c r="O189" s="10"/>
      <c r="P189" s="10"/>
      <c r="Q189" s="10"/>
      <c r="R189" s="10"/>
      <c r="S189" s="10"/>
      <c r="T189" s="10"/>
      <c r="U189" s="10"/>
      <c r="V189" s="10"/>
    </row>
    <row r="190" spans="1:22" ht="25.5">
      <c r="A190" s="64" t="s">
        <v>1342</v>
      </c>
      <c r="B190" s="64" t="s">
        <v>1343</v>
      </c>
      <c r="C190" s="74" t="s">
        <v>1344</v>
      </c>
      <c r="D190" s="218">
        <v>2</v>
      </c>
      <c r="E190" s="10"/>
      <c r="F190" s="252">
        <f t="shared" si="28"/>
        <v>0.50373999999999997</v>
      </c>
      <c r="G190" s="252">
        <f t="shared" si="29"/>
        <v>0.25438</v>
      </c>
      <c r="H190" s="252">
        <f t="shared" si="30"/>
        <v>0.17126</v>
      </c>
      <c r="I190" s="253">
        <f t="shared" si="31"/>
        <v>0.12972</v>
      </c>
      <c r="N190" s="10"/>
      <c r="O190" s="10"/>
      <c r="P190" s="10"/>
      <c r="Q190" s="10"/>
      <c r="R190" s="10"/>
      <c r="S190" s="10"/>
      <c r="T190" s="10"/>
      <c r="U190" s="10"/>
      <c r="V190" s="10"/>
    </row>
    <row r="191" spans="1:22" ht="25.5">
      <c r="A191" s="63" t="s">
        <v>1345</v>
      </c>
      <c r="B191" s="64" t="s">
        <v>1346</v>
      </c>
      <c r="C191" s="74" t="s">
        <v>1347</v>
      </c>
      <c r="D191" s="218">
        <v>2</v>
      </c>
      <c r="E191" s="10"/>
      <c r="F191" s="252">
        <f t="shared" si="28"/>
        <v>0.50373999999999997</v>
      </c>
      <c r="G191" s="252">
        <f t="shared" si="29"/>
        <v>0.25438</v>
      </c>
      <c r="H191" s="252">
        <f t="shared" si="30"/>
        <v>0.17126</v>
      </c>
      <c r="I191" s="253">
        <f t="shared" si="31"/>
        <v>0.12972</v>
      </c>
      <c r="N191" s="10"/>
      <c r="O191" s="10"/>
      <c r="P191" s="10"/>
      <c r="Q191" s="10"/>
      <c r="R191" s="10"/>
      <c r="S191" s="10"/>
      <c r="T191" s="10"/>
      <c r="U191" s="10"/>
      <c r="V191" s="10"/>
    </row>
    <row r="192" spans="1:22" ht="25.5">
      <c r="A192" s="63" t="s">
        <v>1348</v>
      </c>
      <c r="B192" s="64" t="s">
        <v>1349</v>
      </c>
      <c r="C192" s="74" t="s">
        <v>1350</v>
      </c>
      <c r="D192" s="218">
        <v>2</v>
      </c>
      <c r="E192" s="10"/>
      <c r="F192" s="252">
        <f t="shared" si="28"/>
        <v>0.50373999999999997</v>
      </c>
      <c r="G192" s="252">
        <f t="shared" si="29"/>
        <v>0.25438</v>
      </c>
      <c r="H192" s="252">
        <f t="shared" si="30"/>
        <v>0.17126</v>
      </c>
      <c r="I192" s="253">
        <f t="shared" si="31"/>
        <v>0.12972</v>
      </c>
      <c r="N192" s="10"/>
      <c r="O192" s="10"/>
      <c r="P192" s="10"/>
      <c r="Q192" s="10"/>
      <c r="R192" s="10"/>
      <c r="S192" s="10"/>
      <c r="T192" s="10"/>
      <c r="U192" s="10"/>
      <c r="V192" s="10"/>
    </row>
    <row r="193" spans="1:22">
      <c r="A193" s="63" t="s">
        <v>1351</v>
      </c>
      <c r="B193" s="64" t="s">
        <v>1352</v>
      </c>
      <c r="C193" s="74" t="s">
        <v>1353</v>
      </c>
      <c r="D193" s="218">
        <v>5</v>
      </c>
      <c r="E193" s="10"/>
      <c r="F193" s="252">
        <f t="shared" si="28"/>
        <v>1.25935</v>
      </c>
      <c r="G193" s="252">
        <f t="shared" si="29"/>
        <v>0.63595000000000002</v>
      </c>
      <c r="H193" s="252">
        <f t="shared" si="30"/>
        <v>0.42814999999999998</v>
      </c>
      <c r="I193" s="253">
        <f t="shared" si="31"/>
        <v>0.32430000000000003</v>
      </c>
      <c r="N193" s="10"/>
      <c r="O193" s="10"/>
      <c r="P193" s="10"/>
      <c r="Q193" s="10"/>
      <c r="R193" s="10"/>
      <c r="S193" s="10"/>
      <c r="T193" s="10"/>
      <c r="U193" s="10"/>
      <c r="V193" s="10"/>
    </row>
    <row r="194" spans="1:22">
      <c r="A194" s="109" t="s">
        <v>1354</v>
      </c>
      <c r="B194" s="105" t="s">
        <v>1355</v>
      </c>
      <c r="C194" s="118" t="s">
        <v>1680</v>
      </c>
      <c r="D194" s="219">
        <v>20</v>
      </c>
      <c r="E194" s="10"/>
      <c r="F194" s="256">
        <f t="shared" si="28"/>
        <v>5.0373999999999999</v>
      </c>
      <c r="G194" s="256">
        <f t="shared" si="29"/>
        <v>2.5438000000000001</v>
      </c>
      <c r="H194" s="256">
        <f t="shared" si="30"/>
        <v>1.7125999999999999</v>
      </c>
      <c r="I194" s="248">
        <f t="shared" si="31"/>
        <v>1.2972000000000001</v>
      </c>
      <c r="N194" s="10"/>
      <c r="O194" s="10"/>
      <c r="P194" s="10"/>
      <c r="Q194" s="10"/>
      <c r="R194" s="10"/>
      <c r="S194" s="10"/>
      <c r="T194" s="10"/>
      <c r="U194" s="10"/>
      <c r="V194" s="10"/>
    </row>
    <row r="195" spans="1:22">
      <c r="A195" s="63"/>
      <c r="B195" s="64"/>
      <c r="C195" s="74"/>
      <c r="D195" s="218"/>
      <c r="E195" s="10"/>
      <c r="F195" s="252"/>
      <c r="G195" s="252"/>
      <c r="H195" s="252"/>
      <c r="I195" s="253"/>
      <c r="N195" s="10"/>
      <c r="O195" s="10"/>
      <c r="P195" s="10"/>
      <c r="Q195" s="10"/>
      <c r="R195" s="10"/>
      <c r="S195" s="10"/>
      <c r="T195" s="10"/>
      <c r="U195" s="10"/>
      <c r="V195" s="10"/>
    </row>
    <row r="196" spans="1:22">
      <c r="A196" s="81" t="s">
        <v>1357</v>
      </c>
      <c r="B196" s="60"/>
      <c r="C196" s="62"/>
      <c r="D196" s="217"/>
      <c r="E196" s="10"/>
      <c r="F196" s="254"/>
      <c r="G196" s="254"/>
      <c r="H196" s="254"/>
      <c r="I196" s="255"/>
      <c r="N196" s="10"/>
      <c r="O196" s="10"/>
      <c r="P196" s="10"/>
      <c r="Q196" s="10"/>
      <c r="R196" s="10"/>
      <c r="S196" s="10"/>
      <c r="T196" s="10"/>
      <c r="U196" s="10"/>
      <c r="V196" s="10"/>
    </row>
    <row r="197" spans="1:22">
      <c r="A197" s="72" t="s">
        <v>1358</v>
      </c>
      <c r="B197" s="72" t="s">
        <v>1358</v>
      </c>
      <c r="C197" s="66" t="s">
        <v>1359</v>
      </c>
      <c r="D197" s="218">
        <v>23</v>
      </c>
      <c r="E197" s="10"/>
      <c r="F197" s="252">
        <f t="shared" si="28"/>
        <v>5.7930099999999998</v>
      </c>
      <c r="G197" s="252">
        <f t="shared" si="29"/>
        <v>2.92537</v>
      </c>
      <c r="H197" s="252">
        <f t="shared" si="30"/>
        <v>1.96949</v>
      </c>
      <c r="I197" s="253">
        <f t="shared" si="31"/>
        <v>1.4917800000000001</v>
      </c>
      <c r="N197" s="10"/>
      <c r="O197" s="10"/>
      <c r="P197" s="10"/>
      <c r="Q197" s="10"/>
      <c r="R197" s="10"/>
      <c r="S197" s="10"/>
      <c r="T197" s="10"/>
      <c r="U197" s="10"/>
      <c r="V197" s="10"/>
    </row>
    <row r="198" spans="1:22">
      <c r="A198" s="72" t="s">
        <v>1360</v>
      </c>
      <c r="B198" s="72" t="s">
        <v>1360</v>
      </c>
      <c r="C198" s="66" t="s">
        <v>1361</v>
      </c>
      <c r="D198" s="218">
        <v>10</v>
      </c>
      <c r="E198" s="10"/>
      <c r="F198" s="252">
        <f t="shared" si="28"/>
        <v>2.5186999999999999</v>
      </c>
      <c r="G198" s="252">
        <f t="shared" si="29"/>
        <v>1.2719</v>
      </c>
      <c r="H198" s="252">
        <f t="shared" si="30"/>
        <v>0.85629999999999995</v>
      </c>
      <c r="I198" s="253">
        <f t="shared" si="31"/>
        <v>0.64860000000000007</v>
      </c>
      <c r="N198" s="10"/>
      <c r="O198" s="10"/>
      <c r="P198" s="10"/>
      <c r="Q198" s="10"/>
      <c r="R198" s="10"/>
      <c r="S198" s="10"/>
      <c r="T198" s="10"/>
      <c r="U198" s="10"/>
      <c r="V198" s="10"/>
    </row>
    <row r="199" spans="1:22">
      <c r="A199" s="72" t="s">
        <v>1362</v>
      </c>
      <c r="B199" s="72" t="s">
        <v>1362</v>
      </c>
      <c r="C199" s="66" t="s">
        <v>1363</v>
      </c>
      <c r="D199" s="218">
        <v>2</v>
      </c>
      <c r="E199" s="10"/>
      <c r="F199" s="252">
        <f t="shared" si="28"/>
        <v>0.50373999999999997</v>
      </c>
      <c r="G199" s="252">
        <f t="shared" si="29"/>
        <v>0.25438</v>
      </c>
      <c r="H199" s="252">
        <f t="shared" si="30"/>
        <v>0.17126</v>
      </c>
      <c r="I199" s="253">
        <f t="shared" si="31"/>
        <v>0.12972</v>
      </c>
      <c r="N199" s="10"/>
      <c r="O199" s="10"/>
      <c r="P199" s="10"/>
      <c r="Q199" s="10"/>
      <c r="R199" s="10"/>
      <c r="S199" s="10"/>
      <c r="T199" s="10"/>
      <c r="U199" s="10"/>
      <c r="V199" s="10"/>
    </row>
    <row r="200" spans="1:22">
      <c r="A200" s="72"/>
      <c r="B200" s="72"/>
      <c r="C200" s="66"/>
      <c r="D200" s="218"/>
      <c r="E200" s="10"/>
      <c r="F200" s="252"/>
      <c r="G200" s="252"/>
      <c r="H200" s="252"/>
      <c r="I200" s="253"/>
      <c r="N200" s="10"/>
      <c r="O200" s="10"/>
      <c r="P200" s="10"/>
      <c r="Q200" s="10"/>
      <c r="R200" s="10"/>
      <c r="S200" s="10"/>
      <c r="T200" s="10"/>
      <c r="U200" s="10"/>
      <c r="V200" s="10"/>
    </row>
    <row r="201" spans="1:22">
      <c r="A201" s="81" t="s">
        <v>1364</v>
      </c>
      <c r="B201" s="60"/>
      <c r="C201" s="62"/>
      <c r="D201" s="217"/>
      <c r="E201" s="10"/>
      <c r="F201" s="254"/>
      <c r="G201" s="254"/>
      <c r="H201" s="254"/>
      <c r="I201" s="255"/>
      <c r="N201" s="10"/>
      <c r="O201" s="10"/>
      <c r="P201" s="10"/>
      <c r="Q201" s="10"/>
      <c r="R201" s="10"/>
      <c r="S201" s="10"/>
      <c r="T201" s="10"/>
      <c r="U201" s="10"/>
      <c r="V201" s="10"/>
    </row>
    <row r="202" spans="1:22">
      <c r="A202" s="72" t="s">
        <v>1365</v>
      </c>
      <c r="B202" s="72" t="s">
        <v>1366</v>
      </c>
      <c r="C202" s="66" t="s">
        <v>1367</v>
      </c>
      <c r="D202" s="218">
        <v>75</v>
      </c>
      <c r="E202" s="10"/>
      <c r="F202" s="252">
        <f t="shared" si="28"/>
        <v>18.890249999999998</v>
      </c>
      <c r="G202" s="252">
        <f t="shared" si="29"/>
        <v>9.5392499999999991</v>
      </c>
      <c r="H202" s="252">
        <f t="shared" si="30"/>
        <v>6.42225</v>
      </c>
      <c r="I202" s="253">
        <f t="shared" si="31"/>
        <v>4.8645000000000005</v>
      </c>
      <c r="N202" s="10"/>
      <c r="O202" s="10"/>
      <c r="P202" s="10"/>
      <c r="Q202" s="10"/>
      <c r="R202" s="10"/>
      <c r="S202" s="10"/>
      <c r="T202" s="10"/>
      <c r="U202" s="10"/>
      <c r="V202" s="10"/>
    </row>
    <row r="203" spans="1:22">
      <c r="A203" s="72" t="s">
        <v>1368</v>
      </c>
      <c r="B203" s="72" t="s">
        <v>1369</v>
      </c>
      <c r="C203" s="66" t="s">
        <v>1370</v>
      </c>
      <c r="D203" s="218">
        <v>36</v>
      </c>
      <c r="E203" s="10"/>
      <c r="F203" s="252">
        <f t="shared" si="28"/>
        <v>9.0673199999999987</v>
      </c>
      <c r="G203" s="252">
        <f t="shared" si="29"/>
        <v>4.5788399999999996</v>
      </c>
      <c r="H203" s="252">
        <f t="shared" si="30"/>
        <v>3.0826799999999999</v>
      </c>
      <c r="I203" s="253">
        <f t="shared" si="31"/>
        <v>2.3349600000000001</v>
      </c>
      <c r="N203" s="10"/>
      <c r="O203" s="10"/>
      <c r="P203" s="10"/>
      <c r="Q203" s="10"/>
      <c r="R203" s="10"/>
      <c r="S203" s="10"/>
      <c r="T203" s="10"/>
      <c r="U203" s="10"/>
      <c r="V203" s="10"/>
    </row>
    <row r="204" spans="1:22">
      <c r="A204" s="72" t="s">
        <v>1371</v>
      </c>
      <c r="B204" s="72" t="s">
        <v>1372</v>
      </c>
      <c r="C204" s="66" t="s">
        <v>1373</v>
      </c>
      <c r="D204" s="218">
        <v>75</v>
      </c>
      <c r="E204" s="10"/>
      <c r="F204" s="252">
        <f t="shared" si="28"/>
        <v>18.890249999999998</v>
      </c>
      <c r="G204" s="252">
        <f t="shared" si="29"/>
        <v>9.5392499999999991</v>
      </c>
      <c r="H204" s="252">
        <f t="shared" si="30"/>
        <v>6.42225</v>
      </c>
      <c r="I204" s="253">
        <f t="shared" si="31"/>
        <v>4.8645000000000005</v>
      </c>
      <c r="N204" s="10"/>
      <c r="O204" s="10"/>
      <c r="P204" s="10"/>
      <c r="Q204" s="10"/>
      <c r="R204" s="10"/>
      <c r="S204" s="10"/>
      <c r="T204" s="10"/>
      <c r="U204" s="10"/>
      <c r="V204" s="10"/>
    </row>
    <row r="205" spans="1:22">
      <c r="A205" s="72" t="s">
        <v>1374</v>
      </c>
      <c r="B205" s="72" t="s">
        <v>1375</v>
      </c>
      <c r="C205" s="66" t="s">
        <v>1376</v>
      </c>
      <c r="D205" s="218">
        <v>36</v>
      </c>
      <c r="E205" s="10"/>
      <c r="F205" s="252">
        <f t="shared" si="28"/>
        <v>9.0673199999999987</v>
      </c>
      <c r="G205" s="252">
        <f t="shared" si="29"/>
        <v>4.5788399999999996</v>
      </c>
      <c r="H205" s="252">
        <f t="shared" si="30"/>
        <v>3.0826799999999999</v>
      </c>
      <c r="I205" s="253">
        <f t="shared" si="31"/>
        <v>2.3349600000000001</v>
      </c>
      <c r="N205" s="10"/>
      <c r="O205" s="10"/>
      <c r="P205" s="10"/>
      <c r="Q205" s="10"/>
      <c r="R205" s="10"/>
      <c r="S205" s="10"/>
      <c r="T205" s="10"/>
      <c r="U205" s="10"/>
      <c r="V205" s="10"/>
    </row>
    <row r="206" spans="1:22">
      <c r="A206" s="72"/>
      <c r="B206" s="72"/>
      <c r="C206" s="66"/>
      <c r="D206" s="218"/>
      <c r="E206" s="10"/>
      <c r="F206" s="252"/>
      <c r="G206" s="252"/>
      <c r="H206" s="252"/>
      <c r="I206" s="253"/>
      <c r="N206" s="10"/>
      <c r="O206" s="10"/>
      <c r="P206" s="10"/>
      <c r="Q206" s="10"/>
      <c r="R206" s="10"/>
      <c r="S206" s="10"/>
      <c r="T206" s="10"/>
      <c r="U206" s="10"/>
      <c r="V206" s="10"/>
    </row>
    <row r="207" spans="1:22">
      <c r="A207" s="81" t="s">
        <v>1377</v>
      </c>
      <c r="B207" s="60"/>
      <c r="C207" s="62"/>
      <c r="D207" s="217"/>
      <c r="E207" s="10"/>
      <c r="F207" s="254"/>
      <c r="G207" s="254"/>
      <c r="H207" s="254"/>
      <c r="I207" s="255"/>
      <c r="N207" s="10"/>
      <c r="O207" s="10"/>
      <c r="P207" s="10"/>
      <c r="Q207" s="10"/>
      <c r="R207" s="10"/>
      <c r="S207" s="10"/>
      <c r="T207" s="10"/>
      <c r="U207" s="10"/>
      <c r="V207" s="10"/>
    </row>
    <row r="208" spans="1:22">
      <c r="A208" s="72" t="s">
        <v>1669</v>
      </c>
      <c r="B208" s="72" t="s">
        <v>1670</v>
      </c>
      <c r="C208" s="66" t="s">
        <v>1671</v>
      </c>
      <c r="D208" s="219">
        <v>8</v>
      </c>
      <c r="E208" s="10"/>
      <c r="F208" s="252">
        <f t="shared" ref="F208:F213" si="32">D208*$F$11</f>
        <v>2.0149599999999999</v>
      </c>
      <c r="G208" s="252">
        <f t="shared" ref="G208:G213" si="33">D208*$G$11</f>
        <v>1.01752</v>
      </c>
      <c r="H208" s="252">
        <f t="shared" ref="H208:H213" si="34">D208*$H$11</f>
        <v>0.68503999999999998</v>
      </c>
      <c r="I208" s="253">
        <f t="shared" ref="I208:I213" si="35">D208*$I$11</f>
        <v>0.51888000000000001</v>
      </c>
      <c r="N208" s="10"/>
      <c r="O208" s="10"/>
      <c r="P208" s="10"/>
      <c r="Q208" s="10"/>
      <c r="R208" s="10"/>
      <c r="S208" s="10"/>
      <c r="T208" s="10"/>
      <c r="U208" s="10"/>
      <c r="V208" s="10"/>
    </row>
    <row r="209" spans="1:22">
      <c r="A209" s="72" t="s">
        <v>1378</v>
      </c>
      <c r="B209" s="72" t="s">
        <v>1378</v>
      </c>
      <c r="C209" s="66" t="s">
        <v>1379</v>
      </c>
      <c r="D209" s="219">
        <v>6</v>
      </c>
      <c r="E209" s="10"/>
      <c r="F209" s="252">
        <f t="shared" si="32"/>
        <v>1.5112199999999998</v>
      </c>
      <c r="G209" s="252">
        <f t="shared" si="33"/>
        <v>0.76313999999999993</v>
      </c>
      <c r="H209" s="252">
        <f t="shared" si="34"/>
        <v>0.51378000000000001</v>
      </c>
      <c r="I209" s="253">
        <f t="shared" si="35"/>
        <v>0.38916000000000001</v>
      </c>
      <c r="N209" s="10"/>
      <c r="O209" s="10"/>
      <c r="P209" s="10"/>
      <c r="Q209" s="10"/>
      <c r="R209" s="10"/>
      <c r="S209" s="10"/>
      <c r="T209" s="10"/>
      <c r="U209" s="10"/>
      <c r="V209" s="10"/>
    </row>
    <row r="210" spans="1:22">
      <c r="A210" s="72" t="s">
        <v>1672</v>
      </c>
      <c r="B210" s="72" t="s">
        <v>1673</v>
      </c>
      <c r="C210" s="66" t="s">
        <v>1674</v>
      </c>
      <c r="D210" s="219">
        <v>18</v>
      </c>
      <c r="E210" s="10"/>
      <c r="F210" s="252">
        <f t="shared" si="32"/>
        <v>4.5336599999999994</v>
      </c>
      <c r="G210" s="252">
        <f t="shared" si="33"/>
        <v>2.2894199999999998</v>
      </c>
      <c r="H210" s="252">
        <f t="shared" si="34"/>
        <v>1.5413399999999999</v>
      </c>
      <c r="I210" s="253">
        <f t="shared" si="35"/>
        <v>1.1674800000000001</v>
      </c>
      <c r="N210" s="10"/>
      <c r="O210" s="10"/>
      <c r="P210" s="10"/>
      <c r="Q210" s="10"/>
      <c r="R210" s="10"/>
      <c r="S210" s="10"/>
      <c r="T210" s="10"/>
      <c r="U210" s="10"/>
      <c r="V210" s="10"/>
    </row>
    <row r="211" spans="1:22">
      <c r="A211" s="72" t="s">
        <v>1380</v>
      </c>
      <c r="B211" s="72" t="s">
        <v>1675</v>
      </c>
      <c r="C211" s="66" t="s">
        <v>1676</v>
      </c>
      <c r="D211" s="219">
        <v>8</v>
      </c>
      <c r="E211" s="10"/>
      <c r="F211" s="252">
        <f t="shared" si="32"/>
        <v>2.0149599999999999</v>
      </c>
      <c r="G211" s="252">
        <f t="shared" si="33"/>
        <v>1.01752</v>
      </c>
      <c r="H211" s="252">
        <f t="shared" si="34"/>
        <v>0.68503999999999998</v>
      </c>
      <c r="I211" s="253">
        <f t="shared" si="35"/>
        <v>0.51888000000000001</v>
      </c>
      <c r="N211" s="10"/>
      <c r="O211" s="10"/>
      <c r="P211" s="10"/>
      <c r="Q211" s="10"/>
      <c r="R211" s="10"/>
      <c r="S211" s="10"/>
      <c r="T211" s="10"/>
      <c r="U211" s="10"/>
      <c r="V211" s="10"/>
    </row>
    <row r="212" spans="1:22">
      <c r="A212" s="72" t="s">
        <v>1381</v>
      </c>
      <c r="B212" s="72" t="s">
        <v>1382</v>
      </c>
      <c r="C212" s="66" t="s">
        <v>1383</v>
      </c>
      <c r="D212" s="219">
        <v>4</v>
      </c>
      <c r="E212" s="10"/>
      <c r="F212" s="252">
        <f t="shared" si="32"/>
        <v>1.0074799999999999</v>
      </c>
      <c r="G212" s="252">
        <f t="shared" si="33"/>
        <v>0.50875999999999999</v>
      </c>
      <c r="H212" s="252">
        <f t="shared" si="34"/>
        <v>0.34251999999999999</v>
      </c>
      <c r="I212" s="253">
        <f t="shared" si="35"/>
        <v>0.25944</v>
      </c>
      <c r="N212" s="10"/>
      <c r="O212" s="10"/>
      <c r="P212" s="10"/>
      <c r="Q212" s="10"/>
      <c r="R212" s="10"/>
      <c r="S212" s="10"/>
      <c r="T212" s="10"/>
      <c r="U212" s="10"/>
      <c r="V212" s="10"/>
    </row>
    <row r="213" spans="1:22">
      <c r="A213" s="72" t="s">
        <v>1384</v>
      </c>
      <c r="B213" s="72" t="s">
        <v>1385</v>
      </c>
      <c r="C213" s="66" t="s">
        <v>1386</v>
      </c>
      <c r="D213" s="219">
        <v>4</v>
      </c>
      <c r="E213" s="10"/>
      <c r="F213" s="252">
        <f t="shared" si="32"/>
        <v>1.0074799999999999</v>
      </c>
      <c r="G213" s="252">
        <f t="shared" si="33"/>
        <v>0.50875999999999999</v>
      </c>
      <c r="H213" s="252">
        <f t="shared" si="34"/>
        <v>0.34251999999999999</v>
      </c>
      <c r="I213" s="253">
        <f t="shared" si="35"/>
        <v>0.25944</v>
      </c>
      <c r="N213" s="10"/>
      <c r="O213" s="10"/>
      <c r="P213" s="10"/>
      <c r="Q213" s="10"/>
      <c r="R213" s="10"/>
      <c r="S213" s="10"/>
      <c r="T213" s="10"/>
      <c r="U213" s="10"/>
      <c r="V213" s="10"/>
    </row>
    <row r="214" spans="1:22">
      <c r="A214" s="72" t="s">
        <v>1387</v>
      </c>
      <c r="B214" s="72" t="s">
        <v>1388</v>
      </c>
      <c r="C214" s="66" t="s">
        <v>1389</v>
      </c>
      <c r="D214" s="219">
        <v>4</v>
      </c>
      <c r="E214" s="10"/>
      <c r="F214" s="252">
        <f t="shared" ref="F214:F266" si="36">D214*$F$11</f>
        <v>1.0074799999999999</v>
      </c>
      <c r="G214" s="252">
        <f t="shared" ref="G214:G266" si="37">D214*$G$11</f>
        <v>0.50875999999999999</v>
      </c>
      <c r="H214" s="252">
        <f t="shared" ref="H214:H266" si="38">D214*$H$11</f>
        <v>0.34251999999999999</v>
      </c>
      <c r="I214" s="253">
        <f t="shared" ref="I214:I266" si="39">D214*$I$11</f>
        <v>0.25944</v>
      </c>
      <c r="N214" s="10"/>
      <c r="O214" s="10"/>
      <c r="P214" s="10"/>
      <c r="Q214" s="10"/>
      <c r="R214" s="10"/>
      <c r="S214" s="10"/>
      <c r="T214" s="10"/>
      <c r="U214" s="10"/>
      <c r="V214" s="10"/>
    </row>
    <row r="215" spans="1:22">
      <c r="A215" s="72" t="s">
        <v>1390</v>
      </c>
      <c r="B215" s="72" t="s">
        <v>1391</v>
      </c>
      <c r="C215" s="66" t="s">
        <v>1392</v>
      </c>
      <c r="D215" s="219">
        <v>4</v>
      </c>
      <c r="E215" s="10"/>
      <c r="F215" s="252">
        <f t="shared" si="36"/>
        <v>1.0074799999999999</v>
      </c>
      <c r="G215" s="252">
        <f t="shared" si="37"/>
        <v>0.50875999999999999</v>
      </c>
      <c r="H215" s="252">
        <f t="shared" si="38"/>
        <v>0.34251999999999999</v>
      </c>
      <c r="I215" s="253">
        <f t="shared" si="39"/>
        <v>0.25944</v>
      </c>
      <c r="N215" s="10"/>
      <c r="O215" s="10"/>
      <c r="P215" s="10"/>
      <c r="Q215" s="10"/>
      <c r="R215" s="10"/>
      <c r="S215" s="10"/>
      <c r="T215" s="10"/>
      <c r="U215" s="10"/>
      <c r="V215" s="10"/>
    </row>
    <row r="216" spans="1:22">
      <c r="A216" s="72" t="s">
        <v>1677</v>
      </c>
      <c r="B216" s="72" t="s">
        <v>1678</v>
      </c>
      <c r="C216" s="66" t="s">
        <v>1679</v>
      </c>
      <c r="D216" s="219">
        <v>10</v>
      </c>
      <c r="E216" s="10"/>
      <c r="F216" s="252">
        <f t="shared" si="36"/>
        <v>2.5186999999999999</v>
      </c>
      <c r="G216" s="252">
        <f t="shared" si="37"/>
        <v>1.2719</v>
      </c>
      <c r="H216" s="252">
        <f t="shared" si="38"/>
        <v>0.85629999999999995</v>
      </c>
      <c r="I216" s="253">
        <f t="shared" si="39"/>
        <v>0.64860000000000007</v>
      </c>
      <c r="N216" s="10"/>
      <c r="O216" s="10"/>
      <c r="P216" s="10"/>
      <c r="Q216" s="10"/>
      <c r="R216" s="10"/>
      <c r="S216" s="10"/>
      <c r="T216" s="10"/>
      <c r="U216" s="10"/>
      <c r="V216" s="10"/>
    </row>
    <row r="217" spans="1:22">
      <c r="A217" s="72" t="s">
        <v>1393</v>
      </c>
      <c r="B217" s="72" t="s">
        <v>1394</v>
      </c>
      <c r="C217" s="66" t="s">
        <v>1395</v>
      </c>
      <c r="D217" s="219">
        <v>4</v>
      </c>
      <c r="E217" s="10"/>
      <c r="F217" s="252">
        <f t="shared" si="36"/>
        <v>1.0074799999999999</v>
      </c>
      <c r="G217" s="252">
        <f t="shared" si="37"/>
        <v>0.50875999999999999</v>
      </c>
      <c r="H217" s="252">
        <f t="shared" si="38"/>
        <v>0.34251999999999999</v>
      </c>
      <c r="I217" s="253">
        <f t="shared" si="39"/>
        <v>0.25944</v>
      </c>
      <c r="N217" s="10"/>
      <c r="O217" s="10"/>
      <c r="P217" s="10"/>
      <c r="Q217" s="10"/>
      <c r="R217" s="10"/>
      <c r="S217" s="10"/>
      <c r="T217" s="10"/>
      <c r="U217" s="10"/>
      <c r="V217" s="10"/>
    </row>
    <row r="218" spans="1:22">
      <c r="A218" s="72" t="s">
        <v>1665</v>
      </c>
      <c r="B218" s="72" t="s">
        <v>1664</v>
      </c>
      <c r="C218" s="66" t="s">
        <v>1683</v>
      </c>
      <c r="D218" s="219">
        <v>18</v>
      </c>
      <c r="E218" s="10"/>
      <c r="F218" s="252">
        <f t="shared" si="36"/>
        <v>4.5336599999999994</v>
      </c>
      <c r="G218" s="252">
        <f t="shared" si="37"/>
        <v>2.2894199999999998</v>
      </c>
      <c r="H218" s="252">
        <f t="shared" si="38"/>
        <v>1.5413399999999999</v>
      </c>
      <c r="I218" s="253">
        <f t="shared" si="39"/>
        <v>1.1674800000000001</v>
      </c>
      <c r="N218" s="10"/>
      <c r="O218" s="10"/>
      <c r="P218" s="10"/>
      <c r="Q218" s="10"/>
      <c r="R218" s="10"/>
      <c r="S218" s="10"/>
      <c r="T218" s="10"/>
      <c r="U218" s="10"/>
      <c r="V218" s="10"/>
    </row>
    <row r="219" spans="1:22">
      <c r="A219" s="72"/>
      <c r="B219" s="72"/>
      <c r="C219" s="72"/>
      <c r="D219" s="222"/>
      <c r="E219" s="10"/>
      <c r="F219" s="261"/>
      <c r="G219" s="261"/>
      <c r="H219" s="261"/>
      <c r="I219" s="249"/>
      <c r="N219" s="10"/>
      <c r="O219" s="10"/>
      <c r="P219" s="10"/>
      <c r="Q219" s="10"/>
      <c r="R219" s="10"/>
      <c r="S219" s="10"/>
      <c r="T219" s="10"/>
      <c r="U219" s="10"/>
      <c r="V219" s="10"/>
    </row>
    <row r="220" spans="1:22">
      <c r="A220" s="81" t="s">
        <v>1396</v>
      </c>
      <c r="B220" s="60"/>
      <c r="C220" s="62"/>
      <c r="D220" s="217"/>
      <c r="E220" s="10"/>
      <c r="F220" s="254"/>
      <c r="G220" s="254"/>
      <c r="H220" s="254"/>
      <c r="I220" s="255"/>
      <c r="N220" s="10"/>
      <c r="O220" s="10"/>
      <c r="P220" s="10"/>
      <c r="Q220" s="10"/>
      <c r="R220" s="10"/>
      <c r="S220" s="10"/>
      <c r="T220" s="10"/>
      <c r="U220" s="10"/>
      <c r="V220" s="10"/>
    </row>
    <row r="221" spans="1:22" ht="25.5">
      <c r="A221" s="64" t="s">
        <v>1397</v>
      </c>
      <c r="B221" s="64" t="s">
        <v>1398</v>
      </c>
      <c r="C221" s="74" t="s">
        <v>1399</v>
      </c>
      <c r="D221" s="223">
        <v>69</v>
      </c>
      <c r="E221" s="10"/>
      <c r="F221" s="262">
        <f t="shared" si="36"/>
        <v>17.37903</v>
      </c>
      <c r="G221" s="262">
        <f t="shared" si="37"/>
        <v>8.7761099999999992</v>
      </c>
      <c r="H221" s="262">
        <f t="shared" si="38"/>
        <v>5.9084699999999994</v>
      </c>
      <c r="I221" s="263">
        <f t="shared" si="39"/>
        <v>4.4753400000000001</v>
      </c>
      <c r="N221" s="10"/>
      <c r="O221" s="10"/>
      <c r="P221" s="10"/>
      <c r="Q221" s="10"/>
      <c r="R221" s="10"/>
      <c r="S221" s="10"/>
      <c r="T221" s="10"/>
      <c r="U221" s="10"/>
      <c r="V221" s="10"/>
    </row>
    <row r="222" spans="1:22" ht="25.5">
      <c r="A222" s="64" t="s">
        <v>1397</v>
      </c>
      <c r="B222" s="64" t="s">
        <v>1400</v>
      </c>
      <c r="C222" s="74" t="s">
        <v>1401</v>
      </c>
      <c r="D222" s="223">
        <v>62</v>
      </c>
      <c r="E222" s="10"/>
      <c r="F222" s="262">
        <f t="shared" si="36"/>
        <v>15.615939999999998</v>
      </c>
      <c r="G222" s="262">
        <f t="shared" si="37"/>
        <v>7.8857799999999996</v>
      </c>
      <c r="H222" s="262">
        <f t="shared" si="38"/>
        <v>5.3090599999999997</v>
      </c>
      <c r="I222" s="263">
        <f t="shared" si="39"/>
        <v>4.0213200000000002</v>
      </c>
      <c r="N222" s="10"/>
      <c r="O222" s="10"/>
      <c r="P222" s="10"/>
      <c r="Q222" s="10"/>
      <c r="R222" s="10"/>
      <c r="S222" s="10"/>
      <c r="T222" s="10"/>
      <c r="U222" s="10"/>
      <c r="V222" s="10"/>
    </row>
    <row r="223" spans="1:22" ht="25.5">
      <c r="A223" s="64" t="s">
        <v>1402</v>
      </c>
      <c r="B223" s="64" t="s">
        <v>1403</v>
      </c>
      <c r="C223" s="74" t="s">
        <v>1404</v>
      </c>
      <c r="D223" s="224">
        <v>48</v>
      </c>
      <c r="E223" s="10"/>
      <c r="F223" s="264">
        <f t="shared" si="36"/>
        <v>12.089759999999998</v>
      </c>
      <c r="G223" s="264">
        <f t="shared" si="37"/>
        <v>6.1051199999999994</v>
      </c>
      <c r="H223" s="264">
        <f t="shared" si="38"/>
        <v>4.1102400000000001</v>
      </c>
      <c r="I223" s="265">
        <f t="shared" si="39"/>
        <v>3.11328</v>
      </c>
      <c r="N223" s="10"/>
      <c r="O223" s="10"/>
      <c r="P223" s="10"/>
      <c r="Q223" s="10"/>
      <c r="R223" s="10"/>
      <c r="S223" s="10"/>
      <c r="T223" s="10"/>
      <c r="U223" s="10"/>
      <c r="V223" s="10"/>
    </row>
    <row r="224" spans="1:22">
      <c r="A224" s="85"/>
      <c r="B224" s="85"/>
      <c r="C224" s="66"/>
      <c r="D224" s="218"/>
      <c r="E224" s="10"/>
      <c r="F224" s="252"/>
      <c r="G224" s="252"/>
      <c r="H224" s="252"/>
      <c r="I224" s="253"/>
      <c r="N224" s="10"/>
      <c r="O224" s="10"/>
      <c r="P224" s="10"/>
      <c r="Q224" s="10"/>
      <c r="R224" s="10"/>
      <c r="S224" s="10"/>
      <c r="T224" s="10"/>
      <c r="U224" s="10"/>
      <c r="V224" s="10"/>
    </row>
    <row r="225" spans="1:22">
      <c r="A225" s="81" t="s">
        <v>1405</v>
      </c>
      <c r="B225" s="60"/>
      <c r="C225" s="62"/>
      <c r="D225" s="217"/>
      <c r="E225" s="10"/>
      <c r="F225" s="254"/>
      <c r="G225" s="254"/>
      <c r="H225" s="254"/>
      <c r="I225" s="255"/>
      <c r="N225" s="10"/>
      <c r="O225" s="10"/>
      <c r="P225" s="10"/>
      <c r="Q225" s="10"/>
      <c r="R225" s="10"/>
      <c r="S225" s="10"/>
      <c r="T225" s="10"/>
      <c r="U225" s="10"/>
      <c r="V225" s="10"/>
    </row>
    <row r="226" spans="1:22" ht="25.5">
      <c r="A226" s="105" t="s">
        <v>1406</v>
      </c>
      <c r="B226" s="105" t="s">
        <v>1407</v>
      </c>
      <c r="C226" s="118" t="s">
        <v>1408</v>
      </c>
      <c r="D226" s="225">
        <v>50</v>
      </c>
      <c r="E226" s="10"/>
      <c r="F226" s="266">
        <f t="shared" si="36"/>
        <v>12.593499999999999</v>
      </c>
      <c r="G226" s="266">
        <f t="shared" si="37"/>
        <v>6.3594999999999997</v>
      </c>
      <c r="H226" s="266">
        <f t="shared" si="38"/>
        <v>4.2815000000000003</v>
      </c>
      <c r="I226" s="267">
        <f t="shared" si="39"/>
        <v>3.2429999999999999</v>
      </c>
      <c r="N226" s="10"/>
      <c r="O226" s="10"/>
      <c r="P226" s="10"/>
      <c r="Q226" s="10"/>
      <c r="R226" s="10"/>
      <c r="S226" s="10"/>
      <c r="T226" s="10"/>
      <c r="U226" s="10"/>
      <c r="V226" s="10"/>
    </row>
    <row r="227" spans="1:22">
      <c r="A227" s="105" t="s">
        <v>1409</v>
      </c>
      <c r="B227" s="105" t="s">
        <v>1407</v>
      </c>
      <c r="C227" s="118" t="s">
        <v>1410</v>
      </c>
      <c r="D227" s="225">
        <v>18</v>
      </c>
      <c r="E227" s="10"/>
      <c r="F227" s="266">
        <f t="shared" si="36"/>
        <v>4.5336599999999994</v>
      </c>
      <c r="G227" s="266">
        <f t="shared" si="37"/>
        <v>2.2894199999999998</v>
      </c>
      <c r="H227" s="266">
        <f t="shared" si="38"/>
        <v>1.5413399999999999</v>
      </c>
      <c r="I227" s="267">
        <f t="shared" si="39"/>
        <v>1.1674800000000001</v>
      </c>
      <c r="N227" s="10"/>
      <c r="O227" s="10"/>
      <c r="P227" s="10"/>
      <c r="Q227" s="10"/>
      <c r="R227" s="10"/>
      <c r="S227" s="10"/>
      <c r="T227" s="10"/>
      <c r="U227" s="10"/>
      <c r="V227" s="10"/>
    </row>
    <row r="228" spans="1:22">
      <c r="A228" s="105" t="s">
        <v>1411</v>
      </c>
      <c r="B228" s="105" t="s">
        <v>1407</v>
      </c>
      <c r="C228" s="118" t="s">
        <v>1412</v>
      </c>
      <c r="D228" s="226">
        <v>36</v>
      </c>
      <c r="E228" s="10"/>
      <c r="F228" s="268">
        <f t="shared" si="36"/>
        <v>9.0673199999999987</v>
      </c>
      <c r="G228" s="268">
        <f t="shared" si="37"/>
        <v>4.5788399999999996</v>
      </c>
      <c r="H228" s="268">
        <f t="shared" si="38"/>
        <v>3.0826799999999999</v>
      </c>
      <c r="I228" s="269">
        <f t="shared" si="39"/>
        <v>2.3349600000000001</v>
      </c>
      <c r="N228" s="10"/>
      <c r="O228" s="10"/>
      <c r="P228" s="10"/>
      <c r="Q228" s="10"/>
      <c r="R228" s="10"/>
      <c r="S228" s="10"/>
      <c r="T228" s="10"/>
      <c r="U228" s="10"/>
      <c r="V228" s="10"/>
    </row>
    <row r="229" spans="1:22">
      <c r="A229" s="64"/>
      <c r="B229" s="64"/>
      <c r="C229" s="74"/>
      <c r="D229" s="218"/>
      <c r="E229" s="10"/>
      <c r="F229" s="252"/>
      <c r="G229" s="252"/>
      <c r="H229" s="252"/>
      <c r="I229" s="253"/>
      <c r="N229" s="10"/>
      <c r="O229" s="10"/>
      <c r="P229" s="10"/>
      <c r="Q229" s="10"/>
      <c r="R229" s="10"/>
      <c r="S229" s="10"/>
      <c r="T229" s="10"/>
      <c r="U229" s="10"/>
      <c r="V229" s="10"/>
    </row>
    <row r="230" spans="1:22">
      <c r="A230" s="81" t="s">
        <v>1413</v>
      </c>
      <c r="B230" s="60"/>
      <c r="C230" s="62"/>
      <c r="D230" s="217"/>
      <c r="E230" s="10"/>
      <c r="F230" s="254"/>
      <c r="G230" s="254"/>
      <c r="H230" s="254"/>
      <c r="I230" s="255"/>
      <c r="N230" s="10"/>
      <c r="O230" s="10"/>
      <c r="P230" s="10"/>
      <c r="Q230" s="10"/>
      <c r="R230" s="10"/>
      <c r="S230" s="10"/>
      <c r="T230" s="10"/>
      <c r="U230" s="10"/>
      <c r="V230" s="10"/>
    </row>
    <row r="231" spans="1:22">
      <c r="A231" s="63" t="s">
        <v>1414</v>
      </c>
      <c r="B231" s="64" t="s">
        <v>1407</v>
      </c>
      <c r="C231" s="74" t="s">
        <v>1415</v>
      </c>
      <c r="D231" s="223">
        <v>90</v>
      </c>
      <c r="E231" s="10"/>
      <c r="F231" s="262">
        <f t="shared" si="36"/>
        <v>22.668299999999999</v>
      </c>
      <c r="G231" s="262">
        <f t="shared" si="37"/>
        <v>11.447099999999999</v>
      </c>
      <c r="H231" s="262">
        <f t="shared" si="38"/>
        <v>7.7066999999999997</v>
      </c>
      <c r="I231" s="263">
        <f t="shared" si="39"/>
        <v>5.8373999999999997</v>
      </c>
      <c r="N231" s="10"/>
      <c r="O231" s="10"/>
      <c r="P231" s="10"/>
      <c r="Q231" s="10"/>
      <c r="R231" s="10"/>
      <c r="S231" s="10"/>
      <c r="T231" s="10"/>
      <c r="U231" s="10"/>
      <c r="V231" s="10"/>
    </row>
    <row r="232" spans="1:22">
      <c r="A232" s="64" t="s">
        <v>1416</v>
      </c>
      <c r="B232" s="64" t="s">
        <v>1407</v>
      </c>
      <c r="C232" s="74" t="s">
        <v>1417</v>
      </c>
      <c r="D232" s="223">
        <v>18</v>
      </c>
      <c r="E232" s="10"/>
      <c r="F232" s="262">
        <f t="shared" si="36"/>
        <v>4.5336599999999994</v>
      </c>
      <c r="G232" s="262">
        <f t="shared" si="37"/>
        <v>2.2894199999999998</v>
      </c>
      <c r="H232" s="262">
        <f t="shared" si="38"/>
        <v>1.5413399999999999</v>
      </c>
      <c r="I232" s="263">
        <f t="shared" si="39"/>
        <v>1.1674800000000001</v>
      </c>
      <c r="N232" s="10"/>
      <c r="O232" s="10"/>
      <c r="P232" s="10"/>
      <c r="Q232" s="10"/>
      <c r="R232" s="10"/>
      <c r="S232" s="10"/>
      <c r="T232" s="10"/>
      <c r="U232" s="10"/>
      <c r="V232" s="10"/>
    </row>
    <row r="233" spans="1:22">
      <c r="A233" s="64" t="s">
        <v>1418</v>
      </c>
      <c r="B233" s="64" t="s">
        <v>1407</v>
      </c>
      <c r="C233" s="74" t="s">
        <v>1419</v>
      </c>
      <c r="D233" s="224">
        <v>36</v>
      </c>
      <c r="E233" s="10"/>
      <c r="F233" s="264">
        <f t="shared" si="36"/>
        <v>9.0673199999999987</v>
      </c>
      <c r="G233" s="264">
        <f t="shared" si="37"/>
        <v>4.5788399999999996</v>
      </c>
      <c r="H233" s="264">
        <f t="shared" si="38"/>
        <v>3.0826799999999999</v>
      </c>
      <c r="I233" s="265">
        <f t="shared" si="39"/>
        <v>2.3349600000000001</v>
      </c>
      <c r="N233" s="10"/>
      <c r="O233" s="10"/>
      <c r="P233" s="10"/>
      <c r="Q233" s="10"/>
      <c r="R233" s="10"/>
      <c r="S233" s="10"/>
      <c r="T233" s="10"/>
      <c r="U233" s="10"/>
      <c r="V233" s="10"/>
    </row>
    <row r="234" spans="1:22">
      <c r="A234" s="64"/>
      <c r="B234" s="64"/>
      <c r="C234" s="74"/>
      <c r="D234" s="218"/>
      <c r="E234" s="10"/>
      <c r="F234" s="252"/>
      <c r="G234" s="252"/>
      <c r="H234" s="252"/>
      <c r="I234" s="253"/>
      <c r="N234" s="10"/>
      <c r="O234" s="10"/>
      <c r="P234" s="10"/>
      <c r="Q234" s="10"/>
      <c r="R234" s="10"/>
      <c r="S234" s="10"/>
      <c r="T234" s="10"/>
      <c r="U234" s="10"/>
      <c r="V234" s="10"/>
    </row>
    <row r="235" spans="1:22">
      <c r="A235" s="81" t="s">
        <v>1420</v>
      </c>
      <c r="B235" s="60"/>
      <c r="C235" s="62"/>
      <c r="D235" s="217"/>
      <c r="E235" s="10"/>
      <c r="F235" s="254"/>
      <c r="G235" s="254"/>
      <c r="H235" s="254"/>
      <c r="I235" s="255"/>
      <c r="N235" s="10"/>
      <c r="O235" s="10"/>
      <c r="P235" s="10"/>
      <c r="Q235" s="10"/>
      <c r="R235" s="10"/>
      <c r="S235" s="10"/>
      <c r="T235" s="10"/>
      <c r="U235" s="10"/>
      <c r="V235" s="10"/>
    </row>
    <row r="236" spans="1:22" ht="25.5">
      <c r="A236" s="63" t="s">
        <v>1421</v>
      </c>
      <c r="B236" s="64" t="s">
        <v>1422</v>
      </c>
      <c r="C236" s="74" t="s">
        <v>1423</v>
      </c>
      <c r="D236" s="223">
        <v>11030</v>
      </c>
      <c r="E236" s="10"/>
      <c r="F236" s="262">
        <f t="shared" si="36"/>
        <v>2778.1261</v>
      </c>
      <c r="G236" s="262">
        <f t="shared" si="37"/>
        <v>1402.9057</v>
      </c>
      <c r="H236" s="262">
        <f t="shared" si="38"/>
        <v>944.49889999999994</v>
      </c>
      <c r="I236" s="263">
        <f t="shared" si="39"/>
        <v>715.4058</v>
      </c>
      <c r="N236" s="10"/>
      <c r="O236" s="10"/>
      <c r="P236" s="10"/>
      <c r="Q236" s="10"/>
      <c r="R236" s="10"/>
      <c r="S236" s="10"/>
      <c r="T236" s="10"/>
      <c r="U236" s="10"/>
      <c r="V236" s="10"/>
    </row>
    <row r="237" spans="1:22" ht="38.25">
      <c r="A237" s="63" t="s">
        <v>1424</v>
      </c>
      <c r="B237" s="64" t="s">
        <v>1425</v>
      </c>
      <c r="C237" s="74" t="s">
        <v>1426</v>
      </c>
      <c r="D237" s="223">
        <v>6</v>
      </c>
      <c r="E237" s="10"/>
      <c r="F237" s="262">
        <f t="shared" si="36"/>
        <v>1.5112199999999998</v>
      </c>
      <c r="G237" s="262">
        <f t="shared" si="37"/>
        <v>0.76313999999999993</v>
      </c>
      <c r="H237" s="262">
        <f t="shared" si="38"/>
        <v>0.51378000000000001</v>
      </c>
      <c r="I237" s="263">
        <f t="shared" si="39"/>
        <v>0.38916000000000001</v>
      </c>
      <c r="N237" s="10"/>
      <c r="O237" s="10"/>
      <c r="P237" s="10"/>
      <c r="Q237" s="10"/>
      <c r="R237" s="10"/>
      <c r="S237" s="10"/>
      <c r="T237" s="10"/>
      <c r="U237" s="10"/>
      <c r="V237" s="10"/>
    </row>
    <row r="238" spans="1:22" ht="38.25">
      <c r="A238" s="63" t="s">
        <v>1427</v>
      </c>
      <c r="B238" s="64" t="s">
        <v>1428</v>
      </c>
      <c r="C238" s="74" t="s">
        <v>1429</v>
      </c>
      <c r="D238" s="222">
        <v>5</v>
      </c>
      <c r="E238" s="10"/>
      <c r="F238" s="261">
        <f t="shared" si="36"/>
        <v>1.25935</v>
      </c>
      <c r="G238" s="261">
        <f t="shared" si="37"/>
        <v>0.63595000000000002</v>
      </c>
      <c r="H238" s="261">
        <f t="shared" si="38"/>
        <v>0.42814999999999998</v>
      </c>
      <c r="I238" s="249">
        <f t="shared" si="39"/>
        <v>0.32430000000000003</v>
      </c>
      <c r="N238" s="10"/>
      <c r="O238" s="10"/>
      <c r="P238" s="10"/>
      <c r="Q238" s="10"/>
      <c r="R238" s="10"/>
      <c r="S238" s="10"/>
      <c r="T238" s="10"/>
      <c r="U238" s="10"/>
      <c r="V238" s="10"/>
    </row>
    <row r="239" spans="1:22" ht="38.25">
      <c r="A239" s="63" t="s">
        <v>1430</v>
      </c>
      <c r="B239" s="64" t="s">
        <v>1431</v>
      </c>
      <c r="C239" s="74" t="s">
        <v>1432</v>
      </c>
      <c r="D239" s="222">
        <v>4</v>
      </c>
      <c r="E239" s="42"/>
      <c r="F239" s="261">
        <f t="shared" si="36"/>
        <v>1.0074799999999999</v>
      </c>
      <c r="G239" s="261">
        <f t="shared" si="37"/>
        <v>0.50875999999999999</v>
      </c>
      <c r="H239" s="261">
        <f t="shared" si="38"/>
        <v>0.34251999999999999</v>
      </c>
      <c r="I239" s="249">
        <f t="shared" si="39"/>
        <v>0.25944</v>
      </c>
      <c r="N239" s="10"/>
      <c r="O239" s="10"/>
      <c r="P239" s="10"/>
      <c r="Q239" s="10"/>
      <c r="R239" s="10"/>
      <c r="S239" s="10"/>
      <c r="T239" s="10"/>
      <c r="U239" s="10"/>
      <c r="V239" s="10"/>
    </row>
    <row r="240" spans="1:22" ht="38.25">
      <c r="A240" s="63" t="s">
        <v>1433</v>
      </c>
      <c r="B240" s="64" t="s">
        <v>1434</v>
      </c>
      <c r="C240" s="74" t="s">
        <v>1435</v>
      </c>
      <c r="D240" s="222">
        <v>4</v>
      </c>
      <c r="E240" s="42"/>
      <c r="F240" s="261">
        <f t="shared" si="36"/>
        <v>1.0074799999999999</v>
      </c>
      <c r="G240" s="261">
        <f t="shared" si="37"/>
        <v>0.50875999999999999</v>
      </c>
      <c r="H240" s="261">
        <f t="shared" si="38"/>
        <v>0.34251999999999999</v>
      </c>
      <c r="I240" s="249">
        <f t="shared" si="39"/>
        <v>0.25944</v>
      </c>
      <c r="N240" s="10"/>
      <c r="O240" s="10"/>
      <c r="P240" s="10"/>
      <c r="Q240" s="10"/>
      <c r="R240" s="10"/>
      <c r="S240" s="10"/>
      <c r="T240" s="10"/>
      <c r="U240" s="10"/>
      <c r="V240" s="10"/>
    </row>
    <row r="241" spans="1:22" ht="25.5">
      <c r="A241" s="63" t="s">
        <v>1436</v>
      </c>
      <c r="B241" s="64" t="s">
        <v>1437</v>
      </c>
      <c r="C241" s="74" t="s">
        <v>1438</v>
      </c>
      <c r="D241" s="222">
        <v>3</v>
      </c>
      <c r="E241" s="42"/>
      <c r="F241" s="261">
        <f t="shared" si="36"/>
        <v>0.75560999999999989</v>
      </c>
      <c r="G241" s="261">
        <f t="shared" si="37"/>
        <v>0.38156999999999996</v>
      </c>
      <c r="H241" s="261">
        <f t="shared" si="38"/>
        <v>0.25689000000000001</v>
      </c>
      <c r="I241" s="249">
        <f t="shared" si="39"/>
        <v>0.19458</v>
      </c>
      <c r="N241" s="10"/>
      <c r="O241" s="10"/>
      <c r="P241" s="10"/>
      <c r="Q241" s="10"/>
      <c r="R241" s="10"/>
      <c r="S241" s="10"/>
      <c r="T241" s="10"/>
      <c r="U241" s="10"/>
      <c r="V241" s="10"/>
    </row>
    <row r="242" spans="1:22" ht="25.5">
      <c r="A242" s="63" t="s">
        <v>1439</v>
      </c>
      <c r="B242" s="64" t="s">
        <v>1440</v>
      </c>
      <c r="C242" s="74" t="s">
        <v>1441</v>
      </c>
      <c r="D242" s="222">
        <v>2</v>
      </c>
      <c r="E242" s="42"/>
      <c r="F242" s="261">
        <f t="shared" si="36"/>
        <v>0.50373999999999997</v>
      </c>
      <c r="G242" s="261">
        <f t="shared" si="37"/>
        <v>0.25438</v>
      </c>
      <c r="H242" s="261">
        <f t="shared" si="38"/>
        <v>0.17126</v>
      </c>
      <c r="I242" s="249">
        <f t="shared" si="39"/>
        <v>0.12972</v>
      </c>
      <c r="N242" s="10"/>
      <c r="O242" s="10"/>
      <c r="P242" s="10"/>
      <c r="Q242" s="10"/>
      <c r="R242" s="10"/>
      <c r="S242" s="10"/>
      <c r="T242" s="10"/>
      <c r="U242" s="10"/>
      <c r="V242" s="10"/>
    </row>
    <row r="243" spans="1:22" ht="25.5">
      <c r="A243" s="63" t="s">
        <v>1442</v>
      </c>
      <c r="B243" s="64" t="s">
        <v>1443</v>
      </c>
      <c r="C243" s="74" t="s">
        <v>1444</v>
      </c>
      <c r="D243" s="222">
        <v>1</v>
      </c>
      <c r="E243" s="42"/>
      <c r="F243" s="261">
        <f t="shared" si="36"/>
        <v>0.25186999999999998</v>
      </c>
      <c r="G243" s="261">
        <f t="shared" si="37"/>
        <v>0.12719</v>
      </c>
      <c r="H243" s="261">
        <f t="shared" si="38"/>
        <v>8.5629999999999998E-2</v>
      </c>
      <c r="I243" s="249">
        <f t="shared" si="39"/>
        <v>6.4860000000000001E-2</v>
      </c>
      <c r="N243" s="10"/>
      <c r="O243" s="10"/>
      <c r="P243" s="10"/>
      <c r="Q243" s="10"/>
      <c r="R243" s="10"/>
      <c r="S243" s="10"/>
      <c r="T243" s="10"/>
      <c r="U243" s="10"/>
      <c r="V243" s="10"/>
    </row>
    <row r="244" spans="1:22" ht="25.5">
      <c r="A244" s="63" t="s">
        <v>1445</v>
      </c>
      <c r="B244" s="64" t="s">
        <v>1446</v>
      </c>
      <c r="C244" s="74" t="s">
        <v>1447</v>
      </c>
      <c r="D244" s="222">
        <v>1</v>
      </c>
      <c r="E244" s="42"/>
      <c r="F244" s="261">
        <f t="shared" si="36"/>
        <v>0.25186999999999998</v>
      </c>
      <c r="G244" s="261">
        <f t="shared" si="37"/>
        <v>0.12719</v>
      </c>
      <c r="H244" s="261">
        <f t="shared" si="38"/>
        <v>8.5629999999999998E-2</v>
      </c>
      <c r="I244" s="249">
        <f t="shared" si="39"/>
        <v>6.4860000000000001E-2</v>
      </c>
      <c r="N244" s="10"/>
      <c r="O244" s="10"/>
      <c r="P244" s="10"/>
      <c r="Q244" s="10"/>
      <c r="R244" s="10"/>
      <c r="S244" s="10"/>
      <c r="T244" s="10"/>
      <c r="U244" s="10"/>
      <c r="V244" s="10"/>
    </row>
    <row r="245" spans="1:22" ht="25.5">
      <c r="A245" s="63" t="s">
        <v>1448</v>
      </c>
      <c r="B245" s="64" t="s">
        <v>1449</v>
      </c>
      <c r="C245" s="74" t="s">
        <v>1450</v>
      </c>
      <c r="D245" s="222">
        <v>1</v>
      </c>
      <c r="E245" s="42"/>
      <c r="F245" s="261">
        <f t="shared" si="36"/>
        <v>0.25186999999999998</v>
      </c>
      <c r="G245" s="261">
        <f t="shared" si="37"/>
        <v>0.12719</v>
      </c>
      <c r="H245" s="261">
        <f t="shared" si="38"/>
        <v>8.5629999999999998E-2</v>
      </c>
      <c r="I245" s="249">
        <f t="shared" si="39"/>
        <v>6.4860000000000001E-2</v>
      </c>
      <c r="N245" s="10"/>
      <c r="O245" s="10"/>
      <c r="P245" s="10"/>
      <c r="Q245" s="10"/>
      <c r="R245" s="10"/>
      <c r="S245" s="10"/>
      <c r="T245" s="10"/>
      <c r="U245" s="10"/>
      <c r="V245" s="10"/>
    </row>
    <row r="246" spans="1:22">
      <c r="A246" s="63" t="s">
        <v>1451</v>
      </c>
      <c r="B246" s="64" t="s">
        <v>1452</v>
      </c>
      <c r="C246" s="74" t="s">
        <v>1453</v>
      </c>
      <c r="D246" s="222">
        <v>25</v>
      </c>
      <c r="E246" s="42"/>
      <c r="F246" s="261">
        <f t="shared" si="36"/>
        <v>6.2967499999999994</v>
      </c>
      <c r="G246" s="261">
        <f t="shared" si="37"/>
        <v>3.1797499999999999</v>
      </c>
      <c r="H246" s="261">
        <f t="shared" si="38"/>
        <v>2.1407500000000002</v>
      </c>
      <c r="I246" s="249">
        <f t="shared" si="39"/>
        <v>1.6214999999999999</v>
      </c>
      <c r="N246" s="10"/>
      <c r="O246" s="10"/>
      <c r="P246" s="10"/>
      <c r="Q246" s="10"/>
      <c r="R246" s="10"/>
      <c r="S246" s="10"/>
      <c r="T246" s="10"/>
      <c r="U246" s="10"/>
      <c r="V246" s="10"/>
    </row>
    <row r="247" spans="1:22">
      <c r="A247" s="63" t="s">
        <v>1454</v>
      </c>
      <c r="B247" s="64" t="s">
        <v>1455</v>
      </c>
      <c r="C247" s="74" t="s">
        <v>1456</v>
      </c>
      <c r="D247" s="222">
        <v>14</v>
      </c>
      <c r="E247" s="42"/>
      <c r="F247" s="261">
        <f t="shared" si="36"/>
        <v>3.5261799999999996</v>
      </c>
      <c r="G247" s="261">
        <f t="shared" si="37"/>
        <v>1.7806599999999999</v>
      </c>
      <c r="H247" s="261">
        <f t="shared" si="38"/>
        <v>1.19882</v>
      </c>
      <c r="I247" s="249">
        <f t="shared" si="39"/>
        <v>0.90803999999999996</v>
      </c>
      <c r="N247" s="10"/>
      <c r="O247" s="10"/>
      <c r="P247" s="10"/>
      <c r="Q247" s="10"/>
      <c r="R247" s="10"/>
      <c r="S247" s="10"/>
      <c r="T247" s="10"/>
      <c r="U247" s="10"/>
      <c r="V247" s="10"/>
    </row>
    <row r="248" spans="1:22">
      <c r="A248" s="63" t="s">
        <v>1457</v>
      </c>
      <c r="B248" s="64" t="s">
        <v>1458</v>
      </c>
      <c r="C248" s="65" t="s">
        <v>1459</v>
      </c>
      <c r="D248" s="222">
        <v>3</v>
      </c>
      <c r="E248" s="42"/>
      <c r="F248" s="261">
        <f t="shared" si="36"/>
        <v>0.75560999999999989</v>
      </c>
      <c r="G248" s="261">
        <f t="shared" si="37"/>
        <v>0.38156999999999996</v>
      </c>
      <c r="H248" s="261">
        <f t="shared" si="38"/>
        <v>0.25689000000000001</v>
      </c>
      <c r="I248" s="249">
        <f t="shared" si="39"/>
        <v>0.19458</v>
      </c>
      <c r="N248" s="10"/>
      <c r="O248" s="10"/>
      <c r="P248" s="10"/>
      <c r="Q248" s="10"/>
      <c r="R248" s="10"/>
      <c r="S248" s="10"/>
      <c r="T248" s="10"/>
      <c r="U248" s="10"/>
      <c r="V248" s="10"/>
    </row>
    <row r="249" spans="1:22">
      <c r="A249" s="63" t="s">
        <v>1460</v>
      </c>
      <c r="B249" s="64" t="s">
        <v>1461</v>
      </c>
      <c r="C249" s="65" t="s">
        <v>1462</v>
      </c>
      <c r="D249" s="222">
        <v>3</v>
      </c>
      <c r="E249" s="42"/>
      <c r="F249" s="261">
        <f t="shared" si="36"/>
        <v>0.75560999999999989</v>
      </c>
      <c r="G249" s="261">
        <f t="shared" si="37"/>
        <v>0.38156999999999996</v>
      </c>
      <c r="H249" s="261">
        <f t="shared" si="38"/>
        <v>0.25689000000000001</v>
      </c>
      <c r="I249" s="249">
        <f t="shared" si="39"/>
        <v>0.19458</v>
      </c>
      <c r="N249" s="10"/>
      <c r="O249" s="10"/>
      <c r="P249" s="10"/>
      <c r="Q249" s="10"/>
      <c r="R249" s="10"/>
      <c r="S249" s="10"/>
      <c r="T249" s="10"/>
      <c r="U249" s="10"/>
      <c r="V249" s="10"/>
    </row>
    <row r="250" spans="1:22">
      <c r="A250" s="63" t="s">
        <v>1463</v>
      </c>
      <c r="B250" s="64" t="s">
        <v>1464</v>
      </c>
      <c r="C250" s="65" t="s">
        <v>1465</v>
      </c>
      <c r="D250" s="222">
        <v>2</v>
      </c>
      <c r="E250" s="42"/>
      <c r="F250" s="261">
        <f t="shared" si="36"/>
        <v>0.50373999999999997</v>
      </c>
      <c r="G250" s="261">
        <f t="shared" si="37"/>
        <v>0.25438</v>
      </c>
      <c r="H250" s="261">
        <f t="shared" si="38"/>
        <v>0.17126</v>
      </c>
      <c r="I250" s="249">
        <f t="shared" si="39"/>
        <v>0.12972</v>
      </c>
      <c r="N250" s="10"/>
      <c r="O250" s="10"/>
      <c r="P250" s="10"/>
      <c r="Q250" s="10"/>
      <c r="R250" s="10"/>
      <c r="S250" s="10"/>
      <c r="T250" s="10"/>
      <c r="U250" s="10"/>
      <c r="V250" s="10"/>
    </row>
    <row r="251" spans="1:22">
      <c r="A251" s="63" t="s">
        <v>1466</v>
      </c>
      <c r="B251" s="64" t="s">
        <v>1467</v>
      </c>
      <c r="C251" s="65" t="s">
        <v>1468</v>
      </c>
      <c r="D251" s="222">
        <v>5</v>
      </c>
      <c r="E251" s="42"/>
      <c r="F251" s="261">
        <f t="shared" si="36"/>
        <v>1.25935</v>
      </c>
      <c r="G251" s="261">
        <f t="shared" si="37"/>
        <v>0.63595000000000002</v>
      </c>
      <c r="H251" s="261">
        <f t="shared" si="38"/>
        <v>0.42814999999999998</v>
      </c>
      <c r="I251" s="249">
        <f t="shared" si="39"/>
        <v>0.32430000000000003</v>
      </c>
      <c r="N251" s="10"/>
      <c r="O251" s="10"/>
      <c r="P251" s="10"/>
      <c r="Q251" s="10"/>
      <c r="R251" s="10"/>
      <c r="S251" s="10"/>
      <c r="T251" s="10"/>
      <c r="U251" s="10"/>
      <c r="V251" s="10"/>
    </row>
    <row r="252" spans="1:22">
      <c r="A252" s="63" t="s">
        <v>1469</v>
      </c>
      <c r="B252" s="63" t="s">
        <v>1470</v>
      </c>
      <c r="C252" s="74" t="s">
        <v>1471</v>
      </c>
      <c r="D252" s="222">
        <v>150</v>
      </c>
      <c r="E252" s="42"/>
      <c r="F252" s="261">
        <f t="shared" si="36"/>
        <v>37.780499999999996</v>
      </c>
      <c r="G252" s="261">
        <f t="shared" si="37"/>
        <v>19.078499999999998</v>
      </c>
      <c r="H252" s="261">
        <f t="shared" si="38"/>
        <v>12.8445</v>
      </c>
      <c r="I252" s="249">
        <f t="shared" si="39"/>
        <v>9.729000000000001</v>
      </c>
      <c r="N252" s="10"/>
      <c r="O252" s="10"/>
      <c r="P252" s="10"/>
      <c r="Q252" s="10"/>
      <c r="R252" s="10"/>
      <c r="S252" s="10"/>
      <c r="T252" s="10"/>
      <c r="U252" s="10"/>
      <c r="V252" s="10"/>
    </row>
    <row r="253" spans="1:22">
      <c r="A253" s="63" t="s">
        <v>1472</v>
      </c>
      <c r="B253" s="64" t="s">
        <v>1473</v>
      </c>
      <c r="C253" s="74" t="s">
        <v>1474</v>
      </c>
      <c r="D253" s="222">
        <v>1</v>
      </c>
      <c r="E253" s="42"/>
      <c r="F253" s="261">
        <f t="shared" si="36"/>
        <v>0.25186999999999998</v>
      </c>
      <c r="G253" s="261">
        <f t="shared" si="37"/>
        <v>0.12719</v>
      </c>
      <c r="H253" s="261">
        <f t="shared" si="38"/>
        <v>8.5629999999999998E-2</v>
      </c>
      <c r="I253" s="249">
        <f t="shared" si="39"/>
        <v>6.4860000000000001E-2</v>
      </c>
      <c r="N253" s="10"/>
      <c r="O253" s="10"/>
      <c r="P253" s="10"/>
      <c r="Q253" s="10"/>
      <c r="R253" s="10"/>
      <c r="S253" s="10"/>
      <c r="T253" s="10"/>
      <c r="U253" s="10"/>
      <c r="V253" s="10"/>
    </row>
    <row r="254" spans="1:22">
      <c r="A254" s="63" t="s">
        <v>1475</v>
      </c>
      <c r="B254" s="64" t="s">
        <v>1476</v>
      </c>
      <c r="C254" s="74" t="s">
        <v>1477</v>
      </c>
      <c r="D254" s="222">
        <v>2</v>
      </c>
      <c r="E254" s="42"/>
      <c r="F254" s="261">
        <f t="shared" si="36"/>
        <v>0.50373999999999997</v>
      </c>
      <c r="G254" s="261">
        <f t="shared" si="37"/>
        <v>0.25438</v>
      </c>
      <c r="H254" s="261">
        <f t="shared" si="38"/>
        <v>0.17126</v>
      </c>
      <c r="I254" s="249">
        <f t="shared" si="39"/>
        <v>0.12972</v>
      </c>
      <c r="N254" s="10"/>
      <c r="O254" s="10"/>
      <c r="P254" s="10"/>
      <c r="Q254" s="10"/>
      <c r="R254" s="10"/>
      <c r="S254" s="10"/>
      <c r="T254" s="10"/>
      <c r="U254" s="10"/>
      <c r="V254" s="10"/>
    </row>
    <row r="255" spans="1:22">
      <c r="A255" s="63" t="s">
        <v>1475</v>
      </c>
      <c r="B255" s="64" t="s">
        <v>1476</v>
      </c>
      <c r="C255" s="74" t="s">
        <v>1478</v>
      </c>
      <c r="D255" s="222">
        <v>2</v>
      </c>
      <c r="E255" s="42"/>
      <c r="F255" s="261">
        <f t="shared" si="36"/>
        <v>0.50373999999999997</v>
      </c>
      <c r="G255" s="261">
        <f t="shared" si="37"/>
        <v>0.25438</v>
      </c>
      <c r="H255" s="261">
        <f t="shared" si="38"/>
        <v>0.17126</v>
      </c>
      <c r="I255" s="249">
        <f t="shared" si="39"/>
        <v>0.12972</v>
      </c>
      <c r="N255" s="10"/>
      <c r="O255" s="10"/>
      <c r="P255" s="10"/>
      <c r="Q255" s="10"/>
      <c r="R255" s="10"/>
      <c r="S255" s="10"/>
      <c r="T255" s="10"/>
      <c r="U255" s="10"/>
      <c r="V255" s="10"/>
    </row>
    <row r="256" spans="1:22">
      <c r="A256" s="63" t="s">
        <v>1479</v>
      </c>
      <c r="B256" s="64" t="s">
        <v>1366</v>
      </c>
      <c r="C256" s="74" t="s">
        <v>1480</v>
      </c>
      <c r="D256" s="222">
        <v>75</v>
      </c>
      <c r="E256" s="42"/>
      <c r="F256" s="261">
        <f t="shared" si="36"/>
        <v>18.890249999999998</v>
      </c>
      <c r="G256" s="261">
        <f t="shared" si="37"/>
        <v>9.5392499999999991</v>
      </c>
      <c r="H256" s="261">
        <f t="shared" si="38"/>
        <v>6.42225</v>
      </c>
      <c r="I256" s="249">
        <f t="shared" si="39"/>
        <v>4.8645000000000005</v>
      </c>
      <c r="N256" s="10"/>
      <c r="O256" s="10"/>
      <c r="P256" s="10"/>
      <c r="Q256" s="10"/>
      <c r="R256" s="10"/>
      <c r="S256" s="10"/>
      <c r="T256" s="10"/>
      <c r="U256" s="10"/>
      <c r="V256" s="10"/>
    </row>
    <row r="257" spans="1:27">
      <c r="A257" s="63" t="s">
        <v>1481</v>
      </c>
      <c r="B257" s="64" t="s">
        <v>1369</v>
      </c>
      <c r="C257" s="74" t="s">
        <v>1482</v>
      </c>
      <c r="D257" s="222">
        <v>36</v>
      </c>
      <c r="E257" s="42"/>
      <c r="F257" s="261">
        <f t="shared" si="36"/>
        <v>9.0673199999999987</v>
      </c>
      <c r="G257" s="261">
        <f t="shared" si="37"/>
        <v>4.5788399999999996</v>
      </c>
      <c r="H257" s="261">
        <f t="shared" si="38"/>
        <v>3.0826799999999999</v>
      </c>
      <c r="I257" s="249">
        <f t="shared" si="39"/>
        <v>2.3349600000000001</v>
      </c>
      <c r="N257" s="10"/>
      <c r="O257" s="10"/>
      <c r="P257" s="10"/>
      <c r="Q257" s="10"/>
      <c r="R257" s="10"/>
      <c r="S257" s="10"/>
      <c r="T257" s="10"/>
      <c r="U257" s="10"/>
      <c r="V257" s="10"/>
    </row>
    <row r="258" spans="1:27">
      <c r="A258" s="63" t="s">
        <v>1483</v>
      </c>
      <c r="B258" s="64" t="s">
        <v>1372</v>
      </c>
      <c r="C258" s="74" t="s">
        <v>1484</v>
      </c>
      <c r="D258" s="222">
        <v>75</v>
      </c>
      <c r="E258" s="42"/>
      <c r="F258" s="261">
        <f t="shared" si="36"/>
        <v>18.890249999999998</v>
      </c>
      <c r="G258" s="261">
        <f t="shared" si="37"/>
        <v>9.5392499999999991</v>
      </c>
      <c r="H258" s="261">
        <f t="shared" si="38"/>
        <v>6.42225</v>
      </c>
      <c r="I258" s="249">
        <f t="shared" si="39"/>
        <v>4.8645000000000005</v>
      </c>
      <c r="N258" s="10"/>
      <c r="O258" s="10"/>
      <c r="P258" s="10"/>
      <c r="Q258" s="10"/>
      <c r="R258" s="10"/>
      <c r="S258" s="10"/>
      <c r="T258" s="10"/>
      <c r="U258" s="10"/>
      <c r="V258" s="10"/>
    </row>
    <row r="259" spans="1:27">
      <c r="A259" s="63" t="s">
        <v>1485</v>
      </c>
      <c r="B259" s="64" t="s">
        <v>1375</v>
      </c>
      <c r="C259" s="74" t="s">
        <v>1486</v>
      </c>
      <c r="D259" s="222">
        <v>36</v>
      </c>
      <c r="E259" s="42"/>
      <c r="F259" s="261">
        <f t="shared" si="36"/>
        <v>9.0673199999999987</v>
      </c>
      <c r="G259" s="261">
        <f t="shared" si="37"/>
        <v>4.5788399999999996</v>
      </c>
      <c r="H259" s="261">
        <f t="shared" si="38"/>
        <v>3.0826799999999999</v>
      </c>
      <c r="I259" s="249">
        <f t="shared" si="39"/>
        <v>2.3349600000000001</v>
      </c>
      <c r="N259" s="10"/>
      <c r="O259" s="10"/>
      <c r="P259" s="10"/>
      <c r="Q259" s="10"/>
      <c r="R259" s="10"/>
      <c r="S259" s="10"/>
      <c r="T259" s="10"/>
      <c r="U259" s="10"/>
      <c r="V259" s="10"/>
    </row>
    <row r="260" spans="1:27">
      <c r="A260" s="63" t="s">
        <v>1487</v>
      </c>
      <c r="B260" s="64" t="s">
        <v>1487</v>
      </c>
      <c r="C260" s="74" t="s">
        <v>1488</v>
      </c>
      <c r="D260" s="222">
        <v>25</v>
      </c>
      <c r="E260" s="42"/>
      <c r="F260" s="261">
        <f t="shared" si="36"/>
        <v>6.2967499999999994</v>
      </c>
      <c r="G260" s="261">
        <f t="shared" si="37"/>
        <v>3.1797499999999999</v>
      </c>
      <c r="H260" s="261">
        <f t="shared" si="38"/>
        <v>2.1407500000000002</v>
      </c>
      <c r="I260" s="249">
        <f t="shared" si="39"/>
        <v>1.6214999999999999</v>
      </c>
      <c r="N260" s="10"/>
      <c r="O260" s="10"/>
      <c r="P260" s="10"/>
      <c r="Q260" s="10"/>
      <c r="R260" s="10"/>
      <c r="S260" s="10"/>
      <c r="T260" s="10"/>
      <c r="U260" s="10"/>
      <c r="V260" s="10"/>
    </row>
    <row r="261" spans="1:27">
      <c r="A261" s="63" t="s">
        <v>1489</v>
      </c>
      <c r="B261" s="64" t="s">
        <v>1489</v>
      </c>
      <c r="C261" s="74" t="s">
        <v>1490</v>
      </c>
      <c r="D261" s="222">
        <v>3</v>
      </c>
      <c r="E261" s="42"/>
      <c r="F261" s="261">
        <f t="shared" si="36"/>
        <v>0.75560999999999989</v>
      </c>
      <c r="G261" s="261">
        <f t="shared" si="37"/>
        <v>0.38156999999999996</v>
      </c>
      <c r="H261" s="261">
        <f t="shared" si="38"/>
        <v>0.25689000000000001</v>
      </c>
      <c r="I261" s="249">
        <f t="shared" si="39"/>
        <v>0.19458</v>
      </c>
      <c r="N261" s="10"/>
      <c r="O261" s="10"/>
      <c r="P261" s="10"/>
      <c r="Q261" s="10"/>
      <c r="R261" s="10"/>
      <c r="S261" s="10"/>
      <c r="T261" s="10"/>
      <c r="U261" s="10"/>
      <c r="V261" s="10"/>
    </row>
    <row r="262" spans="1:27">
      <c r="A262" s="63" t="s">
        <v>1491</v>
      </c>
      <c r="B262" s="64" t="s">
        <v>1491</v>
      </c>
      <c r="C262" s="65" t="s">
        <v>1492</v>
      </c>
      <c r="D262" s="222">
        <v>2</v>
      </c>
      <c r="E262" s="42"/>
      <c r="F262" s="261">
        <f t="shared" si="36"/>
        <v>0.50373999999999997</v>
      </c>
      <c r="G262" s="261">
        <f t="shared" si="37"/>
        <v>0.25438</v>
      </c>
      <c r="H262" s="261">
        <f t="shared" si="38"/>
        <v>0.17126</v>
      </c>
      <c r="I262" s="249">
        <f t="shared" si="39"/>
        <v>0.12972</v>
      </c>
      <c r="N262" s="10"/>
      <c r="O262" s="10"/>
      <c r="P262" s="10"/>
      <c r="Q262" s="10"/>
      <c r="R262" s="10"/>
      <c r="S262" s="10"/>
      <c r="T262" s="10"/>
      <c r="U262" s="10"/>
      <c r="V262" s="10"/>
    </row>
    <row r="263" spans="1:27">
      <c r="A263" s="63" t="s">
        <v>1493</v>
      </c>
      <c r="B263" s="64" t="s">
        <v>1493</v>
      </c>
      <c r="C263" s="65" t="s">
        <v>1494</v>
      </c>
      <c r="D263" s="222">
        <v>4</v>
      </c>
      <c r="E263" s="42"/>
      <c r="F263" s="261">
        <f t="shared" si="36"/>
        <v>1.0074799999999999</v>
      </c>
      <c r="G263" s="261">
        <f t="shared" si="37"/>
        <v>0.50875999999999999</v>
      </c>
      <c r="H263" s="261">
        <f t="shared" si="38"/>
        <v>0.34251999999999999</v>
      </c>
      <c r="I263" s="249">
        <f t="shared" si="39"/>
        <v>0.25944</v>
      </c>
      <c r="N263" s="10"/>
      <c r="O263" s="10"/>
      <c r="P263" s="10"/>
      <c r="Q263" s="10"/>
      <c r="R263" s="10"/>
      <c r="S263" s="10"/>
      <c r="T263" s="10"/>
      <c r="U263" s="10"/>
      <c r="V263" s="10"/>
    </row>
    <row r="264" spans="1:27">
      <c r="A264" s="63" t="s">
        <v>1495</v>
      </c>
      <c r="B264" s="64" t="s">
        <v>1495</v>
      </c>
      <c r="C264" s="65" t="s">
        <v>1496</v>
      </c>
      <c r="D264" s="222">
        <v>4</v>
      </c>
      <c r="E264" s="42"/>
      <c r="F264" s="261">
        <f t="shared" si="36"/>
        <v>1.0074799999999999</v>
      </c>
      <c r="G264" s="261">
        <f t="shared" si="37"/>
        <v>0.50875999999999999</v>
      </c>
      <c r="H264" s="261">
        <f t="shared" si="38"/>
        <v>0.34251999999999999</v>
      </c>
      <c r="I264" s="249">
        <f t="shared" si="39"/>
        <v>0.25944</v>
      </c>
      <c r="N264" s="10"/>
      <c r="O264" s="10"/>
      <c r="P264" s="10"/>
      <c r="Q264" s="10"/>
      <c r="R264" s="10"/>
      <c r="S264" s="10"/>
      <c r="T264" s="10"/>
      <c r="U264" s="10"/>
      <c r="V264" s="10"/>
    </row>
    <row r="265" spans="1:27">
      <c r="A265" s="63" t="s">
        <v>1497</v>
      </c>
      <c r="B265" s="64" t="s">
        <v>1497</v>
      </c>
      <c r="C265" s="65" t="s">
        <v>1498</v>
      </c>
      <c r="D265" s="222">
        <v>4</v>
      </c>
      <c r="E265" s="42"/>
      <c r="F265" s="261">
        <f t="shared" si="36"/>
        <v>1.0074799999999999</v>
      </c>
      <c r="G265" s="261">
        <f t="shared" si="37"/>
        <v>0.50875999999999999</v>
      </c>
      <c r="H265" s="261">
        <f t="shared" si="38"/>
        <v>0.34251999999999999</v>
      </c>
      <c r="I265" s="249">
        <f t="shared" si="39"/>
        <v>0.25944</v>
      </c>
      <c r="N265" s="10"/>
      <c r="O265" s="10"/>
      <c r="P265" s="10"/>
      <c r="Q265" s="10"/>
      <c r="R265" s="10"/>
      <c r="S265" s="10"/>
      <c r="T265" s="10"/>
      <c r="U265" s="10"/>
      <c r="V265" s="10"/>
      <c r="X265" s="194" t="s">
        <v>1589</v>
      </c>
      <c r="Y265" s="195"/>
      <c r="Z265" s="195"/>
      <c r="AA265" s="196"/>
    </row>
    <row r="266" spans="1:27">
      <c r="A266" s="63" t="s">
        <v>1499</v>
      </c>
      <c r="B266" s="64" t="s">
        <v>1499</v>
      </c>
      <c r="C266" s="65" t="s">
        <v>1500</v>
      </c>
      <c r="D266" s="222">
        <v>3</v>
      </c>
      <c r="E266" s="42"/>
      <c r="F266" s="261">
        <f t="shared" si="36"/>
        <v>0.75560999999999989</v>
      </c>
      <c r="G266" s="261">
        <f t="shared" si="37"/>
        <v>0.38156999999999996</v>
      </c>
      <c r="H266" s="261">
        <f t="shared" si="38"/>
        <v>0.25689000000000001</v>
      </c>
      <c r="I266" s="249">
        <f t="shared" si="39"/>
        <v>0.19458</v>
      </c>
      <c r="N266" s="10"/>
      <c r="O266" s="10"/>
      <c r="P266" s="10"/>
      <c r="Q266" s="10"/>
      <c r="R266" s="10"/>
      <c r="S266" s="10"/>
      <c r="T266" s="10"/>
      <c r="U266" s="10"/>
      <c r="V266" s="10"/>
      <c r="X266" s="135">
        <v>0.25186999999999998</v>
      </c>
      <c r="Y266" s="135">
        <v>0.12719</v>
      </c>
      <c r="Z266" s="136">
        <v>8.5629999999999998E-2</v>
      </c>
      <c r="AA266" s="137">
        <v>6.4860000000000001E-2</v>
      </c>
    </row>
    <row r="267" spans="1:27" ht="15">
      <c r="A267" s="16"/>
      <c r="B267" s="16"/>
      <c r="C267" s="41"/>
      <c r="D267" s="42"/>
      <c r="E267" s="42"/>
      <c r="F267"/>
      <c r="G267" s="10"/>
      <c r="H267" s="10"/>
      <c r="I267" s="10"/>
      <c r="J267" s="10"/>
      <c r="K267" s="10"/>
      <c r="L267" s="10"/>
      <c r="M267" s="10"/>
      <c r="N267" s="10"/>
      <c r="O267" s="10"/>
      <c r="P267" s="10"/>
      <c r="Q267" s="10"/>
      <c r="R267" s="10"/>
      <c r="S267" s="10"/>
      <c r="T267" s="10"/>
      <c r="U267" s="10"/>
      <c r="V267" s="10"/>
      <c r="X267" s="165" t="s">
        <v>1588</v>
      </c>
      <c r="Y267" s="166"/>
      <c r="Z267" s="166"/>
      <c r="AA267" s="167"/>
    </row>
    <row r="268" spans="1:27" ht="40.5" customHeight="1">
      <c r="A268" s="26" t="s">
        <v>935</v>
      </c>
      <c r="B268" s="5" t="s">
        <v>118</v>
      </c>
      <c r="C268" s="5"/>
      <c r="D268" s="6" t="s">
        <v>938</v>
      </c>
      <c r="E268" s="5" t="s">
        <v>133</v>
      </c>
      <c r="F268" s="5" t="s">
        <v>134</v>
      </c>
      <c r="G268" s="5" t="s">
        <v>135</v>
      </c>
      <c r="H268" s="5" t="s">
        <v>136</v>
      </c>
      <c r="I268" s="5" t="s">
        <v>137</v>
      </c>
      <c r="J268" s="5" t="s">
        <v>339</v>
      </c>
      <c r="K268" s="5" t="s">
        <v>340</v>
      </c>
      <c r="L268" s="5" t="s">
        <v>341</v>
      </c>
      <c r="M268" s="5" t="s">
        <v>342</v>
      </c>
      <c r="N268" s="5" t="s">
        <v>343</v>
      </c>
      <c r="O268" s="5" t="s">
        <v>591</v>
      </c>
      <c r="P268" s="5" t="s">
        <v>592</v>
      </c>
      <c r="Q268" s="5" t="s">
        <v>593</v>
      </c>
      <c r="R268" s="5" t="s">
        <v>594</v>
      </c>
      <c r="S268" s="5" t="s">
        <v>1501</v>
      </c>
      <c r="T268" s="5" t="s">
        <v>1502</v>
      </c>
      <c r="U268" s="5" t="s">
        <v>864</v>
      </c>
      <c r="V268" s="5" t="s">
        <v>862</v>
      </c>
      <c r="X268" s="133" t="s">
        <v>1574</v>
      </c>
      <c r="Y268" s="132" t="s">
        <v>1575</v>
      </c>
      <c r="Z268" s="133" t="s">
        <v>1576</v>
      </c>
      <c r="AA268" s="133" t="s">
        <v>1577</v>
      </c>
    </row>
    <row r="269" spans="1:27">
      <c r="A269" s="59" t="s">
        <v>1503</v>
      </c>
      <c r="B269" s="60"/>
      <c r="C269" s="60"/>
      <c r="D269" s="61"/>
      <c r="E269" s="60"/>
      <c r="F269" s="60"/>
      <c r="G269" s="60"/>
      <c r="H269" s="62"/>
      <c r="I269" s="62"/>
      <c r="J269" s="62"/>
      <c r="K269" s="62"/>
      <c r="L269" s="62"/>
      <c r="M269" s="62"/>
      <c r="N269" s="62"/>
      <c r="O269" s="62"/>
      <c r="P269" s="62"/>
      <c r="Q269" s="62"/>
      <c r="R269" s="62"/>
      <c r="S269" s="62"/>
      <c r="T269" s="62"/>
      <c r="U269" s="62"/>
      <c r="V269" s="62"/>
      <c r="X269" s="62"/>
      <c r="Y269" s="62"/>
      <c r="Z269" s="62"/>
      <c r="AA269" s="62"/>
    </row>
    <row r="270" spans="1:27">
      <c r="A270" s="63" t="s">
        <v>1504</v>
      </c>
      <c r="B270" s="64" t="s">
        <v>1505</v>
      </c>
      <c r="C270" s="65"/>
      <c r="D270" s="82">
        <v>110</v>
      </c>
      <c r="E270" s="111" t="s">
        <v>1506</v>
      </c>
      <c r="F270" s="111" t="s">
        <v>1590</v>
      </c>
      <c r="G270" s="109" t="s">
        <v>1591</v>
      </c>
      <c r="H270" s="110" t="s">
        <v>1507</v>
      </c>
      <c r="I270" s="110" t="s">
        <v>1508</v>
      </c>
      <c r="J270" s="110" t="s">
        <v>1509</v>
      </c>
      <c r="K270" s="232" t="s">
        <v>1510</v>
      </c>
      <c r="L270" s="232" t="s">
        <v>1511</v>
      </c>
      <c r="M270" s="110" t="s">
        <v>1512</v>
      </c>
      <c r="N270" s="110" t="s">
        <v>1513</v>
      </c>
      <c r="O270" s="110" t="s">
        <v>1514</v>
      </c>
      <c r="P270" s="110" t="s">
        <v>1515</v>
      </c>
      <c r="Q270" s="110" t="s">
        <v>1516</v>
      </c>
      <c r="R270" s="110" t="s">
        <v>1517</v>
      </c>
      <c r="S270" s="110" t="s">
        <v>1518</v>
      </c>
      <c r="T270" s="110" t="s">
        <v>1519</v>
      </c>
      <c r="U270" s="111" t="s">
        <v>1520</v>
      </c>
      <c r="V270" s="111" t="s">
        <v>1521</v>
      </c>
      <c r="X270" s="270">
        <f>D270*$X$266</f>
        <v>27.705699999999997</v>
      </c>
      <c r="Y270" s="270">
        <f>D270*$Y$266</f>
        <v>13.9909</v>
      </c>
      <c r="Z270" s="270">
        <f>D270*$Z$266</f>
        <v>9.4192999999999998</v>
      </c>
      <c r="AA270" s="270">
        <f>D270*$AA$266</f>
        <v>7.1345999999999998</v>
      </c>
    </row>
    <row r="271" spans="1:27" ht="25.5">
      <c r="A271" s="63" t="s">
        <v>1704</v>
      </c>
      <c r="B271" s="64" t="s">
        <v>1522</v>
      </c>
      <c r="C271" s="65"/>
      <c r="D271" s="82">
        <v>160</v>
      </c>
      <c r="E271" s="111" t="s">
        <v>1523</v>
      </c>
      <c r="F271" s="111" t="s">
        <v>1592</v>
      </c>
      <c r="G271" s="109" t="s">
        <v>1593</v>
      </c>
      <c r="H271" s="110" t="s">
        <v>1524</v>
      </c>
      <c r="I271" s="110" t="s">
        <v>1525</v>
      </c>
      <c r="J271" s="110" t="s">
        <v>1526</v>
      </c>
      <c r="K271" s="232" t="s">
        <v>1527</v>
      </c>
      <c r="L271" s="232" t="s">
        <v>1528</v>
      </c>
      <c r="M271" s="110" t="s">
        <v>1529</v>
      </c>
      <c r="N271" s="110" t="s">
        <v>1530</v>
      </c>
      <c r="O271" s="110" t="s">
        <v>1531</v>
      </c>
      <c r="P271" s="110" t="s">
        <v>1532</v>
      </c>
      <c r="Q271" s="110" t="s">
        <v>1533</v>
      </c>
      <c r="R271" s="110" t="s">
        <v>1534</v>
      </c>
      <c r="S271" s="110" t="s">
        <v>1535</v>
      </c>
      <c r="T271" s="110" t="s">
        <v>1536</v>
      </c>
      <c r="U271" s="111" t="s">
        <v>1537</v>
      </c>
      <c r="V271" s="111" t="s">
        <v>1538</v>
      </c>
      <c r="X271" s="270">
        <f>D271*$X$266</f>
        <v>40.299199999999999</v>
      </c>
      <c r="Y271" s="270">
        <f>D271*$Y$266</f>
        <v>20.3504</v>
      </c>
      <c r="Z271" s="270">
        <f>D271*$Z$266</f>
        <v>13.700799999999999</v>
      </c>
      <c r="AA271" s="270">
        <f>D271*$AA$266</f>
        <v>10.377600000000001</v>
      </c>
    </row>
    <row r="273" spans="4:21">
      <c r="D273" s="19"/>
      <c r="E273" s="19"/>
    </row>
    <row r="274" spans="4:21">
      <c r="D274" s="19"/>
      <c r="E274" s="19"/>
      <c r="U274" s="205"/>
    </row>
    <row r="275" spans="4:21">
      <c r="D275" s="19"/>
      <c r="E275" s="19"/>
    </row>
    <row r="276" spans="4:21">
      <c r="D276" s="19"/>
      <c r="E276" s="19"/>
    </row>
    <row r="277" spans="4:21">
      <c r="D277" s="19"/>
      <c r="E277" s="19"/>
    </row>
    <row r="278" spans="4:21">
      <c r="D278" s="19"/>
      <c r="E278" s="19"/>
    </row>
    <row r="279" spans="4:21">
      <c r="D279" s="19"/>
      <c r="E279" s="19"/>
    </row>
    <row r="280" spans="4:21">
      <c r="D280" s="19"/>
      <c r="E280" s="19"/>
    </row>
    <row r="281" spans="4:21">
      <c r="D281" s="19"/>
      <c r="E281" s="19"/>
    </row>
    <row r="282" spans="4:21">
      <c r="D282" s="19"/>
      <c r="E282" s="19"/>
    </row>
    <row r="283" spans="4:21">
      <c r="D283" s="19"/>
      <c r="E283" s="19"/>
    </row>
    <row r="284" spans="4:21">
      <c r="D284" s="19"/>
      <c r="E284" s="19"/>
    </row>
    <row r="285" spans="4:21">
      <c r="D285" s="19"/>
      <c r="E285" s="19"/>
    </row>
    <row r="286" spans="4:21">
      <c r="D286" s="19"/>
      <c r="E286" s="19"/>
    </row>
    <row r="287" spans="4:21">
      <c r="D287" s="19"/>
      <c r="E287" s="19"/>
    </row>
    <row r="288" spans="4:21">
      <c r="D288" s="19"/>
      <c r="E288" s="19"/>
    </row>
    <row r="289" s="19" customFormat="1"/>
    <row r="290" s="19" customFormat="1"/>
    <row r="291" s="19" customFormat="1"/>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5:X22"/>
  <sheetViews>
    <sheetView topLeftCell="D1" zoomScale="50" zoomScaleNormal="50" workbookViewId="0">
      <selection activeCell="M18" sqref="M18"/>
    </sheetView>
  </sheetViews>
  <sheetFormatPr baseColWidth="10" defaultColWidth="11.42578125" defaultRowHeight="14.25"/>
  <cols>
    <col min="1" max="1" width="6.42578125" style="8" bestFit="1" customWidth="1"/>
    <col min="2" max="2" width="8.85546875" style="8" bestFit="1" customWidth="1"/>
    <col min="3" max="3" width="21" style="8" bestFit="1" customWidth="1"/>
    <col min="4" max="4" width="23.42578125" style="8" bestFit="1" customWidth="1"/>
    <col min="5" max="6" width="12.42578125" style="8" customWidth="1"/>
    <col min="7" max="7" width="18.85546875" style="8" customWidth="1"/>
    <col min="8" max="8" width="12.42578125" style="8" customWidth="1"/>
    <col min="9" max="9" width="33.140625" style="16" bestFit="1" customWidth="1"/>
    <col min="10" max="10" width="20.42578125" style="21" bestFit="1" customWidth="1"/>
    <col min="11" max="11" width="8.140625" style="3" bestFit="1" customWidth="1"/>
    <col min="12" max="12" width="17.42578125" style="8" bestFit="1" customWidth="1"/>
    <col min="13" max="13" width="17.85546875" style="8" bestFit="1" customWidth="1"/>
    <col min="14" max="14" width="34.140625" style="8" customWidth="1"/>
    <col min="15" max="15" width="4.42578125" style="8" customWidth="1"/>
    <col min="16" max="16" width="15.140625" style="8" customWidth="1"/>
    <col min="17" max="17" width="14.85546875" style="8" customWidth="1"/>
    <col min="18" max="18" width="13.42578125" style="8" customWidth="1"/>
    <col min="19" max="20" width="11.42578125" style="8"/>
    <col min="21" max="21" width="12.140625" style="8" customWidth="1"/>
    <col min="22" max="23" width="13.140625" style="8" customWidth="1"/>
    <col min="24" max="24" width="14.140625" style="8" bestFit="1" customWidth="1"/>
    <col min="25" max="16384" width="11.42578125" style="8"/>
  </cols>
  <sheetData>
    <row r="5" spans="1:24" ht="14.25" customHeight="1">
      <c r="P5" s="192" t="s">
        <v>1569</v>
      </c>
      <c r="Q5" s="197"/>
      <c r="R5" s="197"/>
      <c r="S5" s="197"/>
      <c r="T5" s="197"/>
      <c r="U5" s="197"/>
      <c r="V5" s="197"/>
      <c r="W5" s="197"/>
      <c r="X5" s="198"/>
    </row>
    <row r="6" spans="1:24" s="3" customFormat="1" ht="25.5">
      <c r="A6" s="352" t="s">
        <v>114</v>
      </c>
      <c r="B6" s="352"/>
      <c r="C6" s="352"/>
      <c r="D6" s="352"/>
      <c r="E6" s="352"/>
      <c r="F6" s="352"/>
      <c r="G6" s="352"/>
      <c r="H6" s="352"/>
      <c r="I6" s="16"/>
      <c r="J6" s="21"/>
      <c r="P6" s="163" t="s">
        <v>1570</v>
      </c>
      <c r="Q6" s="163" t="s">
        <v>1570</v>
      </c>
      <c r="R6" s="163" t="s">
        <v>1570</v>
      </c>
      <c r="S6" s="163" t="s">
        <v>1570</v>
      </c>
      <c r="T6" s="148"/>
      <c r="U6" s="163" t="s">
        <v>1570</v>
      </c>
      <c r="V6" s="163" t="s">
        <v>1570</v>
      </c>
      <c r="W6" s="163" t="s">
        <v>1570</v>
      </c>
      <c r="X6" s="163" t="s">
        <v>1570</v>
      </c>
    </row>
    <row r="7" spans="1:24" s="3" customFormat="1" ht="20.25">
      <c r="A7" s="352" t="s">
        <v>115</v>
      </c>
      <c r="B7" s="352"/>
      <c r="C7" s="352"/>
      <c r="D7" s="352"/>
      <c r="E7" s="352"/>
      <c r="F7" s="352"/>
      <c r="G7" s="352"/>
      <c r="H7" s="352"/>
      <c r="I7" s="27"/>
      <c r="J7" s="21"/>
      <c r="P7" s="135">
        <v>0.19044</v>
      </c>
      <c r="Q7" s="135">
        <v>0.10291</v>
      </c>
      <c r="R7" s="136">
        <v>7.3639999999999997E-2</v>
      </c>
      <c r="S7" s="137">
        <v>5.8959999999999999E-2</v>
      </c>
      <c r="T7" s="138"/>
      <c r="U7" s="135">
        <v>0.19644</v>
      </c>
      <c r="V7" s="135">
        <v>0.10891000000000001</v>
      </c>
      <c r="W7" s="135">
        <v>7.9640000000000002E-2</v>
      </c>
      <c r="X7" s="135">
        <v>6.4960000000000004E-2</v>
      </c>
    </row>
    <row r="8" spans="1:24" s="16" customFormat="1" ht="20.25">
      <c r="A8" s="353" t="s">
        <v>1539</v>
      </c>
      <c r="B8" s="354"/>
      <c r="C8" s="354"/>
      <c r="D8" s="354"/>
      <c r="E8" s="354"/>
      <c r="F8" s="354"/>
      <c r="G8" s="354"/>
      <c r="H8" s="354"/>
      <c r="I8" s="354"/>
      <c r="J8" s="354"/>
      <c r="K8" s="354"/>
      <c r="L8" s="354"/>
      <c r="M8" s="354"/>
      <c r="N8" s="73"/>
      <c r="P8" s="165" t="s">
        <v>1571</v>
      </c>
      <c r="Q8" s="166"/>
      <c r="R8" s="166"/>
      <c r="S8" s="167"/>
      <c r="T8" s="134"/>
      <c r="U8" s="165" t="s">
        <v>1572</v>
      </c>
      <c r="V8" s="166"/>
      <c r="W8" s="166"/>
      <c r="X8" s="167"/>
    </row>
    <row r="9" spans="1:24" s="16" customFormat="1" ht="72" customHeight="1">
      <c r="A9" s="28" t="s">
        <v>1540</v>
      </c>
      <c r="B9" s="29" t="s">
        <v>120</v>
      </c>
      <c r="C9" s="30" t="s">
        <v>1541</v>
      </c>
      <c r="D9" s="30" t="s">
        <v>1542</v>
      </c>
      <c r="E9" s="30" t="s">
        <v>1543</v>
      </c>
      <c r="F9" s="30" t="s">
        <v>1544</v>
      </c>
      <c r="G9" s="30" t="s">
        <v>1545</v>
      </c>
      <c r="H9" s="30" t="s">
        <v>1546</v>
      </c>
      <c r="I9" s="30" t="s">
        <v>1547</v>
      </c>
      <c r="J9" s="31" t="s">
        <v>1548</v>
      </c>
      <c r="K9" s="31" t="s">
        <v>1594</v>
      </c>
      <c r="L9" s="31" t="s">
        <v>1549</v>
      </c>
      <c r="M9" s="32" t="s">
        <v>1551</v>
      </c>
      <c r="N9" s="131" t="s">
        <v>1573</v>
      </c>
      <c r="P9" s="133" t="s">
        <v>1574</v>
      </c>
      <c r="Q9" s="132" t="s">
        <v>1575</v>
      </c>
      <c r="R9" s="133" t="s">
        <v>1576</v>
      </c>
      <c r="S9" s="133" t="s">
        <v>1577</v>
      </c>
      <c r="T9" s="134"/>
      <c r="U9" s="133" t="s">
        <v>1574</v>
      </c>
      <c r="V9" s="132" t="s">
        <v>1575</v>
      </c>
      <c r="W9" s="133" t="s">
        <v>1576</v>
      </c>
      <c r="X9" s="133" t="s">
        <v>1577</v>
      </c>
    </row>
    <row r="10" spans="1:24" s="16" customFormat="1" ht="12.75">
      <c r="A10" s="33" t="s">
        <v>1552</v>
      </c>
      <c r="B10" s="34"/>
      <c r="C10" s="34"/>
      <c r="D10" s="34"/>
      <c r="E10" s="34"/>
      <c r="F10" s="34"/>
      <c r="G10" s="34"/>
      <c r="H10" s="34"/>
      <c r="I10" s="34"/>
      <c r="J10" s="34" t="s">
        <v>1553</v>
      </c>
      <c r="K10" s="34" t="s">
        <v>1552</v>
      </c>
      <c r="L10" s="35" t="s">
        <v>1554</v>
      </c>
      <c r="M10" s="36"/>
      <c r="N10" s="7"/>
    </row>
    <row r="11" spans="1:24" s="16" customFormat="1" ht="38.25">
      <c r="A11" s="37" t="s">
        <v>1552</v>
      </c>
      <c r="B11" s="38" t="s">
        <v>1555</v>
      </c>
      <c r="C11" s="39" t="s">
        <v>1556</v>
      </c>
      <c r="D11" s="39" t="s">
        <v>1557</v>
      </c>
      <c r="E11" s="39" t="s">
        <v>1558</v>
      </c>
      <c r="F11" s="39" t="s">
        <v>1559</v>
      </c>
      <c r="G11" s="39" t="s">
        <v>1560</v>
      </c>
      <c r="H11" s="39" t="s">
        <v>350</v>
      </c>
      <c r="I11" s="39" t="s">
        <v>1561</v>
      </c>
      <c r="J11" s="39" t="s">
        <v>1553</v>
      </c>
      <c r="K11" s="40" t="s">
        <v>1552</v>
      </c>
      <c r="L11" s="39" t="s">
        <v>1562</v>
      </c>
      <c r="M11" s="45" t="s">
        <v>1564</v>
      </c>
      <c r="N11" s="108">
        <v>690</v>
      </c>
      <c r="P11" s="179">
        <f>N11*$P$7</f>
        <v>131.40360000000001</v>
      </c>
      <c r="Q11" s="179">
        <f>N11*$Q$7</f>
        <v>71.007900000000006</v>
      </c>
      <c r="R11" s="179">
        <f>N11*$R$7</f>
        <v>50.811599999999999</v>
      </c>
      <c r="S11" s="179">
        <f>N11*$S$7</f>
        <v>40.682400000000001</v>
      </c>
      <c r="T11" s="179"/>
      <c r="U11" s="179">
        <f>N11*$U$7</f>
        <v>135.5436</v>
      </c>
      <c r="V11" s="179">
        <f>N11*$V$7</f>
        <v>75.147900000000007</v>
      </c>
      <c r="W11" s="179">
        <f>N11*$W$7</f>
        <v>54.951599999999999</v>
      </c>
      <c r="X11" s="179">
        <f>N11*$X$7</f>
        <v>44.822400000000002</v>
      </c>
    </row>
    <row r="12" spans="1:24" s="16" customFormat="1" ht="38.25">
      <c r="A12" s="37" t="s">
        <v>1565</v>
      </c>
      <c r="B12" s="38" t="s">
        <v>1566</v>
      </c>
      <c r="C12" s="39" t="s">
        <v>1556</v>
      </c>
      <c r="D12" s="39" t="s">
        <v>1557</v>
      </c>
      <c r="E12" s="39" t="s">
        <v>1558</v>
      </c>
      <c r="F12" s="39" t="s">
        <v>1559</v>
      </c>
      <c r="G12" s="39"/>
      <c r="H12" s="39" t="s">
        <v>350</v>
      </c>
      <c r="I12" s="39" t="s">
        <v>1567</v>
      </c>
      <c r="J12" s="39" t="s">
        <v>1553</v>
      </c>
      <c r="K12" s="40" t="s">
        <v>1568</v>
      </c>
      <c r="L12" s="40" t="s">
        <v>1563</v>
      </c>
      <c r="M12" s="45" t="s">
        <v>1564</v>
      </c>
      <c r="N12" s="108">
        <v>601</v>
      </c>
      <c r="P12" s="179">
        <f>N12*$P$7</f>
        <v>114.45444000000001</v>
      </c>
      <c r="Q12" s="179">
        <f>N12*$Q$7</f>
        <v>61.848910000000004</v>
      </c>
      <c r="R12" s="179">
        <f>N12*$R$7</f>
        <v>44.257639999999995</v>
      </c>
      <c r="S12" s="179">
        <f>N12*$S$7</f>
        <v>35.434959999999997</v>
      </c>
      <c r="T12" s="179"/>
      <c r="U12" s="179">
        <f>N12*$U$7</f>
        <v>118.06044</v>
      </c>
      <c r="V12" s="179">
        <f>N12*$V$7</f>
        <v>65.454909999999998</v>
      </c>
      <c r="W12" s="179">
        <f>N12*$W$7</f>
        <v>47.863640000000004</v>
      </c>
      <c r="X12" s="179">
        <f>N12*$X$7</f>
        <v>39.040960000000005</v>
      </c>
    </row>
    <row r="13" spans="1:24" s="16" customFormat="1" ht="15">
      <c r="A13" s="8"/>
      <c r="B13" s="8"/>
      <c r="C13" s="8"/>
      <c r="D13" s="8"/>
      <c r="E13" s="8"/>
      <c r="F13" s="8"/>
      <c r="G13" s="8"/>
      <c r="H13" s="8"/>
      <c r="J13"/>
      <c r="K13"/>
      <c r="L13"/>
      <c r="M13"/>
      <c r="N13"/>
    </row>
    <row r="14" spans="1:24" s="16" customFormat="1">
      <c r="A14" s="8"/>
      <c r="B14" s="8"/>
      <c r="C14" s="8"/>
      <c r="D14" s="8"/>
      <c r="E14" s="8"/>
      <c r="F14" s="8"/>
      <c r="G14" s="8"/>
      <c r="H14" s="8"/>
      <c r="J14" s="21"/>
      <c r="K14" s="3"/>
      <c r="L14" s="8"/>
      <c r="M14" s="8"/>
    </row>
    <row r="15" spans="1:24" s="16" customFormat="1">
      <c r="A15" s="8"/>
      <c r="B15" s="8"/>
      <c r="C15" s="8"/>
      <c r="D15" s="8"/>
      <c r="E15" s="8"/>
      <c r="F15" s="8"/>
      <c r="G15" s="8"/>
      <c r="H15" s="8"/>
      <c r="J15" s="21"/>
      <c r="K15" s="3"/>
      <c r="L15" s="8"/>
      <c r="M15" s="8"/>
    </row>
    <row r="16" spans="1:24" s="16" customFormat="1">
      <c r="A16" s="8"/>
      <c r="B16" s="8"/>
      <c r="C16" s="8"/>
      <c r="D16" s="8"/>
      <c r="E16" s="8"/>
      <c r="F16" s="8"/>
      <c r="G16" s="8"/>
      <c r="H16" s="8"/>
      <c r="J16" s="21"/>
      <c r="K16" s="3"/>
      <c r="L16" s="8"/>
      <c r="M16" s="8"/>
    </row>
    <row r="17" spans="1:13" s="16" customFormat="1">
      <c r="A17" s="8"/>
      <c r="B17" s="8"/>
      <c r="C17" s="8"/>
      <c r="D17" s="8"/>
      <c r="E17" s="8"/>
      <c r="F17" s="8"/>
      <c r="G17" s="8"/>
      <c r="H17" s="8"/>
      <c r="J17" s="21"/>
      <c r="K17" s="3"/>
      <c r="L17" s="8"/>
      <c r="M17" s="8"/>
    </row>
    <row r="18" spans="1:13" s="16" customFormat="1">
      <c r="A18" s="8"/>
      <c r="B18" s="8"/>
      <c r="C18" s="8"/>
      <c r="D18" s="8"/>
      <c r="E18" s="8"/>
      <c r="F18" s="8"/>
      <c r="G18" s="8"/>
      <c r="H18" s="8"/>
      <c r="J18" s="21"/>
      <c r="K18" s="3"/>
      <c r="L18" s="8"/>
      <c r="M18" s="8"/>
    </row>
    <row r="19" spans="1:13" s="16" customFormat="1">
      <c r="A19" s="8"/>
      <c r="B19" s="8"/>
      <c r="C19" s="8"/>
      <c r="D19" s="8"/>
      <c r="E19" s="8"/>
      <c r="F19" s="8"/>
      <c r="G19" s="8"/>
      <c r="H19" s="8"/>
      <c r="J19" s="21"/>
      <c r="K19" s="3"/>
      <c r="L19" s="8"/>
      <c r="M19" s="8"/>
    </row>
    <row r="20" spans="1:13" s="16" customFormat="1">
      <c r="A20" s="8"/>
      <c r="B20" s="8"/>
      <c r="C20" s="8"/>
      <c r="D20" s="8"/>
      <c r="E20" s="8"/>
      <c r="F20" s="8"/>
      <c r="G20" s="8"/>
      <c r="H20" s="8"/>
      <c r="J20" s="21"/>
      <c r="K20" s="3"/>
      <c r="L20" s="8"/>
      <c r="M20" s="8"/>
    </row>
    <row r="21" spans="1:13" s="16" customFormat="1">
      <c r="A21" s="8"/>
      <c r="B21" s="8"/>
      <c r="C21" s="8"/>
      <c r="D21" s="8"/>
      <c r="E21" s="8"/>
      <c r="F21" s="8"/>
      <c r="G21" s="8"/>
      <c r="H21" s="8"/>
      <c r="J21" s="21"/>
      <c r="K21" s="3"/>
      <c r="L21" s="8"/>
      <c r="M21" s="8"/>
    </row>
    <row r="22" spans="1:13" s="16" customFormat="1">
      <c r="A22" s="8"/>
      <c r="B22" s="8"/>
      <c r="C22" s="8"/>
      <c r="D22" s="8"/>
      <c r="E22" s="8"/>
      <c r="F22" s="8"/>
      <c r="G22" s="8"/>
      <c r="H22" s="8"/>
      <c r="J22" s="21"/>
      <c r="K22" s="3"/>
      <c r="L22" s="8"/>
      <c r="M22" s="8"/>
    </row>
  </sheetData>
  <mergeCells count="3">
    <mergeCell ref="A6:H6"/>
    <mergeCell ref="A7:H7"/>
    <mergeCell ref="A8:M8"/>
  </mergeCells>
  <conditionalFormatting sqref="B9">
    <cfRule type="duplicateValues" dxfId="9" priority="4"/>
    <cfRule type="duplicateValues" dxfId="8" priority="5"/>
    <cfRule type="duplicateValues" dxfId="7" priority="6"/>
  </conditionalFormatting>
  <conditionalFormatting sqref="B10:B11">
    <cfRule type="duplicateValues" dxfId="6" priority="3"/>
  </conditionalFormatting>
  <conditionalFormatting sqref="B12">
    <cfRule type="duplicateValues" dxfId="5" priority="1"/>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6:T397"/>
  <sheetViews>
    <sheetView topLeftCell="A339" zoomScale="50" zoomScaleNormal="50" workbookViewId="0">
      <selection activeCell="B379" sqref="B379"/>
    </sheetView>
  </sheetViews>
  <sheetFormatPr baseColWidth="10" defaultColWidth="11.42578125" defaultRowHeight="14.25"/>
  <cols>
    <col min="1" max="1" width="118.5703125" style="8" customWidth="1"/>
    <col min="2" max="2" width="80.85546875" style="8" customWidth="1"/>
    <col min="3" max="3" width="8.140625" style="41" customWidth="1"/>
    <col min="4" max="4" width="11.42578125" style="12" customWidth="1"/>
    <col min="5" max="5" width="10.42578125" style="12" customWidth="1"/>
    <col min="6" max="6" width="11.140625" style="12" customWidth="1"/>
    <col min="7" max="7" width="10.85546875" style="12" customWidth="1"/>
    <col min="8" max="8" width="9.85546875" style="12" customWidth="1"/>
    <col min="9" max="10" width="10.85546875" style="12" customWidth="1"/>
    <col min="11" max="11" width="15.140625" style="13" customWidth="1"/>
    <col min="12" max="12" width="13.42578125" style="10" customWidth="1"/>
    <col min="13" max="13" width="2.140625" style="8" customWidth="1"/>
    <col min="14" max="14" width="14.5703125" style="8" customWidth="1"/>
    <col min="15" max="15" width="13.42578125" style="8" customWidth="1"/>
    <col min="16" max="19" width="11.42578125" style="8"/>
    <col min="20" max="20" width="14.140625" style="8" customWidth="1"/>
    <col min="21" max="16384" width="11.42578125" style="8"/>
  </cols>
  <sheetData>
    <row r="6" spans="1:20" s="3" customFormat="1" ht="20.25" customHeight="1">
      <c r="A6" s="2" t="s">
        <v>114</v>
      </c>
      <c r="B6" s="2"/>
      <c r="C6" s="22"/>
      <c r="D6" s="67"/>
      <c r="E6" s="67"/>
      <c r="F6" s="67"/>
      <c r="G6" s="67"/>
      <c r="H6" s="67"/>
      <c r="I6" s="67"/>
      <c r="J6" s="67"/>
      <c r="K6" s="4"/>
      <c r="L6" s="130"/>
      <c r="N6" s="355" t="s">
        <v>1595</v>
      </c>
      <c r="O6" s="356"/>
      <c r="P6" s="356"/>
      <c r="Q6" s="356"/>
      <c r="R6" s="356"/>
      <c r="S6" s="356"/>
      <c r="T6" s="357"/>
    </row>
    <row r="7" spans="1:20" s="3" customFormat="1" ht="40.5">
      <c r="A7" s="2" t="s">
        <v>115</v>
      </c>
      <c r="B7" s="2"/>
      <c r="C7" s="22"/>
      <c r="D7" s="67"/>
      <c r="E7" s="67"/>
      <c r="F7" s="67"/>
      <c r="G7" s="67"/>
      <c r="H7" s="67"/>
      <c r="I7" s="67"/>
      <c r="J7" s="67"/>
      <c r="K7" s="4"/>
      <c r="L7" s="171"/>
      <c r="N7" s="53" t="s">
        <v>1596</v>
      </c>
      <c r="O7" s="53" t="s">
        <v>1597</v>
      </c>
      <c r="P7" s="53" t="s">
        <v>1598</v>
      </c>
      <c r="Q7" s="53" t="s">
        <v>1599</v>
      </c>
      <c r="R7" s="53" t="s">
        <v>1600</v>
      </c>
      <c r="S7" s="53" t="s">
        <v>1601</v>
      </c>
      <c r="T7" s="53" t="s">
        <v>1602</v>
      </c>
    </row>
    <row r="8" spans="1:20" s="3" customFormat="1" ht="20.25">
      <c r="A8" s="4"/>
      <c r="B8" s="4"/>
      <c r="C8" s="22"/>
      <c r="D8" s="67"/>
      <c r="E8" s="67"/>
      <c r="F8" s="67"/>
      <c r="G8" s="67"/>
      <c r="H8" s="67"/>
      <c r="I8" s="67"/>
      <c r="J8" s="67"/>
      <c r="K8" s="4"/>
      <c r="L8" s="130"/>
      <c r="N8" s="150">
        <v>0.3765</v>
      </c>
      <c r="O8" s="150">
        <v>0.3765</v>
      </c>
      <c r="P8" s="150">
        <v>0.45200000000000001</v>
      </c>
      <c r="Q8" s="150">
        <v>0.379</v>
      </c>
      <c r="R8" s="150">
        <v>0.499</v>
      </c>
      <c r="S8" s="150">
        <v>0.43</v>
      </c>
      <c r="T8" s="150">
        <v>0.48299999999999998</v>
      </c>
    </row>
    <row r="9" spans="1:20" s="3" customFormat="1" ht="20.25">
      <c r="A9" s="86" t="s">
        <v>116</v>
      </c>
      <c r="B9" s="87"/>
      <c r="C9" s="121"/>
      <c r="D9" s="88"/>
      <c r="E9" s="88"/>
      <c r="F9" s="88"/>
      <c r="G9" s="88"/>
      <c r="H9" s="88"/>
      <c r="I9" s="88"/>
      <c r="J9" s="88"/>
      <c r="K9" s="86"/>
      <c r="L9" s="227"/>
      <c r="N9" s="358" t="s">
        <v>1603</v>
      </c>
      <c r="O9" s="358"/>
      <c r="P9" s="358"/>
      <c r="Q9" s="358"/>
      <c r="R9" s="358"/>
      <c r="S9" s="358"/>
      <c r="T9" s="358"/>
    </row>
    <row r="10" spans="1:20" s="3" customFormat="1" ht="111.75" customHeight="1">
      <c r="A10" s="5" t="s">
        <v>117</v>
      </c>
      <c r="B10" s="5" t="s">
        <v>118</v>
      </c>
      <c r="C10" s="5" t="s">
        <v>119</v>
      </c>
      <c r="D10" s="5"/>
      <c r="E10" s="5"/>
      <c r="F10" s="5"/>
      <c r="G10" s="5"/>
      <c r="H10" s="68"/>
      <c r="I10" s="68"/>
      <c r="J10" s="68"/>
      <c r="K10" s="5" t="s">
        <v>120</v>
      </c>
      <c r="L10" s="6" t="s">
        <v>1604</v>
      </c>
      <c r="N10" s="149" t="s">
        <v>1605</v>
      </c>
      <c r="O10" s="149" t="s">
        <v>1605</v>
      </c>
      <c r="P10" s="149" t="s">
        <v>1605</v>
      </c>
      <c r="Q10" s="149" t="s">
        <v>1605</v>
      </c>
      <c r="R10" s="149" t="s">
        <v>1605</v>
      </c>
      <c r="S10" s="149" t="s">
        <v>1605</v>
      </c>
      <c r="T10" s="149" t="s">
        <v>1605</v>
      </c>
    </row>
    <row r="11" spans="1:20" s="3" customFormat="1" ht="171.95" customHeight="1">
      <c r="A11" s="113" t="s">
        <v>123</v>
      </c>
      <c r="B11" s="114" t="s">
        <v>124</v>
      </c>
      <c r="C11" s="115"/>
      <c r="D11" s="116"/>
      <c r="E11" s="116"/>
      <c r="F11" s="116"/>
      <c r="G11" s="116"/>
      <c r="H11" s="116"/>
      <c r="I11" s="116"/>
      <c r="J11" s="116"/>
      <c r="K11" s="182"/>
      <c r="L11" s="173">
        <v>352</v>
      </c>
      <c r="N11" s="271">
        <f>L11*$N$8</f>
        <v>132.52799999999999</v>
      </c>
      <c r="O11" s="271">
        <f>L11*$O$8</f>
        <v>132.52799999999999</v>
      </c>
      <c r="P11" s="271">
        <f>L11*$P$8</f>
        <v>159.10400000000001</v>
      </c>
      <c r="Q11" s="271">
        <f>L11*$Q$8</f>
        <v>133.40800000000002</v>
      </c>
      <c r="R11" s="271">
        <f>L11*$R$8</f>
        <v>175.648</v>
      </c>
      <c r="S11" s="271">
        <f>L11*$S$8</f>
        <v>151.35999999999999</v>
      </c>
      <c r="T11" s="271">
        <f>L11*$T$8</f>
        <v>170.01599999999999</v>
      </c>
    </row>
    <row r="12" spans="1:20" s="3" customFormat="1">
      <c r="A12" s="113"/>
      <c r="B12" s="114"/>
      <c r="C12" s="115"/>
      <c r="D12" s="116"/>
      <c r="E12" s="116"/>
      <c r="F12" s="116"/>
      <c r="G12" s="116"/>
      <c r="H12" s="116"/>
      <c r="I12" s="116"/>
      <c r="J12" s="116"/>
      <c r="K12" s="182"/>
      <c r="L12" s="173"/>
      <c r="N12" s="271"/>
      <c r="O12" s="271"/>
      <c r="P12" s="271"/>
      <c r="Q12" s="271"/>
      <c r="R12" s="271"/>
      <c r="S12" s="271"/>
      <c r="T12" s="271"/>
    </row>
    <row r="13" spans="1:20" s="3" customFormat="1" ht="160.5" customHeight="1">
      <c r="A13" s="113" t="s">
        <v>125</v>
      </c>
      <c r="B13" s="114" t="s">
        <v>126</v>
      </c>
      <c r="C13" s="115"/>
      <c r="D13" s="116"/>
      <c r="E13" s="116"/>
      <c r="F13" s="116"/>
      <c r="G13" s="116"/>
      <c r="H13" s="116"/>
      <c r="I13" s="116"/>
      <c r="J13" s="116"/>
      <c r="K13" s="182"/>
      <c r="L13" s="173">
        <v>333</v>
      </c>
      <c r="N13" s="271">
        <f t="shared" ref="N13:N77" si="0">L13*$N$8</f>
        <v>125.3745</v>
      </c>
      <c r="O13" s="271">
        <f t="shared" ref="O13:O77" si="1">L13*$O$8</f>
        <v>125.3745</v>
      </c>
      <c r="P13" s="271">
        <f t="shared" ref="P13:P77" si="2">L13*$P$8</f>
        <v>150.51599999999999</v>
      </c>
      <c r="Q13" s="271">
        <f t="shared" ref="Q13:Q77" si="3">L13*$Q$8</f>
        <v>126.20700000000001</v>
      </c>
      <c r="R13" s="271">
        <f t="shared" ref="R13:R77" si="4">L13*$R$8</f>
        <v>166.167</v>
      </c>
      <c r="S13" s="271">
        <f t="shared" ref="S13:S77" si="5">L13*$S$8</f>
        <v>143.19</v>
      </c>
      <c r="T13" s="271">
        <f t="shared" ref="T13:T77" si="6">L13*$T$8</f>
        <v>160.839</v>
      </c>
    </row>
    <row r="14" spans="1:20" s="3" customFormat="1" ht="15.75" customHeight="1">
      <c r="A14" s="113"/>
      <c r="B14" s="114"/>
      <c r="C14" s="115"/>
      <c r="D14" s="116"/>
      <c r="E14" s="116"/>
      <c r="F14" s="116"/>
      <c r="G14" s="116"/>
      <c r="H14" s="116"/>
      <c r="I14" s="116"/>
      <c r="J14" s="116"/>
      <c r="K14" s="182"/>
      <c r="L14" s="173"/>
      <c r="N14" s="271"/>
      <c r="O14" s="271"/>
      <c r="P14" s="271"/>
      <c r="Q14" s="271"/>
      <c r="R14" s="271"/>
      <c r="S14" s="271"/>
      <c r="T14" s="271"/>
    </row>
    <row r="15" spans="1:20" s="3" customFormat="1" ht="162.94999999999999" customHeight="1">
      <c r="A15" s="113" t="s">
        <v>127</v>
      </c>
      <c r="B15" s="114" t="s">
        <v>128</v>
      </c>
      <c r="C15" s="115"/>
      <c r="D15" s="116"/>
      <c r="E15" s="116"/>
      <c r="F15" s="116"/>
      <c r="G15" s="116"/>
      <c r="H15" s="116"/>
      <c r="I15" s="116"/>
      <c r="J15" s="116"/>
      <c r="K15" s="182"/>
      <c r="L15" s="173">
        <v>352</v>
      </c>
      <c r="N15" s="271">
        <f t="shared" si="0"/>
        <v>132.52799999999999</v>
      </c>
      <c r="O15" s="271">
        <f t="shared" si="1"/>
        <v>132.52799999999999</v>
      </c>
      <c r="P15" s="271">
        <f t="shared" si="2"/>
        <v>159.10400000000001</v>
      </c>
      <c r="Q15" s="271">
        <f t="shared" si="3"/>
        <v>133.40800000000002</v>
      </c>
      <c r="R15" s="271">
        <f t="shared" si="4"/>
        <v>175.648</v>
      </c>
      <c r="S15" s="271">
        <f t="shared" si="5"/>
        <v>151.35999999999999</v>
      </c>
      <c r="T15" s="271">
        <f t="shared" si="6"/>
        <v>170.01599999999999</v>
      </c>
    </row>
    <row r="16" spans="1:20" ht="12.75" customHeight="1">
      <c r="A16" s="113"/>
      <c r="B16" s="114"/>
      <c r="C16" s="115"/>
      <c r="D16" s="116"/>
      <c r="E16" s="116"/>
      <c r="F16" s="116"/>
      <c r="G16" s="116"/>
      <c r="H16" s="116"/>
      <c r="I16" s="116"/>
      <c r="J16" s="116"/>
      <c r="K16" s="182"/>
      <c r="L16" s="173"/>
      <c r="N16" s="249"/>
      <c r="O16" s="249"/>
      <c r="P16" s="249"/>
      <c r="Q16" s="249"/>
      <c r="R16" s="249"/>
      <c r="S16" s="249"/>
      <c r="T16" s="249"/>
    </row>
    <row r="17" spans="1:20" ht="156.75" customHeight="1">
      <c r="A17" s="117" t="s">
        <v>129</v>
      </c>
      <c r="B17" s="114" t="s">
        <v>130</v>
      </c>
      <c r="C17" s="115"/>
      <c r="D17" s="116"/>
      <c r="E17" s="116"/>
      <c r="F17" s="116"/>
      <c r="G17" s="116"/>
      <c r="H17" s="116"/>
      <c r="I17" s="116"/>
      <c r="J17" s="116"/>
      <c r="K17" s="182"/>
      <c r="L17" s="173">
        <v>333</v>
      </c>
      <c r="N17" s="249">
        <f t="shared" si="0"/>
        <v>125.3745</v>
      </c>
      <c r="O17" s="249">
        <f t="shared" si="1"/>
        <v>125.3745</v>
      </c>
      <c r="P17" s="249">
        <f t="shared" si="2"/>
        <v>150.51599999999999</v>
      </c>
      <c r="Q17" s="249">
        <f t="shared" si="3"/>
        <v>126.20700000000001</v>
      </c>
      <c r="R17" s="249">
        <f t="shared" si="4"/>
        <v>166.167</v>
      </c>
      <c r="S17" s="249">
        <f t="shared" si="5"/>
        <v>143.19</v>
      </c>
      <c r="T17" s="249">
        <f t="shared" si="6"/>
        <v>160.839</v>
      </c>
    </row>
    <row r="18" spans="1:20" ht="15.75" customHeight="1">
      <c r="A18" s="113"/>
      <c r="B18" s="114"/>
      <c r="C18" s="115"/>
      <c r="D18" s="116"/>
      <c r="E18" s="116"/>
      <c r="F18" s="116"/>
      <c r="G18" s="116"/>
      <c r="H18" s="116"/>
      <c r="I18" s="116"/>
      <c r="J18" s="116"/>
      <c r="K18" s="182"/>
      <c r="L18" s="173"/>
      <c r="N18" s="249"/>
      <c r="O18" s="249"/>
      <c r="P18" s="249"/>
      <c r="Q18" s="249"/>
      <c r="R18" s="249"/>
      <c r="S18" s="249"/>
      <c r="T18" s="249"/>
    </row>
    <row r="19" spans="1:20" ht="144.94999999999999" customHeight="1">
      <c r="A19" s="233" t="s">
        <v>1653</v>
      </c>
      <c r="B19" s="114" t="s">
        <v>131</v>
      </c>
      <c r="C19" s="115"/>
      <c r="D19" s="116"/>
      <c r="E19" s="116"/>
      <c r="F19" s="116"/>
      <c r="G19" s="116"/>
      <c r="H19" s="116"/>
      <c r="I19" s="116"/>
      <c r="J19" s="116"/>
      <c r="K19" s="182"/>
      <c r="L19" s="173">
        <v>438</v>
      </c>
      <c r="N19" s="249">
        <f t="shared" si="0"/>
        <v>164.90700000000001</v>
      </c>
      <c r="O19" s="249">
        <f t="shared" si="1"/>
        <v>164.90700000000001</v>
      </c>
      <c r="P19" s="249">
        <f t="shared" si="2"/>
        <v>197.976</v>
      </c>
      <c r="Q19" s="249">
        <f t="shared" si="3"/>
        <v>166.00200000000001</v>
      </c>
      <c r="R19" s="249">
        <f t="shared" si="4"/>
        <v>218.56200000000001</v>
      </c>
      <c r="S19" s="249">
        <f t="shared" si="5"/>
        <v>188.34</v>
      </c>
      <c r="T19" s="249">
        <f t="shared" si="6"/>
        <v>211.554</v>
      </c>
    </row>
    <row r="20" spans="1:20" ht="31.5">
      <c r="A20" s="113"/>
      <c r="B20" s="114"/>
      <c r="C20" s="115"/>
      <c r="D20" s="116"/>
      <c r="E20" s="116"/>
      <c r="F20" s="116"/>
      <c r="G20" s="116"/>
      <c r="H20" s="116"/>
      <c r="I20" s="116"/>
      <c r="J20" s="116"/>
      <c r="K20" s="182"/>
      <c r="L20" s="173"/>
      <c r="N20" s="180" t="s">
        <v>1596</v>
      </c>
      <c r="O20" s="180" t="s">
        <v>1597</v>
      </c>
      <c r="P20" s="180" t="s">
        <v>1598</v>
      </c>
      <c r="Q20" s="180" t="s">
        <v>1599</v>
      </c>
      <c r="R20" s="180" t="s">
        <v>1600</v>
      </c>
      <c r="S20" s="180" t="s">
        <v>1601</v>
      </c>
      <c r="T20" s="180" t="s">
        <v>1602</v>
      </c>
    </row>
    <row r="21" spans="1:20" ht="25.5">
      <c r="A21" s="9" t="s">
        <v>132</v>
      </c>
      <c r="B21" s="5" t="s">
        <v>118</v>
      </c>
      <c r="C21" s="5" t="s">
        <v>119</v>
      </c>
      <c r="D21" s="5" t="s">
        <v>133</v>
      </c>
      <c r="E21" s="5" t="s">
        <v>134</v>
      </c>
      <c r="F21" s="5" t="s">
        <v>135</v>
      </c>
      <c r="G21" s="5" t="s">
        <v>136</v>
      </c>
      <c r="H21" s="5" t="s">
        <v>137</v>
      </c>
      <c r="I21" s="68"/>
      <c r="J21" s="68"/>
      <c r="K21" s="5" t="s">
        <v>138</v>
      </c>
      <c r="L21" s="6" t="s">
        <v>938</v>
      </c>
      <c r="N21" s="149" t="s">
        <v>1605</v>
      </c>
      <c r="O21" s="149" t="s">
        <v>1605</v>
      </c>
      <c r="P21" s="149" t="s">
        <v>1605</v>
      </c>
      <c r="Q21" s="149" t="s">
        <v>1605</v>
      </c>
      <c r="R21" s="149" t="s">
        <v>1605</v>
      </c>
      <c r="S21" s="149" t="s">
        <v>1605</v>
      </c>
      <c r="T21" s="149" t="s">
        <v>1605</v>
      </c>
    </row>
    <row r="22" spans="1:20">
      <c r="A22" s="89" t="s">
        <v>140</v>
      </c>
      <c r="B22" s="90"/>
      <c r="C22" s="90"/>
      <c r="D22" s="91"/>
      <c r="E22" s="91"/>
      <c r="F22" s="91"/>
      <c r="G22" s="91"/>
      <c r="H22" s="91"/>
      <c r="I22" s="91"/>
      <c r="J22" s="91"/>
      <c r="K22" s="90"/>
      <c r="L22" s="168"/>
      <c r="N22" s="238"/>
      <c r="O22" s="238"/>
      <c r="P22" s="238"/>
      <c r="Q22" s="238"/>
      <c r="R22" s="238"/>
      <c r="S22" s="238"/>
      <c r="T22" s="238"/>
    </row>
    <row r="23" spans="1:20">
      <c r="A23" s="109" t="s">
        <v>1578</v>
      </c>
      <c r="B23" s="109" t="s">
        <v>142</v>
      </c>
      <c r="C23" s="118"/>
      <c r="D23" s="105"/>
      <c r="E23" s="105" t="s">
        <v>143</v>
      </c>
      <c r="F23" s="105"/>
      <c r="G23" s="105" t="s">
        <v>144</v>
      </c>
      <c r="H23" s="105" t="s">
        <v>145</v>
      </c>
      <c r="I23" s="105"/>
      <c r="J23" s="105"/>
      <c r="K23" s="118"/>
      <c r="L23" s="173">
        <v>62</v>
      </c>
      <c r="N23" s="239">
        <f t="shared" si="0"/>
        <v>23.343</v>
      </c>
      <c r="O23" s="239">
        <f t="shared" si="1"/>
        <v>23.343</v>
      </c>
      <c r="P23" s="239">
        <f t="shared" si="2"/>
        <v>28.024000000000001</v>
      </c>
      <c r="Q23" s="239">
        <f t="shared" si="3"/>
        <v>23.498000000000001</v>
      </c>
      <c r="R23" s="239">
        <f t="shared" si="4"/>
        <v>30.937999999999999</v>
      </c>
      <c r="S23" s="239">
        <f t="shared" si="5"/>
        <v>26.66</v>
      </c>
      <c r="T23" s="239">
        <f t="shared" si="6"/>
        <v>29.945999999999998</v>
      </c>
    </row>
    <row r="24" spans="1:20">
      <c r="A24" s="109" t="s">
        <v>146</v>
      </c>
      <c r="B24" s="109" t="s">
        <v>147</v>
      </c>
      <c r="C24" s="118"/>
      <c r="D24" s="105"/>
      <c r="E24" s="105" t="s">
        <v>148</v>
      </c>
      <c r="F24" s="105"/>
      <c r="G24" s="105" t="s">
        <v>149</v>
      </c>
      <c r="H24" s="8"/>
      <c r="I24" s="105"/>
      <c r="J24" s="105"/>
      <c r="K24" s="118"/>
      <c r="L24" s="173">
        <v>62</v>
      </c>
      <c r="N24" s="239">
        <f t="shared" ref="N24" si="7">L24*$N$8</f>
        <v>23.343</v>
      </c>
      <c r="O24" s="239">
        <f t="shared" ref="O24" si="8">L24*$O$8</f>
        <v>23.343</v>
      </c>
      <c r="P24" s="239">
        <f t="shared" ref="P24" si="9">L24*$P$8</f>
        <v>28.024000000000001</v>
      </c>
      <c r="Q24" s="239">
        <f t="shared" ref="Q24" si="10">L24*$Q$8</f>
        <v>23.498000000000001</v>
      </c>
      <c r="R24" s="239">
        <f t="shared" ref="R24" si="11">L24*$R$8</f>
        <v>30.937999999999999</v>
      </c>
      <c r="S24" s="239">
        <f t="shared" ref="S24" si="12">L24*$S$8</f>
        <v>26.66</v>
      </c>
      <c r="T24" s="239">
        <f t="shared" ref="T24" si="13">L24*$T$8</f>
        <v>29.945999999999998</v>
      </c>
    </row>
    <row r="25" spans="1:20">
      <c r="A25" s="109" t="s">
        <v>150</v>
      </c>
      <c r="B25" s="109" t="s">
        <v>151</v>
      </c>
      <c r="C25" s="118"/>
      <c r="D25" s="105"/>
      <c r="E25" s="105"/>
      <c r="F25" s="105"/>
      <c r="G25" s="105"/>
      <c r="H25" s="105" t="s">
        <v>152</v>
      </c>
      <c r="I25" s="105"/>
      <c r="J25" s="105"/>
      <c r="K25" s="118"/>
      <c r="L25" s="173">
        <v>62</v>
      </c>
      <c r="N25" s="239">
        <f t="shared" ref="N25" si="14">L25*$N$8</f>
        <v>23.343</v>
      </c>
      <c r="O25" s="239">
        <f t="shared" ref="O25" si="15">L25*$O$8</f>
        <v>23.343</v>
      </c>
      <c r="P25" s="239">
        <f t="shared" ref="P25" si="16">L25*$P$8</f>
        <v>28.024000000000001</v>
      </c>
      <c r="Q25" s="239">
        <f t="shared" ref="Q25" si="17">L25*$Q$8</f>
        <v>23.498000000000001</v>
      </c>
      <c r="R25" s="239">
        <f t="shared" ref="R25" si="18">L25*$R$8</f>
        <v>30.937999999999999</v>
      </c>
      <c r="S25" s="239">
        <f t="shared" ref="S25" si="19">L25*$S$8</f>
        <v>26.66</v>
      </c>
      <c r="T25" s="239">
        <f t="shared" ref="T25" si="20">L25*$T$8</f>
        <v>29.945999999999998</v>
      </c>
    </row>
    <row r="26" spans="1:20">
      <c r="A26" s="109" t="s">
        <v>153</v>
      </c>
      <c r="B26" s="109" t="s">
        <v>154</v>
      </c>
      <c r="C26" s="118"/>
      <c r="D26" s="105" t="s">
        <v>155</v>
      </c>
      <c r="E26" s="105"/>
      <c r="F26" s="105" t="s">
        <v>156</v>
      </c>
      <c r="G26" s="105"/>
      <c r="H26" s="105"/>
      <c r="I26" s="105"/>
      <c r="J26" s="105"/>
      <c r="K26" s="118"/>
      <c r="L26" s="173">
        <v>80</v>
      </c>
      <c r="N26" s="239">
        <f t="shared" si="0"/>
        <v>30.12</v>
      </c>
      <c r="O26" s="239">
        <f t="shared" si="1"/>
        <v>30.12</v>
      </c>
      <c r="P26" s="239">
        <f t="shared" si="2"/>
        <v>36.160000000000004</v>
      </c>
      <c r="Q26" s="239">
        <f t="shared" si="3"/>
        <v>30.32</v>
      </c>
      <c r="R26" s="239">
        <f t="shared" si="4"/>
        <v>39.92</v>
      </c>
      <c r="S26" s="239">
        <f t="shared" si="5"/>
        <v>34.4</v>
      </c>
      <c r="T26" s="239">
        <f t="shared" si="6"/>
        <v>38.64</v>
      </c>
    </row>
    <row r="27" spans="1:20">
      <c r="A27" s="109" t="s">
        <v>157</v>
      </c>
      <c r="B27" s="109" t="s">
        <v>158</v>
      </c>
      <c r="C27" s="118"/>
      <c r="D27" s="105" t="s">
        <v>159</v>
      </c>
      <c r="E27" s="105"/>
      <c r="F27" s="105" t="s">
        <v>160</v>
      </c>
      <c r="G27" s="105"/>
      <c r="H27" s="105"/>
      <c r="I27" s="105"/>
      <c r="J27" s="105"/>
      <c r="K27" s="118"/>
      <c r="L27" s="173">
        <v>80</v>
      </c>
      <c r="N27" s="239">
        <f t="shared" si="0"/>
        <v>30.12</v>
      </c>
      <c r="O27" s="239">
        <f t="shared" si="1"/>
        <v>30.12</v>
      </c>
      <c r="P27" s="239">
        <f t="shared" si="2"/>
        <v>36.160000000000004</v>
      </c>
      <c r="Q27" s="239">
        <f t="shared" si="3"/>
        <v>30.32</v>
      </c>
      <c r="R27" s="239">
        <f t="shared" si="4"/>
        <v>39.92</v>
      </c>
      <c r="S27" s="239">
        <f t="shared" si="5"/>
        <v>34.4</v>
      </c>
      <c r="T27" s="239">
        <f t="shared" si="6"/>
        <v>38.64</v>
      </c>
    </row>
    <row r="28" spans="1:20">
      <c r="A28" s="109" t="s">
        <v>1579</v>
      </c>
      <c r="B28" s="109" t="s">
        <v>162</v>
      </c>
      <c r="C28" s="118"/>
      <c r="D28" s="105"/>
      <c r="E28" s="105" t="s">
        <v>163</v>
      </c>
      <c r="F28" s="105"/>
      <c r="G28" s="105"/>
      <c r="H28" s="105" t="s">
        <v>164</v>
      </c>
      <c r="I28" s="105"/>
      <c r="J28" s="105"/>
      <c r="K28" s="118"/>
      <c r="L28" s="173">
        <v>152</v>
      </c>
      <c r="N28" s="239">
        <f t="shared" si="0"/>
        <v>57.228000000000002</v>
      </c>
      <c r="O28" s="239">
        <f t="shared" si="1"/>
        <v>57.228000000000002</v>
      </c>
      <c r="P28" s="239">
        <f t="shared" si="2"/>
        <v>68.704000000000008</v>
      </c>
      <c r="Q28" s="239">
        <f t="shared" si="3"/>
        <v>57.608000000000004</v>
      </c>
      <c r="R28" s="239">
        <f t="shared" si="4"/>
        <v>75.847999999999999</v>
      </c>
      <c r="S28" s="239">
        <f t="shared" si="5"/>
        <v>65.36</v>
      </c>
      <c r="T28" s="239">
        <f t="shared" si="6"/>
        <v>73.415999999999997</v>
      </c>
    </row>
    <row r="29" spans="1:20">
      <c r="A29" s="109" t="s">
        <v>165</v>
      </c>
      <c r="B29" s="109" t="s">
        <v>166</v>
      </c>
      <c r="C29" s="118"/>
      <c r="D29" s="105"/>
      <c r="E29" s="105" t="s">
        <v>167</v>
      </c>
      <c r="F29" s="105"/>
      <c r="G29" s="105"/>
      <c r="H29" s="105"/>
      <c r="I29" s="105"/>
      <c r="J29" s="105"/>
      <c r="K29" s="118"/>
      <c r="L29" s="173">
        <v>152</v>
      </c>
      <c r="N29" s="239">
        <f t="shared" ref="N29" si="21">L29*$N$8</f>
        <v>57.228000000000002</v>
      </c>
      <c r="O29" s="239">
        <f t="shared" ref="O29" si="22">L29*$O$8</f>
        <v>57.228000000000002</v>
      </c>
      <c r="P29" s="239">
        <f t="shared" ref="P29" si="23">L29*$P$8</f>
        <v>68.704000000000008</v>
      </c>
      <c r="Q29" s="239">
        <f t="shared" ref="Q29" si="24">L29*$Q$8</f>
        <v>57.608000000000004</v>
      </c>
      <c r="R29" s="239">
        <f t="shared" ref="R29" si="25">L29*$R$8</f>
        <v>75.847999999999999</v>
      </c>
      <c r="S29" s="239">
        <f t="shared" ref="S29" si="26">L29*$S$8</f>
        <v>65.36</v>
      </c>
      <c r="T29" s="239">
        <f t="shared" ref="T29" si="27">L29*$T$8</f>
        <v>73.415999999999997</v>
      </c>
    </row>
    <row r="30" spans="1:20">
      <c r="A30" s="109" t="s">
        <v>1580</v>
      </c>
      <c r="B30" s="109" t="s">
        <v>169</v>
      </c>
      <c r="C30" s="118"/>
      <c r="D30" s="105"/>
      <c r="E30" s="105"/>
      <c r="F30" s="105"/>
      <c r="G30" s="105" t="s">
        <v>170</v>
      </c>
      <c r="H30" s="105"/>
      <c r="I30" s="105"/>
      <c r="J30" s="105"/>
      <c r="K30" s="118"/>
      <c r="L30" s="173">
        <v>152</v>
      </c>
      <c r="N30" s="239">
        <f t="shared" si="0"/>
        <v>57.228000000000002</v>
      </c>
      <c r="O30" s="239">
        <f t="shared" si="1"/>
        <v>57.228000000000002</v>
      </c>
      <c r="P30" s="239">
        <f t="shared" si="2"/>
        <v>68.704000000000008</v>
      </c>
      <c r="Q30" s="239">
        <f t="shared" si="3"/>
        <v>57.608000000000004</v>
      </c>
      <c r="R30" s="239">
        <f t="shared" si="4"/>
        <v>75.847999999999999</v>
      </c>
      <c r="S30" s="239">
        <f t="shared" si="5"/>
        <v>65.36</v>
      </c>
      <c r="T30" s="239">
        <f t="shared" si="6"/>
        <v>73.415999999999997</v>
      </c>
    </row>
    <row r="31" spans="1:20">
      <c r="A31" s="109" t="s">
        <v>171</v>
      </c>
      <c r="B31" s="109" t="s">
        <v>172</v>
      </c>
      <c r="C31" s="118"/>
      <c r="D31" s="105"/>
      <c r="E31" s="105"/>
      <c r="F31" s="105"/>
      <c r="G31" s="105" t="s">
        <v>173</v>
      </c>
      <c r="H31" s="105"/>
      <c r="I31" s="105"/>
      <c r="J31" s="105"/>
      <c r="K31" s="118"/>
      <c r="L31" s="173">
        <v>152</v>
      </c>
      <c r="N31" s="239">
        <f t="shared" ref="N31" si="28">L31*$N$8</f>
        <v>57.228000000000002</v>
      </c>
      <c r="O31" s="239">
        <f t="shared" ref="O31" si="29">L31*$O$8</f>
        <v>57.228000000000002</v>
      </c>
      <c r="P31" s="239">
        <f t="shared" ref="P31" si="30">L31*$P$8</f>
        <v>68.704000000000008</v>
      </c>
      <c r="Q31" s="239">
        <f t="shared" ref="Q31" si="31">L31*$Q$8</f>
        <v>57.608000000000004</v>
      </c>
      <c r="R31" s="239">
        <f t="shared" ref="R31" si="32">L31*$R$8</f>
        <v>75.847999999999999</v>
      </c>
      <c r="S31" s="239">
        <f t="shared" ref="S31" si="33">L31*$S$8</f>
        <v>65.36</v>
      </c>
      <c r="T31" s="239">
        <f t="shared" ref="T31" si="34">L31*$T$8</f>
        <v>73.415999999999997</v>
      </c>
    </row>
    <row r="32" spans="1:20">
      <c r="A32" s="109" t="s">
        <v>174</v>
      </c>
      <c r="B32" s="109" t="s">
        <v>175</v>
      </c>
      <c r="C32" s="118"/>
      <c r="D32" s="105" t="s">
        <v>176</v>
      </c>
      <c r="E32" s="105"/>
      <c r="F32" s="105" t="s">
        <v>177</v>
      </c>
      <c r="G32" s="105"/>
      <c r="H32" s="105"/>
      <c r="I32" s="105"/>
      <c r="J32" s="105"/>
      <c r="K32" s="118"/>
      <c r="L32" s="173">
        <v>175</v>
      </c>
      <c r="N32" s="239">
        <f t="shared" si="0"/>
        <v>65.887500000000003</v>
      </c>
      <c r="O32" s="239">
        <f t="shared" si="1"/>
        <v>65.887500000000003</v>
      </c>
      <c r="P32" s="239">
        <f t="shared" si="2"/>
        <v>79.100000000000009</v>
      </c>
      <c r="Q32" s="239">
        <f t="shared" si="3"/>
        <v>66.325000000000003</v>
      </c>
      <c r="R32" s="239">
        <f t="shared" si="4"/>
        <v>87.325000000000003</v>
      </c>
      <c r="S32" s="239">
        <f t="shared" si="5"/>
        <v>75.25</v>
      </c>
      <c r="T32" s="239">
        <f t="shared" si="6"/>
        <v>84.524999999999991</v>
      </c>
    </row>
    <row r="33" spans="1:20">
      <c r="A33" s="109" t="s">
        <v>178</v>
      </c>
      <c r="B33" s="109" t="s">
        <v>179</v>
      </c>
      <c r="C33" s="118"/>
      <c r="D33" s="105" t="s">
        <v>180</v>
      </c>
      <c r="E33" s="105"/>
      <c r="F33" s="105" t="s">
        <v>181</v>
      </c>
      <c r="G33" s="105"/>
      <c r="H33" s="105"/>
      <c r="I33" s="105"/>
      <c r="J33" s="105"/>
      <c r="K33" s="118"/>
      <c r="L33" s="173">
        <v>204</v>
      </c>
      <c r="N33" s="239">
        <f t="shared" si="0"/>
        <v>76.805999999999997</v>
      </c>
      <c r="O33" s="239">
        <f t="shared" si="1"/>
        <v>76.805999999999997</v>
      </c>
      <c r="P33" s="239">
        <f t="shared" si="2"/>
        <v>92.207999999999998</v>
      </c>
      <c r="Q33" s="239">
        <f t="shared" si="3"/>
        <v>77.316000000000003</v>
      </c>
      <c r="R33" s="239">
        <f t="shared" si="4"/>
        <v>101.79600000000001</v>
      </c>
      <c r="S33" s="239">
        <f t="shared" si="5"/>
        <v>87.72</v>
      </c>
      <c r="T33" s="239">
        <f t="shared" si="6"/>
        <v>98.531999999999996</v>
      </c>
    </row>
    <row r="34" spans="1:20">
      <c r="A34" s="109" t="s">
        <v>182</v>
      </c>
      <c r="B34" s="109" t="s">
        <v>183</v>
      </c>
      <c r="C34" s="118"/>
      <c r="D34" s="105" t="s">
        <v>184</v>
      </c>
      <c r="E34" s="105"/>
      <c r="F34" s="105" t="s">
        <v>185</v>
      </c>
      <c r="G34" s="105"/>
      <c r="H34" s="105"/>
      <c r="I34" s="105"/>
      <c r="J34" s="105"/>
      <c r="K34" s="118"/>
      <c r="L34" s="173">
        <v>304</v>
      </c>
      <c r="N34" s="239">
        <f t="shared" si="0"/>
        <v>114.456</v>
      </c>
      <c r="O34" s="239">
        <f t="shared" si="1"/>
        <v>114.456</v>
      </c>
      <c r="P34" s="239">
        <f t="shared" si="2"/>
        <v>137.40800000000002</v>
      </c>
      <c r="Q34" s="239">
        <f t="shared" si="3"/>
        <v>115.21600000000001</v>
      </c>
      <c r="R34" s="239">
        <f t="shared" si="4"/>
        <v>151.696</v>
      </c>
      <c r="S34" s="239">
        <f t="shared" si="5"/>
        <v>130.72</v>
      </c>
      <c r="T34" s="239">
        <f t="shared" si="6"/>
        <v>146.83199999999999</v>
      </c>
    </row>
    <row r="35" spans="1:20">
      <c r="A35" s="113"/>
      <c r="B35" s="114"/>
      <c r="C35" s="115"/>
      <c r="D35" s="116"/>
      <c r="E35" s="116"/>
      <c r="F35" s="116"/>
      <c r="G35" s="116"/>
      <c r="H35" s="116"/>
      <c r="I35" s="116"/>
      <c r="J35" s="116"/>
      <c r="K35" s="182"/>
      <c r="L35" s="173"/>
      <c r="N35" s="239"/>
      <c r="O35" s="239"/>
      <c r="P35" s="239"/>
      <c r="Q35" s="239"/>
      <c r="R35" s="239"/>
      <c r="S35" s="239"/>
      <c r="T35" s="239"/>
    </row>
    <row r="36" spans="1:20">
      <c r="A36" s="89" t="s">
        <v>186</v>
      </c>
      <c r="B36" s="90"/>
      <c r="C36" s="90"/>
      <c r="D36" s="91"/>
      <c r="E36" s="91"/>
      <c r="F36" s="91"/>
      <c r="G36" s="91"/>
      <c r="H36" s="91"/>
      <c r="I36" s="91"/>
      <c r="J36" s="91"/>
      <c r="K36" s="90"/>
      <c r="L36" s="168"/>
      <c r="N36" s="238"/>
      <c r="O36" s="238"/>
      <c r="P36" s="238"/>
      <c r="Q36" s="238"/>
      <c r="R36" s="238"/>
      <c r="S36" s="238"/>
      <c r="T36" s="238"/>
    </row>
    <row r="37" spans="1:20">
      <c r="A37" s="109" t="s">
        <v>187</v>
      </c>
      <c r="B37" s="109" t="s">
        <v>187</v>
      </c>
      <c r="C37" s="118"/>
      <c r="D37" s="105" t="s">
        <v>188</v>
      </c>
      <c r="E37" s="105" t="s">
        <v>189</v>
      </c>
      <c r="F37" s="105" t="s">
        <v>190</v>
      </c>
      <c r="G37" s="105" t="s">
        <v>191</v>
      </c>
      <c r="H37" s="105" t="s">
        <v>192</v>
      </c>
      <c r="I37" s="105"/>
      <c r="J37" s="105"/>
      <c r="K37" s="118"/>
      <c r="L37" s="173">
        <v>40</v>
      </c>
      <c r="N37" s="239">
        <f t="shared" si="0"/>
        <v>15.06</v>
      </c>
      <c r="O37" s="239">
        <f t="shared" si="1"/>
        <v>15.06</v>
      </c>
      <c r="P37" s="239">
        <f t="shared" si="2"/>
        <v>18.080000000000002</v>
      </c>
      <c r="Q37" s="239">
        <f t="shared" si="3"/>
        <v>15.16</v>
      </c>
      <c r="R37" s="239">
        <f t="shared" si="4"/>
        <v>19.96</v>
      </c>
      <c r="S37" s="239">
        <f t="shared" si="5"/>
        <v>17.2</v>
      </c>
      <c r="T37" s="239">
        <f t="shared" si="6"/>
        <v>19.32</v>
      </c>
    </row>
    <row r="38" spans="1:20">
      <c r="A38" s="109" t="s">
        <v>193</v>
      </c>
      <c r="B38" s="109" t="s">
        <v>193</v>
      </c>
      <c r="C38" s="118"/>
      <c r="D38" s="105" t="s">
        <v>194</v>
      </c>
      <c r="E38" s="105"/>
      <c r="F38" s="105" t="s">
        <v>195</v>
      </c>
      <c r="G38" s="105"/>
      <c r="H38" s="105" t="s">
        <v>196</v>
      </c>
      <c r="I38" s="105"/>
      <c r="J38" s="105"/>
      <c r="K38" s="118"/>
      <c r="L38" s="173">
        <v>125</v>
      </c>
      <c r="N38" s="239">
        <f t="shared" si="0"/>
        <v>47.0625</v>
      </c>
      <c r="O38" s="239">
        <f t="shared" si="1"/>
        <v>47.0625</v>
      </c>
      <c r="P38" s="239">
        <f t="shared" si="2"/>
        <v>56.5</v>
      </c>
      <c r="Q38" s="239">
        <f t="shared" si="3"/>
        <v>47.375</v>
      </c>
      <c r="R38" s="239">
        <f t="shared" si="4"/>
        <v>62.375</v>
      </c>
      <c r="S38" s="239">
        <f t="shared" si="5"/>
        <v>53.75</v>
      </c>
      <c r="T38" s="239">
        <f t="shared" si="6"/>
        <v>60.375</v>
      </c>
    </row>
    <row r="39" spans="1:20">
      <c r="A39" s="113"/>
      <c r="B39" s="114"/>
      <c r="C39" s="115"/>
      <c r="D39" s="116"/>
      <c r="E39" s="116"/>
      <c r="F39" s="116"/>
      <c r="G39" s="116"/>
      <c r="H39" s="116"/>
      <c r="I39" s="116"/>
      <c r="J39" s="116"/>
      <c r="K39" s="182"/>
      <c r="L39" s="173"/>
      <c r="N39" s="239"/>
      <c r="O39" s="239"/>
      <c r="P39" s="239"/>
      <c r="Q39" s="239"/>
      <c r="R39" s="239"/>
      <c r="S39" s="239"/>
      <c r="T39" s="239"/>
    </row>
    <row r="40" spans="1:20">
      <c r="A40" s="123" t="s">
        <v>197</v>
      </c>
      <c r="B40" s="124"/>
      <c r="C40" s="124"/>
      <c r="D40" s="125"/>
      <c r="E40" s="125"/>
      <c r="F40" s="125"/>
      <c r="G40" s="125"/>
      <c r="H40" s="125"/>
      <c r="I40" s="125"/>
      <c r="J40" s="125"/>
      <c r="K40" s="181"/>
      <c r="L40" s="126"/>
      <c r="N40" s="240"/>
      <c r="O40" s="240"/>
      <c r="P40" s="240"/>
      <c r="Q40" s="240"/>
      <c r="R40" s="240"/>
      <c r="S40" s="240"/>
      <c r="T40" s="240"/>
    </row>
    <row r="41" spans="1:20">
      <c r="A41" s="109" t="s">
        <v>198</v>
      </c>
      <c r="B41" s="109" t="s">
        <v>199</v>
      </c>
      <c r="C41" s="118"/>
      <c r="D41" s="105"/>
      <c r="E41" s="105"/>
      <c r="F41" s="105"/>
      <c r="G41" s="105"/>
      <c r="H41" s="105" t="s">
        <v>200</v>
      </c>
      <c r="I41" s="105"/>
      <c r="J41" s="105"/>
      <c r="K41" s="118"/>
      <c r="L41" s="173">
        <v>40</v>
      </c>
      <c r="N41" s="239">
        <f t="shared" si="0"/>
        <v>15.06</v>
      </c>
      <c r="O41" s="239">
        <f t="shared" si="1"/>
        <v>15.06</v>
      </c>
      <c r="P41" s="239">
        <f t="shared" si="2"/>
        <v>18.080000000000002</v>
      </c>
      <c r="Q41" s="239">
        <f t="shared" si="3"/>
        <v>15.16</v>
      </c>
      <c r="R41" s="239">
        <f t="shared" si="4"/>
        <v>19.96</v>
      </c>
      <c r="S41" s="239">
        <f t="shared" si="5"/>
        <v>17.2</v>
      </c>
      <c r="T41" s="239">
        <f t="shared" si="6"/>
        <v>19.32</v>
      </c>
    </row>
    <row r="42" spans="1:20">
      <c r="A42" s="109" t="s">
        <v>201</v>
      </c>
      <c r="B42" s="109" t="s">
        <v>202</v>
      </c>
      <c r="C42" s="118"/>
      <c r="D42" s="105"/>
      <c r="E42" s="105"/>
      <c r="F42" s="105"/>
      <c r="G42" s="105"/>
      <c r="H42" s="105" t="s">
        <v>203</v>
      </c>
      <c r="I42" s="105"/>
      <c r="J42" s="105"/>
      <c r="K42" s="118"/>
      <c r="L42" s="173">
        <v>80</v>
      </c>
      <c r="N42" s="239">
        <f t="shared" si="0"/>
        <v>30.12</v>
      </c>
      <c r="O42" s="239">
        <f t="shared" si="1"/>
        <v>30.12</v>
      </c>
      <c r="P42" s="239">
        <f t="shared" si="2"/>
        <v>36.160000000000004</v>
      </c>
      <c r="Q42" s="239">
        <f t="shared" si="3"/>
        <v>30.32</v>
      </c>
      <c r="R42" s="239">
        <f t="shared" si="4"/>
        <v>39.92</v>
      </c>
      <c r="S42" s="239">
        <f t="shared" si="5"/>
        <v>34.4</v>
      </c>
      <c r="T42" s="239">
        <f t="shared" si="6"/>
        <v>38.64</v>
      </c>
    </row>
    <row r="43" spans="1:20">
      <c r="A43" s="109" t="s">
        <v>204</v>
      </c>
      <c r="B43" s="109" t="s">
        <v>205</v>
      </c>
      <c r="C43" s="118"/>
      <c r="D43" s="105"/>
      <c r="E43" s="105"/>
      <c r="F43" s="105"/>
      <c r="G43" s="105"/>
      <c r="H43" s="105" t="s">
        <v>206</v>
      </c>
      <c r="I43" s="105"/>
      <c r="J43" s="105"/>
      <c r="K43" s="118"/>
      <c r="L43" s="173">
        <v>80</v>
      </c>
      <c r="N43" s="239">
        <f t="shared" si="0"/>
        <v>30.12</v>
      </c>
      <c r="O43" s="239">
        <f t="shared" si="1"/>
        <v>30.12</v>
      </c>
      <c r="P43" s="239">
        <f t="shared" si="2"/>
        <v>36.160000000000004</v>
      </c>
      <c r="Q43" s="239">
        <f t="shared" si="3"/>
        <v>30.32</v>
      </c>
      <c r="R43" s="239">
        <f t="shared" si="4"/>
        <v>39.92</v>
      </c>
      <c r="S43" s="239">
        <f t="shared" si="5"/>
        <v>34.4</v>
      </c>
      <c r="T43" s="239">
        <f t="shared" si="6"/>
        <v>38.64</v>
      </c>
    </row>
    <row r="44" spans="1:20">
      <c r="A44" s="109" t="s">
        <v>207</v>
      </c>
      <c r="B44" s="109" t="s">
        <v>208</v>
      </c>
      <c r="C44" s="118"/>
      <c r="D44" s="105"/>
      <c r="E44" s="105"/>
      <c r="F44" s="105"/>
      <c r="G44" s="105"/>
      <c r="H44" s="105" t="s">
        <v>209</v>
      </c>
      <c r="I44" s="105"/>
      <c r="J44" s="105"/>
      <c r="K44" s="118"/>
      <c r="L44" s="173">
        <v>89</v>
      </c>
      <c r="N44" s="239">
        <f t="shared" si="0"/>
        <v>33.508499999999998</v>
      </c>
      <c r="O44" s="239">
        <f t="shared" si="1"/>
        <v>33.508499999999998</v>
      </c>
      <c r="P44" s="239">
        <f t="shared" si="2"/>
        <v>40.228000000000002</v>
      </c>
      <c r="Q44" s="239">
        <f t="shared" si="3"/>
        <v>33.731000000000002</v>
      </c>
      <c r="R44" s="239">
        <f t="shared" si="4"/>
        <v>44.411000000000001</v>
      </c>
      <c r="S44" s="239">
        <f t="shared" si="5"/>
        <v>38.269999999999996</v>
      </c>
      <c r="T44" s="239">
        <f t="shared" si="6"/>
        <v>42.987000000000002</v>
      </c>
    </row>
    <row r="45" spans="1:20">
      <c r="A45" s="113"/>
      <c r="B45" s="114"/>
      <c r="C45" s="115"/>
      <c r="D45" s="116"/>
      <c r="E45" s="116"/>
      <c r="F45" s="116"/>
      <c r="G45" s="116"/>
      <c r="H45" s="116"/>
      <c r="I45" s="116"/>
      <c r="J45" s="116"/>
      <c r="K45" s="182"/>
      <c r="L45" s="173"/>
      <c r="N45" s="239"/>
      <c r="O45" s="239"/>
      <c r="P45" s="239"/>
      <c r="Q45" s="239"/>
      <c r="R45" s="239"/>
      <c r="S45" s="239"/>
      <c r="T45" s="239"/>
    </row>
    <row r="46" spans="1:20">
      <c r="A46" s="123" t="s">
        <v>210</v>
      </c>
      <c r="B46" s="124"/>
      <c r="C46" s="124"/>
      <c r="D46" s="125"/>
      <c r="E46" s="125"/>
      <c r="F46" s="125"/>
      <c r="G46" s="125"/>
      <c r="H46" s="125"/>
      <c r="I46" s="125"/>
      <c r="J46" s="125"/>
      <c r="K46" s="181"/>
      <c r="L46" s="126"/>
      <c r="N46" s="240"/>
      <c r="O46" s="240"/>
      <c r="P46" s="240"/>
      <c r="Q46" s="240"/>
      <c r="R46" s="240"/>
      <c r="S46" s="240"/>
      <c r="T46" s="240"/>
    </row>
    <row r="47" spans="1:20">
      <c r="A47" s="109" t="s">
        <v>211</v>
      </c>
      <c r="B47" s="109" t="s">
        <v>212</v>
      </c>
      <c r="C47" s="118"/>
      <c r="D47" s="105" t="s">
        <v>213</v>
      </c>
      <c r="E47" s="105" t="s">
        <v>214</v>
      </c>
      <c r="F47" s="105"/>
      <c r="G47" s="105"/>
      <c r="H47" s="105"/>
      <c r="I47" s="105"/>
      <c r="J47" s="105"/>
      <c r="K47" s="118"/>
      <c r="L47" s="173">
        <v>16</v>
      </c>
      <c r="N47" s="239">
        <f t="shared" si="0"/>
        <v>6.024</v>
      </c>
      <c r="O47" s="239">
        <f t="shared" si="1"/>
        <v>6.024</v>
      </c>
      <c r="P47" s="239">
        <f t="shared" si="2"/>
        <v>7.2320000000000002</v>
      </c>
      <c r="Q47" s="239">
        <f t="shared" si="3"/>
        <v>6.0640000000000001</v>
      </c>
      <c r="R47" s="239">
        <f t="shared" si="4"/>
        <v>7.984</v>
      </c>
      <c r="S47" s="239">
        <f t="shared" si="5"/>
        <v>6.88</v>
      </c>
      <c r="T47" s="239">
        <f t="shared" si="6"/>
        <v>7.7279999999999998</v>
      </c>
    </row>
    <row r="48" spans="1:20">
      <c r="A48" s="109" t="s">
        <v>215</v>
      </c>
      <c r="B48" s="109" t="s">
        <v>216</v>
      </c>
      <c r="C48" s="118"/>
      <c r="D48" s="105" t="s">
        <v>217</v>
      </c>
      <c r="E48" s="105" t="s">
        <v>218</v>
      </c>
      <c r="F48" s="105"/>
      <c r="G48" s="105"/>
      <c r="H48" s="105"/>
      <c r="I48" s="105"/>
      <c r="J48" s="105"/>
      <c r="K48" s="118"/>
      <c r="L48" s="173">
        <v>16</v>
      </c>
      <c r="N48" s="239">
        <f t="shared" si="0"/>
        <v>6.024</v>
      </c>
      <c r="O48" s="239">
        <f t="shared" si="1"/>
        <v>6.024</v>
      </c>
      <c r="P48" s="239">
        <f t="shared" si="2"/>
        <v>7.2320000000000002</v>
      </c>
      <c r="Q48" s="239">
        <f t="shared" si="3"/>
        <v>6.0640000000000001</v>
      </c>
      <c r="R48" s="239">
        <f t="shared" si="4"/>
        <v>7.984</v>
      </c>
      <c r="S48" s="239">
        <f t="shared" si="5"/>
        <v>6.88</v>
      </c>
      <c r="T48" s="239">
        <f t="shared" si="6"/>
        <v>7.7279999999999998</v>
      </c>
    </row>
    <row r="49" spans="1:20">
      <c r="A49" s="109" t="s">
        <v>219</v>
      </c>
      <c r="B49" s="109" t="s">
        <v>220</v>
      </c>
      <c r="C49" s="118"/>
      <c r="D49" s="105" t="s">
        <v>221</v>
      </c>
      <c r="E49" s="105"/>
      <c r="F49" s="105"/>
      <c r="G49" s="105"/>
      <c r="H49" s="105"/>
      <c r="I49" s="105"/>
      <c r="J49" s="105"/>
      <c r="K49" s="118"/>
      <c r="L49" s="173">
        <v>0</v>
      </c>
      <c r="N49" s="239">
        <f t="shared" si="0"/>
        <v>0</v>
      </c>
      <c r="O49" s="239">
        <f t="shared" si="1"/>
        <v>0</v>
      </c>
      <c r="P49" s="239">
        <f t="shared" si="2"/>
        <v>0</v>
      </c>
      <c r="Q49" s="239">
        <f t="shared" si="3"/>
        <v>0</v>
      </c>
      <c r="R49" s="239">
        <f t="shared" si="4"/>
        <v>0</v>
      </c>
      <c r="S49" s="239">
        <f t="shared" si="5"/>
        <v>0</v>
      </c>
      <c r="T49" s="239">
        <f t="shared" si="6"/>
        <v>0</v>
      </c>
    </row>
    <row r="50" spans="1:20">
      <c r="A50" s="109" t="s">
        <v>222</v>
      </c>
      <c r="B50" s="109" t="s">
        <v>223</v>
      </c>
      <c r="C50" s="118"/>
      <c r="D50" s="105" t="s">
        <v>224</v>
      </c>
      <c r="E50" s="105"/>
      <c r="F50" s="105"/>
      <c r="G50" s="105"/>
      <c r="H50" s="105"/>
      <c r="I50" s="105"/>
      <c r="J50" s="105"/>
      <c r="K50" s="118"/>
      <c r="L50" s="173">
        <v>40</v>
      </c>
      <c r="N50" s="239">
        <f t="shared" si="0"/>
        <v>15.06</v>
      </c>
      <c r="O50" s="239">
        <f t="shared" si="1"/>
        <v>15.06</v>
      </c>
      <c r="P50" s="239">
        <f t="shared" si="2"/>
        <v>18.080000000000002</v>
      </c>
      <c r="Q50" s="239">
        <f t="shared" si="3"/>
        <v>15.16</v>
      </c>
      <c r="R50" s="239">
        <f t="shared" si="4"/>
        <v>19.96</v>
      </c>
      <c r="S50" s="239">
        <f t="shared" si="5"/>
        <v>17.2</v>
      </c>
      <c r="T50" s="239">
        <f t="shared" si="6"/>
        <v>19.32</v>
      </c>
    </row>
    <row r="51" spans="1:20">
      <c r="A51" s="109" t="s">
        <v>225</v>
      </c>
      <c r="B51" s="109" t="s">
        <v>226</v>
      </c>
      <c r="C51" s="118"/>
      <c r="D51" s="105" t="s">
        <v>227</v>
      </c>
      <c r="E51" s="105"/>
      <c r="F51" s="105"/>
      <c r="G51" s="105"/>
      <c r="H51" s="105"/>
      <c r="I51" s="105"/>
      <c r="J51" s="105"/>
      <c r="K51" s="118"/>
      <c r="L51" s="173">
        <v>80</v>
      </c>
      <c r="N51" s="239">
        <f t="shared" si="0"/>
        <v>30.12</v>
      </c>
      <c r="O51" s="239">
        <f t="shared" si="1"/>
        <v>30.12</v>
      </c>
      <c r="P51" s="239">
        <f t="shared" si="2"/>
        <v>36.160000000000004</v>
      </c>
      <c r="Q51" s="239">
        <f t="shared" si="3"/>
        <v>30.32</v>
      </c>
      <c r="R51" s="239">
        <f t="shared" si="4"/>
        <v>39.92</v>
      </c>
      <c r="S51" s="239">
        <f t="shared" si="5"/>
        <v>34.4</v>
      </c>
      <c r="T51" s="239">
        <f t="shared" si="6"/>
        <v>38.64</v>
      </c>
    </row>
    <row r="52" spans="1:20">
      <c r="A52" s="109" t="s">
        <v>228</v>
      </c>
      <c r="B52" s="109" t="s">
        <v>229</v>
      </c>
      <c r="C52" s="118"/>
      <c r="D52" s="105" t="s">
        <v>230</v>
      </c>
      <c r="E52" s="105" t="s">
        <v>231</v>
      </c>
      <c r="F52" s="105"/>
      <c r="G52" s="105"/>
      <c r="H52" s="105"/>
      <c r="I52" s="105"/>
      <c r="J52" s="105"/>
      <c r="K52" s="118"/>
      <c r="L52" s="173">
        <v>80</v>
      </c>
      <c r="N52" s="239">
        <f t="shared" si="0"/>
        <v>30.12</v>
      </c>
      <c r="O52" s="239">
        <f t="shared" si="1"/>
        <v>30.12</v>
      </c>
      <c r="P52" s="239">
        <f t="shared" si="2"/>
        <v>36.160000000000004</v>
      </c>
      <c r="Q52" s="239">
        <f t="shared" si="3"/>
        <v>30.32</v>
      </c>
      <c r="R52" s="239">
        <f t="shared" si="4"/>
        <v>39.92</v>
      </c>
      <c r="S52" s="239">
        <f t="shared" si="5"/>
        <v>34.4</v>
      </c>
      <c r="T52" s="239">
        <f t="shared" si="6"/>
        <v>38.64</v>
      </c>
    </row>
    <row r="53" spans="1:20">
      <c r="A53" s="113"/>
      <c r="B53" s="114"/>
      <c r="C53" s="115"/>
      <c r="D53" s="116"/>
      <c r="E53" s="116"/>
      <c r="F53" s="116"/>
      <c r="G53" s="116"/>
      <c r="H53" s="116"/>
      <c r="I53" s="116"/>
      <c r="J53" s="116"/>
      <c r="K53" s="182"/>
      <c r="L53" s="173"/>
      <c r="N53" s="239"/>
      <c r="O53" s="239"/>
      <c r="P53" s="239"/>
      <c r="Q53" s="239"/>
      <c r="R53" s="239"/>
      <c r="S53" s="239"/>
      <c r="T53" s="239"/>
    </row>
    <row r="54" spans="1:20">
      <c r="A54" s="123" t="s">
        <v>232</v>
      </c>
      <c r="B54" s="124"/>
      <c r="C54" s="124"/>
      <c r="D54" s="127"/>
      <c r="E54" s="127"/>
      <c r="F54" s="127"/>
      <c r="G54" s="127"/>
      <c r="H54" s="127"/>
      <c r="I54" s="127"/>
      <c r="J54" s="127"/>
      <c r="K54" s="124"/>
      <c r="L54" s="128"/>
      <c r="N54" s="241"/>
      <c r="O54" s="241"/>
      <c r="P54" s="241"/>
      <c r="Q54" s="241"/>
      <c r="R54" s="241"/>
      <c r="S54" s="241"/>
      <c r="T54" s="241"/>
    </row>
    <row r="55" spans="1:20">
      <c r="A55" s="109" t="s">
        <v>233</v>
      </c>
      <c r="B55" s="109" t="s">
        <v>234</v>
      </c>
      <c r="C55" s="118"/>
      <c r="D55" s="105"/>
      <c r="E55" s="105"/>
      <c r="F55" s="105" t="s">
        <v>235</v>
      </c>
      <c r="G55" s="105" t="s">
        <v>236</v>
      </c>
      <c r="H55" s="105"/>
      <c r="I55" s="105"/>
      <c r="J55" s="105"/>
      <c r="K55" s="118"/>
      <c r="L55" s="173">
        <v>13</v>
      </c>
      <c r="N55" s="239">
        <f t="shared" si="0"/>
        <v>4.8944999999999999</v>
      </c>
      <c r="O55" s="239">
        <f t="shared" si="1"/>
        <v>4.8944999999999999</v>
      </c>
      <c r="P55" s="239">
        <f t="shared" si="2"/>
        <v>5.8760000000000003</v>
      </c>
      <c r="Q55" s="239">
        <f t="shared" si="3"/>
        <v>4.9269999999999996</v>
      </c>
      <c r="R55" s="239">
        <f t="shared" si="4"/>
        <v>6.4870000000000001</v>
      </c>
      <c r="S55" s="239">
        <f t="shared" si="5"/>
        <v>5.59</v>
      </c>
      <c r="T55" s="239">
        <f t="shared" si="6"/>
        <v>6.2789999999999999</v>
      </c>
    </row>
    <row r="56" spans="1:20">
      <c r="A56" s="109" t="s">
        <v>237</v>
      </c>
      <c r="B56" s="109" t="s">
        <v>238</v>
      </c>
      <c r="C56" s="118"/>
      <c r="D56" s="105"/>
      <c r="E56" s="105"/>
      <c r="F56" s="105" t="s">
        <v>239</v>
      </c>
      <c r="G56" s="105" t="s">
        <v>240</v>
      </c>
      <c r="H56" s="105"/>
      <c r="I56" s="105"/>
      <c r="J56" s="105"/>
      <c r="K56" s="118"/>
      <c r="L56" s="173">
        <v>13</v>
      </c>
      <c r="N56" s="239">
        <f t="shared" si="0"/>
        <v>4.8944999999999999</v>
      </c>
      <c r="O56" s="239">
        <f t="shared" si="1"/>
        <v>4.8944999999999999</v>
      </c>
      <c r="P56" s="239">
        <f t="shared" si="2"/>
        <v>5.8760000000000003</v>
      </c>
      <c r="Q56" s="239">
        <f t="shared" si="3"/>
        <v>4.9269999999999996</v>
      </c>
      <c r="R56" s="239">
        <f t="shared" si="4"/>
        <v>6.4870000000000001</v>
      </c>
      <c r="S56" s="239">
        <f t="shared" si="5"/>
        <v>5.59</v>
      </c>
      <c r="T56" s="239">
        <f t="shared" si="6"/>
        <v>6.2789999999999999</v>
      </c>
    </row>
    <row r="57" spans="1:20">
      <c r="A57" s="109" t="s">
        <v>241</v>
      </c>
      <c r="B57" s="109" t="s">
        <v>242</v>
      </c>
      <c r="C57" s="118"/>
      <c r="D57" s="105"/>
      <c r="E57" s="105"/>
      <c r="F57" s="105" t="s">
        <v>243</v>
      </c>
      <c r="G57" s="105"/>
      <c r="H57" s="105"/>
      <c r="I57" s="105"/>
      <c r="J57" s="105"/>
      <c r="K57" s="118"/>
      <c r="L57" s="173">
        <v>0</v>
      </c>
      <c r="N57" s="239">
        <f t="shared" si="0"/>
        <v>0</v>
      </c>
      <c r="O57" s="239">
        <f t="shared" si="1"/>
        <v>0</v>
      </c>
      <c r="P57" s="239">
        <f t="shared" si="2"/>
        <v>0</v>
      </c>
      <c r="Q57" s="239">
        <f t="shared" si="3"/>
        <v>0</v>
      </c>
      <c r="R57" s="239">
        <f t="shared" si="4"/>
        <v>0</v>
      </c>
      <c r="S57" s="239">
        <f t="shared" si="5"/>
        <v>0</v>
      </c>
      <c r="T57" s="239">
        <f t="shared" si="6"/>
        <v>0</v>
      </c>
    </row>
    <row r="58" spans="1:20">
      <c r="A58" s="109" t="s">
        <v>244</v>
      </c>
      <c r="B58" s="109" t="s">
        <v>245</v>
      </c>
      <c r="C58" s="118"/>
      <c r="D58" s="105"/>
      <c r="E58" s="105"/>
      <c r="F58" s="105" t="s">
        <v>246</v>
      </c>
      <c r="G58" s="105"/>
      <c r="H58" s="105"/>
      <c r="I58" s="105"/>
      <c r="J58" s="105"/>
      <c r="K58" s="118"/>
      <c r="L58" s="173">
        <v>45</v>
      </c>
      <c r="N58" s="239">
        <f t="shared" si="0"/>
        <v>16.942499999999999</v>
      </c>
      <c r="O58" s="239">
        <f t="shared" si="1"/>
        <v>16.942499999999999</v>
      </c>
      <c r="P58" s="239">
        <f t="shared" si="2"/>
        <v>20.34</v>
      </c>
      <c r="Q58" s="239">
        <f t="shared" si="3"/>
        <v>17.055</v>
      </c>
      <c r="R58" s="239">
        <f t="shared" si="4"/>
        <v>22.454999999999998</v>
      </c>
      <c r="S58" s="239">
        <f t="shared" si="5"/>
        <v>19.350000000000001</v>
      </c>
      <c r="T58" s="239">
        <f t="shared" si="6"/>
        <v>21.734999999999999</v>
      </c>
    </row>
    <row r="59" spans="1:20">
      <c r="A59" s="109" t="s">
        <v>247</v>
      </c>
      <c r="B59" s="109" t="s">
        <v>248</v>
      </c>
      <c r="C59" s="118"/>
      <c r="D59" s="105"/>
      <c r="E59" s="105"/>
      <c r="F59" s="105" t="s">
        <v>249</v>
      </c>
      <c r="G59" s="105" t="s">
        <v>250</v>
      </c>
      <c r="H59" s="105"/>
      <c r="I59" s="105"/>
      <c r="J59" s="105"/>
      <c r="K59" s="118"/>
      <c r="L59" s="173">
        <v>89</v>
      </c>
      <c r="N59" s="239">
        <f t="shared" si="0"/>
        <v>33.508499999999998</v>
      </c>
      <c r="O59" s="239">
        <f t="shared" si="1"/>
        <v>33.508499999999998</v>
      </c>
      <c r="P59" s="239">
        <f t="shared" si="2"/>
        <v>40.228000000000002</v>
      </c>
      <c r="Q59" s="239">
        <f t="shared" si="3"/>
        <v>33.731000000000002</v>
      </c>
      <c r="R59" s="239">
        <f t="shared" si="4"/>
        <v>44.411000000000001</v>
      </c>
      <c r="S59" s="239">
        <f t="shared" si="5"/>
        <v>38.269999999999996</v>
      </c>
      <c r="T59" s="239">
        <f t="shared" si="6"/>
        <v>42.987000000000002</v>
      </c>
    </row>
    <row r="60" spans="1:20">
      <c r="A60" s="113"/>
      <c r="B60" s="114"/>
      <c r="C60" s="115"/>
      <c r="D60" s="116"/>
      <c r="E60" s="116"/>
      <c r="F60" s="116"/>
      <c r="G60" s="116"/>
      <c r="H60" s="116"/>
      <c r="I60" s="116"/>
      <c r="J60" s="116"/>
      <c r="K60" s="182"/>
      <c r="L60" s="173"/>
      <c r="N60" s="239"/>
      <c r="O60" s="239"/>
      <c r="P60" s="239"/>
      <c r="Q60" s="239"/>
      <c r="R60" s="239"/>
      <c r="S60" s="239"/>
      <c r="T60" s="239"/>
    </row>
    <row r="61" spans="1:20">
      <c r="A61" s="123" t="s">
        <v>251</v>
      </c>
      <c r="B61" s="124"/>
      <c r="C61" s="124"/>
      <c r="D61" s="125"/>
      <c r="E61" s="125"/>
      <c r="F61" s="125"/>
      <c r="G61" s="125"/>
      <c r="H61" s="125"/>
      <c r="I61" s="125"/>
      <c r="J61" s="125"/>
      <c r="K61" s="181"/>
      <c r="L61" s="126"/>
      <c r="N61" s="240"/>
      <c r="O61" s="240"/>
      <c r="P61" s="240"/>
      <c r="Q61" s="240"/>
      <c r="R61" s="240"/>
      <c r="S61" s="240"/>
      <c r="T61" s="240"/>
    </row>
    <row r="62" spans="1:20">
      <c r="A62" s="109" t="s">
        <v>252</v>
      </c>
      <c r="B62" s="109" t="s">
        <v>253</v>
      </c>
      <c r="C62" s="118"/>
      <c r="D62" s="105" t="s">
        <v>254</v>
      </c>
      <c r="E62" s="105" t="s">
        <v>255</v>
      </c>
      <c r="F62" s="105" t="s">
        <v>256</v>
      </c>
      <c r="G62" s="105" t="s">
        <v>257</v>
      </c>
      <c r="H62" s="105" t="s">
        <v>258</v>
      </c>
      <c r="I62" s="105"/>
      <c r="J62" s="105"/>
      <c r="K62" s="118"/>
      <c r="L62" s="173">
        <v>29</v>
      </c>
      <c r="N62" s="239">
        <f t="shared" si="0"/>
        <v>10.9185</v>
      </c>
      <c r="O62" s="239">
        <f t="shared" si="1"/>
        <v>10.9185</v>
      </c>
      <c r="P62" s="239">
        <f t="shared" si="2"/>
        <v>13.108000000000001</v>
      </c>
      <c r="Q62" s="239">
        <f t="shared" si="3"/>
        <v>10.991</v>
      </c>
      <c r="R62" s="239">
        <f t="shared" si="4"/>
        <v>14.471</v>
      </c>
      <c r="S62" s="239">
        <f t="shared" si="5"/>
        <v>12.47</v>
      </c>
      <c r="T62" s="239">
        <f t="shared" si="6"/>
        <v>14.007</v>
      </c>
    </row>
    <row r="63" spans="1:20">
      <c r="A63" s="109" t="s">
        <v>259</v>
      </c>
      <c r="B63" s="109" t="s">
        <v>260</v>
      </c>
      <c r="C63" s="118"/>
      <c r="D63" s="105" t="s">
        <v>261</v>
      </c>
      <c r="E63" s="105" t="s">
        <v>262</v>
      </c>
      <c r="F63" s="105" t="s">
        <v>263</v>
      </c>
      <c r="G63" s="105" t="s">
        <v>264</v>
      </c>
      <c r="H63" s="105" t="s">
        <v>265</v>
      </c>
      <c r="I63" s="105"/>
      <c r="J63" s="105"/>
      <c r="K63" s="118"/>
      <c r="L63" s="173">
        <v>101</v>
      </c>
      <c r="N63" s="239">
        <f t="shared" si="0"/>
        <v>38.026499999999999</v>
      </c>
      <c r="O63" s="239">
        <f t="shared" si="1"/>
        <v>38.026499999999999</v>
      </c>
      <c r="P63" s="239">
        <f t="shared" si="2"/>
        <v>45.652000000000001</v>
      </c>
      <c r="Q63" s="239">
        <f t="shared" si="3"/>
        <v>38.279000000000003</v>
      </c>
      <c r="R63" s="239">
        <f t="shared" si="4"/>
        <v>50.399000000000001</v>
      </c>
      <c r="S63" s="239">
        <f t="shared" si="5"/>
        <v>43.43</v>
      </c>
      <c r="T63" s="239">
        <f t="shared" si="6"/>
        <v>48.783000000000001</v>
      </c>
    </row>
    <row r="64" spans="1:20" s="3" customFormat="1">
      <c r="A64" s="109" t="s">
        <v>266</v>
      </c>
      <c r="B64" s="109" t="s">
        <v>267</v>
      </c>
      <c r="C64" s="118"/>
      <c r="D64" s="105"/>
      <c r="E64" s="105"/>
      <c r="F64" s="105" t="s">
        <v>268</v>
      </c>
      <c r="G64" s="105"/>
      <c r="H64" s="105"/>
      <c r="I64" s="105"/>
      <c r="J64" s="105"/>
      <c r="K64" s="118"/>
      <c r="L64" s="173">
        <v>39</v>
      </c>
      <c r="N64" s="239">
        <f t="shared" si="0"/>
        <v>14.6835</v>
      </c>
      <c r="O64" s="239">
        <f t="shared" si="1"/>
        <v>14.6835</v>
      </c>
      <c r="P64" s="239">
        <f t="shared" si="2"/>
        <v>17.628</v>
      </c>
      <c r="Q64" s="239">
        <f t="shared" si="3"/>
        <v>14.781000000000001</v>
      </c>
      <c r="R64" s="239">
        <f t="shared" si="4"/>
        <v>19.460999999999999</v>
      </c>
      <c r="S64" s="239">
        <f t="shared" si="5"/>
        <v>16.77</v>
      </c>
      <c r="T64" s="239">
        <f t="shared" si="6"/>
        <v>18.837</v>
      </c>
    </row>
    <row r="65" spans="1:20" s="3" customFormat="1">
      <c r="A65" s="113"/>
      <c r="B65" s="114"/>
      <c r="C65" s="115"/>
      <c r="D65" s="116"/>
      <c r="E65" s="116"/>
      <c r="F65" s="116"/>
      <c r="G65" s="116"/>
      <c r="H65" s="116"/>
      <c r="I65" s="116"/>
      <c r="J65" s="116"/>
      <c r="K65" s="182"/>
      <c r="L65" s="173"/>
      <c r="N65" s="239"/>
      <c r="O65" s="239"/>
      <c r="P65" s="239"/>
      <c r="Q65" s="239"/>
      <c r="R65" s="239"/>
      <c r="S65" s="239"/>
      <c r="T65" s="239"/>
    </row>
    <row r="66" spans="1:20" s="3" customFormat="1">
      <c r="A66" s="123" t="s">
        <v>269</v>
      </c>
      <c r="B66" s="124"/>
      <c r="C66" s="124"/>
      <c r="D66" s="125"/>
      <c r="E66" s="125"/>
      <c r="F66" s="125"/>
      <c r="G66" s="125"/>
      <c r="H66" s="125"/>
      <c r="I66" s="125"/>
      <c r="J66" s="125"/>
      <c r="K66" s="181"/>
      <c r="L66" s="126"/>
      <c r="N66" s="240"/>
      <c r="O66" s="240"/>
      <c r="P66" s="240"/>
      <c r="Q66" s="240"/>
      <c r="R66" s="240"/>
      <c r="S66" s="240"/>
      <c r="T66" s="240"/>
    </row>
    <row r="67" spans="1:20" s="3" customFormat="1" ht="29.45" customHeight="1">
      <c r="A67" s="109" t="s">
        <v>270</v>
      </c>
      <c r="B67" s="109" t="s">
        <v>271</v>
      </c>
      <c r="C67" s="118"/>
      <c r="D67" s="105" t="s">
        <v>272</v>
      </c>
      <c r="E67" s="105" t="s">
        <v>273</v>
      </c>
      <c r="F67" s="105" t="s">
        <v>274</v>
      </c>
      <c r="G67" s="105" t="s">
        <v>275</v>
      </c>
      <c r="H67" s="105"/>
      <c r="I67" s="105"/>
      <c r="J67" s="105"/>
      <c r="K67" s="118"/>
      <c r="L67" s="173">
        <v>5</v>
      </c>
      <c r="N67" s="239">
        <f t="shared" si="0"/>
        <v>1.8825000000000001</v>
      </c>
      <c r="O67" s="239">
        <f t="shared" si="1"/>
        <v>1.8825000000000001</v>
      </c>
      <c r="P67" s="239">
        <f t="shared" si="2"/>
        <v>2.2600000000000002</v>
      </c>
      <c r="Q67" s="239">
        <f t="shared" si="3"/>
        <v>1.895</v>
      </c>
      <c r="R67" s="239">
        <f t="shared" si="4"/>
        <v>2.4950000000000001</v>
      </c>
      <c r="S67" s="239">
        <f t="shared" si="5"/>
        <v>2.15</v>
      </c>
      <c r="T67" s="239">
        <f t="shared" si="6"/>
        <v>2.415</v>
      </c>
    </row>
    <row r="68" spans="1:20" s="3" customFormat="1">
      <c r="A68" s="113"/>
      <c r="B68" s="114"/>
      <c r="C68" s="115"/>
      <c r="D68" s="116"/>
      <c r="E68" s="116"/>
      <c r="F68" s="116"/>
      <c r="G68" s="116"/>
      <c r="H68" s="116"/>
      <c r="I68" s="116"/>
      <c r="J68" s="116"/>
      <c r="K68" s="182"/>
      <c r="L68" s="173"/>
      <c r="N68" s="239"/>
      <c r="O68" s="239"/>
      <c r="P68" s="239"/>
      <c r="Q68" s="239"/>
      <c r="R68" s="239"/>
      <c r="S68" s="239"/>
      <c r="T68" s="239"/>
    </row>
    <row r="69" spans="1:20" s="3" customFormat="1">
      <c r="A69" s="123" t="s">
        <v>276</v>
      </c>
      <c r="B69" s="124" t="s">
        <v>277</v>
      </c>
      <c r="C69" s="124"/>
      <c r="D69" s="127" t="s">
        <v>277</v>
      </c>
      <c r="E69" s="127"/>
      <c r="F69" s="127"/>
      <c r="G69" s="127"/>
      <c r="H69" s="127"/>
      <c r="I69" s="127"/>
      <c r="J69" s="127"/>
      <c r="K69" s="124"/>
      <c r="L69" s="128"/>
      <c r="N69" s="241"/>
      <c r="O69" s="241"/>
      <c r="P69" s="241"/>
      <c r="Q69" s="241"/>
      <c r="R69" s="241"/>
      <c r="S69" s="241"/>
      <c r="T69" s="241"/>
    </row>
    <row r="70" spans="1:20" s="3" customFormat="1">
      <c r="A70" s="109" t="s">
        <v>278</v>
      </c>
      <c r="B70" s="109" t="s">
        <v>279</v>
      </c>
      <c r="C70" s="118"/>
      <c r="D70" s="105" t="s">
        <v>280</v>
      </c>
      <c r="E70" s="105" t="s">
        <v>281</v>
      </c>
      <c r="F70" s="105" t="s">
        <v>282</v>
      </c>
      <c r="G70" s="105" t="s">
        <v>283</v>
      </c>
      <c r="H70" s="105"/>
      <c r="I70" s="105"/>
      <c r="J70" s="105"/>
      <c r="K70" s="118"/>
      <c r="L70" s="173">
        <v>15</v>
      </c>
      <c r="N70" s="239">
        <f t="shared" si="0"/>
        <v>5.6475</v>
      </c>
      <c r="O70" s="239">
        <f t="shared" si="1"/>
        <v>5.6475</v>
      </c>
      <c r="P70" s="239">
        <f t="shared" si="2"/>
        <v>6.78</v>
      </c>
      <c r="Q70" s="239">
        <f t="shared" si="3"/>
        <v>5.6850000000000005</v>
      </c>
      <c r="R70" s="239">
        <f t="shared" si="4"/>
        <v>7.4850000000000003</v>
      </c>
      <c r="S70" s="239">
        <f t="shared" si="5"/>
        <v>6.45</v>
      </c>
      <c r="T70" s="239">
        <f t="shared" si="6"/>
        <v>7.2450000000000001</v>
      </c>
    </row>
    <row r="71" spans="1:20" s="3" customFormat="1">
      <c r="A71" s="109" t="s">
        <v>284</v>
      </c>
      <c r="B71" s="109" t="s">
        <v>285</v>
      </c>
      <c r="C71" s="118"/>
      <c r="D71" s="118"/>
      <c r="E71" s="105"/>
      <c r="F71" s="105"/>
      <c r="G71" s="105"/>
      <c r="H71" s="105" t="s">
        <v>286</v>
      </c>
      <c r="I71" s="105"/>
      <c r="J71" s="105"/>
      <c r="K71" s="118"/>
      <c r="L71" s="173">
        <v>0</v>
      </c>
      <c r="N71" s="239">
        <f t="shared" si="0"/>
        <v>0</v>
      </c>
      <c r="O71" s="239">
        <f t="shared" si="1"/>
        <v>0</v>
      </c>
      <c r="P71" s="239">
        <f t="shared" si="2"/>
        <v>0</v>
      </c>
      <c r="Q71" s="239">
        <f t="shared" si="3"/>
        <v>0</v>
      </c>
      <c r="R71" s="239">
        <f t="shared" si="4"/>
        <v>0</v>
      </c>
      <c r="S71" s="239">
        <f t="shared" si="5"/>
        <v>0</v>
      </c>
      <c r="T71" s="239">
        <f t="shared" si="6"/>
        <v>0</v>
      </c>
    </row>
    <row r="72" spans="1:20" s="3" customFormat="1">
      <c r="A72" s="113"/>
      <c r="B72" s="114"/>
      <c r="C72" s="115"/>
      <c r="D72" s="116"/>
      <c r="E72" s="116"/>
      <c r="F72" s="116"/>
      <c r="G72" s="116"/>
      <c r="H72" s="116"/>
      <c r="I72" s="116"/>
      <c r="J72" s="116"/>
      <c r="K72" s="182"/>
      <c r="L72" s="173"/>
      <c r="N72" s="239"/>
      <c r="O72" s="239"/>
      <c r="P72" s="239"/>
      <c r="Q72" s="239"/>
      <c r="R72" s="239"/>
      <c r="S72" s="239"/>
      <c r="T72" s="239"/>
    </row>
    <row r="73" spans="1:20" s="3" customFormat="1">
      <c r="A73" s="123" t="s">
        <v>287</v>
      </c>
      <c r="B73" s="124"/>
      <c r="C73" s="124"/>
      <c r="D73" s="125"/>
      <c r="E73" s="125"/>
      <c r="F73" s="125"/>
      <c r="G73" s="125"/>
      <c r="H73" s="125"/>
      <c r="I73" s="125"/>
      <c r="J73" s="125"/>
      <c r="K73" s="181"/>
      <c r="L73" s="126"/>
      <c r="N73" s="240"/>
      <c r="O73" s="240"/>
      <c r="P73" s="240"/>
      <c r="Q73" s="240"/>
      <c r="R73" s="240"/>
      <c r="S73" s="240"/>
      <c r="T73" s="240"/>
    </row>
    <row r="74" spans="1:20" s="3" customFormat="1">
      <c r="A74" s="109" t="s">
        <v>90</v>
      </c>
      <c r="B74" s="109" t="s">
        <v>288</v>
      </c>
      <c r="C74" s="118"/>
      <c r="D74" s="105" t="s">
        <v>289</v>
      </c>
      <c r="E74" s="105" t="s">
        <v>290</v>
      </c>
      <c r="F74" s="105" t="s">
        <v>291</v>
      </c>
      <c r="G74" s="105" t="s">
        <v>292</v>
      </c>
      <c r="H74" s="105" t="s">
        <v>293</v>
      </c>
      <c r="I74" s="105"/>
      <c r="J74" s="105"/>
      <c r="K74" s="118"/>
      <c r="L74" s="173">
        <v>6</v>
      </c>
      <c r="N74" s="239">
        <f t="shared" si="0"/>
        <v>2.2589999999999999</v>
      </c>
      <c r="O74" s="239">
        <f t="shared" si="1"/>
        <v>2.2589999999999999</v>
      </c>
      <c r="P74" s="239">
        <f t="shared" si="2"/>
        <v>2.7120000000000002</v>
      </c>
      <c r="Q74" s="239">
        <f t="shared" si="3"/>
        <v>2.274</v>
      </c>
      <c r="R74" s="239">
        <f t="shared" si="4"/>
        <v>2.9939999999999998</v>
      </c>
      <c r="S74" s="239">
        <f t="shared" si="5"/>
        <v>2.58</v>
      </c>
      <c r="T74" s="239">
        <f t="shared" si="6"/>
        <v>2.8979999999999997</v>
      </c>
    </row>
    <row r="75" spans="1:20" s="3" customFormat="1">
      <c r="A75" s="113"/>
      <c r="B75" s="114"/>
      <c r="C75" s="115"/>
      <c r="D75" s="116"/>
      <c r="E75" s="116"/>
      <c r="F75" s="116"/>
      <c r="G75" s="116"/>
      <c r="H75" s="116"/>
      <c r="I75" s="116"/>
      <c r="J75" s="116"/>
      <c r="K75" s="182"/>
      <c r="L75" s="173"/>
      <c r="N75" s="239"/>
      <c r="O75" s="239"/>
      <c r="P75" s="239"/>
      <c r="Q75" s="239"/>
      <c r="R75" s="239"/>
      <c r="S75" s="239"/>
      <c r="T75" s="239"/>
    </row>
    <row r="76" spans="1:20" s="3" customFormat="1">
      <c r="A76" s="123" t="s">
        <v>294</v>
      </c>
      <c r="B76" s="124"/>
      <c r="C76" s="124"/>
      <c r="D76" s="125"/>
      <c r="E76" s="125"/>
      <c r="F76" s="125"/>
      <c r="G76" s="125"/>
      <c r="H76" s="125"/>
      <c r="I76" s="125"/>
      <c r="J76" s="125"/>
      <c r="K76" s="181"/>
      <c r="L76" s="126"/>
      <c r="N76" s="240"/>
      <c r="O76" s="240"/>
      <c r="P76" s="240"/>
      <c r="Q76" s="240"/>
      <c r="R76" s="240"/>
      <c r="S76" s="240"/>
      <c r="T76" s="240"/>
    </row>
    <row r="77" spans="1:20" s="3" customFormat="1">
      <c r="A77" s="109" t="s">
        <v>295</v>
      </c>
      <c r="B77" s="109" t="s">
        <v>296</v>
      </c>
      <c r="C77" s="118"/>
      <c r="D77" s="105" t="s">
        <v>297</v>
      </c>
      <c r="E77" s="105"/>
      <c r="F77" s="105"/>
      <c r="G77" s="105"/>
      <c r="H77" s="105"/>
      <c r="I77" s="105"/>
      <c r="J77" s="105"/>
      <c r="K77" s="118"/>
      <c r="L77" s="173">
        <v>114</v>
      </c>
      <c r="N77" s="239">
        <f t="shared" si="0"/>
        <v>42.920999999999999</v>
      </c>
      <c r="O77" s="239">
        <f t="shared" si="1"/>
        <v>42.920999999999999</v>
      </c>
      <c r="P77" s="239">
        <f t="shared" si="2"/>
        <v>51.527999999999999</v>
      </c>
      <c r="Q77" s="239">
        <f t="shared" si="3"/>
        <v>43.206000000000003</v>
      </c>
      <c r="R77" s="239">
        <f t="shared" si="4"/>
        <v>56.886000000000003</v>
      </c>
      <c r="S77" s="239">
        <f t="shared" si="5"/>
        <v>49.019999999999996</v>
      </c>
      <c r="T77" s="239">
        <f t="shared" si="6"/>
        <v>55.061999999999998</v>
      </c>
    </row>
    <row r="78" spans="1:20" s="3" customFormat="1">
      <c r="A78" s="109" t="s">
        <v>298</v>
      </c>
      <c r="B78" s="109"/>
      <c r="C78" s="118"/>
      <c r="D78" s="105"/>
      <c r="E78" s="105"/>
      <c r="F78" s="105" t="s">
        <v>299</v>
      </c>
      <c r="G78" s="105"/>
      <c r="H78" s="105"/>
      <c r="I78" s="105"/>
      <c r="J78" s="105"/>
      <c r="K78" s="118"/>
      <c r="L78" s="173">
        <v>109</v>
      </c>
      <c r="N78" s="239">
        <f t="shared" ref="N78:N141" si="35">L78*$N$8</f>
        <v>41.038499999999999</v>
      </c>
      <c r="O78" s="239">
        <f t="shared" ref="O78:O141" si="36">L78*$O$8</f>
        <v>41.038499999999999</v>
      </c>
      <c r="P78" s="239">
        <f t="shared" ref="P78:P141" si="37">L78*$P$8</f>
        <v>49.268000000000001</v>
      </c>
      <c r="Q78" s="239">
        <f t="shared" ref="Q78:Q141" si="38">L78*$Q$8</f>
        <v>41.311</v>
      </c>
      <c r="R78" s="239">
        <f t="shared" ref="R78:R141" si="39">L78*$R$8</f>
        <v>54.390999999999998</v>
      </c>
      <c r="S78" s="239">
        <f t="shared" ref="S78:S141" si="40">L78*$S$8</f>
        <v>46.87</v>
      </c>
      <c r="T78" s="239">
        <f t="shared" ref="T78:T141" si="41">L78*$T$8</f>
        <v>52.646999999999998</v>
      </c>
    </row>
    <row r="79" spans="1:20" s="3" customFormat="1">
      <c r="A79" s="113"/>
      <c r="B79" s="114"/>
      <c r="C79" s="115"/>
      <c r="D79" s="116"/>
      <c r="E79" s="116"/>
      <c r="F79" s="116"/>
      <c r="G79" s="116"/>
      <c r="H79" s="116"/>
      <c r="I79" s="116"/>
      <c r="J79" s="116"/>
      <c r="K79" s="182"/>
      <c r="L79" s="173"/>
      <c r="N79" s="239"/>
      <c r="O79" s="239"/>
      <c r="P79" s="239"/>
      <c r="Q79" s="239"/>
      <c r="R79" s="239"/>
      <c r="S79" s="239"/>
      <c r="T79" s="239"/>
    </row>
    <row r="80" spans="1:20" s="3" customFormat="1">
      <c r="A80" s="123" t="s">
        <v>300</v>
      </c>
      <c r="B80" s="124"/>
      <c r="C80" s="124"/>
      <c r="D80" s="125"/>
      <c r="E80" s="125"/>
      <c r="F80" s="125"/>
      <c r="G80" s="125"/>
      <c r="H80" s="125"/>
      <c r="I80" s="125"/>
      <c r="J80" s="125"/>
      <c r="K80" s="181"/>
      <c r="L80" s="126"/>
      <c r="N80" s="240"/>
      <c r="O80" s="240"/>
      <c r="P80" s="240"/>
      <c r="Q80" s="240"/>
      <c r="R80" s="240"/>
      <c r="S80" s="240"/>
      <c r="T80" s="240"/>
    </row>
    <row r="81" spans="1:20" s="3" customFormat="1">
      <c r="A81" s="109" t="s">
        <v>301</v>
      </c>
      <c r="B81" s="109" t="s">
        <v>302</v>
      </c>
      <c r="C81" s="118"/>
      <c r="D81" s="105" t="s">
        <v>303</v>
      </c>
      <c r="E81" s="105"/>
      <c r="F81" s="105"/>
      <c r="G81" s="105"/>
      <c r="H81" s="105"/>
      <c r="I81" s="105"/>
      <c r="J81" s="105"/>
      <c r="K81" s="118"/>
      <c r="L81" s="173">
        <v>10</v>
      </c>
      <c r="N81" s="239">
        <f t="shared" si="35"/>
        <v>3.7650000000000001</v>
      </c>
      <c r="O81" s="239">
        <f t="shared" si="36"/>
        <v>3.7650000000000001</v>
      </c>
      <c r="P81" s="239">
        <f t="shared" si="37"/>
        <v>4.5200000000000005</v>
      </c>
      <c r="Q81" s="239">
        <f t="shared" si="38"/>
        <v>3.79</v>
      </c>
      <c r="R81" s="239">
        <f t="shared" si="39"/>
        <v>4.99</v>
      </c>
      <c r="S81" s="239">
        <f t="shared" si="40"/>
        <v>4.3</v>
      </c>
      <c r="T81" s="239">
        <f t="shared" si="41"/>
        <v>4.83</v>
      </c>
    </row>
    <row r="82" spans="1:20" s="3" customFormat="1">
      <c r="A82" s="113"/>
      <c r="B82" s="114"/>
      <c r="C82" s="115"/>
      <c r="D82" s="116"/>
      <c r="E82" s="116"/>
      <c r="F82" s="116"/>
      <c r="G82" s="116"/>
      <c r="H82" s="116"/>
      <c r="I82" s="116"/>
      <c r="J82" s="116"/>
      <c r="K82" s="182"/>
      <c r="L82" s="173"/>
      <c r="N82" s="239"/>
      <c r="O82" s="239"/>
      <c r="P82" s="239"/>
      <c r="Q82" s="239"/>
      <c r="R82" s="239"/>
      <c r="S82" s="239"/>
      <c r="T82" s="239"/>
    </row>
    <row r="83" spans="1:20" s="3" customFormat="1">
      <c r="A83" s="123" t="s">
        <v>304</v>
      </c>
      <c r="B83" s="124"/>
      <c r="C83" s="124"/>
      <c r="D83" s="125"/>
      <c r="E83" s="125"/>
      <c r="F83" s="125"/>
      <c r="G83" s="125"/>
      <c r="H83" s="125"/>
      <c r="I83" s="125"/>
      <c r="J83" s="125"/>
      <c r="K83" s="181"/>
      <c r="L83" s="126"/>
      <c r="N83" s="240"/>
      <c r="O83" s="240"/>
      <c r="P83" s="240"/>
      <c r="Q83" s="240"/>
      <c r="R83" s="240"/>
      <c r="S83" s="240"/>
      <c r="T83" s="240"/>
    </row>
    <row r="84" spans="1:20" s="3" customFormat="1">
      <c r="A84" s="109" t="s">
        <v>305</v>
      </c>
      <c r="B84" s="109" t="s">
        <v>306</v>
      </c>
      <c r="C84" s="118"/>
      <c r="D84" s="105" t="s">
        <v>307</v>
      </c>
      <c r="E84" s="105" t="s">
        <v>308</v>
      </c>
      <c r="F84" s="105" t="s">
        <v>309</v>
      </c>
      <c r="G84" s="105" t="s">
        <v>310</v>
      </c>
      <c r="H84" s="105" t="s">
        <v>311</v>
      </c>
      <c r="I84" s="105"/>
      <c r="J84" s="105"/>
      <c r="K84" s="118"/>
      <c r="L84" s="173">
        <v>0</v>
      </c>
      <c r="N84" s="239">
        <f t="shared" si="35"/>
        <v>0</v>
      </c>
      <c r="O84" s="239">
        <f t="shared" si="36"/>
        <v>0</v>
      </c>
      <c r="P84" s="239">
        <f t="shared" si="37"/>
        <v>0</v>
      </c>
      <c r="Q84" s="239">
        <f t="shared" si="38"/>
        <v>0</v>
      </c>
      <c r="R84" s="239">
        <f t="shared" si="39"/>
        <v>0</v>
      </c>
      <c r="S84" s="239">
        <f t="shared" si="40"/>
        <v>0</v>
      </c>
      <c r="T84" s="239">
        <f t="shared" si="41"/>
        <v>0</v>
      </c>
    </row>
    <row r="85" spans="1:20" s="3" customFormat="1">
      <c r="A85" s="113"/>
      <c r="B85" s="114"/>
      <c r="C85" s="115"/>
      <c r="D85" s="116"/>
      <c r="E85" s="116"/>
      <c r="F85" s="116"/>
      <c r="G85" s="116"/>
      <c r="H85" s="116"/>
      <c r="I85" s="116"/>
      <c r="J85" s="116"/>
      <c r="K85" s="182"/>
      <c r="L85" s="173"/>
      <c r="N85" s="239"/>
      <c r="O85" s="239"/>
      <c r="P85" s="239"/>
      <c r="Q85" s="239"/>
      <c r="R85" s="239"/>
      <c r="S85" s="239"/>
      <c r="T85" s="239"/>
    </row>
    <row r="86" spans="1:20" s="3" customFormat="1">
      <c r="A86" s="123" t="s">
        <v>312</v>
      </c>
      <c r="B86" s="124"/>
      <c r="C86" s="124"/>
      <c r="D86" s="125"/>
      <c r="E86" s="125"/>
      <c r="F86" s="125"/>
      <c r="G86" s="125"/>
      <c r="H86" s="125"/>
      <c r="I86" s="125"/>
      <c r="J86" s="125"/>
      <c r="K86" s="181"/>
      <c r="L86" s="126"/>
      <c r="N86" s="240"/>
      <c r="O86" s="240"/>
      <c r="P86" s="240"/>
      <c r="Q86" s="240"/>
      <c r="R86" s="240"/>
      <c r="S86" s="240"/>
      <c r="T86" s="240"/>
    </row>
    <row r="87" spans="1:20" s="3" customFormat="1">
      <c r="A87" s="109" t="s">
        <v>313</v>
      </c>
      <c r="B87" s="109" t="s">
        <v>314</v>
      </c>
      <c r="C87" s="118"/>
      <c r="D87" s="118"/>
      <c r="E87" s="105"/>
      <c r="F87" s="105"/>
      <c r="G87" s="105"/>
      <c r="H87" s="105" t="s">
        <v>315</v>
      </c>
      <c r="I87" s="105"/>
      <c r="J87" s="105"/>
      <c r="K87" s="118"/>
      <c r="L87" s="173">
        <v>32</v>
      </c>
      <c r="N87" s="239">
        <f t="shared" si="35"/>
        <v>12.048</v>
      </c>
      <c r="O87" s="239">
        <f t="shared" si="36"/>
        <v>12.048</v>
      </c>
      <c r="P87" s="239">
        <f t="shared" si="37"/>
        <v>14.464</v>
      </c>
      <c r="Q87" s="239">
        <f t="shared" si="38"/>
        <v>12.128</v>
      </c>
      <c r="R87" s="239">
        <f t="shared" si="39"/>
        <v>15.968</v>
      </c>
      <c r="S87" s="239">
        <f t="shared" si="40"/>
        <v>13.76</v>
      </c>
      <c r="T87" s="239">
        <f t="shared" si="41"/>
        <v>15.456</v>
      </c>
    </row>
    <row r="88" spans="1:20">
      <c r="A88" s="113"/>
      <c r="B88" s="114"/>
      <c r="C88" s="115"/>
      <c r="D88" s="116"/>
      <c r="E88" s="116"/>
      <c r="F88" s="116"/>
      <c r="G88" s="116"/>
      <c r="H88" s="116"/>
      <c r="I88" s="116"/>
      <c r="J88" s="116"/>
      <c r="K88" s="182"/>
      <c r="L88" s="173"/>
      <c r="N88" s="239"/>
      <c r="O88" s="239"/>
      <c r="P88" s="239"/>
      <c r="Q88" s="239"/>
      <c r="R88" s="239"/>
      <c r="S88" s="239"/>
      <c r="T88" s="239"/>
    </row>
    <row r="89" spans="1:20">
      <c r="A89" s="89" t="s">
        <v>316</v>
      </c>
      <c r="B89" s="90"/>
      <c r="C89" s="90"/>
      <c r="D89" s="81"/>
      <c r="E89" s="81"/>
      <c r="F89" s="81"/>
      <c r="G89" s="81"/>
      <c r="H89" s="81"/>
      <c r="I89" s="81"/>
      <c r="J89" s="81"/>
      <c r="K89" s="62"/>
      <c r="L89" s="169"/>
      <c r="N89" s="242"/>
      <c r="O89" s="242"/>
      <c r="P89" s="242"/>
      <c r="Q89" s="242"/>
      <c r="R89" s="242"/>
      <c r="S89" s="242"/>
      <c r="T89" s="242"/>
    </row>
    <row r="90" spans="1:20">
      <c r="A90" s="109" t="s">
        <v>317</v>
      </c>
      <c r="B90" s="109" t="s">
        <v>318</v>
      </c>
      <c r="C90" s="118"/>
      <c r="D90" s="105" t="s">
        <v>319</v>
      </c>
      <c r="E90" s="105" t="s">
        <v>319</v>
      </c>
      <c r="F90" s="105" t="s">
        <v>319</v>
      </c>
      <c r="G90" s="105" t="s">
        <v>319</v>
      </c>
      <c r="H90" s="105" t="s">
        <v>319</v>
      </c>
      <c r="I90" s="105"/>
      <c r="J90" s="105"/>
      <c r="K90" s="118"/>
      <c r="L90" s="173">
        <v>10</v>
      </c>
      <c r="N90" s="239">
        <f t="shared" si="35"/>
        <v>3.7650000000000001</v>
      </c>
      <c r="O90" s="239">
        <f t="shared" si="36"/>
        <v>3.7650000000000001</v>
      </c>
      <c r="P90" s="239">
        <f t="shared" si="37"/>
        <v>4.5200000000000005</v>
      </c>
      <c r="Q90" s="239">
        <f t="shared" si="38"/>
        <v>3.79</v>
      </c>
      <c r="R90" s="239">
        <f t="shared" si="39"/>
        <v>4.99</v>
      </c>
      <c r="S90" s="239">
        <f t="shared" si="40"/>
        <v>4.3</v>
      </c>
      <c r="T90" s="239">
        <f t="shared" si="41"/>
        <v>4.83</v>
      </c>
    </row>
    <row r="91" spans="1:20">
      <c r="A91" s="109" t="s">
        <v>320</v>
      </c>
      <c r="B91" s="119" t="s">
        <v>321</v>
      </c>
      <c r="C91" s="120"/>
      <c r="D91" s="105" t="s">
        <v>322</v>
      </c>
      <c r="E91" s="105" t="s">
        <v>322</v>
      </c>
      <c r="F91" s="105" t="s">
        <v>322</v>
      </c>
      <c r="G91" s="105" t="s">
        <v>322</v>
      </c>
      <c r="H91" s="105" t="s">
        <v>322</v>
      </c>
      <c r="I91" s="105"/>
      <c r="J91" s="105"/>
      <c r="K91" s="118"/>
      <c r="L91" s="173">
        <v>30</v>
      </c>
      <c r="N91" s="239">
        <f t="shared" si="35"/>
        <v>11.295</v>
      </c>
      <c r="O91" s="239">
        <f t="shared" si="36"/>
        <v>11.295</v>
      </c>
      <c r="P91" s="239">
        <f t="shared" si="37"/>
        <v>13.56</v>
      </c>
      <c r="Q91" s="239">
        <f t="shared" si="38"/>
        <v>11.370000000000001</v>
      </c>
      <c r="R91" s="239">
        <f t="shared" si="39"/>
        <v>14.97</v>
      </c>
      <c r="S91" s="239">
        <f t="shared" si="40"/>
        <v>12.9</v>
      </c>
      <c r="T91" s="239">
        <f t="shared" si="41"/>
        <v>14.49</v>
      </c>
    </row>
    <row r="92" spans="1:20">
      <c r="A92" s="109" t="s">
        <v>323</v>
      </c>
      <c r="B92" s="109" t="s">
        <v>324</v>
      </c>
      <c r="C92" s="118"/>
      <c r="D92" s="105" t="s">
        <v>325</v>
      </c>
      <c r="E92" s="105" t="s">
        <v>325</v>
      </c>
      <c r="F92" s="105" t="s">
        <v>325</v>
      </c>
      <c r="G92" s="105" t="s">
        <v>325</v>
      </c>
      <c r="H92" s="105" t="s">
        <v>325</v>
      </c>
      <c r="I92" s="105"/>
      <c r="J92" s="105"/>
      <c r="K92" s="118"/>
      <c r="L92" s="173">
        <v>40</v>
      </c>
      <c r="N92" s="239">
        <f t="shared" si="35"/>
        <v>15.06</v>
      </c>
      <c r="O92" s="239">
        <f t="shared" si="36"/>
        <v>15.06</v>
      </c>
      <c r="P92" s="239">
        <f t="shared" si="37"/>
        <v>18.080000000000002</v>
      </c>
      <c r="Q92" s="239">
        <f t="shared" si="38"/>
        <v>15.16</v>
      </c>
      <c r="R92" s="239">
        <f t="shared" si="39"/>
        <v>19.96</v>
      </c>
      <c r="S92" s="239">
        <f t="shared" si="40"/>
        <v>17.2</v>
      </c>
      <c r="T92" s="239">
        <f t="shared" si="41"/>
        <v>19.32</v>
      </c>
    </row>
    <row r="93" spans="1:20">
      <c r="A93" s="109" t="s">
        <v>326</v>
      </c>
      <c r="B93" s="109" t="s">
        <v>327</v>
      </c>
      <c r="C93" s="118"/>
      <c r="D93" s="105" t="s">
        <v>328</v>
      </c>
      <c r="E93" s="105" t="s">
        <v>328</v>
      </c>
      <c r="F93" s="105" t="s">
        <v>328</v>
      </c>
      <c r="G93" s="105" t="s">
        <v>328</v>
      </c>
      <c r="H93" s="105" t="s">
        <v>328</v>
      </c>
      <c r="I93" s="105"/>
      <c r="J93" s="105"/>
      <c r="K93" s="118"/>
      <c r="L93" s="173">
        <v>158</v>
      </c>
      <c r="N93" s="239">
        <f t="shared" si="35"/>
        <v>59.487000000000002</v>
      </c>
      <c r="O93" s="239">
        <f t="shared" si="36"/>
        <v>59.487000000000002</v>
      </c>
      <c r="P93" s="239">
        <f t="shared" si="37"/>
        <v>71.415999999999997</v>
      </c>
      <c r="Q93" s="239">
        <f t="shared" si="38"/>
        <v>59.881999999999998</v>
      </c>
      <c r="R93" s="239">
        <f t="shared" si="39"/>
        <v>78.841999999999999</v>
      </c>
      <c r="S93" s="239">
        <f t="shared" si="40"/>
        <v>67.94</v>
      </c>
      <c r="T93" s="239">
        <f t="shared" si="41"/>
        <v>76.313999999999993</v>
      </c>
    </row>
    <row r="94" spans="1:20">
      <c r="A94" s="109" t="s">
        <v>1682</v>
      </c>
      <c r="B94" s="109" t="s">
        <v>1666</v>
      </c>
      <c r="C94" s="118"/>
      <c r="D94" s="109" t="s">
        <v>1705</v>
      </c>
      <c r="E94" s="109" t="s">
        <v>1705</v>
      </c>
      <c r="F94" s="109" t="s">
        <v>1705</v>
      </c>
      <c r="G94" s="109" t="s">
        <v>1705</v>
      </c>
      <c r="H94" s="109" t="s">
        <v>1706</v>
      </c>
      <c r="I94" s="105"/>
      <c r="J94" s="105"/>
      <c r="K94" s="118"/>
      <c r="L94" s="173">
        <v>22</v>
      </c>
      <c r="N94" s="239">
        <f t="shared" ref="N94:N95" si="42">L94*$N$8</f>
        <v>8.2829999999999995</v>
      </c>
      <c r="O94" s="239">
        <f t="shared" ref="O94:O95" si="43">L94*$O$8</f>
        <v>8.2829999999999995</v>
      </c>
      <c r="P94" s="239">
        <f t="shared" ref="P94:P95" si="44">L94*$P$8</f>
        <v>9.9440000000000008</v>
      </c>
      <c r="Q94" s="239">
        <f t="shared" ref="Q94:Q95" si="45">L94*$Q$8</f>
        <v>8.338000000000001</v>
      </c>
      <c r="R94" s="239">
        <f t="shared" ref="R94:R95" si="46">L94*$R$8</f>
        <v>10.978</v>
      </c>
      <c r="S94" s="239">
        <f t="shared" ref="S94:S95" si="47">L94*$S$8</f>
        <v>9.4599999999999991</v>
      </c>
      <c r="T94" s="239">
        <f t="shared" ref="T94:T95" si="48">L94*$T$8</f>
        <v>10.625999999999999</v>
      </c>
    </row>
    <row r="95" spans="1:20" ht="25.5">
      <c r="A95" s="109" t="s">
        <v>329</v>
      </c>
      <c r="B95" s="109" t="s">
        <v>330</v>
      </c>
      <c r="C95" s="118"/>
      <c r="D95" s="109" t="s">
        <v>1709</v>
      </c>
      <c r="E95" s="109" t="s">
        <v>1709</v>
      </c>
      <c r="F95" s="109" t="s">
        <v>1709</v>
      </c>
      <c r="G95" s="109" t="s">
        <v>1709</v>
      </c>
      <c r="H95" s="109" t="s">
        <v>1710</v>
      </c>
      <c r="I95" s="105"/>
      <c r="J95" s="105"/>
      <c r="K95" s="118"/>
      <c r="L95" s="173">
        <v>52</v>
      </c>
      <c r="N95" s="239">
        <f t="shared" si="42"/>
        <v>19.577999999999999</v>
      </c>
      <c r="O95" s="239">
        <f t="shared" si="43"/>
        <v>19.577999999999999</v>
      </c>
      <c r="P95" s="239">
        <f t="shared" si="44"/>
        <v>23.504000000000001</v>
      </c>
      <c r="Q95" s="239">
        <f t="shared" si="45"/>
        <v>19.707999999999998</v>
      </c>
      <c r="R95" s="239">
        <f t="shared" si="46"/>
        <v>25.948</v>
      </c>
      <c r="S95" s="239">
        <f t="shared" si="47"/>
        <v>22.36</v>
      </c>
      <c r="T95" s="239">
        <f t="shared" si="48"/>
        <v>25.116</v>
      </c>
    </row>
    <row r="96" spans="1:20">
      <c r="A96" s="113"/>
      <c r="B96" s="114"/>
      <c r="C96" s="115"/>
      <c r="D96" s="116"/>
      <c r="E96" s="116"/>
      <c r="F96" s="116"/>
      <c r="G96" s="116"/>
      <c r="H96" s="116"/>
      <c r="I96" s="116"/>
      <c r="J96" s="116"/>
      <c r="K96" s="182"/>
      <c r="L96" s="173"/>
      <c r="N96" s="239"/>
      <c r="O96" s="239"/>
      <c r="P96" s="239"/>
      <c r="Q96" s="239"/>
      <c r="R96" s="239"/>
      <c r="S96" s="239"/>
      <c r="T96" s="239"/>
    </row>
    <row r="97" spans="1:20" ht="20.25">
      <c r="A97" s="92" t="s">
        <v>331</v>
      </c>
      <c r="B97" s="93"/>
      <c r="C97" s="94"/>
      <c r="D97" s="95"/>
      <c r="E97" s="95"/>
      <c r="F97" s="95"/>
      <c r="G97" s="95"/>
      <c r="H97" s="95"/>
      <c r="I97" s="95"/>
      <c r="J97" s="95"/>
      <c r="K97" s="92"/>
      <c r="L97" s="95"/>
      <c r="N97" s="243" t="s">
        <v>1596</v>
      </c>
      <c r="O97" s="243" t="s">
        <v>1597</v>
      </c>
      <c r="P97" s="243" t="s">
        <v>1598</v>
      </c>
      <c r="Q97" s="243" t="s">
        <v>1599</v>
      </c>
      <c r="R97" s="243" t="s">
        <v>1600</v>
      </c>
      <c r="S97" s="243" t="s">
        <v>1601</v>
      </c>
      <c r="T97" s="243" t="s">
        <v>1602</v>
      </c>
    </row>
    <row r="98" spans="1:20" ht="99.75" customHeight="1">
      <c r="A98" s="11" t="s">
        <v>117</v>
      </c>
      <c r="B98" s="11" t="s">
        <v>118</v>
      </c>
      <c r="C98" s="11" t="s">
        <v>119</v>
      </c>
      <c r="D98" s="11"/>
      <c r="E98" s="11"/>
      <c r="F98" s="11"/>
      <c r="G98" s="11"/>
      <c r="H98" s="69"/>
      <c r="I98" s="69"/>
      <c r="J98" s="69"/>
      <c r="K98" s="11" t="s">
        <v>120</v>
      </c>
      <c r="L98" s="11" t="s">
        <v>1604</v>
      </c>
      <c r="N98" s="244" t="s">
        <v>1605</v>
      </c>
      <c r="O98" s="244" t="s">
        <v>1605</v>
      </c>
      <c r="P98" s="244" t="s">
        <v>1605</v>
      </c>
      <c r="Q98" s="244" t="s">
        <v>1605</v>
      </c>
      <c r="R98" s="244" t="s">
        <v>1605</v>
      </c>
      <c r="S98" s="244" t="s">
        <v>1605</v>
      </c>
      <c r="T98" s="244" t="s">
        <v>1605</v>
      </c>
    </row>
    <row r="99" spans="1:20" ht="155.25" customHeight="1">
      <c r="A99" s="113" t="s">
        <v>1652</v>
      </c>
      <c r="B99" s="114" t="s">
        <v>332</v>
      </c>
      <c r="C99" s="115"/>
      <c r="D99" s="116"/>
      <c r="E99" s="116"/>
      <c r="F99" s="116"/>
      <c r="G99" s="116"/>
      <c r="H99" s="116"/>
      <c r="I99" s="116"/>
      <c r="J99" s="116"/>
      <c r="K99" s="182"/>
      <c r="L99" s="173">
        <v>421</v>
      </c>
      <c r="N99" s="239">
        <f t="shared" si="35"/>
        <v>158.50649999999999</v>
      </c>
      <c r="O99" s="239">
        <f t="shared" si="36"/>
        <v>158.50649999999999</v>
      </c>
      <c r="P99" s="239">
        <f t="shared" si="37"/>
        <v>190.292</v>
      </c>
      <c r="Q99" s="239">
        <f t="shared" si="38"/>
        <v>159.559</v>
      </c>
      <c r="R99" s="239">
        <f t="shared" si="39"/>
        <v>210.07900000000001</v>
      </c>
      <c r="S99" s="239">
        <f t="shared" si="40"/>
        <v>181.03</v>
      </c>
      <c r="T99" s="239">
        <f t="shared" si="41"/>
        <v>203.34299999999999</v>
      </c>
    </row>
    <row r="100" spans="1:20" ht="14.45" customHeight="1">
      <c r="A100" s="113"/>
      <c r="B100" s="114"/>
      <c r="C100" s="115"/>
      <c r="D100" s="116"/>
      <c r="E100" s="116"/>
      <c r="F100" s="116"/>
      <c r="G100" s="116"/>
      <c r="H100" s="116"/>
      <c r="I100" s="116"/>
      <c r="J100" s="116"/>
      <c r="K100" s="182"/>
      <c r="L100" s="173"/>
      <c r="N100" s="239"/>
      <c r="O100" s="239"/>
      <c r="P100" s="239"/>
      <c r="Q100" s="239"/>
      <c r="R100" s="239"/>
      <c r="S100" s="239"/>
      <c r="T100" s="239"/>
    </row>
    <row r="101" spans="1:20" ht="149.25" customHeight="1">
      <c r="A101" s="117" t="s">
        <v>1651</v>
      </c>
      <c r="B101" s="114" t="s">
        <v>333</v>
      </c>
      <c r="C101" s="115"/>
      <c r="D101" s="116"/>
      <c r="E101" s="116"/>
      <c r="F101" s="116"/>
      <c r="G101" s="116"/>
      <c r="H101" s="116"/>
      <c r="I101" s="116"/>
      <c r="J101" s="116"/>
      <c r="K101" s="182"/>
      <c r="L101" s="173">
        <v>418</v>
      </c>
      <c r="N101" s="239">
        <f t="shared" si="35"/>
        <v>157.37700000000001</v>
      </c>
      <c r="O101" s="239">
        <f t="shared" si="36"/>
        <v>157.37700000000001</v>
      </c>
      <c r="P101" s="239">
        <f t="shared" si="37"/>
        <v>188.93600000000001</v>
      </c>
      <c r="Q101" s="239">
        <f t="shared" si="38"/>
        <v>158.422</v>
      </c>
      <c r="R101" s="239">
        <f t="shared" si="39"/>
        <v>208.58199999999999</v>
      </c>
      <c r="S101" s="239">
        <f t="shared" si="40"/>
        <v>179.74</v>
      </c>
      <c r="T101" s="239">
        <f t="shared" si="41"/>
        <v>201.89400000000001</v>
      </c>
    </row>
    <row r="102" spans="1:20" ht="12.75" customHeight="1">
      <c r="A102" s="113"/>
      <c r="B102" s="114"/>
      <c r="C102" s="115"/>
      <c r="D102" s="116"/>
      <c r="E102" s="116"/>
      <c r="F102" s="116"/>
      <c r="G102" s="116"/>
      <c r="H102" s="116"/>
      <c r="I102" s="116"/>
      <c r="J102" s="116"/>
      <c r="K102" s="182"/>
      <c r="L102" s="173"/>
      <c r="N102" s="239"/>
      <c r="O102" s="239"/>
      <c r="P102" s="239"/>
      <c r="Q102" s="239"/>
      <c r="R102" s="239"/>
      <c r="S102" s="239"/>
      <c r="T102" s="239"/>
    </row>
    <row r="103" spans="1:20" ht="155.25" customHeight="1">
      <c r="A103" s="117" t="s">
        <v>1650</v>
      </c>
      <c r="B103" s="114" t="s">
        <v>334</v>
      </c>
      <c r="C103" s="115"/>
      <c r="D103" s="116"/>
      <c r="E103" s="116"/>
      <c r="F103" s="116"/>
      <c r="G103" s="116"/>
      <c r="H103" s="116"/>
      <c r="I103" s="116"/>
      <c r="J103" s="116"/>
      <c r="K103" s="182"/>
      <c r="L103" s="173">
        <v>400</v>
      </c>
      <c r="N103" s="239">
        <f t="shared" si="35"/>
        <v>150.6</v>
      </c>
      <c r="O103" s="239">
        <f t="shared" si="36"/>
        <v>150.6</v>
      </c>
      <c r="P103" s="239">
        <f t="shared" si="37"/>
        <v>180.8</v>
      </c>
      <c r="Q103" s="239">
        <f t="shared" si="38"/>
        <v>151.6</v>
      </c>
      <c r="R103" s="239">
        <f t="shared" si="39"/>
        <v>199.6</v>
      </c>
      <c r="S103" s="239">
        <f t="shared" si="40"/>
        <v>172</v>
      </c>
      <c r="T103" s="239">
        <f t="shared" si="41"/>
        <v>193.2</v>
      </c>
    </row>
    <row r="104" spans="1:20" ht="12.95" customHeight="1">
      <c r="A104" s="113"/>
      <c r="B104" s="114"/>
      <c r="C104" s="115"/>
      <c r="D104" s="116"/>
      <c r="E104" s="116"/>
      <c r="F104" s="116"/>
      <c r="G104" s="116"/>
      <c r="H104" s="116"/>
      <c r="I104" s="116"/>
      <c r="J104" s="116"/>
      <c r="K104" s="182"/>
      <c r="L104" s="173"/>
      <c r="N104" s="239"/>
      <c r="O104" s="239"/>
      <c r="P104" s="239"/>
      <c r="Q104" s="239"/>
      <c r="R104" s="239"/>
      <c r="S104" s="239"/>
      <c r="T104" s="239"/>
    </row>
    <row r="105" spans="1:20" ht="149.25" customHeight="1">
      <c r="A105" s="117" t="s">
        <v>1649</v>
      </c>
      <c r="B105" s="114" t="s">
        <v>335</v>
      </c>
      <c r="C105" s="115"/>
      <c r="D105" s="116"/>
      <c r="E105" s="116"/>
      <c r="F105" s="116"/>
      <c r="G105" s="116"/>
      <c r="H105" s="116"/>
      <c r="I105" s="116"/>
      <c r="J105" s="116"/>
      <c r="K105" s="182"/>
      <c r="L105" s="173">
        <v>420</v>
      </c>
      <c r="N105" s="239">
        <f t="shared" si="35"/>
        <v>158.13</v>
      </c>
      <c r="O105" s="239">
        <f t="shared" si="36"/>
        <v>158.13</v>
      </c>
      <c r="P105" s="239">
        <f t="shared" si="37"/>
        <v>189.84</v>
      </c>
      <c r="Q105" s="239">
        <f t="shared" si="38"/>
        <v>159.18</v>
      </c>
      <c r="R105" s="239">
        <f t="shared" si="39"/>
        <v>209.58</v>
      </c>
      <c r="S105" s="239">
        <f t="shared" si="40"/>
        <v>180.6</v>
      </c>
      <c r="T105" s="239">
        <f t="shared" si="41"/>
        <v>202.85999999999999</v>
      </c>
    </row>
    <row r="106" spans="1:20" ht="15" customHeight="1">
      <c r="A106" s="113"/>
      <c r="B106" s="114"/>
      <c r="C106" s="115"/>
      <c r="D106" s="116"/>
      <c r="E106" s="116"/>
      <c r="F106" s="116"/>
      <c r="G106" s="116"/>
      <c r="H106" s="116"/>
      <c r="I106" s="116"/>
      <c r="J106" s="116"/>
      <c r="K106" s="182"/>
      <c r="L106" s="173"/>
      <c r="N106" s="239"/>
      <c r="O106" s="239"/>
      <c r="P106" s="239"/>
      <c r="Q106" s="239"/>
      <c r="R106" s="239"/>
      <c r="S106" s="239"/>
      <c r="T106" s="239"/>
    </row>
    <row r="107" spans="1:20" ht="148.5" customHeight="1">
      <c r="A107" s="117" t="s">
        <v>1648</v>
      </c>
      <c r="B107" s="114" t="s">
        <v>336</v>
      </c>
      <c r="C107" s="115"/>
      <c r="D107" s="116"/>
      <c r="E107" s="116"/>
      <c r="F107" s="116"/>
      <c r="G107" s="116"/>
      <c r="H107" s="116"/>
      <c r="I107" s="116"/>
      <c r="J107" s="116"/>
      <c r="K107" s="182"/>
      <c r="L107" s="173">
        <v>402</v>
      </c>
      <c r="N107" s="239">
        <f t="shared" si="35"/>
        <v>151.35300000000001</v>
      </c>
      <c r="O107" s="239">
        <f t="shared" si="36"/>
        <v>151.35300000000001</v>
      </c>
      <c r="P107" s="239">
        <f t="shared" si="37"/>
        <v>181.70400000000001</v>
      </c>
      <c r="Q107" s="239">
        <f t="shared" si="38"/>
        <v>152.358</v>
      </c>
      <c r="R107" s="239">
        <f t="shared" si="39"/>
        <v>200.59800000000001</v>
      </c>
      <c r="S107" s="239">
        <f t="shared" si="40"/>
        <v>172.85999999999999</v>
      </c>
      <c r="T107" s="239">
        <f t="shared" si="41"/>
        <v>194.166</v>
      </c>
    </row>
    <row r="108" spans="1:20" ht="31.5">
      <c r="A108" s="113"/>
      <c r="B108" s="114"/>
      <c r="C108" s="115"/>
      <c r="D108" s="116"/>
      <c r="E108" s="116"/>
      <c r="F108" s="116"/>
      <c r="G108" s="116"/>
      <c r="H108" s="116"/>
      <c r="I108" s="116"/>
      <c r="J108" s="116"/>
      <c r="K108" s="182"/>
      <c r="L108" s="173"/>
      <c r="N108" s="151" t="s">
        <v>1596</v>
      </c>
      <c r="O108" s="151" t="s">
        <v>1597</v>
      </c>
      <c r="P108" s="151" t="s">
        <v>1598</v>
      </c>
      <c r="Q108" s="151" t="s">
        <v>1599</v>
      </c>
      <c r="R108" s="151" t="s">
        <v>1600</v>
      </c>
      <c r="S108" s="151" t="s">
        <v>1601</v>
      </c>
      <c r="T108" s="151" t="s">
        <v>1602</v>
      </c>
    </row>
    <row r="109" spans="1:20" s="13" customFormat="1" ht="25.5">
      <c r="A109" s="112" t="s">
        <v>337</v>
      </c>
      <c r="B109" s="11" t="s">
        <v>338</v>
      </c>
      <c r="C109" s="11" t="s">
        <v>119</v>
      </c>
      <c r="D109" s="11" t="s">
        <v>339</v>
      </c>
      <c r="E109" s="11" t="s">
        <v>340</v>
      </c>
      <c r="F109" s="11" t="s">
        <v>341</v>
      </c>
      <c r="G109" s="11" t="s">
        <v>342</v>
      </c>
      <c r="H109" s="11" t="s">
        <v>343</v>
      </c>
      <c r="I109" s="11"/>
      <c r="J109" s="11"/>
      <c r="K109" s="11" t="s">
        <v>120</v>
      </c>
      <c r="L109" s="174" t="s">
        <v>938</v>
      </c>
      <c r="N109" s="152" t="s">
        <v>1605</v>
      </c>
      <c r="O109" s="152" t="s">
        <v>1605</v>
      </c>
      <c r="P109" s="152" t="s">
        <v>1605</v>
      </c>
      <c r="Q109" s="152" t="s">
        <v>1605</v>
      </c>
      <c r="R109" s="152" t="s">
        <v>1605</v>
      </c>
      <c r="S109" s="152" t="s">
        <v>1605</v>
      </c>
      <c r="T109" s="152" t="s">
        <v>1605</v>
      </c>
    </row>
    <row r="110" spans="1:20">
      <c r="A110" s="89" t="s">
        <v>140</v>
      </c>
      <c r="B110" s="90" t="s">
        <v>344</v>
      </c>
      <c r="C110" s="90"/>
      <c r="D110" s="91"/>
      <c r="E110" s="91"/>
      <c r="F110" s="91"/>
      <c r="G110" s="91"/>
      <c r="H110" s="91"/>
      <c r="I110" s="91"/>
      <c r="J110" s="91"/>
      <c r="K110" s="90"/>
      <c r="L110" s="168"/>
      <c r="N110" s="238"/>
      <c r="O110" s="238"/>
      <c r="P110" s="238"/>
      <c r="Q110" s="238"/>
      <c r="R110" s="238"/>
      <c r="S110" s="238"/>
      <c r="T110" s="238"/>
    </row>
    <row r="111" spans="1:20">
      <c r="A111" s="109" t="s">
        <v>345</v>
      </c>
      <c r="B111" s="109" t="s">
        <v>346</v>
      </c>
      <c r="C111" s="118"/>
      <c r="D111" s="105" t="s">
        <v>347</v>
      </c>
      <c r="E111" s="105"/>
      <c r="F111" s="105"/>
      <c r="G111" s="105"/>
      <c r="H111" s="105"/>
      <c r="I111" s="105"/>
      <c r="J111" s="105"/>
      <c r="K111" s="118"/>
      <c r="L111" s="173">
        <v>69</v>
      </c>
      <c r="N111" s="239">
        <f t="shared" si="35"/>
        <v>25.9785</v>
      </c>
      <c r="O111" s="239">
        <f t="shared" si="36"/>
        <v>25.9785</v>
      </c>
      <c r="P111" s="239">
        <f t="shared" si="37"/>
        <v>31.188000000000002</v>
      </c>
      <c r="Q111" s="239">
        <f t="shared" si="38"/>
        <v>26.151</v>
      </c>
      <c r="R111" s="239">
        <f t="shared" si="39"/>
        <v>34.430999999999997</v>
      </c>
      <c r="S111" s="239">
        <f t="shared" si="40"/>
        <v>29.669999999999998</v>
      </c>
      <c r="T111" s="239">
        <f t="shared" si="41"/>
        <v>33.326999999999998</v>
      </c>
    </row>
    <row r="112" spans="1:20">
      <c r="A112" s="109" t="s">
        <v>348</v>
      </c>
      <c r="B112" s="109" t="s">
        <v>349</v>
      </c>
      <c r="C112" s="118" t="s">
        <v>350</v>
      </c>
      <c r="D112" s="105" t="s">
        <v>351</v>
      </c>
      <c r="E112" s="105"/>
      <c r="F112" s="105"/>
      <c r="G112" s="105"/>
      <c r="H112" s="105"/>
      <c r="I112" s="105"/>
      <c r="J112" s="105"/>
      <c r="K112" s="118"/>
      <c r="L112" s="173">
        <v>186</v>
      </c>
      <c r="N112" s="239">
        <f t="shared" ref="N112" si="49">L112*$N$8</f>
        <v>70.028999999999996</v>
      </c>
      <c r="O112" s="239">
        <f t="shared" ref="O112" si="50">L112*$O$8</f>
        <v>70.028999999999996</v>
      </c>
      <c r="P112" s="239">
        <f t="shared" ref="P112" si="51">L112*$P$8</f>
        <v>84.072000000000003</v>
      </c>
      <c r="Q112" s="239">
        <f t="shared" ref="Q112" si="52">L112*$Q$8</f>
        <v>70.494</v>
      </c>
      <c r="R112" s="239">
        <f t="shared" ref="R112" si="53">L112*$R$8</f>
        <v>92.813999999999993</v>
      </c>
      <c r="S112" s="239">
        <f t="shared" ref="S112" si="54">L112*$S$8</f>
        <v>79.98</v>
      </c>
      <c r="T112" s="239">
        <f t="shared" ref="T112" si="55">L112*$T$8</f>
        <v>89.837999999999994</v>
      </c>
    </row>
    <row r="113" spans="1:20">
      <c r="A113" s="109" t="s">
        <v>352</v>
      </c>
      <c r="B113" s="109" t="s">
        <v>353</v>
      </c>
      <c r="C113" s="118"/>
      <c r="D113" s="105" t="s">
        <v>354</v>
      </c>
      <c r="E113" s="105"/>
      <c r="F113" s="105"/>
      <c r="G113" s="105"/>
      <c r="H113" s="105"/>
      <c r="I113" s="105"/>
      <c r="J113" s="105"/>
      <c r="K113" s="118"/>
      <c r="L113" s="173">
        <v>180</v>
      </c>
      <c r="N113" s="239">
        <f t="shared" si="35"/>
        <v>67.77</v>
      </c>
      <c r="O113" s="239">
        <f t="shared" si="36"/>
        <v>67.77</v>
      </c>
      <c r="P113" s="239">
        <f t="shared" si="37"/>
        <v>81.36</v>
      </c>
      <c r="Q113" s="239">
        <f t="shared" si="38"/>
        <v>68.22</v>
      </c>
      <c r="R113" s="239">
        <f t="shared" si="39"/>
        <v>89.82</v>
      </c>
      <c r="S113" s="239">
        <f t="shared" si="40"/>
        <v>77.400000000000006</v>
      </c>
      <c r="T113" s="239">
        <f t="shared" si="41"/>
        <v>86.94</v>
      </c>
    </row>
    <row r="114" spans="1:20" s="3" customFormat="1">
      <c r="A114" s="113"/>
      <c r="B114" s="114"/>
      <c r="C114" s="115"/>
      <c r="D114" s="116"/>
      <c r="E114" s="116"/>
      <c r="F114" s="116"/>
      <c r="G114" s="116"/>
      <c r="H114" s="116"/>
      <c r="I114" s="116"/>
      <c r="J114" s="116"/>
      <c r="K114" s="182"/>
      <c r="L114" s="173"/>
      <c r="N114" s="239"/>
      <c r="O114" s="239"/>
      <c r="P114" s="239"/>
      <c r="Q114" s="239"/>
      <c r="R114" s="239"/>
      <c r="S114" s="239"/>
      <c r="T114" s="239"/>
    </row>
    <row r="115" spans="1:20" s="3" customFormat="1">
      <c r="A115" s="109" t="s">
        <v>355</v>
      </c>
      <c r="B115" s="109" t="s">
        <v>356</v>
      </c>
      <c r="C115" s="118"/>
      <c r="D115" s="118"/>
      <c r="E115" s="105" t="s">
        <v>357</v>
      </c>
      <c r="F115" s="105"/>
      <c r="G115" s="105"/>
      <c r="H115" s="105"/>
      <c r="I115" s="105"/>
      <c r="J115" s="105"/>
      <c r="K115" s="118"/>
      <c r="L115" s="173">
        <v>0</v>
      </c>
      <c r="N115" s="239">
        <f t="shared" si="35"/>
        <v>0</v>
      </c>
      <c r="O115" s="239">
        <f t="shared" si="36"/>
        <v>0</v>
      </c>
      <c r="P115" s="239">
        <f t="shared" si="37"/>
        <v>0</v>
      </c>
      <c r="Q115" s="239">
        <f t="shared" si="38"/>
        <v>0</v>
      </c>
      <c r="R115" s="239">
        <f t="shared" si="39"/>
        <v>0</v>
      </c>
      <c r="S115" s="239">
        <f t="shared" si="40"/>
        <v>0</v>
      </c>
      <c r="T115" s="239">
        <f t="shared" si="41"/>
        <v>0</v>
      </c>
    </row>
    <row r="116" spans="1:20" s="3" customFormat="1">
      <c r="A116" s="109" t="s">
        <v>358</v>
      </c>
      <c r="B116" s="109" t="s">
        <v>359</v>
      </c>
      <c r="C116" s="118"/>
      <c r="D116" s="118"/>
      <c r="E116" s="105" t="s">
        <v>360</v>
      </c>
      <c r="F116" s="105"/>
      <c r="G116" s="105"/>
      <c r="H116" s="105"/>
      <c r="I116" s="105"/>
      <c r="J116" s="105"/>
      <c r="K116" s="118"/>
      <c r="L116" s="173">
        <v>69</v>
      </c>
      <c r="N116" s="239">
        <f t="shared" si="35"/>
        <v>25.9785</v>
      </c>
      <c r="O116" s="239">
        <f t="shared" si="36"/>
        <v>25.9785</v>
      </c>
      <c r="P116" s="239">
        <f t="shared" si="37"/>
        <v>31.188000000000002</v>
      </c>
      <c r="Q116" s="239">
        <f t="shared" si="38"/>
        <v>26.151</v>
      </c>
      <c r="R116" s="239">
        <f t="shared" si="39"/>
        <v>34.430999999999997</v>
      </c>
      <c r="S116" s="239">
        <f t="shared" si="40"/>
        <v>29.669999999999998</v>
      </c>
      <c r="T116" s="239">
        <f t="shared" si="41"/>
        <v>33.326999999999998</v>
      </c>
    </row>
    <row r="117" spans="1:20" s="3" customFormat="1">
      <c r="A117" s="109" t="s">
        <v>361</v>
      </c>
      <c r="B117" s="109" t="s">
        <v>362</v>
      </c>
      <c r="C117" s="118"/>
      <c r="D117" s="118"/>
      <c r="E117" s="105" t="s">
        <v>363</v>
      </c>
      <c r="F117" s="105"/>
      <c r="G117" s="105"/>
      <c r="H117" s="105"/>
      <c r="I117" s="105"/>
      <c r="J117" s="105"/>
      <c r="K117" s="118"/>
      <c r="L117" s="173">
        <v>69</v>
      </c>
      <c r="N117" s="239">
        <f t="shared" si="35"/>
        <v>25.9785</v>
      </c>
      <c r="O117" s="239">
        <f t="shared" si="36"/>
        <v>25.9785</v>
      </c>
      <c r="P117" s="239">
        <f t="shared" si="37"/>
        <v>31.188000000000002</v>
      </c>
      <c r="Q117" s="239">
        <f t="shared" si="38"/>
        <v>26.151</v>
      </c>
      <c r="R117" s="239">
        <f t="shared" si="39"/>
        <v>34.430999999999997</v>
      </c>
      <c r="S117" s="239">
        <f t="shared" si="40"/>
        <v>29.669999999999998</v>
      </c>
      <c r="T117" s="239">
        <f t="shared" si="41"/>
        <v>33.326999999999998</v>
      </c>
    </row>
    <row r="118" spans="1:20" s="3" customFormat="1" ht="14.25" customHeight="1">
      <c r="A118" s="109" t="s">
        <v>364</v>
      </c>
      <c r="B118" s="109" t="s">
        <v>365</v>
      </c>
      <c r="C118" s="118"/>
      <c r="D118" s="118"/>
      <c r="E118" s="105" t="s">
        <v>366</v>
      </c>
      <c r="F118" s="105"/>
      <c r="G118" s="105"/>
      <c r="H118" s="105"/>
      <c r="I118" s="105"/>
      <c r="J118" s="105"/>
      <c r="K118" s="118"/>
      <c r="L118" s="173">
        <v>164</v>
      </c>
      <c r="N118" s="239">
        <f t="shared" si="35"/>
        <v>61.746000000000002</v>
      </c>
      <c r="O118" s="239">
        <f t="shared" si="36"/>
        <v>61.746000000000002</v>
      </c>
      <c r="P118" s="239">
        <f t="shared" si="37"/>
        <v>74.128</v>
      </c>
      <c r="Q118" s="239">
        <f t="shared" si="38"/>
        <v>62.155999999999999</v>
      </c>
      <c r="R118" s="239">
        <f t="shared" si="39"/>
        <v>81.835999999999999</v>
      </c>
      <c r="S118" s="239">
        <f t="shared" si="40"/>
        <v>70.52</v>
      </c>
      <c r="T118" s="239">
        <f t="shared" si="41"/>
        <v>79.212000000000003</v>
      </c>
    </row>
    <row r="119" spans="1:20" s="3" customFormat="1">
      <c r="A119" s="109" t="s">
        <v>367</v>
      </c>
      <c r="B119" s="109" t="s">
        <v>368</v>
      </c>
      <c r="C119" s="118" t="s">
        <v>350</v>
      </c>
      <c r="D119" s="118"/>
      <c r="E119" s="105" t="s">
        <v>369</v>
      </c>
      <c r="F119" s="105"/>
      <c r="G119" s="105"/>
      <c r="H119" s="105"/>
      <c r="I119" s="105"/>
      <c r="J119" s="105"/>
      <c r="K119" s="118"/>
      <c r="L119" s="173">
        <v>180</v>
      </c>
      <c r="N119" s="239">
        <f t="shared" si="35"/>
        <v>67.77</v>
      </c>
      <c r="O119" s="239">
        <f t="shared" si="36"/>
        <v>67.77</v>
      </c>
      <c r="P119" s="239">
        <f t="shared" si="37"/>
        <v>81.36</v>
      </c>
      <c r="Q119" s="239">
        <f t="shared" si="38"/>
        <v>68.22</v>
      </c>
      <c r="R119" s="239">
        <f t="shared" si="39"/>
        <v>89.82</v>
      </c>
      <c r="S119" s="239">
        <f t="shared" si="40"/>
        <v>77.400000000000006</v>
      </c>
      <c r="T119" s="239">
        <f t="shared" si="41"/>
        <v>86.94</v>
      </c>
    </row>
    <row r="120" spans="1:20" s="3" customFormat="1">
      <c r="A120" s="109" t="s">
        <v>370</v>
      </c>
      <c r="B120" s="109" t="s">
        <v>371</v>
      </c>
      <c r="C120" s="118" t="s">
        <v>350</v>
      </c>
      <c r="D120" s="118"/>
      <c r="E120" s="105" t="s">
        <v>372</v>
      </c>
      <c r="F120" s="105"/>
      <c r="G120" s="105"/>
      <c r="H120" s="105"/>
      <c r="I120" s="105"/>
      <c r="J120" s="105"/>
      <c r="K120" s="118"/>
      <c r="L120" s="173">
        <v>180</v>
      </c>
      <c r="N120" s="239">
        <f t="shared" si="35"/>
        <v>67.77</v>
      </c>
      <c r="O120" s="239">
        <f t="shared" si="36"/>
        <v>67.77</v>
      </c>
      <c r="P120" s="239">
        <f t="shared" si="37"/>
        <v>81.36</v>
      </c>
      <c r="Q120" s="239">
        <f t="shared" si="38"/>
        <v>68.22</v>
      </c>
      <c r="R120" s="239">
        <f t="shared" si="39"/>
        <v>89.82</v>
      </c>
      <c r="S120" s="239">
        <f t="shared" si="40"/>
        <v>77.400000000000006</v>
      </c>
      <c r="T120" s="239">
        <f t="shared" si="41"/>
        <v>86.94</v>
      </c>
    </row>
    <row r="121" spans="1:20" s="3" customFormat="1">
      <c r="A121" s="109" t="s">
        <v>373</v>
      </c>
      <c r="B121" s="109" t="s">
        <v>374</v>
      </c>
      <c r="C121" s="118" t="s">
        <v>350</v>
      </c>
      <c r="D121" s="118"/>
      <c r="E121" s="105" t="s">
        <v>375</v>
      </c>
      <c r="F121" s="105"/>
      <c r="G121" s="105"/>
      <c r="H121" s="105"/>
      <c r="I121" s="105"/>
      <c r="J121" s="105"/>
      <c r="K121" s="118"/>
      <c r="L121" s="173">
        <v>186</v>
      </c>
      <c r="N121" s="239">
        <f t="shared" si="35"/>
        <v>70.028999999999996</v>
      </c>
      <c r="O121" s="239">
        <f t="shared" si="36"/>
        <v>70.028999999999996</v>
      </c>
      <c r="P121" s="239">
        <f t="shared" si="37"/>
        <v>84.072000000000003</v>
      </c>
      <c r="Q121" s="239">
        <f t="shared" si="38"/>
        <v>70.494</v>
      </c>
      <c r="R121" s="239">
        <f t="shared" si="39"/>
        <v>92.813999999999993</v>
      </c>
      <c r="S121" s="239">
        <f t="shared" si="40"/>
        <v>79.98</v>
      </c>
      <c r="T121" s="239">
        <f t="shared" si="41"/>
        <v>89.837999999999994</v>
      </c>
    </row>
    <row r="122" spans="1:20" s="3" customFormat="1">
      <c r="A122" s="109" t="s">
        <v>376</v>
      </c>
      <c r="B122" s="109" t="s">
        <v>377</v>
      </c>
      <c r="C122" s="118" t="s">
        <v>350</v>
      </c>
      <c r="D122" s="118"/>
      <c r="E122" s="105" t="s">
        <v>378</v>
      </c>
      <c r="F122" s="105"/>
      <c r="G122" s="105"/>
      <c r="H122" s="105"/>
      <c r="I122" s="105"/>
      <c r="J122" s="105"/>
      <c r="K122" s="118"/>
      <c r="L122" s="173">
        <v>186</v>
      </c>
      <c r="N122" s="239">
        <f t="shared" si="35"/>
        <v>70.028999999999996</v>
      </c>
      <c r="O122" s="239">
        <f t="shared" si="36"/>
        <v>70.028999999999996</v>
      </c>
      <c r="P122" s="239">
        <f t="shared" si="37"/>
        <v>84.072000000000003</v>
      </c>
      <c r="Q122" s="239">
        <f t="shared" si="38"/>
        <v>70.494</v>
      </c>
      <c r="R122" s="239">
        <f t="shared" si="39"/>
        <v>92.813999999999993</v>
      </c>
      <c r="S122" s="239">
        <f t="shared" si="40"/>
        <v>79.98</v>
      </c>
      <c r="T122" s="239">
        <f t="shared" si="41"/>
        <v>89.837999999999994</v>
      </c>
    </row>
    <row r="123" spans="1:20" s="3" customFormat="1">
      <c r="A123" s="109" t="s">
        <v>379</v>
      </c>
      <c r="B123" s="109" t="s">
        <v>380</v>
      </c>
      <c r="C123" s="118" t="s">
        <v>350</v>
      </c>
      <c r="D123" s="118"/>
      <c r="E123" s="105" t="s">
        <v>381</v>
      </c>
      <c r="F123" s="105"/>
      <c r="G123" s="105"/>
      <c r="H123" s="105"/>
      <c r="I123" s="105"/>
      <c r="J123" s="105"/>
      <c r="K123" s="118"/>
      <c r="L123" s="173">
        <v>304</v>
      </c>
      <c r="N123" s="239">
        <f t="shared" ref="N123" si="56">L123*$N$8</f>
        <v>114.456</v>
      </c>
      <c r="O123" s="239">
        <f t="shared" ref="O123" si="57">L123*$O$8</f>
        <v>114.456</v>
      </c>
      <c r="P123" s="239">
        <f t="shared" ref="P123" si="58">L123*$P$8</f>
        <v>137.40800000000002</v>
      </c>
      <c r="Q123" s="239">
        <f t="shared" ref="Q123" si="59">L123*$Q$8</f>
        <v>115.21600000000001</v>
      </c>
      <c r="R123" s="239">
        <f t="shared" ref="R123" si="60">L123*$R$8</f>
        <v>151.696</v>
      </c>
      <c r="S123" s="239">
        <f t="shared" ref="S123" si="61">L123*$S$8</f>
        <v>130.72</v>
      </c>
      <c r="T123" s="239">
        <f t="shared" ref="T123" si="62">L123*$T$8</f>
        <v>146.83199999999999</v>
      </c>
    </row>
    <row r="124" spans="1:20" s="3" customFormat="1">
      <c r="A124" s="109" t="s">
        <v>382</v>
      </c>
      <c r="B124" s="109" t="s">
        <v>383</v>
      </c>
      <c r="C124" s="118" t="s">
        <v>350</v>
      </c>
      <c r="D124" s="118"/>
      <c r="E124" s="105" t="s">
        <v>384</v>
      </c>
      <c r="F124" s="105"/>
      <c r="G124" s="105"/>
      <c r="H124" s="105"/>
      <c r="I124" s="105"/>
      <c r="J124" s="105"/>
      <c r="K124" s="118"/>
      <c r="L124" s="173">
        <v>361</v>
      </c>
      <c r="N124" s="239">
        <f t="shared" si="35"/>
        <v>135.91650000000001</v>
      </c>
      <c r="O124" s="239">
        <f t="shared" si="36"/>
        <v>135.91650000000001</v>
      </c>
      <c r="P124" s="239">
        <f t="shared" si="37"/>
        <v>163.172</v>
      </c>
      <c r="Q124" s="239">
        <f t="shared" si="38"/>
        <v>136.81899999999999</v>
      </c>
      <c r="R124" s="239">
        <f t="shared" si="39"/>
        <v>180.13900000000001</v>
      </c>
      <c r="S124" s="239">
        <f t="shared" si="40"/>
        <v>155.22999999999999</v>
      </c>
      <c r="T124" s="239">
        <f t="shared" si="41"/>
        <v>174.363</v>
      </c>
    </row>
    <row r="125" spans="1:20" s="3" customFormat="1">
      <c r="A125" s="113"/>
      <c r="B125" s="114"/>
      <c r="C125" s="115"/>
      <c r="D125" s="116"/>
      <c r="E125" s="116"/>
      <c r="F125" s="116"/>
      <c r="G125" s="116"/>
      <c r="H125" s="116"/>
      <c r="I125" s="116"/>
      <c r="J125" s="116"/>
      <c r="K125" s="182"/>
      <c r="L125" s="173"/>
      <c r="N125" s="239"/>
      <c r="O125" s="239"/>
      <c r="P125" s="239"/>
      <c r="Q125" s="239"/>
      <c r="R125" s="239"/>
      <c r="S125" s="239"/>
      <c r="T125" s="239"/>
    </row>
    <row r="126" spans="1:20" s="3" customFormat="1">
      <c r="A126" s="109" t="s">
        <v>385</v>
      </c>
      <c r="B126" s="109" t="s">
        <v>386</v>
      </c>
      <c r="C126" s="118"/>
      <c r="D126" s="118"/>
      <c r="E126" s="105"/>
      <c r="F126" s="105"/>
      <c r="G126" s="105" t="s">
        <v>387</v>
      </c>
      <c r="H126" s="105"/>
      <c r="I126" s="105"/>
      <c r="J126" s="105"/>
      <c r="K126" s="118"/>
      <c r="L126" s="173">
        <v>0</v>
      </c>
      <c r="N126" s="239">
        <f t="shared" si="35"/>
        <v>0</v>
      </c>
      <c r="O126" s="239">
        <f t="shared" si="36"/>
        <v>0</v>
      </c>
      <c r="P126" s="239">
        <f t="shared" si="37"/>
        <v>0</v>
      </c>
      <c r="Q126" s="239">
        <f t="shared" si="38"/>
        <v>0</v>
      </c>
      <c r="R126" s="239">
        <f t="shared" si="39"/>
        <v>0</v>
      </c>
      <c r="S126" s="239">
        <f t="shared" si="40"/>
        <v>0</v>
      </c>
      <c r="T126" s="239">
        <f t="shared" si="41"/>
        <v>0</v>
      </c>
    </row>
    <row r="127" spans="1:20" s="3" customFormat="1">
      <c r="A127" s="109" t="s">
        <v>388</v>
      </c>
      <c r="B127" s="109" t="s">
        <v>389</v>
      </c>
      <c r="C127" s="118"/>
      <c r="D127" s="118"/>
      <c r="E127" s="105"/>
      <c r="F127" s="105"/>
      <c r="G127" s="105" t="s">
        <v>390</v>
      </c>
      <c r="H127" s="105"/>
      <c r="I127" s="105"/>
      <c r="J127" s="105"/>
      <c r="K127" s="118"/>
      <c r="L127" s="173">
        <v>74</v>
      </c>
      <c r="N127" s="239">
        <f t="shared" si="35"/>
        <v>27.861000000000001</v>
      </c>
      <c r="O127" s="239">
        <f t="shared" si="36"/>
        <v>27.861000000000001</v>
      </c>
      <c r="P127" s="239">
        <f t="shared" si="37"/>
        <v>33.448</v>
      </c>
      <c r="Q127" s="239">
        <f t="shared" si="38"/>
        <v>28.045999999999999</v>
      </c>
      <c r="R127" s="239">
        <f t="shared" si="39"/>
        <v>36.926000000000002</v>
      </c>
      <c r="S127" s="239">
        <f t="shared" si="40"/>
        <v>31.82</v>
      </c>
      <c r="T127" s="239">
        <f t="shared" si="41"/>
        <v>35.741999999999997</v>
      </c>
    </row>
    <row r="128" spans="1:20" s="3" customFormat="1">
      <c r="A128" s="109" t="s">
        <v>391</v>
      </c>
      <c r="B128" s="109" t="s">
        <v>392</v>
      </c>
      <c r="C128" s="118"/>
      <c r="D128" s="118"/>
      <c r="E128" s="105"/>
      <c r="F128" s="105"/>
      <c r="G128" s="105" t="s">
        <v>393</v>
      </c>
      <c r="H128" s="105"/>
      <c r="I128" s="105"/>
      <c r="J128" s="105"/>
      <c r="K128" s="118"/>
      <c r="L128" s="173">
        <v>74</v>
      </c>
      <c r="N128" s="239">
        <f t="shared" si="35"/>
        <v>27.861000000000001</v>
      </c>
      <c r="O128" s="239">
        <f t="shared" si="36"/>
        <v>27.861000000000001</v>
      </c>
      <c r="P128" s="239">
        <f t="shared" si="37"/>
        <v>33.448</v>
      </c>
      <c r="Q128" s="239">
        <f t="shared" si="38"/>
        <v>28.045999999999999</v>
      </c>
      <c r="R128" s="239">
        <f t="shared" si="39"/>
        <v>36.926000000000002</v>
      </c>
      <c r="S128" s="239">
        <f t="shared" si="40"/>
        <v>31.82</v>
      </c>
      <c r="T128" s="239">
        <f t="shared" si="41"/>
        <v>35.741999999999997</v>
      </c>
    </row>
    <row r="129" spans="1:20" s="3" customFormat="1" ht="14.25" customHeight="1">
      <c r="A129" s="109" t="s">
        <v>394</v>
      </c>
      <c r="B129" s="109" t="s">
        <v>395</v>
      </c>
      <c r="C129" s="118"/>
      <c r="D129" s="118"/>
      <c r="E129" s="105"/>
      <c r="F129" s="105"/>
      <c r="G129" s="105" t="s">
        <v>396</v>
      </c>
      <c r="H129" s="105"/>
      <c r="I129" s="105"/>
      <c r="J129" s="105"/>
      <c r="K129" s="118"/>
      <c r="L129" s="173">
        <v>186</v>
      </c>
      <c r="N129" s="239">
        <f t="shared" si="35"/>
        <v>70.028999999999996</v>
      </c>
      <c r="O129" s="239">
        <f t="shared" si="36"/>
        <v>70.028999999999996</v>
      </c>
      <c r="P129" s="239">
        <f t="shared" si="37"/>
        <v>84.072000000000003</v>
      </c>
      <c r="Q129" s="239">
        <f t="shared" si="38"/>
        <v>70.494</v>
      </c>
      <c r="R129" s="239">
        <f t="shared" si="39"/>
        <v>92.813999999999993</v>
      </c>
      <c r="S129" s="239">
        <f t="shared" si="40"/>
        <v>79.98</v>
      </c>
      <c r="T129" s="239">
        <f t="shared" si="41"/>
        <v>89.837999999999994</v>
      </c>
    </row>
    <row r="130" spans="1:20" s="3" customFormat="1">
      <c r="A130" s="109" t="s">
        <v>397</v>
      </c>
      <c r="B130" s="109" t="s">
        <v>398</v>
      </c>
      <c r="C130" s="118" t="s">
        <v>350</v>
      </c>
      <c r="D130" s="118"/>
      <c r="E130" s="105"/>
      <c r="F130" s="105"/>
      <c r="G130" s="105" t="s">
        <v>399</v>
      </c>
      <c r="H130" s="105"/>
      <c r="I130" s="105"/>
      <c r="J130" s="105"/>
      <c r="K130" s="118"/>
      <c r="L130" s="173">
        <v>180</v>
      </c>
      <c r="N130" s="239">
        <f t="shared" si="35"/>
        <v>67.77</v>
      </c>
      <c r="O130" s="239">
        <f t="shared" si="36"/>
        <v>67.77</v>
      </c>
      <c r="P130" s="239">
        <f t="shared" si="37"/>
        <v>81.36</v>
      </c>
      <c r="Q130" s="239">
        <f t="shared" si="38"/>
        <v>68.22</v>
      </c>
      <c r="R130" s="239">
        <f t="shared" si="39"/>
        <v>89.82</v>
      </c>
      <c r="S130" s="239">
        <f t="shared" si="40"/>
        <v>77.400000000000006</v>
      </c>
      <c r="T130" s="239">
        <f t="shared" si="41"/>
        <v>86.94</v>
      </c>
    </row>
    <row r="131" spans="1:20" s="3" customFormat="1">
      <c r="A131" s="109" t="s">
        <v>1581</v>
      </c>
      <c r="B131" s="109" t="s">
        <v>401</v>
      </c>
      <c r="C131" s="118" t="s">
        <v>350</v>
      </c>
      <c r="D131" s="118"/>
      <c r="E131" s="105"/>
      <c r="F131" s="105"/>
      <c r="G131" s="105" t="s">
        <v>402</v>
      </c>
      <c r="H131" s="105"/>
      <c r="I131" s="105"/>
      <c r="J131" s="105"/>
      <c r="K131" s="118"/>
      <c r="L131" s="173">
        <v>186</v>
      </c>
      <c r="N131" s="239">
        <f t="shared" si="35"/>
        <v>70.028999999999996</v>
      </c>
      <c r="O131" s="239">
        <f t="shared" si="36"/>
        <v>70.028999999999996</v>
      </c>
      <c r="P131" s="239">
        <f t="shared" si="37"/>
        <v>84.072000000000003</v>
      </c>
      <c r="Q131" s="239">
        <f t="shared" si="38"/>
        <v>70.494</v>
      </c>
      <c r="R131" s="239">
        <f t="shared" si="39"/>
        <v>92.813999999999993</v>
      </c>
      <c r="S131" s="239">
        <f t="shared" si="40"/>
        <v>79.98</v>
      </c>
      <c r="T131" s="239">
        <f t="shared" si="41"/>
        <v>89.837999999999994</v>
      </c>
    </row>
    <row r="132" spans="1:20" s="3" customFormat="1" ht="12.95" customHeight="1">
      <c r="A132" s="109" t="s">
        <v>403</v>
      </c>
      <c r="B132" s="109" t="s">
        <v>404</v>
      </c>
      <c r="C132" s="118" t="s">
        <v>350</v>
      </c>
      <c r="D132" s="118"/>
      <c r="E132" s="105"/>
      <c r="F132" s="105"/>
      <c r="G132" s="105" t="s">
        <v>405</v>
      </c>
      <c r="H132" s="105"/>
      <c r="I132" s="105"/>
      <c r="J132" s="105"/>
      <c r="K132" s="118"/>
      <c r="L132" s="173">
        <v>304</v>
      </c>
      <c r="N132" s="239">
        <f t="shared" si="35"/>
        <v>114.456</v>
      </c>
      <c r="O132" s="239">
        <f t="shared" si="36"/>
        <v>114.456</v>
      </c>
      <c r="P132" s="239">
        <f t="shared" si="37"/>
        <v>137.40800000000002</v>
      </c>
      <c r="Q132" s="239">
        <f t="shared" si="38"/>
        <v>115.21600000000001</v>
      </c>
      <c r="R132" s="239">
        <f t="shared" si="39"/>
        <v>151.696</v>
      </c>
      <c r="S132" s="239">
        <f t="shared" si="40"/>
        <v>130.72</v>
      </c>
      <c r="T132" s="239">
        <f t="shared" si="41"/>
        <v>146.83199999999999</v>
      </c>
    </row>
    <row r="133" spans="1:20" s="3" customFormat="1" ht="12.95" customHeight="1">
      <c r="A133" s="109" t="s">
        <v>406</v>
      </c>
      <c r="B133" s="109" t="s">
        <v>407</v>
      </c>
      <c r="C133" s="118" t="s">
        <v>350</v>
      </c>
      <c r="D133" s="118"/>
      <c r="E133" s="105"/>
      <c r="F133" s="105"/>
      <c r="G133" s="105" t="s">
        <v>408</v>
      </c>
      <c r="H133" s="105"/>
      <c r="I133" s="105"/>
      <c r="J133" s="105"/>
      <c r="K133" s="118"/>
      <c r="L133" s="173">
        <v>361</v>
      </c>
      <c r="N133" s="239">
        <f t="shared" ref="N133" si="63">L133*$N$8</f>
        <v>135.91650000000001</v>
      </c>
      <c r="O133" s="239">
        <f t="shared" ref="O133" si="64">L133*$O$8</f>
        <v>135.91650000000001</v>
      </c>
      <c r="P133" s="239">
        <f t="shared" ref="P133" si="65">L133*$P$8</f>
        <v>163.172</v>
      </c>
      <c r="Q133" s="239">
        <f t="shared" ref="Q133" si="66">L133*$Q$8</f>
        <v>136.81899999999999</v>
      </c>
      <c r="R133" s="239">
        <f t="shared" ref="R133" si="67">L133*$R$8</f>
        <v>180.13900000000001</v>
      </c>
      <c r="S133" s="239">
        <f t="shared" ref="S133" si="68">L133*$S$8</f>
        <v>155.22999999999999</v>
      </c>
      <c r="T133" s="239">
        <f t="shared" ref="T133" si="69">L133*$T$8</f>
        <v>174.363</v>
      </c>
    </row>
    <row r="134" spans="1:20" s="3" customFormat="1" ht="12.95" customHeight="1">
      <c r="A134" s="113"/>
      <c r="B134" s="114"/>
      <c r="C134" s="115"/>
      <c r="D134" s="116"/>
      <c r="E134" s="116"/>
      <c r="F134" s="116"/>
      <c r="G134" s="116"/>
      <c r="H134" s="116"/>
      <c r="I134" s="116"/>
      <c r="J134" s="116"/>
      <c r="K134" s="182"/>
      <c r="L134" s="173"/>
      <c r="N134" s="239"/>
      <c r="O134" s="239"/>
      <c r="P134" s="239"/>
      <c r="Q134" s="239"/>
      <c r="R134" s="239"/>
      <c r="S134" s="239"/>
      <c r="T134" s="239"/>
    </row>
    <row r="135" spans="1:20" s="3" customFormat="1" ht="12.95" customHeight="1">
      <c r="A135" s="109" t="s">
        <v>409</v>
      </c>
      <c r="B135" s="109" t="s">
        <v>410</v>
      </c>
      <c r="C135" s="118"/>
      <c r="D135" s="118"/>
      <c r="E135" s="105"/>
      <c r="F135" s="105" t="s">
        <v>411</v>
      </c>
      <c r="G135" s="105"/>
      <c r="H135" s="105" t="s">
        <v>412</v>
      </c>
      <c r="I135" s="105"/>
      <c r="J135" s="105"/>
      <c r="K135" s="118"/>
      <c r="L135" s="173">
        <v>0</v>
      </c>
      <c r="N135" s="239">
        <f t="shared" si="35"/>
        <v>0</v>
      </c>
      <c r="O135" s="239">
        <f t="shared" si="36"/>
        <v>0</v>
      </c>
      <c r="P135" s="239">
        <f t="shared" si="37"/>
        <v>0</v>
      </c>
      <c r="Q135" s="239">
        <f t="shared" si="38"/>
        <v>0</v>
      </c>
      <c r="R135" s="239">
        <f t="shared" si="39"/>
        <v>0</v>
      </c>
      <c r="S135" s="239">
        <f t="shared" si="40"/>
        <v>0</v>
      </c>
      <c r="T135" s="239">
        <f t="shared" si="41"/>
        <v>0</v>
      </c>
    </row>
    <row r="136" spans="1:20" s="3" customFormat="1" ht="12.95" customHeight="1">
      <c r="A136" s="109" t="s">
        <v>413</v>
      </c>
      <c r="B136" s="109" t="s">
        <v>414</v>
      </c>
      <c r="C136" s="118"/>
      <c r="D136" s="118"/>
      <c r="E136" s="105"/>
      <c r="F136" s="105" t="s">
        <v>415</v>
      </c>
      <c r="G136" s="105"/>
      <c r="H136" s="105" t="s">
        <v>416</v>
      </c>
      <c r="I136" s="105"/>
      <c r="J136" s="105"/>
      <c r="K136" s="118"/>
      <c r="L136" s="173">
        <v>0</v>
      </c>
      <c r="N136" s="239"/>
      <c r="O136" s="239"/>
      <c r="P136" s="239"/>
      <c r="Q136" s="239"/>
      <c r="R136" s="239"/>
      <c r="S136" s="239"/>
      <c r="T136" s="239"/>
    </row>
    <row r="137" spans="1:20" s="3" customFormat="1" ht="12.95" customHeight="1">
      <c r="A137" s="109" t="s">
        <v>417</v>
      </c>
      <c r="B137" s="109" t="s">
        <v>418</v>
      </c>
      <c r="C137" s="118"/>
      <c r="D137" s="118"/>
      <c r="E137" s="105"/>
      <c r="F137" s="105" t="s">
        <v>419</v>
      </c>
      <c r="G137" s="105"/>
      <c r="H137" s="105" t="s">
        <v>420</v>
      </c>
      <c r="I137" s="105"/>
      <c r="J137" s="105"/>
      <c r="K137" s="118"/>
      <c r="L137" s="173">
        <v>69</v>
      </c>
      <c r="N137" s="239">
        <f t="shared" si="35"/>
        <v>25.9785</v>
      </c>
      <c r="O137" s="239">
        <f t="shared" si="36"/>
        <v>25.9785</v>
      </c>
      <c r="P137" s="239">
        <f t="shared" si="37"/>
        <v>31.188000000000002</v>
      </c>
      <c r="Q137" s="239">
        <f t="shared" si="38"/>
        <v>26.151</v>
      </c>
      <c r="R137" s="239">
        <f t="shared" si="39"/>
        <v>34.430999999999997</v>
      </c>
      <c r="S137" s="239">
        <f t="shared" si="40"/>
        <v>29.669999999999998</v>
      </c>
      <c r="T137" s="239">
        <f t="shared" si="41"/>
        <v>33.326999999999998</v>
      </c>
    </row>
    <row r="138" spans="1:20" s="3" customFormat="1" ht="12.95" customHeight="1">
      <c r="A138" s="109" t="s">
        <v>421</v>
      </c>
      <c r="B138" s="109" t="s">
        <v>422</v>
      </c>
      <c r="C138" s="118"/>
      <c r="D138" s="118"/>
      <c r="E138" s="105"/>
      <c r="F138" s="105" t="s">
        <v>423</v>
      </c>
      <c r="G138" s="105"/>
      <c r="H138" s="105" t="s">
        <v>424</v>
      </c>
      <c r="I138" s="105"/>
      <c r="J138" s="105"/>
      <c r="K138" s="118"/>
      <c r="L138" s="173">
        <v>69</v>
      </c>
      <c r="N138" s="239">
        <f t="shared" si="35"/>
        <v>25.9785</v>
      </c>
      <c r="O138" s="239">
        <f t="shared" si="36"/>
        <v>25.9785</v>
      </c>
      <c r="P138" s="239">
        <f t="shared" si="37"/>
        <v>31.188000000000002</v>
      </c>
      <c r="Q138" s="239">
        <f t="shared" si="38"/>
        <v>26.151</v>
      </c>
      <c r="R138" s="239">
        <f t="shared" si="39"/>
        <v>34.430999999999997</v>
      </c>
      <c r="S138" s="239">
        <f t="shared" si="40"/>
        <v>29.669999999999998</v>
      </c>
      <c r="T138" s="239">
        <f t="shared" si="41"/>
        <v>33.326999999999998</v>
      </c>
    </row>
    <row r="139" spans="1:20" s="3" customFormat="1" ht="12.95" customHeight="1">
      <c r="A139" s="109" t="s">
        <v>429</v>
      </c>
      <c r="B139" s="109" t="s">
        <v>430</v>
      </c>
      <c r="C139" s="118"/>
      <c r="D139" s="118"/>
      <c r="E139" s="105"/>
      <c r="F139" s="105" t="s">
        <v>427</v>
      </c>
      <c r="G139" s="105"/>
      <c r="H139" s="105" t="s">
        <v>428</v>
      </c>
      <c r="I139" s="105"/>
      <c r="J139" s="105"/>
      <c r="K139" s="118"/>
      <c r="L139" s="173">
        <v>69</v>
      </c>
      <c r="N139" s="239">
        <f t="shared" si="35"/>
        <v>25.9785</v>
      </c>
      <c r="O139" s="239">
        <f t="shared" si="36"/>
        <v>25.9785</v>
      </c>
      <c r="P139" s="239">
        <f t="shared" si="37"/>
        <v>31.188000000000002</v>
      </c>
      <c r="Q139" s="239">
        <f t="shared" si="38"/>
        <v>26.151</v>
      </c>
      <c r="R139" s="239">
        <f t="shared" si="39"/>
        <v>34.430999999999997</v>
      </c>
      <c r="S139" s="239">
        <f t="shared" si="40"/>
        <v>29.669999999999998</v>
      </c>
      <c r="T139" s="239">
        <f t="shared" si="41"/>
        <v>33.326999999999998</v>
      </c>
    </row>
    <row r="140" spans="1:20" s="3" customFormat="1" ht="12.95" customHeight="1">
      <c r="A140" s="109" t="s">
        <v>425</v>
      </c>
      <c r="B140" s="109" t="s">
        <v>426</v>
      </c>
      <c r="C140" s="118"/>
      <c r="D140" s="118"/>
      <c r="E140" s="105"/>
      <c r="F140" s="105" t="s">
        <v>431</v>
      </c>
      <c r="G140" s="105"/>
      <c r="H140" s="105" t="s">
        <v>432</v>
      </c>
      <c r="I140" s="105"/>
      <c r="J140" s="105"/>
      <c r="K140" s="118"/>
      <c r="L140" s="173">
        <v>131</v>
      </c>
      <c r="N140" s="239">
        <f t="shared" ref="N140" si="70">L140*$N$8</f>
        <v>49.3215</v>
      </c>
      <c r="O140" s="239">
        <f t="shared" ref="O140" si="71">L140*$O$8</f>
        <v>49.3215</v>
      </c>
      <c r="P140" s="239">
        <f t="shared" ref="P140" si="72">L140*$P$8</f>
        <v>59.212000000000003</v>
      </c>
      <c r="Q140" s="239">
        <f t="shared" ref="Q140" si="73">L140*$Q$8</f>
        <v>49.649000000000001</v>
      </c>
      <c r="R140" s="239">
        <f t="shared" ref="R140" si="74">L140*$R$8</f>
        <v>65.369</v>
      </c>
      <c r="S140" s="239">
        <f t="shared" ref="S140" si="75">L140*$S$8</f>
        <v>56.33</v>
      </c>
      <c r="T140" s="239">
        <f t="shared" ref="T140" si="76">L140*$T$8</f>
        <v>63.272999999999996</v>
      </c>
    </row>
    <row r="141" spans="1:20" s="3" customFormat="1" ht="12.95" customHeight="1">
      <c r="A141" s="109" t="s">
        <v>440</v>
      </c>
      <c r="B141" s="109" t="s">
        <v>437</v>
      </c>
      <c r="C141" s="118"/>
      <c r="D141" s="118"/>
      <c r="E141" s="105"/>
      <c r="F141" s="105" t="s">
        <v>435</v>
      </c>
      <c r="G141" s="105"/>
      <c r="H141" s="105" t="s">
        <v>436</v>
      </c>
      <c r="I141" s="105"/>
      <c r="J141" s="105"/>
      <c r="K141" s="118"/>
      <c r="L141" s="173">
        <v>131</v>
      </c>
      <c r="N141" s="239">
        <f t="shared" si="35"/>
        <v>49.3215</v>
      </c>
      <c r="O141" s="239">
        <f t="shared" si="36"/>
        <v>49.3215</v>
      </c>
      <c r="P141" s="239">
        <f t="shared" si="37"/>
        <v>59.212000000000003</v>
      </c>
      <c r="Q141" s="239">
        <f t="shared" si="38"/>
        <v>49.649000000000001</v>
      </c>
      <c r="R141" s="239">
        <f t="shared" si="39"/>
        <v>65.369</v>
      </c>
      <c r="S141" s="239">
        <f t="shared" si="40"/>
        <v>56.33</v>
      </c>
      <c r="T141" s="239">
        <f t="shared" si="41"/>
        <v>63.272999999999996</v>
      </c>
    </row>
    <row r="142" spans="1:20" s="3" customFormat="1" ht="12.95" customHeight="1">
      <c r="A142" s="109" t="s">
        <v>433</v>
      </c>
      <c r="B142" s="109" t="s">
        <v>434</v>
      </c>
      <c r="C142" s="118"/>
      <c r="D142" s="118"/>
      <c r="E142" s="105"/>
      <c r="F142" s="105" t="s">
        <v>438</v>
      </c>
      <c r="G142" s="105"/>
      <c r="H142" s="105" t="s">
        <v>439</v>
      </c>
      <c r="I142" s="105"/>
      <c r="J142" s="105"/>
      <c r="K142" s="118"/>
      <c r="L142" s="173">
        <v>131</v>
      </c>
      <c r="N142" s="239">
        <f t="shared" ref="N142" si="77">L142*$N$8</f>
        <v>49.3215</v>
      </c>
      <c r="O142" s="239">
        <f t="shared" ref="O142" si="78">L142*$O$8</f>
        <v>49.3215</v>
      </c>
      <c r="P142" s="239">
        <f t="shared" ref="P142" si="79">L142*$P$8</f>
        <v>59.212000000000003</v>
      </c>
      <c r="Q142" s="239">
        <f t="shared" ref="Q142" si="80">L142*$Q$8</f>
        <v>49.649000000000001</v>
      </c>
      <c r="R142" s="239">
        <f t="shared" ref="R142" si="81">L142*$R$8</f>
        <v>65.369</v>
      </c>
      <c r="S142" s="239">
        <f t="shared" ref="S142" si="82">L142*$S$8</f>
        <v>56.33</v>
      </c>
      <c r="T142" s="239">
        <f t="shared" ref="T142" si="83">L142*$T$8</f>
        <v>63.272999999999996</v>
      </c>
    </row>
    <row r="143" spans="1:20" s="3" customFormat="1">
      <c r="A143" s="113"/>
      <c r="B143" s="114"/>
      <c r="C143" s="115"/>
      <c r="D143" s="116"/>
      <c r="E143" s="116"/>
      <c r="F143" s="116"/>
      <c r="G143" s="116"/>
      <c r="H143" s="116"/>
      <c r="I143" s="116"/>
      <c r="J143" s="116"/>
      <c r="K143" s="182"/>
      <c r="L143" s="173"/>
      <c r="N143" s="239"/>
      <c r="O143" s="239"/>
      <c r="P143" s="239"/>
      <c r="Q143" s="239"/>
      <c r="R143" s="239"/>
      <c r="S143" s="239"/>
      <c r="T143" s="239"/>
    </row>
    <row r="144" spans="1:20" s="3" customFormat="1">
      <c r="A144" s="89" t="s">
        <v>441</v>
      </c>
      <c r="B144" s="90"/>
      <c r="C144" s="90"/>
      <c r="D144" s="91"/>
      <c r="E144" s="91"/>
      <c r="F144" s="91"/>
      <c r="G144" s="91"/>
      <c r="H144" s="91"/>
      <c r="I144" s="91"/>
      <c r="J144" s="91"/>
      <c r="K144" s="90"/>
      <c r="L144" s="168"/>
      <c r="N144" s="238"/>
      <c r="O144" s="238"/>
      <c r="P144" s="238"/>
      <c r="Q144" s="238"/>
      <c r="R144" s="238"/>
      <c r="S144" s="238"/>
      <c r="T144" s="238"/>
    </row>
    <row r="145" spans="1:20" s="3" customFormat="1">
      <c r="A145" s="109" t="s">
        <v>1606</v>
      </c>
      <c r="B145" s="109" t="s">
        <v>193</v>
      </c>
      <c r="C145" s="118"/>
      <c r="D145" s="105" t="s">
        <v>442</v>
      </c>
      <c r="E145" s="105" t="s">
        <v>443</v>
      </c>
      <c r="F145" s="105" t="s">
        <v>444</v>
      </c>
      <c r="G145" s="105" t="s">
        <v>445</v>
      </c>
      <c r="H145" s="105" t="s">
        <v>446</v>
      </c>
      <c r="I145" s="105"/>
      <c r="J145" s="105"/>
      <c r="K145" s="118"/>
      <c r="L145" s="173">
        <v>80</v>
      </c>
      <c r="N145" s="239">
        <f t="shared" ref="N145:N210" si="84">L145*$N$8</f>
        <v>30.12</v>
      </c>
      <c r="O145" s="239">
        <f t="shared" ref="O145:O210" si="85">L145*$O$8</f>
        <v>30.12</v>
      </c>
      <c r="P145" s="239">
        <f t="shared" ref="P145:P210" si="86">L145*$P$8</f>
        <v>36.160000000000004</v>
      </c>
      <c r="Q145" s="239">
        <f t="shared" ref="Q145:Q210" si="87">L145*$Q$8</f>
        <v>30.32</v>
      </c>
      <c r="R145" s="239">
        <f t="shared" ref="R145:R210" si="88">L145*$R$8</f>
        <v>39.92</v>
      </c>
      <c r="S145" s="239">
        <f t="shared" ref="S145:S210" si="89">L145*$S$8</f>
        <v>34.4</v>
      </c>
      <c r="T145" s="239">
        <f t="shared" ref="T145:T210" si="90">L145*$T$8</f>
        <v>38.64</v>
      </c>
    </row>
    <row r="146" spans="1:20" s="3" customFormat="1">
      <c r="A146" s="109" t="s">
        <v>447</v>
      </c>
      <c r="B146" s="109" t="s">
        <v>447</v>
      </c>
      <c r="C146" s="118"/>
      <c r="D146" s="105"/>
      <c r="E146" s="105" t="s">
        <v>448</v>
      </c>
      <c r="F146" s="105"/>
      <c r="G146" s="105"/>
      <c r="H146" s="105"/>
      <c r="I146" s="105"/>
      <c r="J146" s="105"/>
      <c r="K146" s="118"/>
      <c r="L146" s="173">
        <v>179</v>
      </c>
      <c r="N146" s="239">
        <f t="shared" ref="N146" si="91">L146*$N$8</f>
        <v>67.393500000000003</v>
      </c>
      <c r="O146" s="239">
        <f t="shared" ref="O146" si="92">L146*$O$8</f>
        <v>67.393500000000003</v>
      </c>
      <c r="P146" s="239">
        <f t="shared" ref="P146" si="93">L146*$P$8</f>
        <v>80.908000000000001</v>
      </c>
      <c r="Q146" s="239">
        <f t="shared" ref="Q146" si="94">L146*$Q$8</f>
        <v>67.840999999999994</v>
      </c>
      <c r="R146" s="239">
        <f t="shared" ref="R146" si="95">L146*$R$8</f>
        <v>89.320999999999998</v>
      </c>
      <c r="S146" s="239">
        <f t="shared" ref="S146" si="96">L146*$S$8</f>
        <v>76.97</v>
      </c>
      <c r="T146" s="239">
        <f t="shared" ref="T146" si="97">L146*$T$8</f>
        <v>86.456999999999994</v>
      </c>
    </row>
    <row r="147" spans="1:20" s="3" customFormat="1">
      <c r="A147" s="113"/>
      <c r="B147" s="114"/>
      <c r="C147" s="115"/>
      <c r="D147" s="116"/>
      <c r="E147" s="116"/>
      <c r="F147" s="116"/>
      <c r="G147" s="116"/>
      <c r="H147" s="116"/>
      <c r="I147" s="116"/>
      <c r="J147" s="116"/>
      <c r="K147" s="182"/>
      <c r="L147" s="173"/>
      <c r="N147" s="239"/>
      <c r="O147" s="239"/>
      <c r="P147" s="239"/>
      <c r="Q147" s="239"/>
      <c r="R147" s="239"/>
      <c r="S147" s="239"/>
      <c r="T147" s="239"/>
    </row>
    <row r="148" spans="1:20" s="3" customFormat="1">
      <c r="A148" s="89" t="s">
        <v>449</v>
      </c>
      <c r="B148" s="90"/>
      <c r="C148" s="90"/>
      <c r="D148" s="91"/>
      <c r="E148" s="91"/>
      <c r="F148" s="91"/>
      <c r="G148" s="91"/>
      <c r="H148" s="91"/>
      <c r="I148" s="91"/>
      <c r="J148" s="91"/>
      <c r="K148" s="90"/>
      <c r="L148" s="168"/>
      <c r="N148" s="238"/>
      <c r="O148" s="238"/>
      <c r="P148" s="238"/>
      <c r="Q148" s="238"/>
      <c r="R148" s="238"/>
      <c r="S148" s="238"/>
      <c r="T148" s="238"/>
    </row>
    <row r="149" spans="1:20" s="3" customFormat="1">
      <c r="A149" s="109" t="s">
        <v>450</v>
      </c>
      <c r="B149" s="109" t="s">
        <v>451</v>
      </c>
      <c r="C149" s="118"/>
      <c r="D149" s="105" t="s">
        <v>452</v>
      </c>
      <c r="E149" s="105"/>
      <c r="F149" s="105"/>
      <c r="G149" s="105"/>
      <c r="H149" s="105"/>
      <c r="I149" s="105"/>
      <c r="J149" s="105"/>
      <c r="K149" s="118"/>
      <c r="L149" s="173">
        <v>0</v>
      </c>
      <c r="N149" s="239">
        <f t="shared" si="84"/>
        <v>0</v>
      </c>
      <c r="O149" s="239">
        <f t="shared" si="85"/>
        <v>0</v>
      </c>
      <c r="P149" s="239">
        <f t="shared" si="86"/>
        <v>0</v>
      </c>
      <c r="Q149" s="239">
        <f t="shared" si="87"/>
        <v>0</v>
      </c>
      <c r="R149" s="239">
        <f t="shared" si="88"/>
        <v>0</v>
      </c>
      <c r="S149" s="239">
        <f t="shared" si="89"/>
        <v>0</v>
      </c>
      <c r="T149" s="239">
        <f t="shared" si="90"/>
        <v>0</v>
      </c>
    </row>
    <row r="150" spans="1:20" s="3" customFormat="1">
      <c r="A150" s="109" t="s">
        <v>453</v>
      </c>
      <c r="B150" s="109" t="s">
        <v>454</v>
      </c>
      <c r="C150" s="118"/>
      <c r="D150" s="105" t="s">
        <v>455</v>
      </c>
      <c r="E150" s="105"/>
      <c r="F150" s="105"/>
      <c r="G150" s="105"/>
      <c r="H150" s="105"/>
      <c r="I150" s="105"/>
      <c r="J150" s="105"/>
      <c r="K150" s="118"/>
      <c r="L150" s="173">
        <v>24</v>
      </c>
      <c r="N150" s="239">
        <f t="shared" si="84"/>
        <v>9.0359999999999996</v>
      </c>
      <c r="O150" s="239">
        <f t="shared" si="85"/>
        <v>9.0359999999999996</v>
      </c>
      <c r="P150" s="239">
        <f t="shared" si="86"/>
        <v>10.848000000000001</v>
      </c>
      <c r="Q150" s="239">
        <f t="shared" si="87"/>
        <v>9.0960000000000001</v>
      </c>
      <c r="R150" s="239">
        <f t="shared" si="88"/>
        <v>11.975999999999999</v>
      </c>
      <c r="S150" s="239">
        <f t="shared" si="89"/>
        <v>10.32</v>
      </c>
      <c r="T150" s="239">
        <f t="shared" si="90"/>
        <v>11.591999999999999</v>
      </c>
    </row>
    <row r="151" spans="1:20" s="3" customFormat="1">
      <c r="A151" s="109" t="s">
        <v>456</v>
      </c>
      <c r="B151" s="109" t="s">
        <v>457</v>
      </c>
      <c r="C151" s="118"/>
      <c r="D151" s="105" t="s">
        <v>458</v>
      </c>
      <c r="E151" s="105"/>
      <c r="F151" s="105"/>
      <c r="G151" s="105"/>
      <c r="H151" s="105"/>
      <c r="I151" s="105"/>
      <c r="J151" s="105"/>
      <c r="K151" s="118"/>
      <c r="L151" s="173">
        <v>45</v>
      </c>
      <c r="N151" s="239">
        <f t="shared" si="84"/>
        <v>16.942499999999999</v>
      </c>
      <c r="O151" s="239">
        <f t="shared" si="85"/>
        <v>16.942499999999999</v>
      </c>
      <c r="P151" s="239">
        <f t="shared" si="86"/>
        <v>20.34</v>
      </c>
      <c r="Q151" s="239">
        <f t="shared" si="87"/>
        <v>17.055</v>
      </c>
      <c r="R151" s="239">
        <f t="shared" si="88"/>
        <v>22.454999999999998</v>
      </c>
      <c r="S151" s="239">
        <f t="shared" si="89"/>
        <v>19.350000000000001</v>
      </c>
      <c r="T151" s="239">
        <f t="shared" si="90"/>
        <v>21.734999999999999</v>
      </c>
    </row>
    <row r="152" spans="1:20" s="3" customFormat="1">
      <c r="A152" s="109" t="s">
        <v>459</v>
      </c>
      <c r="B152" s="109" t="s">
        <v>460</v>
      </c>
      <c r="C152" s="118"/>
      <c r="D152" s="105" t="s">
        <v>461</v>
      </c>
      <c r="E152" s="105"/>
      <c r="F152" s="105"/>
      <c r="G152" s="105"/>
      <c r="H152" s="105"/>
      <c r="I152" s="105"/>
      <c r="J152" s="105"/>
      <c r="K152" s="118"/>
      <c r="L152" s="173">
        <v>45</v>
      </c>
      <c r="N152" s="239">
        <f t="shared" si="84"/>
        <v>16.942499999999999</v>
      </c>
      <c r="O152" s="239">
        <f t="shared" si="85"/>
        <v>16.942499999999999</v>
      </c>
      <c r="P152" s="239">
        <f t="shared" si="86"/>
        <v>20.34</v>
      </c>
      <c r="Q152" s="239">
        <f t="shared" si="87"/>
        <v>17.055</v>
      </c>
      <c r="R152" s="239">
        <f t="shared" si="88"/>
        <v>22.454999999999998</v>
      </c>
      <c r="S152" s="239">
        <f t="shared" si="89"/>
        <v>19.350000000000001</v>
      </c>
      <c r="T152" s="239">
        <f t="shared" si="90"/>
        <v>21.734999999999999</v>
      </c>
    </row>
    <row r="153" spans="1:20" s="3" customFormat="1">
      <c r="A153" s="109" t="s">
        <v>462</v>
      </c>
      <c r="B153" s="109" t="s">
        <v>463</v>
      </c>
      <c r="C153" s="118"/>
      <c r="D153" s="105" t="s">
        <v>464</v>
      </c>
      <c r="E153" s="105"/>
      <c r="F153" s="105"/>
      <c r="G153" s="105"/>
      <c r="H153" s="105"/>
      <c r="I153" s="105"/>
      <c r="J153" s="105"/>
      <c r="K153" s="118"/>
      <c r="L153" s="173">
        <v>56</v>
      </c>
      <c r="N153" s="239">
        <f t="shared" si="84"/>
        <v>21.084</v>
      </c>
      <c r="O153" s="239">
        <f t="shared" si="85"/>
        <v>21.084</v>
      </c>
      <c r="P153" s="239">
        <f t="shared" si="86"/>
        <v>25.312000000000001</v>
      </c>
      <c r="Q153" s="239">
        <f t="shared" si="87"/>
        <v>21.224</v>
      </c>
      <c r="R153" s="239">
        <f t="shared" si="88"/>
        <v>27.943999999999999</v>
      </c>
      <c r="S153" s="239">
        <f t="shared" si="89"/>
        <v>24.08</v>
      </c>
      <c r="T153" s="239">
        <f t="shared" si="90"/>
        <v>27.047999999999998</v>
      </c>
    </row>
    <row r="154" spans="1:20" s="3" customFormat="1">
      <c r="A154" s="113"/>
      <c r="B154" s="114"/>
      <c r="C154" s="115"/>
      <c r="D154" s="116"/>
      <c r="E154" s="116"/>
      <c r="F154" s="116"/>
      <c r="G154" s="116"/>
      <c r="H154" s="116"/>
      <c r="I154" s="116"/>
      <c r="J154" s="116"/>
      <c r="K154" s="182"/>
      <c r="L154" s="173"/>
      <c r="N154" s="239"/>
      <c r="O154" s="239"/>
      <c r="P154" s="239"/>
      <c r="Q154" s="239"/>
      <c r="R154" s="239"/>
      <c r="S154" s="239"/>
      <c r="T154" s="239"/>
    </row>
    <row r="155" spans="1:20">
      <c r="A155" s="89" t="s">
        <v>210</v>
      </c>
      <c r="B155" s="90"/>
      <c r="C155" s="90"/>
      <c r="D155" s="91"/>
      <c r="E155" s="91"/>
      <c r="F155" s="91"/>
      <c r="G155" s="91"/>
      <c r="H155" s="91"/>
      <c r="I155" s="91"/>
      <c r="J155" s="91"/>
      <c r="K155" s="90"/>
      <c r="L155" s="168"/>
      <c r="N155" s="238"/>
      <c r="O155" s="238"/>
      <c r="P155" s="238"/>
      <c r="Q155" s="238"/>
      <c r="R155" s="238"/>
      <c r="S155" s="238"/>
      <c r="T155" s="238"/>
    </row>
    <row r="156" spans="1:20">
      <c r="A156" s="109" t="s">
        <v>465</v>
      </c>
      <c r="B156" s="109" t="s">
        <v>466</v>
      </c>
      <c r="C156" s="118"/>
      <c r="D156" s="118"/>
      <c r="E156" s="105" t="s">
        <v>467</v>
      </c>
      <c r="F156" s="105" t="s">
        <v>468</v>
      </c>
      <c r="G156" s="105"/>
      <c r="H156" s="105"/>
      <c r="I156" s="105"/>
      <c r="J156" s="105"/>
      <c r="K156" s="118"/>
      <c r="L156" s="173">
        <v>0</v>
      </c>
      <c r="N156" s="239">
        <f t="shared" si="84"/>
        <v>0</v>
      </c>
      <c r="O156" s="239">
        <f t="shared" si="85"/>
        <v>0</v>
      </c>
      <c r="P156" s="239">
        <f t="shared" si="86"/>
        <v>0</v>
      </c>
      <c r="Q156" s="239">
        <f t="shared" si="87"/>
        <v>0</v>
      </c>
      <c r="R156" s="239">
        <f t="shared" si="88"/>
        <v>0</v>
      </c>
      <c r="S156" s="239">
        <f t="shared" si="89"/>
        <v>0</v>
      </c>
      <c r="T156" s="239">
        <f t="shared" si="90"/>
        <v>0</v>
      </c>
    </row>
    <row r="157" spans="1:20">
      <c r="A157" s="109" t="s">
        <v>469</v>
      </c>
      <c r="B157" s="109" t="s">
        <v>470</v>
      </c>
      <c r="C157" s="118"/>
      <c r="D157" s="118"/>
      <c r="E157" s="105" t="s">
        <v>471</v>
      </c>
      <c r="F157" s="105" t="s">
        <v>472</v>
      </c>
      <c r="G157" s="105"/>
      <c r="H157" s="105"/>
      <c r="I157" s="105"/>
      <c r="J157" s="105"/>
      <c r="K157" s="118"/>
      <c r="L157" s="173">
        <v>0</v>
      </c>
      <c r="N157" s="239">
        <f t="shared" si="84"/>
        <v>0</v>
      </c>
      <c r="O157" s="239">
        <f t="shared" si="85"/>
        <v>0</v>
      </c>
      <c r="P157" s="239">
        <f t="shared" si="86"/>
        <v>0</v>
      </c>
      <c r="Q157" s="239">
        <f t="shared" si="87"/>
        <v>0</v>
      </c>
      <c r="R157" s="239">
        <f t="shared" si="88"/>
        <v>0</v>
      </c>
      <c r="S157" s="239">
        <f t="shared" si="89"/>
        <v>0</v>
      </c>
      <c r="T157" s="239">
        <f t="shared" si="90"/>
        <v>0</v>
      </c>
    </row>
    <row r="158" spans="1:20">
      <c r="A158" s="109" t="s">
        <v>473</v>
      </c>
      <c r="B158" s="109" t="s">
        <v>474</v>
      </c>
      <c r="C158" s="118"/>
      <c r="D158" s="118"/>
      <c r="E158" s="105" t="s">
        <v>475</v>
      </c>
      <c r="F158" s="105" t="s">
        <v>1582</v>
      </c>
      <c r="G158" s="105"/>
      <c r="H158" s="105"/>
      <c r="I158" s="105"/>
      <c r="J158" s="105"/>
      <c r="K158" s="118"/>
      <c r="L158" s="173">
        <v>0</v>
      </c>
      <c r="N158" s="239">
        <f t="shared" si="84"/>
        <v>0</v>
      </c>
      <c r="O158" s="239">
        <f t="shared" si="85"/>
        <v>0</v>
      </c>
      <c r="P158" s="239">
        <f t="shared" si="86"/>
        <v>0</v>
      </c>
      <c r="Q158" s="239">
        <f t="shared" si="87"/>
        <v>0</v>
      </c>
      <c r="R158" s="239">
        <f t="shared" si="88"/>
        <v>0</v>
      </c>
      <c r="S158" s="239">
        <f t="shared" si="89"/>
        <v>0</v>
      </c>
      <c r="T158" s="239">
        <f t="shared" si="90"/>
        <v>0</v>
      </c>
    </row>
    <row r="159" spans="1:20">
      <c r="A159" s="109" t="s">
        <v>476</v>
      </c>
      <c r="B159" s="109" t="s">
        <v>477</v>
      </c>
      <c r="C159" s="118"/>
      <c r="D159" s="118"/>
      <c r="E159" s="105" t="s">
        <v>478</v>
      </c>
      <c r="F159" s="105" t="s">
        <v>479</v>
      </c>
      <c r="G159" s="105"/>
      <c r="H159" s="105"/>
      <c r="I159" s="105"/>
      <c r="J159" s="105"/>
      <c r="K159" s="118"/>
      <c r="L159" s="173">
        <v>11</v>
      </c>
      <c r="N159" s="239">
        <f t="shared" si="84"/>
        <v>4.1414999999999997</v>
      </c>
      <c r="O159" s="239">
        <f t="shared" si="85"/>
        <v>4.1414999999999997</v>
      </c>
      <c r="P159" s="239">
        <f t="shared" si="86"/>
        <v>4.9720000000000004</v>
      </c>
      <c r="Q159" s="239">
        <f t="shared" si="87"/>
        <v>4.1690000000000005</v>
      </c>
      <c r="R159" s="239">
        <f t="shared" si="88"/>
        <v>5.4889999999999999</v>
      </c>
      <c r="S159" s="239">
        <f t="shared" si="89"/>
        <v>4.7299999999999995</v>
      </c>
      <c r="T159" s="239">
        <f t="shared" si="90"/>
        <v>5.3129999999999997</v>
      </c>
    </row>
    <row r="160" spans="1:20">
      <c r="A160" s="109" t="s">
        <v>480</v>
      </c>
      <c r="B160" s="109" t="s">
        <v>481</v>
      </c>
      <c r="C160" s="118"/>
      <c r="D160" s="118"/>
      <c r="E160" s="105" t="s">
        <v>482</v>
      </c>
      <c r="F160" s="105" t="s">
        <v>483</v>
      </c>
      <c r="G160" s="105"/>
      <c r="H160" s="105"/>
      <c r="I160" s="105"/>
      <c r="J160" s="105"/>
      <c r="K160" s="118"/>
      <c r="L160" s="173">
        <v>13</v>
      </c>
      <c r="N160" s="239">
        <f t="shared" si="84"/>
        <v>4.8944999999999999</v>
      </c>
      <c r="O160" s="239">
        <f t="shared" si="85"/>
        <v>4.8944999999999999</v>
      </c>
      <c r="P160" s="239">
        <f t="shared" si="86"/>
        <v>5.8760000000000003</v>
      </c>
      <c r="Q160" s="239">
        <f t="shared" si="87"/>
        <v>4.9269999999999996</v>
      </c>
      <c r="R160" s="239">
        <f t="shared" si="88"/>
        <v>6.4870000000000001</v>
      </c>
      <c r="S160" s="239">
        <f t="shared" si="89"/>
        <v>5.59</v>
      </c>
      <c r="T160" s="239">
        <f t="shared" si="90"/>
        <v>6.2789999999999999</v>
      </c>
    </row>
    <row r="161" spans="1:20">
      <c r="A161" s="109" t="s">
        <v>222</v>
      </c>
      <c r="B161" s="109" t="s">
        <v>223</v>
      </c>
      <c r="C161" s="118"/>
      <c r="D161" s="118"/>
      <c r="E161" s="105" t="s">
        <v>484</v>
      </c>
      <c r="F161" s="105" t="s">
        <v>485</v>
      </c>
      <c r="G161" s="105"/>
      <c r="H161" s="105"/>
      <c r="I161" s="105"/>
      <c r="J161" s="105"/>
      <c r="K161" s="118"/>
      <c r="L161" s="173">
        <v>24</v>
      </c>
      <c r="N161" s="239">
        <f t="shared" si="84"/>
        <v>9.0359999999999996</v>
      </c>
      <c r="O161" s="239">
        <f t="shared" si="85"/>
        <v>9.0359999999999996</v>
      </c>
      <c r="P161" s="239">
        <f t="shared" si="86"/>
        <v>10.848000000000001</v>
      </c>
      <c r="Q161" s="239">
        <f t="shared" si="87"/>
        <v>9.0960000000000001</v>
      </c>
      <c r="R161" s="239">
        <f t="shared" si="88"/>
        <v>11.975999999999999</v>
      </c>
      <c r="S161" s="239">
        <f t="shared" si="89"/>
        <v>10.32</v>
      </c>
      <c r="T161" s="239">
        <f t="shared" si="90"/>
        <v>11.591999999999999</v>
      </c>
    </row>
    <row r="162" spans="1:20">
      <c r="A162" s="109" t="s">
        <v>486</v>
      </c>
      <c r="B162" s="109" t="s">
        <v>487</v>
      </c>
      <c r="C162" s="118"/>
      <c r="D162" s="118"/>
      <c r="E162" s="105" t="s">
        <v>488</v>
      </c>
      <c r="F162" s="105"/>
      <c r="G162" s="105"/>
      <c r="H162" s="105"/>
      <c r="I162" s="105"/>
      <c r="J162" s="105"/>
      <c r="K162" s="118"/>
      <c r="L162" s="173">
        <v>40</v>
      </c>
      <c r="N162" s="239">
        <f t="shared" si="84"/>
        <v>15.06</v>
      </c>
      <c r="O162" s="239">
        <f t="shared" si="85"/>
        <v>15.06</v>
      </c>
      <c r="P162" s="239">
        <f t="shared" si="86"/>
        <v>18.080000000000002</v>
      </c>
      <c r="Q162" s="239">
        <f t="shared" si="87"/>
        <v>15.16</v>
      </c>
      <c r="R162" s="239">
        <f t="shared" si="88"/>
        <v>19.96</v>
      </c>
      <c r="S162" s="239">
        <f t="shared" si="89"/>
        <v>17.2</v>
      </c>
      <c r="T162" s="239">
        <f t="shared" si="90"/>
        <v>19.32</v>
      </c>
    </row>
    <row r="163" spans="1:20" s="1" customFormat="1">
      <c r="A163" s="109" t="s">
        <v>228</v>
      </c>
      <c r="B163" s="109" t="s">
        <v>489</v>
      </c>
      <c r="C163" s="118"/>
      <c r="D163" s="118"/>
      <c r="E163" s="105" t="s">
        <v>490</v>
      </c>
      <c r="F163" s="105" t="s">
        <v>491</v>
      </c>
      <c r="G163" s="105"/>
      <c r="H163" s="105"/>
      <c r="I163" s="105"/>
      <c r="J163" s="105"/>
      <c r="K163" s="118"/>
      <c r="L163" s="173">
        <v>69</v>
      </c>
      <c r="N163" s="239">
        <f t="shared" si="84"/>
        <v>25.9785</v>
      </c>
      <c r="O163" s="239">
        <f t="shared" si="85"/>
        <v>25.9785</v>
      </c>
      <c r="P163" s="239">
        <f t="shared" si="86"/>
        <v>31.188000000000002</v>
      </c>
      <c r="Q163" s="239">
        <f t="shared" si="87"/>
        <v>26.151</v>
      </c>
      <c r="R163" s="239">
        <f t="shared" si="88"/>
        <v>34.430999999999997</v>
      </c>
      <c r="S163" s="239">
        <f t="shared" si="89"/>
        <v>29.669999999999998</v>
      </c>
      <c r="T163" s="239">
        <f t="shared" si="90"/>
        <v>33.326999999999998</v>
      </c>
    </row>
    <row r="164" spans="1:20">
      <c r="A164" s="109" t="s">
        <v>492</v>
      </c>
      <c r="B164" s="109" t="s">
        <v>493</v>
      </c>
      <c r="C164" s="118"/>
      <c r="D164" s="118"/>
      <c r="E164" s="105" t="s">
        <v>494</v>
      </c>
      <c r="F164" s="105" t="s">
        <v>495</v>
      </c>
      <c r="G164" s="105"/>
      <c r="H164" s="105"/>
      <c r="I164" s="105"/>
      <c r="J164" s="105"/>
      <c r="K164" s="118"/>
      <c r="L164" s="173">
        <v>80</v>
      </c>
      <c r="N164" s="239">
        <f t="shared" si="84"/>
        <v>30.12</v>
      </c>
      <c r="O164" s="239">
        <f t="shared" si="85"/>
        <v>30.12</v>
      </c>
      <c r="P164" s="239">
        <f t="shared" si="86"/>
        <v>36.160000000000004</v>
      </c>
      <c r="Q164" s="239">
        <f t="shared" si="87"/>
        <v>30.32</v>
      </c>
      <c r="R164" s="239">
        <f t="shared" si="88"/>
        <v>39.92</v>
      </c>
      <c r="S164" s="239">
        <f t="shared" si="89"/>
        <v>34.4</v>
      </c>
      <c r="T164" s="239">
        <f t="shared" si="90"/>
        <v>38.64</v>
      </c>
    </row>
    <row r="165" spans="1:20">
      <c r="A165" s="109" t="s">
        <v>496</v>
      </c>
      <c r="B165" s="109" t="s">
        <v>497</v>
      </c>
      <c r="C165" s="118"/>
      <c r="D165" s="118"/>
      <c r="E165" s="105" t="s">
        <v>498</v>
      </c>
      <c r="F165" s="105" t="s">
        <v>499</v>
      </c>
      <c r="G165" s="105"/>
      <c r="H165" s="105"/>
      <c r="I165" s="105"/>
      <c r="J165" s="105"/>
      <c r="K165" s="118"/>
      <c r="L165" s="173">
        <v>114</v>
      </c>
      <c r="N165" s="239">
        <f t="shared" si="84"/>
        <v>42.920999999999999</v>
      </c>
      <c r="O165" s="239">
        <f t="shared" si="85"/>
        <v>42.920999999999999</v>
      </c>
      <c r="P165" s="239">
        <f t="shared" si="86"/>
        <v>51.527999999999999</v>
      </c>
      <c r="Q165" s="239">
        <f t="shared" si="87"/>
        <v>43.206000000000003</v>
      </c>
      <c r="R165" s="239">
        <f t="shared" si="88"/>
        <v>56.886000000000003</v>
      </c>
      <c r="S165" s="239">
        <f t="shared" si="89"/>
        <v>49.019999999999996</v>
      </c>
      <c r="T165" s="239">
        <f t="shared" si="90"/>
        <v>55.061999999999998</v>
      </c>
    </row>
    <row r="166" spans="1:20">
      <c r="A166" s="113"/>
      <c r="B166" s="114"/>
      <c r="C166" s="115"/>
      <c r="D166" s="116"/>
      <c r="E166" s="116"/>
      <c r="F166" s="116"/>
      <c r="G166" s="116"/>
      <c r="H166" s="116"/>
      <c r="I166" s="116"/>
      <c r="J166" s="116"/>
      <c r="K166" s="182"/>
      <c r="L166" s="173"/>
      <c r="N166" s="239"/>
      <c r="O166" s="239"/>
      <c r="P166" s="239"/>
      <c r="Q166" s="239"/>
      <c r="R166" s="239"/>
      <c r="S166" s="239"/>
      <c r="T166" s="239"/>
    </row>
    <row r="167" spans="1:20">
      <c r="A167" s="89" t="s">
        <v>232</v>
      </c>
      <c r="B167" s="90"/>
      <c r="C167" s="90"/>
      <c r="D167" s="91"/>
      <c r="E167" s="91"/>
      <c r="F167" s="91"/>
      <c r="G167" s="91"/>
      <c r="H167" s="91"/>
      <c r="I167" s="91"/>
      <c r="J167" s="91"/>
      <c r="K167" s="90"/>
      <c r="L167" s="168"/>
      <c r="N167" s="238"/>
      <c r="O167" s="238"/>
      <c r="P167" s="238"/>
      <c r="Q167" s="238"/>
      <c r="R167" s="238"/>
      <c r="S167" s="238"/>
      <c r="T167" s="238"/>
    </row>
    <row r="168" spans="1:20">
      <c r="A168" s="109" t="s">
        <v>500</v>
      </c>
      <c r="B168" s="109" t="s">
        <v>501</v>
      </c>
      <c r="C168" s="118"/>
      <c r="D168" s="118"/>
      <c r="E168" s="105"/>
      <c r="F168" s="105"/>
      <c r="G168" s="105" t="s">
        <v>502</v>
      </c>
      <c r="H168" s="105" t="s">
        <v>503</v>
      </c>
      <c r="I168" s="105"/>
      <c r="J168" s="105"/>
      <c r="K168" s="118"/>
      <c r="L168" s="173">
        <v>11</v>
      </c>
      <c r="N168" s="239">
        <f t="shared" si="84"/>
        <v>4.1414999999999997</v>
      </c>
      <c r="O168" s="239">
        <f t="shared" si="85"/>
        <v>4.1414999999999997</v>
      </c>
      <c r="P168" s="239">
        <f t="shared" si="86"/>
        <v>4.9720000000000004</v>
      </c>
      <c r="Q168" s="239">
        <f t="shared" si="87"/>
        <v>4.1690000000000005</v>
      </c>
      <c r="R168" s="239">
        <f t="shared" si="88"/>
        <v>5.4889999999999999</v>
      </c>
      <c r="S168" s="239">
        <f t="shared" si="89"/>
        <v>4.7299999999999995</v>
      </c>
      <c r="T168" s="239">
        <f t="shared" si="90"/>
        <v>5.3129999999999997</v>
      </c>
    </row>
    <row r="169" spans="1:20">
      <c r="A169" s="109" t="s">
        <v>504</v>
      </c>
      <c r="B169" s="109" t="s">
        <v>242</v>
      </c>
      <c r="C169" s="118"/>
      <c r="D169" s="118"/>
      <c r="E169" s="105"/>
      <c r="F169" s="105"/>
      <c r="G169" s="105" t="s">
        <v>505</v>
      </c>
      <c r="H169" s="105"/>
      <c r="I169" s="105"/>
      <c r="J169" s="105"/>
      <c r="K169" s="118"/>
      <c r="L169" s="173">
        <v>12</v>
      </c>
      <c r="N169" s="239">
        <f t="shared" si="84"/>
        <v>4.5179999999999998</v>
      </c>
      <c r="O169" s="239">
        <f t="shared" si="85"/>
        <v>4.5179999999999998</v>
      </c>
      <c r="P169" s="239">
        <f t="shared" si="86"/>
        <v>5.4240000000000004</v>
      </c>
      <c r="Q169" s="239">
        <f t="shared" si="87"/>
        <v>4.548</v>
      </c>
      <c r="R169" s="239">
        <f t="shared" si="88"/>
        <v>5.9879999999999995</v>
      </c>
      <c r="S169" s="239">
        <f t="shared" si="89"/>
        <v>5.16</v>
      </c>
      <c r="T169" s="239">
        <f t="shared" si="90"/>
        <v>5.7959999999999994</v>
      </c>
    </row>
    <row r="170" spans="1:20" s="3" customFormat="1">
      <c r="A170" s="109" t="s">
        <v>506</v>
      </c>
      <c r="B170" s="109" t="s">
        <v>507</v>
      </c>
      <c r="C170" s="118"/>
      <c r="D170" s="118"/>
      <c r="E170" s="105"/>
      <c r="F170" s="105"/>
      <c r="G170" s="105" t="s">
        <v>508</v>
      </c>
      <c r="H170" s="105" t="s">
        <v>509</v>
      </c>
      <c r="I170" s="105"/>
      <c r="J170" s="105"/>
      <c r="K170" s="118"/>
      <c r="L170" s="173">
        <v>29</v>
      </c>
      <c r="N170" s="239">
        <f t="shared" si="84"/>
        <v>10.9185</v>
      </c>
      <c r="O170" s="239">
        <f t="shared" si="85"/>
        <v>10.9185</v>
      </c>
      <c r="P170" s="239">
        <f t="shared" si="86"/>
        <v>13.108000000000001</v>
      </c>
      <c r="Q170" s="239">
        <f t="shared" si="87"/>
        <v>10.991</v>
      </c>
      <c r="R170" s="239">
        <f t="shared" si="88"/>
        <v>14.471</v>
      </c>
      <c r="S170" s="239">
        <f t="shared" si="89"/>
        <v>12.47</v>
      </c>
      <c r="T170" s="239">
        <f t="shared" si="90"/>
        <v>14.007</v>
      </c>
    </row>
    <row r="171" spans="1:20" s="3" customFormat="1">
      <c r="A171" s="109" t="s">
        <v>510</v>
      </c>
      <c r="B171" s="109" t="s">
        <v>511</v>
      </c>
      <c r="C171" s="118"/>
      <c r="D171" s="118"/>
      <c r="E171" s="105"/>
      <c r="F171" s="105"/>
      <c r="G171" s="105" t="s">
        <v>512</v>
      </c>
      <c r="H171" s="105" t="s">
        <v>513</v>
      </c>
      <c r="I171" s="105"/>
      <c r="J171" s="105"/>
      <c r="K171" s="118"/>
      <c r="L171" s="173">
        <v>74</v>
      </c>
      <c r="N171" s="239">
        <f t="shared" si="84"/>
        <v>27.861000000000001</v>
      </c>
      <c r="O171" s="239">
        <f t="shared" si="85"/>
        <v>27.861000000000001</v>
      </c>
      <c r="P171" s="239">
        <f t="shared" si="86"/>
        <v>33.448</v>
      </c>
      <c r="Q171" s="239">
        <f t="shared" si="87"/>
        <v>28.045999999999999</v>
      </c>
      <c r="R171" s="239">
        <f t="shared" si="88"/>
        <v>36.926000000000002</v>
      </c>
      <c r="S171" s="239">
        <f t="shared" si="89"/>
        <v>31.82</v>
      </c>
      <c r="T171" s="239">
        <f t="shared" si="90"/>
        <v>35.741999999999997</v>
      </c>
    </row>
    <row r="172" spans="1:20" s="3" customFormat="1">
      <c r="A172" s="109" t="s">
        <v>514</v>
      </c>
      <c r="B172" s="109" t="s">
        <v>515</v>
      </c>
      <c r="C172" s="118"/>
      <c r="D172" s="118"/>
      <c r="E172" s="105"/>
      <c r="F172" s="105"/>
      <c r="G172" s="105" t="s">
        <v>516</v>
      </c>
      <c r="H172" s="105" t="s">
        <v>517</v>
      </c>
      <c r="I172" s="105"/>
      <c r="J172" s="105"/>
      <c r="K172" s="118"/>
      <c r="L172" s="173">
        <v>85</v>
      </c>
      <c r="N172" s="239">
        <f t="shared" si="84"/>
        <v>32.002499999999998</v>
      </c>
      <c r="O172" s="239">
        <f t="shared" si="85"/>
        <v>32.002499999999998</v>
      </c>
      <c r="P172" s="239">
        <f t="shared" si="86"/>
        <v>38.42</v>
      </c>
      <c r="Q172" s="239">
        <f t="shared" si="87"/>
        <v>32.215000000000003</v>
      </c>
      <c r="R172" s="239">
        <f t="shared" si="88"/>
        <v>42.414999999999999</v>
      </c>
      <c r="S172" s="239">
        <f t="shared" si="89"/>
        <v>36.549999999999997</v>
      </c>
      <c r="T172" s="239">
        <f t="shared" si="90"/>
        <v>41.055</v>
      </c>
    </row>
    <row r="173" spans="1:20" s="3" customFormat="1">
      <c r="A173" s="113"/>
      <c r="B173" s="114"/>
      <c r="C173" s="115"/>
      <c r="D173" s="116"/>
      <c r="E173" s="116"/>
      <c r="F173" s="116"/>
      <c r="G173" s="116"/>
      <c r="H173" s="116"/>
      <c r="I173" s="116"/>
      <c r="J173" s="116"/>
      <c r="K173" s="182"/>
      <c r="L173" s="173"/>
      <c r="N173" s="239"/>
      <c r="O173" s="239"/>
      <c r="P173" s="239"/>
      <c r="Q173" s="239"/>
      <c r="R173" s="239"/>
      <c r="S173" s="239"/>
      <c r="T173" s="239"/>
    </row>
    <row r="174" spans="1:20" s="3" customFormat="1">
      <c r="A174" s="89" t="s">
        <v>251</v>
      </c>
      <c r="B174" s="90"/>
      <c r="C174" s="90"/>
      <c r="D174" s="91"/>
      <c r="E174" s="91"/>
      <c r="F174" s="91"/>
      <c r="G174" s="91"/>
      <c r="H174" s="91"/>
      <c r="I174" s="91"/>
      <c r="J174" s="91"/>
      <c r="K174" s="90"/>
      <c r="L174" s="168"/>
      <c r="N174" s="238"/>
      <c r="O174" s="238"/>
      <c r="P174" s="238"/>
      <c r="Q174" s="238"/>
      <c r="R174" s="238"/>
      <c r="S174" s="238"/>
      <c r="T174" s="238"/>
    </row>
    <row r="175" spans="1:20" s="3" customFormat="1">
      <c r="A175" s="109" t="s">
        <v>252</v>
      </c>
      <c r="B175" s="109" t="s">
        <v>253</v>
      </c>
      <c r="C175" s="118"/>
      <c r="D175" s="105" t="s">
        <v>518</v>
      </c>
      <c r="E175" s="105" t="s">
        <v>519</v>
      </c>
      <c r="F175" s="105" t="s">
        <v>520</v>
      </c>
      <c r="G175" s="105" t="s">
        <v>521</v>
      </c>
      <c r="H175" s="105" t="s">
        <v>522</v>
      </c>
      <c r="I175" s="105"/>
      <c r="J175" s="105"/>
      <c r="K175" s="118"/>
      <c r="L175" s="173">
        <v>29</v>
      </c>
      <c r="N175" s="239">
        <f t="shared" si="84"/>
        <v>10.9185</v>
      </c>
      <c r="O175" s="239">
        <f t="shared" si="85"/>
        <v>10.9185</v>
      </c>
      <c r="P175" s="239">
        <f t="shared" si="86"/>
        <v>13.108000000000001</v>
      </c>
      <c r="Q175" s="239">
        <f t="shared" si="87"/>
        <v>10.991</v>
      </c>
      <c r="R175" s="239">
        <f t="shared" si="88"/>
        <v>14.471</v>
      </c>
      <c r="S175" s="239">
        <f t="shared" si="89"/>
        <v>12.47</v>
      </c>
      <c r="T175" s="239">
        <f t="shared" si="90"/>
        <v>14.007</v>
      </c>
    </row>
    <row r="176" spans="1:20" s="3" customFormat="1">
      <c r="A176" s="109" t="s">
        <v>259</v>
      </c>
      <c r="B176" s="109" t="s">
        <v>523</v>
      </c>
      <c r="C176" s="118"/>
      <c r="D176" s="105" t="s">
        <v>524</v>
      </c>
      <c r="E176" s="105" t="s">
        <v>525</v>
      </c>
      <c r="F176" s="105" t="s">
        <v>526</v>
      </c>
      <c r="G176" s="105" t="s">
        <v>527</v>
      </c>
      <c r="H176" s="105" t="s">
        <v>528</v>
      </c>
      <c r="I176" s="105"/>
      <c r="J176" s="105"/>
      <c r="K176" s="118"/>
      <c r="L176" s="173">
        <v>101</v>
      </c>
      <c r="N176" s="239">
        <f t="shared" si="84"/>
        <v>38.026499999999999</v>
      </c>
      <c r="O176" s="239">
        <f t="shared" si="85"/>
        <v>38.026499999999999</v>
      </c>
      <c r="P176" s="239">
        <f t="shared" si="86"/>
        <v>45.652000000000001</v>
      </c>
      <c r="Q176" s="239">
        <f t="shared" si="87"/>
        <v>38.279000000000003</v>
      </c>
      <c r="R176" s="239">
        <f t="shared" si="88"/>
        <v>50.399000000000001</v>
      </c>
      <c r="S176" s="239">
        <f t="shared" si="89"/>
        <v>43.43</v>
      </c>
      <c r="T176" s="239">
        <f t="shared" si="90"/>
        <v>48.783000000000001</v>
      </c>
    </row>
    <row r="177" spans="1:20" s="3" customFormat="1">
      <c r="A177" s="113"/>
      <c r="B177" s="114"/>
      <c r="C177" s="115"/>
      <c r="D177" s="116"/>
      <c r="E177" s="116"/>
      <c r="F177" s="116"/>
      <c r="G177" s="116"/>
      <c r="H177" s="116"/>
      <c r="I177" s="116"/>
      <c r="J177" s="116"/>
      <c r="K177" s="182"/>
      <c r="L177" s="173"/>
      <c r="N177" s="239"/>
      <c r="O177" s="239"/>
      <c r="P177" s="239"/>
      <c r="Q177" s="239"/>
      <c r="R177" s="239"/>
      <c r="S177" s="239"/>
      <c r="T177" s="239"/>
    </row>
    <row r="178" spans="1:20">
      <c r="A178" s="89" t="s">
        <v>269</v>
      </c>
      <c r="B178" s="90"/>
      <c r="C178" s="90"/>
      <c r="D178" s="91"/>
      <c r="E178" s="91"/>
      <c r="F178" s="91"/>
      <c r="G178" s="91"/>
      <c r="H178" s="91"/>
      <c r="I178" s="91"/>
      <c r="J178" s="91"/>
      <c r="K178" s="90"/>
      <c r="L178" s="168"/>
      <c r="N178" s="238"/>
      <c r="O178" s="238"/>
      <c r="P178" s="238"/>
      <c r="Q178" s="238"/>
      <c r="R178" s="238"/>
      <c r="S178" s="238"/>
      <c r="T178" s="238"/>
    </row>
    <row r="179" spans="1:20" ht="29.45" customHeight="1">
      <c r="A179" s="109" t="s">
        <v>529</v>
      </c>
      <c r="B179" s="109" t="s">
        <v>530</v>
      </c>
      <c r="C179" s="118"/>
      <c r="D179" s="105" t="s">
        <v>531</v>
      </c>
      <c r="E179" s="105" t="s">
        <v>532</v>
      </c>
      <c r="F179" s="105" t="s">
        <v>533</v>
      </c>
      <c r="G179" s="105" t="s">
        <v>534</v>
      </c>
      <c r="H179" s="105" t="s">
        <v>535</v>
      </c>
      <c r="I179" s="105"/>
      <c r="J179" s="105"/>
      <c r="K179" s="118"/>
      <c r="L179" s="173">
        <v>5</v>
      </c>
      <c r="N179" s="239">
        <f t="shared" si="84"/>
        <v>1.8825000000000001</v>
      </c>
      <c r="O179" s="239">
        <f t="shared" si="85"/>
        <v>1.8825000000000001</v>
      </c>
      <c r="P179" s="239">
        <f t="shared" si="86"/>
        <v>2.2600000000000002</v>
      </c>
      <c r="Q179" s="239">
        <f t="shared" si="87"/>
        <v>1.895</v>
      </c>
      <c r="R179" s="239">
        <f t="shared" si="88"/>
        <v>2.4950000000000001</v>
      </c>
      <c r="S179" s="239">
        <f t="shared" si="89"/>
        <v>2.15</v>
      </c>
      <c r="T179" s="239">
        <f t="shared" si="90"/>
        <v>2.415</v>
      </c>
    </row>
    <row r="180" spans="1:20">
      <c r="A180" s="113"/>
      <c r="B180" s="114"/>
      <c r="C180" s="115"/>
      <c r="D180" s="116"/>
      <c r="E180" s="116"/>
      <c r="F180" s="116"/>
      <c r="G180" s="116"/>
      <c r="H180" s="116"/>
      <c r="I180" s="116"/>
      <c r="J180" s="116"/>
      <c r="K180" s="182"/>
      <c r="L180" s="173"/>
      <c r="N180" s="239"/>
      <c r="O180" s="239"/>
      <c r="P180" s="239"/>
      <c r="Q180" s="239"/>
      <c r="R180" s="239"/>
      <c r="S180" s="239"/>
      <c r="T180" s="239"/>
    </row>
    <row r="181" spans="1:20">
      <c r="A181" s="89" t="s">
        <v>276</v>
      </c>
      <c r="B181" s="90"/>
      <c r="C181" s="90"/>
      <c r="D181" s="91"/>
      <c r="E181" s="91"/>
      <c r="F181" s="91"/>
      <c r="G181" s="91"/>
      <c r="H181" s="91"/>
      <c r="I181" s="91"/>
      <c r="J181" s="91"/>
      <c r="K181" s="90"/>
      <c r="L181" s="168"/>
      <c r="N181" s="238"/>
      <c r="O181" s="238"/>
      <c r="P181" s="238"/>
      <c r="Q181" s="238"/>
      <c r="R181" s="238"/>
      <c r="S181" s="238"/>
      <c r="T181" s="238"/>
    </row>
    <row r="182" spans="1:20">
      <c r="A182" s="109" t="s">
        <v>284</v>
      </c>
      <c r="B182" s="109" t="s">
        <v>536</v>
      </c>
      <c r="C182" s="118"/>
      <c r="D182" s="105" t="s">
        <v>537</v>
      </c>
      <c r="E182" s="105" t="s">
        <v>538</v>
      </c>
      <c r="F182" s="105" t="s">
        <v>539</v>
      </c>
      <c r="G182" s="105"/>
      <c r="H182" s="105"/>
      <c r="I182" s="105"/>
      <c r="J182" s="105"/>
      <c r="K182" s="118"/>
      <c r="L182" s="173">
        <v>0</v>
      </c>
      <c r="N182" s="239">
        <f t="shared" si="84"/>
        <v>0</v>
      </c>
      <c r="O182" s="239">
        <f t="shared" si="85"/>
        <v>0</v>
      </c>
      <c r="P182" s="239">
        <f t="shared" si="86"/>
        <v>0</v>
      </c>
      <c r="Q182" s="239">
        <f t="shared" si="87"/>
        <v>0</v>
      </c>
      <c r="R182" s="239">
        <f t="shared" si="88"/>
        <v>0</v>
      </c>
      <c r="S182" s="239">
        <f t="shared" si="89"/>
        <v>0</v>
      </c>
      <c r="T182" s="239">
        <f t="shared" si="90"/>
        <v>0</v>
      </c>
    </row>
    <row r="183" spans="1:20">
      <c r="A183" s="113"/>
      <c r="B183" s="114"/>
      <c r="C183" s="115"/>
      <c r="D183" s="116"/>
      <c r="E183" s="116"/>
      <c r="F183" s="116"/>
      <c r="G183" s="116"/>
      <c r="H183" s="116"/>
      <c r="I183" s="116"/>
      <c r="J183" s="116"/>
      <c r="K183" s="182"/>
      <c r="L183" s="173"/>
      <c r="N183" s="239"/>
      <c r="O183" s="239"/>
      <c r="P183" s="239"/>
      <c r="Q183" s="239"/>
      <c r="R183" s="239"/>
      <c r="S183" s="239"/>
      <c r="T183" s="239"/>
    </row>
    <row r="184" spans="1:20">
      <c r="A184" s="89" t="s">
        <v>287</v>
      </c>
      <c r="B184" s="90"/>
      <c r="C184" s="90"/>
      <c r="D184" s="91"/>
      <c r="E184" s="91"/>
      <c r="F184" s="91"/>
      <c r="G184" s="91"/>
      <c r="H184" s="91"/>
      <c r="I184" s="91"/>
      <c r="J184" s="91"/>
      <c r="K184" s="90"/>
      <c r="L184" s="168"/>
      <c r="N184" s="238"/>
      <c r="O184" s="238"/>
      <c r="P184" s="238"/>
      <c r="Q184" s="238"/>
      <c r="R184" s="238"/>
      <c r="S184" s="238"/>
      <c r="T184" s="238"/>
    </row>
    <row r="185" spans="1:20">
      <c r="A185" s="109" t="s">
        <v>540</v>
      </c>
      <c r="B185" s="109" t="s">
        <v>541</v>
      </c>
      <c r="C185" s="118"/>
      <c r="D185" s="105" t="s">
        <v>542</v>
      </c>
      <c r="E185" s="105" t="s">
        <v>543</v>
      </c>
      <c r="F185" s="105" t="s">
        <v>544</v>
      </c>
      <c r="G185" s="105" t="s">
        <v>545</v>
      </c>
      <c r="H185" s="105" t="s">
        <v>546</v>
      </c>
      <c r="I185" s="105"/>
      <c r="J185" s="105"/>
      <c r="K185" s="118"/>
      <c r="L185" s="173">
        <v>2</v>
      </c>
      <c r="N185" s="239">
        <f t="shared" si="84"/>
        <v>0.753</v>
      </c>
      <c r="O185" s="239">
        <f t="shared" si="85"/>
        <v>0.753</v>
      </c>
      <c r="P185" s="239">
        <f t="shared" si="86"/>
        <v>0.90400000000000003</v>
      </c>
      <c r="Q185" s="239">
        <f t="shared" si="87"/>
        <v>0.75800000000000001</v>
      </c>
      <c r="R185" s="239">
        <f t="shared" si="88"/>
        <v>0.998</v>
      </c>
      <c r="S185" s="239">
        <f t="shared" si="89"/>
        <v>0.86</v>
      </c>
      <c r="T185" s="239">
        <f t="shared" si="90"/>
        <v>0.96599999999999997</v>
      </c>
    </row>
    <row r="186" spans="1:20">
      <c r="A186" s="109" t="s">
        <v>90</v>
      </c>
      <c r="B186" s="109" t="s">
        <v>288</v>
      </c>
      <c r="C186" s="118"/>
      <c r="D186" s="105" t="s">
        <v>547</v>
      </c>
      <c r="E186" s="105" t="s">
        <v>548</v>
      </c>
      <c r="F186" s="105" t="s">
        <v>549</v>
      </c>
      <c r="G186" s="105" t="s">
        <v>550</v>
      </c>
      <c r="H186" s="105" t="s">
        <v>551</v>
      </c>
      <c r="I186" s="105"/>
      <c r="J186" s="105"/>
      <c r="K186" s="118"/>
      <c r="L186" s="173">
        <v>6</v>
      </c>
      <c r="N186" s="239">
        <f t="shared" si="84"/>
        <v>2.2589999999999999</v>
      </c>
      <c r="O186" s="239">
        <f t="shared" si="85"/>
        <v>2.2589999999999999</v>
      </c>
      <c r="P186" s="239">
        <f t="shared" si="86"/>
        <v>2.7120000000000002</v>
      </c>
      <c r="Q186" s="239">
        <f t="shared" si="87"/>
        <v>2.274</v>
      </c>
      <c r="R186" s="239">
        <f t="shared" si="88"/>
        <v>2.9939999999999998</v>
      </c>
      <c r="S186" s="239">
        <f t="shared" si="89"/>
        <v>2.58</v>
      </c>
      <c r="T186" s="239">
        <f t="shared" si="90"/>
        <v>2.8979999999999997</v>
      </c>
    </row>
    <row r="187" spans="1:20">
      <c r="A187" s="113"/>
      <c r="B187" s="114"/>
      <c r="C187" s="115"/>
      <c r="D187" s="116"/>
      <c r="E187" s="116"/>
      <c r="F187" s="116"/>
      <c r="G187" s="116"/>
      <c r="H187" s="116"/>
      <c r="I187" s="116"/>
      <c r="J187" s="116"/>
      <c r="K187" s="182"/>
      <c r="L187" s="173"/>
      <c r="N187" s="239"/>
      <c r="O187" s="239"/>
      <c r="P187" s="239"/>
      <c r="Q187" s="239"/>
      <c r="R187" s="239"/>
      <c r="S187" s="239"/>
      <c r="T187" s="239"/>
    </row>
    <row r="188" spans="1:20">
      <c r="A188" s="89" t="s">
        <v>552</v>
      </c>
      <c r="B188" s="90"/>
      <c r="C188" s="90"/>
      <c r="D188" s="91"/>
      <c r="E188" s="91"/>
      <c r="F188" s="91"/>
      <c r="G188" s="91"/>
      <c r="H188" s="91"/>
      <c r="I188" s="91"/>
      <c r="J188" s="91"/>
      <c r="K188" s="90"/>
      <c r="L188" s="168"/>
      <c r="N188" s="238"/>
      <c r="O188" s="238"/>
      <c r="P188" s="238"/>
      <c r="Q188" s="238"/>
      <c r="R188" s="238"/>
      <c r="S188" s="238"/>
      <c r="T188" s="238"/>
    </row>
    <row r="189" spans="1:20">
      <c r="A189" s="109" t="s">
        <v>806</v>
      </c>
      <c r="B189" s="109" t="s">
        <v>807</v>
      </c>
      <c r="C189" s="118"/>
      <c r="D189" s="105" t="s">
        <v>1643</v>
      </c>
      <c r="E189" s="105" t="s">
        <v>1644</v>
      </c>
      <c r="F189" s="105" t="s">
        <v>1646</v>
      </c>
      <c r="G189" s="105" t="s">
        <v>1645</v>
      </c>
      <c r="H189" s="105" t="s">
        <v>1647</v>
      </c>
      <c r="I189" s="105"/>
      <c r="J189" s="105"/>
      <c r="K189" s="118"/>
      <c r="L189" s="173">
        <v>6</v>
      </c>
      <c r="N189" s="323">
        <f t="shared" ref="N189" si="98">L189*$N$8</f>
        <v>2.2589999999999999</v>
      </c>
      <c r="O189" s="323">
        <f t="shared" ref="O189" si="99">L189*$O$8</f>
        <v>2.2589999999999999</v>
      </c>
      <c r="P189" s="323">
        <f t="shared" ref="P189" si="100">L189*$P$8</f>
        <v>2.7120000000000002</v>
      </c>
      <c r="Q189" s="323">
        <f t="shared" ref="Q189" si="101">L189*$Q$8</f>
        <v>2.274</v>
      </c>
      <c r="R189" s="323">
        <f t="shared" ref="R189" si="102">L189*$R$8</f>
        <v>2.9939999999999998</v>
      </c>
      <c r="S189" s="323">
        <f t="shared" ref="S189" si="103">L189*$S$8</f>
        <v>2.58</v>
      </c>
      <c r="T189" s="323">
        <f t="shared" ref="T189" si="104">L189*$T$8</f>
        <v>2.8979999999999997</v>
      </c>
    </row>
    <row r="190" spans="1:20">
      <c r="A190" s="109" t="s">
        <v>553</v>
      </c>
      <c r="B190" s="109" t="s">
        <v>554</v>
      </c>
      <c r="C190" s="118" t="s">
        <v>350</v>
      </c>
      <c r="D190" s="105" t="s">
        <v>555</v>
      </c>
      <c r="E190" s="105" t="s">
        <v>556</v>
      </c>
      <c r="F190" s="105"/>
      <c r="G190" s="105" t="s">
        <v>557</v>
      </c>
      <c r="H190" s="105"/>
      <c r="I190" s="105"/>
      <c r="J190" s="105"/>
      <c r="K190" s="118"/>
      <c r="L190" s="173">
        <v>7</v>
      </c>
      <c r="N190" s="239">
        <f t="shared" si="84"/>
        <v>2.6355</v>
      </c>
      <c r="O190" s="239">
        <f t="shared" si="85"/>
        <v>2.6355</v>
      </c>
      <c r="P190" s="239">
        <f t="shared" si="86"/>
        <v>3.1640000000000001</v>
      </c>
      <c r="Q190" s="239">
        <f t="shared" si="87"/>
        <v>2.653</v>
      </c>
      <c r="R190" s="239">
        <f t="shared" si="88"/>
        <v>3.4929999999999999</v>
      </c>
      <c r="S190" s="239">
        <f t="shared" si="89"/>
        <v>3.01</v>
      </c>
      <c r="T190" s="239">
        <f t="shared" si="90"/>
        <v>3.3809999999999998</v>
      </c>
    </row>
    <row r="191" spans="1:20">
      <c r="A191" s="109" t="s">
        <v>558</v>
      </c>
      <c r="B191" s="109" t="s">
        <v>296</v>
      </c>
      <c r="C191" s="118"/>
      <c r="D191" s="105"/>
      <c r="E191" s="105" t="s">
        <v>559</v>
      </c>
      <c r="F191" s="105"/>
      <c r="G191" s="105" t="s">
        <v>560</v>
      </c>
      <c r="H191" s="105"/>
      <c r="I191" s="105"/>
      <c r="J191" s="105"/>
      <c r="K191" s="118"/>
      <c r="L191" s="173">
        <v>85</v>
      </c>
      <c r="N191" s="239">
        <f t="shared" si="84"/>
        <v>32.002499999999998</v>
      </c>
      <c r="O191" s="239">
        <f t="shared" si="85"/>
        <v>32.002499999999998</v>
      </c>
      <c r="P191" s="239">
        <f t="shared" si="86"/>
        <v>38.42</v>
      </c>
      <c r="Q191" s="239">
        <f t="shared" si="87"/>
        <v>32.215000000000003</v>
      </c>
      <c r="R191" s="239">
        <f t="shared" si="88"/>
        <v>42.414999999999999</v>
      </c>
      <c r="S191" s="239">
        <f t="shared" si="89"/>
        <v>36.549999999999997</v>
      </c>
      <c r="T191" s="239">
        <f t="shared" si="90"/>
        <v>41.055</v>
      </c>
    </row>
    <row r="192" spans="1:20">
      <c r="A192" s="109" t="s">
        <v>561</v>
      </c>
      <c r="B192" s="109" t="s">
        <v>296</v>
      </c>
      <c r="C192" s="118"/>
      <c r="D192" s="105"/>
      <c r="E192" s="105"/>
      <c r="F192" s="105" t="s">
        <v>562</v>
      </c>
      <c r="G192" s="105"/>
      <c r="H192" s="105" t="s">
        <v>563</v>
      </c>
      <c r="I192" s="105"/>
      <c r="J192" s="105"/>
      <c r="K192" s="118"/>
      <c r="L192" s="173">
        <v>85</v>
      </c>
      <c r="N192" s="239">
        <f t="shared" si="84"/>
        <v>32.002499999999998</v>
      </c>
      <c r="O192" s="239">
        <f t="shared" si="85"/>
        <v>32.002499999999998</v>
      </c>
      <c r="P192" s="239">
        <f t="shared" si="86"/>
        <v>38.42</v>
      </c>
      <c r="Q192" s="239">
        <f t="shared" si="87"/>
        <v>32.215000000000003</v>
      </c>
      <c r="R192" s="239">
        <f t="shared" si="88"/>
        <v>42.414999999999999</v>
      </c>
      <c r="S192" s="239">
        <f t="shared" si="89"/>
        <v>36.549999999999997</v>
      </c>
      <c r="T192" s="239">
        <f t="shared" si="90"/>
        <v>41.055</v>
      </c>
    </row>
    <row r="193" spans="1:20">
      <c r="A193" s="113"/>
      <c r="B193" s="114"/>
      <c r="C193" s="115"/>
      <c r="D193" s="116"/>
      <c r="E193" s="116"/>
      <c r="F193" s="116"/>
      <c r="G193" s="116"/>
      <c r="H193" s="116"/>
      <c r="I193" s="116"/>
      <c r="J193" s="116"/>
      <c r="K193" s="182"/>
      <c r="L193" s="173"/>
      <c r="N193" s="239"/>
      <c r="O193" s="239"/>
      <c r="P193" s="239"/>
      <c r="Q193" s="239"/>
      <c r="R193" s="239"/>
      <c r="S193" s="239"/>
      <c r="T193" s="239"/>
    </row>
    <row r="194" spans="1:20">
      <c r="A194" s="89" t="s">
        <v>564</v>
      </c>
      <c r="B194" s="90"/>
      <c r="C194" s="90"/>
      <c r="D194" s="91"/>
      <c r="E194" s="91"/>
      <c r="F194" s="91"/>
      <c r="G194" s="91"/>
      <c r="H194" s="91"/>
      <c r="I194" s="91"/>
      <c r="J194" s="91"/>
      <c r="K194" s="90"/>
      <c r="L194" s="168"/>
      <c r="N194" s="238"/>
      <c r="O194" s="238"/>
      <c r="P194" s="238"/>
      <c r="Q194" s="238"/>
      <c r="R194" s="238"/>
      <c r="S194" s="238"/>
      <c r="T194" s="238"/>
    </row>
    <row r="195" spans="1:20">
      <c r="A195" s="109" t="s">
        <v>565</v>
      </c>
      <c r="B195" s="109" t="s">
        <v>306</v>
      </c>
      <c r="C195" s="118"/>
      <c r="D195" s="105" t="s">
        <v>566</v>
      </c>
      <c r="E195" s="105" t="s">
        <v>567</v>
      </c>
      <c r="F195" s="105" t="s">
        <v>568</v>
      </c>
      <c r="G195" s="105" t="s">
        <v>569</v>
      </c>
      <c r="H195" s="105" t="s">
        <v>570</v>
      </c>
      <c r="I195" s="105"/>
      <c r="J195" s="105"/>
      <c r="K195" s="118"/>
      <c r="L195" s="173">
        <v>0</v>
      </c>
      <c r="N195" s="239">
        <f t="shared" si="84"/>
        <v>0</v>
      </c>
      <c r="O195" s="239">
        <f t="shared" si="85"/>
        <v>0</v>
      </c>
      <c r="P195" s="239">
        <f t="shared" si="86"/>
        <v>0</v>
      </c>
      <c r="Q195" s="239">
        <f t="shared" si="87"/>
        <v>0</v>
      </c>
      <c r="R195" s="239">
        <f t="shared" si="88"/>
        <v>0</v>
      </c>
      <c r="S195" s="239">
        <f t="shared" si="89"/>
        <v>0</v>
      </c>
      <c r="T195" s="239">
        <f t="shared" si="90"/>
        <v>0</v>
      </c>
    </row>
    <row r="196" spans="1:20">
      <c r="A196" s="113"/>
      <c r="B196" s="114"/>
      <c r="C196" s="115"/>
      <c r="D196" s="116"/>
      <c r="E196" s="116"/>
      <c r="F196" s="116"/>
      <c r="G196" s="116"/>
      <c r="H196" s="116"/>
      <c r="I196" s="116"/>
      <c r="J196" s="116"/>
      <c r="K196" s="182"/>
      <c r="L196" s="173"/>
      <c r="N196" s="239"/>
      <c r="O196" s="239"/>
      <c r="P196" s="239"/>
      <c r="Q196" s="239"/>
      <c r="R196" s="239"/>
      <c r="S196" s="239"/>
      <c r="T196" s="239"/>
    </row>
    <row r="197" spans="1:20">
      <c r="A197" s="89" t="s">
        <v>316</v>
      </c>
      <c r="B197" s="90"/>
      <c r="C197" s="90"/>
      <c r="D197" s="91"/>
      <c r="E197" s="91"/>
      <c r="F197" s="91"/>
      <c r="G197" s="91"/>
      <c r="H197" s="91"/>
      <c r="I197" s="91"/>
      <c r="J197" s="91"/>
      <c r="K197" s="90"/>
      <c r="L197" s="168"/>
      <c r="N197" s="238"/>
      <c r="O197" s="238"/>
      <c r="P197" s="238"/>
      <c r="Q197" s="238"/>
      <c r="R197" s="238"/>
      <c r="S197" s="238"/>
      <c r="T197" s="238"/>
    </row>
    <row r="198" spans="1:20">
      <c r="A198" s="109" t="s">
        <v>317</v>
      </c>
      <c r="B198" s="109" t="s">
        <v>318</v>
      </c>
      <c r="C198" s="118"/>
      <c r="D198" s="104" t="s">
        <v>571</v>
      </c>
      <c r="E198" s="104" t="s">
        <v>571</v>
      </c>
      <c r="F198" s="104" t="s">
        <v>571</v>
      </c>
      <c r="G198" s="104" t="s">
        <v>571</v>
      </c>
      <c r="H198" s="104" t="s">
        <v>571</v>
      </c>
      <c r="I198" s="104"/>
      <c r="J198" s="104"/>
      <c r="K198" s="107"/>
      <c r="L198" s="173">
        <v>20</v>
      </c>
      <c r="N198" s="239">
        <f t="shared" si="84"/>
        <v>7.53</v>
      </c>
      <c r="O198" s="239">
        <f t="shared" si="85"/>
        <v>7.53</v>
      </c>
      <c r="P198" s="239">
        <f t="shared" si="86"/>
        <v>9.0400000000000009</v>
      </c>
      <c r="Q198" s="239">
        <f t="shared" si="87"/>
        <v>7.58</v>
      </c>
      <c r="R198" s="239">
        <f t="shared" si="88"/>
        <v>9.98</v>
      </c>
      <c r="S198" s="239">
        <f t="shared" si="89"/>
        <v>8.6</v>
      </c>
      <c r="T198" s="239">
        <f t="shared" si="90"/>
        <v>9.66</v>
      </c>
    </row>
    <row r="199" spans="1:20">
      <c r="A199" s="109" t="s">
        <v>320</v>
      </c>
      <c r="B199" s="119" t="s">
        <v>321</v>
      </c>
      <c r="C199" s="120"/>
      <c r="D199" s="104" t="s">
        <v>572</v>
      </c>
      <c r="E199" s="104" t="s">
        <v>572</v>
      </c>
      <c r="F199" s="104" t="s">
        <v>572</v>
      </c>
      <c r="G199" s="104" t="s">
        <v>572</v>
      </c>
      <c r="H199" s="104" t="s">
        <v>572</v>
      </c>
      <c r="I199" s="104"/>
      <c r="J199" s="104"/>
      <c r="K199" s="107"/>
      <c r="L199" s="173">
        <v>30</v>
      </c>
      <c r="N199" s="239">
        <f t="shared" si="84"/>
        <v>11.295</v>
      </c>
      <c r="O199" s="239">
        <f t="shared" si="85"/>
        <v>11.295</v>
      </c>
      <c r="P199" s="239">
        <f t="shared" si="86"/>
        <v>13.56</v>
      </c>
      <c r="Q199" s="239">
        <f t="shared" si="87"/>
        <v>11.370000000000001</v>
      </c>
      <c r="R199" s="239">
        <f t="shared" si="88"/>
        <v>14.97</v>
      </c>
      <c r="S199" s="239">
        <f t="shared" si="89"/>
        <v>12.9</v>
      </c>
      <c r="T199" s="239">
        <f t="shared" si="90"/>
        <v>14.49</v>
      </c>
    </row>
    <row r="200" spans="1:20">
      <c r="A200" s="109" t="s">
        <v>323</v>
      </c>
      <c r="B200" s="109" t="s">
        <v>324</v>
      </c>
      <c r="C200" s="118"/>
      <c r="D200" s="104" t="s">
        <v>573</v>
      </c>
      <c r="E200" s="104" t="s">
        <v>573</v>
      </c>
      <c r="F200" s="104" t="s">
        <v>573</v>
      </c>
      <c r="G200" s="104" t="s">
        <v>573</v>
      </c>
      <c r="H200" s="104" t="s">
        <v>573</v>
      </c>
      <c r="I200" s="104"/>
      <c r="J200" s="104"/>
      <c r="K200" s="107"/>
      <c r="L200" s="173">
        <v>50</v>
      </c>
      <c r="N200" s="239">
        <f t="shared" si="84"/>
        <v>18.824999999999999</v>
      </c>
      <c r="O200" s="239">
        <f t="shared" si="85"/>
        <v>18.824999999999999</v>
      </c>
      <c r="P200" s="239">
        <f t="shared" si="86"/>
        <v>22.6</v>
      </c>
      <c r="Q200" s="239">
        <f t="shared" si="87"/>
        <v>18.95</v>
      </c>
      <c r="R200" s="239">
        <f t="shared" si="88"/>
        <v>24.95</v>
      </c>
      <c r="S200" s="239">
        <f t="shared" si="89"/>
        <v>21.5</v>
      </c>
      <c r="T200" s="239">
        <f t="shared" si="90"/>
        <v>24.15</v>
      </c>
    </row>
    <row r="201" spans="1:20">
      <c r="A201" s="109" t="s">
        <v>574</v>
      </c>
      <c r="B201" s="109" t="s">
        <v>575</v>
      </c>
      <c r="C201" s="118"/>
      <c r="D201" s="104" t="s">
        <v>576</v>
      </c>
      <c r="E201" s="104" t="s">
        <v>576</v>
      </c>
      <c r="F201" s="104" t="s">
        <v>576</v>
      </c>
      <c r="G201" s="104" t="s">
        <v>576</v>
      </c>
      <c r="H201" s="104" t="s">
        <v>576</v>
      </c>
      <c r="I201" s="104"/>
      <c r="J201" s="104"/>
      <c r="K201" s="107"/>
      <c r="L201" s="173">
        <v>20</v>
      </c>
      <c r="N201" s="239">
        <f t="shared" si="84"/>
        <v>7.53</v>
      </c>
      <c r="O201" s="239">
        <f t="shared" si="85"/>
        <v>7.53</v>
      </c>
      <c r="P201" s="239">
        <f t="shared" si="86"/>
        <v>9.0400000000000009</v>
      </c>
      <c r="Q201" s="239">
        <f t="shared" si="87"/>
        <v>7.58</v>
      </c>
      <c r="R201" s="239">
        <f t="shared" si="88"/>
        <v>9.98</v>
      </c>
      <c r="S201" s="239">
        <f t="shared" si="89"/>
        <v>8.6</v>
      </c>
      <c r="T201" s="239">
        <f t="shared" si="90"/>
        <v>9.66</v>
      </c>
    </row>
    <row r="202" spans="1:20">
      <c r="A202" s="109" t="s">
        <v>326</v>
      </c>
      <c r="B202" s="109" t="s">
        <v>327</v>
      </c>
      <c r="C202" s="118"/>
      <c r="D202" s="105" t="s">
        <v>328</v>
      </c>
      <c r="E202" s="105" t="s">
        <v>328</v>
      </c>
      <c r="F202" s="105" t="s">
        <v>328</v>
      </c>
      <c r="G202" s="105" t="s">
        <v>328</v>
      </c>
      <c r="H202" s="105" t="s">
        <v>328</v>
      </c>
      <c r="I202" s="105"/>
      <c r="J202" s="105"/>
      <c r="K202" s="118"/>
      <c r="L202" s="173">
        <v>158</v>
      </c>
      <c r="N202" s="239">
        <f t="shared" si="84"/>
        <v>59.487000000000002</v>
      </c>
      <c r="O202" s="239">
        <f t="shared" si="85"/>
        <v>59.487000000000002</v>
      </c>
      <c r="P202" s="239">
        <f t="shared" si="86"/>
        <v>71.415999999999997</v>
      </c>
      <c r="Q202" s="239">
        <f t="shared" si="87"/>
        <v>59.881999999999998</v>
      </c>
      <c r="R202" s="239">
        <f t="shared" si="88"/>
        <v>78.841999999999999</v>
      </c>
      <c r="S202" s="239">
        <f t="shared" si="89"/>
        <v>67.94</v>
      </c>
      <c r="T202" s="239">
        <f t="shared" si="90"/>
        <v>76.313999999999993</v>
      </c>
    </row>
    <row r="203" spans="1:20">
      <c r="A203" s="109" t="s">
        <v>1682</v>
      </c>
      <c r="B203" s="109" t="s">
        <v>1666</v>
      </c>
      <c r="C203" s="118"/>
      <c r="D203" s="109" t="s">
        <v>1707</v>
      </c>
      <c r="E203" s="109" t="s">
        <v>1707</v>
      </c>
      <c r="F203" s="109" t="s">
        <v>1707</v>
      </c>
      <c r="G203" s="109" t="s">
        <v>1707</v>
      </c>
      <c r="H203" s="109" t="s">
        <v>1707</v>
      </c>
      <c r="I203" s="105"/>
      <c r="J203" s="105"/>
      <c r="K203" s="118"/>
      <c r="L203" s="173">
        <v>22</v>
      </c>
      <c r="N203" s="239">
        <f t="shared" ref="N203:N204" si="105">L203*$N$8</f>
        <v>8.2829999999999995</v>
      </c>
      <c r="O203" s="239">
        <f t="shared" ref="O203:O204" si="106">L203*$O$8</f>
        <v>8.2829999999999995</v>
      </c>
      <c r="P203" s="239">
        <f t="shared" ref="P203:P204" si="107">L203*$P$8</f>
        <v>9.9440000000000008</v>
      </c>
      <c r="Q203" s="239">
        <f t="shared" ref="Q203:Q204" si="108">L203*$Q$8</f>
        <v>8.338000000000001</v>
      </c>
      <c r="R203" s="239">
        <f t="shared" ref="R203:R204" si="109">L203*$R$8</f>
        <v>10.978</v>
      </c>
      <c r="S203" s="239">
        <f t="shared" ref="S203:S204" si="110">L203*$S$8</f>
        <v>9.4599999999999991</v>
      </c>
      <c r="T203" s="239">
        <f t="shared" ref="T203:T204" si="111">L203*$T$8</f>
        <v>10.625999999999999</v>
      </c>
    </row>
    <row r="204" spans="1:20" ht="25.5">
      <c r="A204" s="109" t="s">
        <v>329</v>
      </c>
      <c r="B204" s="109" t="s">
        <v>330</v>
      </c>
      <c r="C204" s="118"/>
      <c r="D204" s="109" t="s">
        <v>1711</v>
      </c>
      <c r="E204" s="109" t="s">
        <v>1711</v>
      </c>
      <c r="F204" s="109" t="s">
        <v>1711</v>
      </c>
      <c r="G204" s="109" t="s">
        <v>1711</v>
      </c>
      <c r="H204" s="109" t="s">
        <v>1711</v>
      </c>
      <c r="I204" s="105"/>
      <c r="J204" s="105"/>
      <c r="K204" s="118"/>
      <c r="L204" s="173">
        <v>52</v>
      </c>
      <c r="N204" s="239">
        <f t="shared" si="105"/>
        <v>19.577999999999999</v>
      </c>
      <c r="O204" s="239">
        <f t="shared" si="106"/>
        <v>19.577999999999999</v>
      </c>
      <c r="P204" s="239">
        <f t="shared" si="107"/>
        <v>23.504000000000001</v>
      </c>
      <c r="Q204" s="239">
        <f t="shared" si="108"/>
        <v>19.707999999999998</v>
      </c>
      <c r="R204" s="239">
        <f t="shared" si="109"/>
        <v>25.948</v>
      </c>
      <c r="S204" s="239">
        <f t="shared" si="110"/>
        <v>22.36</v>
      </c>
      <c r="T204" s="239">
        <f t="shared" si="111"/>
        <v>25.116</v>
      </c>
    </row>
    <row r="205" spans="1:20">
      <c r="A205" s="113"/>
      <c r="B205" s="114"/>
      <c r="C205" s="115"/>
      <c r="D205" s="116"/>
      <c r="E205" s="116"/>
      <c r="F205" s="116"/>
      <c r="G205" s="116"/>
      <c r="H205" s="116"/>
      <c r="I205" s="116"/>
      <c r="J205" s="116"/>
      <c r="K205" s="182"/>
      <c r="L205" s="173"/>
      <c r="N205" s="239"/>
      <c r="O205" s="239"/>
      <c r="P205" s="239"/>
      <c r="Q205" s="239"/>
      <c r="R205" s="239"/>
      <c r="S205" s="239"/>
      <c r="T205" s="239"/>
    </row>
    <row r="206" spans="1:20" s="13" customFormat="1" ht="20.25">
      <c r="A206" s="96" t="s">
        <v>577</v>
      </c>
      <c r="B206" s="96"/>
      <c r="C206" s="97"/>
      <c r="D206" s="98"/>
      <c r="E206" s="98"/>
      <c r="F206" s="98"/>
      <c r="G206" s="98"/>
      <c r="H206" s="98"/>
      <c r="I206" s="98"/>
      <c r="J206" s="98"/>
      <c r="K206" s="96"/>
      <c r="L206" s="98"/>
      <c r="N206" s="245" t="s">
        <v>1596</v>
      </c>
      <c r="O206" s="245" t="s">
        <v>1597</v>
      </c>
      <c r="P206" s="245" t="s">
        <v>1598</v>
      </c>
      <c r="Q206" s="245" t="s">
        <v>1599</v>
      </c>
      <c r="R206" s="245" t="s">
        <v>1600</v>
      </c>
      <c r="S206" s="245" t="s">
        <v>1601</v>
      </c>
      <c r="T206" s="245" t="s">
        <v>1602</v>
      </c>
    </row>
    <row r="207" spans="1:20" s="13" customFormat="1" ht="87" customHeight="1">
      <c r="A207" s="14" t="s">
        <v>117</v>
      </c>
      <c r="B207" s="14" t="s">
        <v>118</v>
      </c>
      <c r="C207" s="14" t="s">
        <v>119</v>
      </c>
      <c r="D207" s="14"/>
      <c r="E207" s="14"/>
      <c r="F207" s="14"/>
      <c r="G207" s="14"/>
      <c r="H207" s="14"/>
      <c r="I207" s="14"/>
      <c r="J207" s="14"/>
      <c r="K207" s="14" t="s">
        <v>120</v>
      </c>
      <c r="L207" s="14" t="s">
        <v>1604</v>
      </c>
      <c r="N207" s="246" t="s">
        <v>1605</v>
      </c>
      <c r="O207" s="246" t="s">
        <v>1605</v>
      </c>
      <c r="P207" s="246" t="s">
        <v>1605</v>
      </c>
      <c r="Q207" s="246" t="s">
        <v>1605</v>
      </c>
      <c r="R207" s="246" t="s">
        <v>1605</v>
      </c>
      <c r="S207" s="246" t="s">
        <v>1605</v>
      </c>
      <c r="T207" s="246" t="s">
        <v>1605</v>
      </c>
    </row>
    <row r="208" spans="1:20" ht="152.44999999999999" customHeight="1">
      <c r="A208" s="113" t="s">
        <v>578</v>
      </c>
      <c r="B208" s="114" t="s">
        <v>579</v>
      </c>
      <c r="C208" s="115"/>
      <c r="D208" s="116"/>
      <c r="E208" s="116"/>
      <c r="F208" s="116"/>
      <c r="G208" s="116"/>
      <c r="H208" s="116"/>
      <c r="I208" s="116"/>
      <c r="J208" s="116"/>
      <c r="K208" s="182"/>
      <c r="L208" s="173">
        <v>548</v>
      </c>
      <c r="N208" s="239">
        <f t="shared" si="84"/>
        <v>206.322</v>
      </c>
      <c r="O208" s="239">
        <f t="shared" si="85"/>
        <v>206.322</v>
      </c>
      <c r="P208" s="239">
        <f t="shared" si="86"/>
        <v>247.696</v>
      </c>
      <c r="Q208" s="239">
        <f t="shared" si="87"/>
        <v>207.69200000000001</v>
      </c>
      <c r="R208" s="239">
        <f t="shared" si="88"/>
        <v>273.452</v>
      </c>
      <c r="S208" s="239">
        <f t="shared" si="89"/>
        <v>235.64</v>
      </c>
      <c r="T208" s="239">
        <f t="shared" si="90"/>
        <v>264.68399999999997</v>
      </c>
    </row>
    <row r="209" spans="1:20" ht="13.5" customHeight="1">
      <c r="A209" s="113"/>
      <c r="B209" s="114"/>
      <c r="C209" s="115"/>
      <c r="D209" s="116"/>
      <c r="E209" s="116"/>
      <c r="F209" s="116"/>
      <c r="G209" s="116"/>
      <c r="H209" s="116"/>
      <c r="I209" s="116"/>
      <c r="J209" s="116"/>
      <c r="K209" s="182"/>
      <c r="L209" s="173"/>
      <c r="N209" s="239"/>
      <c r="O209" s="239"/>
      <c r="P209" s="239"/>
      <c r="Q209" s="239"/>
      <c r="R209" s="239"/>
      <c r="S209" s="239"/>
      <c r="T209" s="239"/>
    </row>
    <row r="210" spans="1:20" ht="142.5" customHeight="1">
      <c r="A210" s="113" t="s">
        <v>580</v>
      </c>
      <c r="B210" s="114" t="s">
        <v>581</v>
      </c>
      <c r="C210" s="115"/>
      <c r="D210" s="116"/>
      <c r="E210" s="116"/>
      <c r="F210" s="116"/>
      <c r="G210" s="116"/>
      <c r="H210" s="116"/>
      <c r="I210" s="116"/>
      <c r="J210" s="116"/>
      <c r="K210" s="182"/>
      <c r="L210" s="173">
        <v>531</v>
      </c>
      <c r="N210" s="239">
        <f t="shared" si="84"/>
        <v>199.92150000000001</v>
      </c>
      <c r="O210" s="239">
        <f t="shared" si="85"/>
        <v>199.92150000000001</v>
      </c>
      <c r="P210" s="239">
        <f t="shared" si="86"/>
        <v>240.012</v>
      </c>
      <c r="Q210" s="239">
        <f t="shared" si="87"/>
        <v>201.249</v>
      </c>
      <c r="R210" s="239">
        <f t="shared" si="88"/>
        <v>264.96899999999999</v>
      </c>
      <c r="S210" s="239">
        <f t="shared" si="89"/>
        <v>228.32999999999998</v>
      </c>
      <c r="T210" s="239">
        <f t="shared" si="90"/>
        <v>256.47300000000001</v>
      </c>
    </row>
    <row r="211" spans="1:20" ht="14.25" customHeight="1">
      <c r="A211" s="113"/>
      <c r="B211" s="114"/>
      <c r="C211" s="115"/>
      <c r="D211" s="116"/>
      <c r="E211" s="116"/>
      <c r="F211" s="116"/>
      <c r="G211" s="116"/>
      <c r="H211" s="116"/>
      <c r="I211" s="116"/>
      <c r="J211" s="116"/>
      <c r="K211" s="182"/>
      <c r="L211" s="173"/>
      <c r="N211" s="239"/>
      <c r="O211" s="239"/>
      <c r="P211" s="239"/>
      <c r="Q211" s="239"/>
      <c r="R211" s="239"/>
      <c r="S211" s="239"/>
      <c r="T211" s="239"/>
    </row>
    <row r="212" spans="1:20" ht="161.25" customHeight="1">
      <c r="A212" s="113" t="s">
        <v>582</v>
      </c>
      <c r="B212" s="114" t="s">
        <v>583</v>
      </c>
      <c r="C212" s="115"/>
      <c r="D212" s="116"/>
      <c r="E212" s="116"/>
      <c r="F212" s="116"/>
      <c r="G212" s="116"/>
      <c r="H212" s="116"/>
      <c r="I212" s="116"/>
      <c r="J212" s="116"/>
      <c r="K212" s="182"/>
      <c r="L212" s="173">
        <v>548</v>
      </c>
      <c r="N212" s="239">
        <f t="shared" ref="N212:N269" si="112">L212*$N$8</f>
        <v>206.322</v>
      </c>
      <c r="O212" s="239">
        <f t="shared" ref="O212:O269" si="113">L212*$O$8</f>
        <v>206.322</v>
      </c>
      <c r="P212" s="239">
        <f t="shared" ref="P212:P269" si="114">L212*$P$8</f>
        <v>247.696</v>
      </c>
      <c r="Q212" s="239">
        <f t="shared" ref="Q212:Q269" si="115">L212*$Q$8</f>
        <v>207.69200000000001</v>
      </c>
      <c r="R212" s="239">
        <f t="shared" ref="R212:R269" si="116">L212*$R$8</f>
        <v>273.452</v>
      </c>
      <c r="S212" s="239">
        <f t="shared" ref="S212:S269" si="117">L212*$S$8</f>
        <v>235.64</v>
      </c>
      <c r="T212" s="239">
        <f t="shared" ref="T212:T269" si="118">L212*$T$8</f>
        <v>264.68399999999997</v>
      </c>
    </row>
    <row r="213" spans="1:20" ht="14.45" customHeight="1">
      <c r="A213" s="113"/>
      <c r="B213" s="114"/>
      <c r="C213" s="115"/>
      <c r="D213" s="116"/>
      <c r="E213" s="116"/>
      <c r="F213" s="116"/>
      <c r="G213" s="116"/>
      <c r="H213" s="116"/>
      <c r="I213" s="116"/>
      <c r="J213" s="116"/>
      <c r="K213" s="182"/>
      <c r="L213" s="173"/>
      <c r="N213" s="239"/>
      <c r="O213" s="239"/>
      <c r="P213" s="239"/>
      <c r="Q213" s="239"/>
      <c r="R213" s="239"/>
      <c r="S213" s="239"/>
      <c r="T213" s="239"/>
    </row>
    <row r="214" spans="1:20" ht="146.44999999999999" customHeight="1">
      <c r="A214" s="113" t="s">
        <v>584</v>
      </c>
      <c r="B214" s="114" t="s">
        <v>585</v>
      </c>
      <c r="C214" s="115"/>
      <c r="D214" s="116"/>
      <c r="E214" s="116"/>
      <c r="F214" s="116"/>
      <c r="G214" s="116"/>
      <c r="H214" s="116"/>
      <c r="I214" s="116"/>
      <c r="J214" s="116"/>
      <c r="K214" s="182"/>
      <c r="L214" s="173">
        <v>531</v>
      </c>
      <c r="N214" s="239">
        <f t="shared" si="112"/>
        <v>199.92150000000001</v>
      </c>
      <c r="O214" s="239">
        <f t="shared" si="113"/>
        <v>199.92150000000001</v>
      </c>
      <c r="P214" s="239">
        <f t="shared" si="114"/>
        <v>240.012</v>
      </c>
      <c r="Q214" s="239">
        <f t="shared" si="115"/>
        <v>201.249</v>
      </c>
      <c r="R214" s="239">
        <f t="shared" si="116"/>
        <v>264.96899999999999</v>
      </c>
      <c r="S214" s="239">
        <f t="shared" si="117"/>
        <v>228.32999999999998</v>
      </c>
      <c r="T214" s="239">
        <f t="shared" si="118"/>
        <v>256.47300000000001</v>
      </c>
    </row>
    <row r="215" spans="1:20">
      <c r="A215" s="113"/>
      <c r="B215" s="114"/>
      <c r="C215" s="115"/>
      <c r="D215" s="116"/>
      <c r="E215" s="116"/>
      <c r="F215" s="116"/>
      <c r="G215" s="116"/>
      <c r="H215" s="116"/>
      <c r="I215" s="116"/>
      <c r="J215" s="116"/>
      <c r="K215" s="182"/>
      <c r="L215" s="173"/>
      <c r="N215" s="239"/>
      <c r="O215" s="239"/>
      <c r="P215" s="239"/>
      <c r="Q215" s="239"/>
      <c r="R215" s="239"/>
      <c r="S215" s="239"/>
      <c r="T215" s="239"/>
    </row>
    <row r="216" spans="1:20" ht="141.94999999999999" customHeight="1">
      <c r="A216" s="109" t="s">
        <v>1583</v>
      </c>
      <c r="B216" s="114" t="s">
        <v>587</v>
      </c>
      <c r="C216" s="115"/>
      <c r="D216" s="116"/>
      <c r="E216" s="116"/>
      <c r="F216" s="116"/>
      <c r="G216" s="116"/>
      <c r="H216" s="116"/>
      <c r="I216" s="116"/>
      <c r="J216" s="116"/>
      <c r="K216" s="182"/>
      <c r="L216" s="173">
        <v>556</v>
      </c>
      <c r="N216" s="239">
        <f t="shared" si="112"/>
        <v>209.334</v>
      </c>
      <c r="O216" s="239">
        <f t="shared" si="113"/>
        <v>209.334</v>
      </c>
      <c r="P216" s="239">
        <f t="shared" si="114"/>
        <v>251.31200000000001</v>
      </c>
      <c r="Q216" s="239">
        <f t="shared" si="115"/>
        <v>210.72399999999999</v>
      </c>
      <c r="R216" s="239">
        <f t="shared" si="116"/>
        <v>277.44400000000002</v>
      </c>
      <c r="S216" s="239">
        <f t="shared" si="117"/>
        <v>239.07999999999998</v>
      </c>
      <c r="T216" s="239">
        <f t="shared" si="118"/>
        <v>268.548</v>
      </c>
    </row>
    <row r="217" spans="1:20" ht="12.75" customHeight="1">
      <c r="A217" s="113"/>
      <c r="B217" s="114"/>
      <c r="C217" s="115"/>
      <c r="D217" s="116"/>
      <c r="E217" s="116"/>
      <c r="F217" s="116"/>
      <c r="G217" s="116"/>
      <c r="H217" s="116"/>
      <c r="I217" s="116"/>
      <c r="J217" s="116"/>
      <c r="K217" s="182"/>
      <c r="L217" s="173"/>
      <c r="N217" s="239"/>
      <c r="O217" s="239"/>
      <c r="P217" s="239"/>
      <c r="Q217" s="239"/>
      <c r="R217" s="239"/>
      <c r="S217" s="239"/>
      <c r="T217" s="239"/>
    </row>
    <row r="218" spans="1:20" ht="150.94999999999999" customHeight="1">
      <c r="A218" s="113" t="s">
        <v>1584</v>
      </c>
      <c r="B218" s="114" t="s">
        <v>589</v>
      </c>
      <c r="C218" s="115"/>
      <c r="D218" s="116"/>
      <c r="E218" s="116"/>
      <c r="F218" s="116"/>
      <c r="G218" s="116"/>
      <c r="H218" s="116"/>
      <c r="I218" s="116"/>
      <c r="J218" s="116"/>
      <c r="K218" s="182"/>
      <c r="L218" s="173">
        <v>537</v>
      </c>
      <c r="N218" s="239">
        <f t="shared" si="112"/>
        <v>202.18049999999999</v>
      </c>
      <c r="O218" s="239">
        <f t="shared" si="113"/>
        <v>202.18049999999999</v>
      </c>
      <c r="P218" s="239">
        <f t="shared" si="114"/>
        <v>242.72400000000002</v>
      </c>
      <c r="Q218" s="239">
        <f t="shared" si="115"/>
        <v>203.523</v>
      </c>
      <c r="R218" s="239">
        <f t="shared" si="116"/>
        <v>267.96300000000002</v>
      </c>
      <c r="S218" s="239">
        <f t="shared" si="117"/>
        <v>230.91</v>
      </c>
      <c r="T218" s="239">
        <f t="shared" si="118"/>
        <v>259.37099999999998</v>
      </c>
    </row>
    <row r="219" spans="1:20" ht="31.5">
      <c r="A219" s="113"/>
      <c r="B219" s="114"/>
      <c r="C219" s="115"/>
      <c r="D219" s="116"/>
      <c r="E219" s="116"/>
      <c r="F219" s="116"/>
      <c r="G219" s="116"/>
      <c r="H219" s="116"/>
      <c r="I219" s="116"/>
      <c r="J219" s="116"/>
      <c r="K219" s="182"/>
      <c r="L219" s="173"/>
      <c r="N219" s="153" t="s">
        <v>1596</v>
      </c>
      <c r="O219" s="153" t="s">
        <v>1597</v>
      </c>
      <c r="P219" s="153" t="s">
        <v>1598</v>
      </c>
      <c r="Q219" s="153" t="s">
        <v>1599</v>
      </c>
      <c r="R219" s="153" t="s">
        <v>1600</v>
      </c>
      <c r="S219" s="153" t="s">
        <v>1601</v>
      </c>
      <c r="T219" s="153" t="s">
        <v>1602</v>
      </c>
    </row>
    <row r="220" spans="1:20" ht="25.5">
      <c r="A220" s="15" t="s">
        <v>590</v>
      </c>
      <c r="B220" s="14" t="s">
        <v>338</v>
      </c>
      <c r="C220" s="14" t="s">
        <v>119</v>
      </c>
      <c r="D220" s="14" t="s">
        <v>591</v>
      </c>
      <c r="E220" s="14" t="s">
        <v>592</v>
      </c>
      <c r="F220" s="14" t="s">
        <v>593</v>
      </c>
      <c r="G220" s="14" t="s">
        <v>594</v>
      </c>
      <c r="H220" s="14" t="s">
        <v>595</v>
      </c>
      <c r="I220" s="14" t="s">
        <v>596</v>
      </c>
      <c r="J220" s="14"/>
      <c r="K220" s="14" t="s">
        <v>120</v>
      </c>
      <c r="L220" s="175" t="s">
        <v>938</v>
      </c>
      <c r="N220" s="154" t="s">
        <v>1605</v>
      </c>
      <c r="O220" s="154" t="s">
        <v>1605</v>
      </c>
      <c r="P220" s="154" t="s">
        <v>1605</v>
      </c>
      <c r="Q220" s="154" t="s">
        <v>1605</v>
      </c>
      <c r="R220" s="154" t="s">
        <v>1605</v>
      </c>
      <c r="S220" s="154" t="s">
        <v>1605</v>
      </c>
      <c r="T220" s="154" t="s">
        <v>1605</v>
      </c>
    </row>
    <row r="221" spans="1:20">
      <c r="A221" s="89" t="s">
        <v>597</v>
      </c>
      <c r="B221" s="90"/>
      <c r="C221" s="90"/>
      <c r="D221" s="91"/>
      <c r="E221" s="91"/>
      <c r="F221" s="91"/>
      <c r="G221" s="91"/>
      <c r="H221" s="91"/>
      <c r="I221" s="91"/>
      <c r="J221" s="91"/>
      <c r="K221" s="90"/>
      <c r="L221" s="168"/>
      <c r="N221" s="238"/>
      <c r="O221" s="238"/>
      <c r="P221" s="238"/>
      <c r="Q221" s="238"/>
      <c r="R221" s="238"/>
      <c r="S221" s="238"/>
      <c r="T221" s="238"/>
    </row>
    <row r="222" spans="1:20" ht="38.25">
      <c r="A222" s="109" t="s">
        <v>598</v>
      </c>
      <c r="B222" s="63" t="s">
        <v>599</v>
      </c>
      <c r="C222" s="118" t="s">
        <v>350</v>
      </c>
      <c r="D222" s="64" t="s">
        <v>600</v>
      </c>
      <c r="E222" s="64"/>
      <c r="F222" s="64" t="s">
        <v>601</v>
      </c>
      <c r="G222" s="64"/>
      <c r="H222" s="64" t="s">
        <v>602</v>
      </c>
      <c r="I222" s="105"/>
      <c r="J222" s="105"/>
      <c r="K222" s="118"/>
      <c r="L222" s="173">
        <v>108</v>
      </c>
      <c r="N222" s="239">
        <f t="shared" si="112"/>
        <v>40.661999999999999</v>
      </c>
      <c r="O222" s="239">
        <f t="shared" si="113"/>
        <v>40.661999999999999</v>
      </c>
      <c r="P222" s="239">
        <f t="shared" si="114"/>
        <v>48.816000000000003</v>
      </c>
      <c r="Q222" s="239">
        <f t="shared" si="115"/>
        <v>40.932000000000002</v>
      </c>
      <c r="R222" s="239">
        <f t="shared" si="116"/>
        <v>53.892000000000003</v>
      </c>
      <c r="S222" s="239">
        <f t="shared" si="117"/>
        <v>46.44</v>
      </c>
      <c r="T222" s="239">
        <f t="shared" si="118"/>
        <v>52.164000000000001</v>
      </c>
    </row>
    <row r="223" spans="1:20">
      <c r="A223" s="109" t="s">
        <v>603</v>
      </c>
      <c r="B223" s="63" t="s">
        <v>604</v>
      </c>
      <c r="C223" s="118"/>
      <c r="D223" s="64" t="s">
        <v>605</v>
      </c>
      <c r="E223" s="64"/>
      <c r="F223" s="64"/>
      <c r="G223" s="64"/>
      <c r="H223" s="64"/>
      <c r="I223" s="105"/>
      <c r="J223" s="105"/>
      <c r="K223" s="118"/>
      <c r="L223" s="173">
        <v>188</v>
      </c>
      <c r="N223" s="239">
        <f t="shared" si="112"/>
        <v>70.781999999999996</v>
      </c>
      <c r="O223" s="239">
        <f t="shared" si="113"/>
        <v>70.781999999999996</v>
      </c>
      <c r="P223" s="239">
        <f t="shared" si="114"/>
        <v>84.975999999999999</v>
      </c>
      <c r="Q223" s="239">
        <f t="shared" si="115"/>
        <v>71.251999999999995</v>
      </c>
      <c r="R223" s="239">
        <f t="shared" si="116"/>
        <v>93.811999999999998</v>
      </c>
      <c r="S223" s="239">
        <f t="shared" si="117"/>
        <v>80.84</v>
      </c>
      <c r="T223" s="239">
        <f t="shared" si="118"/>
        <v>90.804000000000002</v>
      </c>
    </row>
    <row r="224" spans="1:20" ht="27.6" customHeight="1">
      <c r="A224" s="109" t="s">
        <v>606</v>
      </c>
      <c r="B224" s="63" t="s">
        <v>607</v>
      </c>
      <c r="C224" s="118" t="s">
        <v>350</v>
      </c>
      <c r="D224" s="64" t="s">
        <v>608</v>
      </c>
      <c r="E224" s="64"/>
      <c r="F224" s="64" t="s">
        <v>609</v>
      </c>
      <c r="G224" s="64"/>
      <c r="H224" s="64" t="s">
        <v>610</v>
      </c>
      <c r="I224" s="105"/>
      <c r="J224" s="105"/>
      <c r="K224" s="118"/>
      <c r="L224" s="173">
        <v>119</v>
      </c>
      <c r="N224" s="239">
        <f t="shared" si="112"/>
        <v>44.8035</v>
      </c>
      <c r="O224" s="239">
        <f t="shared" si="113"/>
        <v>44.8035</v>
      </c>
      <c r="P224" s="239">
        <f t="shared" si="114"/>
        <v>53.788000000000004</v>
      </c>
      <c r="Q224" s="239">
        <f t="shared" si="115"/>
        <v>45.100999999999999</v>
      </c>
      <c r="R224" s="239">
        <f t="shared" si="116"/>
        <v>59.381</v>
      </c>
      <c r="S224" s="239">
        <f t="shared" si="117"/>
        <v>51.17</v>
      </c>
      <c r="T224" s="239">
        <f t="shared" si="118"/>
        <v>57.476999999999997</v>
      </c>
    </row>
    <row r="225" spans="1:20">
      <c r="A225" s="109" t="s">
        <v>71</v>
      </c>
      <c r="B225" s="63" t="s">
        <v>611</v>
      </c>
      <c r="C225" s="118"/>
      <c r="D225" s="64" t="s">
        <v>612</v>
      </c>
      <c r="E225" s="64"/>
      <c r="F225" s="64"/>
      <c r="G225" s="64"/>
      <c r="H225" s="64"/>
      <c r="I225" s="105"/>
      <c r="J225" s="105"/>
      <c r="K225" s="118"/>
      <c r="L225" s="173">
        <v>199</v>
      </c>
      <c r="N225" s="239">
        <f t="shared" si="112"/>
        <v>74.923500000000004</v>
      </c>
      <c r="O225" s="239">
        <f t="shared" si="113"/>
        <v>74.923500000000004</v>
      </c>
      <c r="P225" s="239">
        <f t="shared" si="114"/>
        <v>89.948000000000008</v>
      </c>
      <c r="Q225" s="239">
        <f t="shared" si="115"/>
        <v>75.421000000000006</v>
      </c>
      <c r="R225" s="239">
        <f t="shared" si="116"/>
        <v>99.301000000000002</v>
      </c>
      <c r="S225" s="239">
        <f t="shared" si="117"/>
        <v>85.57</v>
      </c>
      <c r="T225" s="239">
        <f t="shared" si="118"/>
        <v>96.11699999999999</v>
      </c>
    </row>
    <row r="226" spans="1:20" ht="25.5">
      <c r="A226" s="109" t="s">
        <v>613</v>
      </c>
      <c r="B226" s="109" t="s">
        <v>614</v>
      </c>
      <c r="C226" s="118" t="s">
        <v>350</v>
      </c>
      <c r="D226" s="105"/>
      <c r="E226" s="105"/>
      <c r="F226" s="105" t="s">
        <v>615</v>
      </c>
      <c r="G226" s="105"/>
      <c r="H226" s="105" t="s">
        <v>616</v>
      </c>
      <c r="I226" s="105"/>
      <c r="J226" s="105"/>
      <c r="K226" s="118"/>
      <c r="L226" s="173">
        <v>254</v>
      </c>
      <c r="N226" s="239">
        <f t="shared" si="112"/>
        <v>95.631</v>
      </c>
      <c r="O226" s="239">
        <f t="shared" si="113"/>
        <v>95.631</v>
      </c>
      <c r="P226" s="239">
        <f t="shared" si="114"/>
        <v>114.80800000000001</v>
      </c>
      <c r="Q226" s="239">
        <f t="shared" si="115"/>
        <v>96.266000000000005</v>
      </c>
      <c r="R226" s="239">
        <f t="shared" si="116"/>
        <v>126.746</v>
      </c>
      <c r="S226" s="239">
        <f t="shared" si="117"/>
        <v>109.22</v>
      </c>
      <c r="T226" s="239">
        <f t="shared" si="118"/>
        <v>122.682</v>
      </c>
    </row>
    <row r="227" spans="1:20">
      <c r="A227" s="113"/>
      <c r="B227" s="114"/>
      <c r="C227" s="115"/>
      <c r="D227" s="116"/>
      <c r="E227" s="116"/>
      <c r="F227" s="116"/>
      <c r="G227" s="116"/>
      <c r="H227" s="116"/>
      <c r="I227" s="116"/>
      <c r="J227" s="116"/>
      <c r="K227" s="182"/>
      <c r="L227" s="173"/>
      <c r="N227" s="239"/>
      <c r="O227" s="239"/>
      <c r="P227" s="239"/>
      <c r="Q227" s="239"/>
      <c r="R227" s="239"/>
      <c r="S227" s="239"/>
      <c r="T227" s="239"/>
    </row>
    <row r="228" spans="1:20">
      <c r="A228" s="89" t="s">
        <v>617</v>
      </c>
      <c r="B228" s="90"/>
      <c r="C228" s="90"/>
      <c r="D228" s="91"/>
      <c r="E228" s="91"/>
      <c r="F228" s="91"/>
      <c r="G228" s="91"/>
      <c r="H228" s="91"/>
      <c r="I228" s="91"/>
      <c r="J228" s="91"/>
      <c r="K228" s="90"/>
      <c r="L228" s="168"/>
      <c r="N228" s="238"/>
      <c r="O228" s="238"/>
      <c r="P228" s="238"/>
      <c r="Q228" s="238"/>
      <c r="R228" s="238"/>
      <c r="S228" s="238"/>
      <c r="T228" s="238"/>
    </row>
    <row r="229" spans="1:20" ht="38.25">
      <c r="A229" s="109" t="s">
        <v>77</v>
      </c>
      <c r="B229" s="109" t="s">
        <v>618</v>
      </c>
      <c r="C229" s="118"/>
      <c r="D229" s="118"/>
      <c r="E229" s="234" t="s">
        <v>619</v>
      </c>
      <c r="F229" s="118"/>
      <c r="G229" s="118" t="s">
        <v>620</v>
      </c>
      <c r="H229" s="118"/>
      <c r="I229" s="118" t="s">
        <v>621</v>
      </c>
      <c r="J229" s="118"/>
      <c r="K229" s="118"/>
      <c r="L229" s="173">
        <v>95</v>
      </c>
      <c r="N229" s="239">
        <f t="shared" si="112"/>
        <v>35.767499999999998</v>
      </c>
      <c r="O229" s="239">
        <f t="shared" si="113"/>
        <v>35.767499999999998</v>
      </c>
      <c r="P229" s="239">
        <f t="shared" si="114"/>
        <v>42.94</v>
      </c>
      <c r="Q229" s="239">
        <f t="shared" si="115"/>
        <v>36.005000000000003</v>
      </c>
      <c r="R229" s="239">
        <f t="shared" si="116"/>
        <v>47.405000000000001</v>
      </c>
      <c r="S229" s="239">
        <f t="shared" si="117"/>
        <v>40.85</v>
      </c>
      <c r="T229" s="239">
        <f t="shared" si="118"/>
        <v>45.884999999999998</v>
      </c>
    </row>
    <row r="230" spans="1:20">
      <c r="A230" s="109" t="s">
        <v>78</v>
      </c>
      <c r="B230" s="109" t="s">
        <v>622</v>
      </c>
      <c r="C230" s="118"/>
      <c r="D230" s="118"/>
      <c r="E230" s="234" t="s">
        <v>623</v>
      </c>
      <c r="F230" s="118"/>
      <c r="G230" s="118"/>
      <c r="H230" s="118"/>
      <c r="I230" s="118"/>
      <c r="J230" s="118"/>
      <c r="K230" s="118"/>
      <c r="L230" s="173">
        <v>175</v>
      </c>
      <c r="N230" s="239">
        <f t="shared" si="112"/>
        <v>65.887500000000003</v>
      </c>
      <c r="O230" s="239">
        <f t="shared" si="113"/>
        <v>65.887500000000003</v>
      </c>
      <c r="P230" s="239">
        <f t="shared" si="114"/>
        <v>79.100000000000009</v>
      </c>
      <c r="Q230" s="239">
        <f t="shared" si="115"/>
        <v>66.325000000000003</v>
      </c>
      <c r="R230" s="239">
        <f t="shared" si="116"/>
        <v>87.325000000000003</v>
      </c>
      <c r="S230" s="239">
        <f t="shared" si="117"/>
        <v>75.25</v>
      </c>
      <c r="T230" s="239">
        <f t="shared" si="118"/>
        <v>84.524999999999991</v>
      </c>
    </row>
    <row r="231" spans="1:20">
      <c r="A231" s="113"/>
      <c r="B231" s="114"/>
      <c r="C231" s="115"/>
      <c r="D231" s="116"/>
      <c r="E231" s="116"/>
      <c r="F231" s="116"/>
      <c r="G231" s="116"/>
      <c r="H231" s="116"/>
      <c r="I231" s="116"/>
      <c r="J231" s="116"/>
      <c r="K231" s="182"/>
      <c r="L231" s="173"/>
      <c r="N231" s="239"/>
      <c r="O231" s="239"/>
      <c r="P231" s="239"/>
      <c r="Q231" s="239"/>
      <c r="R231" s="239"/>
      <c r="S231" s="239"/>
      <c r="T231" s="239"/>
    </row>
    <row r="232" spans="1:20">
      <c r="A232" s="89" t="s">
        <v>441</v>
      </c>
      <c r="B232" s="90"/>
      <c r="C232" s="90"/>
      <c r="D232" s="91"/>
      <c r="E232" s="91"/>
      <c r="F232" s="91"/>
      <c r="G232" s="91"/>
      <c r="H232" s="91"/>
      <c r="I232" s="91"/>
      <c r="J232" s="91"/>
      <c r="K232" s="90"/>
      <c r="L232" s="168"/>
      <c r="N232" s="238"/>
      <c r="O232" s="238"/>
      <c r="P232" s="238"/>
      <c r="Q232" s="238"/>
      <c r="R232" s="238"/>
      <c r="S232" s="238"/>
      <c r="T232" s="238"/>
    </row>
    <row r="233" spans="1:20">
      <c r="A233" s="109" t="s">
        <v>624</v>
      </c>
      <c r="B233" s="109" t="s">
        <v>625</v>
      </c>
      <c r="C233" s="118"/>
      <c r="D233" s="105"/>
      <c r="E233" s="105"/>
      <c r="F233" s="105" t="s">
        <v>626</v>
      </c>
      <c r="G233" s="105" t="s">
        <v>627</v>
      </c>
      <c r="H233" s="105" t="s">
        <v>628</v>
      </c>
      <c r="I233" s="105" t="s">
        <v>629</v>
      </c>
      <c r="J233" s="105"/>
      <c r="K233" s="118"/>
      <c r="L233" s="173">
        <v>3</v>
      </c>
      <c r="N233" s="239">
        <f t="shared" si="112"/>
        <v>1.1294999999999999</v>
      </c>
      <c r="O233" s="239">
        <f t="shared" si="113"/>
        <v>1.1294999999999999</v>
      </c>
      <c r="P233" s="239">
        <f t="shared" si="114"/>
        <v>1.3560000000000001</v>
      </c>
      <c r="Q233" s="239">
        <f t="shared" si="115"/>
        <v>1.137</v>
      </c>
      <c r="R233" s="239">
        <f t="shared" si="116"/>
        <v>1.4969999999999999</v>
      </c>
      <c r="S233" s="239">
        <f t="shared" si="117"/>
        <v>1.29</v>
      </c>
      <c r="T233" s="239">
        <f t="shared" si="118"/>
        <v>1.4489999999999998</v>
      </c>
    </row>
    <row r="234" spans="1:20">
      <c r="A234" s="109" t="s">
        <v>630</v>
      </c>
      <c r="B234" s="109" t="s">
        <v>631</v>
      </c>
      <c r="C234" s="118"/>
      <c r="D234" s="105"/>
      <c r="E234" s="105"/>
      <c r="F234" s="105" t="s">
        <v>632</v>
      </c>
      <c r="G234" s="105" t="s">
        <v>633</v>
      </c>
      <c r="H234" s="105" t="s">
        <v>634</v>
      </c>
      <c r="I234" s="105" t="s">
        <v>635</v>
      </c>
      <c r="J234" s="105"/>
      <c r="K234" s="118"/>
      <c r="L234" s="173">
        <v>80</v>
      </c>
      <c r="N234" s="239">
        <f t="shared" si="112"/>
        <v>30.12</v>
      </c>
      <c r="O234" s="239">
        <f t="shared" si="113"/>
        <v>30.12</v>
      </c>
      <c r="P234" s="239">
        <f t="shared" si="114"/>
        <v>36.160000000000004</v>
      </c>
      <c r="Q234" s="239">
        <f t="shared" si="115"/>
        <v>30.32</v>
      </c>
      <c r="R234" s="239">
        <f t="shared" si="116"/>
        <v>39.92</v>
      </c>
      <c r="S234" s="239">
        <f t="shared" si="117"/>
        <v>34.4</v>
      </c>
      <c r="T234" s="239">
        <f t="shared" si="118"/>
        <v>38.64</v>
      </c>
    </row>
    <row r="235" spans="1:20">
      <c r="A235" s="109" t="s">
        <v>636</v>
      </c>
      <c r="B235" s="109" t="s">
        <v>637</v>
      </c>
      <c r="C235" s="118"/>
      <c r="D235" s="105"/>
      <c r="E235" s="105"/>
      <c r="F235" s="105" t="s">
        <v>638</v>
      </c>
      <c r="G235" s="105" t="s">
        <v>639</v>
      </c>
      <c r="H235" s="105" t="s">
        <v>640</v>
      </c>
      <c r="I235" s="105" t="s">
        <v>641</v>
      </c>
      <c r="J235" s="105"/>
      <c r="K235" s="118"/>
      <c r="L235" s="173">
        <v>179</v>
      </c>
      <c r="N235" s="239">
        <f t="shared" si="112"/>
        <v>67.393500000000003</v>
      </c>
      <c r="O235" s="239">
        <f t="shared" si="113"/>
        <v>67.393500000000003</v>
      </c>
      <c r="P235" s="239">
        <f t="shared" si="114"/>
        <v>80.908000000000001</v>
      </c>
      <c r="Q235" s="239">
        <f t="shared" si="115"/>
        <v>67.840999999999994</v>
      </c>
      <c r="R235" s="239">
        <f t="shared" si="116"/>
        <v>89.320999999999998</v>
      </c>
      <c r="S235" s="239">
        <f t="shared" si="117"/>
        <v>76.97</v>
      </c>
      <c r="T235" s="239">
        <f t="shared" si="118"/>
        <v>86.456999999999994</v>
      </c>
    </row>
    <row r="236" spans="1:20">
      <c r="A236" s="113"/>
      <c r="B236" s="114"/>
      <c r="C236" s="115"/>
      <c r="D236" s="116"/>
      <c r="E236" s="116"/>
      <c r="F236" s="116"/>
      <c r="G236" s="116"/>
      <c r="H236" s="116"/>
      <c r="I236" s="116"/>
      <c r="J236" s="116"/>
      <c r="K236" s="182"/>
      <c r="L236" s="173"/>
      <c r="N236" s="239"/>
      <c r="O236" s="239"/>
      <c r="P236" s="239"/>
      <c r="Q236" s="239"/>
      <c r="R236" s="239"/>
      <c r="S236" s="239"/>
      <c r="T236" s="239"/>
    </row>
    <row r="237" spans="1:20">
      <c r="A237" s="89" t="s">
        <v>449</v>
      </c>
      <c r="B237" s="90"/>
      <c r="C237" s="90"/>
      <c r="D237" s="91"/>
      <c r="E237" s="91"/>
      <c r="F237" s="91"/>
      <c r="G237" s="91"/>
      <c r="H237" s="91"/>
      <c r="I237" s="91"/>
      <c r="J237" s="91"/>
      <c r="K237" s="90"/>
      <c r="L237" s="168"/>
      <c r="N237" s="238"/>
      <c r="O237" s="238"/>
      <c r="P237" s="238"/>
      <c r="Q237" s="238"/>
      <c r="R237" s="238"/>
      <c r="S237" s="238"/>
      <c r="T237" s="238"/>
    </row>
    <row r="238" spans="1:20">
      <c r="A238" s="109" t="s">
        <v>450</v>
      </c>
      <c r="B238" s="109" t="s">
        <v>642</v>
      </c>
      <c r="C238" s="118"/>
      <c r="D238" s="105" t="s">
        <v>643</v>
      </c>
      <c r="E238" s="105" t="s">
        <v>644</v>
      </c>
      <c r="F238" s="105"/>
      <c r="G238" s="105"/>
      <c r="H238" s="105"/>
      <c r="I238" s="105"/>
      <c r="J238" s="105"/>
      <c r="K238" s="118"/>
      <c r="L238" s="173">
        <v>0</v>
      </c>
      <c r="N238" s="239">
        <f t="shared" si="112"/>
        <v>0</v>
      </c>
      <c r="O238" s="239">
        <f t="shared" si="113"/>
        <v>0</v>
      </c>
      <c r="P238" s="239">
        <f t="shared" si="114"/>
        <v>0</v>
      </c>
      <c r="Q238" s="239">
        <f t="shared" si="115"/>
        <v>0</v>
      </c>
      <c r="R238" s="239">
        <f t="shared" si="116"/>
        <v>0</v>
      </c>
      <c r="S238" s="239">
        <f t="shared" si="117"/>
        <v>0</v>
      </c>
      <c r="T238" s="239">
        <f t="shared" si="118"/>
        <v>0</v>
      </c>
    </row>
    <row r="239" spans="1:20">
      <c r="A239" s="109" t="s">
        <v>645</v>
      </c>
      <c r="B239" s="109" t="s">
        <v>646</v>
      </c>
      <c r="C239" s="118"/>
      <c r="D239" s="105" t="s">
        <v>647</v>
      </c>
      <c r="E239" s="105"/>
      <c r="F239" s="105"/>
      <c r="G239" s="105"/>
      <c r="H239" s="105"/>
      <c r="I239" s="105"/>
      <c r="J239" s="105"/>
      <c r="K239" s="118"/>
      <c r="L239" s="173">
        <v>0</v>
      </c>
      <c r="N239" s="239">
        <f t="shared" ref="N239" si="119">L239*$N$8</f>
        <v>0</v>
      </c>
      <c r="O239" s="239">
        <f t="shared" ref="O239" si="120">L239*$O$8</f>
        <v>0</v>
      </c>
      <c r="P239" s="239">
        <f t="shared" ref="P239" si="121">L239*$P$8</f>
        <v>0</v>
      </c>
      <c r="Q239" s="239">
        <f t="shared" ref="Q239" si="122">L239*$Q$8</f>
        <v>0</v>
      </c>
      <c r="R239" s="239">
        <f t="shared" ref="R239" si="123">L239*$R$8</f>
        <v>0</v>
      </c>
      <c r="S239" s="239">
        <f t="shared" ref="S239" si="124">L239*$S$8</f>
        <v>0</v>
      </c>
      <c r="T239" s="239">
        <f t="shared" ref="T239" si="125">L239*$T$8</f>
        <v>0</v>
      </c>
    </row>
    <row r="240" spans="1:20">
      <c r="A240" s="109" t="s">
        <v>648</v>
      </c>
      <c r="B240" s="109" t="s">
        <v>649</v>
      </c>
      <c r="C240" s="118"/>
      <c r="D240" s="118"/>
      <c r="E240" s="105" t="s">
        <v>650</v>
      </c>
      <c r="F240" s="105"/>
      <c r="G240" s="105"/>
      <c r="H240" s="105"/>
      <c r="I240" s="105"/>
      <c r="J240" s="105"/>
      <c r="K240" s="118"/>
      <c r="L240" s="173">
        <v>8</v>
      </c>
      <c r="N240" s="239">
        <f t="shared" si="112"/>
        <v>3.012</v>
      </c>
      <c r="O240" s="239">
        <f t="shared" si="113"/>
        <v>3.012</v>
      </c>
      <c r="P240" s="239">
        <f t="shared" si="114"/>
        <v>3.6160000000000001</v>
      </c>
      <c r="Q240" s="239">
        <f t="shared" si="115"/>
        <v>3.032</v>
      </c>
      <c r="R240" s="239">
        <f t="shared" si="116"/>
        <v>3.992</v>
      </c>
      <c r="S240" s="239">
        <f t="shared" si="117"/>
        <v>3.44</v>
      </c>
      <c r="T240" s="239">
        <f t="shared" si="118"/>
        <v>3.8639999999999999</v>
      </c>
    </row>
    <row r="241" spans="1:20">
      <c r="A241" s="109" t="s">
        <v>651</v>
      </c>
      <c r="B241" s="109" t="s">
        <v>652</v>
      </c>
      <c r="C241" s="118"/>
      <c r="D241" s="118" t="s">
        <v>653</v>
      </c>
      <c r="E241" s="105" t="s">
        <v>654</v>
      </c>
      <c r="F241" s="105"/>
      <c r="G241" s="105"/>
      <c r="H241" s="105"/>
      <c r="I241" s="105"/>
      <c r="J241" s="105"/>
      <c r="K241" s="118"/>
      <c r="L241" s="173">
        <v>8</v>
      </c>
      <c r="N241" s="239">
        <f t="shared" si="112"/>
        <v>3.012</v>
      </c>
      <c r="O241" s="239">
        <f t="shared" si="113"/>
        <v>3.012</v>
      </c>
      <c r="P241" s="239">
        <f t="shared" si="114"/>
        <v>3.6160000000000001</v>
      </c>
      <c r="Q241" s="239">
        <f t="shared" si="115"/>
        <v>3.032</v>
      </c>
      <c r="R241" s="239">
        <f t="shared" si="116"/>
        <v>3.992</v>
      </c>
      <c r="S241" s="239">
        <f t="shared" si="117"/>
        <v>3.44</v>
      </c>
      <c r="T241" s="239">
        <f t="shared" si="118"/>
        <v>3.8639999999999999</v>
      </c>
    </row>
    <row r="242" spans="1:20">
      <c r="A242" s="109" t="s">
        <v>655</v>
      </c>
      <c r="B242" s="109" t="s">
        <v>656</v>
      </c>
      <c r="C242" s="118"/>
      <c r="D242" s="105" t="s">
        <v>657</v>
      </c>
      <c r="E242" s="105" t="s">
        <v>658</v>
      </c>
      <c r="F242" s="105"/>
      <c r="G242" s="105"/>
      <c r="H242" s="105"/>
      <c r="I242" s="105"/>
      <c r="J242" s="105"/>
      <c r="K242" s="118"/>
      <c r="L242" s="173">
        <v>24</v>
      </c>
      <c r="N242" s="239">
        <f t="shared" si="112"/>
        <v>9.0359999999999996</v>
      </c>
      <c r="O242" s="239">
        <f t="shared" si="113"/>
        <v>9.0359999999999996</v>
      </c>
      <c r="P242" s="239">
        <f t="shared" si="114"/>
        <v>10.848000000000001</v>
      </c>
      <c r="Q242" s="239">
        <f t="shared" si="115"/>
        <v>9.0960000000000001</v>
      </c>
      <c r="R242" s="239">
        <f t="shared" si="116"/>
        <v>11.975999999999999</v>
      </c>
      <c r="S242" s="239">
        <f t="shared" si="117"/>
        <v>10.32</v>
      </c>
      <c r="T242" s="239">
        <f t="shared" si="118"/>
        <v>11.591999999999999</v>
      </c>
    </row>
    <row r="243" spans="1:20" ht="25.5">
      <c r="A243" s="109" t="s">
        <v>659</v>
      </c>
      <c r="B243" s="109" t="s">
        <v>660</v>
      </c>
      <c r="C243" s="118"/>
      <c r="D243" s="105" t="s">
        <v>661</v>
      </c>
      <c r="E243" s="105" t="s">
        <v>662</v>
      </c>
      <c r="F243" s="105"/>
      <c r="G243" s="105"/>
      <c r="H243" s="105"/>
      <c r="I243" s="105"/>
      <c r="J243" s="105"/>
      <c r="K243" s="118"/>
      <c r="L243" s="173">
        <v>35</v>
      </c>
      <c r="N243" s="239">
        <f t="shared" si="112"/>
        <v>13.1775</v>
      </c>
      <c r="O243" s="239">
        <f t="shared" si="113"/>
        <v>13.1775</v>
      </c>
      <c r="P243" s="239">
        <f t="shared" si="114"/>
        <v>15.82</v>
      </c>
      <c r="Q243" s="239">
        <f t="shared" si="115"/>
        <v>13.265000000000001</v>
      </c>
      <c r="R243" s="239">
        <f t="shared" si="116"/>
        <v>17.465</v>
      </c>
      <c r="S243" s="239">
        <f t="shared" si="117"/>
        <v>15.049999999999999</v>
      </c>
      <c r="T243" s="239">
        <f t="shared" si="118"/>
        <v>16.905000000000001</v>
      </c>
    </row>
    <row r="244" spans="1:20">
      <c r="A244" s="109" t="s">
        <v>663</v>
      </c>
      <c r="B244" s="109" t="s">
        <v>656</v>
      </c>
      <c r="C244" s="118"/>
      <c r="D244" s="105"/>
      <c r="E244" s="105" t="s">
        <v>658</v>
      </c>
      <c r="F244" s="105"/>
      <c r="G244" s="105"/>
      <c r="H244" s="105"/>
      <c r="I244" s="105"/>
      <c r="J244" s="105"/>
      <c r="K244" s="118"/>
      <c r="L244" s="173">
        <v>35</v>
      </c>
      <c r="N244" s="239">
        <f t="shared" si="112"/>
        <v>13.1775</v>
      </c>
      <c r="O244" s="239">
        <f t="shared" si="113"/>
        <v>13.1775</v>
      </c>
      <c r="P244" s="239">
        <f t="shared" si="114"/>
        <v>15.82</v>
      </c>
      <c r="Q244" s="239">
        <f t="shared" si="115"/>
        <v>13.265000000000001</v>
      </c>
      <c r="R244" s="239">
        <f t="shared" si="116"/>
        <v>17.465</v>
      </c>
      <c r="S244" s="239">
        <f t="shared" si="117"/>
        <v>15.049999999999999</v>
      </c>
      <c r="T244" s="239">
        <f t="shared" si="118"/>
        <v>16.905000000000001</v>
      </c>
    </row>
    <row r="245" spans="1:20" ht="25.5">
      <c r="A245" s="109" t="s">
        <v>663</v>
      </c>
      <c r="B245" s="109" t="s">
        <v>664</v>
      </c>
      <c r="C245" s="118"/>
      <c r="D245" s="105" t="s">
        <v>665</v>
      </c>
      <c r="E245" s="105" t="s">
        <v>666</v>
      </c>
      <c r="F245" s="105"/>
      <c r="G245" s="105"/>
      <c r="H245" s="105"/>
      <c r="I245" s="105"/>
      <c r="J245" s="105"/>
      <c r="K245" s="118"/>
      <c r="L245" s="173">
        <v>35</v>
      </c>
      <c r="N245" s="239">
        <f t="shared" ref="N245" si="126">L245*$N$8</f>
        <v>13.1775</v>
      </c>
      <c r="O245" s="239">
        <f t="shared" ref="O245" si="127">L245*$O$8</f>
        <v>13.1775</v>
      </c>
      <c r="P245" s="239">
        <f t="shared" ref="P245" si="128">L245*$P$8</f>
        <v>15.82</v>
      </c>
      <c r="Q245" s="239">
        <f t="shared" ref="Q245" si="129">L245*$Q$8</f>
        <v>13.265000000000001</v>
      </c>
      <c r="R245" s="239">
        <f t="shared" ref="R245" si="130">L245*$R$8</f>
        <v>17.465</v>
      </c>
      <c r="S245" s="239">
        <f t="shared" ref="S245" si="131">L245*$S$8</f>
        <v>15.049999999999999</v>
      </c>
      <c r="T245" s="239">
        <f t="shared" ref="T245" si="132">L245*$T$8</f>
        <v>16.905000000000001</v>
      </c>
    </row>
    <row r="246" spans="1:20" ht="25.5">
      <c r="A246" s="109" t="s">
        <v>667</v>
      </c>
      <c r="B246" s="109" t="s">
        <v>668</v>
      </c>
      <c r="C246" s="118"/>
      <c r="D246" s="105" t="s">
        <v>669</v>
      </c>
      <c r="E246" s="105" t="s">
        <v>670</v>
      </c>
      <c r="F246" s="105"/>
      <c r="G246" s="105"/>
      <c r="H246" s="105"/>
      <c r="I246" s="105"/>
      <c r="J246" s="105"/>
      <c r="K246" s="118"/>
      <c r="L246" s="173">
        <v>40</v>
      </c>
      <c r="N246" s="239">
        <f t="shared" si="112"/>
        <v>15.06</v>
      </c>
      <c r="O246" s="239">
        <f t="shared" si="113"/>
        <v>15.06</v>
      </c>
      <c r="P246" s="239">
        <f t="shared" si="114"/>
        <v>18.080000000000002</v>
      </c>
      <c r="Q246" s="239">
        <f t="shared" si="115"/>
        <v>15.16</v>
      </c>
      <c r="R246" s="239">
        <f t="shared" si="116"/>
        <v>19.96</v>
      </c>
      <c r="S246" s="239">
        <f t="shared" si="117"/>
        <v>17.2</v>
      </c>
      <c r="T246" s="239">
        <f t="shared" si="118"/>
        <v>19.32</v>
      </c>
    </row>
    <row r="247" spans="1:20" ht="15.95" customHeight="1">
      <c r="A247" s="109" t="s">
        <v>671</v>
      </c>
      <c r="B247" s="109" t="s">
        <v>672</v>
      </c>
      <c r="C247" s="118"/>
      <c r="D247" s="105" t="s">
        <v>673</v>
      </c>
      <c r="E247" s="105" t="s">
        <v>674</v>
      </c>
      <c r="F247" s="105"/>
      <c r="G247" s="105"/>
      <c r="H247" s="105"/>
      <c r="I247" s="105"/>
      <c r="J247" s="105"/>
      <c r="K247" s="118"/>
      <c r="L247" s="173">
        <v>89</v>
      </c>
      <c r="N247" s="239">
        <f t="shared" si="112"/>
        <v>33.508499999999998</v>
      </c>
      <c r="O247" s="239">
        <f t="shared" si="113"/>
        <v>33.508499999999998</v>
      </c>
      <c r="P247" s="239">
        <f t="shared" si="114"/>
        <v>40.228000000000002</v>
      </c>
      <c r="Q247" s="239">
        <f t="shared" si="115"/>
        <v>33.731000000000002</v>
      </c>
      <c r="R247" s="239">
        <f t="shared" si="116"/>
        <v>44.411000000000001</v>
      </c>
      <c r="S247" s="239">
        <f t="shared" si="117"/>
        <v>38.269999999999996</v>
      </c>
      <c r="T247" s="239">
        <f t="shared" si="118"/>
        <v>42.987000000000002</v>
      </c>
    </row>
    <row r="248" spans="1:20">
      <c r="A248" s="109" t="s">
        <v>675</v>
      </c>
      <c r="B248" s="109" t="s">
        <v>676</v>
      </c>
      <c r="C248" s="118"/>
      <c r="D248" s="105" t="s">
        <v>677</v>
      </c>
      <c r="E248" s="105"/>
      <c r="F248" s="105"/>
      <c r="G248" s="105"/>
      <c r="H248" s="105"/>
      <c r="I248" s="105"/>
      <c r="J248" s="105"/>
      <c r="K248" s="118"/>
      <c r="L248" s="173">
        <v>89</v>
      </c>
      <c r="N248" s="239">
        <f t="shared" si="112"/>
        <v>33.508499999999998</v>
      </c>
      <c r="O248" s="239">
        <f t="shared" si="113"/>
        <v>33.508499999999998</v>
      </c>
      <c r="P248" s="239">
        <f t="shared" si="114"/>
        <v>40.228000000000002</v>
      </c>
      <c r="Q248" s="239">
        <f t="shared" si="115"/>
        <v>33.731000000000002</v>
      </c>
      <c r="R248" s="239">
        <f t="shared" si="116"/>
        <v>44.411000000000001</v>
      </c>
      <c r="S248" s="239">
        <f t="shared" si="117"/>
        <v>38.269999999999996</v>
      </c>
      <c r="T248" s="239">
        <f t="shared" si="118"/>
        <v>42.987000000000002</v>
      </c>
    </row>
    <row r="249" spans="1:20" ht="25.5">
      <c r="A249" s="109" t="s">
        <v>678</v>
      </c>
      <c r="B249" s="109" t="s">
        <v>679</v>
      </c>
      <c r="C249" s="118"/>
      <c r="D249" s="105"/>
      <c r="E249" s="105" t="s">
        <v>680</v>
      </c>
      <c r="F249" s="105"/>
      <c r="G249" s="105"/>
      <c r="H249" s="105"/>
      <c r="I249" s="105"/>
      <c r="J249" s="105"/>
      <c r="K249" s="118"/>
      <c r="L249" s="173">
        <v>101</v>
      </c>
      <c r="N249" s="239">
        <f t="shared" si="112"/>
        <v>38.026499999999999</v>
      </c>
      <c r="O249" s="239">
        <f t="shared" si="113"/>
        <v>38.026499999999999</v>
      </c>
      <c r="P249" s="239">
        <f t="shared" si="114"/>
        <v>45.652000000000001</v>
      </c>
      <c r="Q249" s="239">
        <f t="shared" si="115"/>
        <v>38.279000000000003</v>
      </c>
      <c r="R249" s="239">
        <f t="shared" si="116"/>
        <v>50.399000000000001</v>
      </c>
      <c r="S249" s="239">
        <f t="shared" si="117"/>
        <v>43.43</v>
      </c>
      <c r="T249" s="239">
        <f t="shared" si="118"/>
        <v>48.783000000000001</v>
      </c>
    </row>
    <row r="250" spans="1:20">
      <c r="A250" s="113"/>
      <c r="B250" s="114"/>
      <c r="C250" s="115"/>
      <c r="D250" s="116"/>
      <c r="E250" s="116"/>
      <c r="F250" s="116"/>
      <c r="G250" s="116"/>
      <c r="H250" s="116"/>
      <c r="I250" s="116"/>
      <c r="J250" s="116"/>
      <c r="K250" s="182"/>
      <c r="L250" s="173"/>
      <c r="N250" s="239"/>
      <c r="O250" s="239"/>
      <c r="P250" s="239"/>
      <c r="Q250" s="239"/>
      <c r="R250" s="239"/>
      <c r="S250" s="239"/>
      <c r="T250" s="239"/>
    </row>
    <row r="251" spans="1:20">
      <c r="A251" s="89" t="s">
        <v>210</v>
      </c>
      <c r="B251" s="62"/>
      <c r="C251" s="62"/>
      <c r="D251" s="81"/>
      <c r="E251" s="81"/>
      <c r="F251" s="81"/>
      <c r="G251" s="81"/>
      <c r="H251" s="81"/>
      <c r="I251" s="81"/>
      <c r="J251" s="81"/>
      <c r="K251" s="62"/>
      <c r="L251" s="169"/>
      <c r="N251" s="242"/>
      <c r="O251" s="242"/>
      <c r="P251" s="242"/>
      <c r="Q251" s="242"/>
      <c r="R251" s="242"/>
      <c r="S251" s="242"/>
      <c r="T251" s="242"/>
    </row>
    <row r="252" spans="1:20">
      <c r="A252" s="109" t="s">
        <v>681</v>
      </c>
      <c r="B252" s="109" t="s">
        <v>682</v>
      </c>
      <c r="C252" s="118"/>
      <c r="D252" s="118"/>
      <c r="E252" s="105"/>
      <c r="F252" s="105" t="s">
        <v>683</v>
      </c>
      <c r="G252" s="105" t="s">
        <v>684</v>
      </c>
      <c r="H252" s="105"/>
      <c r="I252" s="105"/>
      <c r="J252" s="105"/>
      <c r="K252" s="118"/>
      <c r="L252" s="173">
        <v>0</v>
      </c>
      <c r="N252" s="239">
        <f t="shared" si="112"/>
        <v>0</v>
      </c>
      <c r="O252" s="239">
        <f t="shared" si="113"/>
        <v>0</v>
      </c>
      <c r="P252" s="239">
        <f t="shared" si="114"/>
        <v>0</v>
      </c>
      <c r="Q252" s="239">
        <f t="shared" si="115"/>
        <v>0</v>
      </c>
      <c r="R252" s="239">
        <f t="shared" si="116"/>
        <v>0</v>
      </c>
      <c r="S252" s="239">
        <f t="shared" si="117"/>
        <v>0</v>
      </c>
      <c r="T252" s="239">
        <f t="shared" si="118"/>
        <v>0</v>
      </c>
    </row>
    <row r="253" spans="1:20">
      <c r="A253" s="109" t="s">
        <v>685</v>
      </c>
      <c r="B253" s="109" t="s">
        <v>686</v>
      </c>
      <c r="C253" s="118"/>
      <c r="D253" s="118"/>
      <c r="E253" s="105"/>
      <c r="F253" s="105" t="s">
        <v>687</v>
      </c>
      <c r="G253" s="105" t="s">
        <v>688</v>
      </c>
      <c r="H253" s="105"/>
      <c r="I253" s="105"/>
      <c r="J253" s="105"/>
      <c r="K253" s="118"/>
      <c r="L253" s="173">
        <v>8</v>
      </c>
      <c r="N253" s="239">
        <f t="shared" si="112"/>
        <v>3.012</v>
      </c>
      <c r="O253" s="239">
        <f t="shared" si="113"/>
        <v>3.012</v>
      </c>
      <c r="P253" s="239">
        <f t="shared" si="114"/>
        <v>3.6160000000000001</v>
      </c>
      <c r="Q253" s="239">
        <f t="shared" si="115"/>
        <v>3.032</v>
      </c>
      <c r="R253" s="239">
        <f t="shared" si="116"/>
        <v>3.992</v>
      </c>
      <c r="S253" s="239">
        <f t="shared" si="117"/>
        <v>3.44</v>
      </c>
      <c r="T253" s="239">
        <f t="shared" si="118"/>
        <v>3.8639999999999999</v>
      </c>
    </row>
    <row r="254" spans="1:20">
      <c r="A254" s="109" t="s">
        <v>689</v>
      </c>
      <c r="B254" s="109" t="s">
        <v>690</v>
      </c>
      <c r="C254" s="118"/>
      <c r="D254" s="118"/>
      <c r="E254" s="105"/>
      <c r="F254" s="105" t="s">
        <v>691</v>
      </c>
      <c r="G254" s="105" t="s">
        <v>692</v>
      </c>
      <c r="H254" s="105"/>
      <c r="I254" s="105"/>
      <c r="J254" s="105"/>
      <c r="K254" s="118"/>
      <c r="L254" s="173">
        <v>8</v>
      </c>
      <c r="N254" s="239">
        <f t="shared" si="112"/>
        <v>3.012</v>
      </c>
      <c r="O254" s="239">
        <f t="shared" si="113"/>
        <v>3.012</v>
      </c>
      <c r="P254" s="239">
        <f t="shared" si="114"/>
        <v>3.6160000000000001</v>
      </c>
      <c r="Q254" s="239">
        <f t="shared" si="115"/>
        <v>3.032</v>
      </c>
      <c r="R254" s="239">
        <f t="shared" si="116"/>
        <v>3.992</v>
      </c>
      <c r="S254" s="239">
        <f t="shared" si="117"/>
        <v>3.44</v>
      </c>
      <c r="T254" s="239">
        <f t="shared" si="118"/>
        <v>3.8639999999999999</v>
      </c>
    </row>
    <row r="255" spans="1:20">
      <c r="A255" s="109" t="s">
        <v>693</v>
      </c>
      <c r="B255" s="109" t="s">
        <v>694</v>
      </c>
      <c r="C255" s="118"/>
      <c r="D255" s="118"/>
      <c r="E255" s="105"/>
      <c r="F255" s="105" t="s">
        <v>695</v>
      </c>
      <c r="G255" s="105" t="s">
        <v>696</v>
      </c>
      <c r="H255" s="105"/>
      <c r="I255" s="105"/>
      <c r="J255" s="105"/>
      <c r="K255" s="118"/>
      <c r="L255" s="173">
        <v>11</v>
      </c>
      <c r="N255" s="239">
        <f t="shared" si="112"/>
        <v>4.1414999999999997</v>
      </c>
      <c r="O255" s="239">
        <f t="shared" si="113"/>
        <v>4.1414999999999997</v>
      </c>
      <c r="P255" s="239">
        <f t="shared" si="114"/>
        <v>4.9720000000000004</v>
      </c>
      <c r="Q255" s="239">
        <f t="shared" si="115"/>
        <v>4.1690000000000005</v>
      </c>
      <c r="R255" s="239">
        <f t="shared" si="116"/>
        <v>5.4889999999999999</v>
      </c>
      <c r="S255" s="239">
        <f t="shared" si="117"/>
        <v>4.7299999999999995</v>
      </c>
      <c r="T255" s="239">
        <f t="shared" si="118"/>
        <v>5.3129999999999997</v>
      </c>
    </row>
    <row r="256" spans="1:20">
      <c r="A256" s="109" t="s">
        <v>697</v>
      </c>
      <c r="B256" s="109" t="s">
        <v>698</v>
      </c>
      <c r="C256" s="118"/>
      <c r="D256" s="118"/>
      <c r="E256" s="105"/>
      <c r="F256" s="105" t="s">
        <v>699</v>
      </c>
      <c r="G256" s="105" t="s">
        <v>700</v>
      </c>
      <c r="H256" s="105"/>
      <c r="I256" s="105"/>
      <c r="J256" s="105"/>
      <c r="K256" s="118"/>
      <c r="L256" s="173">
        <v>29</v>
      </c>
      <c r="N256" s="239">
        <f t="shared" si="112"/>
        <v>10.9185</v>
      </c>
      <c r="O256" s="239">
        <f t="shared" si="113"/>
        <v>10.9185</v>
      </c>
      <c r="P256" s="239">
        <f t="shared" si="114"/>
        <v>13.108000000000001</v>
      </c>
      <c r="Q256" s="239">
        <f t="shared" si="115"/>
        <v>10.991</v>
      </c>
      <c r="R256" s="239">
        <f t="shared" si="116"/>
        <v>14.471</v>
      </c>
      <c r="S256" s="239">
        <f t="shared" si="117"/>
        <v>12.47</v>
      </c>
      <c r="T256" s="239">
        <f t="shared" si="118"/>
        <v>14.007</v>
      </c>
    </row>
    <row r="257" spans="1:20">
      <c r="A257" s="109" t="s">
        <v>701</v>
      </c>
      <c r="B257" s="109" t="s">
        <v>702</v>
      </c>
      <c r="C257" s="118"/>
      <c r="D257" s="118"/>
      <c r="E257" s="105"/>
      <c r="F257" s="105" t="s">
        <v>703</v>
      </c>
      <c r="G257" s="105" t="s">
        <v>704</v>
      </c>
      <c r="H257" s="105"/>
      <c r="I257" s="105"/>
      <c r="J257" s="105"/>
      <c r="K257" s="118"/>
      <c r="L257" s="173">
        <v>35</v>
      </c>
      <c r="N257" s="239">
        <f t="shared" si="112"/>
        <v>13.1775</v>
      </c>
      <c r="O257" s="239">
        <f t="shared" si="113"/>
        <v>13.1775</v>
      </c>
      <c r="P257" s="239">
        <f t="shared" si="114"/>
        <v>15.82</v>
      </c>
      <c r="Q257" s="239">
        <f t="shared" si="115"/>
        <v>13.265000000000001</v>
      </c>
      <c r="R257" s="239">
        <f t="shared" si="116"/>
        <v>17.465</v>
      </c>
      <c r="S257" s="239">
        <f t="shared" si="117"/>
        <v>15.049999999999999</v>
      </c>
      <c r="T257" s="239">
        <f t="shared" si="118"/>
        <v>16.905000000000001</v>
      </c>
    </row>
    <row r="258" spans="1:20" ht="25.5">
      <c r="A258" s="109" t="s">
        <v>705</v>
      </c>
      <c r="B258" s="109" t="s">
        <v>706</v>
      </c>
      <c r="C258" s="118"/>
      <c r="D258" s="118"/>
      <c r="E258" s="105"/>
      <c r="F258" s="105" t="s">
        <v>707</v>
      </c>
      <c r="G258" s="105" t="s">
        <v>708</v>
      </c>
      <c r="H258" s="105"/>
      <c r="I258" s="105"/>
      <c r="J258" s="105"/>
      <c r="K258" s="118"/>
      <c r="L258" s="173">
        <v>69</v>
      </c>
      <c r="N258" s="239">
        <f t="shared" si="112"/>
        <v>25.9785</v>
      </c>
      <c r="O258" s="239">
        <f t="shared" si="113"/>
        <v>25.9785</v>
      </c>
      <c r="P258" s="239">
        <f t="shared" si="114"/>
        <v>31.188000000000002</v>
      </c>
      <c r="Q258" s="239">
        <f t="shared" si="115"/>
        <v>26.151</v>
      </c>
      <c r="R258" s="239">
        <f t="shared" si="116"/>
        <v>34.430999999999997</v>
      </c>
      <c r="S258" s="239">
        <f t="shared" si="117"/>
        <v>29.669999999999998</v>
      </c>
      <c r="T258" s="239">
        <f t="shared" si="118"/>
        <v>33.326999999999998</v>
      </c>
    </row>
    <row r="259" spans="1:20">
      <c r="A259" s="109" t="s">
        <v>709</v>
      </c>
      <c r="B259" s="109" t="s">
        <v>710</v>
      </c>
      <c r="C259" s="118"/>
      <c r="D259" s="118"/>
      <c r="E259" s="105"/>
      <c r="F259" s="105" t="s">
        <v>711</v>
      </c>
      <c r="G259" s="105" t="s">
        <v>712</v>
      </c>
      <c r="H259" s="105"/>
      <c r="I259" s="105"/>
      <c r="J259" s="105"/>
      <c r="K259" s="118"/>
      <c r="L259" s="173">
        <v>80</v>
      </c>
      <c r="N259" s="239">
        <f t="shared" si="112"/>
        <v>30.12</v>
      </c>
      <c r="O259" s="239">
        <f t="shared" si="113"/>
        <v>30.12</v>
      </c>
      <c r="P259" s="239">
        <f t="shared" si="114"/>
        <v>36.160000000000004</v>
      </c>
      <c r="Q259" s="239">
        <f t="shared" si="115"/>
        <v>30.32</v>
      </c>
      <c r="R259" s="239">
        <f t="shared" si="116"/>
        <v>39.92</v>
      </c>
      <c r="S259" s="239">
        <f t="shared" si="117"/>
        <v>34.4</v>
      </c>
      <c r="T259" s="239">
        <f t="shared" si="118"/>
        <v>38.64</v>
      </c>
    </row>
    <row r="260" spans="1:20">
      <c r="A260" s="109" t="s">
        <v>713</v>
      </c>
      <c r="B260" s="109" t="s">
        <v>714</v>
      </c>
      <c r="C260" s="118"/>
      <c r="D260" s="118"/>
      <c r="E260" s="105"/>
      <c r="F260" s="105" t="s">
        <v>715</v>
      </c>
      <c r="G260" s="105"/>
      <c r="H260" s="105"/>
      <c r="I260" s="105"/>
      <c r="J260" s="105"/>
      <c r="K260" s="118"/>
      <c r="L260" s="173">
        <v>114</v>
      </c>
      <c r="N260" s="239">
        <f t="shared" si="112"/>
        <v>42.920999999999999</v>
      </c>
      <c r="O260" s="239">
        <f t="shared" si="113"/>
        <v>42.920999999999999</v>
      </c>
      <c r="P260" s="239">
        <f t="shared" si="114"/>
        <v>51.527999999999999</v>
      </c>
      <c r="Q260" s="239">
        <f t="shared" si="115"/>
        <v>43.206000000000003</v>
      </c>
      <c r="R260" s="239">
        <f t="shared" si="116"/>
        <v>56.886000000000003</v>
      </c>
      <c r="S260" s="239">
        <f t="shared" si="117"/>
        <v>49.019999999999996</v>
      </c>
      <c r="T260" s="239">
        <f t="shared" si="118"/>
        <v>55.061999999999998</v>
      </c>
    </row>
    <row r="261" spans="1:20" ht="25.5">
      <c r="A261" s="109" t="s">
        <v>716</v>
      </c>
      <c r="B261" s="109" t="s">
        <v>717</v>
      </c>
      <c r="C261" s="118"/>
      <c r="D261" s="118"/>
      <c r="E261" s="105"/>
      <c r="F261" s="105" t="s">
        <v>718</v>
      </c>
      <c r="G261" s="105" t="s">
        <v>719</v>
      </c>
      <c r="H261" s="105"/>
      <c r="I261" s="105"/>
      <c r="J261" s="105"/>
      <c r="K261" s="118"/>
      <c r="L261" s="173">
        <v>114</v>
      </c>
      <c r="N261" s="239">
        <f t="shared" si="112"/>
        <v>42.920999999999999</v>
      </c>
      <c r="O261" s="239">
        <f t="shared" si="113"/>
        <v>42.920999999999999</v>
      </c>
      <c r="P261" s="239">
        <f t="shared" si="114"/>
        <v>51.527999999999999</v>
      </c>
      <c r="Q261" s="239">
        <f t="shared" si="115"/>
        <v>43.206000000000003</v>
      </c>
      <c r="R261" s="239">
        <f t="shared" si="116"/>
        <v>56.886000000000003</v>
      </c>
      <c r="S261" s="239">
        <f t="shared" si="117"/>
        <v>49.019999999999996</v>
      </c>
      <c r="T261" s="239">
        <f t="shared" si="118"/>
        <v>55.061999999999998</v>
      </c>
    </row>
    <row r="262" spans="1:20">
      <c r="A262" s="109" t="s">
        <v>720</v>
      </c>
      <c r="B262" s="109" t="s">
        <v>721</v>
      </c>
      <c r="C262" s="118"/>
      <c r="D262" s="118"/>
      <c r="E262" s="105"/>
      <c r="F262" s="105" t="s">
        <v>722</v>
      </c>
      <c r="G262" s="105" t="s">
        <v>723</v>
      </c>
      <c r="H262" s="105"/>
      <c r="I262" s="105"/>
      <c r="J262" s="105"/>
      <c r="K262" s="118"/>
      <c r="L262" s="173">
        <v>125</v>
      </c>
      <c r="N262" s="239">
        <f t="shared" si="112"/>
        <v>47.0625</v>
      </c>
      <c r="O262" s="239">
        <f t="shared" si="113"/>
        <v>47.0625</v>
      </c>
      <c r="P262" s="239">
        <f t="shared" si="114"/>
        <v>56.5</v>
      </c>
      <c r="Q262" s="239">
        <f t="shared" si="115"/>
        <v>47.375</v>
      </c>
      <c r="R262" s="239">
        <f t="shared" si="116"/>
        <v>62.375</v>
      </c>
      <c r="S262" s="239">
        <f t="shared" si="117"/>
        <v>53.75</v>
      </c>
      <c r="T262" s="239">
        <f t="shared" si="118"/>
        <v>60.375</v>
      </c>
    </row>
    <row r="263" spans="1:20" s="16" customFormat="1" ht="12.75">
      <c r="A263" s="113"/>
      <c r="B263" s="114"/>
      <c r="C263" s="115"/>
      <c r="D263" s="116"/>
      <c r="E263" s="116"/>
      <c r="F263" s="116"/>
      <c r="G263" s="116"/>
      <c r="H263" s="116"/>
      <c r="I263" s="116"/>
      <c r="J263" s="116"/>
      <c r="K263" s="182"/>
      <c r="L263" s="173"/>
      <c r="N263" s="239"/>
      <c r="O263" s="239"/>
      <c r="P263" s="239"/>
      <c r="Q263" s="239"/>
      <c r="R263" s="239"/>
      <c r="S263" s="239"/>
      <c r="T263" s="239"/>
    </row>
    <row r="264" spans="1:20" s="16" customFormat="1" ht="12.75">
      <c r="A264" s="89" t="s">
        <v>724</v>
      </c>
      <c r="B264" s="62"/>
      <c r="C264" s="62"/>
      <c r="D264" s="81"/>
      <c r="E264" s="81"/>
      <c r="F264" s="81"/>
      <c r="G264" s="81"/>
      <c r="H264" s="81"/>
      <c r="I264" s="81"/>
      <c r="J264" s="81"/>
      <c r="K264" s="62"/>
      <c r="L264" s="169"/>
      <c r="N264" s="242"/>
      <c r="O264" s="242"/>
      <c r="P264" s="242"/>
      <c r="Q264" s="242"/>
      <c r="R264" s="242"/>
      <c r="S264" s="242"/>
      <c r="T264" s="242"/>
    </row>
    <row r="265" spans="1:20" s="16" customFormat="1" ht="12.75">
      <c r="A265" s="109" t="s">
        <v>725</v>
      </c>
      <c r="B265" s="109" t="s">
        <v>726</v>
      </c>
      <c r="C265" s="118"/>
      <c r="D265" s="118"/>
      <c r="E265" s="105"/>
      <c r="F265" s="105"/>
      <c r="G265" s="105"/>
      <c r="H265" s="105" t="s">
        <v>727</v>
      </c>
      <c r="I265" s="105" t="s">
        <v>728</v>
      </c>
      <c r="J265" s="105"/>
      <c r="K265" s="118"/>
      <c r="L265" s="173">
        <v>0</v>
      </c>
      <c r="N265" s="239">
        <f t="shared" si="112"/>
        <v>0</v>
      </c>
      <c r="O265" s="239">
        <f t="shared" si="113"/>
        <v>0</v>
      </c>
      <c r="P265" s="239">
        <f t="shared" si="114"/>
        <v>0</v>
      </c>
      <c r="Q265" s="239">
        <f t="shared" si="115"/>
        <v>0</v>
      </c>
      <c r="R265" s="239">
        <f t="shared" si="116"/>
        <v>0</v>
      </c>
      <c r="S265" s="239">
        <f t="shared" si="117"/>
        <v>0</v>
      </c>
      <c r="T265" s="239">
        <f t="shared" si="118"/>
        <v>0</v>
      </c>
    </row>
    <row r="266" spans="1:20" s="16" customFormat="1" ht="12.75">
      <c r="A266" s="109" t="s">
        <v>729</v>
      </c>
      <c r="B266" s="109" t="s">
        <v>730</v>
      </c>
      <c r="C266" s="118"/>
      <c r="D266" s="118"/>
      <c r="E266" s="105"/>
      <c r="F266" s="105"/>
      <c r="G266" s="105"/>
      <c r="H266" s="105" t="s">
        <v>731</v>
      </c>
      <c r="I266" s="105"/>
      <c r="J266" s="105"/>
      <c r="K266" s="118"/>
      <c r="L266" s="173">
        <v>0</v>
      </c>
      <c r="N266" s="239">
        <f t="shared" si="112"/>
        <v>0</v>
      </c>
      <c r="O266" s="239">
        <f t="shared" si="113"/>
        <v>0</v>
      </c>
      <c r="P266" s="239">
        <f t="shared" si="114"/>
        <v>0</v>
      </c>
      <c r="Q266" s="239">
        <f t="shared" si="115"/>
        <v>0</v>
      </c>
      <c r="R266" s="239">
        <f t="shared" si="116"/>
        <v>0</v>
      </c>
      <c r="S266" s="239">
        <f t="shared" si="117"/>
        <v>0</v>
      </c>
      <c r="T266" s="239">
        <f t="shared" si="118"/>
        <v>0</v>
      </c>
    </row>
    <row r="267" spans="1:20" s="16" customFormat="1" ht="12.75">
      <c r="A267" s="109" t="s">
        <v>732</v>
      </c>
      <c r="B267" s="109" t="s">
        <v>733</v>
      </c>
      <c r="C267" s="118"/>
      <c r="D267" s="118"/>
      <c r="E267" s="105"/>
      <c r="F267" s="105"/>
      <c r="G267" s="105"/>
      <c r="H267" s="105"/>
      <c r="I267" s="105" t="s">
        <v>734</v>
      </c>
      <c r="J267" s="105"/>
      <c r="K267" s="118"/>
      <c r="L267" s="173">
        <v>8</v>
      </c>
      <c r="N267" s="239">
        <f t="shared" si="112"/>
        <v>3.012</v>
      </c>
      <c r="O267" s="239">
        <f t="shared" si="113"/>
        <v>3.012</v>
      </c>
      <c r="P267" s="239">
        <f t="shared" si="114"/>
        <v>3.6160000000000001</v>
      </c>
      <c r="Q267" s="239">
        <f t="shared" si="115"/>
        <v>3.032</v>
      </c>
      <c r="R267" s="239">
        <f t="shared" si="116"/>
        <v>3.992</v>
      </c>
      <c r="S267" s="239">
        <f t="shared" si="117"/>
        <v>3.44</v>
      </c>
      <c r="T267" s="239">
        <f t="shared" si="118"/>
        <v>3.8639999999999999</v>
      </c>
    </row>
    <row r="268" spans="1:20" s="16" customFormat="1" ht="12.75">
      <c r="A268" s="109" t="s">
        <v>735</v>
      </c>
      <c r="B268" s="109" t="s">
        <v>736</v>
      </c>
      <c r="C268" s="118"/>
      <c r="D268" s="118"/>
      <c r="E268" s="105"/>
      <c r="F268" s="105"/>
      <c r="G268" s="105"/>
      <c r="H268" s="105"/>
      <c r="I268" s="105" t="s">
        <v>737</v>
      </c>
      <c r="J268" s="105"/>
      <c r="K268" s="118"/>
      <c r="L268" s="173">
        <v>8</v>
      </c>
      <c r="N268" s="239">
        <f t="shared" si="112"/>
        <v>3.012</v>
      </c>
      <c r="O268" s="239">
        <f t="shared" si="113"/>
        <v>3.012</v>
      </c>
      <c r="P268" s="239">
        <f t="shared" si="114"/>
        <v>3.6160000000000001</v>
      </c>
      <c r="Q268" s="239">
        <f t="shared" si="115"/>
        <v>3.032</v>
      </c>
      <c r="R268" s="239">
        <f t="shared" si="116"/>
        <v>3.992</v>
      </c>
      <c r="S268" s="239">
        <f t="shared" si="117"/>
        <v>3.44</v>
      </c>
      <c r="T268" s="239">
        <f t="shared" si="118"/>
        <v>3.8639999999999999</v>
      </c>
    </row>
    <row r="269" spans="1:20" s="16" customFormat="1" ht="12.75">
      <c r="A269" s="109" t="s">
        <v>738</v>
      </c>
      <c r="B269" s="109" t="s">
        <v>739</v>
      </c>
      <c r="C269" s="118"/>
      <c r="D269" s="118"/>
      <c r="E269" s="105"/>
      <c r="F269" s="105"/>
      <c r="G269" s="105"/>
      <c r="H269" s="105" t="s">
        <v>740</v>
      </c>
      <c r="I269" s="105"/>
      <c r="J269" s="105"/>
      <c r="K269" s="118"/>
      <c r="L269" s="173">
        <v>29</v>
      </c>
      <c r="N269" s="239">
        <f t="shared" si="112"/>
        <v>10.9185</v>
      </c>
      <c r="O269" s="239">
        <f t="shared" si="113"/>
        <v>10.9185</v>
      </c>
      <c r="P269" s="239">
        <f t="shared" si="114"/>
        <v>13.108000000000001</v>
      </c>
      <c r="Q269" s="239">
        <f t="shared" si="115"/>
        <v>10.991</v>
      </c>
      <c r="R269" s="239">
        <f t="shared" si="116"/>
        <v>14.471</v>
      </c>
      <c r="S269" s="239">
        <f t="shared" si="117"/>
        <v>12.47</v>
      </c>
      <c r="T269" s="239">
        <f t="shared" si="118"/>
        <v>14.007</v>
      </c>
    </row>
    <row r="270" spans="1:20" s="16" customFormat="1" ht="12.75">
      <c r="A270" s="109" t="s">
        <v>741</v>
      </c>
      <c r="B270" s="109" t="s">
        <v>742</v>
      </c>
      <c r="C270" s="118"/>
      <c r="D270" s="118"/>
      <c r="E270" s="105"/>
      <c r="F270" s="105"/>
      <c r="G270" s="105"/>
      <c r="H270" s="105" t="s">
        <v>743</v>
      </c>
      <c r="I270" s="105"/>
      <c r="J270" s="105"/>
      <c r="K270" s="118"/>
      <c r="L270" s="173">
        <v>29</v>
      </c>
      <c r="N270" s="239">
        <f t="shared" ref="N270:N338" si="133">L270*$N$8</f>
        <v>10.9185</v>
      </c>
      <c r="O270" s="239">
        <f t="shared" ref="O270:O338" si="134">L270*$O$8</f>
        <v>10.9185</v>
      </c>
      <c r="P270" s="239">
        <f t="shared" ref="P270:P338" si="135">L270*$P$8</f>
        <v>13.108000000000001</v>
      </c>
      <c r="Q270" s="239">
        <f t="shared" ref="Q270:Q338" si="136">L270*$Q$8</f>
        <v>10.991</v>
      </c>
      <c r="R270" s="239">
        <f t="shared" ref="R270:R338" si="137">L270*$R$8</f>
        <v>14.471</v>
      </c>
      <c r="S270" s="239">
        <f t="shared" ref="S270:S338" si="138">L270*$S$8</f>
        <v>12.47</v>
      </c>
      <c r="T270" s="239">
        <f t="shared" ref="T270:T338" si="139">L270*$T$8</f>
        <v>14.007</v>
      </c>
    </row>
    <row r="271" spans="1:20" s="16" customFormat="1" ht="12.75">
      <c r="A271" s="109" t="s">
        <v>738</v>
      </c>
      <c r="B271" s="109" t="s">
        <v>739</v>
      </c>
      <c r="C271" s="118"/>
      <c r="D271" s="118"/>
      <c r="E271" s="105"/>
      <c r="F271" s="105"/>
      <c r="G271" s="105"/>
      <c r="H271" s="105"/>
      <c r="I271" s="105" t="s">
        <v>744</v>
      </c>
      <c r="J271" s="105"/>
      <c r="K271" s="118"/>
      <c r="L271" s="173">
        <v>35</v>
      </c>
      <c r="N271" s="239">
        <f t="shared" si="133"/>
        <v>13.1775</v>
      </c>
      <c r="O271" s="239">
        <f t="shared" si="134"/>
        <v>13.1775</v>
      </c>
      <c r="P271" s="239">
        <f t="shared" si="135"/>
        <v>15.82</v>
      </c>
      <c r="Q271" s="239">
        <f t="shared" si="136"/>
        <v>13.265000000000001</v>
      </c>
      <c r="R271" s="239">
        <f t="shared" si="137"/>
        <v>17.465</v>
      </c>
      <c r="S271" s="239">
        <f t="shared" si="138"/>
        <v>15.049999999999999</v>
      </c>
      <c r="T271" s="239">
        <f t="shared" si="139"/>
        <v>16.905000000000001</v>
      </c>
    </row>
    <row r="272" spans="1:20" s="16" customFormat="1" ht="12.75">
      <c r="A272" s="109" t="s">
        <v>741</v>
      </c>
      <c r="B272" s="109" t="s">
        <v>745</v>
      </c>
      <c r="C272" s="118"/>
      <c r="D272" s="118"/>
      <c r="E272" s="105"/>
      <c r="F272" s="105"/>
      <c r="G272" s="105"/>
      <c r="H272" s="105"/>
      <c r="I272" s="105" t="s">
        <v>746</v>
      </c>
      <c r="J272" s="105"/>
      <c r="K272" s="118"/>
      <c r="L272" s="173">
        <v>40</v>
      </c>
      <c r="N272" s="239">
        <f t="shared" si="133"/>
        <v>15.06</v>
      </c>
      <c r="O272" s="239">
        <f t="shared" si="134"/>
        <v>15.06</v>
      </c>
      <c r="P272" s="239">
        <f t="shared" si="135"/>
        <v>18.080000000000002</v>
      </c>
      <c r="Q272" s="239">
        <f t="shared" si="136"/>
        <v>15.16</v>
      </c>
      <c r="R272" s="239">
        <f t="shared" si="137"/>
        <v>19.96</v>
      </c>
      <c r="S272" s="239">
        <f t="shared" si="138"/>
        <v>17.2</v>
      </c>
      <c r="T272" s="239">
        <f t="shared" si="139"/>
        <v>19.32</v>
      </c>
    </row>
    <row r="273" spans="1:20" s="16" customFormat="1" ht="25.5">
      <c r="A273" s="109" t="s">
        <v>747</v>
      </c>
      <c r="B273" s="109" t="s">
        <v>748</v>
      </c>
      <c r="C273" s="118"/>
      <c r="D273" s="118"/>
      <c r="E273" s="105"/>
      <c r="F273" s="105"/>
      <c r="G273" s="105"/>
      <c r="H273" s="105" t="s">
        <v>749</v>
      </c>
      <c r="I273" s="105"/>
      <c r="J273" s="105"/>
      <c r="K273" s="118"/>
      <c r="L273" s="173">
        <v>74</v>
      </c>
      <c r="N273" s="239">
        <f t="shared" si="133"/>
        <v>27.861000000000001</v>
      </c>
      <c r="O273" s="239">
        <f t="shared" si="134"/>
        <v>27.861000000000001</v>
      </c>
      <c r="P273" s="239">
        <f t="shared" si="135"/>
        <v>33.448</v>
      </c>
      <c r="Q273" s="239">
        <f t="shared" si="136"/>
        <v>28.045999999999999</v>
      </c>
      <c r="R273" s="239">
        <f t="shared" si="137"/>
        <v>36.926000000000002</v>
      </c>
      <c r="S273" s="239">
        <f t="shared" si="138"/>
        <v>31.82</v>
      </c>
      <c r="T273" s="239">
        <f t="shared" si="139"/>
        <v>35.741999999999997</v>
      </c>
    </row>
    <row r="274" spans="1:20" s="16" customFormat="1" ht="25.5">
      <c r="A274" s="109" t="s">
        <v>750</v>
      </c>
      <c r="B274" s="109" t="s">
        <v>751</v>
      </c>
      <c r="C274" s="118"/>
      <c r="D274" s="118"/>
      <c r="E274" s="105"/>
      <c r="F274" s="105"/>
      <c r="G274" s="105"/>
      <c r="H274" s="105" t="s">
        <v>752</v>
      </c>
      <c r="I274" s="105" t="s">
        <v>753</v>
      </c>
      <c r="J274" s="105"/>
      <c r="K274" s="118"/>
      <c r="L274" s="173">
        <v>80</v>
      </c>
      <c r="N274" s="239">
        <f t="shared" si="133"/>
        <v>30.12</v>
      </c>
      <c r="O274" s="239">
        <f t="shared" si="134"/>
        <v>30.12</v>
      </c>
      <c r="P274" s="239">
        <f t="shared" si="135"/>
        <v>36.160000000000004</v>
      </c>
      <c r="Q274" s="239">
        <f t="shared" si="136"/>
        <v>30.32</v>
      </c>
      <c r="R274" s="239">
        <f t="shared" si="137"/>
        <v>39.92</v>
      </c>
      <c r="S274" s="239">
        <f t="shared" si="138"/>
        <v>34.4</v>
      </c>
      <c r="T274" s="239">
        <f t="shared" si="139"/>
        <v>38.64</v>
      </c>
    </row>
    <row r="275" spans="1:20" s="16" customFormat="1" ht="25.5">
      <c r="A275" s="109" t="s">
        <v>750</v>
      </c>
      <c r="B275" s="109" t="s">
        <v>751</v>
      </c>
      <c r="C275" s="118"/>
      <c r="D275" s="118"/>
      <c r="E275" s="105"/>
      <c r="F275" s="105"/>
      <c r="G275" s="105"/>
      <c r="H275" s="105"/>
      <c r="I275" s="105" t="s">
        <v>754</v>
      </c>
      <c r="J275" s="105"/>
      <c r="K275" s="118"/>
      <c r="L275" s="173">
        <v>89</v>
      </c>
      <c r="N275" s="239">
        <f t="shared" si="133"/>
        <v>33.508499999999998</v>
      </c>
      <c r="O275" s="239">
        <f t="shared" si="134"/>
        <v>33.508499999999998</v>
      </c>
      <c r="P275" s="239">
        <f t="shared" si="135"/>
        <v>40.228000000000002</v>
      </c>
      <c r="Q275" s="239">
        <f t="shared" si="136"/>
        <v>33.731000000000002</v>
      </c>
      <c r="R275" s="239">
        <f t="shared" si="137"/>
        <v>44.411000000000001</v>
      </c>
      <c r="S275" s="239">
        <f t="shared" si="138"/>
        <v>38.269999999999996</v>
      </c>
      <c r="T275" s="239">
        <f t="shared" si="139"/>
        <v>42.987000000000002</v>
      </c>
    </row>
    <row r="276" spans="1:20" s="3" customFormat="1">
      <c r="A276" s="109" t="s">
        <v>755</v>
      </c>
      <c r="B276" s="109" t="s">
        <v>756</v>
      </c>
      <c r="C276" s="118"/>
      <c r="D276" s="118"/>
      <c r="E276" s="105"/>
      <c r="F276" s="105"/>
      <c r="G276" s="105"/>
      <c r="H276" s="105" t="s">
        <v>757</v>
      </c>
      <c r="I276" s="105"/>
      <c r="J276" s="105"/>
      <c r="K276" s="118"/>
      <c r="L276" s="173">
        <v>147</v>
      </c>
      <c r="N276" s="239">
        <f t="shared" si="133"/>
        <v>55.345500000000001</v>
      </c>
      <c r="O276" s="239">
        <f t="shared" si="134"/>
        <v>55.345500000000001</v>
      </c>
      <c r="P276" s="239">
        <f t="shared" si="135"/>
        <v>66.444000000000003</v>
      </c>
      <c r="Q276" s="239">
        <f t="shared" si="136"/>
        <v>55.713000000000001</v>
      </c>
      <c r="R276" s="239">
        <f t="shared" si="137"/>
        <v>73.352999999999994</v>
      </c>
      <c r="S276" s="239">
        <f t="shared" si="138"/>
        <v>63.21</v>
      </c>
      <c r="T276" s="239">
        <f t="shared" si="139"/>
        <v>71.001000000000005</v>
      </c>
    </row>
    <row r="277" spans="1:20" s="3" customFormat="1" ht="25.5">
      <c r="A277" s="109" t="s">
        <v>758</v>
      </c>
      <c r="B277" s="109" t="s">
        <v>759</v>
      </c>
      <c r="C277" s="118"/>
      <c r="D277" s="118"/>
      <c r="E277" s="105"/>
      <c r="F277" s="105"/>
      <c r="G277" s="105"/>
      <c r="H277" s="105" t="s">
        <v>760</v>
      </c>
      <c r="I277" s="105"/>
      <c r="J277" s="105"/>
      <c r="K277" s="118"/>
      <c r="L277" s="173">
        <v>147</v>
      </c>
      <c r="N277" s="239">
        <f t="shared" si="133"/>
        <v>55.345500000000001</v>
      </c>
      <c r="O277" s="239">
        <f t="shared" si="134"/>
        <v>55.345500000000001</v>
      </c>
      <c r="P277" s="239">
        <f t="shared" si="135"/>
        <v>66.444000000000003</v>
      </c>
      <c r="Q277" s="239">
        <f t="shared" si="136"/>
        <v>55.713000000000001</v>
      </c>
      <c r="R277" s="239">
        <f t="shared" si="137"/>
        <v>73.352999999999994</v>
      </c>
      <c r="S277" s="239">
        <f t="shared" si="138"/>
        <v>63.21</v>
      </c>
      <c r="T277" s="239">
        <f t="shared" si="139"/>
        <v>71.001000000000005</v>
      </c>
    </row>
    <row r="278" spans="1:20" s="3" customFormat="1" ht="25.5">
      <c r="A278" s="109" t="s">
        <v>761</v>
      </c>
      <c r="B278" s="109" t="s">
        <v>762</v>
      </c>
      <c r="C278" s="118"/>
      <c r="D278" s="118"/>
      <c r="E278" s="105"/>
      <c r="F278" s="105"/>
      <c r="G278" s="105"/>
      <c r="H278" s="105" t="s">
        <v>763</v>
      </c>
      <c r="I278" s="105" t="s">
        <v>764</v>
      </c>
      <c r="J278" s="105"/>
      <c r="K278" s="118"/>
      <c r="L278" s="173">
        <v>147</v>
      </c>
      <c r="N278" s="239">
        <f t="shared" si="133"/>
        <v>55.345500000000001</v>
      </c>
      <c r="O278" s="239">
        <f t="shared" si="134"/>
        <v>55.345500000000001</v>
      </c>
      <c r="P278" s="239">
        <f t="shared" si="135"/>
        <v>66.444000000000003</v>
      </c>
      <c r="Q278" s="239">
        <f t="shared" si="136"/>
        <v>55.713000000000001</v>
      </c>
      <c r="R278" s="239">
        <f t="shared" si="137"/>
        <v>73.352999999999994</v>
      </c>
      <c r="S278" s="239">
        <f t="shared" si="138"/>
        <v>63.21</v>
      </c>
      <c r="T278" s="239">
        <f t="shared" si="139"/>
        <v>71.001000000000005</v>
      </c>
    </row>
    <row r="279" spans="1:20" s="3" customFormat="1" ht="25.5">
      <c r="A279" s="109" t="s">
        <v>765</v>
      </c>
      <c r="B279" s="109" t="s">
        <v>766</v>
      </c>
      <c r="C279" s="118"/>
      <c r="D279" s="118"/>
      <c r="E279" s="105"/>
      <c r="F279" s="105"/>
      <c r="G279" s="105"/>
      <c r="H279" s="105"/>
      <c r="I279" s="105" t="s">
        <v>767</v>
      </c>
      <c r="J279" s="105"/>
      <c r="K279" s="118"/>
      <c r="L279" s="173">
        <v>159</v>
      </c>
      <c r="N279" s="239">
        <f t="shared" si="133"/>
        <v>59.863500000000002</v>
      </c>
      <c r="O279" s="239">
        <f t="shared" si="134"/>
        <v>59.863500000000002</v>
      </c>
      <c r="P279" s="239">
        <f t="shared" si="135"/>
        <v>71.867999999999995</v>
      </c>
      <c r="Q279" s="239">
        <f t="shared" si="136"/>
        <v>60.261000000000003</v>
      </c>
      <c r="R279" s="239">
        <f t="shared" si="137"/>
        <v>79.340999999999994</v>
      </c>
      <c r="S279" s="239">
        <f t="shared" si="138"/>
        <v>68.37</v>
      </c>
      <c r="T279" s="239">
        <f t="shared" si="139"/>
        <v>76.796999999999997</v>
      </c>
    </row>
    <row r="280" spans="1:20" s="3" customFormat="1">
      <c r="A280" s="113"/>
      <c r="B280" s="114"/>
      <c r="C280" s="115"/>
      <c r="D280" s="116"/>
      <c r="E280" s="116"/>
      <c r="F280" s="116"/>
      <c r="G280" s="116"/>
      <c r="H280" s="116"/>
      <c r="I280" s="116"/>
      <c r="J280" s="116"/>
      <c r="K280" s="182"/>
      <c r="L280" s="173"/>
      <c r="N280" s="239"/>
      <c r="O280" s="239"/>
      <c r="P280" s="239"/>
      <c r="Q280" s="239"/>
      <c r="R280" s="239"/>
      <c r="S280" s="239"/>
      <c r="T280" s="239"/>
    </row>
    <row r="281" spans="1:20" s="3" customFormat="1">
      <c r="A281" s="89" t="s">
        <v>251</v>
      </c>
      <c r="B281" s="62"/>
      <c r="C281" s="62"/>
      <c r="D281" s="81"/>
      <c r="E281" s="81"/>
      <c r="F281" s="81"/>
      <c r="G281" s="81"/>
      <c r="H281" s="81"/>
      <c r="I281" s="81"/>
      <c r="J281" s="81"/>
      <c r="K281" s="62"/>
      <c r="L281" s="169"/>
      <c r="N281" s="242"/>
      <c r="O281" s="242"/>
      <c r="P281" s="242"/>
      <c r="Q281" s="242"/>
      <c r="R281" s="242"/>
      <c r="S281" s="242"/>
      <c r="T281" s="242"/>
    </row>
    <row r="282" spans="1:20" s="3" customFormat="1">
      <c r="A282" s="109" t="s">
        <v>768</v>
      </c>
      <c r="B282" s="109" t="s">
        <v>260</v>
      </c>
      <c r="C282" s="118"/>
      <c r="D282" s="105" t="s">
        <v>524</v>
      </c>
      <c r="E282" s="105" t="s">
        <v>769</v>
      </c>
      <c r="F282" s="105" t="s">
        <v>770</v>
      </c>
      <c r="G282" s="105" t="s">
        <v>771</v>
      </c>
      <c r="H282" s="105" t="s">
        <v>772</v>
      </c>
      <c r="I282" s="105" t="s">
        <v>773</v>
      </c>
      <c r="J282" s="105"/>
      <c r="K282" s="118"/>
      <c r="L282" s="173">
        <v>80</v>
      </c>
      <c r="N282" s="239">
        <f t="shared" si="133"/>
        <v>30.12</v>
      </c>
      <c r="O282" s="239">
        <f t="shared" si="134"/>
        <v>30.12</v>
      </c>
      <c r="P282" s="239">
        <f t="shared" si="135"/>
        <v>36.160000000000004</v>
      </c>
      <c r="Q282" s="239">
        <f t="shared" si="136"/>
        <v>30.32</v>
      </c>
      <c r="R282" s="239">
        <f t="shared" si="137"/>
        <v>39.92</v>
      </c>
      <c r="S282" s="239">
        <f t="shared" si="138"/>
        <v>34.4</v>
      </c>
      <c r="T282" s="239">
        <f t="shared" si="139"/>
        <v>38.64</v>
      </c>
    </row>
    <row r="283" spans="1:20" s="3" customFormat="1">
      <c r="A283" s="109"/>
      <c r="B283" s="109"/>
      <c r="C283" s="118"/>
      <c r="D283" s="105"/>
      <c r="E283" s="105"/>
      <c r="F283" s="105"/>
      <c r="G283" s="105"/>
      <c r="H283" s="105"/>
      <c r="I283" s="105"/>
      <c r="J283" s="105"/>
      <c r="K283" s="118"/>
      <c r="L283" s="173"/>
      <c r="N283" s="239"/>
      <c r="O283" s="239"/>
      <c r="P283" s="239"/>
      <c r="Q283" s="239"/>
      <c r="R283" s="239"/>
      <c r="S283" s="239"/>
      <c r="T283" s="239"/>
    </row>
    <row r="284" spans="1:20" s="3" customFormat="1">
      <c r="A284" s="89" t="s">
        <v>774</v>
      </c>
      <c r="B284" s="62"/>
      <c r="C284" s="62"/>
      <c r="D284" s="81"/>
      <c r="E284" s="81"/>
      <c r="F284" s="81"/>
      <c r="G284" s="81"/>
      <c r="H284" s="81"/>
      <c r="I284" s="81"/>
      <c r="J284" s="81"/>
      <c r="K284" s="62"/>
      <c r="L284" s="169"/>
      <c r="N284" s="242"/>
      <c r="O284" s="242"/>
      <c r="P284" s="242"/>
      <c r="Q284" s="242"/>
      <c r="R284" s="242"/>
      <c r="S284" s="242"/>
      <c r="T284" s="242"/>
    </row>
    <row r="285" spans="1:20" s="3" customFormat="1">
      <c r="A285" s="109" t="s">
        <v>775</v>
      </c>
      <c r="B285" s="109" t="s">
        <v>776</v>
      </c>
      <c r="C285" s="118"/>
      <c r="D285" s="105"/>
      <c r="E285" s="105"/>
      <c r="F285" s="105"/>
      <c r="G285" s="105"/>
      <c r="H285" s="105" t="s">
        <v>777</v>
      </c>
      <c r="I285" s="105" t="s">
        <v>778</v>
      </c>
      <c r="J285" s="105"/>
      <c r="K285" s="118"/>
      <c r="L285" s="173">
        <v>15</v>
      </c>
      <c r="N285" s="239">
        <f t="shared" ref="N285" si="140">L285*$N$8</f>
        <v>5.6475</v>
      </c>
      <c r="O285" s="239">
        <f t="shared" ref="O285" si="141">L285*$O$8</f>
        <v>5.6475</v>
      </c>
      <c r="P285" s="239">
        <f t="shared" ref="P285" si="142">L285*$P$8</f>
        <v>6.78</v>
      </c>
      <c r="Q285" s="239">
        <f t="shared" ref="Q285" si="143">L285*$Q$8</f>
        <v>5.6850000000000005</v>
      </c>
      <c r="R285" s="239">
        <f t="shared" ref="R285" si="144">L285*$R$8</f>
        <v>7.4850000000000003</v>
      </c>
      <c r="S285" s="239">
        <f t="shared" ref="S285" si="145">L285*$S$8</f>
        <v>6.45</v>
      </c>
      <c r="T285" s="239">
        <f t="shared" ref="T285" si="146">L285*$T$8</f>
        <v>7.2450000000000001</v>
      </c>
    </row>
    <row r="286" spans="1:20" s="3" customFormat="1">
      <c r="A286" s="106"/>
      <c r="B286" s="106"/>
      <c r="C286" s="107"/>
      <c r="D286" s="104"/>
      <c r="E286" s="104"/>
      <c r="F286" s="104"/>
      <c r="G286" s="104"/>
      <c r="H286" s="104"/>
      <c r="I286" s="104"/>
      <c r="J286" s="104"/>
      <c r="K286" s="107"/>
      <c r="L286" s="173"/>
      <c r="N286" s="239"/>
      <c r="O286" s="239"/>
      <c r="P286" s="239"/>
      <c r="Q286" s="239"/>
      <c r="R286" s="239"/>
      <c r="S286" s="239"/>
      <c r="T286" s="239"/>
    </row>
    <row r="287" spans="1:20" s="3" customFormat="1">
      <c r="A287" s="89" t="s">
        <v>779</v>
      </c>
      <c r="B287" s="62"/>
      <c r="C287" s="62"/>
      <c r="D287" s="81"/>
      <c r="E287" s="81"/>
      <c r="F287" s="81"/>
      <c r="G287" s="81"/>
      <c r="H287" s="81"/>
      <c r="I287" s="81"/>
      <c r="J287" s="81"/>
      <c r="K287" s="62"/>
      <c r="L287" s="169"/>
      <c r="N287" s="242"/>
      <c r="O287" s="242"/>
      <c r="P287" s="242"/>
      <c r="Q287" s="242"/>
      <c r="R287" s="242"/>
      <c r="S287" s="242"/>
      <c r="T287" s="242"/>
    </row>
    <row r="288" spans="1:20" s="3" customFormat="1">
      <c r="A288" s="109" t="s">
        <v>780</v>
      </c>
      <c r="B288" s="109" t="s">
        <v>271</v>
      </c>
      <c r="C288" s="118"/>
      <c r="D288" s="105" t="s">
        <v>781</v>
      </c>
      <c r="E288" s="105" t="s">
        <v>782</v>
      </c>
      <c r="F288" s="105" t="s">
        <v>783</v>
      </c>
      <c r="G288" s="105" t="s">
        <v>784</v>
      </c>
      <c r="H288" s="105" t="s">
        <v>785</v>
      </c>
      <c r="I288" s="105" t="s">
        <v>786</v>
      </c>
      <c r="J288" s="105"/>
      <c r="K288" s="118"/>
      <c r="L288" s="173">
        <v>5</v>
      </c>
      <c r="N288" s="239">
        <f t="shared" si="133"/>
        <v>1.8825000000000001</v>
      </c>
      <c r="O288" s="239">
        <f t="shared" si="134"/>
        <v>1.8825000000000001</v>
      </c>
      <c r="P288" s="239">
        <f t="shared" si="135"/>
        <v>2.2600000000000002</v>
      </c>
      <c r="Q288" s="239">
        <f t="shared" si="136"/>
        <v>1.895</v>
      </c>
      <c r="R288" s="239">
        <f t="shared" si="137"/>
        <v>2.4950000000000001</v>
      </c>
      <c r="S288" s="239">
        <f t="shared" si="138"/>
        <v>2.15</v>
      </c>
      <c r="T288" s="239">
        <f t="shared" si="139"/>
        <v>2.415</v>
      </c>
    </row>
    <row r="289" spans="1:20" s="3" customFormat="1">
      <c r="A289" s="113"/>
      <c r="B289" s="114"/>
      <c r="C289" s="115"/>
      <c r="D289" s="116"/>
      <c r="E289" s="116"/>
      <c r="F289" s="116"/>
      <c r="G289" s="116"/>
      <c r="H289" s="116"/>
      <c r="I289" s="116"/>
      <c r="J289" s="116"/>
      <c r="K289" s="182"/>
      <c r="L289" s="173"/>
      <c r="N289" s="239"/>
      <c r="O289" s="239"/>
      <c r="P289" s="239"/>
      <c r="Q289" s="239"/>
      <c r="R289" s="239"/>
      <c r="S289" s="239"/>
      <c r="T289" s="239"/>
    </row>
    <row r="290" spans="1:20" s="3" customFormat="1">
      <c r="A290" s="89" t="s">
        <v>276</v>
      </c>
      <c r="B290" s="62"/>
      <c r="C290" s="62"/>
      <c r="D290" s="81"/>
      <c r="E290" s="81"/>
      <c r="F290" s="81"/>
      <c r="G290" s="81"/>
      <c r="H290" s="81"/>
      <c r="I290" s="81"/>
      <c r="J290" s="81"/>
      <c r="K290" s="62"/>
      <c r="L290" s="169"/>
      <c r="N290" s="242"/>
      <c r="O290" s="242"/>
      <c r="P290" s="242"/>
      <c r="Q290" s="242"/>
      <c r="R290" s="242"/>
      <c r="S290" s="242"/>
      <c r="T290" s="242"/>
    </row>
    <row r="291" spans="1:20">
      <c r="A291" s="109" t="s">
        <v>787</v>
      </c>
      <c r="B291" s="109" t="s">
        <v>285</v>
      </c>
      <c r="C291" s="118"/>
      <c r="D291" s="105" t="s">
        <v>788</v>
      </c>
      <c r="E291" s="105" t="s">
        <v>789</v>
      </c>
      <c r="F291" s="105" t="s">
        <v>790</v>
      </c>
      <c r="G291" s="105" t="s">
        <v>791</v>
      </c>
      <c r="H291" s="105" t="s">
        <v>792</v>
      </c>
      <c r="I291" s="105" t="s">
        <v>793</v>
      </c>
      <c r="J291" s="105"/>
      <c r="K291" s="118"/>
      <c r="L291" s="173">
        <v>0</v>
      </c>
      <c r="N291" s="239">
        <f t="shared" si="133"/>
        <v>0</v>
      </c>
      <c r="O291" s="239">
        <f t="shared" si="134"/>
        <v>0</v>
      </c>
      <c r="P291" s="239">
        <f t="shared" si="135"/>
        <v>0</v>
      </c>
      <c r="Q291" s="239">
        <f t="shared" si="136"/>
        <v>0</v>
      </c>
      <c r="R291" s="239">
        <f t="shared" si="137"/>
        <v>0</v>
      </c>
      <c r="S291" s="239">
        <f t="shared" si="138"/>
        <v>0</v>
      </c>
      <c r="T291" s="239">
        <f t="shared" si="139"/>
        <v>0</v>
      </c>
    </row>
    <row r="292" spans="1:20">
      <c r="A292" s="113"/>
      <c r="B292" s="114"/>
      <c r="C292" s="115"/>
      <c r="D292" s="116"/>
      <c r="E292" s="116"/>
      <c r="F292" s="116"/>
      <c r="G292" s="116"/>
      <c r="H292" s="116"/>
      <c r="I292" s="116"/>
      <c r="J292" s="116"/>
      <c r="K292" s="182"/>
      <c r="L292" s="173"/>
      <c r="N292" s="239"/>
      <c r="O292" s="239"/>
      <c r="P292" s="239"/>
      <c r="Q292" s="239"/>
      <c r="R292" s="239"/>
      <c r="S292" s="239"/>
      <c r="T292" s="239"/>
    </row>
    <row r="293" spans="1:20">
      <c r="A293" s="89" t="s">
        <v>287</v>
      </c>
      <c r="B293" s="62"/>
      <c r="C293" s="62"/>
      <c r="D293" s="81"/>
      <c r="E293" s="81"/>
      <c r="F293" s="81"/>
      <c r="G293" s="81"/>
      <c r="H293" s="81"/>
      <c r="I293" s="81"/>
      <c r="J293" s="81"/>
      <c r="K293" s="62"/>
      <c r="L293" s="169"/>
      <c r="N293" s="242"/>
      <c r="O293" s="242"/>
      <c r="P293" s="242"/>
      <c r="Q293" s="242"/>
      <c r="R293" s="242"/>
      <c r="S293" s="242"/>
      <c r="T293" s="242"/>
    </row>
    <row r="294" spans="1:20">
      <c r="A294" s="109" t="s">
        <v>540</v>
      </c>
      <c r="B294" s="109" t="s">
        <v>541</v>
      </c>
      <c r="C294" s="118"/>
      <c r="D294" s="105" t="s">
        <v>794</v>
      </c>
      <c r="E294" s="105" t="s">
        <v>795</v>
      </c>
      <c r="F294" s="105" t="s">
        <v>796</v>
      </c>
      <c r="G294" s="105" t="s">
        <v>797</v>
      </c>
      <c r="H294" s="105" t="s">
        <v>798</v>
      </c>
      <c r="I294" s="105" t="s">
        <v>799</v>
      </c>
      <c r="J294" s="105"/>
      <c r="K294" s="118"/>
      <c r="L294" s="173">
        <v>2</v>
      </c>
      <c r="N294" s="239">
        <f t="shared" si="133"/>
        <v>0.753</v>
      </c>
      <c r="O294" s="239">
        <f t="shared" si="134"/>
        <v>0.753</v>
      </c>
      <c r="P294" s="239">
        <f t="shared" si="135"/>
        <v>0.90400000000000003</v>
      </c>
      <c r="Q294" s="239">
        <f t="shared" si="136"/>
        <v>0.75800000000000001</v>
      </c>
      <c r="R294" s="239">
        <f t="shared" si="137"/>
        <v>0.998</v>
      </c>
      <c r="S294" s="239">
        <f t="shared" si="138"/>
        <v>0.86</v>
      </c>
      <c r="T294" s="239">
        <f t="shared" si="139"/>
        <v>0.96599999999999997</v>
      </c>
    </row>
    <row r="295" spans="1:20">
      <c r="A295" s="109" t="s">
        <v>90</v>
      </c>
      <c r="B295" s="109" t="s">
        <v>288</v>
      </c>
      <c r="C295" s="118"/>
      <c r="D295" s="105" t="s">
        <v>800</v>
      </c>
      <c r="E295" s="105" t="s">
        <v>801</v>
      </c>
      <c r="F295" s="105" t="s">
        <v>802</v>
      </c>
      <c r="G295" s="105" t="s">
        <v>803</v>
      </c>
      <c r="H295" s="105" t="s">
        <v>804</v>
      </c>
      <c r="I295" s="105" t="s">
        <v>805</v>
      </c>
      <c r="J295" s="105"/>
      <c r="K295" s="118"/>
      <c r="L295" s="173">
        <v>6</v>
      </c>
      <c r="N295" s="239">
        <f t="shared" si="133"/>
        <v>2.2589999999999999</v>
      </c>
      <c r="O295" s="239">
        <f t="shared" si="134"/>
        <v>2.2589999999999999</v>
      </c>
      <c r="P295" s="239">
        <f t="shared" si="135"/>
        <v>2.7120000000000002</v>
      </c>
      <c r="Q295" s="239">
        <f t="shared" si="136"/>
        <v>2.274</v>
      </c>
      <c r="R295" s="239">
        <f t="shared" si="137"/>
        <v>2.9939999999999998</v>
      </c>
      <c r="S295" s="239">
        <f t="shared" si="138"/>
        <v>2.58</v>
      </c>
      <c r="T295" s="239">
        <f t="shared" si="139"/>
        <v>2.8979999999999997</v>
      </c>
    </row>
    <row r="296" spans="1:20">
      <c r="A296" s="113"/>
      <c r="B296" s="114"/>
      <c r="C296" s="115"/>
      <c r="D296" s="116"/>
      <c r="E296" s="116"/>
      <c r="F296" s="116"/>
      <c r="G296" s="116"/>
      <c r="H296" s="116"/>
      <c r="I296" s="116"/>
      <c r="J296" s="116"/>
      <c r="K296" s="182"/>
      <c r="L296" s="173"/>
      <c r="N296" s="239"/>
      <c r="O296" s="239"/>
      <c r="P296" s="239"/>
      <c r="Q296" s="239"/>
      <c r="R296" s="239"/>
      <c r="S296" s="239"/>
      <c r="T296" s="239"/>
    </row>
    <row r="297" spans="1:20">
      <c r="A297" s="89" t="s">
        <v>552</v>
      </c>
      <c r="B297" s="62"/>
      <c r="C297" s="62"/>
      <c r="D297" s="81"/>
      <c r="E297" s="81"/>
      <c r="F297" s="81"/>
      <c r="G297" s="81"/>
      <c r="H297" s="81"/>
      <c r="I297" s="81"/>
      <c r="J297" s="81"/>
      <c r="K297" s="62"/>
      <c r="L297" s="169"/>
      <c r="N297" s="242"/>
      <c r="O297" s="242"/>
      <c r="P297" s="242"/>
      <c r="Q297" s="242"/>
      <c r="R297" s="242"/>
      <c r="S297" s="242"/>
      <c r="T297" s="242"/>
    </row>
    <row r="298" spans="1:20">
      <c r="A298" s="109" t="s">
        <v>806</v>
      </c>
      <c r="B298" s="109" t="s">
        <v>807</v>
      </c>
      <c r="C298" s="118"/>
      <c r="D298" s="105" t="s">
        <v>808</v>
      </c>
      <c r="E298" s="105" t="s">
        <v>809</v>
      </c>
      <c r="F298" s="105" t="s">
        <v>810</v>
      </c>
      <c r="G298" s="105" t="s">
        <v>811</v>
      </c>
      <c r="H298" s="105" t="s">
        <v>812</v>
      </c>
      <c r="I298" s="105" t="s">
        <v>813</v>
      </c>
      <c r="J298" s="105"/>
      <c r="K298" s="118"/>
      <c r="L298" s="173">
        <v>6</v>
      </c>
      <c r="N298" s="239">
        <f t="shared" si="133"/>
        <v>2.2589999999999999</v>
      </c>
      <c r="O298" s="239">
        <f t="shared" si="134"/>
        <v>2.2589999999999999</v>
      </c>
      <c r="P298" s="239">
        <f t="shared" si="135"/>
        <v>2.7120000000000002</v>
      </c>
      <c r="Q298" s="239">
        <f t="shared" si="136"/>
        <v>2.274</v>
      </c>
      <c r="R298" s="239">
        <f t="shared" si="137"/>
        <v>2.9939999999999998</v>
      </c>
      <c r="S298" s="239">
        <f t="shared" si="138"/>
        <v>2.58</v>
      </c>
      <c r="T298" s="239">
        <f t="shared" si="139"/>
        <v>2.8979999999999997</v>
      </c>
    </row>
    <row r="299" spans="1:20">
      <c r="A299" s="109" t="s">
        <v>814</v>
      </c>
      <c r="B299" s="109" t="s">
        <v>815</v>
      </c>
      <c r="C299" s="118"/>
      <c r="D299" s="105"/>
      <c r="E299" s="105" t="s">
        <v>816</v>
      </c>
      <c r="F299" s="105"/>
      <c r="G299" s="105" t="s">
        <v>817</v>
      </c>
      <c r="H299" s="105"/>
      <c r="I299" s="105" t="s">
        <v>818</v>
      </c>
      <c r="J299" s="105"/>
      <c r="K299" s="118"/>
      <c r="L299" s="173">
        <v>7</v>
      </c>
      <c r="N299" s="239">
        <f t="shared" si="133"/>
        <v>2.6355</v>
      </c>
      <c r="O299" s="239">
        <f t="shared" si="134"/>
        <v>2.6355</v>
      </c>
      <c r="P299" s="239">
        <f t="shared" si="135"/>
        <v>3.1640000000000001</v>
      </c>
      <c r="Q299" s="239">
        <f t="shared" si="136"/>
        <v>2.653</v>
      </c>
      <c r="R299" s="239">
        <f t="shared" si="137"/>
        <v>3.4929999999999999</v>
      </c>
      <c r="S299" s="239">
        <f t="shared" si="138"/>
        <v>3.01</v>
      </c>
      <c r="T299" s="239">
        <f t="shared" si="139"/>
        <v>3.3809999999999998</v>
      </c>
    </row>
    <row r="300" spans="1:20">
      <c r="A300" s="109" t="s">
        <v>553</v>
      </c>
      <c r="B300" s="109" t="s">
        <v>819</v>
      </c>
      <c r="C300" s="118" t="s">
        <v>350</v>
      </c>
      <c r="D300" s="105" t="s">
        <v>820</v>
      </c>
      <c r="E300" s="105"/>
      <c r="F300" s="105" t="s">
        <v>821</v>
      </c>
      <c r="G300" s="105"/>
      <c r="H300" s="105" t="s">
        <v>822</v>
      </c>
      <c r="I300" s="105"/>
      <c r="J300" s="105"/>
      <c r="K300" s="118"/>
      <c r="L300" s="173">
        <v>7</v>
      </c>
      <c r="N300" s="239">
        <f t="shared" si="133"/>
        <v>2.6355</v>
      </c>
      <c r="O300" s="239">
        <f t="shared" si="134"/>
        <v>2.6355</v>
      </c>
      <c r="P300" s="239">
        <f t="shared" si="135"/>
        <v>3.1640000000000001</v>
      </c>
      <c r="Q300" s="239">
        <f t="shared" si="136"/>
        <v>2.653</v>
      </c>
      <c r="R300" s="239">
        <f t="shared" si="137"/>
        <v>3.4929999999999999</v>
      </c>
      <c r="S300" s="239">
        <f t="shared" si="138"/>
        <v>3.01</v>
      </c>
      <c r="T300" s="239">
        <f t="shared" si="139"/>
        <v>3.3809999999999998</v>
      </c>
    </row>
    <row r="301" spans="1:20">
      <c r="A301" s="109" t="s">
        <v>823</v>
      </c>
      <c r="B301" s="109" t="s">
        <v>296</v>
      </c>
      <c r="C301" s="118"/>
      <c r="D301" s="105" t="s">
        <v>824</v>
      </c>
      <c r="E301" s="105" t="s">
        <v>825</v>
      </c>
      <c r="F301" s="105" t="s">
        <v>826</v>
      </c>
      <c r="G301" s="105" t="s">
        <v>827</v>
      </c>
      <c r="H301" s="105" t="s">
        <v>828</v>
      </c>
      <c r="I301" s="105" t="s">
        <v>829</v>
      </c>
      <c r="J301" s="105"/>
      <c r="K301" s="118"/>
      <c r="L301" s="173">
        <v>85</v>
      </c>
      <c r="N301" s="239">
        <f t="shared" si="133"/>
        <v>32.002499999999998</v>
      </c>
      <c r="O301" s="239">
        <f t="shared" si="134"/>
        <v>32.002499999999998</v>
      </c>
      <c r="P301" s="239">
        <f t="shared" si="135"/>
        <v>38.42</v>
      </c>
      <c r="Q301" s="239">
        <f t="shared" si="136"/>
        <v>32.215000000000003</v>
      </c>
      <c r="R301" s="239">
        <f t="shared" si="137"/>
        <v>42.414999999999999</v>
      </c>
      <c r="S301" s="239">
        <f t="shared" si="138"/>
        <v>36.549999999999997</v>
      </c>
      <c r="T301" s="239">
        <f t="shared" si="139"/>
        <v>41.055</v>
      </c>
    </row>
    <row r="302" spans="1:20">
      <c r="A302" s="109" t="s">
        <v>830</v>
      </c>
      <c r="B302" s="109" t="s">
        <v>831</v>
      </c>
      <c r="C302" s="118"/>
      <c r="D302" s="105" t="s">
        <v>832</v>
      </c>
      <c r="E302" s="105"/>
      <c r="F302" s="105" t="s">
        <v>833</v>
      </c>
      <c r="G302" s="105"/>
      <c r="H302" s="105" t="s">
        <v>834</v>
      </c>
      <c r="I302" s="105"/>
      <c r="J302" s="105"/>
      <c r="K302" s="118"/>
      <c r="L302" s="173">
        <v>260</v>
      </c>
      <c r="N302" s="239">
        <f t="shared" si="133"/>
        <v>97.89</v>
      </c>
      <c r="O302" s="239">
        <f t="shared" si="134"/>
        <v>97.89</v>
      </c>
      <c r="P302" s="239">
        <f t="shared" si="135"/>
        <v>117.52000000000001</v>
      </c>
      <c r="Q302" s="239">
        <f t="shared" si="136"/>
        <v>98.54</v>
      </c>
      <c r="R302" s="239">
        <f t="shared" si="137"/>
        <v>129.74</v>
      </c>
      <c r="S302" s="239">
        <f t="shared" si="138"/>
        <v>111.8</v>
      </c>
      <c r="T302" s="239">
        <f t="shared" si="139"/>
        <v>125.58</v>
      </c>
    </row>
    <row r="303" spans="1:20">
      <c r="A303" s="113"/>
      <c r="B303" s="114"/>
      <c r="C303" s="115"/>
      <c r="D303" s="116"/>
      <c r="E303" s="116"/>
      <c r="F303" s="116"/>
      <c r="G303" s="116"/>
      <c r="H303" s="116"/>
      <c r="I303" s="116"/>
      <c r="J303" s="116"/>
      <c r="K303" s="182"/>
      <c r="L303" s="173"/>
      <c r="N303" s="239"/>
      <c r="O303" s="239"/>
      <c r="P303" s="239"/>
      <c r="Q303" s="239"/>
      <c r="R303" s="239"/>
      <c r="S303" s="239"/>
      <c r="T303" s="239"/>
    </row>
    <row r="304" spans="1:20">
      <c r="A304" s="89" t="s">
        <v>564</v>
      </c>
      <c r="B304" s="62"/>
      <c r="C304" s="62"/>
      <c r="D304" s="81"/>
      <c r="E304" s="81"/>
      <c r="F304" s="81"/>
      <c r="G304" s="81"/>
      <c r="H304" s="81"/>
      <c r="I304" s="81"/>
      <c r="J304" s="81"/>
      <c r="K304" s="62"/>
      <c r="L304" s="169"/>
      <c r="N304" s="242"/>
      <c r="O304" s="242"/>
      <c r="P304" s="242"/>
      <c r="Q304" s="242"/>
      <c r="R304" s="242"/>
      <c r="S304" s="242"/>
      <c r="T304" s="242"/>
    </row>
    <row r="305" spans="1:20">
      <c r="A305" s="109" t="s">
        <v>835</v>
      </c>
      <c r="B305" s="109" t="s">
        <v>836</v>
      </c>
      <c r="C305" s="118"/>
      <c r="D305" s="105" t="s">
        <v>837</v>
      </c>
      <c r="E305" s="105" t="s">
        <v>838</v>
      </c>
      <c r="F305" s="105" t="s">
        <v>839</v>
      </c>
      <c r="G305" s="105" t="s">
        <v>838</v>
      </c>
      <c r="H305" s="105" t="s">
        <v>840</v>
      </c>
      <c r="I305" s="105" t="s">
        <v>838</v>
      </c>
      <c r="J305" s="105"/>
      <c r="K305" s="118"/>
      <c r="L305" s="173">
        <v>1</v>
      </c>
      <c r="N305" s="239">
        <f t="shared" si="133"/>
        <v>0.3765</v>
      </c>
      <c r="O305" s="239">
        <f t="shared" si="134"/>
        <v>0.3765</v>
      </c>
      <c r="P305" s="239">
        <f t="shared" si="135"/>
        <v>0.45200000000000001</v>
      </c>
      <c r="Q305" s="239">
        <f t="shared" si="136"/>
        <v>0.379</v>
      </c>
      <c r="R305" s="239">
        <f t="shared" si="137"/>
        <v>0.499</v>
      </c>
      <c r="S305" s="239">
        <f t="shared" si="138"/>
        <v>0.43</v>
      </c>
      <c r="T305" s="239">
        <f t="shared" si="139"/>
        <v>0.48299999999999998</v>
      </c>
    </row>
    <row r="306" spans="1:20">
      <c r="A306" s="109" t="s">
        <v>841</v>
      </c>
      <c r="B306" s="109" t="s">
        <v>842</v>
      </c>
      <c r="C306" s="118"/>
      <c r="D306" s="105" t="s">
        <v>843</v>
      </c>
      <c r="E306" s="105" t="s">
        <v>844</v>
      </c>
      <c r="F306" s="105" t="s">
        <v>845</v>
      </c>
      <c r="G306" s="105" t="s">
        <v>846</v>
      </c>
      <c r="H306" s="105" t="s">
        <v>847</v>
      </c>
      <c r="I306" s="105" t="s">
        <v>848</v>
      </c>
      <c r="J306" s="105"/>
      <c r="K306" s="118"/>
      <c r="L306" s="173">
        <v>7</v>
      </c>
      <c r="N306" s="239">
        <f t="shared" si="133"/>
        <v>2.6355</v>
      </c>
      <c r="O306" s="239">
        <f t="shared" si="134"/>
        <v>2.6355</v>
      </c>
      <c r="P306" s="239">
        <f t="shared" si="135"/>
        <v>3.1640000000000001</v>
      </c>
      <c r="Q306" s="239">
        <f t="shared" si="136"/>
        <v>2.653</v>
      </c>
      <c r="R306" s="239">
        <f t="shared" si="137"/>
        <v>3.4929999999999999</v>
      </c>
      <c r="S306" s="239">
        <f t="shared" si="138"/>
        <v>3.01</v>
      </c>
      <c r="T306" s="239">
        <f t="shared" si="139"/>
        <v>3.3809999999999998</v>
      </c>
    </row>
    <row r="307" spans="1:20">
      <c r="A307" s="109" t="s">
        <v>849</v>
      </c>
      <c r="B307" s="109" t="s">
        <v>850</v>
      </c>
      <c r="C307" s="118"/>
      <c r="D307" s="105"/>
      <c r="E307" s="105"/>
      <c r="F307" s="105"/>
      <c r="G307" s="105"/>
      <c r="H307" s="105" t="s">
        <v>851</v>
      </c>
      <c r="I307" s="105" t="s">
        <v>852</v>
      </c>
      <c r="J307" s="105"/>
      <c r="K307" s="118"/>
      <c r="L307" s="173">
        <v>10</v>
      </c>
      <c r="N307" s="239">
        <f t="shared" ref="N307" si="147">L307*$N$8</f>
        <v>3.7650000000000001</v>
      </c>
      <c r="O307" s="239">
        <f t="shared" ref="O307" si="148">L307*$O$8</f>
        <v>3.7650000000000001</v>
      </c>
      <c r="P307" s="239">
        <f t="shared" ref="P307" si="149">L307*$P$8</f>
        <v>4.5200000000000005</v>
      </c>
      <c r="Q307" s="239">
        <f t="shared" ref="Q307" si="150">L307*$Q$8</f>
        <v>3.79</v>
      </c>
      <c r="R307" s="239">
        <f t="shared" ref="R307" si="151">L307*$R$8</f>
        <v>4.99</v>
      </c>
      <c r="S307" s="239">
        <f t="shared" ref="S307" si="152">L307*$S$8</f>
        <v>4.3</v>
      </c>
      <c r="T307" s="239">
        <f t="shared" ref="T307" si="153">L307*$T$8</f>
        <v>4.83</v>
      </c>
    </row>
    <row r="308" spans="1:20" s="3" customFormat="1">
      <c r="A308" s="113"/>
      <c r="B308" s="114"/>
      <c r="C308" s="115"/>
      <c r="D308" s="116"/>
      <c r="E308" s="116"/>
      <c r="F308" s="116"/>
      <c r="G308" s="116"/>
      <c r="H308" s="116"/>
      <c r="I308" s="116"/>
      <c r="J308" s="116"/>
      <c r="K308" s="182"/>
      <c r="L308" s="173"/>
      <c r="N308" s="239"/>
      <c r="O308" s="239"/>
      <c r="P308" s="239"/>
      <c r="Q308" s="239"/>
      <c r="R308" s="239"/>
      <c r="S308" s="239"/>
      <c r="T308" s="239"/>
    </row>
    <row r="309" spans="1:20">
      <c r="A309" s="89" t="s">
        <v>853</v>
      </c>
      <c r="B309" s="90"/>
      <c r="C309" s="90"/>
      <c r="D309" s="91"/>
      <c r="E309" s="91"/>
      <c r="F309" s="91"/>
      <c r="G309" s="91"/>
      <c r="H309" s="91"/>
      <c r="I309" s="91"/>
      <c r="J309" s="91"/>
      <c r="K309" s="90"/>
      <c r="L309" s="168"/>
      <c r="N309" s="238"/>
      <c r="O309" s="238"/>
      <c r="P309" s="238"/>
      <c r="Q309" s="238"/>
      <c r="R309" s="238"/>
      <c r="S309" s="238"/>
      <c r="T309" s="238"/>
    </row>
    <row r="310" spans="1:20">
      <c r="A310" s="109" t="s">
        <v>317</v>
      </c>
      <c r="B310" s="109" t="s">
        <v>318</v>
      </c>
      <c r="C310" s="118"/>
      <c r="D310" s="104" t="s">
        <v>854</v>
      </c>
      <c r="E310" s="104" t="s">
        <v>854</v>
      </c>
      <c r="F310" s="104" t="s">
        <v>854</v>
      </c>
      <c r="G310" s="104" t="s">
        <v>854</v>
      </c>
      <c r="H310" s="104" t="s">
        <v>854</v>
      </c>
      <c r="I310" s="104" t="s">
        <v>854</v>
      </c>
      <c r="J310" s="104"/>
      <c r="K310" s="107"/>
      <c r="L310" s="173">
        <v>20</v>
      </c>
      <c r="N310" s="239">
        <f t="shared" si="133"/>
        <v>7.53</v>
      </c>
      <c r="O310" s="239">
        <f t="shared" si="134"/>
        <v>7.53</v>
      </c>
      <c r="P310" s="239">
        <f t="shared" si="135"/>
        <v>9.0400000000000009</v>
      </c>
      <c r="Q310" s="239">
        <f t="shared" si="136"/>
        <v>7.58</v>
      </c>
      <c r="R310" s="239">
        <f t="shared" si="137"/>
        <v>9.98</v>
      </c>
      <c r="S310" s="239">
        <f t="shared" si="138"/>
        <v>8.6</v>
      </c>
      <c r="T310" s="239">
        <f t="shared" si="139"/>
        <v>9.66</v>
      </c>
    </row>
    <row r="311" spans="1:20">
      <c r="A311" s="109" t="s">
        <v>320</v>
      </c>
      <c r="B311" s="119" t="s">
        <v>321</v>
      </c>
      <c r="C311" s="120"/>
      <c r="D311" s="104" t="s">
        <v>855</v>
      </c>
      <c r="E311" s="104" t="s">
        <v>855</v>
      </c>
      <c r="F311" s="104" t="s">
        <v>855</v>
      </c>
      <c r="G311" s="104" t="s">
        <v>855</v>
      </c>
      <c r="H311" s="104" t="s">
        <v>855</v>
      </c>
      <c r="I311" s="104" t="s">
        <v>855</v>
      </c>
      <c r="J311" s="104"/>
      <c r="K311" s="107"/>
      <c r="L311" s="173">
        <v>60</v>
      </c>
      <c r="N311" s="239">
        <f t="shared" si="133"/>
        <v>22.59</v>
      </c>
      <c r="O311" s="239">
        <f t="shared" si="134"/>
        <v>22.59</v>
      </c>
      <c r="P311" s="239">
        <f t="shared" si="135"/>
        <v>27.12</v>
      </c>
      <c r="Q311" s="239">
        <f t="shared" si="136"/>
        <v>22.740000000000002</v>
      </c>
      <c r="R311" s="239">
        <f t="shared" si="137"/>
        <v>29.94</v>
      </c>
      <c r="S311" s="239">
        <f t="shared" si="138"/>
        <v>25.8</v>
      </c>
      <c r="T311" s="239">
        <f t="shared" si="139"/>
        <v>28.98</v>
      </c>
    </row>
    <row r="312" spans="1:20">
      <c r="A312" s="109" t="s">
        <v>323</v>
      </c>
      <c r="B312" s="109" t="s">
        <v>324</v>
      </c>
      <c r="C312" s="118"/>
      <c r="D312" s="104" t="s">
        <v>856</v>
      </c>
      <c r="E312" s="104" t="s">
        <v>856</v>
      </c>
      <c r="F312" s="104" t="s">
        <v>856</v>
      </c>
      <c r="G312" s="104" t="s">
        <v>856</v>
      </c>
      <c r="H312" s="104" t="s">
        <v>856</v>
      </c>
      <c r="I312" s="104" t="s">
        <v>856</v>
      </c>
      <c r="J312" s="104"/>
      <c r="K312" s="107"/>
      <c r="L312" s="173">
        <v>80</v>
      </c>
      <c r="N312" s="239">
        <f t="shared" si="133"/>
        <v>30.12</v>
      </c>
      <c r="O312" s="239">
        <f t="shared" si="134"/>
        <v>30.12</v>
      </c>
      <c r="P312" s="239">
        <f t="shared" si="135"/>
        <v>36.160000000000004</v>
      </c>
      <c r="Q312" s="239">
        <f t="shared" si="136"/>
        <v>30.32</v>
      </c>
      <c r="R312" s="239">
        <f t="shared" si="137"/>
        <v>39.92</v>
      </c>
      <c r="S312" s="239">
        <f t="shared" si="138"/>
        <v>34.4</v>
      </c>
      <c r="T312" s="239">
        <f t="shared" si="139"/>
        <v>38.64</v>
      </c>
    </row>
    <row r="313" spans="1:20">
      <c r="A313" s="109" t="s">
        <v>574</v>
      </c>
      <c r="B313" s="109" t="s">
        <v>575</v>
      </c>
      <c r="C313" s="118"/>
      <c r="D313" s="104" t="s">
        <v>857</v>
      </c>
      <c r="E313" s="104" t="s">
        <v>857</v>
      </c>
      <c r="F313" s="104" t="s">
        <v>857</v>
      </c>
      <c r="G313" s="104" t="s">
        <v>857</v>
      </c>
      <c r="H313" s="104" t="s">
        <v>857</v>
      </c>
      <c r="I313" s="104" t="s">
        <v>857</v>
      </c>
      <c r="J313" s="104"/>
      <c r="K313" s="107"/>
      <c r="L313" s="173">
        <v>20</v>
      </c>
      <c r="N313" s="239">
        <f t="shared" si="133"/>
        <v>7.53</v>
      </c>
      <c r="O313" s="239">
        <f t="shared" si="134"/>
        <v>7.53</v>
      </c>
      <c r="P313" s="239">
        <f t="shared" si="135"/>
        <v>9.0400000000000009</v>
      </c>
      <c r="Q313" s="239">
        <f t="shared" si="136"/>
        <v>7.58</v>
      </c>
      <c r="R313" s="239">
        <f t="shared" si="137"/>
        <v>9.98</v>
      </c>
      <c r="S313" s="239">
        <f t="shared" si="138"/>
        <v>8.6</v>
      </c>
      <c r="T313" s="239">
        <f t="shared" si="139"/>
        <v>9.66</v>
      </c>
    </row>
    <row r="314" spans="1:20">
      <c r="A314" s="109" t="s">
        <v>326</v>
      </c>
      <c r="B314" s="109" t="s">
        <v>327</v>
      </c>
      <c r="C314" s="118"/>
      <c r="D314" s="105" t="s">
        <v>328</v>
      </c>
      <c r="E314" s="105" t="s">
        <v>328</v>
      </c>
      <c r="F314" s="105" t="s">
        <v>328</v>
      </c>
      <c r="G314" s="105" t="s">
        <v>328</v>
      </c>
      <c r="H314" s="105" t="s">
        <v>328</v>
      </c>
      <c r="I314" s="105" t="s">
        <v>328</v>
      </c>
      <c r="J314" s="105"/>
      <c r="K314" s="118"/>
      <c r="L314" s="173">
        <v>158</v>
      </c>
      <c r="N314" s="239">
        <f t="shared" si="133"/>
        <v>59.487000000000002</v>
      </c>
      <c r="O314" s="239">
        <f t="shared" si="134"/>
        <v>59.487000000000002</v>
      </c>
      <c r="P314" s="239">
        <f t="shared" si="135"/>
        <v>71.415999999999997</v>
      </c>
      <c r="Q314" s="239">
        <f t="shared" si="136"/>
        <v>59.881999999999998</v>
      </c>
      <c r="R314" s="239">
        <f t="shared" si="137"/>
        <v>78.841999999999999</v>
      </c>
      <c r="S314" s="239">
        <f t="shared" si="138"/>
        <v>67.94</v>
      </c>
      <c r="T314" s="239">
        <f t="shared" si="139"/>
        <v>76.313999999999993</v>
      </c>
    </row>
    <row r="315" spans="1:20">
      <c r="A315" s="109" t="s">
        <v>1682</v>
      </c>
      <c r="B315" s="109" t="s">
        <v>1666</v>
      </c>
      <c r="C315" s="118"/>
      <c r="D315" s="109" t="s">
        <v>1708</v>
      </c>
      <c r="E315" s="109" t="s">
        <v>1708</v>
      </c>
      <c r="F315" s="109" t="s">
        <v>1708</v>
      </c>
      <c r="G315" s="109" t="s">
        <v>1708</v>
      </c>
      <c r="H315" s="109" t="s">
        <v>1708</v>
      </c>
      <c r="I315" s="105" t="s">
        <v>1708</v>
      </c>
      <c r="J315" s="105"/>
      <c r="K315" s="118"/>
      <c r="L315" s="173">
        <v>22</v>
      </c>
      <c r="N315" s="239">
        <f t="shared" ref="N315:N316" si="154">L315*$N$8</f>
        <v>8.2829999999999995</v>
      </c>
      <c r="O315" s="239">
        <f t="shared" ref="O315:O316" si="155">L315*$O$8</f>
        <v>8.2829999999999995</v>
      </c>
      <c r="P315" s="239">
        <f t="shared" ref="P315:P316" si="156">L315*$P$8</f>
        <v>9.9440000000000008</v>
      </c>
      <c r="Q315" s="239">
        <f t="shared" ref="Q315:Q316" si="157">L315*$Q$8</f>
        <v>8.338000000000001</v>
      </c>
      <c r="R315" s="239">
        <f t="shared" ref="R315:R316" si="158">L315*$R$8</f>
        <v>10.978</v>
      </c>
      <c r="S315" s="239">
        <f t="shared" ref="S315:S316" si="159">L315*$S$8</f>
        <v>9.4599999999999991</v>
      </c>
      <c r="T315" s="239">
        <f t="shared" ref="T315:T316" si="160">L315*$T$8</f>
        <v>10.625999999999999</v>
      </c>
    </row>
    <row r="316" spans="1:20" ht="25.5">
      <c r="A316" s="109" t="s">
        <v>329</v>
      </c>
      <c r="B316" s="109" t="s">
        <v>330</v>
      </c>
      <c r="C316" s="118"/>
      <c r="D316" s="109" t="s">
        <v>1712</v>
      </c>
      <c r="E316" s="109" t="s">
        <v>1712</v>
      </c>
      <c r="F316" s="109" t="s">
        <v>1712</v>
      </c>
      <c r="G316" s="109" t="s">
        <v>1712</v>
      </c>
      <c r="H316" s="109" t="s">
        <v>1712</v>
      </c>
      <c r="I316" s="109" t="s">
        <v>1712</v>
      </c>
      <c r="J316" s="105"/>
      <c r="K316" s="118"/>
      <c r="L316" s="173">
        <v>82</v>
      </c>
      <c r="N316" s="239">
        <f t="shared" si="154"/>
        <v>30.873000000000001</v>
      </c>
      <c r="O316" s="239">
        <f t="shared" si="155"/>
        <v>30.873000000000001</v>
      </c>
      <c r="P316" s="239">
        <f t="shared" si="156"/>
        <v>37.064</v>
      </c>
      <c r="Q316" s="239">
        <f t="shared" si="157"/>
        <v>31.077999999999999</v>
      </c>
      <c r="R316" s="239">
        <f t="shared" si="158"/>
        <v>40.917999999999999</v>
      </c>
      <c r="S316" s="239">
        <f t="shared" si="159"/>
        <v>35.26</v>
      </c>
      <c r="T316" s="239">
        <f t="shared" si="160"/>
        <v>39.606000000000002</v>
      </c>
    </row>
    <row r="317" spans="1:20">
      <c r="A317" s="113"/>
      <c r="B317" s="114"/>
      <c r="C317" s="115"/>
      <c r="D317" s="116"/>
      <c r="E317" s="116"/>
      <c r="F317" s="116"/>
      <c r="G317" s="116"/>
      <c r="H317" s="116"/>
      <c r="I317" s="116"/>
      <c r="J317" s="116"/>
      <c r="K317" s="182"/>
      <c r="L317" s="173"/>
      <c r="N317" s="239"/>
      <c r="O317" s="239"/>
      <c r="P317" s="239"/>
      <c r="Q317" s="239"/>
      <c r="R317" s="239"/>
      <c r="S317" s="239"/>
      <c r="T317" s="239"/>
    </row>
    <row r="318" spans="1:20" s="13" customFormat="1" ht="31.5">
      <c r="A318" s="101" t="s">
        <v>858</v>
      </c>
      <c r="B318" s="101"/>
      <c r="C318" s="102"/>
      <c r="D318" s="103"/>
      <c r="E318" s="103"/>
      <c r="F318" s="103"/>
      <c r="G318" s="103"/>
      <c r="H318" s="103"/>
      <c r="I318" s="103"/>
      <c r="J318" s="103"/>
      <c r="K318" s="101"/>
      <c r="L318" s="103"/>
      <c r="N318" s="155" t="s">
        <v>1596</v>
      </c>
      <c r="O318" s="155" t="s">
        <v>1597</v>
      </c>
      <c r="P318" s="155" t="s">
        <v>1598</v>
      </c>
      <c r="Q318" s="155" t="s">
        <v>1599</v>
      </c>
      <c r="R318" s="155" t="s">
        <v>1600</v>
      </c>
      <c r="S318" s="155" t="s">
        <v>1601</v>
      </c>
      <c r="T318" s="155" t="s">
        <v>1602</v>
      </c>
    </row>
    <row r="319" spans="1:20" s="13" customFormat="1" ht="99.95" customHeight="1">
      <c r="A319" s="17" t="s">
        <v>117</v>
      </c>
      <c r="B319" s="17" t="s">
        <v>118</v>
      </c>
      <c r="C319" s="17" t="s">
        <v>119</v>
      </c>
      <c r="D319" s="17"/>
      <c r="E319" s="17"/>
      <c r="F319" s="17"/>
      <c r="G319" s="17"/>
      <c r="H319" s="17"/>
      <c r="I319" s="17"/>
      <c r="J319" s="17"/>
      <c r="K319" s="17" t="s">
        <v>120</v>
      </c>
      <c r="L319" s="17" t="s">
        <v>1604</v>
      </c>
      <c r="N319" s="156" t="s">
        <v>1605</v>
      </c>
      <c r="O319" s="156" t="s">
        <v>1605</v>
      </c>
      <c r="P319" s="156" t="s">
        <v>1605</v>
      </c>
      <c r="Q319" s="156" t="s">
        <v>1605</v>
      </c>
      <c r="R319" s="156" t="s">
        <v>1605</v>
      </c>
      <c r="S319" s="156" t="s">
        <v>1605</v>
      </c>
      <c r="T319" s="156" t="s">
        <v>1605</v>
      </c>
    </row>
    <row r="320" spans="1:20" ht="11.45" customHeight="1">
      <c r="A320" s="113"/>
      <c r="B320" s="114"/>
      <c r="C320" s="115"/>
      <c r="D320" s="116"/>
      <c r="E320" s="116"/>
      <c r="F320" s="116"/>
      <c r="G320" s="116"/>
      <c r="H320" s="116"/>
      <c r="I320" s="116"/>
      <c r="J320" s="116"/>
      <c r="K320" s="182"/>
      <c r="L320" s="173"/>
      <c r="N320" s="239"/>
      <c r="O320" s="239"/>
      <c r="P320" s="239"/>
      <c r="Q320" s="239"/>
      <c r="R320" s="239"/>
      <c r="S320" s="239"/>
      <c r="T320" s="239"/>
    </row>
    <row r="321" spans="1:20" ht="150" customHeight="1">
      <c r="A321" s="113" t="s">
        <v>859</v>
      </c>
      <c r="B321" s="114" t="s">
        <v>860</v>
      </c>
      <c r="C321" s="115"/>
      <c r="D321" s="116"/>
      <c r="E321" s="116"/>
      <c r="F321" s="116"/>
      <c r="G321" s="116"/>
      <c r="H321" s="116"/>
      <c r="I321" s="116"/>
      <c r="J321" s="116"/>
      <c r="K321" s="182"/>
      <c r="L321" s="173">
        <v>672</v>
      </c>
      <c r="N321" s="239">
        <f t="shared" si="133"/>
        <v>253.00800000000001</v>
      </c>
      <c r="O321" s="239">
        <f t="shared" si="134"/>
        <v>253.00800000000001</v>
      </c>
      <c r="P321" s="239">
        <f t="shared" si="135"/>
        <v>303.74400000000003</v>
      </c>
      <c r="Q321" s="239">
        <f t="shared" si="136"/>
        <v>254.68799999999999</v>
      </c>
      <c r="R321" s="239">
        <f t="shared" si="137"/>
        <v>335.32799999999997</v>
      </c>
      <c r="S321" s="239">
        <f t="shared" si="138"/>
        <v>288.95999999999998</v>
      </c>
      <c r="T321" s="239">
        <f t="shared" si="139"/>
        <v>324.57599999999996</v>
      </c>
    </row>
    <row r="322" spans="1:20" s="1" customFormat="1" ht="12" customHeight="1">
      <c r="A322" s="113"/>
      <c r="B322" s="114"/>
      <c r="C322" s="115"/>
      <c r="D322" s="116"/>
      <c r="E322" s="116"/>
      <c r="F322" s="116"/>
      <c r="G322" s="116"/>
      <c r="H322" s="116"/>
      <c r="I322" s="116"/>
      <c r="J322" s="116"/>
      <c r="K322" s="182"/>
      <c r="L322" s="173"/>
      <c r="N322" s="239"/>
      <c r="O322" s="239"/>
      <c r="P322" s="239"/>
      <c r="Q322" s="239"/>
      <c r="R322" s="239"/>
      <c r="S322" s="239"/>
      <c r="T322" s="239"/>
    </row>
    <row r="323" spans="1:20" s="1" customFormat="1" ht="150" customHeight="1">
      <c r="A323" s="109" t="s">
        <v>861</v>
      </c>
      <c r="B323" s="114" t="s">
        <v>862</v>
      </c>
      <c r="C323" s="115"/>
      <c r="D323" s="116"/>
      <c r="E323" s="116"/>
      <c r="F323" s="116"/>
      <c r="G323" s="116"/>
      <c r="H323" s="116"/>
      <c r="I323" s="116"/>
      <c r="J323" s="116"/>
      <c r="K323" s="183"/>
      <c r="L323" s="173">
        <v>852</v>
      </c>
      <c r="N323" s="239">
        <f t="shared" si="133"/>
        <v>320.77800000000002</v>
      </c>
      <c r="O323" s="239">
        <f t="shared" si="134"/>
        <v>320.77800000000002</v>
      </c>
      <c r="P323" s="239">
        <f t="shared" si="135"/>
        <v>385.10399999999998</v>
      </c>
      <c r="Q323" s="239">
        <f t="shared" si="136"/>
        <v>322.90800000000002</v>
      </c>
      <c r="R323" s="239">
        <f t="shared" si="137"/>
        <v>425.14800000000002</v>
      </c>
      <c r="S323" s="239">
        <f t="shared" si="138"/>
        <v>366.36</v>
      </c>
      <c r="T323" s="239">
        <f t="shared" si="139"/>
        <v>411.51599999999996</v>
      </c>
    </row>
    <row r="324" spans="1:20" ht="31.5">
      <c r="A324" s="113"/>
      <c r="B324" s="114"/>
      <c r="C324" s="115"/>
      <c r="D324" s="116"/>
      <c r="E324" s="116"/>
      <c r="F324" s="116"/>
      <c r="G324" s="116"/>
      <c r="H324" s="116"/>
      <c r="I324" s="116"/>
      <c r="J324" s="116"/>
      <c r="K324" s="182"/>
      <c r="L324" s="173"/>
      <c r="N324" s="155" t="s">
        <v>1596</v>
      </c>
      <c r="O324" s="155" t="s">
        <v>1597</v>
      </c>
      <c r="P324" s="155" t="s">
        <v>1598</v>
      </c>
      <c r="Q324" s="155" t="s">
        <v>1599</v>
      </c>
      <c r="R324" s="155" t="s">
        <v>1600</v>
      </c>
      <c r="S324" s="155" t="s">
        <v>1601</v>
      </c>
      <c r="T324" s="155" t="s">
        <v>1602</v>
      </c>
    </row>
    <row r="325" spans="1:20" ht="60" customHeight="1">
      <c r="A325" s="18" t="s">
        <v>863</v>
      </c>
      <c r="B325" s="17" t="s">
        <v>338</v>
      </c>
      <c r="C325" s="17" t="s">
        <v>119</v>
      </c>
      <c r="D325" s="17" t="s">
        <v>1585</v>
      </c>
      <c r="E325" s="17" t="s">
        <v>1586</v>
      </c>
      <c r="F325" s="17"/>
      <c r="G325" s="17"/>
      <c r="H325" s="71"/>
      <c r="I325" s="71"/>
      <c r="J325" s="71"/>
      <c r="K325" s="17" t="s">
        <v>120</v>
      </c>
      <c r="L325" s="176" t="s">
        <v>938</v>
      </c>
      <c r="N325" s="156" t="s">
        <v>1605</v>
      </c>
      <c r="O325" s="156" t="s">
        <v>1605</v>
      </c>
      <c r="P325" s="156" t="s">
        <v>1605</v>
      </c>
      <c r="Q325" s="156" t="s">
        <v>1605</v>
      </c>
      <c r="R325" s="156" t="s">
        <v>1605</v>
      </c>
      <c r="S325" s="156" t="s">
        <v>1605</v>
      </c>
      <c r="T325" s="156" t="s">
        <v>1605</v>
      </c>
    </row>
    <row r="326" spans="1:20">
      <c r="A326" s="89" t="s">
        <v>140</v>
      </c>
      <c r="B326" s="62"/>
      <c r="C326" s="62"/>
      <c r="D326" s="81"/>
      <c r="E326" s="81"/>
      <c r="F326" s="81"/>
      <c r="G326" s="81"/>
      <c r="H326" s="81"/>
      <c r="I326" s="81"/>
      <c r="J326" s="81"/>
      <c r="K326" s="62"/>
      <c r="L326" s="169"/>
      <c r="N326" s="242"/>
      <c r="O326" s="242"/>
      <c r="P326" s="242"/>
      <c r="Q326" s="242"/>
      <c r="R326" s="242"/>
      <c r="S326" s="242"/>
      <c r="T326" s="242"/>
    </row>
    <row r="327" spans="1:20" s="3" customFormat="1">
      <c r="A327" s="109" t="s">
        <v>865</v>
      </c>
      <c r="B327" s="109" t="s">
        <v>866</v>
      </c>
      <c r="C327" s="118" t="s">
        <v>350</v>
      </c>
      <c r="D327" s="105" t="s">
        <v>867</v>
      </c>
      <c r="E327" s="105" t="s">
        <v>868</v>
      </c>
      <c r="F327" s="105"/>
      <c r="G327" s="105"/>
      <c r="H327" s="105"/>
      <c r="I327" s="105"/>
      <c r="J327" s="105"/>
      <c r="K327" s="118"/>
      <c r="L327" s="173">
        <v>119</v>
      </c>
      <c r="N327" s="239">
        <f t="shared" si="133"/>
        <v>44.8035</v>
      </c>
      <c r="O327" s="239">
        <f t="shared" si="134"/>
        <v>44.8035</v>
      </c>
      <c r="P327" s="239">
        <f t="shared" si="135"/>
        <v>53.788000000000004</v>
      </c>
      <c r="Q327" s="239">
        <f t="shared" si="136"/>
        <v>45.100999999999999</v>
      </c>
      <c r="R327" s="239">
        <f t="shared" si="137"/>
        <v>59.381</v>
      </c>
      <c r="S327" s="239">
        <f t="shared" si="138"/>
        <v>51.17</v>
      </c>
      <c r="T327" s="239">
        <f t="shared" si="139"/>
        <v>57.476999999999997</v>
      </c>
    </row>
    <row r="328" spans="1:20" s="3" customFormat="1">
      <c r="A328" s="109" t="s">
        <v>869</v>
      </c>
      <c r="B328" s="109" t="s">
        <v>870</v>
      </c>
      <c r="C328" s="118" t="s">
        <v>350</v>
      </c>
      <c r="D328" s="118"/>
      <c r="E328" s="105" t="s">
        <v>871</v>
      </c>
      <c r="F328" s="105"/>
      <c r="G328" s="105"/>
      <c r="H328" s="105"/>
      <c r="I328" s="105"/>
      <c r="J328" s="105"/>
      <c r="K328" s="118"/>
      <c r="L328" s="173">
        <v>119</v>
      </c>
      <c r="N328" s="239">
        <f t="shared" si="133"/>
        <v>44.8035</v>
      </c>
      <c r="O328" s="239">
        <f t="shared" si="134"/>
        <v>44.8035</v>
      </c>
      <c r="P328" s="239">
        <f t="shared" si="135"/>
        <v>53.788000000000004</v>
      </c>
      <c r="Q328" s="239">
        <f t="shared" si="136"/>
        <v>45.100999999999999</v>
      </c>
      <c r="R328" s="239">
        <f t="shared" si="137"/>
        <v>59.381</v>
      </c>
      <c r="S328" s="239">
        <f t="shared" si="138"/>
        <v>51.17</v>
      </c>
      <c r="T328" s="239">
        <f t="shared" si="139"/>
        <v>57.476999999999997</v>
      </c>
    </row>
    <row r="329" spans="1:20" s="3" customFormat="1">
      <c r="A329" s="109" t="s">
        <v>872</v>
      </c>
      <c r="B329" s="109" t="s">
        <v>873</v>
      </c>
      <c r="C329" s="118" t="s">
        <v>350</v>
      </c>
      <c r="D329" s="105" t="s">
        <v>874</v>
      </c>
      <c r="E329" s="105"/>
      <c r="F329" s="105"/>
      <c r="G329" s="105"/>
      <c r="H329" s="105"/>
      <c r="I329" s="105"/>
      <c r="J329" s="105"/>
      <c r="K329" s="118"/>
      <c r="L329" s="173">
        <v>243</v>
      </c>
      <c r="N329" s="239">
        <f t="shared" si="133"/>
        <v>91.489500000000007</v>
      </c>
      <c r="O329" s="239">
        <f t="shared" si="134"/>
        <v>91.489500000000007</v>
      </c>
      <c r="P329" s="239">
        <f t="shared" si="135"/>
        <v>109.836</v>
      </c>
      <c r="Q329" s="239">
        <f t="shared" si="136"/>
        <v>92.096999999999994</v>
      </c>
      <c r="R329" s="239">
        <f t="shared" si="137"/>
        <v>121.25700000000001</v>
      </c>
      <c r="S329" s="239">
        <f t="shared" si="138"/>
        <v>104.49</v>
      </c>
      <c r="T329" s="239">
        <f t="shared" si="139"/>
        <v>117.369</v>
      </c>
    </row>
    <row r="330" spans="1:20" s="3" customFormat="1">
      <c r="A330" s="109" t="s">
        <v>875</v>
      </c>
      <c r="B330" s="109" t="s">
        <v>876</v>
      </c>
      <c r="C330" s="118" t="s">
        <v>350</v>
      </c>
      <c r="D330" s="118"/>
      <c r="E330" s="105" t="s">
        <v>877</v>
      </c>
      <c r="F330" s="105"/>
      <c r="G330" s="105"/>
      <c r="H330" s="105"/>
      <c r="I330" s="105"/>
      <c r="J330" s="105"/>
      <c r="K330" s="118"/>
      <c r="L330" s="173">
        <v>243</v>
      </c>
      <c r="N330" s="239">
        <f t="shared" si="133"/>
        <v>91.489500000000007</v>
      </c>
      <c r="O330" s="239">
        <f t="shared" si="134"/>
        <v>91.489500000000007</v>
      </c>
      <c r="P330" s="239">
        <f t="shared" si="135"/>
        <v>109.836</v>
      </c>
      <c r="Q330" s="239">
        <f t="shared" si="136"/>
        <v>92.096999999999994</v>
      </c>
      <c r="R330" s="239">
        <f t="shared" si="137"/>
        <v>121.25700000000001</v>
      </c>
      <c r="S330" s="239">
        <f t="shared" si="138"/>
        <v>104.49</v>
      </c>
      <c r="T330" s="239">
        <f t="shared" si="139"/>
        <v>117.369</v>
      </c>
    </row>
    <row r="331" spans="1:20" s="3" customFormat="1">
      <c r="A331" s="113"/>
      <c r="B331" s="114"/>
      <c r="C331" s="115"/>
      <c r="D331" s="116"/>
      <c r="E331" s="116"/>
      <c r="F331" s="116"/>
      <c r="G331" s="116"/>
      <c r="H331" s="116"/>
      <c r="I331" s="116"/>
      <c r="J331" s="116"/>
      <c r="K331" s="182"/>
      <c r="L331" s="173"/>
      <c r="N331" s="239"/>
      <c r="O331" s="239"/>
      <c r="P331" s="239"/>
      <c r="Q331" s="239"/>
      <c r="R331" s="239"/>
      <c r="S331" s="239"/>
      <c r="T331" s="239"/>
    </row>
    <row r="332" spans="1:20" s="3" customFormat="1">
      <c r="A332" s="89" t="s">
        <v>1587</v>
      </c>
      <c r="B332" s="62"/>
      <c r="C332" s="62"/>
      <c r="D332" s="81"/>
      <c r="E332" s="81"/>
      <c r="F332" s="81"/>
      <c r="G332" s="81"/>
      <c r="H332" s="81"/>
      <c r="I332" s="81"/>
      <c r="J332" s="81"/>
      <c r="K332" s="62"/>
      <c r="L332" s="169"/>
      <c r="N332" s="242"/>
      <c r="O332" s="242"/>
      <c r="P332" s="242"/>
      <c r="Q332" s="242"/>
      <c r="R332" s="242"/>
      <c r="S332" s="242"/>
      <c r="T332" s="242"/>
    </row>
    <row r="333" spans="1:20" s="3" customFormat="1" ht="25.5">
      <c r="A333" s="109" t="s">
        <v>879</v>
      </c>
      <c r="B333" s="109" t="s">
        <v>880</v>
      </c>
      <c r="C333" s="118"/>
      <c r="D333" s="105" t="s">
        <v>881</v>
      </c>
      <c r="E333" s="105"/>
      <c r="F333" s="105"/>
      <c r="G333" s="105"/>
      <c r="H333" s="105"/>
      <c r="I333" s="105"/>
      <c r="J333" s="105"/>
      <c r="K333" s="118"/>
      <c r="L333" s="173">
        <v>45</v>
      </c>
      <c r="N333" s="239">
        <f t="shared" si="133"/>
        <v>16.942499999999999</v>
      </c>
      <c r="O333" s="239">
        <f t="shared" si="134"/>
        <v>16.942499999999999</v>
      </c>
      <c r="P333" s="239">
        <f t="shared" si="135"/>
        <v>20.34</v>
      </c>
      <c r="Q333" s="239">
        <f t="shared" si="136"/>
        <v>17.055</v>
      </c>
      <c r="R333" s="239">
        <f t="shared" si="137"/>
        <v>22.454999999999998</v>
      </c>
      <c r="S333" s="239">
        <f t="shared" si="138"/>
        <v>19.350000000000001</v>
      </c>
      <c r="T333" s="239">
        <f t="shared" si="139"/>
        <v>21.734999999999999</v>
      </c>
    </row>
    <row r="334" spans="1:20" s="3" customFormat="1">
      <c r="A334" s="109" t="s">
        <v>882</v>
      </c>
      <c r="B334" s="109" t="s">
        <v>883</v>
      </c>
      <c r="C334" s="118"/>
      <c r="D334" s="105" t="s">
        <v>884</v>
      </c>
      <c r="E334" s="105"/>
      <c r="F334" s="105"/>
      <c r="G334" s="105"/>
      <c r="H334" s="105"/>
      <c r="I334" s="105"/>
      <c r="J334" s="105"/>
      <c r="K334" s="118"/>
      <c r="L334" s="173">
        <v>74</v>
      </c>
      <c r="N334" s="239">
        <f t="shared" si="133"/>
        <v>27.861000000000001</v>
      </c>
      <c r="O334" s="239">
        <f t="shared" si="134"/>
        <v>27.861000000000001</v>
      </c>
      <c r="P334" s="239">
        <f t="shared" si="135"/>
        <v>33.448</v>
      </c>
      <c r="Q334" s="239">
        <f t="shared" si="136"/>
        <v>28.045999999999999</v>
      </c>
      <c r="R334" s="239">
        <f t="shared" si="137"/>
        <v>36.926000000000002</v>
      </c>
      <c r="S334" s="239">
        <f t="shared" si="138"/>
        <v>31.82</v>
      </c>
      <c r="T334" s="239">
        <f t="shared" si="139"/>
        <v>35.741999999999997</v>
      </c>
    </row>
    <row r="335" spans="1:20" s="3" customFormat="1">
      <c r="A335" s="109" t="s">
        <v>885</v>
      </c>
      <c r="B335" s="109" t="s">
        <v>886</v>
      </c>
      <c r="C335" s="118"/>
      <c r="D335" s="105" t="s">
        <v>887</v>
      </c>
      <c r="E335" s="105"/>
      <c r="F335" s="105"/>
      <c r="G335" s="105"/>
      <c r="H335" s="105"/>
      <c r="I335" s="105"/>
      <c r="J335" s="105"/>
      <c r="K335" s="118"/>
      <c r="L335" s="173">
        <v>101</v>
      </c>
      <c r="N335" s="239">
        <f t="shared" si="133"/>
        <v>38.026499999999999</v>
      </c>
      <c r="O335" s="239">
        <f t="shared" si="134"/>
        <v>38.026499999999999</v>
      </c>
      <c r="P335" s="239">
        <f t="shared" si="135"/>
        <v>45.652000000000001</v>
      </c>
      <c r="Q335" s="239">
        <f t="shared" si="136"/>
        <v>38.279000000000003</v>
      </c>
      <c r="R335" s="239">
        <f t="shared" si="137"/>
        <v>50.399000000000001</v>
      </c>
      <c r="S335" s="239">
        <f t="shared" si="138"/>
        <v>43.43</v>
      </c>
      <c r="T335" s="239">
        <f t="shared" si="139"/>
        <v>48.783000000000001</v>
      </c>
    </row>
    <row r="336" spans="1:20" s="3" customFormat="1">
      <c r="A336" s="113"/>
      <c r="B336" s="114"/>
      <c r="C336" s="115"/>
      <c r="D336" s="116"/>
      <c r="E336" s="116"/>
      <c r="F336" s="116"/>
      <c r="G336" s="116"/>
      <c r="H336" s="116"/>
      <c r="I336" s="116"/>
      <c r="J336" s="116"/>
      <c r="K336" s="182"/>
      <c r="L336" s="173"/>
      <c r="N336" s="239"/>
      <c r="O336" s="239"/>
      <c r="P336" s="239"/>
      <c r="Q336" s="239"/>
      <c r="R336" s="239"/>
      <c r="S336" s="239"/>
      <c r="T336" s="239"/>
    </row>
    <row r="337" spans="1:20" s="3" customFormat="1">
      <c r="A337" s="89" t="s">
        <v>888</v>
      </c>
      <c r="B337" s="62"/>
      <c r="C337" s="62"/>
      <c r="D337" s="81"/>
      <c r="E337" s="81"/>
      <c r="F337" s="81"/>
      <c r="G337" s="81"/>
      <c r="H337" s="81"/>
      <c r="I337" s="81"/>
      <c r="J337" s="81"/>
      <c r="K337" s="62"/>
      <c r="L337" s="169"/>
      <c r="N337" s="242"/>
      <c r="O337" s="242"/>
      <c r="P337" s="242"/>
      <c r="Q337" s="242"/>
      <c r="R337" s="242"/>
      <c r="S337" s="242"/>
      <c r="T337" s="242"/>
    </row>
    <row r="338" spans="1:20" s="3" customFormat="1">
      <c r="A338" s="109" t="s">
        <v>889</v>
      </c>
      <c r="B338" s="109" t="s">
        <v>890</v>
      </c>
      <c r="C338" s="118"/>
      <c r="D338" s="118"/>
      <c r="E338" s="105" t="s">
        <v>891</v>
      </c>
      <c r="F338" s="105"/>
      <c r="G338" s="105"/>
      <c r="H338" s="105"/>
      <c r="I338" s="105"/>
      <c r="J338" s="105"/>
      <c r="K338" s="118"/>
      <c r="L338" s="173">
        <v>56</v>
      </c>
      <c r="N338" s="239">
        <f t="shared" si="133"/>
        <v>21.084</v>
      </c>
      <c r="O338" s="239">
        <f t="shared" si="134"/>
        <v>21.084</v>
      </c>
      <c r="P338" s="239">
        <f t="shared" si="135"/>
        <v>25.312000000000001</v>
      </c>
      <c r="Q338" s="239">
        <f t="shared" si="136"/>
        <v>21.224</v>
      </c>
      <c r="R338" s="239">
        <f t="shared" si="137"/>
        <v>27.943999999999999</v>
      </c>
      <c r="S338" s="239">
        <f t="shared" si="138"/>
        <v>24.08</v>
      </c>
      <c r="T338" s="239">
        <f t="shared" si="139"/>
        <v>27.047999999999998</v>
      </c>
    </row>
    <row r="339" spans="1:20" s="3" customFormat="1">
      <c r="A339" s="109" t="s">
        <v>892</v>
      </c>
      <c r="B339" s="109" t="s">
        <v>893</v>
      </c>
      <c r="C339" s="118"/>
      <c r="D339" s="118"/>
      <c r="E339" s="105" t="s">
        <v>894</v>
      </c>
      <c r="F339" s="105"/>
      <c r="G339" s="105"/>
      <c r="H339" s="105"/>
      <c r="I339" s="105"/>
      <c r="J339" s="105"/>
      <c r="K339" s="118"/>
      <c r="L339" s="173">
        <v>89</v>
      </c>
      <c r="N339" s="239">
        <f t="shared" ref="N339:N373" si="161">L339*$N$8</f>
        <v>33.508499999999998</v>
      </c>
      <c r="O339" s="239">
        <f t="shared" ref="O339:O373" si="162">L339*$O$8</f>
        <v>33.508499999999998</v>
      </c>
      <c r="P339" s="239">
        <f t="shared" ref="P339:P373" si="163">L339*$P$8</f>
        <v>40.228000000000002</v>
      </c>
      <c r="Q339" s="239">
        <f t="shared" ref="Q339:Q373" si="164">L339*$Q$8</f>
        <v>33.731000000000002</v>
      </c>
      <c r="R339" s="239">
        <f t="shared" ref="R339:R373" si="165">L339*$R$8</f>
        <v>44.411000000000001</v>
      </c>
      <c r="S339" s="239">
        <f t="shared" ref="S339:S373" si="166">L339*$S$8</f>
        <v>38.269999999999996</v>
      </c>
      <c r="T339" s="239">
        <f t="shared" ref="T339:T373" si="167">L339*$T$8</f>
        <v>42.987000000000002</v>
      </c>
    </row>
    <row r="340" spans="1:20" s="3" customFormat="1">
      <c r="A340" s="113"/>
      <c r="B340" s="114"/>
      <c r="C340" s="115"/>
      <c r="D340" s="116"/>
      <c r="E340" s="116"/>
      <c r="F340" s="116"/>
      <c r="G340" s="116"/>
      <c r="H340" s="116"/>
      <c r="I340" s="116"/>
      <c r="J340" s="116"/>
      <c r="K340" s="182"/>
      <c r="L340" s="173"/>
      <c r="N340" s="239"/>
      <c r="O340" s="239"/>
      <c r="P340" s="239"/>
      <c r="Q340" s="239"/>
      <c r="R340" s="239"/>
      <c r="S340" s="239"/>
      <c r="T340" s="239"/>
    </row>
    <row r="341" spans="1:20" s="3" customFormat="1">
      <c r="A341" s="99" t="s">
        <v>895</v>
      </c>
      <c r="B341" s="62"/>
      <c r="C341" s="62"/>
      <c r="D341" s="100"/>
      <c r="E341" s="100"/>
      <c r="F341" s="100"/>
      <c r="G341" s="100"/>
      <c r="H341" s="100"/>
      <c r="I341" s="100"/>
      <c r="J341" s="100"/>
      <c r="K341" s="185"/>
      <c r="L341" s="170"/>
      <c r="N341" s="247"/>
      <c r="O341" s="247"/>
      <c r="P341" s="247"/>
      <c r="Q341" s="247"/>
      <c r="R341" s="247"/>
      <c r="S341" s="247"/>
      <c r="T341" s="247"/>
    </row>
    <row r="342" spans="1:20" s="3" customFormat="1">
      <c r="A342" s="109" t="s">
        <v>896</v>
      </c>
      <c r="B342" s="109" t="s">
        <v>897</v>
      </c>
      <c r="C342" s="118"/>
      <c r="D342" s="105" t="s">
        <v>898</v>
      </c>
      <c r="E342" s="105"/>
      <c r="F342" s="105"/>
      <c r="G342" s="105"/>
      <c r="H342" s="105"/>
      <c r="I342" s="105"/>
      <c r="J342" s="105"/>
      <c r="K342" s="118"/>
      <c r="L342" s="173">
        <v>49</v>
      </c>
      <c r="N342" s="239">
        <f t="shared" si="161"/>
        <v>18.448499999999999</v>
      </c>
      <c r="O342" s="239">
        <f t="shared" si="162"/>
        <v>18.448499999999999</v>
      </c>
      <c r="P342" s="239">
        <f t="shared" si="163"/>
        <v>22.148</v>
      </c>
      <c r="Q342" s="239">
        <f t="shared" si="164"/>
        <v>18.571000000000002</v>
      </c>
      <c r="R342" s="239">
        <f t="shared" si="165"/>
        <v>24.451000000000001</v>
      </c>
      <c r="S342" s="239">
        <f t="shared" si="166"/>
        <v>21.07</v>
      </c>
      <c r="T342" s="239">
        <f t="shared" si="167"/>
        <v>23.666999999999998</v>
      </c>
    </row>
    <row r="343" spans="1:20" s="3" customFormat="1">
      <c r="A343" s="231"/>
      <c r="B343" s="231"/>
      <c r="C343" s="212"/>
      <c r="D343" s="228"/>
      <c r="E343" s="228"/>
      <c r="F343" s="228"/>
      <c r="G343" s="228"/>
      <c r="H343" s="228"/>
      <c r="I343" s="228"/>
      <c r="J343" s="228"/>
      <c r="K343" s="229"/>
      <c r="L343" s="173"/>
      <c r="N343" s="239"/>
      <c r="O343" s="239"/>
      <c r="P343" s="239"/>
      <c r="Q343" s="239"/>
      <c r="R343" s="239"/>
      <c r="S343" s="239"/>
      <c r="T343" s="239"/>
    </row>
    <row r="344" spans="1:20" s="3" customFormat="1">
      <c r="A344" s="89" t="s">
        <v>276</v>
      </c>
      <c r="B344" s="62"/>
      <c r="C344" s="62"/>
      <c r="D344" s="81"/>
      <c r="E344" s="81"/>
      <c r="F344" s="81"/>
      <c r="G344" s="81"/>
      <c r="H344" s="81"/>
      <c r="I344" s="81"/>
      <c r="J344" s="81"/>
      <c r="K344" s="62"/>
      <c r="L344" s="169"/>
      <c r="N344" s="242"/>
      <c r="O344" s="242"/>
      <c r="P344" s="242"/>
      <c r="Q344" s="242"/>
      <c r="R344" s="242"/>
      <c r="S344" s="242"/>
      <c r="T344" s="242"/>
    </row>
    <row r="345" spans="1:20" s="21" customFormat="1">
      <c r="A345" s="109" t="s">
        <v>787</v>
      </c>
      <c r="B345" s="109" t="s">
        <v>285</v>
      </c>
      <c r="C345" s="118"/>
      <c r="D345" s="105" t="s">
        <v>899</v>
      </c>
      <c r="E345" s="105" t="s">
        <v>900</v>
      </c>
      <c r="F345" s="105"/>
      <c r="G345" s="105"/>
      <c r="H345" s="105"/>
      <c r="I345" s="105"/>
      <c r="J345" s="105"/>
      <c r="K345" s="118"/>
      <c r="L345" s="173">
        <v>0</v>
      </c>
      <c r="N345" s="239">
        <f t="shared" si="161"/>
        <v>0</v>
      </c>
      <c r="O345" s="239">
        <f t="shared" si="162"/>
        <v>0</v>
      </c>
      <c r="P345" s="239">
        <f t="shared" si="163"/>
        <v>0</v>
      </c>
      <c r="Q345" s="239">
        <f t="shared" si="164"/>
        <v>0</v>
      </c>
      <c r="R345" s="239">
        <f t="shared" si="165"/>
        <v>0</v>
      </c>
      <c r="S345" s="239">
        <f t="shared" si="166"/>
        <v>0</v>
      </c>
      <c r="T345" s="239">
        <f t="shared" si="167"/>
        <v>0</v>
      </c>
    </row>
    <row r="346" spans="1:20" s="21" customFormat="1">
      <c r="A346" s="113"/>
      <c r="B346" s="114"/>
      <c r="C346" s="115"/>
      <c r="D346" s="116"/>
      <c r="E346" s="116"/>
      <c r="F346" s="116"/>
      <c r="G346" s="116"/>
      <c r="H346" s="116"/>
      <c r="I346" s="116"/>
      <c r="J346" s="116"/>
      <c r="K346" s="182"/>
      <c r="L346" s="173"/>
      <c r="N346" s="239"/>
      <c r="O346" s="239"/>
      <c r="P346" s="239"/>
      <c r="Q346" s="239"/>
      <c r="R346" s="239"/>
      <c r="S346" s="239"/>
      <c r="T346" s="239"/>
    </row>
    <row r="347" spans="1:20" s="21" customFormat="1">
      <c r="A347" s="89" t="s">
        <v>251</v>
      </c>
      <c r="B347" s="62"/>
      <c r="C347" s="62"/>
      <c r="D347" s="81"/>
      <c r="E347" s="81"/>
      <c r="F347" s="81"/>
      <c r="G347" s="81"/>
      <c r="H347" s="81"/>
      <c r="I347" s="81"/>
      <c r="J347" s="81"/>
      <c r="K347" s="62"/>
      <c r="L347" s="169"/>
      <c r="N347" s="242"/>
      <c r="O347" s="242"/>
      <c r="P347" s="242"/>
      <c r="Q347" s="242"/>
      <c r="R347" s="242"/>
      <c r="S347" s="242"/>
      <c r="T347" s="242"/>
    </row>
    <row r="348" spans="1:20" s="21" customFormat="1">
      <c r="A348" s="109" t="s">
        <v>901</v>
      </c>
      <c r="B348" s="109" t="s">
        <v>902</v>
      </c>
      <c r="C348" s="118"/>
      <c r="D348" s="105" t="s">
        <v>903</v>
      </c>
      <c r="E348" s="105" t="s">
        <v>904</v>
      </c>
      <c r="F348" s="105"/>
      <c r="G348" s="105"/>
      <c r="H348" s="105"/>
      <c r="I348" s="105"/>
      <c r="J348" s="105"/>
      <c r="K348" s="118"/>
      <c r="L348" s="173">
        <v>6</v>
      </c>
      <c r="N348" s="239">
        <f t="shared" si="161"/>
        <v>2.2589999999999999</v>
      </c>
      <c r="O348" s="239">
        <f t="shared" si="162"/>
        <v>2.2589999999999999</v>
      </c>
      <c r="P348" s="239">
        <f t="shared" si="163"/>
        <v>2.7120000000000002</v>
      </c>
      <c r="Q348" s="239">
        <f t="shared" si="164"/>
        <v>2.274</v>
      </c>
      <c r="R348" s="239">
        <f t="shared" si="165"/>
        <v>2.9939999999999998</v>
      </c>
      <c r="S348" s="239">
        <f t="shared" si="166"/>
        <v>2.58</v>
      </c>
      <c r="T348" s="239">
        <f t="shared" si="167"/>
        <v>2.8979999999999997</v>
      </c>
    </row>
    <row r="349" spans="1:20" s="21" customFormat="1">
      <c r="A349" s="109" t="s">
        <v>905</v>
      </c>
      <c r="B349" s="109" t="s">
        <v>906</v>
      </c>
      <c r="C349" s="118"/>
      <c r="D349" s="105" t="s">
        <v>907</v>
      </c>
      <c r="E349" s="105" t="s">
        <v>908</v>
      </c>
      <c r="F349" s="105"/>
      <c r="G349" s="105"/>
      <c r="H349" s="105"/>
      <c r="I349" s="105"/>
      <c r="J349" s="105"/>
      <c r="K349" s="118"/>
      <c r="L349" s="173">
        <v>6</v>
      </c>
      <c r="N349" s="239">
        <f t="shared" si="161"/>
        <v>2.2589999999999999</v>
      </c>
      <c r="O349" s="239">
        <f t="shared" si="162"/>
        <v>2.2589999999999999</v>
      </c>
      <c r="P349" s="239">
        <f t="shared" si="163"/>
        <v>2.7120000000000002</v>
      </c>
      <c r="Q349" s="239">
        <f t="shared" si="164"/>
        <v>2.274</v>
      </c>
      <c r="R349" s="239">
        <f t="shared" si="165"/>
        <v>2.9939999999999998</v>
      </c>
      <c r="S349" s="239">
        <f t="shared" si="166"/>
        <v>2.58</v>
      </c>
      <c r="T349" s="239">
        <f t="shared" si="167"/>
        <v>2.8979999999999997</v>
      </c>
    </row>
    <row r="350" spans="1:20">
      <c r="A350" s="109" t="s">
        <v>768</v>
      </c>
      <c r="B350" s="109" t="s">
        <v>260</v>
      </c>
      <c r="C350" s="118"/>
      <c r="D350" s="105" t="s">
        <v>909</v>
      </c>
      <c r="E350" s="105" t="s">
        <v>910</v>
      </c>
      <c r="F350" s="105"/>
      <c r="G350" s="105"/>
      <c r="H350" s="105"/>
      <c r="I350" s="105"/>
      <c r="J350" s="105"/>
      <c r="K350" s="118"/>
      <c r="L350" s="173">
        <v>80</v>
      </c>
      <c r="N350" s="239">
        <f t="shared" si="161"/>
        <v>30.12</v>
      </c>
      <c r="O350" s="239">
        <f t="shared" si="162"/>
        <v>30.12</v>
      </c>
      <c r="P350" s="239">
        <f t="shared" si="163"/>
        <v>36.160000000000004</v>
      </c>
      <c r="Q350" s="239">
        <f t="shared" si="164"/>
        <v>30.32</v>
      </c>
      <c r="R350" s="239">
        <f t="shared" si="165"/>
        <v>39.92</v>
      </c>
      <c r="S350" s="239">
        <f t="shared" si="166"/>
        <v>34.4</v>
      </c>
      <c r="T350" s="239">
        <f t="shared" si="167"/>
        <v>38.64</v>
      </c>
    </row>
    <row r="351" spans="1:20" s="21" customFormat="1">
      <c r="A351" s="113"/>
      <c r="B351" s="114"/>
      <c r="C351" s="115"/>
      <c r="D351" s="116"/>
      <c r="E351" s="116"/>
      <c r="F351" s="116"/>
      <c r="G351" s="116"/>
      <c r="H351" s="116"/>
      <c r="I351" s="116"/>
      <c r="J351" s="116"/>
      <c r="K351" s="182"/>
      <c r="L351" s="173"/>
      <c r="N351" s="239"/>
      <c r="O351" s="239"/>
      <c r="P351" s="239"/>
      <c r="Q351" s="239"/>
      <c r="R351" s="239"/>
      <c r="S351" s="239"/>
      <c r="T351" s="239"/>
    </row>
    <row r="352" spans="1:20" s="21" customFormat="1">
      <c r="A352" s="89" t="s">
        <v>774</v>
      </c>
      <c r="B352" s="62"/>
      <c r="C352" s="62"/>
      <c r="D352" s="81"/>
      <c r="E352" s="81"/>
      <c r="F352" s="81"/>
      <c r="G352" s="81"/>
      <c r="H352" s="81"/>
      <c r="I352" s="81"/>
      <c r="J352" s="81"/>
      <c r="K352" s="62"/>
      <c r="L352" s="169"/>
      <c r="N352" s="242"/>
      <c r="O352" s="242"/>
      <c r="P352" s="242"/>
      <c r="Q352" s="242"/>
      <c r="R352" s="242"/>
      <c r="S352" s="242"/>
      <c r="T352" s="242"/>
    </row>
    <row r="353" spans="1:20" s="21" customFormat="1">
      <c r="A353" s="109" t="s">
        <v>911</v>
      </c>
      <c r="B353" s="109" t="s">
        <v>912</v>
      </c>
      <c r="C353" s="118"/>
      <c r="D353" s="118"/>
      <c r="E353" s="105" t="s">
        <v>913</v>
      </c>
      <c r="F353" s="105"/>
      <c r="G353" s="105"/>
      <c r="H353" s="105"/>
      <c r="I353" s="105"/>
      <c r="J353" s="105"/>
      <c r="K353" s="118"/>
      <c r="L353" s="173">
        <v>0</v>
      </c>
      <c r="N353" s="239">
        <f t="shared" si="161"/>
        <v>0</v>
      </c>
      <c r="O353" s="239">
        <f t="shared" si="162"/>
        <v>0</v>
      </c>
      <c r="P353" s="239">
        <f t="shared" si="163"/>
        <v>0</v>
      </c>
      <c r="Q353" s="239">
        <f t="shared" si="164"/>
        <v>0</v>
      </c>
      <c r="R353" s="239">
        <f t="shared" si="165"/>
        <v>0</v>
      </c>
      <c r="S353" s="239">
        <f t="shared" si="166"/>
        <v>0</v>
      </c>
      <c r="T353" s="239">
        <f t="shared" si="167"/>
        <v>0</v>
      </c>
    </row>
    <row r="354" spans="1:20" s="21" customFormat="1">
      <c r="A354" s="113"/>
      <c r="B354" s="114"/>
      <c r="C354" s="115"/>
      <c r="D354" s="116"/>
      <c r="E354" s="116"/>
      <c r="F354" s="116"/>
      <c r="G354" s="116"/>
      <c r="H354" s="116"/>
      <c r="I354" s="116"/>
      <c r="J354" s="116"/>
      <c r="K354" s="182"/>
      <c r="L354" s="173"/>
      <c r="N354" s="239"/>
      <c r="O354" s="239"/>
      <c r="P354" s="239"/>
      <c r="Q354" s="239"/>
      <c r="R354" s="239"/>
      <c r="S354" s="239"/>
      <c r="T354" s="239"/>
    </row>
    <row r="355" spans="1:20" s="21" customFormat="1">
      <c r="A355" s="89" t="s">
        <v>552</v>
      </c>
      <c r="B355" s="62"/>
      <c r="C355" s="62"/>
      <c r="D355" s="81"/>
      <c r="E355" s="81"/>
      <c r="F355" s="81"/>
      <c r="G355" s="81"/>
      <c r="H355" s="81"/>
      <c r="I355" s="81"/>
      <c r="J355" s="81"/>
      <c r="K355" s="62"/>
      <c r="L355" s="169"/>
      <c r="N355" s="242"/>
      <c r="O355" s="242"/>
      <c r="P355" s="242"/>
      <c r="Q355" s="242"/>
      <c r="R355" s="242"/>
      <c r="S355" s="242"/>
      <c r="T355" s="242"/>
    </row>
    <row r="356" spans="1:20" s="21" customFormat="1">
      <c r="A356" s="109" t="s">
        <v>806</v>
      </c>
      <c r="B356" s="109" t="s">
        <v>807</v>
      </c>
      <c r="C356" s="118"/>
      <c r="D356" s="105" t="s">
        <v>914</v>
      </c>
      <c r="E356" s="105" t="s">
        <v>915</v>
      </c>
      <c r="F356" s="105"/>
      <c r="G356" s="105"/>
      <c r="H356" s="105"/>
      <c r="I356" s="105"/>
      <c r="J356" s="105"/>
      <c r="K356" s="118"/>
      <c r="L356" s="173">
        <v>6</v>
      </c>
      <c r="N356" s="239">
        <f t="shared" si="161"/>
        <v>2.2589999999999999</v>
      </c>
      <c r="O356" s="239">
        <f t="shared" si="162"/>
        <v>2.2589999999999999</v>
      </c>
      <c r="P356" s="239">
        <f t="shared" si="163"/>
        <v>2.7120000000000002</v>
      </c>
      <c r="Q356" s="239">
        <f t="shared" si="164"/>
        <v>2.274</v>
      </c>
      <c r="R356" s="239">
        <f t="shared" si="165"/>
        <v>2.9939999999999998</v>
      </c>
      <c r="S356" s="239">
        <f t="shared" si="166"/>
        <v>2.58</v>
      </c>
      <c r="T356" s="239">
        <f t="shared" si="167"/>
        <v>2.8979999999999997</v>
      </c>
    </row>
    <row r="357" spans="1:20" s="21" customFormat="1">
      <c r="A357" s="109" t="s">
        <v>916</v>
      </c>
      <c r="B357" s="109" t="s">
        <v>554</v>
      </c>
      <c r="C357" s="118" t="s">
        <v>350</v>
      </c>
      <c r="D357" s="105" t="s">
        <v>917</v>
      </c>
      <c r="E357" s="105" t="s">
        <v>918</v>
      </c>
      <c r="F357" s="105"/>
      <c r="G357" s="105"/>
      <c r="H357" s="105"/>
      <c r="I357" s="105"/>
      <c r="J357" s="105"/>
      <c r="K357" s="118"/>
      <c r="L357" s="173">
        <v>7</v>
      </c>
      <c r="N357" s="239">
        <f t="shared" si="161"/>
        <v>2.6355</v>
      </c>
      <c r="O357" s="239">
        <f t="shared" si="162"/>
        <v>2.6355</v>
      </c>
      <c r="P357" s="239">
        <f t="shared" si="163"/>
        <v>3.1640000000000001</v>
      </c>
      <c r="Q357" s="239">
        <f t="shared" si="164"/>
        <v>2.653</v>
      </c>
      <c r="R357" s="239">
        <f t="shared" si="165"/>
        <v>3.4929999999999999</v>
      </c>
      <c r="S357" s="239">
        <f t="shared" si="166"/>
        <v>3.01</v>
      </c>
      <c r="T357" s="239">
        <f t="shared" si="167"/>
        <v>3.3809999999999998</v>
      </c>
    </row>
    <row r="358" spans="1:20" s="21" customFormat="1" ht="29.45" customHeight="1">
      <c r="A358" s="109" t="s">
        <v>919</v>
      </c>
      <c r="B358" s="109" t="s">
        <v>296</v>
      </c>
      <c r="C358" s="118"/>
      <c r="D358" s="105" t="s">
        <v>920</v>
      </c>
      <c r="E358" s="105" t="s">
        <v>921</v>
      </c>
      <c r="F358" s="105"/>
      <c r="G358" s="105"/>
      <c r="H358" s="105"/>
      <c r="I358" s="105"/>
      <c r="J358" s="105"/>
      <c r="K358" s="118"/>
      <c r="L358" s="173">
        <v>85</v>
      </c>
      <c r="N358" s="239">
        <f t="shared" si="161"/>
        <v>32.002499999999998</v>
      </c>
      <c r="O358" s="239">
        <f t="shared" si="162"/>
        <v>32.002499999999998</v>
      </c>
      <c r="P358" s="239">
        <f t="shared" si="163"/>
        <v>38.42</v>
      </c>
      <c r="Q358" s="239">
        <f t="shared" si="164"/>
        <v>32.215000000000003</v>
      </c>
      <c r="R358" s="239">
        <f t="shared" si="165"/>
        <v>42.414999999999999</v>
      </c>
      <c r="S358" s="239">
        <f t="shared" si="166"/>
        <v>36.549999999999997</v>
      </c>
      <c r="T358" s="239">
        <f t="shared" si="167"/>
        <v>41.055</v>
      </c>
    </row>
    <row r="359" spans="1:20" s="21" customFormat="1" ht="26.25" customHeight="1">
      <c r="A359" s="109" t="s">
        <v>830</v>
      </c>
      <c r="B359" s="109" t="s">
        <v>831</v>
      </c>
      <c r="C359" s="118"/>
      <c r="D359" s="105" t="s">
        <v>922</v>
      </c>
      <c r="E359" s="105" t="s">
        <v>923</v>
      </c>
      <c r="F359" s="105"/>
      <c r="G359" s="105"/>
      <c r="H359" s="105"/>
      <c r="I359" s="105"/>
      <c r="J359" s="105"/>
      <c r="K359" s="118"/>
      <c r="L359" s="173">
        <v>260</v>
      </c>
      <c r="N359" s="239">
        <f t="shared" si="161"/>
        <v>97.89</v>
      </c>
      <c r="O359" s="239">
        <f t="shared" si="162"/>
        <v>97.89</v>
      </c>
      <c r="P359" s="239">
        <f t="shared" si="163"/>
        <v>117.52000000000001</v>
      </c>
      <c r="Q359" s="239">
        <f t="shared" si="164"/>
        <v>98.54</v>
      </c>
      <c r="R359" s="239">
        <f t="shared" si="165"/>
        <v>129.74</v>
      </c>
      <c r="S359" s="239">
        <f t="shared" si="166"/>
        <v>111.8</v>
      </c>
      <c r="T359" s="239">
        <f t="shared" si="167"/>
        <v>125.58</v>
      </c>
    </row>
    <row r="360" spans="1:20" s="3" customFormat="1">
      <c r="A360" s="113"/>
      <c r="B360" s="114"/>
      <c r="C360" s="115"/>
      <c r="D360" s="116"/>
      <c r="E360" s="116"/>
      <c r="F360" s="116"/>
      <c r="G360" s="116"/>
      <c r="H360" s="116"/>
      <c r="I360" s="116"/>
      <c r="J360" s="116"/>
      <c r="K360" s="182"/>
      <c r="L360" s="173"/>
      <c r="N360" s="239"/>
      <c r="O360" s="239"/>
      <c r="P360" s="239"/>
      <c r="Q360" s="239"/>
      <c r="R360" s="239"/>
      <c r="S360" s="239"/>
      <c r="T360" s="239"/>
    </row>
    <row r="361" spans="1:20" s="3" customFormat="1">
      <c r="A361" s="89" t="s">
        <v>304</v>
      </c>
      <c r="B361" s="62"/>
      <c r="C361" s="62"/>
      <c r="D361" s="81"/>
      <c r="E361" s="81"/>
      <c r="F361" s="81"/>
      <c r="G361" s="81"/>
      <c r="H361" s="81"/>
      <c r="I361" s="81"/>
      <c r="J361" s="81"/>
      <c r="K361" s="62"/>
      <c r="L361" s="169"/>
      <c r="N361" s="242"/>
      <c r="O361" s="242"/>
      <c r="P361" s="242"/>
      <c r="Q361" s="242"/>
      <c r="R361" s="242"/>
      <c r="S361" s="242"/>
      <c r="T361" s="242"/>
    </row>
    <row r="362" spans="1:20" s="3" customFormat="1">
      <c r="A362" s="109" t="s">
        <v>841</v>
      </c>
      <c r="B362" s="109" t="s">
        <v>842</v>
      </c>
      <c r="C362" s="118"/>
      <c r="D362" s="105" t="s">
        <v>924</v>
      </c>
      <c r="E362" s="105"/>
      <c r="F362" s="105"/>
      <c r="G362" s="105"/>
      <c r="H362" s="105"/>
      <c r="I362" s="105"/>
      <c r="J362" s="105"/>
      <c r="K362" s="118"/>
      <c r="L362" s="173">
        <v>7</v>
      </c>
      <c r="N362" s="239">
        <f t="shared" si="161"/>
        <v>2.6355</v>
      </c>
      <c r="O362" s="239">
        <f t="shared" si="162"/>
        <v>2.6355</v>
      </c>
      <c r="P362" s="239">
        <f t="shared" si="163"/>
        <v>3.1640000000000001</v>
      </c>
      <c r="Q362" s="239">
        <f t="shared" si="164"/>
        <v>2.653</v>
      </c>
      <c r="R362" s="239">
        <f t="shared" si="165"/>
        <v>3.4929999999999999</v>
      </c>
      <c r="S362" s="239">
        <f t="shared" si="166"/>
        <v>3.01</v>
      </c>
      <c r="T362" s="239">
        <f t="shared" si="167"/>
        <v>3.3809999999999998</v>
      </c>
    </row>
    <row r="363" spans="1:20" s="3" customFormat="1">
      <c r="A363" s="109" t="s">
        <v>835</v>
      </c>
      <c r="B363" s="109" t="s">
        <v>836</v>
      </c>
      <c r="C363" s="118"/>
      <c r="D363" s="105" t="s">
        <v>925</v>
      </c>
      <c r="E363" s="105" t="s">
        <v>926</v>
      </c>
      <c r="F363" s="105"/>
      <c r="G363" s="105"/>
      <c r="H363" s="105"/>
      <c r="I363" s="105"/>
      <c r="J363" s="105"/>
      <c r="K363" s="118"/>
      <c r="L363" s="173">
        <v>1</v>
      </c>
      <c r="N363" s="239">
        <f t="shared" si="161"/>
        <v>0.3765</v>
      </c>
      <c r="O363" s="239">
        <f t="shared" si="162"/>
        <v>0.3765</v>
      </c>
      <c r="P363" s="239">
        <f t="shared" si="163"/>
        <v>0.45200000000000001</v>
      </c>
      <c r="Q363" s="239">
        <f t="shared" si="164"/>
        <v>0.379</v>
      </c>
      <c r="R363" s="239">
        <f t="shared" si="165"/>
        <v>0.499</v>
      </c>
      <c r="S363" s="239">
        <f t="shared" si="166"/>
        <v>0.43</v>
      </c>
      <c r="T363" s="239">
        <f t="shared" si="167"/>
        <v>0.48299999999999998</v>
      </c>
    </row>
    <row r="364" spans="1:20" s="3" customFormat="1">
      <c r="A364" s="113"/>
      <c r="B364" s="114"/>
      <c r="C364" s="115"/>
      <c r="D364" s="116"/>
      <c r="E364" s="116"/>
      <c r="F364" s="116"/>
      <c r="G364" s="116"/>
      <c r="H364" s="116"/>
      <c r="I364" s="116"/>
      <c r="J364" s="116"/>
      <c r="K364" s="182"/>
      <c r="L364" s="173"/>
      <c r="N364" s="239"/>
      <c r="O364" s="239"/>
      <c r="P364" s="239"/>
      <c r="Q364" s="239"/>
      <c r="R364" s="239"/>
      <c r="S364" s="239"/>
      <c r="T364" s="239"/>
    </row>
    <row r="365" spans="1:20" s="3" customFormat="1">
      <c r="A365" s="123" t="s">
        <v>287</v>
      </c>
      <c r="B365" s="181"/>
      <c r="C365" s="181"/>
      <c r="D365" s="125"/>
      <c r="E365" s="125"/>
      <c r="F365" s="125"/>
      <c r="G365" s="125"/>
      <c r="H365" s="125"/>
      <c r="I365" s="125"/>
      <c r="J365" s="125"/>
      <c r="K365" s="181"/>
      <c r="L365" s="126"/>
      <c r="N365" s="240"/>
      <c r="O365" s="240"/>
      <c r="P365" s="240"/>
      <c r="Q365" s="240"/>
      <c r="R365" s="240"/>
      <c r="S365" s="240"/>
      <c r="T365" s="240"/>
    </row>
    <row r="366" spans="1:20" s="3" customFormat="1">
      <c r="A366" s="109" t="s">
        <v>90</v>
      </c>
      <c r="B366" s="109" t="s">
        <v>927</v>
      </c>
      <c r="C366" s="118"/>
      <c r="D366" s="105" t="s">
        <v>928</v>
      </c>
      <c r="E366" s="105"/>
      <c r="F366" s="105"/>
      <c r="G366" s="105"/>
      <c r="H366" s="105"/>
      <c r="I366" s="105"/>
      <c r="J366" s="105"/>
      <c r="K366" s="118"/>
      <c r="L366" s="173">
        <v>6</v>
      </c>
      <c r="N366" s="239">
        <f t="shared" si="161"/>
        <v>2.2589999999999999</v>
      </c>
      <c r="O366" s="239">
        <f t="shared" si="162"/>
        <v>2.2589999999999999</v>
      </c>
      <c r="P366" s="239">
        <f t="shared" si="163"/>
        <v>2.7120000000000002</v>
      </c>
      <c r="Q366" s="239">
        <f t="shared" si="164"/>
        <v>2.274</v>
      </c>
      <c r="R366" s="239">
        <f t="shared" si="165"/>
        <v>2.9939999999999998</v>
      </c>
      <c r="S366" s="239">
        <f t="shared" si="166"/>
        <v>2.58</v>
      </c>
      <c r="T366" s="239">
        <f t="shared" si="167"/>
        <v>2.8979999999999997</v>
      </c>
    </row>
    <row r="367" spans="1:20" s="3" customFormat="1">
      <c r="A367" s="113"/>
      <c r="B367" s="114"/>
      <c r="C367" s="115"/>
      <c r="D367" s="116"/>
      <c r="E367" s="116"/>
      <c r="F367" s="116"/>
      <c r="G367" s="116"/>
      <c r="H367" s="116"/>
      <c r="I367" s="116"/>
      <c r="J367" s="116"/>
      <c r="K367" s="182"/>
      <c r="L367" s="173"/>
      <c r="N367" s="239"/>
      <c r="O367" s="239"/>
      <c r="P367" s="239"/>
      <c r="Q367" s="239"/>
      <c r="R367" s="239"/>
      <c r="S367" s="239"/>
      <c r="T367" s="239"/>
    </row>
    <row r="368" spans="1:20" s="3" customFormat="1">
      <c r="A368" s="89" t="s">
        <v>929</v>
      </c>
      <c r="B368" s="90"/>
      <c r="C368" s="90"/>
      <c r="D368" s="91"/>
      <c r="E368" s="91"/>
      <c r="F368" s="91"/>
      <c r="G368" s="91"/>
      <c r="H368" s="91"/>
      <c r="I368" s="91"/>
      <c r="J368" s="91"/>
      <c r="K368" s="90"/>
      <c r="L368" s="168"/>
      <c r="N368" s="238"/>
      <c r="O368" s="238"/>
      <c r="P368" s="238"/>
      <c r="Q368" s="238"/>
      <c r="R368" s="238"/>
      <c r="S368" s="238"/>
      <c r="T368" s="238"/>
    </row>
    <row r="369" spans="1:20" s="3" customFormat="1">
      <c r="A369" s="109" t="s">
        <v>317</v>
      </c>
      <c r="B369" s="109" t="s">
        <v>318</v>
      </c>
      <c r="C369" s="118"/>
      <c r="D369" s="206" t="s">
        <v>930</v>
      </c>
      <c r="E369" s="206" t="s">
        <v>930</v>
      </c>
      <c r="F369" s="206"/>
      <c r="G369" s="206"/>
      <c r="H369" s="206"/>
      <c r="I369" s="206"/>
      <c r="J369" s="206"/>
      <c r="K369" s="122"/>
      <c r="L369" s="173">
        <v>10</v>
      </c>
      <c r="N369" s="239">
        <f t="shared" si="161"/>
        <v>3.7650000000000001</v>
      </c>
      <c r="O369" s="239">
        <f t="shared" si="162"/>
        <v>3.7650000000000001</v>
      </c>
      <c r="P369" s="239">
        <f t="shared" si="163"/>
        <v>4.5200000000000005</v>
      </c>
      <c r="Q369" s="239">
        <f t="shared" si="164"/>
        <v>3.79</v>
      </c>
      <c r="R369" s="239">
        <f t="shared" si="165"/>
        <v>4.99</v>
      </c>
      <c r="S369" s="239">
        <f t="shared" si="166"/>
        <v>4.3</v>
      </c>
      <c r="T369" s="239">
        <f t="shared" si="167"/>
        <v>4.83</v>
      </c>
    </row>
    <row r="370" spans="1:20" s="3" customFormat="1">
      <c r="A370" s="109" t="s">
        <v>320</v>
      </c>
      <c r="B370" s="119" t="s">
        <v>321</v>
      </c>
      <c r="C370" s="120"/>
      <c r="D370" s="206" t="s">
        <v>931</v>
      </c>
      <c r="E370" s="206" t="s">
        <v>931</v>
      </c>
      <c r="F370" s="206"/>
      <c r="G370" s="206"/>
      <c r="H370" s="206"/>
      <c r="I370" s="206"/>
      <c r="J370" s="206"/>
      <c r="K370" s="122"/>
      <c r="L370" s="173">
        <v>30</v>
      </c>
      <c r="N370" s="239">
        <f t="shared" si="161"/>
        <v>11.295</v>
      </c>
      <c r="O370" s="239">
        <f t="shared" si="162"/>
        <v>11.295</v>
      </c>
      <c r="P370" s="239">
        <f t="shared" si="163"/>
        <v>13.56</v>
      </c>
      <c r="Q370" s="239">
        <f t="shared" si="164"/>
        <v>11.370000000000001</v>
      </c>
      <c r="R370" s="239">
        <f t="shared" si="165"/>
        <v>14.97</v>
      </c>
      <c r="S370" s="239">
        <f t="shared" si="166"/>
        <v>12.9</v>
      </c>
      <c r="T370" s="239">
        <f t="shared" si="167"/>
        <v>14.49</v>
      </c>
    </row>
    <row r="371" spans="1:20" s="3" customFormat="1">
      <c r="A371" s="109" t="s">
        <v>323</v>
      </c>
      <c r="B371" s="109" t="s">
        <v>324</v>
      </c>
      <c r="C371" s="118"/>
      <c r="D371" s="207" t="s">
        <v>932</v>
      </c>
      <c r="E371" s="207" t="s">
        <v>932</v>
      </c>
      <c r="F371" s="104"/>
      <c r="G371" s="104"/>
      <c r="H371" s="104"/>
      <c r="I371" s="104"/>
      <c r="J371" s="104"/>
      <c r="K371" s="107"/>
      <c r="L371" s="173">
        <v>60</v>
      </c>
      <c r="N371" s="239">
        <f t="shared" si="161"/>
        <v>22.59</v>
      </c>
      <c r="O371" s="239">
        <f t="shared" si="162"/>
        <v>22.59</v>
      </c>
      <c r="P371" s="239">
        <f t="shared" si="163"/>
        <v>27.12</v>
      </c>
      <c r="Q371" s="239">
        <f t="shared" si="164"/>
        <v>22.740000000000002</v>
      </c>
      <c r="R371" s="239">
        <f t="shared" si="165"/>
        <v>29.94</v>
      </c>
      <c r="S371" s="239">
        <f t="shared" si="166"/>
        <v>25.8</v>
      </c>
      <c r="T371" s="239">
        <f t="shared" si="167"/>
        <v>28.98</v>
      </c>
    </row>
    <row r="372" spans="1:20" s="3" customFormat="1">
      <c r="A372" s="109" t="s">
        <v>574</v>
      </c>
      <c r="B372" s="109" t="s">
        <v>575</v>
      </c>
      <c r="C372" s="118"/>
      <c r="D372" s="104" t="s">
        <v>933</v>
      </c>
      <c r="E372" s="104" t="s">
        <v>933</v>
      </c>
      <c r="F372" s="104"/>
      <c r="G372" s="104"/>
      <c r="H372" s="104"/>
      <c r="I372" s="104"/>
      <c r="J372" s="104"/>
      <c r="K372" s="107"/>
      <c r="L372" s="173">
        <v>20</v>
      </c>
      <c r="N372" s="239">
        <f t="shared" si="161"/>
        <v>7.53</v>
      </c>
      <c r="O372" s="239">
        <f t="shared" si="162"/>
        <v>7.53</v>
      </c>
      <c r="P372" s="239">
        <f t="shared" si="163"/>
        <v>9.0400000000000009</v>
      </c>
      <c r="Q372" s="239">
        <f t="shared" si="164"/>
        <v>7.58</v>
      </c>
      <c r="R372" s="239">
        <f t="shared" si="165"/>
        <v>9.98</v>
      </c>
      <c r="S372" s="239">
        <f t="shared" si="166"/>
        <v>8.6</v>
      </c>
      <c r="T372" s="239">
        <f t="shared" si="167"/>
        <v>9.66</v>
      </c>
    </row>
    <row r="373" spans="1:20" s="3" customFormat="1">
      <c r="A373" s="109" t="s">
        <v>326</v>
      </c>
      <c r="B373" s="109" t="s">
        <v>327</v>
      </c>
      <c r="C373" s="118"/>
      <c r="D373" s="105" t="s">
        <v>328</v>
      </c>
      <c r="E373" s="105" t="s">
        <v>328</v>
      </c>
      <c r="F373" s="105"/>
      <c r="G373" s="105"/>
      <c r="H373" s="105"/>
      <c r="I373" s="105"/>
      <c r="J373" s="105"/>
      <c r="K373" s="118"/>
      <c r="L373" s="173">
        <v>158</v>
      </c>
      <c r="N373" s="239">
        <f t="shared" si="161"/>
        <v>59.487000000000002</v>
      </c>
      <c r="O373" s="239">
        <f t="shared" si="162"/>
        <v>59.487000000000002</v>
      </c>
      <c r="P373" s="239">
        <f t="shared" si="163"/>
        <v>71.415999999999997</v>
      </c>
      <c r="Q373" s="239">
        <f t="shared" si="164"/>
        <v>59.881999999999998</v>
      </c>
      <c r="R373" s="239">
        <f t="shared" si="165"/>
        <v>78.841999999999999</v>
      </c>
      <c r="S373" s="239">
        <f t="shared" si="166"/>
        <v>67.94</v>
      </c>
      <c r="T373" s="239">
        <f t="shared" si="167"/>
        <v>76.313999999999993</v>
      </c>
    </row>
    <row r="374" spans="1:20" s="3" customFormat="1">
      <c r="A374" s="109" t="s">
        <v>1682</v>
      </c>
      <c r="B374" s="109" t="s">
        <v>1666</v>
      </c>
      <c r="C374" s="118"/>
      <c r="D374" s="109" t="s">
        <v>1706</v>
      </c>
      <c r="E374" s="105" t="s">
        <v>1706</v>
      </c>
      <c r="F374" s="105"/>
      <c r="G374" s="105"/>
      <c r="H374" s="105"/>
      <c r="I374" s="105"/>
      <c r="J374" s="105"/>
      <c r="K374" s="118"/>
      <c r="L374" s="173">
        <v>22</v>
      </c>
      <c r="N374" s="239">
        <f t="shared" ref="N374:N375" si="168">L374*$N$8</f>
        <v>8.2829999999999995</v>
      </c>
      <c r="O374" s="239">
        <f t="shared" ref="O374:O375" si="169">L374*$O$8</f>
        <v>8.2829999999999995</v>
      </c>
      <c r="P374" s="239">
        <f t="shared" ref="P374:P375" si="170">L374*$P$8</f>
        <v>9.9440000000000008</v>
      </c>
      <c r="Q374" s="239">
        <f t="shared" ref="Q374:Q375" si="171">L374*$Q$8</f>
        <v>8.338000000000001</v>
      </c>
      <c r="R374" s="239">
        <f t="shared" ref="R374:R375" si="172">L374*$R$8</f>
        <v>10.978</v>
      </c>
      <c r="S374" s="239">
        <f t="shared" ref="S374:S375" si="173">L374*$S$8</f>
        <v>9.4599999999999991</v>
      </c>
      <c r="T374" s="239">
        <f t="shared" ref="T374:T375" si="174">L374*$T$8</f>
        <v>10.625999999999999</v>
      </c>
    </row>
    <row r="375" spans="1:20" s="3" customFormat="1" ht="25.5">
      <c r="A375" s="109" t="s">
        <v>329</v>
      </c>
      <c r="B375" s="109" t="s">
        <v>330</v>
      </c>
      <c r="C375" s="118"/>
      <c r="D375" s="109" t="s">
        <v>1713</v>
      </c>
      <c r="E375" s="109" t="s">
        <v>1713</v>
      </c>
      <c r="F375" s="105"/>
      <c r="G375" s="105"/>
      <c r="H375" s="105"/>
      <c r="I375" s="105"/>
      <c r="J375" s="105"/>
      <c r="K375" s="118"/>
      <c r="L375" s="173">
        <v>52</v>
      </c>
      <c r="N375" s="239">
        <f t="shared" si="168"/>
        <v>19.577999999999999</v>
      </c>
      <c r="O375" s="239">
        <f t="shared" si="169"/>
        <v>19.577999999999999</v>
      </c>
      <c r="P375" s="239">
        <f t="shared" si="170"/>
        <v>23.504000000000001</v>
      </c>
      <c r="Q375" s="239">
        <f t="shared" si="171"/>
        <v>19.707999999999998</v>
      </c>
      <c r="R375" s="239">
        <f t="shared" si="172"/>
        <v>25.948</v>
      </c>
      <c r="S375" s="239">
        <f t="shared" si="173"/>
        <v>22.36</v>
      </c>
      <c r="T375" s="239">
        <f t="shared" si="174"/>
        <v>25.116</v>
      </c>
    </row>
    <row r="376" spans="1:20">
      <c r="H376" s="20"/>
      <c r="I376" s="20"/>
      <c r="J376" s="20"/>
      <c r="K376" s="184"/>
    </row>
    <row r="377" spans="1:20">
      <c r="H377" s="20"/>
      <c r="I377" s="20"/>
      <c r="J377" s="20"/>
      <c r="K377" s="184"/>
    </row>
    <row r="378" spans="1:20">
      <c r="H378" s="20"/>
      <c r="I378" s="20"/>
      <c r="J378" s="20"/>
      <c r="K378" s="184"/>
    </row>
    <row r="379" spans="1:20">
      <c r="H379" s="20"/>
      <c r="I379" s="20"/>
      <c r="J379" s="20"/>
      <c r="K379" s="184"/>
    </row>
    <row r="380" spans="1:20">
      <c r="H380" s="20"/>
      <c r="I380" s="20"/>
      <c r="J380" s="20"/>
      <c r="K380" s="184"/>
    </row>
    <row r="381" spans="1:20">
      <c r="H381" s="20"/>
      <c r="I381" s="20"/>
      <c r="J381" s="20"/>
      <c r="K381" s="184"/>
    </row>
    <row r="382" spans="1:20">
      <c r="H382" s="20"/>
      <c r="I382" s="20"/>
      <c r="J382" s="20"/>
      <c r="K382" s="184"/>
    </row>
    <row r="383" spans="1:20">
      <c r="H383" s="20"/>
      <c r="I383" s="20"/>
      <c r="J383" s="20"/>
      <c r="K383" s="184"/>
    </row>
    <row r="384" spans="1:20">
      <c r="H384" s="20"/>
      <c r="I384" s="20"/>
      <c r="J384" s="20"/>
      <c r="K384" s="184"/>
    </row>
    <row r="385" spans="8:11">
      <c r="H385" s="20"/>
      <c r="I385" s="20"/>
      <c r="J385" s="20"/>
      <c r="K385" s="184"/>
    </row>
    <row r="386" spans="8:11">
      <c r="H386" s="20"/>
      <c r="I386" s="20"/>
      <c r="J386" s="20"/>
      <c r="K386" s="184"/>
    </row>
    <row r="387" spans="8:11">
      <c r="H387" s="20"/>
      <c r="I387" s="20"/>
      <c r="J387" s="20"/>
      <c r="K387" s="184"/>
    </row>
    <row r="388" spans="8:11">
      <c r="H388" s="20"/>
      <c r="I388" s="20"/>
      <c r="J388" s="20"/>
      <c r="K388" s="184"/>
    </row>
    <row r="389" spans="8:11">
      <c r="H389" s="20"/>
      <c r="I389" s="20"/>
      <c r="J389" s="20"/>
      <c r="K389" s="184"/>
    </row>
    <row r="390" spans="8:11">
      <c r="H390" s="20"/>
      <c r="I390" s="20"/>
      <c r="J390" s="20"/>
      <c r="K390" s="184"/>
    </row>
    <row r="391" spans="8:11">
      <c r="H391" s="20"/>
      <c r="I391" s="20"/>
      <c r="J391" s="20"/>
      <c r="K391" s="184"/>
    </row>
    <row r="392" spans="8:11">
      <c r="H392" s="20"/>
      <c r="I392" s="20"/>
      <c r="J392" s="20"/>
      <c r="K392" s="184"/>
    </row>
    <row r="393" spans="8:11">
      <c r="H393" s="20"/>
      <c r="I393" s="20"/>
      <c r="J393" s="20"/>
      <c r="K393" s="184"/>
    </row>
    <row r="394" spans="8:11">
      <c r="H394" s="20"/>
      <c r="I394" s="20"/>
      <c r="J394" s="20"/>
      <c r="K394" s="184"/>
    </row>
    <row r="395" spans="8:11">
      <c r="H395" s="20"/>
      <c r="I395" s="20"/>
      <c r="J395" s="20"/>
      <c r="K395" s="184"/>
    </row>
    <row r="396" spans="8:11">
      <c r="H396" s="20"/>
      <c r="I396" s="20"/>
      <c r="J396" s="20"/>
      <c r="K396" s="184"/>
    </row>
    <row r="397" spans="8:11">
      <c r="H397" s="20"/>
      <c r="I397" s="20"/>
      <c r="J397" s="20"/>
      <c r="K397" s="184"/>
    </row>
  </sheetData>
  <mergeCells count="2">
    <mergeCell ref="N6:T6"/>
    <mergeCell ref="N9:T9"/>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AD291"/>
  <sheetViews>
    <sheetView topLeftCell="A242" zoomScale="60" zoomScaleNormal="60" workbookViewId="0">
      <selection activeCell="F211" sqref="F211"/>
    </sheetView>
  </sheetViews>
  <sheetFormatPr baseColWidth="10" defaultColWidth="9.140625" defaultRowHeight="12.75"/>
  <cols>
    <col min="1" max="1" width="98.42578125" style="19" customWidth="1"/>
    <col min="2" max="2" width="56.42578125" style="19" bestFit="1" customWidth="1"/>
    <col min="3" max="3" width="18.42578125" style="19" customWidth="1"/>
    <col min="4" max="4" width="16.42578125" style="44" customWidth="1"/>
    <col min="5" max="5" width="10.42578125" style="44" customWidth="1"/>
    <col min="6" max="6" width="14.85546875" style="19" customWidth="1"/>
    <col min="7" max="7" width="13.140625" style="19" customWidth="1"/>
    <col min="8" max="8" width="11.85546875" style="19" customWidth="1"/>
    <col min="9" max="9" width="13.140625" style="19" customWidth="1"/>
    <col min="10" max="10" width="13.5703125" style="19" customWidth="1"/>
    <col min="11" max="11" width="12.5703125" style="19" customWidth="1"/>
    <col min="12" max="12" width="12" style="19" customWidth="1"/>
    <col min="13" max="13" width="9.42578125" style="19" bestFit="1" customWidth="1"/>
    <col min="14" max="14" width="8.42578125" style="19" customWidth="1"/>
    <col min="15" max="18" width="8.42578125" style="19" bestFit="1" customWidth="1"/>
    <col min="19" max="19" width="9.140625" style="19" bestFit="1" customWidth="1"/>
    <col min="20" max="21" width="9.140625" style="19" customWidth="1"/>
    <col min="22" max="22" width="9.140625" style="19" bestFit="1" customWidth="1"/>
    <col min="23" max="23" width="9.140625" style="19"/>
    <col min="24" max="24" width="14.85546875" style="19" customWidth="1"/>
    <col min="25" max="25" width="10.85546875" style="19" customWidth="1"/>
    <col min="26" max="26" width="9.140625" style="19"/>
    <col min="27" max="27" width="11.42578125" style="19" customWidth="1"/>
    <col min="28" max="28" width="9.140625" style="19"/>
    <col min="29" max="29" width="12.85546875" style="19" customWidth="1"/>
    <col min="30" max="30" width="11.85546875" style="19" customWidth="1"/>
    <col min="31" max="16384" width="9.140625" style="19"/>
  </cols>
  <sheetData>
    <row r="1" spans="1:22">
      <c r="E1" s="10"/>
      <c r="F1" s="10"/>
      <c r="G1" s="10"/>
      <c r="H1" s="10"/>
      <c r="I1" s="10"/>
      <c r="J1" s="10"/>
      <c r="K1" s="10"/>
    </row>
    <row r="2" spans="1:22">
      <c r="E2" s="10"/>
      <c r="F2" s="10"/>
      <c r="G2" s="10"/>
      <c r="H2" s="10"/>
      <c r="I2" s="10"/>
      <c r="J2" s="10"/>
      <c r="K2" s="10"/>
    </row>
    <row r="3" spans="1:22">
      <c r="E3" s="10"/>
      <c r="F3" s="10"/>
      <c r="G3" s="10"/>
      <c r="H3" s="10"/>
      <c r="I3" s="10"/>
      <c r="J3" s="10"/>
      <c r="K3" s="10"/>
    </row>
    <row r="4" spans="1:22">
      <c r="E4" s="10"/>
      <c r="F4" s="10"/>
      <c r="G4" s="10"/>
      <c r="H4" s="10"/>
      <c r="I4" s="10"/>
      <c r="J4" s="10"/>
      <c r="K4" s="10"/>
    </row>
    <row r="5" spans="1:22">
      <c r="E5" s="10"/>
      <c r="F5" s="10"/>
      <c r="G5" s="10"/>
      <c r="H5" s="10"/>
      <c r="I5" s="10"/>
      <c r="J5" s="10"/>
      <c r="K5" s="10"/>
    </row>
    <row r="6" spans="1:22">
      <c r="E6" s="10"/>
      <c r="F6" s="10"/>
      <c r="G6" s="10"/>
      <c r="H6" s="10"/>
      <c r="I6" s="10"/>
      <c r="J6" s="10"/>
      <c r="K6" s="10"/>
    </row>
    <row r="7" spans="1:22">
      <c r="E7" s="10"/>
      <c r="F7" s="10"/>
      <c r="G7" s="10"/>
      <c r="H7" s="10"/>
      <c r="I7" s="10"/>
      <c r="J7" s="10"/>
      <c r="K7" s="10"/>
    </row>
    <row r="8" spans="1:22">
      <c r="E8" s="10"/>
      <c r="F8" s="10"/>
      <c r="G8" s="10"/>
      <c r="H8" s="10"/>
      <c r="I8" s="10"/>
      <c r="J8" s="10"/>
      <c r="K8" s="10"/>
    </row>
    <row r="9" spans="1:22">
      <c r="E9" s="10"/>
      <c r="F9" s="355" t="s">
        <v>1595</v>
      </c>
      <c r="G9" s="356"/>
      <c r="H9" s="356"/>
      <c r="I9" s="356"/>
      <c r="J9" s="356"/>
      <c r="K9" s="356"/>
      <c r="L9" s="357"/>
    </row>
    <row r="10" spans="1:22" ht="47.25">
      <c r="A10" s="46" t="s">
        <v>934</v>
      </c>
      <c r="B10" s="22"/>
      <c r="C10" s="22"/>
      <c r="E10" s="10"/>
      <c r="F10" s="53" t="s">
        <v>1596</v>
      </c>
      <c r="G10" s="53" t="s">
        <v>1597</v>
      </c>
      <c r="H10" s="53" t="s">
        <v>1598</v>
      </c>
      <c r="I10" s="53" t="s">
        <v>1599</v>
      </c>
      <c r="J10" s="53" t="s">
        <v>1600</v>
      </c>
      <c r="K10" s="53" t="s">
        <v>1601</v>
      </c>
      <c r="L10" s="53" t="s">
        <v>1607</v>
      </c>
      <c r="M10" s="10"/>
      <c r="N10" s="10"/>
      <c r="O10" s="10"/>
      <c r="P10" s="10"/>
      <c r="Q10" s="10"/>
      <c r="R10" s="10"/>
      <c r="S10" s="10"/>
      <c r="T10" s="10"/>
      <c r="U10" s="10"/>
      <c r="V10" s="10"/>
    </row>
    <row r="11" spans="1:22">
      <c r="A11" s="46"/>
      <c r="B11" s="22"/>
      <c r="C11" s="22"/>
      <c r="E11" s="10"/>
      <c r="F11" s="150">
        <v>0.3765</v>
      </c>
      <c r="G11" s="150">
        <v>0.3765</v>
      </c>
      <c r="H11" s="150">
        <v>0.45200000000000001</v>
      </c>
      <c r="I11" s="150">
        <v>0.379</v>
      </c>
      <c r="J11" s="150">
        <v>0.499</v>
      </c>
      <c r="K11" s="150">
        <v>0.43</v>
      </c>
      <c r="L11" s="150">
        <v>0.48299999999999998</v>
      </c>
      <c r="M11" s="10"/>
      <c r="N11" s="10"/>
      <c r="O11" s="10"/>
      <c r="P11" s="10"/>
      <c r="Q11" s="10"/>
      <c r="R11" s="10"/>
      <c r="S11" s="10"/>
      <c r="T11" s="10"/>
      <c r="U11" s="10"/>
      <c r="V11" s="10"/>
    </row>
    <row r="12" spans="1:22" ht="42.75" customHeight="1">
      <c r="A12" s="23" t="s">
        <v>935</v>
      </c>
      <c r="B12" s="24"/>
      <c r="C12" s="25"/>
      <c r="D12" s="25"/>
      <c r="E12" s="10"/>
      <c r="F12" s="358" t="s">
        <v>1603</v>
      </c>
      <c r="G12" s="358"/>
      <c r="H12" s="358"/>
      <c r="I12" s="358"/>
      <c r="J12" s="358"/>
      <c r="K12" s="358"/>
      <c r="L12" s="358"/>
      <c r="M12" s="10"/>
      <c r="N12" s="10"/>
      <c r="O12" s="10"/>
      <c r="P12" s="10"/>
      <c r="Q12" s="10"/>
      <c r="R12" s="10"/>
      <c r="S12" s="10"/>
      <c r="T12" s="10"/>
      <c r="U12" s="10"/>
      <c r="V12" s="10"/>
    </row>
    <row r="13" spans="1:22" ht="42" customHeight="1">
      <c r="A13" s="76" t="s">
        <v>936</v>
      </c>
      <c r="B13" s="76" t="s">
        <v>937</v>
      </c>
      <c r="C13" s="5" t="s">
        <v>120</v>
      </c>
      <c r="D13" s="216" t="s">
        <v>938</v>
      </c>
      <c r="E13" s="10"/>
      <c r="F13" s="157" t="s">
        <v>1605</v>
      </c>
      <c r="G13" s="157" t="s">
        <v>1605</v>
      </c>
      <c r="H13" s="157" t="s">
        <v>1605</v>
      </c>
      <c r="I13" s="157" t="s">
        <v>1605</v>
      </c>
      <c r="J13" s="157" t="s">
        <v>1605</v>
      </c>
      <c r="K13" s="157" t="s">
        <v>1605</v>
      </c>
      <c r="L13" s="157" t="s">
        <v>1605</v>
      </c>
      <c r="P13" s="10"/>
      <c r="Q13" s="10"/>
      <c r="R13" s="10"/>
      <c r="S13" s="10"/>
      <c r="T13" s="10"/>
      <c r="U13" s="10"/>
      <c r="V13" s="10"/>
    </row>
    <row r="14" spans="1:22">
      <c r="A14" s="59" t="s">
        <v>939</v>
      </c>
      <c r="B14" s="60"/>
      <c r="C14" s="62"/>
      <c r="D14" s="217"/>
      <c r="E14" s="10"/>
      <c r="F14" s="254"/>
      <c r="G14" s="254"/>
      <c r="H14" s="254"/>
      <c r="I14" s="254"/>
      <c r="J14" s="254"/>
      <c r="K14" s="254"/>
      <c r="L14" s="254"/>
      <c r="P14" s="10"/>
      <c r="Q14" s="10"/>
      <c r="R14" s="10"/>
      <c r="S14" s="10"/>
      <c r="T14" s="10"/>
      <c r="U14" s="10"/>
      <c r="V14" s="10"/>
    </row>
    <row r="15" spans="1:22">
      <c r="A15" s="63" t="s">
        <v>940</v>
      </c>
      <c r="B15" s="64" t="s">
        <v>941</v>
      </c>
      <c r="C15" s="74" t="s">
        <v>942</v>
      </c>
      <c r="D15" s="218">
        <v>46</v>
      </c>
      <c r="E15" s="10"/>
      <c r="F15" s="252">
        <f>D15*$F$11</f>
        <v>17.318999999999999</v>
      </c>
      <c r="G15" s="252">
        <f>D15*$G$11</f>
        <v>17.318999999999999</v>
      </c>
      <c r="H15" s="252">
        <f>D15*$H$11</f>
        <v>20.792000000000002</v>
      </c>
      <c r="I15" s="252">
        <f>D15*$I$11</f>
        <v>17.434000000000001</v>
      </c>
      <c r="J15" s="252">
        <f>D15*$J$11</f>
        <v>22.954000000000001</v>
      </c>
      <c r="K15" s="252">
        <f>D15*$K$11</f>
        <v>19.78</v>
      </c>
      <c r="L15" s="253">
        <f>D15*$L$11</f>
        <v>22.218</v>
      </c>
      <c r="P15" s="10"/>
      <c r="Q15" s="10"/>
      <c r="R15" s="10"/>
      <c r="S15" s="10"/>
      <c r="T15" s="10"/>
      <c r="U15" s="10"/>
      <c r="V15" s="10"/>
    </row>
    <row r="16" spans="1:22">
      <c r="A16" s="63" t="s">
        <v>943</v>
      </c>
      <c r="B16" s="64" t="s">
        <v>944</v>
      </c>
      <c r="C16" s="74" t="s">
        <v>945</v>
      </c>
      <c r="D16" s="218">
        <v>87</v>
      </c>
      <c r="E16" s="10"/>
      <c r="F16" s="252">
        <f t="shared" ref="F16:F78" si="0">D16*$F$11</f>
        <v>32.755499999999998</v>
      </c>
      <c r="G16" s="252">
        <f t="shared" ref="G16:G78" si="1">D16*$G$11</f>
        <v>32.755499999999998</v>
      </c>
      <c r="H16" s="252">
        <f t="shared" ref="H16:H78" si="2">D16*$H$11</f>
        <v>39.323999999999998</v>
      </c>
      <c r="I16" s="252">
        <f t="shared" ref="I16:I78" si="3">D16*$I$11</f>
        <v>32.972999999999999</v>
      </c>
      <c r="J16" s="252">
        <f t="shared" ref="J16:J78" si="4">D16*$J$11</f>
        <v>43.412999999999997</v>
      </c>
      <c r="K16" s="252">
        <f t="shared" ref="K16:K78" si="5">D16*$K$11</f>
        <v>37.409999999999997</v>
      </c>
      <c r="L16" s="253">
        <f t="shared" ref="L16:L78" si="6">D16*$L$11</f>
        <v>42.021000000000001</v>
      </c>
      <c r="N16" s="10"/>
      <c r="O16" s="10"/>
      <c r="P16" s="10"/>
      <c r="Q16" s="10"/>
      <c r="R16" s="10"/>
      <c r="S16" s="10"/>
      <c r="T16" s="10"/>
      <c r="U16" s="10"/>
      <c r="V16" s="10"/>
    </row>
    <row r="17" spans="1:22">
      <c r="A17" s="63"/>
      <c r="B17" s="64"/>
      <c r="C17" s="65"/>
      <c r="D17" s="218"/>
      <c r="E17" s="10"/>
      <c r="F17" s="252"/>
      <c r="G17" s="252"/>
      <c r="H17" s="252"/>
      <c r="I17" s="252"/>
      <c r="J17" s="252"/>
      <c r="K17" s="252"/>
      <c r="L17" s="253"/>
      <c r="N17" s="10"/>
      <c r="O17" s="10"/>
      <c r="P17" s="10"/>
      <c r="Q17" s="10"/>
      <c r="R17" s="10"/>
      <c r="S17" s="10"/>
      <c r="T17" s="10"/>
      <c r="U17" s="10"/>
      <c r="V17" s="10"/>
    </row>
    <row r="18" spans="1:22">
      <c r="A18" s="59" t="s">
        <v>946</v>
      </c>
      <c r="B18" s="60"/>
      <c r="C18" s="62"/>
      <c r="D18" s="217"/>
      <c r="E18" s="10"/>
      <c r="F18" s="254"/>
      <c r="G18" s="254"/>
      <c r="H18" s="254"/>
      <c r="I18" s="254"/>
      <c r="J18" s="254"/>
      <c r="K18" s="254"/>
      <c r="L18" s="255"/>
      <c r="N18" s="10"/>
      <c r="O18" s="10"/>
      <c r="P18" s="10"/>
      <c r="Q18" s="10"/>
      <c r="R18" s="10"/>
      <c r="S18" s="10"/>
      <c r="T18" s="10"/>
      <c r="U18" s="10"/>
      <c r="V18" s="10"/>
    </row>
    <row r="19" spans="1:22">
      <c r="A19" s="63" t="s">
        <v>947</v>
      </c>
      <c r="B19" s="64" t="s">
        <v>948</v>
      </c>
      <c r="C19" s="107" t="s">
        <v>949</v>
      </c>
      <c r="D19" s="218">
        <v>174</v>
      </c>
      <c r="E19" s="10"/>
      <c r="F19" s="252">
        <f t="shared" si="0"/>
        <v>65.510999999999996</v>
      </c>
      <c r="G19" s="252">
        <f t="shared" si="1"/>
        <v>65.510999999999996</v>
      </c>
      <c r="H19" s="252">
        <f t="shared" si="2"/>
        <v>78.647999999999996</v>
      </c>
      <c r="I19" s="252">
        <f t="shared" si="3"/>
        <v>65.945999999999998</v>
      </c>
      <c r="J19" s="252">
        <f t="shared" si="4"/>
        <v>86.825999999999993</v>
      </c>
      <c r="K19" s="252">
        <f t="shared" si="5"/>
        <v>74.819999999999993</v>
      </c>
      <c r="L19" s="253">
        <f t="shared" si="6"/>
        <v>84.042000000000002</v>
      </c>
      <c r="N19" s="10"/>
      <c r="O19" s="10"/>
      <c r="P19" s="10"/>
      <c r="Q19" s="10"/>
      <c r="R19" s="10"/>
      <c r="S19" s="10"/>
      <c r="T19" s="10"/>
      <c r="U19" s="10"/>
      <c r="V19" s="10"/>
    </row>
    <row r="20" spans="1:22">
      <c r="A20" s="63" t="s">
        <v>950</v>
      </c>
      <c r="B20" s="64" t="s">
        <v>951</v>
      </c>
      <c r="C20" s="65" t="s">
        <v>952</v>
      </c>
      <c r="D20" s="218">
        <v>25</v>
      </c>
      <c r="E20" s="10"/>
      <c r="F20" s="252">
        <f t="shared" si="0"/>
        <v>9.4124999999999996</v>
      </c>
      <c r="G20" s="252">
        <f t="shared" si="1"/>
        <v>9.4124999999999996</v>
      </c>
      <c r="H20" s="252">
        <f t="shared" si="2"/>
        <v>11.3</v>
      </c>
      <c r="I20" s="252">
        <f t="shared" si="3"/>
        <v>9.4749999999999996</v>
      </c>
      <c r="J20" s="252">
        <f t="shared" si="4"/>
        <v>12.475</v>
      </c>
      <c r="K20" s="252">
        <f t="shared" si="5"/>
        <v>10.75</v>
      </c>
      <c r="L20" s="253">
        <f t="shared" si="6"/>
        <v>12.074999999999999</v>
      </c>
      <c r="N20" s="10"/>
      <c r="O20" s="10"/>
      <c r="P20" s="10"/>
      <c r="Q20" s="10"/>
      <c r="R20" s="10"/>
      <c r="S20" s="10"/>
      <c r="T20" s="10"/>
      <c r="U20" s="10"/>
      <c r="V20" s="10"/>
    </row>
    <row r="21" spans="1:22">
      <c r="A21" s="63" t="s">
        <v>953</v>
      </c>
      <c r="B21" s="64" t="s">
        <v>954</v>
      </c>
      <c r="C21" s="107" t="s">
        <v>955</v>
      </c>
      <c r="D21" s="218">
        <v>371</v>
      </c>
      <c r="E21" s="10"/>
      <c r="F21" s="252">
        <f t="shared" si="0"/>
        <v>139.6815</v>
      </c>
      <c r="G21" s="252">
        <f t="shared" si="1"/>
        <v>139.6815</v>
      </c>
      <c r="H21" s="252">
        <f t="shared" si="2"/>
        <v>167.69200000000001</v>
      </c>
      <c r="I21" s="252">
        <f t="shared" si="3"/>
        <v>140.60900000000001</v>
      </c>
      <c r="J21" s="252">
        <f t="shared" si="4"/>
        <v>185.12899999999999</v>
      </c>
      <c r="K21" s="252">
        <f t="shared" si="5"/>
        <v>159.53</v>
      </c>
      <c r="L21" s="253">
        <f t="shared" si="6"/>
        <v>179.19299999999998</v>
      </c>
      <c r="N21" s="10"/>
      <c r="O21" s="10"/>
      <c r="P21" s="10"/>
      <c r="Q21" s="10"/>
      <c r="R21" s="10"/>
      <c r="S21" s="10"/>
      <c r="T21" s="10"/>
      <c r="U21" s="10"/>
      <c r="V21" s="10"/>
    </row>
    <row r="22" spans="1:22">
      <c r="A22" s="63"/>
      <c r="B22" s="64"/>
      <c r="C22" s="65"/>
      <c r="D22" s="218"/>
      <c r="E22" s="10"/>
      <c r="F22" s="252"/>
      <c r="G22" s="252"/>
      <c r="H22" s="252"/>
      <c r="I22" s="252"/>
      <c r="J22" s="252"/>
      <c r="K22" s="252"/>
      <c r="L22" s="253"/>
      <c r="N22" s="10"/>
      <c r="O22" s="10"/>
      <c r="P22" s="10"/>
      <c r="Q22" s="10"/>
      <c r="R22" s="10"/>
      <c r="S22" s="10"/>
      <c r="T22" s="10"/>
      <c r="U22" s="10"/>
      <c r="V22" s="10"/>
    </row>
    <row r="23" spans="1:22">
      <c r="A23" s="59" t="s">
        <v>956</v>
      </c>
      <c r="B23" s="60"/>
      <c r="C23" s="62"/>
      <c r="D23" s="217"/>
      <c r="E23" s="10"/>
      <c r="F23" s="254"/>
      <c r="G23" s="254"/>
      <c r="H23" s="254"/>
      <c r="I23" s="254"/>
      <c r="J23" s="254"/>
      <c r="K23" s="254"/>
      <c r="L23" s="255"/>
      <c r="N23" s="10"/>
      <c r="O23" s="10"/>
      <c r="P23" s="10"/>
      <c r="Q23" s="10"/>
      <c r="R23" s="10"/>
      <c r="S23" s="10"/>
      <c r="T23" s="10"/>
      <c r="U23" s="10"/>
      <c r="V23" s="10"/>
    </row>
    <row r="24" spans="1:22">
      <c r="A24" s="63" t="s">
        <v>958</v>
      </c>
      <c r="B24" s="64" t="s">
        <v>958</v>
      </c>
      <c r="C24" s="65" t="s">
        <v>959</v>
      </c>
      <c r="D24" s="218">
        <v>11</v>
      </c>
      <c r="E24" s="10"/>
      <c r="F24" s="252">
        <f t="shared" si="0"/>
        <v>4.1414999999999997</v>
      </c>
      <c r="G24" s="252">
        <f t="shared" si="1"/>
        <v>4.1414999999999997</v>
      </c>
      <c r="H24" s="252">
        <f t="shared" si="2"/>
        <v>4.9720000000000004</v>
      </c>
      <c r="I24" s="252">
        <f t="shared" si="3"/>
        <v>4.1690000000000005</v>
      </c>
      <c r="J24" s="252">
        <f t="shared" si="4"/>
        <v>5.4889999999999999</v>
      </c>
      <c r="K24" s="252">
        <f t="shared" si="5"/>
        <v>4.7299999999999995</v>
      </c>
      <c r="L24" s="253">
        <f t="shared" si="6"/>
        <v>5.3129999999999997</v>
      </c>
      <c r="N24" s="10"/>
      <c r="O24" s="10"/>
      <c r="P24" s="10"/>
      <c r="Q24" s="10"/>
      <c r="R24" s="10"/>
      <c r="S24" s="10"/>
      <c r="T24" s="10"/>
      <c r="U24" s="10"/>
      <c r="V24" s="10"/>
    </row>
    <row r="25" spans="1:22">
      <c r="A25" s="63" t="s">
        <v>960</v>
      </c>
      <c r="B25" s="78" t="s">
        <v>961</v>
      </c>
      <c r="C25" s="65" t="s">
        <v>962</v>
      </c>
      <c r="D25" s="218">
        <v>119</v>
      </c>
      <c r="E25" s="10"/>
      <c r="F25" s="252">
        <f t="shared" si="0"/>
        <v>44.8035</v>
      </c>
      <c r="G25" s="252">
        <f t="shared" si="1"/>
        <v>44.8035</v>
      </c>
      <c r="H25" s="252">
        <f t="shared" si="2"/>
        <v>53.788000000000004</v>
      </c>
      <c r="I25" s="252">
        <f t="shared" si="3"/>
        <v>45.100999999999999</v>
      </c>
      <c r="J25" s="252">
        <f t="shared" si="4"/>
        <v>59.381</v>
      </c>
      <c r="K25" s="252">
        <f t="shared" si="5"/>
        <v>51.17</v>
      </c>
      <c r="L25" s="253">
        <f t="shared" si="6"/>
        <v>57.476999999999997</v>
      </c>
      <c r="N25" s="10"/>
      <c r="O25" s="10"/>
      <c r="P25" s="10"/>
      <c r="Q25" s="10"/>
      <c r="R25" s="10"/>
      <c r="S25" s="10"/>
      <c r="T25" s="10"/>
      <c r="U25" s="10"/>
      <c r="V25" s="10"/>
    </row>
    <row r="26" spans="1:22">
      <c r="A26" s="63" t="s">
        <v>963</v>
      </c>
      <c r="B26" s="7" t="s">
        <v>964</v>
      </c>
      <c r="C26" s="65" t="s">
        <v>965</v>
      </c>
      <c r="D26" s="218">
        <v>14</v>
      </c>
      <c r="E26" s="10"/>
      <c r="F26" s="252">
        <f t="shared" si="0"/>
        <v>5.2709999999999999</v>
      </c>
      <c r="G26" s="252">
        <f t="shared" si="1"/>
        <v>5.2709999999999999</v>
      </c>
      <c r="H26" s="252">
        <f t="shared" si="2"/>
        <v>6.3280000000000003</v>
      </c>
      <c r="I26" s="252">
        <f t="shared" si="3"/>
        <v>5.306</v>
      </c>
      <c r="J26" s="252">
        <f t="shared" si="4"/>
        <v>6.9859999999999998</v>
      </c>
      <c r="K26" s="252">
        <f t="shared" si="5"/>
        <v>6.02</v>
      </c>
      <c r="L26" s="253">
        <f t="shared" si="6"/>
        <v>6.7619999999999996</v>
      </c>
      <c r="N26" s="10"/>
      <c r="O26" s="10"/>
      <c r="P26" s="10"/>
      <c r="Q26" s="10"/>
      <c r="R26" s="10"/>
      <c r="S26" s="10"/>
      <c r="T26" s="10"/>
      <c r="U26" s="10"/>
      <c r="V26" s="10"/>
    </row>
    <row r="27" spans="1:22">
      <c r="A27" s="63" t="s">
        <v>966</v>
      </c>
      <c r="B27" s="78" t="s">
        <v>966</v>
      </c>
      <c r="C27" s="79" t="s">
        <v>967</v>
      </c>
      <c r="D27" s="218">
        <v>14</v>
      </c>
      <c r="E27" s="10"/>
      <c r="F27" s="252">
        <f t="shared" si="0"/>
        <v>5.2709999999999999</v>
      </c>
      <c r="G27" s="252">
        <f t="shared" si="1"/>
        <v>5.2709999999999999</v>
      </c>
      <c r="H27" s="252">
        <f t="shared" si="2"/>
        <v>6.3280000000000003</v>
      </c>
      <c r="I27" s="252">
        <f t="shared" si="3"/>
        <v>5.306</v>
      </c>
      <c r="J27" s="252">
        <f t="shared" si="4"/>
        <v>6.9859999999999998</v>
      </c>
      <c r="K27" s="252">
        <f t="shared" si="5"/>
        <v>6.02</v>
      </c>
      <c r="L27" s="253">
        <f t="shared" si="6"/>
        <v>6.7619999999999996</v>
      </c>
      <c r="N27" s="10"/>
      <c r="O27" s="10"/>
      <c r="P27" s="10"/>
      <c r="Q27" s="10"/>
      <c r="R27" s="10"/>
      <c r="S27" s="10"/>
      <c r="T27" s="10"/>
      <c r="U27" s="10"/>
      <c r="V27" s="10"/>
    </row>
    <row r="28" spans="1:22">
      <c r="A28" s="63" t="s">
        <v>968</v>
      </c>
      <c r="B28" s="7" t="s">
        <v>969</v>
      </c>
      <c r="C28" s="66" t="s">
        <v>965</v>
      </c>
      <c r="D28" s="218">
        <v>16</v>
      </c>
      <c r="E28" s="10"/>
      <c r="F28" s="252">
        <f t="shared" si="0"/>
        <v>6.024</v>
      </c>
      <c r="G28" s="252">
        <f t="shared" si="1"/>
        <v>6.024</v>
      </c>
      <c r="H28" s="252">
        <f t="shared" si="2"/>
        <v>7.2320000000000002</v>
      </c>
      <c r="I28" s="252">
        <f t="shared" si="3"/>
        <v>6.0640000000000001</v>
      </c>
      <c r="J28" s="252">
        <f t="shared" si="4"/>
        <v>7.984</v>
      </c>
      <c r="K28" s="252">
        <f t="shared" si="5"/>
        <v>6.88</v>
      </c>
      <c r="L28" s="253">
        <f t="shared" si="6"/>
        <v>7.7279999999999998</v>
      </c>
      <c r="N28" s="10"/>
      <c r="O28" s="10"/>
      <c r="P28" s="10"/>
      <c r="Q28" s="10"/>
      <c r="R28" s="10"/>
      <c r="S28" s="10"/>
      <c r="T28" s="10"/>
      <c r="U28" s="10"/>
      <c r="V28" s="10"/>
    </row>
    <row r="29" spans="1:22">
      <c r="A29" s="109" t="s">
        <v>970</v>
      </c>
      <c r="B29" s="113" t="s">
        <v>971</v>
      </c>
      <c r="C29" s="107" t="s">
        <v>972</v>
      </c>
      <c r="D29" s="219">
        <v>29</v>
      </c>
      <c r="E29" s="10"/>
      <c r="F29" s="256">
        <f t="shared" si="0"/>
        <v>10.9185</v>
      </c>
      <c r="G29" s="256">
        <f t="shared" si="1"/>
        <v>10.9185</v>
      </c>
      <c r="H29" s="256">
        <f t="shared" si="2"/>
        <v>13.108000000000001</v>
      </c>
      <c r="I29" s="256">
        <f t="shared" si="3"/>
        <v>10.991</v>
      </c>
      <c r="J29" s="256">
        <f t="shared" si="4"/>
        <v>14.471</v>
      </c>
      <c r="K29" s="256">
        <f t="shared" si="5"/>
        <v>12.47</v>
      </c>
      <c r="L29" s="248">
        <f t="shared" si="6"/>
        <v>14.007</v>
      </c>
      <c r="N29" s="10"/>
      <c r="O29" s="10"/>
      <c r="P29" s="10"/>
      <c r="Q29" s="10"/>
      <c r="R29" s="10"/>
      <c r="S29" s="10"/>
      <c r="T29" s="10"/>
      <c r="U29" s="10"/>
      <c r="V29" s="10"/>
    </row>
    <row r="30" spans="1:22">
      <c r="A30" s="109" t="s">
        <v>973</v>
      </c>
      <c r="B30" s="113" t="s">
        <v>974</v>
      </c>
      <c r="C30" s="107" t="s">
        <v>975</v>
      </c>
      <c r="D30" s="219">
        <v>19</v>
      </c>
      <c r="E30" s="10"/>
      <c r="F30" s="256">
        <f t="shared" si="0"/>
        <v>7.1535000000000002</v>
      </c>
      <c r="G30" s="256">
        <f t="shared" si="1"/>
        <v>7.1535000000000002</v>
      </c>
      <c r="H30" s="256">
        <f t="shared" si="2"/>
        <v>8.588000000000001</v>
      </c>
      <c r="I30" s="256">
        <f t="shared" si="3"/>
        <v>7.2010000000000005</v>
      </c>
      <c r="J30" s="256">
        <f t="shared" si="4"/>
        <v>9.4809999999999999</v>
      </c>
      <c r="K30" s="256">
        <f t="shared" si="5"/>
        <v>8.17</v>
      </c>
      <c r="L30" s="248">
        <f t="shared" si="6"/>
        <v>9.1769999999999996</v>
      </c>
      <c r="N30" s="10"/>
      <c r="O30" s="10"/>
      <c r="P30" s="10"/>
      <c r="Q30" s="10"/>
      <c r="R30" s="10"/>
      <c r="S30" s="10"/>
      <c r="T30" s="10"/>
      <c r="U30" s="10"/>
      <c r="V30" s="10"/>
    </row>
    <row r="31" spans="1:22">
      <c r="A31" s="63" t="s">
        <v>976</v>
      </c>
      <c r="B31" s="64" t="s">
        <v>977</v>
      </c>
      <c r="C31" s="66" t="s">
        <v>978</v>
      </c>
      <c r="D31" s="218">
        <v>49</v>
      </c>
      <c r="E31" s="10"/>
      <c r="F31" s="252">
        <f t="shared" si="0"/>
        <v>18.448499999999999</v>
      </c>
      <c r="G31" s="252">
        <f t="shared" si="1"/>
        <v>18.448499999999999</v>
      </c>
      <c r="H31" s="252">
        <f t="shared" si="2"/>
        <v>22.148</v>
      </c>
      <c r="I31" s="252">
        <f t="shared" si="3"/>
        <v>18.571000000000002</v>
      </c>
      <c r="J31" s="252">
        <f t="shared" si="4"/>
        <v>24.451000000000001</v>
      </c>
      <c r="K31" s="252">
        <f t="shared" si="5"/>
        <v>21.07</v>
      </c>
      <c r="L31" s="253">
        <f t="shared" si="6"/>
        <v>23.666999999999998</v>
      </c>
      <c r="N31" s="10"/>
      <c r="O31" s="10"/>
      <c r="P31" s="10"/>
      <c r="Q31" s="10"/>
      <c r="R31" s="10"/>
      <c r="S31" s="10"/>
      <c r="T31" s="10"/>
      <c r="U31" s="10"/>
      <c r="V31" s="10"/>
    </row>
    <row r="32" spans="1:22">
      <c r="A32" s="63" t="s">
        <v>979</v>
      </c>
      <c r="B32" s="64" t="s">
        <v>980</v>
      </c>
      <c r="C32" s="66" t="s">
        <v>981</v>
      </c>
      <c r="D32" s="218">
        <v>67</v>
      </c>
      <c r="E32" s="10"/>
      <c r="F32" s="252">
        <f t="shared" si="0"/>
        <v>25.2255</v>
      </c>
      <c r="G32" s="252">
        <f t="shared" si="1"/>
        <v>25.2255</v>
      </c>
      <c r="H32" s="252">
        <f t="shared" si="2"/>
        <v>30.284000000000002</v>
      </c>
      <c r="I32" s="252">
        <f t="shared" si="3"/>
        <v>25.393000000000001</v>
      </c>
      <c r="J32" s="252">
        <f t="shared" si="4"/>
        <v>33.433</v>
      </c>
      <c r="K32" s="252">
        <f t="shared" si="5"/>
        <v>28.81</v>
      </c>
      <c r="L32" s="253">
        <f t="shared" si="6"/>
        <v>32.360999999999997</v>
      </c>
      <c r="N32" s="10"/>
      <c r="O32" s="10"/>
      <c r="P32" s="10"/>
      <c r="Q32" s="10"/>
      <c r="R32" s="10"/>
      <c r="S32" s="10"/>
      <c r="T32" s="10"/>
      <c r="U32" s="10"/>
      <c r="V32" s="10"/>
    </row>
    <row r="33" spans="1:22">
      <c r="A33" s="80" t="s">
        <v>982</v>
      </c>
      <c r="B33" s="80" t="s">
        <v>983</v>
      </c>
      <c r="C33" s="66" t="s">
        <v>984</v>
      </c>
      <c r="D33" s="218">
        <v>31</v>
      </c>
      <c r="E33" s="10"/>
      <c r="F33" s="252">
        <f t="shared" si="0"/>
        <v>11.6715</v>
      </c>
      <c r="G33" s="252">
        <f t="shared" si="1"/>
        <v>11.6715</v>
      </c>
      <c r="H33" s="252">
        <f t="shared" si="2"/>
        <v>14.012</v>
      </c>
      <c r="I33" s="252">
        <f t="shared" si="3"/>
        <v>11.749000000000001</v>
      </c>
      <c r="J33" s="252">
        <f t="shared" si="4"/>
        <v>15.468999999999999</v>
      </c>
      <c r="K33" s="252">
        <f t="shared" si="5"/>
        <v>13.33</v>
      </c>
      <c r="L33" s="253">
        <f t="shared" si="6"/>
        <v>14.972999999999999</v>
      </c>
      <c r="N33" s="10"/>
      <c r="O33" s="10"/>
      <c r="P33" s="10"/>
      <c r="Q33" s="10"/>
      <c r="R33" s="10"/>
      <c r="S33" s="10"/>
      <c r="T33" s="10"/>
      <c r="U33" s="10"/>
      <c r="V33" s="10"/>
    </row>
    <row r="34" spans="1:22">
      <c r="A34" s="63"/>
      <c r="B34" s="64"/>
      <c r="C34" s="66"/>
      <c r="D34" s="218"/>
      <c r="E34" s="10"/>
      <c r="F34" s="252"/>
      <c r="G34" s="252"/>
      <c r="H34" s="252"/>
      <c r="I34" s="252"/>
      <c r="J34" s="252"/>
      <c r="K34" s="252"/>
      <c r="L34" s="253"/>
      <c r="N34" s="10"/>
      <c r="O34" s="10"/>
      <c r="P34" s="10"/>
      <c r="Q34" s="10"/>
      <c r="R34" s="10"/>
      <c r="S34" s="10"/>
      <c r="T34" s="10"/>
      <c r="U34" s="10"/>
      <c r="V34" s="10"/>
    </row>
    <row r="35" spans="1:22">
      <c r="A35" s="81" t="s">
        <v>985</v>
      </c>
      <c r="B35" s="60"/>
      <c r="C35" s="62"/>
      <c r="D35" s="217"/>
      <c r="E35" s="10"/>
      <c r="F35" s="254"/>
      <c r="G35" s="254"/>
      <c r="H35" s="254"/>
      <c r="I35" s="254"/>
      <c r="J35" s="254"/>
      <c r="K35" s="254"/>
      <c r="L35" s="255"/>
      <c r="N35" s="10"/>
      <c r="O35" s="10"/>
      <c r="P35" s="10"/>
      <c r="Q35" s="10"/>
      <c r="R35" s="10"/>
      <c r="S35" s="10"/>
      <c r="T35" s="10"/>
      <c r="U35" s="10"/>
      <c r="V35" s="10"/>
    </row>
    <row r="36" spans="1:22">
      <c r="A36" s="63" t="s">
        <v>986</v>
      </c>
      <c r="B36" s="64" t="s">
        <v>987</v>
      </c>
      <c r="C36" s="65" t="s">
        <v>988</v>
      </c>
      <c r="D36" s="218">
        <v>4</v>
      </c>
      <c r="E36" s="10"/>
      <c r="F36" s="252">
        <f t="shared" si="0"/>
        <v>1.506</v>
      </c>
      <c r="G36" s="252">
        <f t="shared" si="1"/>
        <v>1.506</v>
      </c>
      <c r="H36" s="252">
        <f t="shared" si="2"/>
        <v>1.8080000000000001</v>
      </c>
      <c r="I36" s="252">
        <f t="shared" si="3"/>
        <v>1.516</v>
      </c>
      <c r="J36" s="252">
        <f t="shared" si="4"/>
        <v>1.996</v>
      </c>
      <c r="K36" s="252">
        <f t="shared" si="5"/>
        <v>1.72</v>
      </c>
      <c r="L36" s="253">
        <f t="shared" si="6"/>
        <v>1.9319999999999999</v>
      </c>
      <c r="N36" s="10"/>
      <c r="O36" s="10"/>
      <c r="P36" s="10"/>
      <c r="Q36" s="10"/>
      <c r="R36" s="10"/>
      <c r="S36" s="10"/>
      <c r="T36" s="10"/>
      <c r="U36" s="10"/>
      <c r="V36" s="10"/>
    </row>
    <row r="37" spans="1:22">
      <c r="A37" s="63" t="s">
        <v>989</v>
      </c>
      <c r="B37" s="64" t="s">
        <v>990</v>
      </c>
      <c r="C37" s="75" t="s">
        <v>991</v>
      </c>
      <c r="D37" s="218">
        <v>13</v>
      </c>
      <c r="E37" s="10"/>
      <c r="F37" s="252">
        <f t="shared" si="0"/>
        <v>4.8944999999999999</v>
      </c>
      <c r="G37" s="252">
        <f t="shared" si="1"/>
        <v>4.8944999999999999</v>
      </c>
      <c r="H37" s="252">
        <f t="shared" si="2"/>
        <v>5.8760000000000003</v>
      </c>
      <c r="I37" s="252">
        <f t="shared" si="3"/>
        <v>4.9269999999999996</v>
      </c>
      <c r="J37" s="252">
        <f t="shared" si="4"/>
        <v>6.4870000000000001</v>
      </c>
      <c r="K37" s="252">
        <f t="shared" si="5"/>
        <v>5.59</v>
      </c>
      <c r="L37" s="253">
        <f t="shared" si="6"/>
        <v>6.2789999999999999</v>
      </c>
      <c r="N37" s="10"/>
      <c r="O37" s="10"/>
      <c r="P37" s="10"/>
      <c r="Q37" s="10"/>
      <c r="R37" s="10"/>
      <c r="S37" s="10"/>
      <c r="T37" s="10"/>
      <c r="U37" s="10"/>
      <c r="V37" s="10"/>
    </row>
    <row r="38" spans="1:22">
      <c r="A38" s="63" t="s">
        <v>992</v>
      </c>
      <c r="B38" s="64" t="s">
        <v>1654</v>
      </c>
      <c r="C38" s="65" t="s">
        <v>1642</v>
      </c>
      <c r="D38" s="218">
        <v>17</v>
      </c>
      <c r="E38" s="10"/>
      <c r="F38" s="252">
        <f t="shared" si="0"/>
        <v>6.4005000000000001</v>
      </c>
      <c r="G38" s="252">
        <f t="shared" si="1"/>
        <v>6.4005000000000001</v>
      </c>
      <c r="H38" s="252">
        <f t="shared" si="2"/>
        <v>7.6840000000000002</v>
      </c>
      <c r="I38" s="252">
        <f t="shared" si="3"/>
        <v>6.4429999999999996</v>
      </c>
      <c r="J38" s="252">
        <f t="shared" si="4"/>
        <v>8.4830000000000005</v>
      </c>
      <c r="K38" s="252">
        <f t="shared" si="5"/>
        <v>7.31</v>
      </c>
      <c r="L38" s="253">
        <f t="shared" si="6"/>
        <v>8.2110000000000003</v>
      </c>
      <c r="N38" s="10"/>
      <c r="O38" s="10"/>
      <c r="P38" s="10"/>
      <c r="Q38" s="10"/>
      <c r="R38" s="10"/>
      <c r="S38" s="10"/>
      <c r="T38" s="10"/>
      <c r="U38" s="10"/>
      <c r="V38" s="10"/>
    </row>
    <row r="39" spans="1:22">
      <c r="A39" s="63" t="s">
        <v>993</v>
      </c>
      <c r="B39" s="64" t="s">
        <v>994</v>
      </c>
      <c r="C39" s="65" t="s">
        <v>995</v>
      </c>
      <c r="D39" s="218">
        <v>19</v>
      </c>
      <c r="E39" s="10"/>
      <c r="F39" s="252">
        <f t="shared" si="0"/>
        <v>7.1535000000000002</v>
      </c>
      <c r="G39" s="252">
        <f t="shared" si="1"/>
        <v>7.1535000000000002</v>
      </c>
      <c r="H39" s="252">
        <f t="shared" si="2"/>
        <v>8.588000000000001</v>
      </c>
      <c r="I39" s="252">
        <f t="shared" si="3"/>
        <v>7.2010000000000005</v>
      </c>
      <c r="J39" s="252">
        <f t="shared" si="4"/>
        <v>9.4809999999999999</v>
      </c>
      <c r="K39" s="252">
        <f t="shared" si="5"/>
        <v>8.17</v>
      </c>
      <c r="L39" s="253">
        <f t="shared" si="6"/>
        <v>9.1769999999999996</v>
      </c>
      <c r="N39" s="10"/>
      <c r="O39" s="10"/>
      <c r="P39" s="10"/>
      <c r="Q39" s="10"/>
      <c r="R39" s="10"/>
      <c r="S39" s="10"/>
      <c r="T39" s="10"/>
      <c r="U39" s="10"/>
      <c r="V39" s="10"/>
    </row>
    <row r="40" spans="1:22">
      <c r="A40" s="63" t="s">
        <v>996</v>
      </c>
      <c r="B40" s="64" t="s">
        <v>997</v>
      </c>
      <c r="C40" s="65" t="s">
        <v>998</v>
      </c>
      <c r="D40" s="218">
        <v>27</v>
      </c>
      <c r="E40" s="10"/>
      <c r="F40" s="252">
        <f t="shared" si="0"/>
        <v>10.1655</v>
      </c>
      <c r="G40" s="252">
        <f t="shared" si="1"/>
        <v>10.1655</v>
      </c>
      <c r="H40" s="252">
        <f t="shared" si="2"/>
        <v>12.204000000000001</v>
      </c>
      <c r="I40" s="252">
        <f t="shared" si="3"/>
        <v>10.233000000000001</v>
      </c>
      <c r="J40" s="252">
        <f t="shared" si="4"/>
        <v>13.473000000000001</v>
      </c>
      <c r="K40" s="252">
        <f t="shared" si="5"/>
        <v>11.61</v>
      </c>
      <c r="L40" s="253">
        <f t="shared" si="6"/>
        <v>13.041</v>
      </c>
      <c r="N40" s="10"/>
      <c r="O40" s="10"/>
      <c r="P40" s="10"/>
      <c r="Q40" s="10"/>
      <c r="R40" s="10"/>
      <c r="S40" s="10"/>
      <c r="T40" s="10"/>
      <c r="U40" s="10"/>
      <c r="V40" s="10"/>
    </row>
    <row r="41" spans="1:22">
      <c r="A41" s="63" t="s">
        <v>999</v>
      </c>
      <c r="B41" s="64" t="s">
        <v>1000</v>
      </c>
      <c r="C41" s="65" t="s">
        <v>1001</v>
      </c>
      <c r="D41" s="218">
        <v>31</v>
      </c>
      <c r="E41" s="10"/>
      <c r="F41" s="252">
        <f t="shared" si="0"/>
        <v>11.6715</v>
      </c>
      <c r="G41" s="252">
        <f t="shared" si="1"/>
        <v>11.6715</v>
      </c>
      <c r="H41" s="252">
        <f t="shared" si="2"/>
        <v>14.012</v>
      </c>
      <c r="I41" s="252">
        <f t="shared" si="3"/>
        <v>11.749000000000001</v>
      </c>
      <c r="J41" s="252">
        <f t="shared" si="4"/>
        <v>15.468999999999999</v>
      </c>
      <c r="K41" s="252">
        <f t="shared" si="5"/>
        <v>13.33</v>
      </c>
      <c r="L41" s="253">
        <f t="shared" si="6"/>
        <v>14.972999999999999</v>
      </c>
      <c r="N41" s="10"/>
      <c r="O41" s="10"/>
      <c r="P41" s="10"/>
      <c r="Q41" s="10"/>
      <c r="R41" s="10"/>
      <c r="S41" s="10"/>
      <c r="T41" s="10"/>
      <c r="U41" s="10"/>
      <c r="V41" s="10"/>
    </row>
    <row r="42" spans="1:22">
      <c r="A42" s="109" t="s">
        <v>1002</v>
      </c>
      <c r="B42" s="105" t="s">
        <v>314</v>
      </c>
      <c r="C42" s="213" t="s">
        <v>1003</v>
      </c>
      <c r="D42" s="219">
        <v>32</v>
      </c>
      <c r="E42" s="10"/>
      <c r="F42" s="256">
        <f t="shared" si="0"/>
        <v>12.048</v>
      </c>
      <c r="G42" s="256">
        <f t="shared" si="1"/>
        <v>12.048</v>
      </c>
      <c r="H42" s="256">
        <f t="shared" si="2"/>
        <v>14.464</v>
      </c>
      <c r="I42" s="256">
        <f t="shared" si="3"/>
        <v>12.128</v>
      </c>
      <c r="J42" s="256">
        <f t="shared" si="4"/>
        <v>15.968</v>
      </c>
      <c r="K42" s="256">
        <f t="shared" si="5"/>
        <v>13.76</v>
      </c>
      <c r="L42" s="248">
        <f t="shared" si="6"/>
        <v>15.456</v>
      </c>
      <c r="N42" s="10"/>
      <c r="O42" s="10"/>
      <c r="P42" s="10"/>
      <c r="Q42" s="10"/>
      <c r="R42" s="10"/>
      <c r="S42" s="10"/>
      <c r="T42" s="10"/>
      <c r="U42" s="10"/>
      <c r="V42" s="10"/>
    </row>
    <row r="43" spans="1:22">
      <c r="A43" s="63" t="s">
        <v>1004</v>
      </c>
      <c r="B43" s="64" t="s">
        <v>1005</v>
      </c>
      <c r="C43" s="65" t="s">
        <v>1006</v>
      </c>
      <c r="D43" s="218">
        <v>35</v>
      </c>
      <c r="E43" s="10"/>
      <c r="F43" s="252">
        <f t="shared" si="0"/>
        <v>13.1775</v>
      </c>
      <c r="G43" s="252">
        <f t="shared" si="1"/>
        <v>13.1775</v>
      </c>
      <c r="H43" s="252">
        <f t="shared" si="2"/>
        <v>15.82</v>
      </c>
      <c r="I43" s="252">
        <f t="shared" si="3"/>
        <v>13.265000000000001</v>
      </c>
      <c r="J43" s="252">
        <f t="shared" si="4"/>
        <v>17.465</v>
      </c>
      <c r="K43" s="252">
        <f t="shared" si="5"/>
        <v>15.049999999999999</v>
      </c>
      <c r="L43" s="253">
        <f t="shared" si="6"/>
        <v>16.905000000000001</v>
      </c>
      <c r="N43" s="10"/>
      <c r="O43" s="10"/>
      <c r="P43" s="10"/>
      <c r="Q43" s="10"/>
      <c r="R43" s="10"/>
      <c r="S43" s="10"/>
      <c r="T43" s="10"/>
      <c r="U43" s="10"/>
      <c r="V43" s="10"/>
    </row>
    <row r="44" spans="1:22">
      <c r="A44" s="63" t="s">
        <v>1007</v>
      </c>
      <c r="B44" s="64" t="s">
        <v>1008</v>
      </c>
      <c r="C44" s="65" t="s">
        <v>1009</v>
      </c>
      <c r="D44" s="218">
        <v>47</v>
      </c>
      <c r="E44" s="10"/>
      <c r="F44" s="252">
        <f t="shared" si="0"/>
        <v>17.695499999999999</v>
      </c>
      <c r="G44" s="252">
        <f t="shared" si="1"/>
        <v>17.695499999999999</v>
      </c>
      <c r="H44" s="252">
        <f t="shared" si="2"/>
        <v>21.244</v>
      </c>
      <c r="I44" s="252">
        <f t="shared" si="3"/>
        <v>17.812999999999999</v>
      </c>
      <c r="J44" s="252">
        <f t="shared" si="4"/>
        <v>23.452999999999999</v>
      </c>
      <c r="K44" s="252">
        <f t="shared" si="5"/>
        <v>20.21</v>
      </c>
      <c r="L44" s="253">
        <f t="shared" si="6"/>
        <v>22.701000000000001</v>
      </c>
      <c r="N44" s="10"/>
      <c r="O44" s="10"/>
      <c r="P44" s="10"/>
      <c r="Q44" s="10"/>
      <c r="R44" s="10"/>
      <c r="S44" s="10"/>
      <c r="T44" s="10"/>
      <c r="U44" s="10"/>
      <c r="V44" s="10"/>
    </row>
    <row r="45" spans="1:22">
      <c r="A45" s="63" t="s">
        <v>1010</v>
      </c>
      <c r="B45" s="64" t="s">
        <v>1011</v>
      </c>
      <c r="C45" s="65" t="s">
        <v>1012</v>
      </c>
      <c r="D45" s="218">
        <v>5</v>
      </c>
      <c r="E45" s="10"/>
      <c r="F45" s="252">
        <f t="shared" si="0"/>
        <v>1.8825000000000001</v>
      </c>
      <c r="G45" s="252">
        <f t="shared" si="1"/>
        <v>1.8825000000000001</v>
      </c>
      <c r="H45" s="252">
        <f t="shared" si="2"/>
        <v>2.2600000000000002</v>
      </c>
      <c r="I45" s="252">
        <f t="shared" si="3"/>
        <v>1.895</v>
      </c>
      <c r="J45" s="252">
        <f t="shared" si="4"/>
        <v>2.4950000000000001</v>
      </c>
      <c r="K45" s="252">
        <f t="shared" si="5"/>
        <v>2.15</v>
      </c>
      <c r="L45" s="253">
        <f t="shared" si="6"/>
        <v>2.415</v>
      </c>
      <c r="N45" s="10"/>
      <c r="O45" s="10"/>
      <c r="P45" s="10"/>
      <c r="Q45" s="10"/>
      <c r="R45" s="10"/>
      <c r="S45" s="10"/>
      <c r="T45" s="10"/>
      <c r="U45" s="10"/>
      <c r="V45" s="10"/>
    </row>
    <row r="46" spans="1:22">
      <c r="A46" s="63" t="s">
        <v>1013</v>
      </c>
      <c r="B46" s="64" t="s">
        <v>1014</v>
      </c>
      <c r="C46" s="65" t="s">
        <v>1015</v>
      </c>
      <c r="D46" s="218">
        <v>57</v>
      </c>
      <c r="E46" s="10"/>
      <c r="F46" s="252">
        <f t="shared" si="0"/>
        <v>21.4605</v>
      </c>
      <c r="G46" s="252">
        <f t="shared" si="1"/>
        <v>21.4605</v>
      </c>
      <c r="H46" s="252">
        <f t="shared" si="2"/>
        <v>25.763999999999999</v>
      </c>
      <c r="I46" s="252">
        <f t="shared" si="3"/>
        <v>21.603000000000002</v>
      </c>
      <c r="J46" s="252">
        <f t="shared" si="4"/>
        <v>28.443000000000001</v>
      </c>
      <c r="K46" s="252">
        <f t="shared" si="5"/>
        <v>24.509999999999998</v>
      </c>
      <c r="L46" s="253">
        <f t="shared" si="6"/>
        <v>27.530999999999999</v>
      </c>
      <c r="N46" s="10"/>
      <c r="O46" s="10"/>
      <c r="P46" s="10"/>
      <c r="Q46" s="10"/>
      <c r="R46" s="10"/>
      <c r="S46" s="10"/>
      <c r="T46" s="10"/>
      <c r="U46" s="10"/>
      <c r="V46" s="10"/>
    </row>
    <row r="47" spans="1:22">
      <c r="A47" s="63" t="s">
        <v>1016</v>
      </c>
      <c r="B47" s="64" t="s">
        <v>1017</v>
      </c>
      <c r="C47" s="65" t="s">
        <v>1018</v>
      </c>
      <c r="D47" s="218">
        <v>436</v>
      </c>
      <c r="E47" s="10"/>
      <c r="F47" s="252">
        <f t="shared" si="0"/>
        <v>164.154</v>
      </c>
      <c r="G47" s="252">
        <f t="shared" si="1"/>
        <v>164.154</v>
      </c>
      <c r="H47" s="252">
        <f t="shared" si="2"/>
        <v>197.072</v>
      </c>
      <c r="I47" s="252">
        <f t="shared" si="3"/>
        <v>165.244</v>
      </c>
      <c r="J47" s="252">
        <f t="shared" si="4"/>
        <v>217.56399999999999</v>
      </c>
      <c r="K47" s="252">
        <f t="shared" si="5"/>
        <v>187.48</v>
      </c>
      <c r="L47" s="253">
        <f t="shared" si="6"/>
        <v>210.58799999999999</v>
      </c>
      <c r="N47" s="10"/>
      <c r="O47" s="10"/>
      <c r="P47" s="10"/>
      <c r="Q47" s="10"/>
      <c r="R47" s="10"/>
      <c r="S47" s="10"/>
      <c r="T47" s="10"/>
      <c r="U47" s="10"/>
      <c r="V47" s="10"/>
    </row>
    <row r="48" spans="1:22">
      <c r="A48" s="63"/>
      <c r="B48" s="64"/>
      <c r="C48" s="65"/>
      <c r="D48" s="218"/>
      <c r="E48" s="10"/>
      <c r="F48" s="252"/>
      <c r="G48" s="252"/>
      <c r="H48" s="252"/>
      <c r="I48" s="252"/>
      <c r="J48" s="252"/>
      <c r="K48" s="252"/>
      <c r="L48" s="253"/>
      <c r="N48" s="10"/>
      <c r="O48" s="10"/>
      <c r="P48" s="10"/>
      <c r="Q48" s="10"/>
      <c r="R48" s="10"/>
      <c r="S48" s="10"/>
      <c r="T48" s="10"/>
      <c r="U48" s="10"/>
      <c r="V48" s="10"/>
    </row>
    <row r="49" spans="1:22">
      <c r="A49" s="59" t="s">
        <v>1019</v>
      </c>
      <c r="B49" s="60"/>
      <c r="C49" s="62"/>
      <c r="D49" s="217"/>
      <c r="E49" s="10"/>
      <c r="F49" s="254"/>
      <c r="G49" s="254"/>
      <c r="H49" s="254"/>
      <c r="I49" s="254"/>
      <c r="J49" s="254"/>
      <c r="K49" s="254"/>
      <c r="L49" s="255"/>
      <c r="N49" s="10"/>
      <c r="O49" s="10"/>
      <c r="P49" s="10"/>
      <c r="Q49" s="10"/>
      <c r="R49" s="10"/>
      <c r="S49" s="10"/>
      <c r="T49" s="10"/>
      <c r="U49" s="10"/>
      <c r="V49" s="10"/>
    </row>
    <row r="50" spans="1:22">
      <c r="A50" s="109" t="s">
        <v>1020</v>
      </c>
      <c r="B50" s="113" t="s">
        <v>1021</v>
      </c>
      <c r="C50" s="107" t="s">
        <v>1022</v>
      </c>
      <c r="D50" s="219">
        <v>18</v>
      </c>
      <c r="E50" s="10"/>
      <c r="F50" s="256">
        <f t="shared" si="0"/>
        <v>6.7770000000000001</v>
      </c>
      <c r="G50" s="256">
        <f t="shared" si="1"/>
        <v>6.7770000000000001</v>
      </c>
      <c r="H50" s="256">
        <f t="shared" si="2"/>
        <v>8.136000000000001</v>
      </c>
      <c r="I50" s="256">
        <f t="shared" si="3"/>
        <v>6.8220000000000001</v>
      </c>
      <c r="J50" s="256">
        <f t="shared" si="4"/>
        <v>8.9819999999999993</v>
      </c>
      <c r="K50" s="256">
        <f t="shared" si="5"/>
        <v>7.74</v>
      </c>
      <c r="L50" s="248">
        <f t="shared" si="6"/>
        <v>8.6939999999999991</v>
      </c>
      <c r="N50" s="10"/>
      <c r="O50" s="10"/>
      <c r="P50" s="10"/>
      <c r="Q50" s="10"/>
      <c r="R50" s="10"/>
      <c r="S50" s="10"/>
      <c r="T50" s="10"/>
      <c r="U50" s="10"/>
      <c r="V50" s="10"/>
    </row>
    <row r="51" spans="1:22">
      <c r="A51" s="109" t="s">
        <v>1023</v>
      </c>
      <c r="B51" s="113" t="s">
        <v>1024</v>
      </c>
      <c r="C51" s="107" t="s">
        <v>1025</v>
      </c>
      <c r="D51" s="219">
        <v>64</v>
      </c>
      <c r="E51" s="10"/>
      <c r="F51" s="256">
        <f t="shared" si="0"/>
        <v>24.096</v>
      </c>
      <c r="G51" s="256">
        <f t="shared" si="1"/>
        <v>24.096</v>
      </c>
      <c r="H51" s="256">
        <f t="shared" si="2"/>
        <v>28.928000000000001</v>
      </c>
      <c r="I51" s="256">
        <f t="shared" si="3"/>
        <v>24.256</v>
      </c>
      <c r="J51" s="256">
        <f t="shared" si="4"/>
        <v>31.936</v>
      </c>
      <c r="K51" s="256">
        <f t="shared" si="5"/>
        <v>27.52</v>
      </c>
      <c r="L51" s="248">
        <f t="shared" si="6"/>
        <v>30.911999999999999</v>
      </c>
      <c r="N51" s="10"/>
      <c r="O51" s="10"/>
      <c r="P51" s="10"/>
      <c r="Q51" s="10"/>
      <c r="R51" s="10"/>
      <c r="S51" s="10"/>
      <c r="T51" s="10"/>
      <c r="U51" s="10"/>
      <c r="V51" s="10"/>
    </row>
    <row r="52" spans="1:22">
      <c r="A52" s="72"/>
      <c r="B52" s="72"/>
      <c r="C52" s="70"/>
      <c r="D52" s="218"/>
      <c r="E52" s="10"/>
      <c r="F52" s="252"/>
      <c r="G52" s="252"/>
      <c r="H52" s="252"/>
      <c r="I52" s="252"/>
      <c r="J52" s="252"/>
      <c r="K52" s="252"/>
      <c r="L52" s="253"/>
      <c r="N52" s="10"/>
      <c r="O52" s="10"/>
      <c r="P52" s="10"/>
      <c r="Q52" s="10"/>
      <c r="R52" s="10"/>
      <c r="S52" s="10"/>
      <c r="T52" s="10"/>
      <c r="U52" s="10"/>
      <c r="V52" s="10"/>
    </row>
    <row r="53" spans="1:22">
      <c r="A53" s="59" t="s">
        <v>1026</v>
      </c>
      <c r="B53" s="60"/>
      <c r="C53" s="62"/>
      <c r="D53" s="217"/>
      <c r="E53" s="10"/>
      <c r="F53" s="254"/>
      <c r="G53" s="254"/>
      <c r="H53" s="254"/>
      <c r="I53" s="254"/>
      <c r="J53" s="254"/>
      <c r="K53" s="254"/>
      <c r="L53" s="255"/>
      <c r="N53" s="10"/>
      <c r="O53" s="10"/>
      <c r="P53" s="10"/>
      <c r="Q53" s="10"/>
      <c r="R53" s="10"/>
      <c r="S53" s="10"/>
      <c r="T53" s="10"/>
      <c r="U53" s="10"/>
      <c r="V53" s="10"/>
    </row>
    <row r="54" spans="1:22">
      <c r="A54" s="63" t="s">
        <v>1027</v>
      </c>
      <c r="B54" s="64" t="s">
        <v>1027</v>
      </c>
      <c r="C54" s="75" t="s">
        <v>1028</v>
      </c>
      <c r="D54" s="218">
        <v>7</v>
      </c>
      <c r="E54" s="10"/>
      <c r="F54" s="252">
        <f t="shared" si="0"/>
        <v>2.6355</v>
      </c>
      <c r="G54" s="252">
        <f t="shared" si="1"/>
        <v>2.6355</v>
      </c>
      <c r="H54" s="252">
        <f t="shared" si="2"/>
        <v>3.1640000000000001</v>
      </c>
      <c r="I54" s="252">
        <f t="shared" si="3"/>
        <v>2.653</v>
      </c>
      <c r="J54" s="252">
        <f t="shared" si="4"/>
        <v>3.4929999999999999</v>
      </c>
      <c r="K54" s="252">
        <f t="shared" si="5"/>
        <v>3.01</v>
      </c>
      <c r="L54" s="253">
        <f t="shared" si="6"/>
        <v>3.3809999999999998</v>
      </c>
      <c r="N54" s="10"/>
      <c r="O54" s="10"/>
      <c r="P54" s="10"/>
      <c r="Q54" s="10"/>
      <c r="R54" s="10"/>
      <c r="S54" s="10"/>
      <c r="T54" s="10"/>
      <c r="U54" s="10"/>
      <c r="V54" s="10"/>
    </row>
    <row r="55" spans="1:22">
      <c r="A55" s="63" t="s">
        <v>1029</v>
      </c>
      <c r="B55" s="64" t="s">
        <v>1029</v>
      </c>
      <c r="C55" s="75" t="s">
        <v>1030</v>
      </c>
      <c r="D55" s="218">
        <v>12</v>
      </c>
      <c r="E55" s="10"/>
      <c r="F55" s="252">
        <f t="shared" si="0"/>
        <v>4.5179999999999998</v>
      </c>
      <c r="G55" s="252">
        <f t="shared" si="1"/>
        <v>4.5179999999999998</v>
      </c>
      <c r="H55" s="252">
        <f t="shared" si="2"/>
        <v>5.4240000000000004</v>
      </c>
      <c r="I55" s="252">
        <f t="shared" si="3"/>
        <v>4.548</v>
      </c>
      <c r="J55" s="252">
        <f t="shared" si="4"/>
        <v>5.9879999999999995</v>
      </c>
      <c r="K55" s="252">
        <f t="shared" si="5"/>
        <v>5.16</v>
      </c>
      <c r="L55" s="253">
        <f t="shared" si="6"/>
        <v>5.7959999999999994</v>
      </c>
      <c r="N55" s="10"/>
      <c r="O55" s="10"/>
      <c r="P55" s="10"/>
      <c r="Q55" s="10"/>
      <c r="R55" s="10"/>
      <c r="S55" s="10"/>
      <c r="T55" s="10"/>
      <c r="U55" s="10"/>
      <c r="V55" s="10"/>
    </row>
    <row r="56" spans="1:22">
      <c r="A56" s="64" t="s">
        <v>1031</v>
      </c>
      <c r="B56" s="64" t="s">
        <v>1031</v>
      </c>
      <c r="C56" s="65" t="s">
        <v>1032</v>
      </c>
      <c r="D56" s="218">
        <v>27</v>
      </c>
      <c r="E56" s="10"/>
      <c r="F56" s="252">
        <f t="shared" si="0"/>
        <v>10.1655</v>
      </c>
      <c r="G56" s="252">
        <f t="shared" si="1"/>
        <v>10.1655</v>
      </c>
      <c r="H56" s="252">
        <f t="shared" si="2"/>
        <v>12.204000000000001</v>
      </c>
      <c r="I56" s="252">
        <f t="shared" si="3"/>
        <v>10.233000000000001</v>
      </c>
      <c r="J56" s="252">
        <f t="shared" si="4"/>
        <v>13.473000000000001</v>
      </c>
      <c r="K56" s="252">
        <f t="shared" si="5"/>
        <v>11.61</v>
      </c>
      <c r="L56" s="253">
        <f t="shared" si="6"/>
        <v>13.041</v>
      </c>
      <c r="N56" s="10"/>
      <c r="O56" s="10"/>
      <c r="P56" s="10"/>
      <c r="Q56" s="10"/>
      <c r="R56" s="10"/>
      <c r="S56" s="10"/>
      <c r="T56" s="10"/>
      <c r="U56" s="10"/>
      <c r="V56" s="10"/>
    </row>
    <row r="57" spans="1:22">
      <c r="A57" s="64" t="s">
        <v>1033</v>
      </c>
      <c r="B57" s="64" t="s">
        <v>1033</v>
      </c>
      <c r="C57" s="70" t="s">
        <v>1034</v>
      </c>
      <c r="D57" s="218">
        <v>47</v>
      </c>
      <c r="E57" s="10"/>
      <c r="F57" s="252">
        <f t="shared" si="0"/>
        <v>17.695499999999999</v>
      </c>
      <c r="G57" s="252">
        <f t="shared" si="1"/>
        <v>17.695499999999999</v>
      </c>
      <c r="H57" s="252">
        <f t="shared" si="2"/>
        <v>21.244</v>
      </c>
      <c r="I57" s="252">
        <f t="shared" si="3"/>
        <v>17.812999999999999</v>
      </c>
      <c r="J57" s="252">
        <f t="shared" si="4"/>
        <v>23.452999999999999</v>
      </c>
      <c r="K57" s="252">
        <f t="shared" si="5"/>
        <v>20.21</v>
      </c>
      <c r="L57" s="253">
        <f t="shared" si="6"/>
        <v>22.701000000000001</v>
      </c>
      <c r="N57" s="10"/>
      <c r="O57" s="10"/>
      <c r="P57" s="10"/>
      <c r="Q57" s="10"/>
      <c r="R57" s="10"/>
      <c r="S57" s="10"/>
      <c r="T57" s="10"/>
      <c r="U57" s="10"/>
      <c r="V57" s="10"/>
    </row>
    <row r="58" spans="1:22" ht="14.45" customHeight="1">
      <c r="A58" s="63" t="s">
        <v>1035</v>
      </c>
      <c r="B58" s="64" t="s">
        <v>1036</v>
      </c>
      <c r="C58" s="65" t="s">
        <v>1037</v>
      </c>
      <c r="D58" s="218">
        <v>44</v>
      </c>
      <c r="E58" s="10"/>
      <c r="F58" s="252">
        <f t="shared" si="0"/>
        <v>16.565999999999999</v>
      </c>
      <c r="G58" s="252">
        <f t="shared" si="1"/>
        <v>16.565999999999999</v>
      </c>
      <c r="H58" s="252">
        <f t="shared" si="2"/>
        <v>19.888000000000002</v>
      </c>
      <c r="I58" s="252">
        <f t="shared" si="3"/>
        <v>16.676000000000002</v>
      </c>
      <c r="J58" s="252">
        <f t="shared" si="4"/>
        <v>21.956</v>
      </c>
      <c r="K58" s="252">
        <f t="shared" si="5"/>
        <v>18.919999999999998</v>
      </c>
      <c r="L58" s="253">
        <f t="shared" si="6"/>
        <v>21.251999999999999</v>
      </c>
      <c r="N58" s="10"/>
      <c r="O58" s="10"/>
      <c r="P58" s="10"/>
      <c r="Q58" s="10"/>
      <c r="R58" s="10"/>
      <c r="S58" s="10"/>
      <c r="T58" s="10"/>
      <c r="U58" s="10"/>
      <c r="V58" s="10"/>
    </row>
    <row r="59" spans="1:22">
      <c r="A59" s="109" t="s">
        <v>1038</v>
      </c>
      <c r="B59" s="113" t="s">
        <v>1039</v>
      </c>
      <c r="C59" s="107" t="s">
        <v>1655</v>
      </c>
      <c r="D59" s="219">
        <v>56</v>
      </c>
      <c r="E59" s="10"/>
      <c r="F59" s="256">
        <f t="shared" si="0"/>
        <v>21.084</v>
      </c>
      <c r="G59" s="256">
        <f t="shared" si="1"/>
        <v>21.084</v>
      </c>
      <c r="H59" s="256">
        <f t="shared" si="2"/>
        <v>25.312000000000001</v>
      </c>
      <c r="I59" s="256">
        <f t="shared" si="3"/>
        <v>21.224</v>
      </c>
      <c r="J59" s="256">
        <f t="shared" si="4"/>
        <v>27.943999999999999</v>
      </c>
      <c r="K59" s="256">
        <f t="shared" si="5"/>
        <v>24.08</v>
      </c>
      <c r="L59" s="248">
        <f t="shared" si="6"/>
        <v>27.047999999999998</v>
      </c>
      <c r="R59" s="10"/>
      <c r="S59" s="10"/>
      <c r="T59" s="10"/>
      <c r="U59" s="10"/>
      <c r="V59" s="10"/>
    </row>
    <row r="60" spans="1:22">
      <c r="A60" s="72" t="s">
        <v>1040</v>
      </c>
      <c r="B60" s="72" t="s">
        <v>1041</v>
      </c>
      <c r="C60" s="70" t="s">
        <v>1042</v>
      </c>
      <c r="D60" s="218">
        <v>82</v>
      </c>
      <c r="E60" s="10"/>
      <c r="F60" s="252">
        <f t="shared" si="0"/>
        <v>30.873000000000001</v>
      </c>
      <c r="G60" s="252">
        <f t="shared" si="1"/>
        <v>30.873000000000001</v>
      </c>
      <c r="H60" s="252">
        <f t="shared" si="2"/>
        <v>37.064</v>
      </c>
      <c r="I60" s="252">
        <f t="shared" si="3"/>
        <v>31.077999999999999</v>
      </c>
      <c r="J60" s="252">
        <f t="shared" si="4"/>
        <v>40.917999999999999</v>
      </c>
      <c r="K60" s="252">
        <f t="shared" si="5"/>
        <v>35.26</v>
      </c>
      <c r="L60" s="253">
        <f t="shared" si="6"/>
        <v>39.606000000000002</v>
      </c>
      <c r="R60" s="10"/>
      <c r="S60" s="10"/>
      <c r="T60" s="10"/>
      <c r="U60" s="10"/>
      <c r="V60" s="10"/>
    </row>
    <row r="61" spans="1:22">
      <c r="A61" s="172" t="s">
        <v>1043</v>
      </c>
      <c r="B61" s="172" t="s">
        <v>1044</v>
      </c>
      <c r="C61" s="212" t="s">
        <v>1657</v>
      </c>
      <c r="D61" s="219">
        <v>63</v>
      </c>
      <c r="E61" s="10"/>
      <c r="F61" s="256">
        <f t="shared" si="0"/>
        <v>23.7195</v>
      </c>
      <c r="G61" s="256">
        <f t="shared" si="1"/>
        <v>23.7195</v>
      </c>
      <c r="H61" s="256">
        <f t="shared" si="2"/>
        <v>28.475999999999999</v>
      </c>
      <c r="I61" s="256">
        <f t="shared" si="3"/>
        <v>23.876999999999999</v>
      </c>
      <c r="J61" s="256">
        <f t="shared" si="4"/>
        <v>31.437000000000001</v>
      </c>
      <c r="K61" s="256">
        <f t="shared" si="5"/>
        <v>27.09</v>
      </c>
      <c r="L61" s="248">
        <f t="shared" si="6"/>
        <v>30.428999999999998</v>
      </c>
      <c r="R61" s="10"/>
      <c r="S61" s="10"/>
      <c r="T61" s="10"/>
      <c r="U61" s="10"/>
      <c r="V61" s="10"/>
    </row>
    <row r="62" spans="1:22">
      <c r="A62" s="109" t="s">
        <v>1045</v>
      </c>
      <c r="B62" s="105" t="s">
        <v>1046</v>
      </c>
      <c r="C62" s="107" t="s">
        <v>1658</v>
      </c>
      <c r="D62" s="219">
        <v>126</v>
      </c>
      <c r="E62" s="10"/>
      <c r="F62" s="256">
        <f t="shared" si="0"/>
        <v>47.439</v>
      </c>
      <c r="G62" s="256">
        <f t="shared" si="1"/>
        <v>47.439</v>
      </c>
      <c r="H62" s="256">
        <f t="shared" si="2"/>
        <v>56.951999999999998</v>
      </c>
      <c r="I62" s="256">
        <f t="shared" si="3"/>
        <v>47.753999999999998</v>
      </c>
      <c r="J62" s="256">
        <f t="shared" si="4"/>
        <v>62.874000000000002</v>
      </c>
      <c r="K62" s="256">
        <f t="shared" si="5"/>
        <v>54.18</v>
      </c>
      <c r="L62" s="248">
        <f t="shared" si="6"/>
        <v>60.857999999999997</v>
      </c>
      <c r="R62" s="10"/>
      <c r="S62" s="10"/>
      <c r="T62" s="10"/>
      <c r="U62" s="10"/>
      <c r="V62" s="10"/>
    </row>
    <row r="63" spans="1:22">
      <c r="A63" s="63" t="s">
        <v>1047</v>
      </c>
      <c r="B63" s="64" t="s">
        <v>1048</v>
      </c>
      <c r="C63" s="65" t="s">
        <v>1049</v>
      </c>
      <c r="D63" s="218">
        <v>131</v>
      </c>
      <c r="E63" s="10"/>
      <c r="F63" s="252">
        <f t="shared" si="0"/>
        <v>49.3215</v>
      </c>
      <c r="G63" s="252">
        <f t="shared" si="1"/>
        <v>49.3215</v>
      </c>
      <c r="H63" s="252">
        <f t="shared" si="2"/>
        <v>59.212000000000003</v>
      </c>
      <c r="I63" s="252">
        <f t="shared" si="3"/>
        <v>49.649000000000001</v>
      </c>
      <c r="J63" s="252">
        <f t="shared" si="4"/>
        <v>65.369</v>
      </c>
      <c r="K63" s="252">
        <f t="shared" si="5"/>
        <v>56.33</v>
      </c>
      <c r="L63" s="253">
        <f t="shared" si="6"/>
        <v>63.272999999999996</v>
      </c>
      <c r="R63" s="10"/>
      <c r="S63" s="10"/>
      <c r="T63" s="10"/>
      <c r="U63" s="10"/>
      <c r="V63" s="10"/>
    </row>
    <row r="64" spans="1:22">
      <c r="A64" s="109" t="s">
        <v>1050</v>
      </c>
      <c r="B64" s="105" t="s">
        <v>1051</v>
      </c>
      <c r="C64" s="107" t="s">
        <v>1659</v>
      </c>
      <c r="D64" s="219">
        <v>131</v>
      </c>
      <c r="E64" s="10"/>
      <c r="F64" s="256">
        <f t="shared" si="0"/>
        <v>49.3215</v>
      </c>
      <c r="G64" s="256">
        <f t="shared" si="1"/>
        <v>49.3215</v>
      </c>
      <c r="H64" s="256">
        <f t="shared" si="2"/>
        <v>59.212000000000003</v>
      </c>
      <c r="I64" s="256">
        <f t="shared" si="3"/>
        <v>49.649000000000001</v>
      </c>
      <c r="J64" s="256">
        <f t="shared" si="4"/>
        <v>65.369</v>
      </c>
      <c r="K64" s="256">
        <f t="shared" si="5"/>
        <v>56.33</v>
      </c>
      <c r="L64" s="248">
        <f t="shared" si="6"/>
        <v>63.272999999999996</v>
      </c>
      <c r="R64" s="10"/>
      <c r="S64" s="10"/>
      <c r="T64" s="10"/>
      <c r="U64" s="10"/>
      <c r="V64" s="10"/>
    </row>
    <row r="65" spans="1:22">
      <c r="A65" s="109" t="s">
        <v>1052</v>
      </c>
      <c r="B65" s="105" t="s">
        <v>1053</v>
      </c>
      <c r="C65" s="107" t="s">
        <v>1660</v>
      </c>
      <c r="D65" s="219">
        <v>150</v>
      </c>
      <c r="E65" s="10"/>
      <c r="F65" s="256">
        <f t="shared" si="0"/>
        <v>56.475000000000001</v>
      </c>
      <c r="G65" s="256">
        <f t="shared" si="1"/>
        <v>56.475000000000001</v>
      </c>
      <c r="H65" s="256">
        <f t="shared" si="2"/>
        <v>67.8</v>
      </c>
      <c r="I65" s="256">
        <f t="shared" si="3"/>
        <v>56.85</v>
      </c>
      <c r="J65" s="256">
        <f t="shared" si="4"/>
        <v>74.849999999999994</v>
      </c>
      <c r="K65" s="256">
        <f t="shared" si="5"/>
        <v>64.5</v>
      </c>
      <c r="L65" s="248">
        <f t="shared" si="6"/>
        <v>72.45</v>
      </c>
      <c r="R65" s="10"/>
      <c r="S65" s="10"/>
      <c r="T65" s="10"/>
      <c r="U65" s="10"/>
      <c r="V65" s="10"/>
    </row>
    <row r="66" spans="1:22">
      <c r="A66" s="63" t="s">
        <v>1054</v>
      </c>
      <c r="B66" s="64" t="s">
        <v>1055</v>
      </c>
      <c r="C66" s="65" t="s">
        <v>1056</v>
      </c>
      <c r="D66" s="218">
        <v>218</v>
      </c>
      <c r="E66" s="10"/>
      <c r="F66" s="252">
        <f t="shared" si="0"/>
        <v>82.076999999999998</v>
      </c>
      <c r="G66" s="252">
        <f t="shared" si="1"/>
        <v>82.076999999999998</v>
      </c>
      <c r="H66" s="252">
        <f t="shared" si="2"/>
        <v>98.536000000000001</v>
      </c>
      <c r="I66" s="252">
        <f t="shared" si="3"/>
        <v>82.622</v>
      </c>
      <c r="J66" s="252">
        <f t="shared" si="4"/>
        <v>108.782</v>
      </c>
      <c r="K66" s="252">
        <f t="shared" si="5"/>
        <v>93.74</v>
      </c>
      <c r="L66" s="253">
        <f t="shared" si="6"/>
        <v>105.294</v>
      </c>
      <c r="R66" s="10"/>
      <c r="S66" s="10"/>
      <c r="T66" s="10"/>
      <c r="U66" s="10"/>
      <c r="V66" s="10"/>
    </row>
    <row r="67" spans="1:22">
      <c r="A67" s="109" t="s">
        <v>1057</v>
      </c>
      <c r="B67" s="105" t="s">
        <v>1058</v>
      </c>
      <c r="C67" s="107" t="s">
        <v>1661</v>
      </c>
      <c r="D67" s="219">
        <v>199</v>
      </c>
      <c r="E67" s="10"/>
      <c r="F67" s="256">
        <f t="shared" si="0"/>
        <v>74.923500000000004</v>
      </c>
      <c r="G67" s="256">
        <f t="shared" si="1"/>
        <v>74.923500000000004</v>
      </c>
      <c r="H67" s="256">
        <f t="shared" si="2"/>
        <v>89.948000000000008</v>
      </c>
      <c r="I67" s="256">
        <f t="shared" si="3"/>
        <v>75.421000000000006</v>
      </c>
      <c r="J67" s="256">
        <f t="shared" si="4"/>
        <v>99.301000000000002</v>
      </c>
      <c r="K67" s="256">
        <f t="shared" si="5"/>
        <v>85.57</v>
      </c>
      <c r="L67" s="248">
        <f t="shared" si="6"/>
        <v>96.11699999999999</v>
      </c>
      <c r="R67" s="10"/>
      <c r="S67" s="10"/>
      <c r="T67" s="10"/>
      <c r="U67" s="10"/>
      <c r="V67" s="10"/>
    </row>
    <row r="68" spans="1:22">
      <c r="A68" s="109" t="s">
        <v>1059</v>
      </c>
      <c r="B68" s="105" t="s">
        <v>1060</v>
      </c>
      <c r="C68" s="107" t="s">
        <v>1662</v>
      </c>
      <c r="D68" s="219">
        <v>211</v>
      </c>
      <c r="E68" s="10"/>
      <c r="F68" s="256">
        <f t="shared" si="0"/>
        <v>79.441500000000005</v>
      </c>
      <c r="G68" s="256">
        <f t="shared" si="1"/>
        <v>79.441500000000005</v>
      </c>
      <c r="H68" s="256">
        <f t="shared" si="2"/>
        <v>95.372</v>
      </c>
      <c r="I68" s="256">
        <f t="shared" si="3"/>
        <v>79.968999999999994</v>
      </c>
      <c r="J68" s="256">
        <f t="shared" si="4"/>
        <v>105.289</v>
      </c>
      <c r="K68" s="256">
        <f t="shared" si="5"/>
        <v>90.73</v>
      </c>
      <c r="L68" s="248">
        <f t="shared" si="6"/>
        <v>101.913</v>
      </c>
      <c r="R68" s="10"/>
      <c r="S68" s="10"/>
      <c r="T68" s="10"/>
      <c r="U68" s="10"/>
      <c r="V68" s="10"/>
    </row>
    <row r="69" spans="1:22">
      <c r="A69" s="63" t="s">
        <v>1061</v>
      </c>
      <c r="B69" s="63" t="s">
        <v>1062</v>
      </c>
      <c r="C69" s="74" t="s">
        <v>1063</v>
      </c>
      <c r="D69" s="219">
        <v>109</v>
      </c>
      <c r="E69" s="10"/>
      <c r="F69" s="256">
        <f t="shared" si="0"/>
        <v>41.038499999999999</v>
      </c>
      <c r="G69" s="256">
        <f t="shared" si="1"/>
        <v>41.038499999999999</v>
      </c>
      <c r="H69" s="256">
        <f t="shared" si="2"/>
        <v>49.268000000000001</v>
      </c>
      <c r="I69" s="256">
        <f t="shared" si="3"/>
        <v>41.311</v>
      </c>
      <c r="J69" s="256">
        <f t="shared" si="4"/>
        <v>54.390999999999998</v>
      </c>
      <c r="K69" s="256">
        <f t="shared" si="5"/>
        <v>46.87</v>
      </c>
      <c r="L69" s="248">
        <f t="shared" si="6"/>
        <v>52.646999999999998</v>
      </c>
      <c r="R69" s="10"/>
      <c r="S69" s="10"/>
      <c r="T69" s="10"/>
      <c r="U69" s="10"/>
      <c r="V69" s="10"/>
    </row>
    <row r="70" spans="1:22">
      <c r="A70" s="109" t="s">
        <v>1064</v>
      </c>
      <c r="B70" s="109" t="s">
        <v>1065</v>
      </c>
      <c r="C70" s="118" t="s">
        <v>1668</v>
      </c>
      <c r="D70" s="219">
        <v>94</v>
      </c>
      <c r="E70" s="10"/>
      <c r="F70" s="256">
        <f t="shared" si="0"/>
        <v>35.390999999999998</v>
      </c>
      <c r="G70" s="256">
        <f t="shared" si="1"/>
        <v>35.390999999999998</v>
      </c>
      <c r="H70" s="256">
        <f t="shared" si="2"/>
        <v>42.488</v>
      </c>
      <c r="I70" s="256">
        <f t="shared" si="3"/>
        <v>35.625999999999998</v>
      </c>
      <c r="J70" s="256">
        <f t="shared" si="4"/>
        <v>46.905999999999999</v>
      </c>
      <c r="K70" s="256">
        <f t="shared" si="5"/>
        <v>40.42</v>
      </c>
      <c r="L70" s="248">
        <f t="shared" si="6"/>
        <v>45.402000000000001</v>
      </c>
      <c r="R70" s="10"/>
      <c r="S70" s="10"/>
      <c r="T70" s="10"/>
      <c r="U70" s="10"/>
      <c r="V70" s="10"/>
    </row>
    <row r="71" spans="1:22">
      <c r="A71" s="109" t="s">
        <v>1667</v>
      </c>
      <c r="B71" s="109" t="s">
        <v>1656</v>
      </c>
      <c r="C71" s="118" t="s">
        <v>1681</v>
      </c>
      <c r="D71" s="219">
        <v>140</v>
      </c>
      <c r="E71" s="10"/>
      <c r="F71" s="256">
        <f t="shared" ref="F71" si="7">D71*$F$11</f>
        <v>52.71</v>
      </c>
      <c r="G71" s="256">
        <f t="shared" ref="G71" si="8">D71*$G$11</f>
        <v>52.71</v>
      </c>
      <c r="H71" s="256">
        <f t="shared" ref="H71" si="9">D71*$H$11</f>
        <v>63.28</v>
      </c>
      <c r="I71" s="256">
        <f t="shared" ref="I71" si="10">D71*$I$11</f>
        <v>53.06</v>
      </c>
      <c r="J71" s="256">
        <f t="shared" ref="J71" si="11">D71*$J$11</f>
        <v>69.86</v>
      </c>
      <c r="K71" s="256">
        <f t="shared" ref="K71" si="12">D71*$K$11</f>
        <v>60.199999999999996</v>
      </c>
      <c r="L71" s="248">
        <f t="shared" ref="L71" si="13">D71*$L$11</f>
        <v>67.62</v>
      </c>
      <c r="R71" s="10"/>
      <c r="S71" s="10"/>
      <c r="T71" s="10"/>
      <c r="U71" s="10"/>
      <c r="V71" s="10"/>
    </row>
    <row r="72" spans="1:22">
      <c r="A72" s="63"/>
      <c r="B72" s="64"/>
      <c r="C72" s="65"/>
      <c r="D72" s="218"/>
      <c r="E72" s="10"/>
      <c r="F72" s="252"/>
      <c r="G72" s="252"/>
      <c r="H72" s="252"/>
      <c r="I72" s="252"/>
      <c r="J72" s="252"/>
      <c r="K72" s="252"/>
      <c r="L72" s="253"/>
      <c r="N72" s="10"/>
      <c r="O72" s="10"/>
      <c r="P72" s="10"/>
      <c r="Q72" s="10"/>
      <c r="R72" s="10"/>
      <c r="S72" s="10"/>
      <c r="T72" s="10"/>
      <c r="U72" s="10"/>
      <c r="V72" s="10"/>
    </row>
    <row r="73" spans="1:22">
      <c r="A73" s="59" t="s">
        <v>1066</v>
      </c>
      <c r="B73" s="60"/>
      <c r="C73" s="62"/>
      <c r="D73" s="217"/>
      <c r="E73" s="10"/>
      <c r="F73" s="254"/>
      <c r="G73" s="254"/>
      <c r="H73" s="254"/>
      <c r="I73" s="254"/>
      <c r="J73" s="254"/>
      <c r="K73" s="254"/>
      <c r="L73" s="255"/>
    </row>
    <row r="74" spans="1:22">
      <c r="A74" s="63" t="s">
        <v>1641</v>
      </c>
      <c r="B74" s="64" t="s">
        <v>1685</v>
      </c>
      <c r="C74" s="66" t="s">
        <v>1684</v>
      </c>
      <c r="D74" s="218">
        <v>29</v>
      </c>
      <c r="E74" s="10"/>
      <c r="F74" s="252">
        <f t="shared" ref="F74" si="14">D74*$F$11</f>
        <v>10.9185</v>
      </c>
      <c r="G74" s="252">
        <f t="shared" ref="G74" si="15">D74*$G$11</f>
        <v>10.9185</v>
      </c>
      <c r="H74" s="252">
        <f t="shared" ref="H74" si="16">D74*$H$11</f>
        <v>13.108000000000001</v>
      </c>
      <c r="I74" s="252">
        <f t="shared" ref="I74" si="17">D74*$I$11</f>
        <v>10.991</v>
      </c>
      <c r="J74" s="252">
        <f t="shared" ref="J74" si="18">D74*$J$11</f>
        <v>14.471</v>
      </c>
      <c r="K74" s="252">
        <f t="shared" ref="K74" si="19">D74*$K$11</f>
        <v>12.47</v>
      </c>
      <c r="L74" s="253">
        <f t="shared" ref="L74" si="20">D74*$L$11</f>
        <v>14.007</v>
      </c>
    </row>
    <row r="75" spans="1:22">
      <c r="A75" s="63" t="s">
        <v>1639</v>
      </c>
      <c r="B75" s="64" t="s">
        <v>1067</v>
      </c>
      <c r="C75" s="66" t="s">
        <v>1068</v>
      </c>
      <c r="D75" s="218">
        <v>28</v>
      </c>
      <c r="E75" s="10"/>
      <c r="F75" s="252">
        <f t="shared" ref="F75:F76" si="21">D75*$F$11</f>
        <v>10.542</v>
      </c>
      <c r="G75" s="252">
        <f t="shared" ref="G75:G76" si="22">D75*$G$11</f>
        <v>10.542</v>
      </c>
      <c r="H75" s="252">
        <f t="shared" ref="H75:H76" si="23">D75*$H$11</f>
        <v>12.656000000000001</v>
      </c>
      <c r="I75" s="252">
        <f t="shared" ref="I75:I76" si="24">D75*$I$11</f>
        <v>10.612</v>
      </c>
      <c r="J75" s="252">
        <f t="shared" ref="J75:J76" si="25">D75*$J$11</f>
        <v>13.972</v>
      </c>
      <c r="K75" s="252">
        <f t="shared" ref="K75:K76" si="26">D75*$K$11</f>
        <v>12.04</v>
      </c>
      <c r="L75" s="253">
        <f t="shared" ref="L75:L76" si="27">D75*$L$11</f>
        <v>13.523999999999999</v>
      </c>
    </row>
    <row r="76" spans="1:22">
      <c r="A76" s="63" t="s">
        <v>1640</v>
      </c>
      <c r="B76" s="64" t="s">
        <v>1702</v>
      </c>
      <c r="C76" s="66" t="s">
        <v>1686</v>
      </c>
      <c r="D76" s="218">
        <v>24</v>
      </c>
      <c r="E76" s="10"/>
      <c r="F76" s="252">
        <f t="shared" si="21"/>
        <v>9.0359999999999996</v>
      </c>
      <c r="G76" s="252">
        <f t="shared" si="22"/>
        <v>9.0359999999999996</v>
      </c>
      <c r="H76" s="252">
        <f t="shared" si="23"/>
        <v>10.848000000000001</v>
      </c>
      <c r="I76" s="252">
        <f t="shared" si="24"/>
        <v>9.0960000000000001</v>
      </c>
      <c r="J76" s="252">
        <f t="shared" si="25"/>
        <v>11.975999999999999</v>
      </c>
      <c r="K76" s="252">
        <f t="shared" si="26"/>
        <v>10.32</v>
      </c>
      <c r="L76" s="253">
        <f t="shared" si="27"/>
        <v>11.591999999999999</v>
      </c>
    </row>
    <row r="77" spans="1:22">
      <c r="A77" s="63" t="s">
        <v>1637</v>
      </c>
      <c r="B77" s="64" t="s">
        <v>1069</v>
      </c>
      <c r="C77" s="66" t="s">
        <v>1070</v>
      </c>
      <c r="D77" s="218">
        <v>23</v>
      </c>
      <c r="E77" s="10"/>
      <c r="F77" s="252">
        <f t="shared" si="0"/>
        <v>8.6594999999999995</v>
      </c>
      <c r="G77" s="252">
        <f t="shared" si="1"/>
        <v>8.6594999999999995</v>
      </c>
      <c r="H77" s="252">
        <f t="shared" si="2"/>
        <v>10.396000000000001</v>
      </c>
      <c r="I77" s="252">
        <f t="shared" si="3"/>
        <v>8.7170000000000005</v>
      </c>
      <c r="J77" s="252">
        <f t="shared" si="4"/>
        <v>11.477</v>
      </c>
      <c r="K77" s="252">
        <f t="shared" si="5"/>
        <v>9.89</v>
      </c>
      <c r="L77" s="253">
        <f t="shared" si="6"/>
        <v>11.109</v>
      </c>
      <c r="N77" s="10"/>
      <c r="O77" s="10"/>
      <c r="P77" s="10"/>
      <c r="Q77" s="10"/>
      <c r="R77" s="10"/>
      <c r="S77" s="10"/>
      <c r="T77" s="10"/>
      <c r="U77" s="10"/>
      <c r="V77" s="10"/>
    </row>
    <row r="78" spans="1:22">
      <c r="A78" s="63" t="s">
        <v>1689</v>
      </c>
      <c r="B78" s="64" t="s">
        <v>1703</v>
      </c>
      <c r="C78" s="66" t="s">
        <v>1688</v>
      </c>
      <c r="D78" s="218">
        <v>23</v>
      </c>
      <c r="E78" s="10"/>
      <c r="F78" s="252">
        <f t="shared" si="0"/>
        <v>8.6594999999999995</v>
      </c>
      <c r="G78" s="252">
        <f t="shared" si="1"/>
        <v>8.6594999999999995</v>
      </c>
      <c r="H78" s="252">
        <f t="shared" si="2"/>
        <v>10.396000000000001</v>
      </c>
      <c r="I78" s="252">
        <f t="shared" si="3"/>
        <v>8.7170000000000005</v>
      </c>
      <c r="J78" s="252">
        <f t="shared" si="4"/>
        <v>11.477</v>
      </c>
      <c r="K78" s="252">
        <f t="shared" si="5"/>
        <v>9.89</v>
      </c>
      <c r="L78" s="253">
        <f t="shared" si="6"/>
        <v>11.109</v>
      </c>
      <c r="N78" s="10"/>
      <c r="O78" s="10"/>
      <c r="P78" s="10"/>
      <c r="Q78" s="10"/>
      <c r="R78" s="10"/>
      <c r="S78" s="10"/>
      <c r="T78" s="10"/>
      <c r="U78" s="10"/>
      <c r="V78" s="10"/>
    </row>
    <row r="79" spans="1:22">
      <c r="A79" s="63" t="s">
        <v>1638</v>
      </c>
      <c r="B79" s="64" t="s">
        <v>1703</v>
      </c>
      <c r="C79" s="66" t="s">
        <v>1687</v>
      </c>
      <c r="D79" s="218">
        <v>23</v>
      </c>
      <c r="E79" s="10"/>
      <c r="F79" s="252">
        <f t="shared" ref="F79" si="28">D79*$F$11</f>
        <v>8.6594999999999995</v>
      </c>
      <c r="G79" s="252">
        <f t="shared" ref="G79" si="29">D79*$G$11</f>
        <v>8.6594999999999995</v>
      </c>
      <c r="H79" s="252">
        <f t="shared" ref="H79" si="30">D79*$H$11</f>
        <v>10.396000000000001</v>
      </c>
      <c r="I79" s="252">
        <f t="shared" ref="I79" si="31">D79*$I$11</f>
        <v>8.7170000000000005</v>
      </c>
      <c r="J79" s="252">
        <f t="shared" ref="J79" si="32">D79*$J$11</f>
        <v>11.477</v>
      </c>
      <c r="K79" s="252">
        <f t="shared" ref="K79" si="33">D79*$K$11</f>
        <v>9.89</v>
      </c>
      <c r="L79" s="253">
        <f t="shared" ref="L79" si="34">D79*$L$11</f>
        <v>11.109</v>
      </c>
      <c r="N79" s="10"/>
      <c r="O79" s="10"/>
      <c r="P79" s="10"/>
      <c r="Q79" s="10"/>
      <c r="R79" s="10"/>
      <c r="S79" s="10"/>
      <c r="T79" s="10"/>
      <c r="U79" s="10"/>
      <c r="V79" s="10"/>
    </row>
    <row r="80" spans="1:22">
      <c r="A80" s="63"/>
      <c r="B80" s="64"/>
      <c r="C80" s="66"/>
      <c r="D80" s="218"/>
      <c r="E80" s="10"/>
      <c r="F80" s="252"/>
      <c r="G80" s="252"/>
      <c r="H80" s="252"/>
      <c r="I80" s="252"/>
      <c r="J80" s="252"/>
      <c r="K80" s="252"/>
      <c r="L80" s="253"/>
      <c r="N80" s="10"/>
      <c r="O80" s="10"/>
      <c r="P80" s="10"/>
      <c r="Q80" s="10"/>
      <c r="R80" s="10"/>
      <c r="S80" s="10"/>
      <c r="T80" s="10"/>
      <c r="U80" s="10"/>
      <c r="V80" s="10"/>
    </row>
    <row r="81" spans="1:22">
      <c r="A81" s="59" t="s">
        <v>1071</v>
      </c>
      <c r="B81" s="60"/>
      <c r="C81" s="62"/>
      <c r="D81" s="217"/>
      <c r="E81" s="10"/>
      <c r="F81" s="254"/>
      <c r="G81" s="254"/>
      <c r="H81" s="254"/>
      <c r="I81" s="254"/>
      <c r="J81" s="254"/>
      <c r="K81" s="254"/>
      <c r="L81" s="255"/>
      <c r="N81" s="10"/>
      <c r="O81" s="10"/>
      <c r="P81" s="10"/>
      <c r="Q81" s="10"/>
      <c r="R81" s="10"/>
      <c r="S81" s="10"/>
      <c r="T81" s="10"/>
      <c r="U81" s="10"/>
      <c r="V81" s="10"/>
    </row>
    <row r="82" spans="1:22">
      <c r="A82" s="63" t="s">
        <v>1072</v>
      </c>
      <c r="B82" s="64" t="s">
        <v>1073</v>
      </c>
      <c r="C82" s="66" t="s">
        <v>1074</v>
      </c>
      <c r="D82" s="218">
        <v>19</v>
      </c>
      <c r="E82" s="10"/>
      <c r="F82" s="252">
        <f t="shared" ref="F82:F143" si="35">D82*$F$11</f>
        <v>7.1535000000000002</v>
      </c>
      <c r="G82" s="252">
        <f t="shared" ref="G82:G143" si="36">D82*$G$11</f>
        <v>7.1535000000000002</v>
      </c>
      <c r="H82" s="252">
        <f t="shared" ref="H82:H143" si="37">D82*$H$11</f>
        <v>8.588000000000001</v>
      </c>
      <c r="I82" s="252">
        <f t="shared" ref="I82:I143" si="38">D82*$I$11</f>
        <v>7.2010000000000005</v>
      </c>
      <c r="J82" s="252">
        <f t="shared" ref="J82:J143" si="39">D82*$J$11</f>
        <v>9.4809999999999999</v>
      </c>
      <c r="K82" s="252">
        <f t="shared" ref="K82:K143" si="40">D82*$K$11</f>
        <v>8.17</v>
      </c>
      <c r="L82" s="253">
        <f t="shared" ref="L82:L143" si="41">D82*$L$11</f>
        <v>9.1769999999999996</v>
      </c>
      <c r="N82" s="10"/>
      <c r="O82" s="10"/>
      <c r="P82" s="10"/>
      <c r="Q82" s="10"/>
      <c r="R82" s="10"/>
      <c r="S82" s="10"/>
      <c r="T82" s="10"/>
      <c r="U82" s="10"/>
      <c r="V82" s="10"/>
    </row>
    <row r="83" spans="1:22">
      <c r="A83" s="63" t="s">
        <v>1075</v>
      </c>
      <c r="B83" s="64" t="s">
        <v>1076</v>
      </c>
      <c r="C83" s="66" t="s">
        <v>1077</v>
      </c>
      <c r="D83" s="218">
        <v>19</v>
      </c>
      <c r="E83" s="10"/>
      <c r="F83" s="252">
        <f t="shared" si="35"/>
        <v>7.1535000000000002</v>
      </c>
      <c r="G83" s="252">
        <f t="shared" si="36"/>
        <v>7.1535000000000002</v>
      </c>
      <c r="H83" s="252">
        <f t="shared" si="37"/>
        <v>8.588000000000001</v>
      </c>
      <c r="I83" s="252">
        <f t="shared" si="38"/>
        <v>7.2010000000000005</v>
      </c>
      <c r="J83" s="252">
        <f t="shared" si="39"/>
        <v>9.4809999999999999</v>
      </c>
      <c r="K83" s="252">
        <f t="shared" si="40"/>
        <v>8.17</v>
      </c>
      <c r="L83" s="253">
        <f t="shared" si="41"/>
        <v>9.1769999999999996</v>
      </c>
      <c r="N83" s="10"/>
      <c r="O83" s="10"/>
      <c r="P83" s="10"/>
      <c r="Q83" s="10"/>
      <c r="R83" s="10"/>
      <c r="S83" s="10"/>
      <c r="T83" s="10"/>
      <c r="U83" s="10"/>
      <c r="V83" s="10"/>
    </row>
    <row r="84" spans="1:22">
      <c r="A84" s="63" t="s">
        <v>1078</v>
      </c>
      <c r="B84" s="64" t="s">
        <v>1079</v>
      </c>
      <c r="C84" s="66" t="s">
        <v>1080</v>
      </c>
      <c r="D84" s="218">
        <v>14</v>
      </c>
      <c r="E84" s="10"/>
      <c r="F84" s="252">
        <f t="shared" si="35"/>
        <v>5.2709999999999999</v>
      </c>
      <c r="G84" s="252">
        <f t="shared" si="36"/>
        <v>5.2709999999999999</v>
      </c>
      <c r="H84" s="252">
        <f t="shared" si="37"/>
        <v>6.3280000000000003</v>
      </c>
      <c r="I84" s="252">
        <f t="shared" si="38"/>
        <v>5.306</v>
      </c>
      <c r="J84" s="252">
        <f t="shared" si="39"/>
        <v>6.9859999999999998</v>
      </c>
      <c r="K84" s="252">
        <f t="shared" si="40"/>
        <v>6.02</v>
      </c>
      <c r="L84" s="253">
        <f t="shared" si="41"/>
        <v>6.7619999999999996</v>
      </c>
      <c r="N84" s="10"/>
      <c r="O84" s="10"/>
      <c r="P84" s="10"/>
      <c r="Q84" s="10"/>
      <c r="R84" s="10"/>
      <c r="S84" s="10"/>
      <c r="T84" s="10"/>
      <c r="U84" s="10"/>
      <c r="V84" s="10"/>
    </row>
    <row r="85" spans="1:22">
      <c r="A85" s="63" t="s">
        <v>1081</v>
      </c>
      <c r="B85" s="64" t="s">
        <v>1082</v>
      </c>
      <c r="C85" s="66" t="s">
        <v>1083</v>
      </c>
      <c r="D85" s="218">
        <v>8</v>
      </c>
      <c r="E85" s="10"/>
      <c r="F85" s="252">
        <f t="shared" si="35"/>
        <v>3.012</v>
      </c>
      <c r="G85" s="252">
        <f t="shared" si="36"/>
        <v>3.012</v>
      </c>
      <c r="H85" s="252">
        <f t="shared" si="37"/>
        <v>3.6160000000000001</v>
      </c>
      <c r="I85" s="252">
        <f t="shared" si="38"/>
        <v>3.032</v>
      </c>
      <c r="J85" s="252">
        <f t="shared" si="39"/>
        <v>3.992</v>
      </c>
      <c r="K85" s="252">
        <f t="shared" si="40"/>
        <v>3.44</v>
      </c>
      <c r="L85" s="253">
        <f t="shared" si="41"/>
        <v>3.8639999999999999</v>
      </c>
      <c r="N85" s="10"/>
      <c r="O85" s="10"/>
      <c r="P85" s="10"/>
      <c r="Q85" s="10"/>
      <c r="R85" s="10"/>
      <c r="S85" s="10"/>
      <c r="T85" s="10"/>
      <c r="U85" s="10"/>
      <c r="V85" s="10"/>
    </row>
    <row r="86" spans="1:22">
      <c r="A86" s="63"/>
      <c r="B86" s="64"/>
      <c r="C86" s="66"/>
      <c r="D86" s="218"/>
      <c r="E86" s="10"/>
      <c r="F86" s="252"/>
      <c r="G86" s="252"/>
      <c r="H86" s="252"/>
      <c r="I86" s="252"/>
      <c r="J86" s="252"/>
      <c r="K86" s="252"/>
      <c r="L86" s="253"/>
      <c r="N86" s="10"/>
      <c r="O86" s="10"/>
      <c r="P86" s="10"/>
      <c r="Q86" s="10"/>
      <c r="R86" s="10"/>
      <c r="S86" s="10"/>
      <c r="T86" s="10"/>
      <c r="U86" s="10"/>
      <c r="V86" s="10"/>
    </row>
    <row r="87" spans="1:22">
      <c r="A87" s="59" t="s">
        <v>1084</v>
      </c>
      <c r="B87" s="60"/>
      <c r="C87" s="62"/>
      <c r="D87" s="217"/>
      <c r="E87" s="10"/>
      <c r="F87" s="254"/>
      <c r="G87" s="254"/>
      <c r="H87" s="254"/>
      <c r="I87" s="254"/>
      <c r="J87" s="254"/>
      <c r="K87" s="254"/>
      <c r="L87" s="255"/>
      <c r="N87" s="10"/>
      <c r="O87" s="10"/>
      <c r="P87" s="10"/>
      <c r="Q87" s="10"/>
      <c r="R87" s="10"/>
      <c r="S87" s="10"/>
      <c r="T87" s="10"/>
      <c r="U87" s="10"/>
      <c r="V87" s="10"/>
    </row>
    <row r="88" spans="1:22" ht="15">
      <c r="A88" s="208" t="s">
        <v>1085</v>
      </c>
      <c r="B88" s="209" t="s">
        <v>1086</v>
      </c>
      <c r="C88" s="214" t="s">
        <v>1087</v>
      </c>
      <c r="D88" s="221">
        <v>681</v>
      </c>
      <c r="E88" s="10"/>
      <c r="F88" s="259">
        <f t="shared" si="35"/>
        <v>256.3965</v>
      </c>
      <c r="G88" s="259">
        <f t="shared" si="36"/>
        <v>256.3965</v>
      </c>
      <c r="H88" s="259">
        <f t="shared" si="37"/>
        <v>307.81200000000001</v>
      </c>
      <c r="I88" s="259">
        <f t="shared" si="38"/>
        <v>258.09899999999999</v>
      </c>
      <c r="J88" s="259">
        <f t="shared" si="39"/>
        <v>339.81900000000002</v>
      </c>
      <c r="K88" s="259">
        <f t="shared" si="40"/>
        <v>292.83</v>
      </c>
      <c r="L88" s="260">
        <f t="shared" si="41"/>
        <v>328.923</v>
      </c>
      <c r="N88" s="10"/>
      <c r="O88" s="10"/>
      <c r="P88" s="10"/>
      <c r="Q88" s="10"/>
      <c r="R88" s="10"/>
      <c r="S88" s="10"/>
      <c r="T88" s="10"/>
      <c r="U88" s="10"/>
      <c r="V88" s="10"/>
    </row>
    <row r="89" spans="1:22">
      <c r="A89" s="113" t="s">
        <v>1088</v>
      </c>
      <c r="B89" s="172" t="s">
        <v>1089</v>
      </c>
      <c r="C89" s="107" t="s">
        <v>1090</v>
      </c>
      <c r="D89" s="220">
        <v>265</v>
      </c>
      <c r="E89" s="10"/>
      <c r="F89" s="257">
        <f t="shared" si="35"/>
        <v>99.772499999999994</v>
      </c>
      <c r="G89" s="257">
        <f t="shared" si="36"/>
        <v>99.772499999999994</v>
      </c>
      <c r="H89" s="257">
        <f t="shared" si="37"/>
        <v>119.78</v>
      </c>
      <c r="I89" s="257">
        <f t="shared" si="38"/>
        <v>100.435</v>
      </c>
      <c r="J89" s="257">
        <f t="shared" si="39"/>
        <v>132.23500000000001</v>
      </c>
      <c r="K89" s="257">
        <f t="shared" si="40"/>
        <v>113.95</v>
      </c>
      <c r="L89" s="258">
        <f t="shared" si="41"/>
        <v>127.99499999999999</v>
      </c>
      <c r="N89" s="10"/>
      <c r="O89" s="10"/>
      <c r="P89" s="10"/>
      <c r="Q89" s="10"/>
      <c r="R89" s="10"/>
      <c r="S89" s="10"/>
      <c r="T89" s="10"/>
      <c r="U89" s="10"/>
      <c r="V89" s="10"/>
    </row>
    <row r="90" spans="1:22">
      <c r="A90" s="202" t="s">
        <v>1091</v>
      </c>
      <c r="B90" s="203" t="s">
        <v>1092</v>
      </c>
      <c r="C90" s="107" t="s">
        <v>1093</v>
      </c>
      <c r="D90" s="220">
        <v>198</v>
      </c>
      <c r="E90" s="10"/>
      <c r="F90" s="257">
        <f t="shared" si="35"/>
        <v>74.546999999999997</v>
      </c>
      <c r="G90" s="257">
        <f t="shared" si="36"/>
        <v>74.546999999999997</v>
      </c>
      <c r="H90" s="257">
        <f t="shared" si="37"/>
        <v>89.496000000000009</v>
      </c>
      <c r="I90" s="257">
        <f t="shared" si="38"/>
        <v>75.042000000000002</v>
      </c>
      <c r="J90" s="257">
        <f t="shared" si="39"/>
        <v>98.802000000000007</v>
      </c>
      <c r="K90" s="257">
        <f t="shared" si="40"/>
        <v>85.14</v>
      </c>
      <c r="L90" s="258">
        <f t="shared" si="41"/>
        <v>95.634</v>
      </c>
      <c r="N90" s="10"/>
      <c r="O90" s="10"/>
      <c r="P90" s="10"/>
      <c r="Q90" s="10"/>
      <c r="R90" s="10"/>
      <c r="S90" s="10"/>
      <c r="T90" s="10"/>
      <c r="U90" s="10"/>
      <c r="V90" s="10"/>
    </row>
    <row r="91" spans="1:22">
      <c r="A91" s="202" t="s">
        <v>1094</v>
      </c>
      <c r="B91" s="203" t="s">
        <v>1095</v>
      </c>
      <c r="C91" s="107" t="s">
        <v>1096</v>
      </c>
      <c r="D91" s="220">
        <v>161</v>
      </c>
      <c r="E91" s="10"/>
      <c r="F91" s="257">
        <f t="shared" si="35"/>
        <v>60.616500000000002</v>
      </c>
      <c r="G91" s="257">
        <f t="shared" si="36"/>
        <v>60.616500000000002</v>
      </c>
      <c r="H91" s="257">
        <f t="shared" si="37"/>
        <v>72.772000000000006</v>
      </c>
      <c r="I91" s="257">
        <f t="shared" si="38"/>
        <v>61.018999999999998</v>
      </c>
      <c r="J91" s="257">
        <f t="shared" si="39"/>
        <v>80.338999999999999</v>
      </c>
      <c r="K91" s="257">
        <f t="shared" si="40"/>
        <v>69.23</v>
      </c>
      <c r="L91" s="258">
        <f t="shared" si="41"/>
        <v>77.762999999999991</v>
      </c>
      <c r="N91" s="10"/>
      <c r="O91" s="10"/>
      <c r="P91" s="10"/>
      <c r="Q91" s="10"/>
      <c r="R91" s="10"/>
      <c r="S91" s="10"/>
      <c r="T91" s="10"/>
      <c r="U91" s="10"/>
      <c r="V91" s="10"/>
    </row>
    <row r="92" spans="1:22">
      <c r="A92" s="202" t="s">
        <v>1097</v>
      </c>
      <c r="B92" s="203" t="s">
        <v>1098</v>
      </c>
      <c r="C92" s="107" t="s">
        <v>1099</v>
      </c>
      <c r="D92" s="220">
        <v>160</v>
      </c>
      <c r="E92" s="10"/>
      <c r="F92" s="257">
        <f t="shared" si="35"/>
        <v>60.24</v>
      </c>
      <c r="G92" s="257">
        <f t="shared" si="36"/>
        <v>60.24</v>
      </c>
      <c r="H92" s="257">
        <f t="shared" si="37"/>
        <v>72.320000000000007</v>
      </c>
      <c r="I92" s="257">
        <f t="shared" si="38"/>
        <v>60.64</v>
      </c>
      <c r="J92" s="257">
        <f t="shared" si="39"/>
        <v>79.84</v>
      </c>
      <c r="K92" s="257">
        <f t="shared" si="40"/>
        <v>68.8</v>
      </c>
      <c r="L92" s="258">
        <f t="shared" si="41"/>
        <v>77.28</v>
      </c>
      <c r="N92" s="10"/>
      <c r="O92" s="10"/>
      <c r="P92" s="10"/>
      <c r="Q92" s="10"/>
      <c r="R92" s="10"/>
      <c r="S92" s="10"/>
      <c r="T92" s="10"/>
      <c r="U92" s="10"/>
      <c r="V92" s="10"/>
    </row>
    <row r="93" spans="1:22">
      <c r="A93" s="202" t="s">
        <v>1100</v>
      </c>
      <c r="B93" s="203" t="s">
        <v>1101</v>
      </c>
      <c r="C93" s="107" t="s">
        <v>1102</v>
      </c>
      <c r="D93" s="220">
        <v>147</v>
      </c>
      <c r="E93" s="10"/>
      <c r="F93" s="257">
        <f t="shared" si="35"/>
        <v>55.345500000000001</v>
      </c>
      <c r="G93" s="257">
        <f t="shared" si="36"/>
        <v>55.345500000000001</v>
      </c>
      <c r="H93" s="257">
        <f t="shared" si="37"/>
        <v>66.444000000000003</v>
      </c>
      <c r="I93" s="257">
        <f t="shared" si="38"/>
        <v>55.713000000000001</v>
      </c>
      <c r="J93" s="257">
        <f t="shared" si="39"/>
        <v>73.352999999999994</v>
      </c>
      <c r="K93" s="257">
        <f t="shared" si="40"/>
        <v>63.21</v>
      </c>
      <c r="L93" s="258">
        <f t="shared" si="41"/>
        <v>71.001000000000005</v>
      </c>
      <c r="N93" s="10"/>
      <c r="O93" s="10"/>
      <c r="P93" s="10"/>
      <c r="Q93" s="10"/>
      <c r="R93" s="10"/>
      <c r="S93" s="10"/>
      <c r="T93" s="10"/>
      <c r="U93" s="10"/>
      <c r="V93" s="10"/>
    </row>
    <row r="94" spans="1:22">
      <c r="A94" s="202" t="s">
        <v>1103</v>
      </c>
      <c r="B94" s="203" t="s">
        <v>1104</v>
      </c>
      <c r="C94" s="107" t="s">
        <v>1105</v>
      </c>
      <c r="D94" s="220">
        <v>128</v>
      </c>
      <c r="E94" s="10"/>
      <c r="F94" s="257">
        <f t="shared" si="35"/>
        <v>48.192</v>
      </c>
      <c r="G94" s="257">
        <f t="shared" si="36"/>
        <v>48.192</v>
      </c>
      <c r="H94" s="257">
        <f t="shared" si="37"/>
        <v>57.856000000000002</v>
      </c>
      <c r="I94" s="257">
        <f t="shared" si="38"/>
        <v>48.512</v>
      </c>
      <c r="J94" s="257">
        <f t="shared" si="39"/>
        <v>63.872</v>
      </c>
      <c r="K94" s="257">
        <f t="shared" si="40"/>
        <v>55.04</v>
      </c>
      <c r="L94" s="258">
        <f t="shared" si="41"/>
        <v>61.823999999999998</v>
      </c>
      <c r="N94" s="10"/>
      <c r="O94" s="10"/>
      <c r="P94" s="10"/>
      <c r="Q94" s="10"/>
      <c r="R94" s="10"/>
      <c r="S94" s="10"/>
      <c r="T94" s="10"/>
      <c r="U94" s="10"/>
      <c r="V94" s="10"/>
    </row>
    <row r="95" spans="1:22">
      <c r="A95" s="202" t="s">
        <v>1106</v>
      </c>
      <c r="B95" s="203" t="s">
        <v>1107</v>
      </c>
      <c r="C95" s="107" t="s">
        <v>1108</v>
      </c>
      <c r="D95" s="220">
        <v>125</v>
      </c>
      <c r="E95" s="10"/>
      <c r="F95" s="257">
        <f t="shared" si="35"/>
        <v>47.0625</v>
      </c>
      <c r="G95" s="257">
        <f t="shared" si="36"/>
        <v>47.0625</v>
      </c>
      <c r="H95" s="257">
        <f t="shared" si="37"/>
        <v>56.5</v>
      </c>
      <c r="I95" s="257">
        <f t="shared" si="38"/>
        <v>47.375</v>
      </c>
      <c r="J95" s="257">
        <f t="shared" si="39"/>
        <v>62.375</v>
      </c>
      <c r="K95" s="257">
        <f t="shared" si="40"/>
        <v>53.75</v>
      </c>
      <c r="L95" s="258">
        <f t="shared" si="41"/>
        <v>60.375</v>
      </c>
      <c r="N95" s="10"/>
      <c r="O95" s="10"/>
      <c r="P95" s="10"/>
      <c r="Q95" s="10"/>
      <c r="R95" s="10"/>
      <c r="S95" s="10"/>
      <c r="T95" s="10"/>
      <c r="U95" s="10"/>
      <c r="V95" s="10"/>
    </row>
    <row r="96" spans="1:22">
      <c r="A96" s="83"/>
      <c r="B96" s="83"/>
      <c r="C96" s="66"/>
      <c r="D96" s="218"/>
      <c r="E96" s="10"/>
      <c r="F96" s="252"/>
      <c r="G96" s="252"/>
      <c r="H96" s="252"/>
      <c r="I96" s="252"/>
      <c r="J96" s="252"/>
      <c r="K96" s="252"/>
      <c r="L96" s="253"/>
      <c r="N96" s="10"/>
      <c r="O96" s="10"/>
      <c r="P96" s="10"/>
      <c r="Q96" s="10"/>
      <c r="R96" s="10"/>
      <c r="S96" s="10"/>
      <c r="T96" s="10"/>
      <c r="U96" s="10"/>
      <c r="V96" s="10"/>
    </row>
    <row r="97" spans="1:22">
      <c r="A97" s="59" t="s">
        <v>1109</v>
      </c>
      <c r="B97" s="60"/>
      <c r="C97" s="62"/>
      <c r="D97" s="217"/>
      <c r="E97" s="10"/>
      <c r="F97" s="254"/>
      <c r="G97" s="254"/>
      <c r="H97" s="254"/>
      <c r="I97" s="254"/>
      <c r="J97" s="254"/>
      <c r="K97" s="254"/>
      <c r="L97" s="255"/>
      <c r="N97" s="10"/>
      <c r="O97" s="10"/>
      <c r="P97" s="10"/>
      <c r="Q97" s="10"/>
      <c r="R97" s="10"/>
      <c r="S97" s="10"/>
      <c r="T97" s="10"/>
      <c r="U97" s="10"/>
      <c r="V97" s="10"/>
    </row>
    <row r="98" spans="1:22">
      <c r="A98" s="199" t="s">
        <v>1110</v>
      </c>
      <c r="B98" s="200" t="s">
        <v>1111</v>
      </c>
      <c r="C98" s="201" t="s">
        <v>1112</v>
      </c>
      <c r="D98" s="220">
        <v>336</v>
      </c>
      <c r="E98" s="10"/>
      <c r="F98" s="257">
        <f t="shared" si="35"/>
        <v>126.504</v>
      </c>
      <c r="G98" s="257">
        <f t="shared" si="36"/>
        <v>126.504</v>
      </c>
      <c r="H98" s="257">
        <f t="shared" si="37"/>
        <v>151.87200000000001</v>
      </c>
      <c r="I98" s="257">
        <f t="shared" si="38"/>
        <v>127.34399999999999</v>
      </c>
      <c r="J98" s="257">
        <f t="shared" si="39"/>
        <v>167.66399999999999</v>
      </c>
      <c r="K98" s="257">
        <f t="shared" si="40"/>
        <v>144.47999999999999</v>
      </c>
      <c r="L98" s="258">
        <f t="shared" si="41"/>
        <v>162.28799999999998</v>
      </c>
      <c r="N98" s="10"/>
      <c r="O98" s="10"/>
      <c r="P98" s="10"/>
      <c r="Q98" s="10"/>
      <c r="R98" s="10"/>
      <c r="S98" s="10"/>
      <c r="T98" s="10"/>
      <c r="U98" s="10"/>
      <c r="V98" s="10"/>
    </row>
    <row r="99" spans="1:22">
      <c r="A99" s="210" t="s">
        <v>1113</v>
      </c>
      <c r="B99" s="172" t="s">
        <v>1114</v>
      </c>
      <c r="C99" s="211" t="s">
        <v>1115</v>
      </c>
      <c r="D99" s="220">
        <v>163</v>
      </c>
      <c r="E99" s="10"/>
      <c r="F99" s="257">
        <f t="shared" si="35"/>
        <v>61.369500000000002</v>
      </c>
      <c r="G99" s="257">
        <f t="shared" si="36"/>
        <v>61.369500000000002</v>
      </c>
      <c r="H99" s="257">
        <f t="shared" si="37"/>
        <v>73.676000000000002</v>
      </c>
      <c r="I99" s="257">
        <f t="shared" si="38"/>
        <v>61.777000000000001</v>
      </c>
      <c r="J99" s="257">
        <f t="shared" si="39"/>
        <v>81.337000000000003</v>
      </c>
      <c r="K99" s="257">
        <f t="shared" si="40"/>
        <v>70.09</v>
      </c>
      <c r="L99" s="258">
        <f t="shared" si="41"/>
        <v>78.728999999999999</v>
      </c>
      <c r="N99" s="10"/>
      <c r="O99" s="10"/>
      <c r="P99" s="10"/>
      <c r="Q99" s="10"/>
      <c r="R99" s="10"/>
      <c r="S99" s="10"/>
      <c r="T99" s="10"/>
      <c r="U99" s="10"/>
      <c r="V99" s="10"/>
    </row>
    <row r="100" spans="1:22">
      <c r="A100" s="199" t="s">
        <v>1116</v>
      </c>
      <c r="B100" s="200" t="s">
        <v>1117</v>
      </c>
      <c r="C100" s="201" t="s">
        <v>1118</v>
      </c>
      <c r="D100" s="220">
        <v>259</v>
      </c>
      <c r="E100" s="10"/>
      <c r="F100" s="257">
        <f t="shared" si="35"/>
        <v>97.513499999999993</v>
      </c>
      <c r="G100" s="257">
        <f t="shared" si="36"/>
        <v>97.513499999999993</v>
      </c>
      <c r="H100" s="257">
        <f t="shared" si="37"/>
        <v>117.068</v>
      </c>
      <c r="I100" s="257">
        <f t="shared" si="38"/>
        <v>98.161000000000001</v>
      </c>
      <c r="J100" s="257">
        <f t="shared" si="39"/>
        <v>129.24100000000001</v>
      </c>
      <c r="K100" s="257">
        <f t="shared" si="40"/>
        <v>111.37</v>
      </c>
      <c r="L100" s="258">
        <f t="shared" si="41"/>
        <v>125.09699999999999</v>
      </c>
      <c r="N100" s="10"/>
      <c r="O100" s="10"/>
      <c r="P100" s="10"/>
      <c r="Q100" s="10"/>
      <c r="R100" s="10"/>
      <c r="S100" s="10"/>
      <c r="T100" s="10"/>
      <c r="U100" s="10"/>
      <c r="V100" s="10"/>
    </row>
    <row r="101" spans="1:22">
      <c r="A101" s="199" t="s">
        <v>1119</v>
      </c>
      <c r="B101" s="200" t="s">
        <v>1120</v>
      </c>
      <c r="C101" s="201" t="s">
        <v>1121</v>
      </c>
      <c r="D101" s="220">
        <v>192</v>
      </c>
      <c r="E101" s="10"/>
      <c r="F101" s="257">
        <f t="shared" si="35"/>
        <v>72.287999999999997</v>
      </c>
      <c r="G101" s="257">
        <f t="shared" si="36"/>
        <v>72.287999999999997</v>
      </c>
      <c r="H101" s="257">
        <f t="shared" si="37"/>
        <v>86.784000000000006</v>
      </c>
      <c r="I101" s="257">
        <f t="shared" si="38"/>
        <v>72.768000000000001</v>
      </c>
      <c r="J101" s="257">
        <f t="shared" si="39"/>
        <v>95.807999999999993</v>
      </c>
      <c r="K101" s="257">
        <f t="shared" si="40"/>
        <v>82.56</v>
      </c>
      <c r="L101" s="258">
        <f t="shared" si="41"/>
        <v>92.73599999999999</v>
      </c>
      <c r="N101" s="10"/>
      <c r="O101" s="10"/>
      <c r="P101" s="10"/>
      <c r="Q101" s="10"/>
      <c r="R101" s="10"/>
      <c r="S101" s="10"/>
      <c r="T101" s="10"/>
      <c r="U101" s="10"/>
      <c r="V101" s="10"/>
    </row>
    <row r="102" spans="1:22">
      <c r="A102" s="199" t="s">
        <v>1122</v>
      </c>
      <c r="B102" s="200" t="s">
        <v>1123</v>
      </c>
      <c r="C102" s="201" t="s">
        <v>1124</v>
      </c>
      <c r="D102" s="220">
        <v>138</v>
      </c>
      <c r="E102" s="10"/>
      <c r="F102" s="257">
        <f t="shared" si="35"/>
        <v>51.957000000000001</v>
      </c>
      <c r="G102" s="257">
        <f t="shared" si="36"/>
        <v>51.957000000000001</v>
      </c>
      <c r="H102" s="257">
        <f t="shared" si="37"/>
        <v>62.376000000000005</v>
      </c>
      <c r="I102" s="257">
        <f t="shared" si="38"/>
        <v>52.302</v>
      </c>
      <c r="J102" s="257">
        <f t="shared" si="39"/>
        <v>68.861999999999995</v>
      </c>
      <c r="K102" s="257">
        <f t="shared" si="40"/>
        <v>59.339999999999996</v>
      </c>
      <c r="L102" s="258">
        <f t="shared" si="41"/>
        <v>66.653999999999996</v>
      </c>
      <c r="N102" s="10"/>
      <c r="O102" s="10"/>
      <c r="P102" s="10"/>
      <c r="Q102" s="10"/>
      <c r="R102" s="10"/>
      <c r="S102" s="10"/>
      <c r="T102" s="10"/>
      <c r="U102" s="10"/>
      <c r="V102" s="10"/>
    </row>
    <row r="103" spans="1:22">
      <c r="A103" s="172" t="s">
        <v>1125</v>
      </c>
      <c r="B103" s="172" t="s">
        <v>1126</v>
      </c>
      <c r="C103" s="111" t="s">
        <v>1127</v>
      </c>
      <c r="D103" s="220">
        <v>116</v>
      </c>
      <c r="E103" s="10"/>
      <c r="F103" s="257">
        <f t="shared" si="35"/>
        <v>43.673999999999999</v>
      </c>
      <c r="G103" s="257">
        <f t="shared" si="36"/>
        <v>43.673999999999999</v>
      </c>
      <c r="H103" s="257">
        <f t="shared" si="37"/>
        <v>52.432000000000002</v>
      </c>
      <c r="I103" s="257">
        <f t="shared" si="38"/>
        <v>43.963999999999999</v>
      </c>
      <c r="J103" s="257">
        <f t="shared" si="39"/>
        <v>57.884</v>
      </c>
      <c r="K103" s="257">
        <f t="shared" si="40"/>
        <v>49.88</v>
      </c>
      <c r="L103" s="258">
        <f t="shared" si="41"/>
        <v>56.027999999999999</v>
      </c>
      <c r="N103" s="10"/>
      <c r="O103" s="10"/>
      <c r="P103" s="10"/>
      <c r="Q103" s="10"/>
      <c r="R103" s="10"/>
      <c r="S103" s="10"/>
      <c r="T103" s="10"/>
      <c r="U103" s="10"/>
      <c r="V103" s="10"/>
    </row>
    <row r="104" spans="1:22">
      <c r="A104" s="172" t="s">
        <v>1128</v>
      </c>
      <c r="B104" s="172" t="s">
        <v>1129</v>
      </c>
      <c r="C104" s="111" t="s">
        <v>1130</v>
      </c>
      <c r="D104" s="220">
        <v>104</v>
      </c>
      <c r="E104" s="10"/>
      <c r="F104" s="257">
        <f t="shared" si="35"/>
        <v>39.155999999999999</v>
      </c>
      <c r="G104" s="257">
        <f t="shared" si="36"/>
        <v>39.155999999999999</v>
      </c>
      <c r="H104" s="257">
        <f t="shared" si="37"/>
        <v>47.008000000000003</v>
      </c>
      <c r="I104" s="257">
        <f t="shared" si="38"/>
        <v>39.415999999999997</v>
      </c>
      <c r="J104" s="257">
        <f t="shared" si="39"/>
        <v>51.896000000000001</v>
      </c>
      <c r="K104" s="257">
        <f t="shared" si="40"/>
        <v>44.72</v>
      </c>
      <c r="L104" s="258">
        <f t="shared" si="41"/>
        <v>50.231999999999999</v>
      </c>
      <c r="N104" s="10"/>
      <c r="O104" s="10"/>
      <c r="P104" s="10"/>
      <c r="Q104" s="10"/>
      <c r="R104" s="10"/>
      <c r="S104" s="10"/>
      <c r="T104" s="10"/>
      <c r="U104" s="10"/>
      <c r="V104" s="10"/>
    </row>
    <row r="105" spans="1:22">
      <c r="A105" s="72"/>
      <c r="B105" s="72"/>
      <c r="C105" s="66"/>
      <c r="D105" s="218"/>
      <c r="E105" s="10"/>
      <c r="F105" s="252"/>
      <c r="G105" s="252"/>
      <c r="H105" s="252"/>
      <c r="I105" s="252"/>
      <c r="J105" s="252"/>
      <c r="K105" s="252"/>
      <c r="L105" s="253"/>
      <c r="N105" s="10"/>
      <c r="O105" s="10"/>
      <c r="P105" s="10"/>
      <c r="Q105" s="10"/>
      <c r="R105" s="10"/>
      <c r="S105" s="10"/>
      <c r="T105" s="10"/>
      <c r="U105" s="10"/>
      <c r="V105" s="10"/>
    </row>
    <row r="106" spans="1:22">
      <c r="A106" s="59" t="s">
        <v>1131</v>
      </c>
      <c r="B106" s="60"/>
      <c r="C106" s="62"/>
      <c r="D106" s="217"/>
      <c r="E106" s="10"/>
      <c r="F106" s="254"/>
      <c r="G106" s="254"/>
      <c r="H106" s="254"/>
      <c r="I106" s="254"/>
      <c r="J106" s="254"/>
      <c r="K106" s="254"/>
      <c r="L106" s="255"/>
      <c r="N106" s="10"/>
      <c r="O106" s="10"/>
      <c r="P106" s="10"/>
      <c r="Q106" s="10"/>
      <c r="R106" s="10"/>
      <c r="S106" s="10"/>
      <c r="T106" s="10"/>
      <c r="U106" s="10"/>
      <c r="V106" s="10"/>
    </row>
    <row r="107" spans="1:22">
      <c r="A107" s="72" t="s">
        <v>1132</v>
      </c>
      <c r="B107" s="72" t="s">
        <v>1133</v>
      </c>
      <c r="C107" s="66" t="s">
        <v>1134</v>
      </c>
      <c r="D107" s="218">
        <v>19</v>
      </c>
      <c r="E107" s="10"/>
      <c r="F107" s="252">
        <f t="shared" si="35"/>
        <v>7.1535000000000002</v>
      </c>
      <c r="G107" s="252">
        <f t="shared" si="36"/>
        <v>7.1535000000000002</v>
      </c>
      <c r="H107" s="252">
        <f t="shared" si="37"/>
        <v>8.588000000000001</v>
      </c>
      <c r="I107" s="252">
        <f t="shared" si="38"/>
        <v>7.2010000000000005</v>
      </c>
      <c r="J107" s="252">
        <f t="shared" si="39"/>
        <v>9.4809999999999999</v>
      </c>
      <c r="K107" s="252">
        <f t="shared" si="40"/>
        <v>8.17</v>
      </c>
      <c r="L107" s="253">
        <f t="shared" si="41"/>
        <v>9.1769999999999996</v>
      </c>
      <c r="N107" s="10"/>
      <c r="O107" s="10"/>
      <c r="P107" s="10"/>
      <c r="Q107" s="10"/>
      <c r="R107" s="10"/>
      <c r="S107" s="10"/>
      <c r="T107" s="10"/>
      <c r="U107" s="10"/>
      <c r="V107" s="10"/>
    </row>
    <row r="108" spans="1:22">
      <c r="A108" s="72" t="s">
        <v>1135</v>
      </c>
      <c r="B108" s="72" t="s">
        <v>1136</v>
      </c>
      <c r="C108" s="66" t="s">
        <v>1137</v>
      </c>
      <c r="D108" s="218">
        <v>19</v>
      </c>
      <c r="E108" s="10"/>
      <c r="F108" s="252">
        <f t="shared" ref="F108:F109" si="42">D108*$F$11</f>
        <v>7.1535000000000002</v>
      </c>
      <c r="G108" s="252">
        <f t="shared" ref="G108:G109" si="43">D108*$G$11</f>
        <v>7.1535000000000002</v>
      </c>
      <c r="H108" s="252">
        <f t="shared" ref="H108:H109" si="44">D108*$H$11</f>
        <v>8.588000000000001</v>
      </c>
      <c r="I108" s="252">
        <f t="shared" ref="I108:I109" si="45">D108*$I$11</f>
        <v>7.2010000000000005</v>
      </c>
      <c r="J108" s="252">
        <f t="shared" ref="J108:J109" si="46">D108*$J$11</f>
        <v>9.4809999999999999</v>
      </c>
      <c r="K108" s="252">
        <f t="shared" ref="K108:K109" si="47">D108*$K$11</f>
        <v>8.17</v>
      </c>
      <c r="L108" s="253">
        <f t="shared" ref="L108:L109" si="48">D108*$L$11</f>
        <v>9.1769999999999996</v>
      </c>
      <c r="N108" s="10"/>
      <c r="O108" s="10"/>
      <c r="P108" s="10"/>
      <c r="Q108" s="10"/>
      <c r="R108" s="10"/>
      <c r="S108" s="10"/>
      <c r="T108" s="10"/>
      <c r="U108" s="10"/>
      <c r="V108" s="10"/>
    </row>
    <row r="109" spans="1:22">
      <c r="A109" s="72" t="s">
        <v>1138</v>
      </c>
      <c r="B109" s="72" t="s">
        <v>1139</v>
      </c>
      <c r="C109" s="66" t="s">
        <v>1140</v>
      </c>
      <c r="D109" s="218">
        <v>19</v>
      </c>
      <c r="E109" s="10"/>
      <c r="F109" s="252">
        <f t="shared" si="42"/>
        <v>7.1535000000000002</v>
      </c>
      <c r="G109" s="252">
        <f t="shared" si="43"/>
        <v>7.1535000000000002</v>
      </c>
      <c r="H109" s="252">
        <f t="shared" si="44"/>
        <v>8.588000000000001</v>
      </c>
      <c r="I109" s="252">
        <f t="shared" si="45"/>
        <v>7.2010000000000005</v>
      </c>
      <c r="J109" s="252">
        <f t="shared" si="46"/>
        <v>9.4809999999999999</v>
      </c>
      <c r="K109" s="252">
        <f t="shared" si="47"/>
        <v>8.17</v>
      </c>
      <c r="L109" s="253">
        <f t="shared" si="48"/>
        <v>9.1769999999999996</v>
      </c>
      <c r="N109" s="10"/>
      <c r="O109" s="10"/>
      <c r="P109" s="10"/>
      <c r="Q109" s="10"/>
      <c r="R109" s="10"/>
      <c r="S109" s="10"/>
      <c r="T109" s="10"/>
      <c r="U109" s="10"/>
      <c r="V109" s="10"/>
    </row>
    <row r="110" spans="1:22">
      <c r="A110" s="72" t="s">
        <v>1141</v>
      </c>
      <c r="B110" s="72" t="s">
        <v>1142</v>
      </c>
      <c r="C110" s="66" t="s">
        <v>1143</v>
      </c>
      <c r="D110" s="218">
        <v>19</v>
      </c>
      <c r="E110" s="10"/>
      <c r="F110" s="252">
        <f t="shared" si="35"/>
        <v>7.1535000000000002</v>
      </c>
      <c r="G110" s="252">
        <f t="shared" si="36"/>
        <v>7.1535000000000002</v>
      </c>
      <c r="H110" s="252">
        <f t="shared" si="37"/>
        <v>8.588000000000001</v>
      </c>
      <c r="I110" s="252">
        <f t="shared" si="38"/>
        <v>7.2010000000000005</v>
      </c>
      <c r="J110" s="252">
        <f t="shared" si="39"/>
        <v>9.4809999999999999</v>
      </c>
      <c r="K110" s="252">
        <f t="shared" si="40"/>
        <v>8.17</v>
      </c>
      <c r="L110" s="253">
        <f t="shared" si="41"/>
        <v>9.1769999999999996</v>
      </c>
      <c r="N110" s="10"/>
      <c r="O110" s="10"/>
      <c r="P110" s="10"/>
      <c r="Q110" s="10"/>
      <c r="R110" s="10"/>
      <c r="S110" s="10"/>
      <c r="T110" s="10"/>
      <c r="U110" s="10"/>
      <c r="V110" s="10"/>
    </row>
    <row r="111" spans="1:22">
      <c r="A111" s="72" t="s">
        <v>1144</v>
      </c>
      <c r="B111" s="72" t="s">
        <v>1145</v>
      </c>
      <c r="C111" s="70" t="s">
        <v>1146</v>
      </c>
      <c r="D111" s="218">
        <v>18</v>
      </c>
      <c r="E111" s="10"/>
      <c r="F111" s="252">
        <f t="shared" si="35"/>
        <v>6.7770000000000001</v>
      </c>
      <c r="G111" s="252">
        <f t="shared" si="36"/>
        <v>6.7770000000000001</v>
      </c>
      <c r="H111" s="252">
        <f t="shared" si="37"/>
        <v>8.136000000000001</v>
      </c>
      <c r="I111" s="252">
        <f t="shared" si="38"/>
        <v>6.8220000000000001</v>
      </c>
      <c r="J111" s="252">
        <f t="shared" si="39"/>
        <v>8.9819999999999993</v>
      </c>
      <c r="K111" s="252">
        <f t="shared" si="40"/>
        <v>7.74</v>
      </c>
      <c r="L111" s="253">
        <f t="shared" si="41"/>
        <v>8.6939999999999991</v>
      </c>
      <c r="N111" s="10"/>
      <c r="O111" s="10"/>
      <c r="P111" s="10"/>
      <c r="Q111" s="10"/>
      <c r="R111" s="10"/>
      <c r="S111" s="10"/>
      <c r="T111" s="10"/>
      <c r="U111" s="10"/>
      <c r="V111" s="10"/>
    </row>
    <row r="112" spans="1:22">
      <c r="A112" s="72" t="s">
        <v>1147</v>
      </c>
      <c r="B112" s="72" t="s">
        <v>1148</v>
      </c>
      <c r="C112" s="111" t="s">
        <v>1149</v>
      </c>
      <c r="D112" s="218">
        <v>145</v>
      </c>
      <c r="E112" s="10"/>
      <c r="F112" s="252">
        <f t="shared" si="35"/>
        <v>54.592500000000001</v>
      </c>
      <c r="G112" s="252">
        <f t="shared" si="36"/>
        <v>54.592500000000001</v>
      </c>
      <c r="H112" s="252">
        <f t="shared" si="37"/>
        <v>65.540000000000006</v>
      </c>
      <c r="I112" s="252">
        <f t="shared" si="38"/>
        <v>54.954999999999998</v>
      </c>
      <c r="J112" s="252">
        <f t="shared" si="39"/>
        <v>72.355000000000004</v>
      </c>
      <c r="K112" s="252">
        <f t="shared" si="40"/>
        <v>62.35</v>
      </c>
      <c r="L112" s="253">
        <f t="shared" si="41"/>
        <v>70.034999999999997</v>
      </c>
      <c r="N112" s="10"/>
      <c r="O112" s="10"/>
      <c r="P112" s="10"/>
      <c r="Q112" s="10"/>
      <c r="R112" s="10"/>
      <c r="S112" s="10"/>
      <c r="T112" s="10"/>
      <c r="U112" s="10"/>
      <c r="V112" s="10"/>
    </row>
    <row r="113" spans="1:22">
      <c r="A113" s="72" t="s">
        <v>1150</v>
      </c>
      <c r="B113" s="72" t="s">
        <v>1151</v>
      </c>
      <c r="C113" s="66" t="s">
        <v>1152</v>
      </c>
      <c r="D113" s="218">
        <v>22</v>
      </c>
      <c r="E113" s="10"/>
      <c r="F113" s="252">
        <f t="shared" si="35"/>
        <v>8.2829999999999995</v>
      </c>
      <c r="G113" s="252">
        <f t="shared" si="36"/>
        <v>8.2829999999999995</v>
      </c>
      <c r="H113" s="252">
        <f t="shared" si="37"/>
        <v>9.9440000000000008</v>
      </c>
      <c r="I113" s="252">
        <f t="shared" si="38"/>
        <v>8.338000000000001</v>
      </c>
      <c r="J113" s="252">
        <f t="shared" si="39"/>
        <v>10.978</v>
      </c>
      <c r="K113" s="252">
        <f t="shared" si="40"/>
        <v>9.4599999999999991</v>
      </c>
      <c r="L113" s="253">
        <f t="shared" si="41"/>
        <v>10.625999999999999</v>
      </c>
      <c r="N113" s="10"/>
      <c r="O113" s="10"/>
      <c r="P113" s="10"/>
      <c r="Q113" s="10"/>
      <c r="R113" s="10"/>
      <c r="S113" s="10"/>
      <c r="T113" s="10"/>
      <c r="U113" s="10"/>
      <c r="V113" s="10"/>
    </row>
    <row r="114" spans="1:22">
      <c r="A114" s="63"/>
      <c r="B114" s="64"/>
      <c r="C114" s="66"/>
      <c r="D114" s="218"/>
      <c r="E114" s="10"/>
      <c r="F114" s="252"/>
      <c r="G114" s="252"/>
      <c r="H114" s="252"/>
      <c r="I114" s="252"/>
      <c r="J114" s="252"/>
      <c r="K114" s="252"/>
      <c r="L114" s="253"/>
      <c r="N114" s="10"/>
      <c r="O114" s="10"/>
      <c r="P114" s="10"/>
      <c r="Q114" s="10"/>
      <c r="R114" s="10"/>
      <c r="S114" s="10"/>
      <c r="T114" s="10"/>
      <c r="U114" s="10"/>
      <c r="V114" s="10"/>
    </row>
    <row r="115" spans="1:22">
      <c r="A115" s="59" t="s">
        <v>1153</v>
      </c>
      <c r="B115" s="60"/>
      <c r="C115" s="62"/>
      <c r="D115" s="217"/>
      <c r="E115" s="10"/>
      <c r="F115" s="254"/>
      <c r="G115" s="254"/>
      <c r="H115" s="254"/>
      <c r="I115" s="254"/>
      <c r="J115" s="254"/>
      <c r="K115" s="254"/>
      <c r="L115" s="255"/>
      <c r="N115" s="10"/>
      <c r="O115" s="10"/>
      <c r="P115" s="10"/>
      <c r="Q115" s="10"/>
      <c r="R115" s="10"/>
      <c r="S115" s="10"/>
      <c r="T115" s="10"/>
      <c r="U115" s="10"/>
      <c r="V115" s="10"/>
    </row>
    <row r="116" spans="1:22">
      <c r="A116" s="109" t="s">
        <v>1154</v>
      </c>
      <c r="B116" s="105" t="s">
        <v>1155</v>
      </c>
      <c r="C116" s="111" t="s">
        <v>1156</v>
      </c>
      <c r="D116" s="219">
        <v>156</v>
      </c>
      <c r="E116" s="10"/>
      <c r="F116" s="256">
        <f t="shared" si="35"/>
        <v>58.734000000000002</v>
      </c>
      <c r="G116" s="256">
        <f t="shared" si="36"/>
        <v>58.734000000000002</v>
      </c>
      <c r="H116" s="256">
        <f t="shared" si="37"/>
        <v>70.512</v>
      </c>
      <c r="I116" s="256">
        <f t="shared" si="38"/>
        <v>59.124000000000002</v>
      </c>
      <c r="J116" s="256">
        <f t="shared" si="39"/>
        <v>77.843999999999994</v>
      </c>
      <c r="K116" s="256">
        <f t="shared" si="40"/>
        <v>67.08</v>
      </c>
      <c r="L116" s="248">
        <f t="shared" si="41"/>
        <v>75.347999999999999</v>
      </c>
      <c r="N116" s="10"/>
      <c r="O116" s="10"/>
      <c r="P116" s="10"/>
      <c r="Q116" s="10"/>
      <c r="R116" s="10"/>
      <c r="S116" s="10"/>
      <c r="T116" s="10"/>
      <c r="U116" s="10"/>
      <c r="V116" s="10"/>
    </row>
    <row r="117" spans="1:22">
      <c r="A117" s="63" t="s">
        <v>1157</v>
      </c>
      <c r="B117" s="64" t="s">
        <v>1158</v>
      </c>
      <c r="C117" s="66" t="s">
        <v>1159</v>
      </c>
      <c r="D117" s="218">
        <v>92</v>
      </c>
      <c r="E117" s="10"/>
      <c r="F117" s="252">
        <f t="shared" si="35"/>
        <v>34.637999999999998</v>
      </c>
      <c r="G117" s="252">
        <f t="shared" si="36"/>
        <v>34.637999999999998</v>
      </c>
      <c r="H117" s="252">
        <f t="shared" si="37"/>
        <v>41.584000000000003</v>
      </c>
      <c r="I117" s="252">
        <f t="shared" si="38"/>
        <v>34.868000000000002</v>
      </c>
      <c r="J117" s="252">
        <f t="shared" si="39"/>
        <v>45.908000000000001</v>
      </c>
      <c r="K117" s="252">
        <f t="shared" si="40"/>
        <v>39.56</v>
      </c>
      <c r="L117" s="253">
        <f t="shared" si="41"/>
        <v>44.436</v>
      </c>
      <c r="N117" s="10"/>
      <c r="O117" s="10"/>
      <c r="P117" s="10"/>
      <c r="Q117" s="10"/>
      <c r="R117" s="10"/>
      <c r="S117" s="10"/>
      <c r="T117" s="10"/>
      <c r="U117" s="10"/>
      <c r="V117" s="10"/>
    </row>
    <row r="118" spans="1:22">
      <c r="A118" s="109" t="s">
        <v>1160</v>
      </c>
      <c r="B118" s="105" t="s">
        <v>1161</v>
      </c>
      <c r="C118" s="111" t="s">
        <v>1162</v>
      </c>
      <c r="D118" s="219">
        <v>87</v>
      </c>
      <c r="E118" s="10"/>
      <c r="F118" s="256">
        <f t="shared" si="35"/>
        <v>32.755499999999998</v>
      </c>
      <c r="G118" s="256">
        <f t="shared" si="36"/>
        <v>32.755499999999998</v>
      </c>
      <c r="H118" s="256">
        <f t="shared" si="37"/>
        <v>39.323999999999998</v>
      </c>
      <c r="I118" s="256">
        <f t="shared" si="38"/>
        <v>32.972999999999999</v>
      </c>
      <c r="J118" s="256">
        <f t="shared" si="39"/>
        <v>43.412999999999997</v>
      </c>
      <c r="K118" s="256">
        <f t="shared" si="40"/>
        <v>37.409999999999997</v>
      </c>
      <c r="L118" s="248">
        <f t="shared" si="41"/>
        <v>42.021000000000001</v>
      </c>
      <c r="N118" s="10"/>
      <c r="O118" s="10"/>
      <c r="P118" s="10"/>
      <c r="Q118" s="10"/>
      <c r="R118" s="10"/>
      <c r="S118" s="10"/>
      <c r="T118" s="10"/>
      <c r="U118" s="10"/>
      <c r="V118" s="10"/>
    </row>
    <row r="119" spans="1:22">
      <c r="A119" s="63" t="s">
        <v>1163</v>
      </c>
      <c r="B119" s="64" t="s">
        <v>1164</v>
      </c>
      <c r="C119" s="66" t="s">
        <v>1165</v>
      </c>
      <c r="D119" s="218">
        <v>149</v>
      </c>
      <c r="E119" s="10"/>
      <c r="F119" s="252">
        <f t="shared" si="35"/>
        <v>56.098500000000001</v>
      </c>
      <c r="G119" s="252">
        <f t="shared" si="36"/>
        <v>56.098500000000001</v>
      </c>
      <c r="H119" s="252">
        <f t="shared" si="37"/>
        <v>67.347999999999999</v>
      </c>
      <c r="I119" s="252">
        <f t="shared" si="38"/>
        <v>56.471000000000004</v>
      </c>
      <c r="J119" s="252">
        <f t="shared" si="39"/>
        <v>74.350999999999999</v>
      </c>
      <c r="K119" s="252">
        <f t="shared" si="40"/>
        <v>64.069999999999993</v>
      </c>
      <c r="L119" s="253">
        <f t="shared" si="41"/>
        <v>71.966999999999999</v>
      </c>
      <c r="N119" s="10"/>
      <c r="O119" s="10"/>
      <c r="P119" s="10"/>
      <c r="Q119" s="10"/>
      <c r="R119" s="10"/>
      <c r="S119" s="10"/>
      <c r="T119" s="10"/>
      <c r="U119" s="10"/>
      <c r="V119" s="10"/>
    </row>
    <row r="120" spans="1:22">
      <c r="A120" s="63" t="s">
        <v>1166</v>
      </c>
      <c r="B120" s="64" t="s">
        <v>1167</v>
      </c>
      <c r="C120" s="74" t="s">
        <v>1168</v>
      </c>
      <c r="D120" s="218">
        <v>74</v>
      </c>
      <c r="E120" s="10"/>
      <c r="F120" s="252">
        <f t="shared" si="35"/>
        <v>27.861000000000001</v>
      </c>
      <c r="G120" s="252">
        <f t="shared" si="36"/>
        <v>27.861000000000001</v>
      </c>
      <c r="H120" s="252">
        <f t="shared" si="37"/>
        <v>33.448</v>
      </c>
      <c r="I120" s="252">
        <f t="shared" si="38"/>
        <v>28.045999999999999</v>
      </c>
      <c r="J120" s="252">
        <f t="shared" si="39"/>
        <v>36.926000000000002</v>
      </c>
      <c r="K120" s="252">
        <f t="shared" si="40"/>
        <v>31.82</v>
      </c>
      <c r="L120" s="253">
        <f t="shared" si="41"/>
        <v>35.741999999999997</v>
      </c>
      <c r="N120" s="10"/>
      <c r="O120" s="10"/>
      <c r="P120" s="10"/>
      <c r="Q120" s="10"/>
      <c r="R120" s="10"/>
      <c r="S120" s="10"/>
      <c r="T120" s="10"/>
      <c r="U120" s="10"/>
      <c r="V120" s="10"/>
    </row>
    <row r="121" spans="1:22">
      <c r="A121" s="63"/>
      <c r="B121" s="64"/>
      <c r="C121" s="74"/>
      <c r="D121" s="218"/>
      <c r="E121" s="10"/>
      <c r="F121" s="252"/>
      <c r="G121" s="252"/>
      <c r="H121" s="252"/>
      <c r="I121" s="252"/>
      <c r="J121" s="252"/>
      <c r="K121" s="252"/>
      <c r="L121" s="253"/>
      <c r="N121" s="10"/>
      <c r="O121" s="10"/>
      <c r="P121" s="10"/>
      <c r="Q121" s="10"/>
      <c r="R121" s="10"/>
      <c r="S121" s="10"/>
      <c r="T121" s="10"/>
      <c r="U121" s="10"/>
      <c r="V121" s="10"/>
    </row>
    <row r="122" spans="1:22">
      <c r="A122" s="59" t="s">
        <v>1169</v>
      </c>
      <c r="B122" s="60"/>
      <c r="C122" s="62"/>
      <c r="D122" s="217"/>
      <c r="E122" s="10"/>
      <c r="F122" s="254"/>
      <c r="G122" s="254"/>
      <c r="H122" s="254"/>
      <c r="I122" s="254"/>
      <c r="J122" s="254"/>
      <c r="K122" s="254"/>
      <c r="L122" s="255"/>
      <c r="N122" s="10"/>
      <c r="O122" s="10"/>
      <c r="P122" s="10"/>
      <c r="Q122" s="10"/>
      <c r="R122" s="10"/>
      <c r="S122" s="10"/>
      <c r="T122" s="10"/>
      <c r="U122" s="10"/>
      <c r="V122" s="10"/>
    </row>
    <row r="123" spans="1:22">
      <c r="A123" s="63" t="s">
        <v>1170</v>
      </c>
      <c r="B123" s="64" t="s">
        <v>1171</v>
      </c>
      <c r="C123" s="66" t="s">
        <v>1172</v>
      </c>
      <c r="D123" s="218">
        <v>12</v>
      </c>
      <c r="E123" s="10"/>
      <c r="F123" s="252">
        <f t="shared" si="35"/>
        <v>4.5179999999999998</v>
      </c>
      <c r="G123" s="252">
        <f t="shared" si="36"/>
        <v>4.5179999999999998</v>
      </c>
      <c r="H123" s="252">
        <f t="shared" si="37"/>
        <v>5.4240000000000004</v>
      </c>
      <c r="I123" s="252">
        <f t="shared" si="38"/>
        <v>4.548</v>
      </c>
      <c r="J123" s="252">
        <f t="shared" si="39"/>
        <v>5.9879999999999995</v>
      </c>
      <c r="K123" s="252">
        <f t="shared" si="40"/>
        <v>5.16</v>
      </c>
      <c r="L123" s="253">
        <f t="shared" si="41"/>
        <v>5.7959999999999994</v>
      </c>
      <c r="N123" s="10"/>
      <c r="O123" s="10"/>
      <c r="P123" s="10"/>
      <c r="Q123" s="10"/>
      <c r="R123" s="10"/>
      <c r="S123" s="10"/>
      <c r="T123" s="10"/>
      <c r="U123" s="10"/>
      <c r="V123" s="10"/>
    </row>
    <row r="124" spans="1:22">
      <c r="A124" s="63" t="s">
        <v>1173</v>
      </c>
      <c r="B124" s="64" t="s">
        <v>1174</v>
      </c>
      <c r="C124" s="66" t="s">
        <v>1175</v>
      </c>
      <c r="D124" s="218">
        <v>8</v>
      </c>
      <c r="E124" s="10"/>
      <c r="F124" s="252">
        <f t="shared" si="35"/>
        <v>3.012</v>
      </c>
      <c r="G124" s="252">
        <f t="shared" si="36"/>
        <v>3.012</v>
      </c>
      <c r="H124" s="252">
        <f t="shared" si="37"/>
        <v>3.6160000000000001</v>
      </c>
      <c r="I124" s="252">
        <f t="shared" si="38"/>
        <v>3.032</v>
      </c>
      <c r="J124" s="252">
        <f t="shared" si="39"/>
        <v>3.992</v>
      </c>
      <c r="K124" s="252">
        <f t="shared" si="40"/>
        <v>3.44</v>
      </c>
      <c r="L124" s="253">
        <f t="shared" si="41"/>
        <v>3.8639999999999999</v>
      </c>
      <c r="N124" s="10"/>
      <c r="O124" s="10"/>
      <c r="P124" s="10"/>
      <c r="Q124" s="10"/>
      <c r="R124" s="10"/>
      <c r="S124" s="10"/>
      <c r="T124" s="10"/>
      <c r="U124" s="10"/>
      <c r="V124" s="10"/>
    </row>
    <row r="125" spans="1:22">
      <c r="A125" s="72" t="s">
        <v>1176</v>
      </c>
      <c r="B125" s="72" t="s">
        <v>1177</v>
      </c>
      <c r="C125" s="70" t="s">
        <v>1178</v>
      </c>
      <c r="D125" s="218">
        <v>16</v>
      </c>
      <c r="E125" s="10"/>
      <c r="F125" s="252">
        <f t="shared" si="35"/>
        <v>6.024</v>
      </c>
      <c r="G125" s="252">
        <f t="shared" si="36"/>
        <v>6.024</v>
      </c>
      <c r="H125" s="252">
        <f t="shared" si="37"/>
        <v>7.2320000000000002</v>
      </c>
      <c r="I125" s="252">
        <f t="shared" si="38"/>
        <v>6.0640000000000001</v>
      </c>
      <c r="J125" s="252">
        <f t="shared" si="39"/>
        <v>7.984</v>
      </c>
      <c r="K125" s="252">
        <f t="shared" si="40"/>
        <v>6.88</v>
      </c>
      <c r="L125" s="253">
        <f t="shared" si="41"/>
        <v>7.7279999999999998</v>
      </c>
      <c r="N125" s="10"/>
      <c r="O125" s="10"/>
      <c r="P125" s="10"/>
      <c r="Q125" s="10"/>
      <c r="R125" s="10"/>
      <c r="S125" s="10"/>
      <c r="T125" s="10"/>
      <c r="U125" s="10"/>
      <c r="V125" s="10"/>
    </row>
    <row r="126" spans="1:22">
      <c r="A126" s="72" t="s">
        <v>1179</v>
      </c>
      <c r="B126" s="72" t="s">
        <v>1180</v>
      </c>
      <c r="C126" s="70" t="s">
        <v>1181</v>
      </c>
      <c r="D126" s="218">
        <v>12</v>
      </c>
      <c r="E126" s="10"/>
      <c r="F126" s="252">
        <f t="shared" si="35"/>
        <v>4.5179999999999998</v>
      </c>
      <c r="G126" s="252">
        <f t="shared" si="36"/>
        <v>4.5179999999999998</v>
      </c>
      <c r="H126" s="252">
        <f t="shared" si="37"/>
        <v>5.4240000000000004</v>
      </c>
      <c r="I126" s="252">
        <f t="shared" si="38"/>
        <v>4.548</v>
      </c>
      <c r="J126" s="252">
        <f t="shared" si="39"/>
        <v>5.9879999999999995</v>
      </c>
      <c r="K126" s="252">
        <f t="shared" si="40"/>
        <v>5.16</v>
      </c>
      <c r="L126" s="253">
        <f t="shared" si="41"/>
        <v>5.7959999999999994</v>
      </c>
      <c r="N126" s="10"/>
      <c r="O126" s="10"/>
      <c r="P126" s="10"/>
      <c r="Q126" s="10"/>
      <c r="R126" s="10"/>
      <c r="S126" s="10"/>
      <c r="T126" s="10"/>
      <c r="U126" s="10"/>
      <c r="V126" s="10"/>
    </row>
    <row r="127" spans="1:22">
      <c r="A127" s="72" t="s">
        <v>1182</v>
      </c>
      <c r="B127" s="72" t="s">
        <v>1183</v>
      </c>
      <c r="C127" s="70" t="s">
        <v>1184</v>
      </c>
      <c r="D127" s="218">
        <v>8</v>
      </c>
      <c r="E127" s="10"/>
      <c r="F127" s="252">
        <f t="shared" si="35"/>
        <v>3.012</v>
      </c>
      <c r="G127" s="252">
        <f t="shared" si="36"/>
        <v>3.012</v>
      </c>
      <c r="H127" s="252">
        <f t="shared" si="37"/>
        <v>3.6160000000000001</v>
      </c>
      <c r="I127" s="252">
        <f t="shared" si="38"/>
        <v>3.032</v>
      </c>
      <c r="J127" s="252">
        <f t="shared" si="39"/>
        <v>3.992</v>
      </c>
      <c r="K127" s="252">
        <f t="shared" si="40"/>
        <v>3.44</v>
      </c>
      <c r="L127" s="253">
        <f t="shared" si="41"/>
        <v>3.8639999999999999</v>
      </c>
      <c r="N127" s="10"/>
      <c r="O127" s="10"/>
      <c r="P127" s="10"/>
      <c r="Q127" s="10"/>
      <c r="R127" s="10"/>
      <c r="S127" s="10"/>
      <c r="T127" s="10"/>
      <c r="U127" s="10"/>
      <c r="V127" s="10"/>
    </row>
    <row r="128" spans="1:22">
      <c r="A128" s="63" t="s">
        <v>1185</v>
      </c>
      <c r="B128" s="64" t="s">
        <v>1186</v>
      </c>
      <c r="C128" s="65" t="s">
        <v>1187</v>
      </c>
      <c r="D128" s="218">
        <v>14</v>
      </c>
      <c r="E128" s="10"/>
      <c r="F128" s="252">
        <f t="shared" si="35"/>
        <v>5.2709999999999999</v>
      </c>
      <c r="G128" s="252">
        <f t="shared" si="36"/>
        <v>5.2709999999999999</v>
      </c>
      <c r="H128" s="252">
        <f t="shared" si="37"/>
        <v>6.3280000000000003</v>
      </c>
      <c r="I128" s="252">
        <f t="shared" si="38"/>
        <v>5.306</v>
      </c>
      <c r="J128" s="252">
        <f t="shared" si="39"/>
        <v>6.9859999999999998</v>
      </c>
      <c r="K128" s="252">
        <f t="shared" si="40"/>
        <v>6.02</v>
      </c>
      <c r="L128" s="253">
        <f t="shared" si="41"/>
        <v>6.7619999999999996</v>
      </c>
      <c r="N128" s="10"/>
      <c r="O128" s="10"/>
      <c r="P128" s="10"/>
      <c r="Q128" s="10"/>
      <c r="R128" s="10"/>
      <c r="S128" s="10"/>
      <c r="T128" s="10"/>
      <c r="U128" s="10"/>
      <c r="V128" s="10"/>
    </row>
    <row r="129" spans="1:22">
      <c r="A129" s="63" t="s">
        <v>1188</v>
      </c>
      <c r="B129" s="64" t="s">
        <v>1189</v>
      </c>
      <c r="C129" s="65" t="s">
        <v>1190</v>
      </c>
      <c r="D129" s="218">
        <v>13</v>
      </c>
      <c r="E129" s="10"/>
      <c r="F129" s="252">
        <f t="shared" si="35"/>
        <v>4.8944999999999999</v>
      </c>
      <c r="G129" s="252">
        <f t="shared" si="36"/>
        <v>4.8944999999999999</v>
      </c>
      <c r="H129" s="252">
        <f t="shared" si="37"/>
        <v>5.8760000000000003</v>
      </c>
      <c r="I129" s="252">
        <f t="shared" si="38"/>
        <v>4.9269999999999996</v>
      </c>
      <c r="J129" s="252">
        <f t="shared" si="39"/>
        <v>6.4870000000000001</v>
      </c>
      <c r="K129" s="252">
        <f t="shared" si="40"/>
        <v>5.59</v>
      </c>
      <c r="L129" s="253">
        <f t="shared" si="41"/>
        <v>6.2789999999999999</v>
      </c>
      <c r="N129" s="10"/>
      <c r="O129" s="10"/>
      <c r="P129" s="10"/>
      <c r="Q129" s="10"/>
      <c r="R129" s="10"/>
      <c r="S129" s="10"/>
      <c r="T129" s="10"/>
      <c r="U129" s="10"/>
      <c r="V129" s="10"/>
    </row>
    <row r="130" spans="1:22">
      <c r="A130" s="63" t="s">
        <v>1191</v>
      </c>
      <c r="B130" s="64" t="s">
        <v>1192</v>
      </c>
      <c r="C130" s="65" t="s">
        <v>1193</v>
      </c>
      <c r="D130" s="218">
        <v>11</v>
      </c>
      <c r="E130" s="10"/>
      <c r="F130" s="252">
        <f t="shared" si="35"/>
        <v>4.1414999999999997</v>
      </c>
      <c r="G130" s="252">
        <f t="shared" si="36"/>
        <v>4.1414999999999997</v>
      </c>
      <c r="H130" s="252">
        <f t="shared" si="37"/>
        <v>4.9720000000000004</v>
      </c>
      <c r="I130" s="252">
        <f t="shared" si="38"/>
        <v>4.1690000000000005</v>
      </c>
      <c r="J130" s="252">
        <f t="shared" si="39"/>
        <v>5.4889999999999999</v>
      </c>
      <c r="K130" s="252">
        <f t="shared" si="40"/>
        <v>4.7299999999999995</v>
      </c>
      <c r="L130" s="253">
        <f t="shared" si="41"/>
        <v>5.3129999999999997</v>
      </c>
      <c r="N130" s="10"/>
      <c r="O130" s="10"/>
      <c r="P130" s="10"/>
      <c r="Q130" s="10"/>
      <c r="R130" s="10"/>
      <c r="S130" s="10"/>
      <c r="T130" s="10"/>
      <c r="U130" s="10"/>
      <c r="V130" s="10"/>
    </row>
    <row r="131" spans="1:22">
      <c r="A131" s="63" t="s">
        <v>1194</v>
      </c>
      <c r="B131" s="64" t="s">
        <v>1195</v>
      </c>
      <c r="C131" s="65" t="s">
        <v>1196</v>
      </c>
      <c r="D131" s="218">
        <v>34</v>
      </c>
      <c r="E131" s="10"/>
      <c r="F131" s="252">
        <f t="shared" si="35"/>
        <v>12.801</v>
      </c>
      <c r="G131" s="252">
        <f t="shared" si="36"/>
        <v>12.801</v>
      </c>
      <c r="H131" s="252">
        <f t="shared" si="37"/>
        <v>15.368</v>
      </c>
      <c r="I131" s="252">
        <f t="shared" si="38"/>
        <v>12.885999999999999</v>
      </c>
      <c r="J131" s="252">
        <f t="shared" si="39"/>
        <v>16.966000000000001</v>
      </c>
      <c r="K131" s="252">
        <f t="shared" si="40"/>
        <v>14.62</v>
      </c>
      <c r="L131" s="253">
        <f t="shared" si="41"/>
        <v>16.422000000000001</v>
      </c>
      <c r="N131" s="10"/>
      <c r="O131" s="10"/>
      <c r="P131" s="10"/>
      <c r="Q131" s="10"/>
      <c r="R131" s="10"/>
      <c r="S131" s="10"/>
      <c r="T131" s="10"/>
      <c r="U131" s="10"/>
      <c r="V131" s="10"/>
    </row>
    <row r="132" spans="1:22">
      <c r="A132" s="63" t="s">
        <v>1197</v>
      </c>
      <c r="B132" s="64" t="s">
        <v>1198</v>
      </c>
      <c r="C132" s="65" t="s">
        <v>1199</v>
      </c>
      <c r="D132" s="218">
        <v>9</v>
      </c>
      <c r="E132" s="10"/>
      <c r="F132" s="252">
        <f t="shared" si="35"/>
        <v>3.3885000000000001</v>
      </c>
      <c r="G132" s="252">
        <f t="shared" si="36"/>
        <v>3.3885000000000001</v>
      </c>
      <c r="H132" s="252">
        <f t="shared" si="37"/>
        <v>4.0680000000000005</v>
      </c>
      <c r="I132" s="252">
        <f t="shared" si="38"/>
        <v>3.411</v>
      </c>
      <c r="J132" s="252">
        <f t="shared" si="39"/>
        <v>4.4909999999999997</v>
      </c>
      <c r="K132" s="252">
        <f t="shared" si="40"/>
        <v>3.87</v>
      </c>
      <c r="L132" s="253">
        <f t="shared" si="41"/>
        <v>4.3469999999999995</v>
      </c>
      <c r="N132" s="10"/>
      <c r="O132" s="10"/>
      <c r="P132" s="10"/>
      <c r="Q132" s="10"/>
      <c r="R132" s="10"/>
      <c r="S132" s="10"/>
      <c r="T132" s="10"/>
      <c r="U132" s="10"/>
      <c r="V132" s="10"/>
    </row>
    <row r="133" spans="1:22">
      <c r="A133" s="63" t="s">
        <v>1200</v>
      </c>
      <c r="B133" s="64" t="s">
        <v>1201</v>
      </c>
      <c r="C133" s="65" t="s">
        <v>1202</v>
      </c>
      <c r="D133" s="218">
        <v>8</v>
      </c>
      <c r="E133" s="10"/>
      <c r="F133" s="252">
        <f t="shared" si="35"/>
        <v>3.012</v>
      </c>
      <c r="G133" s="252">
        <f t="shared" si="36"/>
        <v>3.012</v>
      </c>
      <c r="H133" s="252">
        <f t="shared" si="37"/>
        <v>3.6160000000000001</v>
      </c>
      <c r="I133" s="252">
        <f t="shared" si="38"/>
        <v>3.032</v>
      </c>
      <c r="J133" s="252">
        <f t="shared" si="39"/>
        <v>3.992</v>
      </c>
      <c r="K133" s="252">
        <f t="shared" si="40"/>
        <v>3.44</v>
      </c>
      <c r="L133" s="253">
        <f t="shared" si="41"/>
        <v>3.8639999999999999</v>
      </c>
      <c r="N133" s="10"/>
      <c r="O133" s="10"/>
      <c r="P133" s="10"/>
      <c r="Q133" s="10"/>
      <c r="R133" s="10"/>
      <c r="S133" s="10"/>
      <c r="T133" s="10"/>
      <c r="U133" s="10"/>
      <c r="V133" s="10"/>
    </row>
    <row r="134" spans="1:22">
      <c r="A134" s="63" t="s">
        <v>1203</v>
      </c>
      <c r="B134" s="64" t="s">
        <v>1204</v>
      </c>
      <c r="C134" s="65" t="s">
        <v>1205</v>
      </c>
      <c r="D134" s="218">
        <v>6</v>
      </c>
      <c r="E134" s="10"/>
      <c r="F134" s="252">
        <f t="shared" si="35"/>
        <v>2.2589999999999999</v>
      </c>
      <c r="G134" s="252">
        <f t="shared" si="36"/>
        <v>2.2589999999999999</v>
      </c>
      <c r="H134" s="252">
        <f t="shared" si="37"/>
        <v>2.7120000000000002</v>
      </c>
      <c r="I134" s="252">
        <f t="shared" si="38"/>
        <v>2.274</v>
      </c>
      <c r="J134" s="252">
        <f t="shared" si="39"/>
        <v>2.9939999999999998</v>
      </c>
      <c r="K134" s="252">
        <f t="shared" si="40"/>
        <v>2.58</v>
      </c>
      <c r="L134" s="253">
        <f t="shared" si="41"/>
        <v>2.8979999999999997</v>
      </c>
      <c r="N134" s="10"/>
      <c r="O134" s="10"/>
      <c r="P134" s="10"/>
      <c r="Q134" s="10"/>
      <c r="R134" s="10"/>
      <c r="S134" s="10"/>
      <c r="T134" s="10"/>
      <c r="U134" s="10"/>
      <c r="V134" s="10"/>
    </row>
    <row r="135" spans="1:22">
      <c r="A135" s="63" t="s">
        <v>1206</v>
      </c>
      <c r="B135" s="64" t="s">
        <v>1207</v>
      </c>
      <c r="C135" s="65" t="s">
        <v>1208</v>
      </c>
      <c r="D135" s="218">
        <v>6</v>
      </c>
      <c r="E135" s="10"/>
      <c r="F135" s="252">
        <f t="shared" si="35"/>
        <v>2.2589999999999999</v>
      </c>
      <c r="G135" s="252">
        <f t="shared" si="36"/>
        <v>2.2589999999999999</v>
      </c>
      <c r="H135" s="252">
        <f t="shared" si="37"/>
        <v>2.7120000000000002</v>
      </c>
      <c r="I135" s="252">
        <f t="shared" si="38"/>
        <v>2.274</v>
      </c>
      <c r="J135" s="252">
        <f t="shared" si="39"/>
        <v>2.9939999999999998</v>
      </c>
      <c r="K135" s="252">
        <f t="shared" si="40"/>
        <v>2.58</v>
      </c>
      <c r="L135" s="253">
        <f t="shared" si="41"/>
        <v>2.8979999999999997</v>
      </c>
      <c r="N135" s="10"/>
      <c r="O135" s="10"/>
      <c r="P135" s="10"/>
      <c r="Q135" s="10"/>
      <c r="R135" s="10"/>
      <c r="S135" s="10"/>
      <c r="T135" s="10"/>
      <c r="U135" s="10"/>
      <c r="V135" s="10"/>
    </row>
    <row r="136" spans="1:22">
      <c r="A136" s="63" t="s">
        <v>1209</v>
      </c>
      <c r="B136" s="64" t="s">
        <v>1210</v>
      </c>
      <c r="C136" s="65" t="s">
        <v>1211</v>
      </c>
      <c r="D136" s="218">
        <v>18</v>
      </c>
      <c r="E136" s="10"/>
      <c r="F136" s="252">
        <f t="shared" si="35"/>
        <v>6.7770000000000001</v>
      </c>
      <c r="G136" s="252">
        <f t="shared" si="36"/>
        <v>6.7770000000000001</v>
      </c>
      <c r="H136" s="252">
        <f t="shared" si="37"/>
        <v>8.136000000000001</v>
      </c>
      <c r="I136" s="252">
        <f t="shared" si="38"/>
        <v>6.8220000000000001</v>
      </c>
      <c r="J136" s="252">
        <f t="shared" si="39"/>
        <v>8.9819999999999993</v>
      </c>
      <c r="K136" s="252">
        <f t="shared" si="40"/>
        <v>7.74</v>
      </c>
      <c r="L136" s="253">
        <f t="shared" si="41"/>
        <v>8.6939999999999991</v>
      </c>
      <c r="N136" s="10"/>
      <c r="O136" s="10"/>
      <c r="P136" s="10"/>
      <c r="Q136" s="10"/>
      <c r="R136" s="10"/>
      <c r="S136" s="10"/>
      <c r="T136" s="10"/>
      <c r="U136" s="10"/>
      <c r="V136" s="10"/>
    </row>
    <row r="137" spans="1:22">
      <c r="A137" s="72" t="s">
        <v>1212</v>
      </c>
      <c r="B137" s="72" t="s">
        <v>1213</v>
      </c>
      <c r="C137" s="70" t="s">
        <v>1214</v>
      </c>
      <c r="D137" s="218">
        <v>36</v>
      </c>
      <c r="E137" s="10"/>
      <c r="F137" s="252">
        <f t="shared" si="35"/>
        <v>13.554</v>
      </c>
      <c r="G137" s="252">
        <f t="shared" si="36"/>
        <v>13.554</v>
      </c>
      <c r="H137" s="252">
        <f t="shared" si="37"/>
        <v>16.272000000000002</v>
      </c>
      <c r="I137" s="252">
        <f t="shared" si="38"/>
        <v>13.644</v>
      </c>
      <c r="J137" s="252">
        <f t="shared" si="39"/>
        <v>17.963999999999999</v>
      </c>
      <c r="K137" s="252">
        <f t="shared" si="40"/>
        <v>15.48</v>
      </c>
      <c r="L137" s="253">
        <f t="shared" si="41"/>
        <v>17.387999999999998</v>
      </c>
      <c r="N137" s="10"/>
      <c r="O137" s="10"/>
      <c r="P137" s="10"/>
      <c r="Q137" s="10"/>
      <c r="R137" s="10"/>
      <c r="S137" s="10"/>
      <c r="T137" s="10"/>
      <c r="U137" s="10"/>
      <c r="V137" s="10"/>
    </row>
    <row r="138" spans="1:22">
      <c r="A138" s="72" t="s">
        <v>1215</v>
      </c>
      <c r="B138" s="72" t="s">
        <v>1216</v>
      </c>
      <c r="C138" s="70" t="s">
        <v>1217</v>
      </c>
      <c r="D138" s="218">
        <v>14</v>
      </c>
      <c r="E138" s="10"/>
      <c r="F138" s="252">
        <f t="shared" si="35"/>
        <v>5.2709999999999999</v>
      </c>
      <c r="G138" s="252">
        <f t="shared" si="36"/>
        <v>5.2709999999999999</v>
      </c>
      <c r="H138" s="252">
        <f t="shared" si="37"/>
        <v>6.3280000000000003</v>
      </c>
      <c r="I138" s="252">
        <f t="shared" si="38"/>
        <v>5.306</v>
      </c>
      <c r="J138" s="252">
        <f t="shared" si="39"/>
        <v>6.9859999999999998</v>
      </c>
      <c r="K138" s="252">
        <f t="shared" si="40"/>
        <v>6.02</v>
      </c>
      <c r="L138" s="253">
        <f t="shared" si="41"/>
        <v>6.7619999999999996</v>
      </c>
      <c r="N138" s="10"/>
      <c r="O138" s="10"/>
      <c r="P138" s="10"/>
      <c r="Q138" s="10"/>
      <c r="R138" s="10"/>
      <c r="S138" s="10"/>
      <c r="T138" s="10"/>
      <c r="U138" s="10"/>
      <c r="V138" s="10"/>
    </row>
    <row r="139" spans="1:22">
      <c r="A139" s="72" t="s">
        <v>1218</v>
      </c>
      <c r="B139" s="72" t="s">
        <v>1219</v>
      </c>
      <c r="C139" s="70" t="s">
        <v>1220</v>
      </c>
      <c r="D139" s="218">
        <v>12</v>
      </c>
      <c r="E139" s="10"/>
      <c r="F139" s="252">
        <f t="shared" si="35"/>
        <v>4.5179999999999998</v>
      </c>
      <c r="G139" s="252">
        <f t="shared" si="36"/>
        <v>4.5179999999999998</v>
      </c>
      <c r="H139" s="252">
        <f t="shared" si="37"/>
        <v>5.4240000000000004</v>
      </c>
      <c r="I139" s="252">
        <f t="shared" si="38"/>
        <v>4.548</v>
      </c>
      <c r="J139" s="252">
        <f t="shared" si="39"/>
        <v>5.9879999999999995</v>
      </c>
      <c r="K139" s="252">
        <f t="shared" si="40"/>
        <v>5.16</v>
      </c>
      <c r="L139" s="253">
        <f t="shared" si="41"/>
        <v>5.7959999999999994</v>
      </c>
      <c r="N139" s="10"/>
      <c r="O139" s="10"/>
      <c r="P139" s="10"/>
      <c r="Q139" s="10"/>
      <c r="R139" s="10"/>
      <c r="S139" s="10"/>
      <c r="T139" s="10"/>
      <c r="U139" s="10"/>
      <c r="V139" s="10"/>
    </row>
    <row r="140" spans="1:22">
      <c r="A140" s="72"/>
      <c r="B140" s="72"/>
      <c r="C140" s="84"/>
      <c r="D140" s="218"/>
      <c r="E140" s="10"/>
      <c r="F140" s="252"/>
      <c r="G140" s="252"/>
      <c r="H140" s="252"/>
      <c r="I140" s="252"/>
      <c r="J140" s="252"/>
      <c r="K140" s="252"/>
      <c r="L140" s="253"/>
      <c r="N140" s="10"/>
      <c r="O140" s="10"/>
      <c r="P140" s="10"/>
      <c r="Q140" s="10"/>
      <c r="R140" s="10"/>
      <c r="S140" s="10"/>
      <c r="T140" s="10"/>
      <c r="U140" s="10"/>
      <c r="V140" s="10"/>
    </row>
    <row r="141" spans="1:22">
      <c r="A141" s="59" t="s">
        <v>1221</v>
      </c>
      <c r="B141" s="60"/>
      <c r="C141" s="62"/>
      <c r="D141" s="217"/>
      <c r="E141" s="10"/>
      <c r="F141" s="254"/>
      <c r="G141" s="254"/>
      <c r="H141" s="254"/>
      <c r="I141" s="254"/>
      <c r="J141" s="254"/>
      <c r="K141" s="254"/>
      <c r="L141" s="255"/>
      <c r="N141" s="10"/>
      <c r="O141" s="10"/>
      <c r="P141" s="10"/>
      <c r="Q141" s="10"/>
      <c r="R141" s="10"/>
      <c r="S141" s="10"/>
      <c r="T141" s="10"/>
      <c r="U141" s="10"/>
      <c r="V141" s="10"/>
    </row>
    <row r="142" spans="1:22">
      <c r="A142" s="109" t="s">
        <v>1222</v>
      </c>
      <c r="B142" s="105" t="s">
        <v>1223</v>
      </c>
      <c r="C142" s="111" t="s">
        <v>1224</v>
      </c>
      <c r="D142" s="219">
        <v>12</v>
      </c>
      <c r="E142" s="10"/>
      <c r="F142" s="256">
        <f t="shared" si="35"/>
        <v>4.5179999999999998</v>
      </c>
      <c r="G142" s="256">
        <f t="shared" si="36"/>
        <v>4.5179999999999998</v>
      </c>
      <c r="H142" s="256">
        <f t="shared" si="37"/>
        <v>5.4240000000000004</v>
      </c>
      <c r="I142" s="256">
        <f t="shared" si="38"/>
        <v>4.548</v>
      </c>
      <c r="J142" s="256">
        <f t="shared" si="39"/>
        <v>5.9879999999999995</v>
      </c>
      <c r="K142" s="256">
        <f t="shared" si="40"/>
        <v>5.16</v>
      </c>
      <c r="L142" s="248">
        <f t="shared" si="41"/>
        <v>5.7959999999999994</v>
      </c>
      <c r="N142" s="10"/>
      <c r="O142" s="10"/>
      <c r="P142" s="10"/>
      <c r="Q142" s="10"/>
      <c r="R142" s="10"/>
      <c r="S142" s="10"/>
      <c r="T142" s="10"/>
      <c r="U142" s="10"/>
      <c r="V142" s="10"/>
    </row>
    <row r="143" spans="1:22">
      <c r="A143" s="109" t="s">
        <v>1225</v>
      </c>
      <c r="B143" s="105" t="s">
        <v>1226</v>
      </c>
      <c r="C143" s="111" t="s">
        <v>1227</v>
      </c>
      <c r="D143" s="219">
        <v>9</v>
      </c>
      <c r="E143" s="10"/>
      <c r="F143" s="256">
        <f t="shared" si="35"/>
        <v>3.3885000000000001</v>
      </c>
      <c r="G143" s="256">
        <f t="shared" si="36"/>
        <v>3.3885000000000001</v>
      </c>
      <c r="H143" s="256">
        <f t="shared" si="37"/>
        <v>4.0680000000000005</v>
      </c>
      <c r="I143" s="256">
        <f t="shared" si="38"/>
        <v>3.411</v>
      </c>
      <c r="J143" s="256">
        <f t="shared" si="39"/>
        <v>4.4909999999999997</v>
      </c>
      <c r="K143" s="256">
        <f t="shared" si="40"/>
        <v>3.87</v>
      </c>
      <c r="L143" s="248">
        <f t="shared" si="41"/>
        <v>4.3469999999999995</v>
      </c>
      <c r="N143" s="10"/>
      <c r="O143" s="10"/>
      <c r="P143" s="10"/>
      <c r="Q143" s="10"/>
      <c r="R143" s="10"/>
      <c r="S143" s="10"/>
      <c r="T143" s="10"/>
      <c r="U143" s="10"/>
      <c r="V143" s="10"/>
    </row>
    <row r="144" spans="1:22">
      <c r="A144" s="63"/>
      <c r="B144" s="64"/>
      <c r="C144" s="66"/>
      <c r="D144" s="218"/>
      <c r="E144" s="10"/>
      <c r="F144" s="252"/>
      <c r="G144" s="252"/>
      <c r="H144" s="252"/>
      <c r="I144" s="252"/>
      <c r="J144" s="252"/>
      <c r="K144" s="252"/>
      <c r="L144" s="253"/>
      <c r="N144" s="10"/>
      <c r="O144" s="10"/>
      <c r="P144" s="10"/>
      <c r="Q144" s="10"/>
      <c r="R144" s="10"/>
      <c r="S144" s="10"/>
      <c r="T144" s="10"/>
      <c r="U144" s="10"/>
      <c r="V144" s="10"/>
    </row>
    <row r="145" spans="1:22">
      <c r="A145" s="59" t="s">
        <v>1228</v>
      </c>
      <c r="B145" s="60"/>
      <c r="C145" s="62"/>
      <c r="D145" s="217"/>
      <c r="E145" s="10"/>
      <c r="F145" s="254"/>
      <c r="G145" s="254"/>
      <c r="H145" s="254"/>
      <c r="I145" s="254"/>
      <c r="J145" s="254"/>
      <c r="K145" s="254"/>
      <c r="L145" s="255"/>
      <c r="N145" s="10"/>
      <c r="O145" s="10"/>
      <c r="P145" s="10"/>
      <c r="Q145" s="10"/>
      <c r="R145" s="10"/>
      <c r="S145" s="10"/>
      <c r="T145" s="10"/>
      <c r="U145" s="10"/>
      <c r="V145" s="10"/>
    </row>
    <row r="146" spans="1:22">
      <c r="A146" s="63" t="s">
        <v>1229</v>
      </c>
      <c r="B146" s="64" t="s">
        <v>1230</v>
      </c>
      <c r="C146" s="111" t="s">
        <v>1231</v>
      </c>
      <c r="D146" s="218">
        <v>16</v>
      </c>
      <c r="E146" s="10"/>
      <c r="F146" s="252">
        <f t="shared" ref="F146:F205" si="49">D146*$F$11</f>
        <v>6.024</v>
      </c>
      <c r="G146" s="252">
        <f t="shared" ref="G146:G205" si="50">D146*$G$11</f>
        <v>6.024</v>
      </c>
      <c r="H146" s="252">
        <f t="shared" ref="H146:H205" si="51">D146*$H$11</f>
        <v>7.2320000000000002</v>
      </c>
      <c r="I146" s="252">
        <f t="shared" ref="I146:I205" si="52">D146*$I$11</f>
        <v>6.0640000000000001</v>
      </c>
      <c r="J146" s="252">
        <f t="shared" ref="J146:J205" si="53">D146*$J$11</f>
        <v>7.984</v>
      </c>
      <c r="K146" s="252">
        <f t="shared" ref="K146:K205" si="54">D146*$K$11</f>
        <v>6.88</v>
      </c>
      <c r="L146" s="253">
        <f t="shared" ref="L146:L205" si="55">D146*$L$11</f>
        <v>7.7279999999999998</v>
      </c>
      <c r="N146" s="10"/>
      <c r="O146" s="10"/>
      <c r="P146" s="10"/>
      <c r="Q146" s="10"/>
      <c r="R146" s="10"/>
      <c r="S146" s="10"/>
      <c r="T146" s="10"/>
      <c r="U146" s="10"/>
      <c r="V146" s="10"/>
    </row>
    <row r="147" spans="1:22">
      <c r="A147" s="63" t="s">
        <v>1232</v>
      </c>
      <c r="B147" s="64" t="s">
        <v>1233</v>
      </c>
      <c r="C147" s="118" t="s">
        <v>1234</v>
      </c>
      <c r="D147" s="218">
        <v>24</v>
      </c>
      <c r="E147" s="10"/>
      <c r="F147" s="252">
        <f t="shared" si="49"/>
        <v>9.0359999999999996</v>
      </c>
      <c r="G147" s="252">
        <f t="shared" si="50"/>
        <v>9.0359999999999996</v>
      </c>
      <c r="H147" s="252">
        <f t="shared" si="51"/>
        <v>10.848000000000001</v>
      </c>
      <c r="I147" s="252">
        <f t="shared" si="52"/>
        <v>9.0960000000000001</v>
      </c>
      <c r="J147" s="252">
        <f t="shared" si="53"/>
        <v>11.975999999999999</v>
      </c>
      <c r="K147" s="252">
        <f t="shared" si="54"/>
        <v>10.32</v>
      </c>
      <c r="L147" s="253">
        <f t="shared" si="55"/>
        <v>11.591999999999999</v>
      </c>
      <c r="N147" s="10"/>
      <c r="O147" s="10"/>
      <c r="P147" s="10"/>
      <c r="Q147" s="10"/>
      <c r="R147" s="10"/>
      <c r="S147" s="10"/>
      <c r="T147" s="10"/>
      <c r="U147" s="10"/>
      <c r="V147" s="10"/>
    </row>
    <row r="148" spans="1:22">
      <c r="A148" s="63" t="s">
        <v>1235</v>
      </c>
      <c r="B148" s="64" t="s">
        <v>1236</v>
      </c>
      <c r="C148" s="118" t="s">
        <v>1237</v>
      </c>
      <c r="D148" s="218">
        <v>12</v>
      </c>
      <c r="E148" s="10"/>
      <c r="F148" s="252">
        <f t="shared" si="49"/>
        <v>4.5179999999999998</v>
      </c>
      <c r="G148" s="252">
        <f t="shared" si="50"/>
        <v>4.5179999999999998</v>
      </c>
      <c r="H148" s="252">
        <f t="shared" si="51"/>
        <v>5.4240000000000004</v>
      </c>
      <c r="I148" s="252">
        <f t="shared" si="52"/>
        <v>4.548</v>
      </c>
      <c r="J148" s="252">
        <f t="shared" si="53"/>
        <v>5.9879999999999995</v>
      </c>
      <c r="K148" s="252">
        <f t="shared" si="54"/>
        <v>5.16</v>
      </c>
      <c r="L148" s="253">
        <f t="shared" si="55"/>
        <v>5.7959999999999994</v>
      </c>
      <c r="N148" s="10"/>
      <c r="O148" s="10"/>
      <c r="P148" s="10"/>
      <c r="Q148" s="10"/>
      <c r="R148" s="10"/>
      <c r="S148" s="10"/>
      <c r="T148" s="10"/>
      <c r="U148" s="10"/>
      <c r="V148" s="10"/>
    </row>
    <row r="149" spans="1:22">
      <c r="A149" s="63" t="s">
        <v>1238</v>
      </c>
      <c r="B149" s="64" t="s">
        <v>1239</v>
      </c>
      <c r="C149" s="118" t="s">
        <v>1240</v>
      </c>
      <c r="D149" s="218">
        <v>26</v>
      </c>
      <c r="E149" s="10"/>
      <c r="F149" s="252">
        <f t="shared" si="49"/>
        <v>9.7889999999999997</v>
      </c>
      <c r="G149" s="252">
        <f t="shared" si="50"/>
        <v>9.7889999999999997</v>
      </c>
      <c r="H149" s="252">
        <f t="shared" si="51"/>
        <v>11.752000000000001</v>
      </c>
      <c r="I149" s="252">
        <f t="shared" si="52"/>
        <v>9.8539999999999992</v>
      </c>
      <c r="J149" s="252">
        <f t="shared" si="53"/>
        <v>12.974</v>
      </c>
      <c r="K149" s="252">
        <f t="shared" si="54"/>
        <v>11.18</v>
      </c>
      <c r="L149" s="253">
        <f t="shared" si="55"/>
        <v>12.558</v>
      </c>
      <c r="N149" s="10"/>
      <c r="O149" s="10"/>
      <c r="P149" s="10"/>
      <c r="Q149" s="10"/>
      <c r="R149" s="10"/>
      <c r="S149" s="10"/>
      <c r="T149" s="10"/>
      <c r="U149" s="10"/>
      <c r="V149" s="10"/>
    </row>
    <row r="150" spans="1:22">
      <c r="A150" s="63" t="s">
        <v>1241</v>
      </c>
      <c r="B150" s="64" t="s">
        <v>1233</v>
      </c>
      <c r="C150" s="118" t="s">
        <v>1242</v>
      </c>
      <c r="D150" s="218">
        <v>12</v>
      </c>
      <c r="E150" s="10"/>
      <c r="F150" s="252">
        <f t="shared" si="49"/>
        <v>4.5179999999999998</v>
      </c>
      <c r="G150" s="252">
        <f t="shared" si="50"/>
        <v>4.5179999999999998</v>
      </c>
      <c r="H150" s="252">
        <f t="shared" si="51"/>
        <v>5.4240000000000004</v>
      </c>
      <c r="I150" s="252">
        <f t="shared" si="52"/>
        <v>4.548</v>
      </c>
      <c r="J150" s="252">
        <f t="shared" si="53"/>
        <v>5.9879999999999995</v>
      </c>
      <c r="K150" s="252">
        <f t="shared" si="54"/>
        <v>5.16</v>
      </c>
      <c r="L150" s="253">
        <f t="shared" si="55"/>
        <v>5.7959999999999994</v>
      </c>
      <c r="N150" s="10"/>
      <c r="O150" s="10"/>
      <c r="P150" s="10"/>
      <c r="Q150" s="10"/>
      <c r="R150" s="10"/>
      <c r="S150" s="10"/>
      <c r="T150" s="10"/>
      <c r="U150" s="10"/>
      <c r="V150" s="10"/>
    </row>
    <row r="151" spans="1:22">
      <c r="A151" s="63"/>
      <c r="B151" s="64"/>
      <c r="C151" s="74"/>
      <c r="D151" s="218"/>
      <c r="E151" s="10"/>
      <c r="F151" s="252"/>
      <c r="G151" s="252"/>
      <c r="H151" s="252"/>
      <c r="I151" s="252"/>
      <c r="J151" s="252"/>
      <c r="K151" s="252"/>
      <c r="L151" s="253"/>
      <c r="N151" s="10"/>
      <c r="O151" s="10"/>
      <c r="P151" s="10"/>
      <c r="Q151" s="10"/>
      <c r="R151" s="10"/>
      <c r="S151" s="10"/>
      <c r="T151" s="10"/>
      <c r="U151" s="10"/>
      <c r="V151" s="10"/>
    </row>
    <row r="152" spans="1:22">
      <c r="A152" s="59" t="s">
        <v>1243</v>
      </c>
      <c r="B152" s="60"/>
      <c r="C152" s="62"/>
      <c r="D152" s="217"/>
      <c r="E152" s="10"/>
      <c r="F152" s="254"/>
      <c r="G152" s="254"/>
      <c r="H152" s="254"/>
      <c r="I152" s="254"/>
      <c r="J152" s="254"/>
      <c r="K152" s="254"/>
      <c r="L152" s="255"/>
      <c r="N152" s="10"/>
      <c r="O152" s="10"/>
      <c r="P152" s="10"/>
      <c r="Q152" s="10"/>
      <c r="R152" s="10"/>
      <c r="S152" s="10"/>
      <c r="T152" s="10"/>
      <c r="U152" s="10"/>
      <c r="V152" s="10"/>
    </row>
    <row r="153" spans="1:22">
      <c r="A153" s="63" t="s">
        <v>1244</v>
      </c>
      <c r="B153" s="64" t="s">
        <v>1245</v>
      </c>
      <c r="C153" s="118" t="s">
        <v>1246</v>
      </c>
      <c r="D153" s="218">
        <v>8</v>
      </c>
      <c r="E153" s="10"/>
      <c r="F153" s="252">
        <f t="shared" si="49"/>
        <v>3.012</v>
      </c>
      <c r="G153" s="252">
        <f t="shared" si="50"/>
        <v>3.012</v>
      </c>
      <c r="H153" s="252">
        <f t="shared" si="51"/>
        <v>3.6160000000000001</v>
      </c>
      <c r="I153" s="252">
        <f t="shared" si="52"/>
        <v>3.032</v>
      </c>
      <c r="J153" s="252">
        <f t="shared" si="53"/>
        <v>3.992</v>
      </c>
      <c r="K153" s="252">
        <f t="shared" si="54"/>
        <v>3.44</v>
      </c>
      <c r="L153" s="253">
        <f t="shared" si="55"/>
        <v>3.8639999999999999</v>
      </c>
      <c r="N153" s="10"/>
      <c r="O153" s="10"/>
      <c r="P153" s="10"/>
      <c r="Q153" s="10"/>
      <c r="R153" s="10"/>
      <c r="S153" s="10"/>
      <c r="T153" s="10"/>
      <c r="U153" s="10"/>
      <c r="V153" s="10"/>
    </row>
    <row r="154" spans="1:22">
      <c r="A154" s="63" t="s">
        <v>1247</v>
      </c>
      <c r="B154" s="64" t="s">
        <v>1248</v>
      </c>
      <c r="C154" s="118" t="s">
        <v>1249</v>
      </c>
      <c r="D154" s="218">
        <v>167</v>
      </c>
      <c r="E154" s="10"/>
      <c r="F154" s="252">
        <f t="shared" si="49"/>
        <v>62.875500000000002</v>
      </c>
      <c r="G154" s="252">
        <f t="shared" si="50"/>
        <v>62.875500000000002</v>
      </c>
      <c r="H154" s="252">
        <f t="shared" si="51"/>
        <v>75.484000000000009</v>
      </c>
      <c r="I154" s="252">
        <f t="shared" si="52"/>
        <v>63.292999999999999</v>
      </c>
      <c r="J154" s="252">
        <f t="shared" si="53"/>
        <v>83.332999999999998</v>
      </c>
      <c r="K154" s="252">
        <f t="shared" si="54"/>
        <v>71.81</v>
      </c>
      <c r="L154" s="253">
        <f t="shared" si="55"/>
        <v>80.661000000000001</v>
      </c>
      <c r="N154" s="10"/>
      <c r="O154" s="10"/>
      <c r="P154" s="10"/>
      <c r="Q154" s="10"/>
      <c r="R154" s="10"/>
      <c r="S154" s="10"/>
      <c r="T154" s="10"/>
      <c r="U154" s="10"/>
      <c r="V154" s="10"/>
    </row>
    <row r="155" spans="1:22">
      <c r="A155" s="63" t="s">
        <v>1250</v>
      </c>
      <c r="B155" s="64" t="s">
        <v>1251</v>
      </c>
      <c r="C155" s="118" t="s">
        <v>1252</v>
      </c>
      <c r="D155" s="218">
        <v>9</v>
      </c>
      <c r="E155" s="10"/>
      <c r="F155" s="252">
        <f t="shared" si="49"/>
        <v>3.3885000000000001</v>
      </c>
      <c r="G155" s="252">
        <f t="shared" si="50"/>
        <v>3.3885000000000001</v>
      </c>
      <c r="H155" s="252">
        <f t="shared" si="51"/>
        <v>4.0680000000000005</v>
      </c>
      <c r="I155" s="252">
        <f t="shared" si="52"/>
        <v>3.411</v>
      </c>
      <c r="J155" s="252">
        <f t="shared" si="53"/>
        <v>4.4909999999999997</v>
      </c>
      <c r="K155" s="252">
        <f t="shared" si="54"/>
        <v>3.87</v>
      </c>
      <c r="L155" s="253">
        <f t="shared" si="55"/>
        <v>4.3469999999999995</v>
      </c>
      <c r="N155" s="10"/>
      <c r="O155" s="10"/>
      <c r="P155" s="10"/>
      <c r="Q155" s="10"/>
      <c r="R155" s="10"/>
      <c r="S155" s="10"/>
      <c r="T155" s="10"/>
      <c r="U155" s="10"/>
      <c r="V155" s="10"/>
    </row>
    <row r="156" spans="1:22">
      <c r="A156" s="63" t="s">
        <v>1253</v>
      </c>
      <c r="B156" s="64" t="s">
        <v>1251</v>
      </c>
      <c r="C156" s="118" t="s">
        <v>1254</v>
      </c>
      <c r="D156" s="218">
        <v>147</v>
      </c>
      <c r="E156" s="10"/>
      <c r="F156" s="252">
        <f t="shared" si="49"/>
        <v>55.345500000000001</v>
      </c>
      <c r="G156" s="252">
        <f t="shared" si="50"/>
        <v>55.345500000000001</v>
      </c>
      <c r="H156" s="252">
        <f t="shared" si="51"/>
        <v>66.444000000000003</v>
      </c>
      <c r="I156" s="252">
        <f t="shared" si="52"/>
        <v>55.713000000000001</v>
      </c>
      <c r="J156" s="252">
        <f t="shared" si="53"/>
        <v>73.352999999999994</v>
      </c>
      <c r="K156" s="252">
        <f t="shared" si="54"/>
        <v>63.21</v>
      </c>
      <c r="L156" s="253">
        <f t="shared" si="55"/>
        <v>71.001000000000005</v>
      </c>
      <c r="N156" s="10"/>
      <c r="O156" s="10"/>
      <c r="P156" s="10"/>
      <c r="Q156" s="10"/>
      <c r="R156" s="10"/>
      <c r="S156" s="10"/>
      <c r="T156" s="10"/>
      <c r="U156" s="10"/>
      <c r="V156" s="10"/>
    </row>
    <row r="157" spans="1:22">
      <c r="A157" s="109" t="s">
        <v>1255</v>
      </c>
      <c r="B157" s="105" t="s">
        <v>1256</v>
      </c>
      <c r="C157" s="118" t="s">
        <v>1257</v>
      </c>
      <c r="D157" s="219">
        <v>34</v>
      </c>
      <c r="E157" s="10"/>
      <c r="F157" s="256">
        <f t="shared" si="49"/>
        <v>12.801</v>
      </c>
      <c r="G157" s="256">
        <f t="shared" si="50"/>
        <v>12.801</v>
      </c>
      <c r="H157" s="256">
        <f t="shared" si="51"/>
        <v>15.368</v>
      </c>
      <c r="I157" s="256">
        <f t="shared" si="52"/>
        <v>12.885999999999999</v>
      </c>
      <c r="J157" s="256">
        <f t="shared" si="53"/>
        <v>16.966000000000001</v>
      </c>
      <c r="K157" s="256">
        <f t="shared" si="54"/>
        <v>14.62</v>
      </c>
      <c r="L157" s="248">
        <f t="shared" si="55"/>
        <v>16.422000000000001</v>
      </c>
      <c r="N157" s="10"/>
      <c r="O157" s="10"/>
      <c r="P157" s="10"/>
      <c r="Q157" s="10"/>
      <c r="R157" s="10"/>
      <c r="S157" s="10"/>
      <c r="T157" s="10"/>
      <c r="U157" s="10"/>
      <c r="V157" s="10"/>
    </row>
    <row r="158" spans="1:22">
      <c r="A158" s="63" t="s">
        <v>1258</v>
      </c>
      <c r="B158" s="64" t="s">
        <v>1259</v>
      </c>
      <c r="C158" s="118" t="s">
        <v>1260</v>
      </c>
      <c r="D158" s="218">
        <v>12</v>
      </c>
      <c r="E158" s="10"/>
      <c r="F158" s="252">
        <f t="shared" si="49"/>
        <v>4.5179999999999998</v>
      </c>
      <c r="G158" s="252">
        <f t="shared" si="50"/>
        <v>4.5179999999999998</v>
      </c>
      <c r="H158" s="252">
        <f t="shared" si="51"/>
        <v>5.4240000000000004</v>
      </c>
      <c r="I158" s="252">
        <f t="shared" si="52"/>
        <v>4.548</v>
      </c>
      <c r="J158" s="252">
        <f t="shared" si="53"/>
        <v>5.9879999999999995</v>
      </c>
      <c r="K158" s="252">
        <f t="shared" si="54"/>
        <v>5.16</v>
      </c>
      <c r="L158" s="253">
        <f t="shared" si="55"/>
        <v>5.7959999999999994</v>
      </c>
      <c r="N158" s="10"/>
      <c r="O158" s="10"/>
      <c r="P158" s="10"/>
      <c r="Q158" s="10"/>
      <c r="R158" s="10"/>
      <c r="S158" s="10"/>
      <c r="T158" s="10"/>
      <c r="U158" s="10"/>
      <c r="V158" s="10"/>
    </row>
    <row r="159" spans="1:22">
      <c r="A159" s="63" t="s">
        <v>1261</v>
      </c>
      <c r="B159" s="64" t="s">
        <v>1262</v>
      </c>
      <c r="C159" s="118" t="s">
        <v>1263</v>
      </c>
      <c r="D159" s="218">
        <v>15</v>
      </c>
      <c r="E159" s="10"/>
      <c r="F159" s="252">
        <f t="shared" si="49"/>
        <v>5.6475</v>
      </c>
      <c r="G159" s="252">
        <f t="shared" si="50"/>
        <v>5.6475</v>
      </c>
      <c r="H159" s="252">
        <f t="shared" si="51"/>
        <v>6.78</v>
      </c>
      <c r="I159" s="252">
        <f t="shared" si="52"/>
        <v>5.6850000000000005</v>
      </c>
      <c r="J159" s="252">
        <f t="shared" si="53"/>
        <v>7.4850000000000003</v>
      </c>
      <c r="K159" s="252">
        <f t="shared" si="54"/>
        <v>6.45</v>
      </c>
      <c r="L159" s="253">
        <f t="shared" si="55"/>
        <v>7.2450000000000001</v>
      </c>
      <c r="N159" s="10"/>
      <c r="O159" s="10"/>
      <c r="P159" s="10"/>
      <c r="Q159" s="10"/>
      <c r="R159" s="10"/>
      <c r="S159" s="10"/>
      <c r="T159" s="10"/>
      <c r="U159" s="10"/>
      <c r="V159" s="10"/>
    </row>
    <row r="160" spans="1:22">
      <c r="A160" s="63" t="s">
        <v>1264</v>
      </c>
      <c r="B160" s="64" t="s">
        <v>1265</v>
      </c>
      <c r="C160" s="118" t="s">
        <v>1266</v>
      </c>
      <c r="D160" s="218">
        <v>6</v>
      </c>
      <c r="E160" s="10"/>
      <c r="F160" s="252">
        <f t="shared" si="49"/>
        <v>2.2589999999999999</v>
      </c>
      <c r="G160" s="252">
        <f t="shared" si="50"/>
        <v>2.2589999999999999</v>
      </c>
      <c r="H160" s="252">
        <f t="shared" si="51"/>
        <v>2.7120000000000002</v>
      </c>
      <c r="I160" s="252">
        <f t="shared" si="52"/>
        <v>2.274</v>
      </c>
      <c r="J160" s="252">
        <f t="shared" si="53"/>
        <v>2.9939999999999998</v>
      </c>
      <c r="K160" s="252">
        <f t="shared" si="54"/>
        <v>2.58</v>
      </c>
      <c r="L160" s="253">
        <f t="shared" si="55"/>
        <v>2.8979999999999997</v>
      </c>
      <c r="N160" s="47"/>
      <c r="O160" s="47"/>
      <c r="P160" s="51"/>
      <c r="Q160" s="51"/>
      <c r="R160" s="47"/>
      <c r="S160" s="47"/>
      <c r="T160" s="48"/>
    </row>
    <row r="161" spans="1:22">
      <c r="A161" s="63" t="s">
        <v>1267</v>
      </c>
      <c r="B161" s="64" t="s">
        <v>1268</v>
      </c>
      <c r="C161" s="118" t="s">
        <v>1269</v>
      </c>
      <c r="D161" s="218">
        <v>9</v>
      </c>
      <c r="E161" s="10"/>
      <c r="F161" s="252">
        <f t="shared" si="49"/>
        <v>3.3885000000000001</v>
      </c>
      <c r="G161" s="252">
        <f t="shared" si="50"/>
        <v>3.3885000000000001</v>
      </c>
      <c r="H161" s="252">
        <f t="shared" si="51"/>
        <v>4.0680000000000005</v>
      </c>
      <c r="I161" s="252">
        <f t="shared" si="52"/>
        <v>3.411</v>
      </c>
      <c r="J161" s="252">
        <f t="shared" si="53"/>
        <v>4.4909999999999997</v>
      </c>
      <c r="K161" s="252">
        <f t="shared" si="54"/>
        <v>3.87</v>
      </c>
      <c r="L161" s="253">
        <f t="shared" si="55"/>
        <v>4.3469999999999995</v>
      </c>
      <c r="N161" s="49"/>
      <c r="O161" s="49"/>
      <c r="P161" s="52"/>
      <c r="Q161" s="52"/>
      <c r="R161" s="49"/>
      <c r="S161" s="49"/>
      <c r="T161" s="50"/>
    </row>
    <row r="162" spans="1:22">
      <c r="A162" s="63" t="s">
        <v>1270</v>
      </c>
      <c r="B162" s="64" t="s">
        <v>1271</v>
      </c>
      <c r="C162" s="215" t="s">
        <v>1272</v>
      </c>
      <c r="D162" s="218">
        <v>13</v>
      </c>
      <c r="E162" s="10"/>
      <c r="F162" s="252">
        <f t="shared" si="49"/>
        <v>4.8944999999999999</v>
      </c>
      <c r="G162" s="252">
        <f t="shared" si="50"/>
        <v>4.8944999999999999</v>
      </c>
      <c r="H162" s="252">
        <f t="shared" si="51"/>
        <v>5.8760000000000003</v>
      </c>
      <c r="I162" s="252">
        <f t="shared" si="52"/>
        <v>4.9269999999999996</v>
      </c>
      <c r="J162" s="252">
        <f t="shared" si="53"/>
        <v>6.4870000000000001</v>
      </c>
      <c r="K162" s="252">
        <f t="shared" si="54"/>
        <v>5.59</v>
      </c>
      <c r="L162" s="253">
        <f t="shared" si="55"/>
        <v>6.2789999999999999</v>
      </c>
      <c r="N162" s="10"/>
      <c r="O162" s="10"/>
      <c r="P162" s="10"/>
      <c r="Q162" s="10"/>
      <c r="R162" s="10"/>
      <c r="S162" s="10"/>
      <c r="T162" s="10"/>
    </row>
    <row r="163" spans="1:22">
      <c r="A163" s="63" t="s">
        <v>1273</v>
      </c>
      <c r="B163" s="64" t="s">
        <v>1274</v>
      </c>
      <c r="C163" s="118" t="s">
        <v>1275</v>
      </c>
      <c r="D163" s="218">
        <v>29</v>
      </c>
      <c r="E163" s="10"/>
      <c r="F163" s="252">
        <f t="shared" si="49"/>
        <v>10.9185</v>
      </c>
      <c r="G163" s="252">
        <f t="shared" si="50"/>
        <v>10.9185</v>
      </c>
      <c r="H163" s="252">
        <f t="shared" si="51"/>
        <v>13.108000000000001</v>
      </c>
      <c r="I163" s="252">
        <f t="shared" si="52"/>
        <v>10.991</v>
      </c>
      <c r="J163" s="252">
        <f t="shared" si="53"/>
        <v>14.471</v>
      </c>
      <c r="K163" s="252">
        <f t="shared" si="54"/>
        <v>12.47</v>
      </c>
      <c r="L163" s="253">
        <f t="shared" si="55"/>
        <v>14.007</v>
      </c>
      <c r="N163" s="10"/>
      <c r="O163" s="10"/>
      <c r="P163" s="10"/>
      <c r="Q163" s="10"/>
      <c r="R163" s="10"/>
      <c r="S163" s="10"/>
      <c r="T163" s="10"/>
    </row>
    <row r="164" spans="1:22">
      <c r="A164" s="109" t="s">
        <v>1276</v>
      </c>
      <c r="B164" s="105" t="s">
        <v>1277</v>
      </c>
      <c r="C164" s="118" t="s">
        <v>1278</v>
      </c>
      <c r="D164" s="219">
        <v>36</v>
      </c>
      <c r="E164" s="10"/>
      <c r="F164" s="256">
        <f t="shared" si="49"/>
        <v>13.554</v>
      </c>
      <c r="G164" s="256">
        <f t="shared" si="50"/>
        <v>13.554</v>
      </c>
      <c r="H164" s="256">
        <f t="shared" si="51"/>
        <v>16.272000000000002</v>
      </c>
      <c r="I164" s="256">
        <f t="shared" si="52"/>
        <v>13.644</v>
      </c>
      <c r="J164" s="256">
        <f t="shared" si="53"/>
        <v>17.963999999999999</v>
      </c>
      <c r="K164" s="256">
        <f t="shared" si="54"/>
        <v>15.48</v>
      </c>
      <c r="L164" s="248">
        <f t="shared" si="55"/>
        <v>17.387999999999998</v>
      </c>
      <c r="N164" s="10"/>
      <c r="O164" s="10"/>
      <c r="P164" s="10"/>
      <c r="Q164" s="10"/>
      <c r="R164" s="10"/>
      <c r="S164" s="10"/>
      <c r="T164" s="10"/>
    </row>
    <row r="165" spans="1:22">
      <c r="A165" s="63" t="s">
        <v>1279</v>
      </c>
      <c r="B165" s="64" t="s">
        <v>1280</v>
      </c>
      <c r="C165" s="118" t="s">
        <v>1281</v>
      </c>
      <c r="D165" s="218">
        <v>186</v>
      </c>
      <c r="E165" s="10"/>
      <c r="F165" s="252">
        <f t="shared" si="49"/>
        <v>70.028999999999996</v>
      </c>
      <c r="G165" s="252">
        <f t="shared" si="50"/>
        <v>70.028999999999996</v>
      </c>
      <c r="H165" s="252">
        <f t="shared" si="51"/>
        <v>84.072000000000003</v>
      </c>
      <c r="I165" s="252">
        <f t="shared" si="52"/>
        <v>70.494</v>
      </c>
      <c r="J165" s="252">
        <f t="shared" si="53"/>
        <v>92.813999999999993</v>
      </c>
      <c r="K165" s="252">
        <f t="shared" si="54"/>
        <v>79.98</v>
      </c>
      <c r="L165" s="253">
        <f t="shared" si="55"/>
        <v>89.837999999999994</v>
      </c>
      <c r="N165" s="10"/>
      <c r="O165" s="10"/>
      <c r="P165" s="10"/>
      <c r="Q165" s="10"/>
      <c r="R165" s="10"/>
      <c r="S165" s="10"/>
      <c r="T165" s="10"/>
    </row>
    <row r="166" spans="1:22">
      <c r="A166" s="63" t="s">
        <v>1282</v>
      </c>
      <c r="B166" s="64" t="s">
        <v>1283</v>
      </c>
      <c r="C166" s="118" t="s">
        <v>1284</v>
      </c>
      <c r="D166" s="218">
        <v>138</v>
      </c>
      <c r="E166" s="10"/>
      <c r="F166" s="252">
        <f t="shared" si="49"/>
        <v>51.957000000000001</v>
      </c>
      <c r="G166" s="252">
        <f t="shared" si="50"/>
        <v>51.957000000000001</v>
      </c>
      <c r="H166" s="252">
        <f t="shared" si="51"/>
        <v>62.376000000000005</v>
      </c>
      <c r="I166" s="252">
        <f t="shared" si="52"/>
        <v>52.302</v>
      </c>
      <c r="J166" s="252">
        <f t="shared" si="53"/>
        <v>68.861999999999995</v>
      </c>
      <c r="K166" s="252">
        <f t="shared" si="54"/>
        <v>59.339999999999996</v>
      </c>
      <c r="L166" s="253">
        <f t="shared" si="55"/>
        <v>66.653999999999996</v>
      </c>
      <c r="N166" s="10"/>
      <c r="O166" s="10"/>
      <c r="P166" s="10"/>
      <c r="Q166" s="10"/>
      <c r="R166" s="10"/>
      <c r="S166" s="10"/>
      <c r="T166" s="10"/>
      <c r="U166" s="10"/>
      <c r="V166" s="10"/>
    </row>
    <row r="167" spans="1:22">
      <c r="A167" s="63" t="s">
        <v>1285</v>
      </c>
      <c r="B167" s="63" t="s">
        <v>1286</v>
      </c>
      <c r="C167" s="118" t="s">
        <v>1287</v>
      </c>
      <c r="D167" s="218">
        <v>6</v>
      </c>
      <c r="E167" s="10"/>
      <c r="F167" s="252">
        <f t="shared" si="49"/>
        <v>2.2589999999999999</v>
      </c>
      <c r="G167" s="252">
        <f t="shared" si="50"/>
        <v>2.2589999999999999</v>
      </c>
      <c r="H167" s="252">
        <f t="shared" si="51"/>
        <v>2.7120000000000002</v>
      </c>
      <c r="I167" s="252">
        <f t="shared" si="52"/>
        <v>2.274</v>
      </c>
      <c r="J167" s="252">
        <f t="shared" si="53"/>
        <v>2.9939999999999998</v>
      </c>
      <c r="K167" s="252">
        <f t="shared" si="54"/>
        <v>2.58</v>
      </c>
      <c r="L167" s="253">
        <f t="shared" si="55"/>
        <v>2.8979999999999997</v>
      </c>
      <c r="N167" s="10"/>
      <c r="O167" s="10"/>
      <c r="P167" s="10"/>
      <c r="Q167" s="10"/>
      <c r="R167" s="10"/>
      <c r="S167" s="10"/>
      <c r="T167" s="10"/>
      <c r="U167" s="10"/>
      <c r="V167" s="10"/>
    </row>
    <row r="168" spans="1:22">
      <c r="A168" s="63" t="s">
        <v>1288</v>
      </c>
      <c r="B168" s="63" t="s">
        <v>1289</v>
      </c>
      <c r="C168" s="118" t="s">
        <v>1290</v>
      </c>
      <c r="D168" s="218">
        <v>6</v>
      </c>
      <c r="E168" s="10"/>
      <c r="F168" s="252">
        <f t="shared" si="49"/>
        <v>2.2589999999999999</v>
      </c>
      <c r="G168" s="252">
        <f t="shared" si="50"/>
        <v>2.2589999999999999</v>
      </c>
      <c r="H168" s="252">
        <f t="shared" si="51"/>
        <v>2.7120000000000002</v>
      </c>
      <c r="I168" s="252">
        <f t="shared" si="52"/>
        <v>2.274</v>
      </c>
      <c r="J168" s="252">
        <f t="shared" si="53"/>
        <v>2.9939999999999998</v>
      </c>
      <c r="K168" s="252">
        <f t="shared" si="54"/>
        <v>2.58</v>
      </c>
      <c r="L168" s="253">
        <f t="shared" si="55"/>
        <v>2.8979999999999997</v>
      </c>
      <c r="N168" s="10"/>
      <c r="O168" s="10"/>
      <c r="P168" s="10"/>
      <c r="Q168" s="10"/>
      <c r="R168" s="10"/>
      <c r="S168" s="10"/>
      <c r="T168" s="10"/>
      <c r="U168" s="10"/>
      <c r="V168" s="10"/>
    </row>
    <row r="169" spans="1:22">
      <c r="A169" s="63" t="s">
        <v>1291</v>
      </c>
      <c r="B169" s="63" t="s">
        <v>1292</v>
      </c>
      <c r="C169" s="118" t="s">
        <v>1293</v>
      </c>
      <c r="D169" s="218">
        <v>8</v>
      </c>
      <c r="E169" s="10"/>
      <c r="F169" s="252">
        <f t="shared" si="49"/>
        <v>3.012</v>
      </c>
      <c r="G169" s="252">
        <f t="shared" si="50"/>
        <v>3.012</v>
      </c>
      <c r="H169" s="252">
        <f t="shared" si="51"/>
        <v>3.6160000000000001</v>
      </c>
      <c r="I169" s="252">
        <f t="shared" si="52"/>
        <v>3.032</v>
      </c>
      <c r="J169" s="252">
        <f t="shared" si="53"/>
        <v>3.992</v>
      </c>
      <c r="K169" s="252">
        <f t="shared" si="54"/>
        <v>3.44</v>
      </c>
      <c r="L169" s="253">
        <f t="shared" si="55"/>
        <v>3.8639999999999999</v>
      </c>
      <c r="N169" s="10"/>
      <c r="O169" s="10"/>
      <c r="P169" s="10"/>
      <c r="Q169" s="10"/>
      <c r="R169" s="10"/>
      <c r="S169" s="10"/>
      <c r="T169" s="10"/>
      <c r="U169" s="10"/>
      <c r="V169" s="10"/>
    </row>
    <row r="170" spans="1:22">
      <c r="A170" s="63" t="s">
        <v>1294</v>
      </c>
      <c r="B170" s="63" t="s">
        <v>1295</v>
      </c>
      <c r="C170" s="118" t="s">
        <v>1296</v>
      </c>
      <c r="D170" s="218">
        <v>8</v>
      </c>
      <c r="E170" s="10"/>
      <c r="F170" s="252">
        <f t="shared" si="49"/>
        <v>3.012</v>
      </c>
      <c r="G170" s="252">
        <f t="shared" si="50"/>
        <v>3.012</v>
      </c>
      <c r="H170" s="252">
        <f t="shared" si="51"/>
        <v>3.6160000000000001</v>
      </c>
      <c r="I170" s="252">
        <f t="shared" si="52"/>
        <v>3.032</v>
      </c>
      <c r="J170" s="252">
        <f t="shared" si="53"/>
        <v>3.992</v>
      </c>
      <c r="K170" s="252">
        <f t="shared" si="54"/>
        <v>3.44</v>
      </c>
      <c r="L170" s="253">
        <f t="shared" si="55"/>
        <v>3.8639999999999999</v>
      </c>
      <c r="N170" s="10"/>
      <c r="O170" s="10"/>
      <c r="P170" s="10"/>
      <c r="Q170" s="10"/>
      <c r="R170" s="10"/>
      <c r="S170" s="10"/>
      <c r="T170" s="10"/>
      <c r="U170" s="10"/>
      <c r="V170" s="10"/>
    </row>
    <row r="171" spans="1:22">
      <c r="A171" s="63" t="s">
        <v>1297</v>
      </c>
      <c r="B171" s="63" t="s">
        <v>1298</v>
      </c>
      <c r="C171" s="118" t="s">
        <v>1299</v>
      </c>
      <c r="D171" s="218">
        <v>9</v>
      </c>
      <c r="E171" s="10"/>
      <c r="F171" s="252">
        <f t="shared" si="49"/>
        <v>3.3885000000000001</v>
      </c>
      <c r="G171" s="252">
        <f t="shared" si="50"/>
        <v>3.3885000000000001</v>
      </c>
      <c r="H171" s="252">
        <f t="shared" si="51"/>
        <v>4.0680000000000005</v>
      </c>
      <c r="I171" s="252">
        <f t="shared" si="52"/>
        <v>3.411</v>
      </c>
      <c r="J171" s="252">
        <f t="shared" si="53"/>
        <v>4.4909999999999997</v>
      </c>
      <c r="K171" s="252">
        <f t="shared" si="54"/>
        <v>3.87</v>
      </c>
      <c r="L171" s="253">
        <f t="shared" si="55"/>
        <v>4.3469999999999995</v>
      </c>
      <c r="N171" s="10"/>
      <c r="O171" s="10"/>
      <c r="P171" s="10"/>
      <c r="Q171" s="10"/>
      <c r="R171" s="10"/>
      <c r="S171" s="10"/>
      <c r="T171" s="10"/>
      <c r="U171" s="10"/>
      <c r="V171" s="10"/>
    </row>
    <row r="172" spans="1:22" ht="14.25" customHeight="1">
      <c r="A172" s="63" t="s">
        <v>1300</v>
      </c>
      <c r="B172" s="63" t="s">
        <v>1301</v>
      </c>
      <c r="C172" s="118" t="s">
        <v>1302</v>
      </c>
      <c r="D172" s="218">
        <v>9</v>
      </c>
      <c r="E172" s="10"/>
      <c r="F172" s="252">
        <f t="shared" si="49"/>
        <v>3.3885000000000001</v>
      </c>
      <c r="G172" s="252">
        <f t="shared" si="50"/>
        <v>3.3885000000000001</v>
      </c>
      <c r="H172" s="252">
        <f t="shared" si="51"/>
        <v>4.0680000000000005</v>
      </c>
      <c r="I172" s="252">
        <f t="shared" si="52"/>
        <v>3.411</v>
      </c>
      <c r="J172" s="252">
        <f t="shared" si="53"/>
        <v>4.4909999999999997</v>
      </c>
      <c r="K172" s="252">
        <f t="shared" si="54"/>
        <v>3.87</v>
      </c>
      <c r="L172" s="253">
        <f t="shared" si="55"/>
        <v>4.3469999999999995</v>
      </c>
      <c r="N172" s="10"/>
      <c r="O172" s="10"/>
      <c r="P172" s="10"/>
      <c r="Q172" s="10"/>
      <c r="R172" s="10"/>
      <c r="S172" s="10"/>
      <c r="T172" s="10"/>
      <c r="U172" s="10"/>
      <c r="V172" s="10"/>
    </row>
    <row r="173" spans="1:22">
      <c r="A173" s="63" t="s">
        <v>1303</v>
      </c>
      <c r="B173" s="63" t="s">
        <v>1304</v>
      </c>
      <c r="C173" s="118" t="s">
        <v>1305</v>
      </c>
      <c r="D173" s="218">
        <v>16</v>
      </c>
      <c r="E173" s="10"/>
      <c r="F173" s="252">
        <f t="shared" si="49"/>
        <v>6.024</v>
      </c>
      <c r="G173" s="252">
        <f t="shared" si="50"/>
        <v>6.024</v>
      </c>
      <c r="H173" s="252">
        <f t="shared" si="51"/>
        <v>7.2320000000000002</v>
      </c>
      <c r="I173" s="252">
        <f t="shared" si="52"/>
        <v>6.0640000000000001</v>
      </c>
      <c r="J173" s="252">
        <f t="shared" si="53"/>
        <v>7.984</v>
      </c>
      <c r="K173" s="252">
        <f t="shared" si="54"/>
        <v>6.88</v>
      </c>
      <c r="L173" s="253">
        <f t="shared" si="55"/>
        <v>7.7279999999999998</v>
      </c>
      <c r="N173" s="10"/>
      <c r="O173" s="10"/>
      <c r="P173" s="10"/>
      <c r="Q173" s="10"/>
      <c r="R173" s="10"/>
      <c r="S173" s="10"/>
      <c r="T173" s="10"/>
      <c r="U173" s="10"/>
      <c r="V173" s="10"/>
    </row>
    <row r="174" spans="1:22">
      <c r="A174" s="63" t="s">
        <v>1306</v>
      </c>
      <c r="B174" s="63" t="s">
        <v>1307</v>
      </c>
      <c r="C174" s="118" t="s">
        <v>1308</v>
      </c>
      <c r="D174" s="218">
        <v>22</v>
      </c>
      <c r="E174" s="10"/>
      <c r="F174" s="252">
        <f t="shared" si="49"/>
        <v>8.2829999999999995</v>
      </c>
      <c r="G174" s="252">
        <f t="shared" si="50"/>
        <v>8.2829999999999995</v>
      </c>
      <c r="H174" s="252">
        <f t="shared" si="51"/>
        <v>9.9440000000000008</v>
      </c>
      <c r="I174" s="252">
        <f t="shared" si="52"/>
        <v>8.338000000000001</v>
      </c>
      <c r="J174" s="252">
        <f t="shared" si="53"/>
        <v>10.978</v>
      </c>
      <c r="K174" s="252">
        <f t="shared" si="54"/>
        <v>9.4599999999999991</v>
      </c>
      <c r="L174" s="253">
        <f t="shared" si="55"/>
        <v>10.625999999999999</v>
      </c>
      <c r="N174" s="10"/>
      <c r="O174" s="10"/>
      <c r="P174" s="10"/>
      <c r="Q174" s="10"/>
      <c r="R174" s="10"/>
      <c r="S174" s="10"/>
      <c r="T174" s="10"/>
      <c r="U174" s="10"/>
      <c r="V174" s="10"/>
    </row>
    <row r="175" spans="1:22">
      <c r="A175" s="63" t="s">
        <v>1309</v>
      </c>
      <c r="B175" s="63" t="s">
        <v>1310</v>
      </c>
      <c r="C175" s="118" t="s">
        <v>1311</v>
      </c>
      <c r="D175" s="218">
        <v>26</v>
      </c>
      <c r="E175" s="10"/>
      <c r="F175" s="252">
        <f t="shared" si="49"/>
        <v>9.7889999999999997</v>
      </c>
      <c r="G175" s="252">
        <f t="shared" si="50"/>
        <v>9.7889999999999997</v>
      </c>
      <c r="H175" s="252">
        <f t="shared" si="51"/>
        <v>11.752000000000001</v>
      </c>
      <c r="I175" s="252">
        <f t="shared" si="52"/>
        <v>9.8539999999999992</v>
      </c>
      <c r="J175" s="252">
        <f t="shared" si="53"/>
        <v>12.974</v>
      </c>
      <c r="K175" s="252">
        <f t="shared" si="54"/>
        <v>11.18</v>
      </c>
      <c r="L175" s="253">
        <f t="shared" si="55"/>
        <v>12.558</v>
      </c>
      <c r="N175" s="10"/>
      <c r="O175" s="10"/>
      <c r="P175" s="10"/>
      <c r="Q175" s="10"/>
      <c r="R175" s="10"/>
      <c r="S175" s="10"/>
      <c r="T175" s="10"/>
      <c r="U175" s="10"/>
      <c r="V175" s="10"/>
    </row>
    <row r="176" spans="1:22">
      <c r="A176" s="63" t="s">
        <v>1312</v>
      </c>
      <c r="B176" s="63" t="s">
        <v>1313</v>
      </c>
      <c r="C176" s="118" t="s">
        <v>1314</v>
      </c>
      <c r="D176" s="218">
        <v>28</v>
      </c>
      <c r="E176" s="10"/>
      <c r="F176" s="252">
        <f t="shared" si="49"/>
        <v>10.542</v>
      </c>
      <c r="G176" s="252">
        <f t="shared" si="50"/>
        <v>10.542</v>
      </c>
      <c r="H176" s="252">
        <f t="shared" si="51"/>
        <v>12.656000000000001</v>
      </c>
      <c r="I176" s="252">
        <f t="shared" si="52"/>
        <v>10.612</v>
      </c>
      <c r="J176" s="252">
        <f t="shared" si="53"/>
        <v>13.972</v>
      </c>
      <c r="K176" s="252">
        <f t="shared" si="54"/>
        <v>12.04</v>
      </c>
      <c r="L176" s="253">
        <f t="shared" si="55"/>
        <v>13.523999999999999</v>
      </c>
      <c r="N176" s="10"/>
      <c r="O176" s="10"/>
      <c r="P176" s="10"/>
      <c r="Q176" s="10"/>
      <c r="R176" s="10"/>
      <c r="S176" s="10"/>
      <c r="T176" s="10"/>
      <c r="U176" s="10"/>
      <c r="V176" s="10"/>
    </row>
    <row r="177" spans="1:22">
      <c r="A177" s="63" t="s">
        <v>1315</v>
      </c>
      <c r="B177" s="63" t="s">
        <v>1316</v>
      </c>
      <c r="C177" s="118" t="s">
        <v>1317</v>
      </c>
      <c r="D177" s="218">
        <v>30</v>
      </c>
      <c r="E177" s="10"/>
      <c r="F177" s="252">
        <f t="shared" si="49"/>
        <v>11.295</v>
      </c>
      <c r="G177" s="252">
        <f t="shared" si="50"/>
        <v>11.295</v>
      </c>
      <c r="H177" s="252">
        <f t="shared" si="51"/>
        <v>13.56</v>
      </c>
      <c r="I177" s="252">
        <f t="shared" si="52"/>
        <v>11.370000000000001</v>
      </c>
      <c r="J177" s="252">
        <f t="shared" si="53"/>
        <v>14.97</v>
      </c>
      <c r="K177" s="252">
        <f t="shared" si="54"/>
        <v>12.9</v>
      </c>
      <c r="L177" s="253">
        <f t="shared" si="55"/>
        <v>14.49</v>
      </c>
    </row>
    <row r="178" spans="1:22">
      <c r="A178" s="63" t="s">
        <v>1318</v>
      </c>
      <c r="B178" s="63" t="s">
        <v>1319</v>
      </c>
      <c r="C178" s="118" t="s">
        <v>1320</v>
      </c>
      <c r="D178" s="218">
        <v>62</v>
      </c>
      <c r="E178" s="10"/>
      <c r="F178" s="252">
        <f t="shared" si="49"/>
        <v>23.343</v>
      </c>
      <c r="G178" s="252">
        <f t="shared" si="50"/>
        <v>23.343</v>
      </c>
      <c r="H178" s="252">
        <f t="shared" si="51"/>
        <v>28.024000000000001</v>
      </c>
      <c r="I178" s="252">
        <f t="shared" si="52"/>
        <v>23.498000000000001</v>
      </c>
      <c r="J178" s="252">
        <f t="shared" si="53"/>
        <v>30.937999999999999</v>
      </c>
      <c r="K178" s="252">
        <f t="shared" si="54"/>
        <v>26.66</v>
      </c>
      <c r="L178" s="253">
        <f t="shared" si="55"/>
        <v>29.945999999999998</v>
      </c>
    </row>
    <row r="179" spans="1:22">
      <c r="A179" s="63"/>
      <c r="B179" s="64"/>
      <c r="C179" s="118"/>
      <c r="D179" s="218"/>
      <c r="E179" s="10"/>
      <c r="F179" s="252"/>
      <c r="G179" s="252"/>
      <c r="H179" s="252"/>
      <c r="I179" s="252"/>
      <c r="J179" s="252"/>
      <c r="K179" s="252"/>
      <c r="L179" s="253"/>
    </row>
    <row r="180" spans="1:22">
      <c r="A180" s="59" t="s">
        <v>1321</v>
      </c>
      <c r="B180" s="60"/>
      <c r="C180" s="62"/>
      <c r="D180" s="217"/>
      <c r="E180" s="10"/>
      <c r="F180" s="254"/>
      <c r="G180" s="254"/>
      <c r="H180" s="254"/>
      <c r="I180" s="254"/>
      <c r="J180" s="254"/>
      <c r="K180" s="254"/>
      <c r="L180" s="255"/>
    </row>
    <row r="181" spans="1:22">
      <c r="A181" s="63" t="s">
        <v>1322</v>
      </c>
      <c r="B181" s="63" t="s">
        <v>1323</v>
      </c>
      <c r="C181" s="74" t="s">
        <v>1324</v>
      </c>
      <c r="D181" s="218">
        <v>2411</v>
      </c>
      <c r="E181" s="10"/>
      <c r="F181" s="252">
        <f t="shared" si="49"/>
        <v>907.74149999999997</v>
      </c>
      <c r="G181" s="252">
        <f t="shared" si="50"/>
        <v>907.74149999999997</v>
      </c>
      <c r="H181" s="252">
        <f t="shared" si="51"/>
        <v>1089.7719999999999</v>
      </c>
      <c r="I181" s="252">
        <f t="shared" si="52"/>
        <v>913.76900000000001</v>
      </c>
      <c r="J181" s="252">
        <f t="shared" si="53"/>
        <v>1203.0889999999999</v>
      </c>
      <c r="K181" s="252">
        <f t="shared" si="54"/>
        <v>1036.73</v>
      </c>
      <c r="L181" s="253">
        <f t="shared" si="55"/>
        <v>1164.5129999999999</v>
      </c>
    </row>
    <row r="182" spans="1:22">
      <c r="A182" s="63"/>
      <c r="B182" s="64"/>
      <c r="C182" s="74"/>
      <c r="D182" s="218"/>
      <c r="E182" s="10"/>
      <c r="F182" s="252"/>
      <c r="G182" s="252"/>
      <c r="H182" s="252"/>
      <c r="I182" s="252"/>
      <c r="J182" s="252"/>
      <c r="K182" s="252"/>
      <c r="L182" s="253"/>
    </row>
    <row r="183" spans="1:22">
      <c r="A183" s="81" t="s">
        <v>1325</v>
      </c>
      <c r="B183" s="60"/>
      <c r="C183" s="62"/>
      <c r="D183" s="217"/>
      <c r="E183" s="10"/>
      <c r="F183" s="254"/>
      <c r="G183" s="254"/>
      <c r="H183" s="254"/>
      <c r="I183" s="254"/>
      <c r="J183" s="254"/>
      <c r="K183" s="254"/>
      <c r="L183" s="255"/>
    </row>
    <row r="184" spans="1:22">
      <c r="A184" s="63" t="s">
        <v>1326</v>
      </c>
      <c r="B184" s="64" t="s">
        <v>1327</v>
      </c>
      <c r="C184" s="74" t="s">
        <v>1328</v>
      </c>
      <c r="D184" s="218">
        <v>3</v>
      </c>
      <c r="E184" s="10"/>
      <c r="F184" s="252">
        <f t="shared" si="49"/>
        <v>1.1294999999999999</v>
      </c>
      <c r="G184" s="252">
        <f t="shared" si="50"/>
        <v>1.1294999999999999</v>
      </c>
      <c r="H184" s="252">
        <f t="shared" si="51"/>
        <v>1.3560000000000001</v>
      </c>
      <c r="I184" s="252">
        <f t="shared" si="52"/>
        <v>1.137</v>
      </c>
      <c r="J184" s="252">
        <f t="shared" si="53"/>
        <v>1.4969999999999999</v>
      </c>
      <c r="K184" s="252">
        <f t="shared" si="54"/>
        <v>1.29</v>
      </c>
      <c r="L184" s="253">
        <f t="shared" si="55"/>
        <v>1.4489999999999998</v>
      </c>
    </row>
    <row r="185" spans="1:22">
      <c r="A185" s="80" t="s">
        <v>1329</v>
      </c>
      <c r="B185" s="72" t="s">
        <v>1330</v>
      </c>
      <c r="C185" s="66" t="s">
        <v>1331</v>
      </c>
      <c r="D185" s="218">
        <v>5</v>
      </c>
      <c r="E185" s="10"/>
      <c r="F185" s="252">
        <f t="shared" si="49"/>
        <v>1.8825000000000001</v>
      </c>
      <c r="G185" s="252">
        <f t="shared" si="50"/>
        <v>1.8825000000000001</v>
      </c>
      <c r="H185" s="252">
        <f t="shared" si="51"/>
        <v>2.2600000000000002</v>
      </c>
      <c r="I185" s="252">
        <f t="shared" si="52"/>
        <v>1.895</v>
      </c>
      <c r="J185" s="252">
        <f t="shared" si="53"/>
        <v>2.4950000000000001</v>
      </c>
      <c r="K185" s="252">
        <f t="shared" si="54"/>
        <v>2.15</v>
      </c>
      <c r="L185" s="253">
        <f t="shared" si="55"/>
        <v>2.415</v>
      </c>
    </row>
    <row r="186" spans="1:22">
      <c r="A186" s="80" t="s">
        <v>1332</v>
      </c>
      <c r="B186" s="72" t="s">
        <v>1330</v>
      </c>
      <c r="C186" s="66" t="s">
        <v>1331</v>
      </c>
      <c r="D186" s="218">
        <v>5</v>
      </c>
      <c r="E186" s="10"/>
      <c r="F186" s="252">
        <f t="shared" si="49"/>
        <v>1.8825000000000001</v>
      </c>
      <c r="G186" s="252">
        <f t="shared" si="50"/>
        <v>1.8825000000000001</v>
      </c>
      <c r="H186" s="252">
        <f t="shared" si="51"/>
        <v>2.2600000000000002</v>
      </c>
      <c r="I186" s="252">
        <f t="shared" si="52"/>
        <v>1.895</v>
      </c>
      <c r="J186" s="252">
        <f t="shared" si="53"/>
        <v>2.4950000000000001</v>
      </c>
      <c r="K186" s="252">
        <f t="shared" si="54"/>
        <v>2.15</v>
      </c>
      <c r="L186" s="253">
        <f t="shared" si="55"/>
        <v>2.415</v>
      </c>
    </row>
    <row r="187" spans="1:22" ht="25.5">
      <c r="A187" s="63" t="s">
        <v>1333</v>
      </c>
      <c r="B187" s="64" t="s">
        <v>1334</v>
      </c>
      <c r="C187" s="74" t="s">
        <v>1335</v>
      </c>
      <c r="D187" s="218">
        <v>3</v>
      </c>
      <c r="E187" s="10"/>
      <c r="F187" s="252">
        <f t="shared" si="49"/>
        <v>1.1294999999999999</v>
      </c>
      <c r="G187" s="252">
        <f t="shared" si="50"/>
        <v>1.1294999999999999</v>
      </c>
      <c r="H187" s="252">
        <f t="shared" si="51"/>
        <v>1.3560000000000001</v>
      </c>
      <c r="I187" s="252">
        <f t="shared" si="52"/>
        <v>1.137</v>
      </c>
      <c r="J187" s="252">
        <f t="shared" si="53"/>
        <v>1.4969999999999999</v>
      </c>
      <c r="K187" s="252">
        <f t="shared" si="54"/>
        <v>1.29</v>
      </c>
      <c r="L187" s="253">
        <f t="shared" si="55"/>
        <v>1.4489999999999998</v>
      </c>
      <c r="N187" s="10"/>
      <c r="O187" s="10"/>
      <c r="P187" s="10"/>
      <c r="Q187" s="10"/>
      <c r="R187" s="10"/>
      <c r="S187" s="10"/>
      <c r="T187" s="10"/>
      <c r="U187" s="10"/>
      <c r="V187" s="10"/>
    </row>
    <row r="188" spans="1:22" ht="25.5">
      <c r="A188" s="63" t="s">
        <v>1336</v>
      </c>
      <c r="B188" s="64" t="s">
        <v>1337</v>
      </c>
      <c r="C188" s="74" t="s">
        <v>1338</v>
      </c>
      <c r="D188" s="218">
        <v>6</v>
      </c>
      <c r="E188" s="10"/>
      <c r="F188" s="252">
        <f t="shared" si="49"/>
        <v>2.2589999999999999</v>
      </c>
      <c r="G188" s="252">
        <f t="shared" si="50"/>
        <v>2.2589999999999999</v>
      </c>
      <c r="H188" s="252">
        <f t="shared" si="51"/>
        <v>2.7120000000000002</v>
      </c>
      <c r="I188" s="252">
        <f t="shared" si="52"/>
        <v>2.274</v>
      </c>
      <c r="J188" s="252">
        <f t="shared" si="53"/>
        <v>2.9939999999999998</v>
      </c>
      <c r="K188" s="252">
        <f t="shared" si="54"/>
        <v>2.58</v>
      </c>
      <c r="L188" s="253">
        <f t="shared" si="55"/>
        <v>2.8979999999999997</v>
      </c>
      <c r="N188" s="10"/>
      <c r="O188" s="10"/>
      <c r="P188" s="10"/>
      <c r="Q188" s="10"/>
      <c r="R188" s="10"/>
      <c r="S188" s="10"/>
      <c r="T188" s="10"/>
      <c r="U188" s="10"/>
      <c r="V188" s="10"/>
    </row>
    <row r="189" spans="1:22" ht="25.5">
      <c r="A189" s="63" t="s">
        <v>1339</v>
      </c>
      <c r="B189" s="64" t="s">
        <v>1340</v>
      </c>
      <c r="C189" s="74" t="s">
        <v>1341</v>
      </c>
      <c r="D189" s="218">
        <v>6</v>
      </c>
      <c r="E189" s="10"/>
      <c r="F189" s="252">
        <f t="shared" si="49"/>
        <v>2.2589999999999999</v>
      </c>
      <c r="G189" s="252">
        <f t="shared" si="50"/>
        <v>2.2589999999999999</v>
      </c>
      <c r="H189" s="252">
        <f t="shared" si="51"/>
        <v>2.7120000000000002</v>
      </c>
      <c r="I189" s="252">
        <f t="shared" si="52"/>
        <v>2.274</v>
      </c>
      <c r="J189" s="252">
        <f t="shared" si="53"/>
        <v>2.9939999999999998</v>
      </c>
      <c r="K189" s="252">
        <f t="shared" si="54"/>
        <v>2.58</v>
      </c>
      <c r="L189" s="253">
        <f t="shared" si="55"/>
        <v>2.8979999999999997</v>
      </c>
      <c r="N189" s="10"/>
      <c r="O189" s="10"/>
      <c r="P189" s="10"/>
      <c r="Q189" s="10"/>
      <c r="R189" s="10"/>
      <c r="S189" s="10"/>
      <c r="T189" s="10"/>
      <c r="U189" s="10"/>
      <c r="V189" s="10"/>
    </row>
    <row r="190" spans="1:22" ht="25.5">
      <c r="A190" s="64" t="s">
        <v>1342</v>
      </c>
      <c r="B190" s="64" t="s">
        <v>1343</v>
      </c>
      <c r="C190" s="74" t="s">
        <v>1344</v>
      </c>
      <c r="D190" s="218">
        <v>2</v>
      </c>
      <c r="E190" s="10"/>
      <c r="F190" s="252">
        <f t="shared" si="49"/>
        <v>0.753</v>
      </c>
      <c r="G190" s="252">
        <f t="shared" si="50"/>
        <v>0.753</v>
      </c>
      <c r="H190" s="252">
        <f t="shared" si="51"/>
        <v>0.90400000000000003</v>
      </c>
      <c r="I190" s="252">
        <f t="shared" si="52"/>
        <v>0.75800000000000001</v>
      </c>
      <c r="J190" s="252">
        <f t="shared" si="53"/>
        <v>0.998</v>
      </c>
      <c r="K190" s="252">
        <f t="shared" si="54"/>
        <v>0.86</v>
      </c>
      <c r="L190" s="253">
        <f t="shared" si="55"/>
        <v>0.96599999999999997</v>
      </c>
      <c r="N190" s="10"/>
      <c r="O190" s="10"/>
      <c r="P190" s="10"/>
      <c r="Q190" s="10"/>
      <c r="R190" s="10"/>
      <c r="S190" s="10"/>
      <c r="T190" s="10"/>
      <c r="U190" s="10"/>
      <c r="V190" s="10"/>
    </row>
    <row r="191" spans="1:22" ht="25.5">
      <c r="A191" s="63" t="s">
        <v>1345</v>
      </c>
      <c r="B191" s="64" t="s">
        <v>1346</v>
      </c>
      <c r="C191" s="74" t="s">
        <v>1347</v>
      </c>
      <c r="D191" s="218">
        <v>2</v>
      </c>
      <c r="E191" s="10"/>
      <c r="F191" s="252">
        <f t="shared" si="49"/>
        <v>0.753</v>
      </c>
      <c r="G191" s="252">
        <f t="shared" si="50"/>
        <v>0.753</v>
      </c>
      <c r="H191" s="252">
        <f t="shared" si="51"/>
        <v>0.90400000000000003</v>
      </c>
      <c r="I191" s="252">
        <f t="shared" si="52"/>
        <v>0.75800000000000001</v>
      </c>
      <c r="J191" s="252">
        <f t="shared" si="53"/>
        <v>0.998</v>
      </c>
      <c r="K191" s="252">
        <f t="shared" si="54"/>
        <v>0.86</v>
      </c>
      <c r="L191" s="253">
        <f t="shared" si="55"/>
        <v>0.96599999999999997</v>
      </c>
      <c r="N191" s="10"/>
      <c r="O191" s="10"/>
      <c r="P191" s="10"/>
      <c r="Q191" s="10"/>
      <c r="R191" s="10"/>
      <c r="S191" s="10"/>
      <c r="T191" s="10"/>
      <c r="U191" s="10"/>
      <c r="V191" s="10"/>
    </row>
    <row r="192" spans="1:22" ht="25.5">
      <c r="A192" s="63" t="s">
        <v>1348</v>
      </c>
      <c r="B192" s="64" t="s">
        <v>1349</v>
      </c>
      <c r="C192" s="74" t="s">
        <v>1350</v>
      </c>
      <c r="D192" s="218">
        <v>2</v>
      </c>
      <c r="E192" s="10"/>
      <c r="F192" s="252">
        <f t="shared" si="49"/>
        <v>0.753</v>
      </c>
      <c r="G192" s="252">
        <f t="shared" si="50"/>
        <v>0.753</v>
      </c>
      <c r="H192" s="252">
        <f t="shared" si="51"/>
        <v>0.90400000000000003</v>
      </c>
      <c r="I192" s="252">
        <f t="shared" si="52"/>
        <v>0.75800000000000001</v>
      </c>
      <c r="J192" s="252">
        <f t="shared" si="53"/>
        <v>0.998</v>
      </c>
      <c r="K192" s="252">
        <f t="shared" si="54"/>
        <v>0.86</v>
      </c>
      <c r="L192" s="253">
        <f t="shared" si="55"/>
        <v>0.96599999999999997</v>
      </c>
      <c r="N192" s="10"/>
      <c r="O192" s="10"/>
      <c r="P192" s="10"/>
      <c r="Q192" s="10"/>
      <c r="R192" s="10"/>
      <c r="S192" s="10"/>
      <c r="T192" s="10"/>
      <c r="U192" s="10"/>
      <c r="V192" s="10"/>
    </row>
    <row r="193" spans="1:22">
      <c r="A193" s="63" t="s">
        <v>1351</v>
      </c>
      <c r="B193" s="64" t="s">
        <v>1352</v>
      </c>
      <c r="C193" s="74" t="s">
        <v>1353</v>
      </c>
      <c r="D193" s="218">
        <v>5</v>
      </c>
      <c r="E193" s="10"/>
      <c r="F193" s="252">
        <f t="shared" si="49"/>
        <v>1.8825000000000001</v>
      </c>
      <c r="G193" s="252">
        <f t="shared" si="50"/>
        <v>1.8825000000000001</v>
      </c>
      <c r="H193" s="252">
        <f t="shared" si="51"/>
        <v>2.2600000000000002</v>
      </c>
      <c r="I193" s="252">
        <f t="shared" si="52"/>
        <v>1.895</v>
      </c>
      <c r="J193" s="252">
        <f t="shared" si="53"/>
        <v>2.4950000000000001</v>
      </c>
      <c r="K193" s="252">
        <f t="shared" si="54"/>
        <v>2.15</v>
      </c>
      <c r="L193" s="253">
        <f t="shared" si="55"/>
        <v>2.415</v>
      </c>
      <c r="N193" s="10"/>
      <c r="O193" s="10"/>
      <c r="P193" s="10"/>
      <c r="Q193" s="10"/>
      <c r="R193" s="10"/>
      <c r="S193" s="10"/>
      <c r="T193" s="10"/>
      <c r="U193" s="10"/>
      <c r="V193" s="10"/>
    </row>
    <row r="194" spans="1:22">
      <c r="A194" s="109" t="s">
        <v>1354</v>
      </c>
      <c r="B194" s="105" t="s">
        <v>1355</v>
      </c>
      <c r="C194" s="118" t="s">
        <v>1356</v>
      </c>
      <c r="D194" s="219">
        <v>20</v>
      </c>
      <c r="E194" s="10"/>
      <c r="F194" s="256">
        <f t="shared" si="49"/>
        <v>7.53</v>
      </c>
      <c r="G194" s="256">
        <f t="shared" si="50"/>
        <v>7.53</v>
      </c>
      <c r="H194" s="256">
        <f t="shared" si="51"/>
        <v>9.0400000000000009</v>
      </c>
      <c r="I194" s="256">
        <f t="shared" si="52"/>
        <v>7.58</v>
      </c>
      <c r="J194" s="256">
        <f t="shared" si="53"/>
        <v>9.98</v>
      </c>
      <c r="K194" s="256">
        <f t="shared" si="54"/>
        <v>8.6</v>
      </c>
      <c r="L194" s="248">
        <f t="shared" si="55"/>
        <v>9.66</v>
      </c>
      <c r="N194" s="10"/>
      <c r="O194" s="10"/>
      <c r="P194" s="10"/>
      <c r="Q194" s="10"/>
      <c r="R194" s="10"/>
      <c r="S194" s="10"/>
      <c r="T194" s="10"/>
      <c r="U194" s="10"/>
      <c r="V194" s="10"/>
    </row>
    <row r="195" spans="1:22">
      <c r="A195" s="63"/>
      <c r="B195" s="64"/>
      <c r="C195" s="74"/>
      <c r="D195" s="218"/>
      <c r="E195" s="10"/>
      <c r="F195" s="252"/>
      <c r="G195" s="252"/>
      <c r="H195" s="252"/>
      <c r="I195" s="252"/>
      <c r="J195" s="252"/>
      <c r="K195" s="252"/>
      <c r="L195" s="253"/>
      <c r="N195" s="10"/>
      <c r="O195" s="10"/>
      <c r="P195" s="10"/>
      <c r="Q195" s="10"/>
      <c r="R195" s="10"/>
      <c r="S195" s="10"/>
      <c r="T195" s="10"/>
      <c r="U195" s="10"/>
      <c r="V195" s="10"/>
    </row>
    <row r="196" spans="1:22">
      <c r="A196" s="81" t="s">
        <v>1357</v>
      </c>
      <c r="B196" s="60"/>
      <c r="C196" s="62"/>
      <c r="D196" s="217"/>
      <c r="E196" s="10"/>
      <c r="F196" s="254"/>
      <c r="G196" s="254"/>
      <c r="H196" s="254"/>
      <c r="I196" s="254"/>
      <c r="J196" s="254"/>
      <c r="K196" s="254"/>
      <c r="L196" s="255"/>
      <c r="N196" s="10"/>
      <c r="O196" s="10"/>
      <c r="P196" s="10"/>
      <c r="Q196" s="10"/>
      <c r="R196" s="10"/>
      <c r="S196" s="10"/>
      <c r="T196" s="10"/>
      <c r="U196" s="10"/>
      <c r="V196" s="10"/>
    </row>
    <row r="197" spans="1:22">
      <c r="A197" s="72" t="s">
        <v>1358</v>
      </c>
      <c r="B197" s="72" t="s">
        <v>1358</v>
      </c>
      <c r="C197" s="66" t="s">
        <v>1359</v>
      </c>
      <c r="D197" s="218">
        <v>23</v>
      </c>
      <c r="E197" s="10"/>
      <c r="F197" s="252">
        <f t="shared" si="49"/>
        <v>8.6594999999999995</v>
      </c>
      <c r="G197" s="252">
        <f t="shared" si="50"/>
        <v>8.6594999999999995</v>
      </c>
      <c r="H197" s="252">
        <f t="shared" si="51"/>
        <v>10.396000000000001</v>
      </c>
      <c r="I197" s="252">
        <f t="shared" si="52"/>
        <v>8.7170000000000005</v>
      </c>
      <c r="J197" s="252">
        <f t="shared" si="53"/>
        <v>11.477</v>
      </c>
      <c r="K197" s="252">
        <f t="shared" si="54"/>
        <v>9.89</v>
      </c>
      <c r="L197" s="253">
        <f t="shared" si="55"/>
        <v>11.109</v>
      </c>
      <c r="N197" s="10"/>
      <c r="O197" s="10"/>
      <c r="P197" s="10"/>
      <c r="Q197" s="10"/>
      <c r="R197" s="10"/>
      <c r="S197" s="10"/>
      <c r="T197" s="10"/>
      <c r="U197" s="10"/>
      <c r="V197" s="10"/>
    </row>
    <row r="198" spans="1:22">
      <c r="A198" s="72" t="s">
        <v>1360</v>
      </c>
      <c r="B198" s="72" t="s">
        <v>1360</v>
      </c>
      <c r="C198" s="66" t="s">
        <v>1361</v>
      </c>
      <c r="D198" s="218">
        <v>10</v>
      </c>
      <c r="E198" s="10"/>
      <c r="F198" s="252">
        <f t="shared" si="49"/>
        <v>3.7650000000000001</v>
      </c>
      <c r="G198" s="252">
        <f t="shared" si="50"/>
        <v>3.7650000000000001</v>
      </c>
      <c r="H198" s="252">
        <f t="shared" si="51"/>
        <v>4.5200000000000005</v>
      </c>
      <c r="I198" s="252">
        <f t="shared" si="52"/>
        <v>3.79</v>
      </c>
      <c r="J198" s="252">
        <f t="shared" si="53"/>
        <v>4.99</v>
      </c>
      <c r="K198" s="252">
        <f t="shared" si="54"/>
        <v>4.3</v>
      </c>
      <c r="L198" s="253">
        <f t="shared" si="55"/>
        <v>4.83</v>
      </c>
      <c r="N198" s="10"/>
      <c r="O198" s="10"/>
      <c r="P198" s="10"/>
      <c r="Q198" s="10"/>
      <c r="R198" s="10"/>
      <c r="S198" s="10"/>
      <c r="T198" s="10"/>
      <c r="U198" s="10"/>
      <c r="V198" s="10"/>
    </row>
    <row r="199" spans="1:22">
      <c r="A199" s="72" t="s">
        <v>1362</v>
      </c>
      <c r="B199" s="72" t="s">
        <v>1362</v>
      </c>
      <c r="C199" s="66" t="s">
        <v>1363</v>
      </c>
      <c r="D199" s="218">
        <v>2</v>
      </c>
      <c r="E199" s="10"/>
      <c r="F199" s="252">
        <f t="shared" si="49"/>
        <v>0.753</v>
      </c>
      <c r="G199" s="252">
        <f t="shared" si="50"/>
        <v>0.753</v>
      </c>
      <c r="H199" s="252">
        <f t="shared" si="51"/>
        <v>0.90400000000000003</v>
      </c>
      <c r="I199" s="252">
        <f t="shared" si="52"/>
        <v>0.75800000000000001</v>
      </c>
      <c r="J199" s="252">
        <f t="shared" si="53"/>
        <v>0.998</v>
      </c>
      <c r="K199" s="252">
        <f t="shared" si="54"/>
        <v>0.86</v>
      </c>
      <c r="L199" s="253">
        <f t="shared" si="55"/>
        <v>0.96599999999999997</v>
      </c>
      <c r="N199" s="10"/>
      <c r="O199" s="10"/>
      <c r="P199" s="10"/>
      <c r="Q199" s="10"/>
      <c r="R199" s="10"/>
      <c r="S199" s="10"/>
      <c r="T199" s="10"/>
      <c r="U199" s="10"/>
      <c r="V199" s="10"/>
    </row>
    <row r="200" spans="1:22">
      <c r="A200" s="72"/>
      <c r="B200" s="72"/>
      <c r="C200" s="66"/>
      <c r="D200" s="218"/>
      <c r="E200" s="10"/>
      <c r="F200" s="252"/>
      <c r="G200" s="252"/>
      <c r="H200" s="252"/>
      <c r="I200" s="252"/>
      <c r="J200" s="252"/>
      <c r="K200" s="252"/>
      <c r="L200" s="253"/>
      <c r="N200" s="10"/>
      <c r="O200" s="10"/>
      <c r="P200" s="10"/>
      <c r="Q200" s="10"/>
      <c r="R200" s="10"/>
      <c r="S200" s="10"/>
      <c r="T200" s="10"/>
      <c r="U200" s="10"/>
      <c r="V200" s="10"/>
    </row>
    <row r="201" spans="1:22">
      <c r="A201" s="81" t="s">
        <v>1364</v>
      </c>
      <c r="B201" s="60"/>
      <c r="C201" s="62"/>
      <c r="D201" s="217"/>
      <c r="E201" s="10"/>
      <c r="F201" s="254"/>
      <c r="G201" s="254"/>
      <c r="H201" s="254"/>
      <c r="I201" s="254"/>
      <c r="J201" s="254"/>
      <c r="K201" s="254"/>
      <c r="L201" s="255"/>
      <c r="N201" s="10"/>
      <c r="O201" s="10"/>
      <c r="P201" s="10"/>
      <c r="Q201" s="10"/>
      <c r="R201" s="10"/>
      <c r="S201" s="10"/>
      <c r="T201" s="10"/>
      <c r="U201" s="10"/>
      <c r="V201" s="10"/>
    </row>
    <row r="202" spans="1:22">
      <c r="A202" s="72" t="s">
        <v>1365</v>
      </c>
      <c r="B202" s="72" t="s">
        <v>1366</v>
      </c>
      <c r="C202" s="66" t="s">
        <v>1367</v>
      </c>
      <c r="D202" s="218">
        <v>75</v>
      </c>
      <c r="E202" s="10"/>
      <c r="F202" s="252">
        <f t="shared" si="49"/>
        <v>28.237500000000001</v>
      </c>
      <c r="G202" s="252">
        <f t="shared" si="50"/>
        <v>28.237500000000001</v>
      </c>
      <c r="H202" s="252">
        <f t="shared" si="51"/>
        <v>33.9</v>
      </c>
      <c r="I202" s="252">
        <f t="shared" si="52"/>
        <v>28.425000000000001</v>
      </c>
      <c r="J202" s="252">
        <f t="shared" si="53"/>
        <v>37.424999999999997</v>
      </c>
      <c r="K202" s="252">
        <f t="shared" si="54"/>
        <v>32.25</v>
      </c>
      <c r="L202" s="253">
        <f t="shared" si="55"/>
        <v>36.225000000000001</v>
      </c>
      <c r="N202" s="10"/>
      <c r="O202" s="10"/>
      <c r="P202" s="10"/>
      <c r="Q202" s="10"/>
      <c r="R202" s="10"/>
      <c r="S202" s="10"/>
      <c r="T202" s="10"/>
      <c r="U202" s="10"/>
      <c r="V202" s="10"/>
    </row>
    <row r="203" spans="1:22">
      <c r="A203" s="72" t="s">
        <v>1368</v>
      </c>
      <c r="B203" s="72" t="s">
        <v>1369</v>
      </c>
      <c r="C203" s="66" t="s">
        <v>1370</v>
      </c>
      <c r="D203" s="218">
        <v>36</v>
      </c>
      <c r="E203" s="10"/>
      <c r="F203" s="252">
        <f t="shared" si="49"/>
        <v>13.554</v>
      </c>
      <c r="G203" s="252">
        <f t="shared" si="50"/>
        <v>13.554</v>
      </c>
      <c r="H203" s="252">
        <f t="shared" si="51"/>
        <v>16.272000000000002</v>
      </c>
      <c r="I203" s="252">
        <f t="shared" si="52"/>
        <v>13.644</v>
      </c>
      <c r="J203" s="252">
        <f t="shared" si="53"/>
        <v>17.963999999999999</v>
      </c>
      <c r="K203" s="252">
        <f t="shared" si="54"/>
        <v>15.48</v>
      </c>
      <c r="L203" s="253">
        <f t="shared" si="55"/>
        <v>17.387999999999998</v>
      </c>
      <c r="N203" s="10"/>
      <c r="O203" s="10"/>
      <c r="P203" s="10"/>
      <c r="Q203" s="10"/>
      <c r="R203" s="10"/>
      <c r="S203" s="10"/>
      <c r="T203" s="10"/>
      <c r="U203" s="10"/>
      <c r="V203" s="10"/>
    </row>
    <row r="204" spans="1:22">
      <c r="A204" s="72" t="s">
        <v>1371</v>
      </c>
      <c r="B204" s="72" t="s">
        <v>1372</v>
      </c>
      <c r="C204" s="66" t="s">
        <v>1373</v>
      </c>
      <c r="D204" s="218">
        <v>75</v>
      </c>
      <c r="E204" s="10"/>
      <c r="F204" s="252">
        <f t="shared" si="49"/>
        <v>28.237500000000001</v>
      </c>
      <c r="G204" s="252">
        <f t="shared" si="50"/>
        <v>28.237500000000001</v>
      </c>
      <c r="H204" s="252">
        <f t="shared" si="51"/>
        <v>33.9</v>
      </c>
      <c r="I204" s="252">
        <f t="shared" si="52"/>
        <v>28.425000000000001</v>
      </c>
      <c r="J204" s="252">
        <f t="shared" si="53"/>
        <v>37.424999999999997</v>
      </c>
      <c r="K204" s="252">
        <f t="shared" si="54"/>
        <v>32.25</v>
      </c>
      <c r="L204" s="253">
        <f t="shared" si="55"/>
        <v>36.225000000000001</v>
      </c>
      <c r="N204" s="10"/>
      <c r="O204" s="10"/>
      <c r="P204" s="10"/>
      <c r="Q204" s="10"/>
      <c r="R204" s="10"/>
      <c r="S204" s="10"/>
      <c r="T204" s="10"/>
      <c r="U204" s="10"/>
      <c r="V204" s="10"/>
    </row>
    <row r="205" spans="1:22">
      <c r="A205" s="72" t="s">
        <v>1374</v>
      </c>
      <c r="B205" s="72" t="s">
        <v>1375</v>
      </c>
      <c r="C205" s="66" t="s">
        <v>1376</v>
      </c>
      <c r="D205" s="218">
        <v>36</v>
      </c>
      <c r="E205" s="10"/>
      <c r="F205" s="252">
        <f t="shared" si="49"/>
        <v>13.554</v>
      </c>
      <c r="G205" s="252">
        <f t="shared" si="50"/>
        <v>13.554</v>
      </c>
      <c r="H205" s="252">
        <f t="shared" si="51"/>
        <v>16.272000000000002</v>
      </c>
      <c r="I205" s="252">
        <f t="shared" si="52"/>
        <v>13.644</v>
      </c>
      <c r="J205" s="252">
        <f t="shared" si="53"/>
        <v>17.963999999999999</v>
      </c>
      <c r="K205" s="252">
        <f t="shared" si="54"/>
        <v>15.48</v>
      </c>
      <c r="L205" s="253">
        <f t="shared" si="55"/>
        <v>17.387999999999998</v>
      </c>
      <c r="N205" s="10"/>
      <c r="O205" s="10"/>
      <c r="P205" s="10"/>
      <c r="Q205" s="10"/>
      <c r="R205" s="10"/>
      <c r="S205" s="10"/>
      <c r="T205" s="10"/>
      <c r="U205" s="10"/>
      <c r="V205" s="10"/>
    </row>
    <row r="206" spans="1:22">
      <c r="A206" s="72"/>
      <c r="B206" s="72"/>
      <c r="C206" s="66"/>
      <c r="D206" s="218"/>
      <c r="E206" s="10"/>
      <c r="F206" s="252"/>
      <c r="G206" s="252"/>
      <c r="H206" s="252"/>
      <c r="I206" s="252"/>
      <c r="J206" s="252"/>
      <c r="K206" s="252"/>
      <c r="L206" s="253"/>
      <c r="N206" s="10"/>
      <c r="O206" s="10"/>
      <c r="P206" s="10"/>
      <c r="Q206" s="10"/>
      <c r="R206" s="10"/>
      <c r="S206" s="10"/>
      <c r="T206" s="10"/>
      <c r="U206" s="10"/>
      <c r="V206" s="10"/>
    </row>
    <row r="207" spans="1:22">
      <c r="A207" s="81" t="s">
        <v>1377</v>
      </c>
      <c r="B207" s="60"/>
      <c r="C207" s="62"/>
      <c r="D207" s="217"/>
      <c r="E207" s="10"/>
      <c r="F207" s="254"/>
      <c r="G207" s="254"/>
      <c r="H207" s="254"/>
      <c r="I207" s="254"/>
      <c r="J207" s="254"/>
      <c r="K207" s="254"/>
      <c r="L207" s="255"/>
      <c r="N207" s="10"/>
      <c r="O207" s="10"/>
      <c r="P207" s="10"/>
      <c r="Q207" s="10"/>
      <c r="R207" s="10"/>
      <c r="S207" s="10"/>
      <c r="T207" s="10"/>
      <c r="U207" s="10"/>
      <c r="V207" s="10"/>
    </row>
    <row r="208" spans="1:22">
      <c r="A208" s="72" t="s">
        <v>1669</v>
      </c>
      <c r="B208" s="72" t="s">
        <v>1670</v>
      </c>
      <c r="C208" s="66" t="s">
        <v>1671</v>
      </c>
      <c r="D208" s="219">
        <v>8</v>
      </c>
      <c r="E208" s="10"/>
      <c r="F208" s="252">
        <f t="shared" ref="F208:F266" si="56">D208*$F$11</f>
        <v>3.012</v>
      </c>
      <c r="G208" s="252">
        <f t="shared" ref="G208:G266" si="57">D208*$G$11</f>
        <v>3.012</v>
      </c>
      <c r="H208" s="252">
        <f t="shared" ref="H208:H266" si="58">D208*$H$11</f>
        <v>3.6160000000000001</v>
      </c>
      <c r="I208" s="252">
        <f t="shared" ref="I208:I266" si="59">D208*$I$11</f>
        <v>3.032</v>
      </c>
      <c r="J208" s="252">
        <f t="shared" ref="J208:J266" si="60">D208*$J$11</f>
        <v>3.992</v>
      </c>
      <c r="K208" s="252">
        <f t="shared" ref="K208:K266" si="61">D208*$K$11</f>
        <v>3.44</v>
      </c>
      <c r="L208" s="253">
        <f t="shared" ref="L208:L266" si="62">D208*$L$11</f>
        <v>3.8639999999999999</v>
      </c>
      <c r="N208" s="10"/>
      <c r="O208" s="10"/>
      <c r="P208" s="10"/>
      <c r="Q208" s="10"/>
      <c r="R208" s="10"/>
      <c r="S208" s="10"/>
      <c r="T208" s="10"/>
      <c r="U208" s="10"/>
      <c r="V208" s="10"/>
    </row>
    <row r="209" spans="1:22">
      <c r="A209" s="72" t="s">
        <v>1378</v>
      </c>
      <c r="B209" s="72" t="s">
        <v>1378</v>
      </c>
      <c r="C209" s="66" t="s">
        <v>1379</v>
      </c>
      <c r="D209" s="219">
        <v>6</v>
      </c>
      <c r="E209" s="10"/>
      <c r="F209" s="252">
        <f t="shared" si="56"/>
        <v>2.2589999999999999</v>
      </c>
      <c r="G209" s="252">
        <f t="shared" si="57"/>
        <v>2.2589999999999999</v>
      </c>
      <c r="H209" s="252">
        <f t="shared" si="58"/>
        <v>2.7120000000000002</v>
      </c>
      <c r="I209" s="252">
        <f t="shared" si="59"/>
        <v>2.274</v>
      </c>
      <c r="J209" s="252">
        <f t="shared" si="60"/>
        <v>2.9939999999999998</v>
      </c>
      <c r="K209" s="252">
        <f t="shared" si="61"/>
        <v>2.58</v>
      </c>
      <c r="L209" s="253">
        <f t="shared" si="62"/>
        <v>2.8979999999999997</v>
      </c>
      <c r="N209" s="10"/>
      <c r="O209" s="10"/>
      <c r="P209" s="10"/>
      <c r="Q209" s="10"/>
      <c r="R209" s="10"/>
      <c r="S209" s="10"/>
      <c r="T209" s="10"/>
      <c r="U209" s="10"/>
      <c r="V209" s="10"/>
    </row>
    <row r="210" spans="1:22">
      <c r="A210" s="72" t="s">
        <v>1672</v>
      </c>
      <c r="B210" s="72" t="s">
        <v>1673</v>
      </c>
      <c r="C210" s="66" t="s">
        <v>1674</v>
      </c>
      <c r="D210" s="219">
        <v>18</v>
      </c>
      <c r="E210" s="10"/>
      <c r="F210" s="252">
        <f t="shared" si="56"/>
        <v>6.7770000000000001</v>
      </c>
      <c r="G210" s="252">
        <f t="shared" si="57"/>
        <v>6.7770000000000001</v>
      </c>
      <c r="H210" s="252">
        <f t="shared" si="58"/>
        <v>8.136000000000001</v>
      </c>
      <c r="I210" s="252">
        <f t="shared" si="59"/>
        <v>6.8220000000000001</v>
      </c>
      <c r="J210" s="252">
        <f t="shared" si="60"/>
        <v>8.9819999999999993</v>
      </c>
      <c r="K210" s="252">
        <f t="shared" si="61"/>
        <v>7.74</v>
      </c>
      <c r="L210" s="253">
        <f t="shared" si="62"/>
        <v>8.6939999999999991</v>
      </c>
      <c r="N210" s="10"/>
      <c r="O210" s="10"/>
      <c r="P210" s="10"/>
      <c r="Q210" s="10"/>
      <c r="R210" s="10"/>
      <c r="S210" s="10"/>
      <c r="T210" s="10"/>
      <c r="U210" s="10"/>
      <c r="V210" s="10"/>
    </row>
    <row r="211" spans="1:22">
      <c r="A211" s="72" t="s">
        <v>1380</v>
      </c>
      <c r="B211" s="72" t="s">
        <v>1675</v>
      </c>
      <c r="C211" s="66" t="s">
        <v>1676</v>
      </c>
      <c r="D211" s="219">
        <v>8</v>
      </c>
      <c r="E211" s="10"/>
      <c r="F211" s="252">
        <f t="shared" si="56"/>
        <v>3.012</v>
      </c>
      <c r="G211" s="252">
        <f t="shared" si="57"/>
        <v>3.012</v>
      </c>
      <c r="H211" s="252">
        <f t="shared" si="58"/>
        <v>3.6160000000000001</v>
      </c>
      <c r="I211" s="252">
        <f t="shared" si="59"/>
        <v>3.032</v>
      </c>
      <c r="J211" s="252">
        <f t="shared" si="60"/>
        <v>3.992</v>
      </c>
      <c r="K211" s="252">
        <f t="shared" si="61"/>
        <v>3.44</v>
      </c>
      <c r="L211" s="253">
        <f t="shared" si="62"/>
        <v>3.8639999999999999</v>
      </c>
      <c r="N211" s="10"/>
      <c r="O211" s="10"/>
      <c r="P211" s="10"/>
      <c r="Q211" s="10"/>
      <c r="R211" s="10"/>
      <c r="S211" s="10"/>
      <c r="T211" s="10"/>
      <c r="U211" s="10"/>
      <c r="V211" s="10"/>
    </row>
    <row r="212" spans="1:22">
      <c r="A212" s="72" t="s">
        <v>1381</v>
      </c>
      <c r="B212" s="72" t="s">
        <v>1382</v>
      </c>
      <c r="C212" s="66" t="s">
        <v>1383</v>
      </c>
      <c r="D212" s="219">
        <v>4</v>
      </c>
      <c r="E212" s="10"/>
      <c r="F212" s="252">
        <f t="shared" si="56"/>
        <v>1.506</v>
      </c>
      <c r="G212" s="252">
        <f t="shared" si="57"/>
        <v>1.506</v>
      </c>
      <c r="H212" s="252">
        <f t="shared" si="58"/>
        <v>1.8080000000000001</v>
      </c>
      <c r="I212" s="252">
        <f t="shared" si="59"/>
        <v>1.516</v>
      </c>
      <c r="J212" s="252">
        <f t="shared" si="60"/>
        <v>1.996</v>
      </c>
      <c r="K212" s="252">
        <f t="shared" si="61"/>
        <v>1.72</v>
      </c>
      <c r="L212" s="253">
        <f t="shared" si="62"/>
        <v>1.9319999999999999</v>
      </c>
      <c r="N212" s="10"/>
      <c r="O212" s="10"/>
      <c r="P212" s="10"/>
      <c r="Q212" s="10"/>
      <c r="R212" s="10"/>
      <c r="S212" s="10"/>
      <c r="T212" s="10"/>
      <c r="U212" s="10"/>
      <c r="V212" s="10"/>
    </row>
    <row r="213" spans="1:22">
      <c r="A213" s="72" t="s">
        <v>1384</v>
      </c>
      <c r="B213" s="72" t="s">
        <v>1385</v>
      </c>
      <c r="C213" s="66" t="s">
        <v>1386</v>
      </c>
      <c r="D213" s="219">
        <v>4</v>
      </c>
      <c r="E213" s="10"/>
      <c r="F213" s="252">
        <f t="shared" si="56"/>
        <v>1.506</v>
      </c>
      <c r="G213" s="252">
        <f t="shared" si="57"/>
        <v>1.506</v>
      </c>
      <c r="H213" s="252">
        <f t="shared" si="58"/>
        <v>1.8080000000000001</v>
      </c>
      <c r="I213" s="252">
        <f t="shared" si="59"/>
        <v>1.516</v>
      </c>
      <c r="J213" s="252">
        <f t="shared" si="60"/>
        <v>1.996</v>
      </c>
      <c r="K213" s="252">
        <f t="shared" si="61"/>
        <v>1.72</v>
      </c>
      <c r="L213" s="253">
        <f t="shared" si="62"/>
        <v>1.9319999999999999</v>
      </c>
      <c r="N213" s="10"/>
      <c r="O213" s="10"/>
      <c r="P213" s="10"/>
      <c r="Q213" s="10"/>
      <c r="R213" s="10"/>
      <c r="S213" s="10"/>
      <c r="T213" s="10"/>
      <c r="U213" s="10"/>
      <c r="V213" s="10"/>
    </row>
    <row r="214" spans="1:22">
      <c r="A214" s="72" t="s">
        <v>1387</v>
      </c>
      <c r="B214" s="72" t="s">
        <v>1388</v>
      </c>
      <c r="C214" s="66" t="s">
        <v>1389</v>
      </c>
      <c r="D214" s="219">
        <v>4</v>
      </c>
      <c r="E214" s="10"/>
      <c r="F214" s="252">
        <f t="shared" si="56"/>
        <v>1.506</v>
      </c>
      <c r="G214" s="252">
        <f t="shared" si="57"/>
        <v>1.506</v>
      </c>
      <c r="H214" s="252">
        <f t="shared" si="58"/>
        <v>1.8080000000000001</v>
      </c>
      <c r="I214" s="252">
        <f t="shared" si="59"/>
        <v>1.516</v>
      </c>
      <c r="J214" s="252">
        <f t="shared" si="60"/>
        <v>1.996</v>
      </c>
      <c r="K214" s="252">
        <f t="shared" si="61"/>
        <v>1.72</v>
      </c>
      <c r="L214" s="253">
        <f t="shared" si="62"/>
        <v>1.9319999999999999</v>
      </c>
      <c r="N214" s="10"/>
      <c r="O214" s="10"/>
      <c r="P214" s="10"/>
      <c r="Q214" s="10"/>
      <c r="R214" s="10"/>
      <c r="S214" s="10"/>
      <c r="T214" s="10"/>
      <c r="U214" s="10"/>
      <c r="V214" s="10"/>
    </row>
    <row r="215" spans="1:22">
      <c r="A215" s="72" t="s">
        <v>1390</v>
      </c>
      <c r="B215" s="72" t="s">
        <v>1391</v>
      </c>
      <c r="C215" s="66" t="s">
        <v>1392</v>
      </c>
      <c r="D215" s="219">
        <v>4</v>
      </c>
      <c r="E215" s="10"/>
      <c r="F215" s="252">
        <f t="shared" si="56"/>
        <v>1.506</v>
      </c>
      <c r="G215" s="252">
        <f t="shared" si="57"/>
        <v>1.506</v>
      </c>
      <c r="H215" s="252">
        <f t="shared" si="58"/>
        <v>1.8080000000000001</v>
      </c>
      <c r="I215" s="252">
        <f t="shared" si="59"/>
        <v>1.516</v>
      </c>
      <c r="J215" s="252">
        <f t="shared" si="60"/>
        <v>1.996</v>
      </c>
      <c r="K215" s="252">
        <f t="shared" si="61"/>
        <v>1.72</v>
      </c>
      <c r="L215" s="253">
        <f t="shared" si="62"/>
        <v>1.9319999999999999</v>
      </c>
      <c r="N215" s="10"/>
      <c r="O215" s="10"/>
      <c r="P215" s="10"/>
      <c r="Q215" s="10"/>
      <c r="R215" s="10"/>
      <c r="S215" s="10"/>
      <c r="T215" s="10"/>
      <c r="U215" s="10"/>
      <c r="V215" s="10"/>
    </row>
    <row r="216" spans="1:22">
      <c r="A216" s="72" t="s">
        <v>1677</v>
      </c>
      <c r="B216" s="72" t="s">
        <v>1678</v>
      </c>
      <c r="C216" s="66" t="s">
        <v>1679</v>
      </c>
      <c r="D216" s="219">
        <v>10</v>
      </c>
      <c r="E216" s="10"/>
      <c r="F216" s="252">
        <f t="shared" si="56"/>
        <v>3.7650000000000001</v>
      </c>
      <c r="G216" s="252">
        <f t="shared" si="57"/>
        <v>3.7650000000000001</v>
      </c>
      <c r="H216" s="252">
        <f t="shared" si="58"/>
        <v>4.5200000000000005</v>
      </c>
      <c r="I216" s="252">
        <f t="shared" si="59"/>
        <v>3.79</v>
      </c>
      <c r="J216" s="252">
        <f t="shared" si="60"/>
        <v>4.99</v>
      </c>
      <c r="K216" s="252">
        <f t="shared" si="61"/>
        <v>4.3</v>
      </c>
      <c r="L216" s="253">
        <f t="shared" si="62"/>
        <v>4.83</v>
      </c>
      <c r="N216" s="10"/>
      <c r="O216" s="10"/>
      <c r="P216" s="10"/>
      <c r="Q216" s="10"/>
      <c r="R216" s="10"/>
      <c r="S216" s="10"/>
      <c r="T216" s="10"/>
      <c r="U216" s="10"/>
      <c r="V216" s="10"/>
    </row>
    <row r="217" spans="1:22">
      <c r="A217" s="72" t="s">
        <v>1393</v>
      </c>
      <c r="B217" s="72" t="s">
        <v>1394</v>
      </c>
      <c r="C217" s="66" t="s">
        <v>1395</v>
      </c>
      <c r="D217" s="219">
        <v>4</v>
      </c>
      <c r="E217" s="10"/>
      <c r="F217" s="252">
        <f t="shared" si="56"/>
        <v>1.506</v>
      </c>
      <c r="G217" s="252">
        <f t="shared" si="57"/>
        <v>1.506</v>
      </c>
      <c r="H217" s="252">
        <f t="shared" si="58"/>
        <v>1.8080000000000001</v>
      </c>
      <c r="I217" s="252">
        <f t="shared" si="59"/>
        <v>1.516</v>
      </c>
      <c r="J217" s="252">
        <f t="shared" si="60"/>
        <v>1.996</v>
      </c>
      <c r="K217" s="252">
        <f t="shared" si="61"/>
        <v>1.72</v>
      </c>
      <c r="L217" s="253">
        <f t="shared" si="62"/>
        <v>1.9319999999999999</v>
      </c>
      <c r="N217" s="10"/>
      <c r="O217" s="10"/>
      <c r="P217" s="10"/>
      <c r="Q217" s="10"/>
      <c r="R217" s="10"/>
      <c r="S217" s="10"/>
      <c r="T217" s="10"/>
      <c r="U217" s="10"/>
      <c r="V217" s="10"/>
    </row>
    <row r="218" spans="1:22">
      <c r="A218" s="72" t="s">
        <v>1665</v>
      </c>
      <c r="B218" s="72" t="s">
        <v>1664</v>
      </c>
      <c r="C218" s="66" t="s">
        <v>1683</v>
      </c>
      <c r="D218" s="219">
        <v>18</v>
      </c>
      <c r="E218" s="10"/>
      <c r="F218" s="252">
        <f t="shared" si="56"/>
        <v>6.7770000000000001</v>
      </c>
      <c r="G218" s="252">
        <f t="shared" si="57"/>
        <v>6.7770000000000001</v>
      </c>
      <c r="H218" s="252">
        <f t="shared" si="58"/>
        <v>8.136000000000001</v>
      </c>
      <c r="I218" s="252">
        <f t="shared" si="59"/>
        <v>6.8220000000000001</v>
      </c>
      <c r="J218" s="252">
        <f t="shared" si="60"/>
        <v>8.9819999999999993</v>
      </c>
      <c r="K218" s="252">
        <f t="shared" si="61"/>
        <v>7.74</v>
      </c>
      <c r="L218" s="253">
        <f t="shared" si="62"/>
        <v>8.6939999999999991</v>
      </c>
      <c r="N218" s="10"/>
      <c r="O218" s="10"/>
      <c r="P218" s="10"/>
      <c r="Q218" s="10"/>
      <c r="R218" s="10"/>
      <c r="S218" s="10"/>
      <c r="T218" s="10"/>
      <c r="U218" s="10"/>
      <c r="V218" s="10"/>
    </row>
    <row r="219" spans="1:22">
      <c r="A219" s="72"/>
      <c r="B219" s="72"/>
      <c r="C219" s="72"/>
      <c r="D219" s="222"/>
      <c r="E219" s="10"/>
      <c r="F219" s="261"/>
      <c r="G219" s="261"/>
      <c r="H219" s="261"/>
      <c r="I219" s="261"/>
      <c r="J219" s="261"/>
      <c r="K219" s="261"/>
      <c r="L219" s="249"/>
      <c r="N219" s="10"/>
      <c r="O219" s="10"/>
      <c r="P219" s="10"/>
      <c r="Q219" s="10"/>
      <c r="R219" s="10"/>
      <c r="S219" s="10"/>
      <c r="T219" s="10"/>
      <c r="U219" s="10"/>
      <c r="V219" s="10"/>
    </row>
    <row r="220" spans="1:22">
      <c r="A220" s="81" t="s">
        <v>1396</v>
      </c>
      <c r="B220" s="60"/>
      <c r="C220" s="62"/>
      <c r="D220" s="217"/>
      <c r="E220" s="10"/>
      <c r="F220" s="254"/>
      <c r="G220" s="254"/>
      <c r="H220" s="254"/>
      <c r="I220" s="254"/>
      <c r="J220" s="254"/>
      <c r="K220" s="254"/>
      <c r="L220" s="255"/>
      <c r="N220" s="10"/>
      <c r="O220" s="10"/>
      <c r="P220" s="10"/>
      <c r="Q220" s="10"/>
      <c r="R220" s="10"/>
      <c r="S220" s="10"/>
      <c r="T220" s="10"/>
      <c r="U220" s="10"/>
      <c r="V220" s="10"/>
    </row>
    <row r="221" spans="1:22" ht="25.5">
      <c r="A221" s="64" t="s">
        <v>1397</v>
      </c>
      <c r="B221" s="64" t="s">
        <v>1398</v>
      </c>
      <c r="C221" s="74" t="s">
        <v>1399</v>
      </c>
      <c r="D221" s="223">
        <v>69</v>
      </c>
      <c r="E221" s="10"/>
      <c r="F221" s="262">
        <f t="shared" si="56"/>
        <v>25.9785</v>
      </c>
      <c r="G221" s="262">
        <f t="shared" si="57"/>
        <v>25.9785</v>
      </c>
      <c r="H221" s="262">
        <f t="shared" si="58"/>
        <v>31.188000000000002</v>
      </c>
      <c r="I221" s="262">
        <f t="shared" si="59"/>
        <v>26.151</v>
      </c>
      <c r="J221" s="262">
        <f t="shared" si="60"/>
        <v>34.430999999999997</v>
      </c>
      <c r="K221" s="262">
        <f t="shared" si="61"/>
        <v>29.669999999999998</v>
      </c>
      <c r="L221" s="263">
        <f t="shared" si="62"/>
        <v>33.326999999999998</v>
      </c>
      <c r="N221" s="10"/>
      <c r="O221" s="10"/>
      <c r="P221" s="10"/>
      <c r="Q221" s="10"/>
      <c r="R221" s="10"/>
      <c r="S221" s="10"/>
      <c r="T221" s="10"/>
      <c r="U221" s="10"/>
      <c r="V221" s="10"/>
    </row>
    <row r="222" spans="1:22" ht="25.5">
      <c r="A222" s="64" t="s">
        <v>1397</v>
      </c>
      <c r="B222" s="64" t="s">
        <v>1400</v>
      </c>
      <c r="C222" s="74" t="s">
        <v>1401</v>
      </c>
      <c r="D222" s="223">
        <v>62</v>
      </c>
      <c r="E222" s="10"/>
      <c r="F222" s="262">
        <f t="shared" si="56"/>
        <v>23.343</v>
      </c>
      <c r="G222" s="262">
        <f t="shared" si="57"/>
        <v>23.343</v>
      </c>
      <c r="H222" s="262">
        <f t="shared" si="58"/>
        <v>28.024000000000001</v>
      </c>
      <c r="I222" s="262">
        <f t="shared" si="59"/>
        <v>23.498000000000001</v>
      </c>
      <c r="J222" s="262">
        <f t="shared" si="60"/>
        <v>30.937999999999999</v>
      </c>
      <c r="K222" s="262">
        <f t="shared" si="61"/>
        <v>26.66</v>
      </c>
      <c r="L222" s="263">
        <f t="shared" si="62"/>
        <v>29.945999999999998</v>
      </c>
      <c r="N222" s="10"/>
      <c r="O222" s="10"/>
      <c r="P222" s="10"/>
      <c r="Q222" s="10"/>
      <c r="R222" s="10"/>
      <c r="S222" s="10"/>
      <c r="T222" s="10"/>
      <c r="U222" s="10"/>
      <c r="V222" s="10"/>
    </row>
    <row r="223" spans="1:22" ht="25.5">
      <c r="A223" s="64" t="s">
        <v>1402</v>
      </c>
      <c r="B223" s="64" t="s">
        <v>1403</v>
      </c>
      <c r="C223" s="74" t="s">
        <v>1404</v>
      </c>
      <c r="D223" s="224">
        <v>48</v>
      </c>
      <c r="E223" s="10"/>
      <c r="F223" s="264">
        <f t="shared" si="56"/>
        <v>18.071999999999999</v>
      </c>
      <c r="G223" s="264">
        <f t="shared" si="57"/>
        <v>18.071999999999999</v>
      </c>
      <c r="H223" s="264">
        <f t="shared" si="58"/>
        <v>21.696000000000002</v>
      </c>
      <c r="I223" s="264">
        <f t="shared" si="59"/>
        <v>18.192</v>
      </c>
      <c r="J223" s="264">
        <f t="shared" si="60"/>
        <v>23.951999999999998</v>
      </c>
      <c r="K223" s="264">
        <f t="shared" si="61"/>
        <v>20.64</v>
      </c>
      <c r="L223" s="265">
        <f t="shared" si="62"/>
        <v>23.183999999999997</v>
      </c>
      <c r="N223" s="10"/>
      <c r="O223" s="10"/>
      <c r="P223" s="10"/>
      <c r="Q223" s="10"/>
      <c r="R223" s="10"/>
      <c r="S223" s="10"/>
      <c r="T223" s="10"/>
      <c r="U223" s="10"/>
      <c r="V223" s="10"/>
    </row>
    <row r="224" spans="1:22">
      <c r="A224" s="85"/>
      <c r="B224" s="85"/>
      <c r="C224" s="66"/>
      <c r="D224" s="218"/>
      <c r="E224" s="10"/>
      <c r="F224" s="252"/>
      <c r="G224" s="252"/>
      <c r="H224" s="252"/>
      <c r="I224" s="252"/>
      <c r="J224" s="252"/>
      <c r="K224" s="252"/>
      <c r="L224" s="253"/>
      <c r="N224" s="10"/>
      <c r="O224" s="10"/>
      <c r="P224" s="10"/>
      <c r="Q224" s="10"/>
      <c r="R224" s="10"/>
      <c r="S224" s="10"/>
      <c r="T224" s="10"/>
      <c r="U224" s="10"/>
      <c r="V224" s="10"/>
    </row>
    <row r="225" spans="1:22">
      <c r="A225" s="81" t="s">
        <v>1405</v>
      </c>
      <c r="B225" s="60"/>
      <c r="C225" s="62"/>
      <c r="D225" s="217"/>
      <c r="E225" s="10"/>
      <c r="F225" s="254"/>
      <c r="G225" s="254"/>
      <c r="H225" s="254"/>
      <c r="I225" s="254"/>
      <c r="J225" s="254"/>
      <c r="K225" s="254"/>
      <c r="L225" s="255"/>
      <c r="N225" s="10"/>
      <c r="O225" s="10"/>
      <c r="P225" s="10"/>
      <c r="Q225" s="10"/>
      <c r="R225" s="10"/>
      <c r="S225" s="10"/>
      <c r="T225" s="10"/>
      <c r="U225" s="10"/>
      <c r="V225" s="10"/>
    </row>
    <row r="226" spans="1:22" ht="25.5">
      <c r="A226" s="105" t="s">
        <v>1406</v>
      </c>
      <c r="B226" s="105" t="s">
        <v>1407</v>
      </c>
      <c r="C226" s="118" t="s">
        <v>1408</v>
      </c>
      <c r="D226" s="225">
        <v>50</v>
      </c>
      <c r="E226" s="10"/>
      <c r="F226" s="266">
        <f t="shared" si="56"/>
        <v>18.824999999999999</v>
      </c>
      <c r="G226" s="266">
        <f t="shared" si="57"/>
        <v>18.824999999999999</v>
      </c>
      <c r="H226" s="266">
        <f t="shared" si="58"/>
        <v>22.6</v>
      </c>
      <c r="I226" s="266">
        <f t="shared" si="59"/>
        <v>18.95</v>
      </c>
      <c r="J226" s="266">
        <f t="shared" si="60"/>
        <v>24.95</v>
      </c>
      <c r="K226" s="266">
        <f t="shared" si="61"/>
        <v>21.5</v>
      </c>
      <c r="L226" s="267">
        <f t="shared" si="62"/>
        <v>24.15</v>
      </c>
      <c r="N226" s="10"/>
      <c r="O226" s="10"/>
      <c r="P226" s="10"/>
      <c r="Q226" s="10"/>
      <c r="R226" s="10"/>
      <c r="S226" s="10"/>
      <c r="T226" s="10"/>
      <c r="U226" s="10"/>
      <c r="V226" s="10"/>
    </row>
    <row r="227" spans="1:22">
      <c r="A227" s="105" t="s">
        <v>1409</v>
      </c>
      <c r="B227" s="105" t="s">
        <v>1407</v>
      </c>
      <c r="C227" s="118" t="s">
        <v>1410</v>
      </c>
      <c r="D227" s="225">
        <v>18</v>
      </c>
      <c r="E227" s="10"/>
      <c r="F227" s="266">
        <f t="shared" si="56"/>
        <v>6.7770000000000001</v>
      </c>
      <c r="G227" s="266">
        <f t="shared" si="57"/>
        <v>6.7770000000000001</v>
      </c>
      <c r="H227" s="266">
        <f t="shared" si="58"/>
        <v>8.136000000000001</v>
      </c>
      <c r="I227" s="266">
        <f t="shared" si="59"/>
        <v>6.8220000000000001</v>
      </c>
      <c r="J227" s="266">
        <f t="shared" si="60"/>
        <v>8.9819999999999993</v>
      </c>
      <c r="K227" s="266">
        <f t="shared" si="61"/>
        <v>7.74</v>
      </c>
      <c r="L227" s="267">
        <f t="shared" si="62"/>
        <v>8.6939999999999991</v>
      </c>
      <c r="N227" s="10"/>
      <c r="O227" s="10"/>
      <c r="P227" s="10"/>
      <c r="Q227" s="10"/>
      <c r="R227" s="10"/>
      <c r="S227" s="10"/>
      <c r="T227" s="10"/>
      <c r="U227" s="10"/>
      <c r="V227" s="10"/>
    </row>
    <row r="228" spans="1:22">
      <c r="A228" s="105" t="s">
        <v>1411</v>
      </c>
      <c r="B228" s="105" t="s">
        <v>1407</v>
      </c>
      <c r="C228" s="118" t="s">
        <v>1412</v>
      </c>
      <c r="D228" s="226">
        <v>36</v>
      </c>
      <c r="E228" s="10"/>
      <c r="F228" s="268">
        <f t="shared" si="56"/>
        <v>13.554</v>
      </c>
      <c r="G228" s="268">
        <f t="shared" si="57"/>
        <v>13.554</v>
      </c>
      <c r="H228" s="268">
        <f t="shared" si="58"/>
        <v>16.272000000000002</v>
      </c>
      <c r="I228" s="268">
        <f t="shared" si="59"/>
        <v>13.644</v>
      </c>
      <c r="J228" s="268">
        <f t="shared" si="60"/>
        <v>17.963999999999999</v>
      </c>
      <c r="K228" s="268">
        <f t="shared" si="61"/>
        <v>15.48</v>
      </c>
      <c r="L228" s="269">
        <f t="shared" si="62"/>
        <v>17.387999999999998</v>
      </c>
      <c r="N228" s="10"/>
      <c r="O228" s="10"/>
      <c r="P228" s="10"/>
      <c r="Q228" s="10"/>
      <c r="R228" s="10"/>
      <c r="S228" s="10"/>
      <c r="T228" s="10"/>
      <c r="U228" s="10"/>
      <c r="V228" s="10"/>
    </row>
    <row r="229" spans="1:22">
      <c r="A229" s="64"/>
      <c r="B229" s="64"/>
      <c r="C229" s="74"/>
      <c r="D229" s="218"/>
      <c r="E229" s="10"/>
      <c r="F229" s="252"/>
      <c r="G229" s="252"/>
      <c r="H229" s="252"/>
      <c r="I229" s="252"/>
      <c r="J229" s="252"/>
      <c r="K229" s="252"/>
      <c r="L229" s="253"/>
      <c r="N229" s="10"/>
      <c r="O229" s="10"/>
      <c r="P229" s="10"/>
      <c r="Q229" s="10"/>
      <c r="R229" s="10"/>
      <c r="S229" s="10"/>
      <c r="T229" s="10"/>
      <c r="U229" s="10"/>
      <c r="V229" s="10"/>
    </row>
    <row r="230" spans="1:22">
      <c r="A230" s="81" t="s">
        <v>1413</v>
      </c>
      <c r="B230" s="60"/>
      <c r="C230" s="62"/>
      <c r="D230" s="217"/>
      <c r="E230" s="10"/>
      <c r="F230" s="254"/>
      <c r="G230" s="254"/>
      <c r="H230" s="254"/>
      <c r="I230" s="254"/>
      <c r="J230" s="254"/>
      <c r="K230" s="254"/>
      <c r="L230" s="255"/>
      <c r="N230" s="10"/>
      <c r="O230" s="10"/>
      <c r="P230" s="10"/>
      <c r="Q230" s="10"/>
      <c r="R230" s="10"/>
      <c r="S230" s="10"/>
      <c r="T230" s="10"/>
      <c r="U230" s="10"/>
      <c r="V230" s="10"/>
    </row>
    <row r="231" spans="1:22">
      <c r="A231" s="63" t="s">
        <v>1414</v>
      </c>
      <c r="B231" s="64" t="s">
        <v>1407</v>
      </c>
      <c r="C231" s="74" t="s">
        <v>1415</v>
      </c>
      <c r="D231" s="223">
        <v>90</v>
      </c>
      <c r="E231" s="10"/>
      <c r="F231" s="262">
        <f t="shared" si="56"/>
        <v>33.884999999999998</v>
      </c>
      <c r="G231" s="262">
        <f t="shared" si="57"/>
        <v>33.884999999999998</v>
      </c>
      <c r="H231" s="262">
        <f t="shared" si="58"/>
        <v>40.68</v>
      </c>
      <c r="I231" s="262">
        <f t="shared" si="59"/>
        <v>34.11</v>
      </c>
      <c r="J231" s="262">
        <f t="shared" si="60"/>
        <v>44.91</v>
      </c>
      <c r="K231" s="262">
        <f t="shared" si="61"/>
        <v>38.700000000000003</v>
      </c>
      <c r="L231" s="263">
        <f t="shared" si="62"/>
        <v>43.47</v>
      </c>
      <c r="N231" s="10"/>
      <c r="O231" s="10"/>
      <c r="P231" s="10"/>
      <c r="Q231" s="10"/>
      <c r="R231" s="10"/>
      <c r="S231" s="10"/>
      <c r="T231" s="10"/>
      <c r="U231" s="10"/>
      <c r="V231" s="10"/>
    </row>
    <row r="232" spans="1:22">
      <c r="A232" s="64" t="s">
        <v>1416</v>
      </c>
      <c r="B232" s="64" t="s">
        <v>1407</v>
      </c>
      <c r="C232" s="74" t="s">
        <v>1417</v>
      </c>
      <c r="D232" s="223">
        <v>18</v>
      </c>
      <c r="E232" s="10"/>
      <c r="F232" s="262">
        <f t="shared" si="56"/>
        <v>6.7770000000000001</v>
      </c>
      <c r="G232" s="262">
        <f t="shared" si="57"/>
        <v>6.7770000000000001</v>
      </c>
      <c r="H232" s="262">
        <f t="shared" si="58"/>
        <v>8.136000000000001</v>
      </c>
      <c r="I232" s="262">
        <f t="shared" si="59"/>
        <v>6.8220000000000001</v>
      </c>
      <c r="J232" s="262">
        <f t="shared" si="60"/>
        <v>8.9819999999999993</v>
      </c>
      <c r="K232" s="262">
        <f t="shared" si="61"/>
        <v>7.74</v>
      </c>
      <c r="L232" s="263">
        <f t="shared" si="62"/>
        <v>8.6939999999999991</v>
      </c>
      <c r="N232" s="10"/>
      <c r="O232" s="10"/>
      <c r="P232" s="10"/>
      <c r="Q232" s="10"/>
      <c r="R232" s="10"/>
      <c r="S232" s="10"/>
      <c r="T232" s="10"/>
      <c r="U232" s="10"/>
      <c r="V232" s="10"/>
    </row>
    <row r="233" spans="1:22">
      <c r="A233" s="64" t="s">
        <v>1418</v>
      </c>
      <c r="B233" s="64" t="s">
        <v>1407</v>
      </c>
      <c r="C233" s="74" t="s">
        <v>1419</v>
      </c>
      <c r="D233" s="224">
        <v>36</v>
      </c>
      <c r="E233" s="10"/>
      <c r="F233" s="264">
        <f t="shared" si="56"/>
        <v>13.554</v>
      </c>
      <c r="G233" s="264">
        <f t="shared" si="57"/>
        <v>13.554</v>
      </c>
      <c r="H233" s="264">
        <f t="shared" si="58"/>
        <v>16.272000000000002</v>
      </c>
      <c r="I233" s="264">
        <f t="shared" si="59"/>
        <v>13.644</v>
      </c>
      <c r="J233" s="264">
        <f t="shared" si="60"/>
        <v>17.963999999999999</v>
      </c>
      <c r="K233" s="264">
        <f t="shared" si="61"/>
        <v>15.48</v>
      </c>
      <c r="L233" s="265">
        <f t="shared" si="62"/>
        <v>17.387999999999998</v>
      </c>
      <c r="N233" s="10"/>
      <c r="O233" s="10"/>
      <c r="P233" s="10"/>
      <c r="Q233" s="10"/>
      <c r="R233" s="10"/>
      <c r="S233" s="10"/>
      <c r="T233" s="10"/>
      <c r="U233" s="10"/>
      <c r="V233" s="10"/>
    </row>
    <row r="234" spans="1:22">
      <c r="A234" s="64"/>
      <c r="B234" s="64"/>
      <c r="C234" s="74"/>
      <c r="D234" s="218"/>
      <c r="E234" s="10"/>
      <c r="F234" s="252"/>
      <c r="G234" s="252"/>
      <c r="H234" s="252"/>
      <c r="I234" s="252"/>
      <c r="J234" s="252"/>
      <c r="K234" s="252"/>
      <c r="L234" s="253"/>
      <c r="N234" s="10"/>
      <c r="O234" s="10"/>
      <c r="P234" s="10"/>
      <c r="Q234" s="10"/>
      <c r="R234" s="10"/>
      <c r="S234" s="10"/>
      <c r="T234" s="10"/>
      <c r="U234" s="10"/>
      <c r="V234" s="10"/>
    </row>
    <row r="235" spans="1:22">
      <c r="A235" s="81" t="s">
        <v>1420</v>
      </c>
      <c r="B235" s="60"/>
      <c r="C235" s="62"/>
      <c r="D235" s="217"/>
      <c r="E235" s="10"/>
      <c r="F235" s="254"/>
      <c r="G235" s="254"/>
      <c r="H235" s="254"/>
      <c r="I235" s="254"/>
      <c r="J235" s="254"/>
      <c r="K235" s="254"/>
      <c r="L235" s="255"/>
      <c r="N235" s="10"/>
      <c r="O235" s="10"/>
      <c r="P235" s="10"/>
      <c r="Q235" s="10"/>
      <c r="R235" s="10"/>
      <c r="S235" s="10"/>
      <c r="T235" s="10"/>
      <c r="U235" s="10"/>
      <c r="V235" s="10"/>
    </row>
    <row r="236" spans="1:22" ht="25.5">
      <c r="A236" s="63" t="s">
        <v>1421</v>
      </c>
      <c r="B236" s="64" t="s">
        <v>1422</v>
      </c>
      <c r="C236" s="74" t="s">
        <v>1423</v>
      </c>
      <c r="D236" s="223">
        <v>11030</v>
      </c>
      <c r="E236" s="10"/>
      <c r="F236" s="262">
        <f t="shared" si="56"/>
        <v>4152.7950000000001</v>
      </c>
      <c r="G236" s="262">
        <f t="shared" si="57"/>
        <v>4152.7950000000001</v>
      </c>
      <c r="H236" s="262">
        <f t="shared" si="58"/>
        <v>4985.5600000000004</v>
      </c>
      <c r="I236" s="262">
        <f t="shared" si="59"/>
        <v>4180.37</v>
      </c>
      <c r="J236" s="262">
        <f t="shared" si="60"/>
        <v>5503.97</v>
      </c>
      <c r="K236" s="262">
        <f t="shared" si="61"/>
        <v>4742.8999999999996</v>
      </c>
      <c r="L236" s="263">
        <f t="shared" si="62"/>
        <v>5327.49</v>
      </c>
      <c r="N236" s="10"/>
      <c r="O236" s="10"/>
      <c r="P236" s="10"/>
      <c r="Q236" s="10"/>
      <c r="R236" s="10"/>
      <c r="S236" s="10"/>
      <c r="T236" s="10"/>
      <c r="U236" s="10"/>
      <c r="V236" s="10"/>
    </row>
    <row r="237" spans="1:22" ht="38.25">
      <c r="A237" s="63" t="s">
        <v>1424</v>
      </c>
      <c r="B237" s="64" t="s">
        <v>1425</v>
      </c>
      <c r="C237" s="74" t="s">
        <v>1426</v>
      </c>
      <c r="D237" s="223">
        <v>6</v>
      </c>
      <c r="E237" s="10"/>
      <c r="F237" s="262">
        <f t="shared" si="56"/>
        <v>2.2589999999999999</v>
      </c>
      <c r="G237" s="262">
        <f t="shared" si="57"/>
        <v>2.2589999999999999</v>
      </c>
      <c r="H237" s="262">
        <f t="shared" si="58"/>
        <v>2.7120000000000002</v>
      </c>
      <c r="I237" s="262">
        <f t="shared" si="59"/>
        <v>2.274</v>
      </c>
      <c r="J237" s="262">
        <f t="shared" si="60"/>
        <v>2.9939999999999998</v>
      </c>
      <c r="K237" s="262">
        <f t="shared" si="61"/>
        <v>2.58</v>
      </c>
      <c r="L237" s="263">
        <f t="shared" si="62"/>
        <v>2.8979999999999997</v>
      </c>
      <c r="N237" s="10"/>
      <c r="O237" s="10"/>
      <c r="P237" s="10"/>
      <c r="Q237" s="10"/>
      <c r="R237" s="10"/>
      <c r="S237" s="10"/>
      <c r="T237" s="10"/>
      <c r="U237" s="10"/>
      <c r="V237" s="10"/>
    </row>
    <row r="238" spans="1:22" ht="38.25">
      <c r="A238" s="63" t="s">
        <v>1427</v>
      </c>
      <c r="B238" s="64" t="s">
        <v>1428</v>
      </c>
      <c r="C238" s="74" t="s">
        <v>1429</v>
      </c>
      <c r="D238" s="222">
        <v>5</v>
      </c>
      <c r="E238" s="10"/>
      <c r="F238" s="261">
        <f t="shared" si="56"/>
        <v>1.8825000000000001</v>
      </c>
      <c r="G238" s="261">
        <f t="shared" si="57"/>
        <v>1.8825000000000001</v>
      </c>
      <c r="H238" s="261">
        <f t="shared" si="58"/>
        <v>2.2600000000000002</v>
      </c>
      <c r="I238" s="261">
        <f t="shared" si="59"/>
        <v>1.895</v>
      </c>
      <c r="J238" s="261">
        <f t="shared" si="60"/>
        <v>2.4950000000000001</v>
      </c>
      <c r="K238" s="261">
        <f t="shared" si="61"/>
        <v>2.15</v>
      </c>
      <c r="L238" s="249">
        <f t="shared" si="62"/>
        <v>2.415</v>
      </c>
      <c r="N238" s="10"/>
      <c r="O238" s="10"/>
      <c r="P238" s="10"/>
      <c r="Q238" s="10"/>
      <c r="R238" s="10"/>
      <c r="S238" s="10"/>
      <c r="T238" s="10"/>
      <c r="U238" s="10"/>
      <c r="V238" s="10"/>
    </row>
    <row r="239" spans="1:22" ht="38.25">
      <c r="A239" s="63" t="s">
        <v>1430</v>
      </c>
      <c r="B239" s="64" t="s">
        <v>1431</v>
      </c>
      <c r="C239" s="74" t="s">
        <v>1432</v>
      </c>
      <c r="D239" s="222">
        <v>4</v>
      </c>
      <c r="E239" s="42"/>
      <c r="F239" s="261">
        <f t="shared" si="56"/>
        <v>1.506</v>
      </c>
      <c r="G239" s="261">
        <f t="shared" si="57"/>
        <v>1.506</v>
      </c>
      <c r="H239" s="261">
        <f t="shared" si="58"/>
        <v>1.8080000000000001</v>
      </c>
      <c r="I239" s="261">
        <f t="shared" si="59"/>
        <v>1.516</v>
      </c>
      <c r="J239" s="261">
        <f t="shared" si="60"/>
        <v>1.996</v>
      </c>
      <c r="K239" s="261">
        <f t="shared" si="61"/>
        <v>1.72</v>
      </c>
      <c r="L239" s="249">
        <f t="shared" si="62"/>
        <v>1.9319999999999999</v>
      </c>
      <c r="N239" s="10"/>
      <c r="O239" s="10"/>
      <c r="P239" s="10"/>
      <c r="Q239" s="10"/>
      <c r="R239" s="10"/>
      <c r="S239" s="10"/>
      <c r="T239" s="10"/>
      <c r="U239" s="10"/>
      <c r="V239" s="10"/>
    </row>
    <row r="240" spans="1:22" ht="38.25">
      <c r="A240" s="63" t="s">
        <v>1433</v>
      </c>
      <c r="B240" s="64" t="s">
        <v>1434</v>
      </c>
      <c r="C240" s="74" t="s">
        <v>1435</v>
      </c>
      <c r="D240" s="222">
        <v>4</v>
      </c>
      <c r="E240" s="42"/>
      <c r="F240" s="261">
        <f t="shared" si="56"/>
        <v>1.506</v>
      </c>
      <c r="G240" s="261">
        <f t="shared" si="57"/>
        <v>1.506</v>
      </c>
      <c r="H240" s="261">
        <f t="shared" si="58"/>
        <v>1.8080000000000001</v>
      </c>
      <c r="I240" s="261">
        <f t="shared" si="59"/>
        <v>1.516</v>
      </c>
      <c r="J240" s="261">
        <f t="shared" si="60"/>
        <v>1.996</v>
      </c>
      <c r="K240" s="261">
        <f t="shared" si="61"/>
        <v>1.72</v>
      </c>
      <c r="L240" s="249">
        <f t="shared" si="62"/>
        <v>1.9319999999999999</v>
      </c>
      <c r="N240" s="10"/>
      <c r="O240" s="10"/>
      <c r="P240" s="10"/>
      <c r="Q240" s="10"/>
      <c r="R240" s="10"/>
      <c r="S240" s="10"/>
      <c r="T240" s="10"/>
      <c r="U240" s="10"/>
      <c r="V240" s="10"/>
    </row>
    <row r="241" spans="1:22" ht="25.5">
      <c r="A241" s="63" t="s">
        <v>1436</v>
      </c>
      <c r="B241" s="64" t="s">
        <v>1437</v>
      </c>
      <c r="C241" s="74" t="s">
        <v>1438</v>
      </c>
      <c r="D241" s="222">
        <v>3</v>
      </c>
      <c r="E241" s="42"/>
      <c r="F241" s="261">
        <f t="shared" si="56"/>
        <v>1.1294999999999999</v>
      </c>
      <c r="G241" s="261">
        <f t="shared" si="57"/>
        <v>1.1294999999999999</v>
      </c>
      <c r="H241" s="261">
        <f t="shared" si="58"/>
        <v>1.3560000000000001</v>
      </c>
      <c r="I241" s="261">
        <f t="shared" si="59"/>
        <v>1.137</v>
      </c>
      <c r="J241" s="261">
        <f t="shared" si="60"/>
        <v>1.4969999999999999</v>
      </c>
      <c r="K241" s="261">
        <f t="shared" si="61"/>
        <v>1.29</v>
      </c>
      <c r="L241" s="249">
        <f t="shared" si="62"/>
        <v>1.4489999999999998</v>
      </c>
      <c r="N241" s="10"/>
      <c r="O241" s="10"/>
      <c r="P241" s="10"/>
      <c r="Q241" s="10"/>
      <c r="R241" s="10"/>
      <c r="S241" s="10"/>
      <c r="T241" s="10"/>
      <c r="U241" s="10"/>
      <c r="V241" s="10"/>
    </row>
    <row r="242" spans="1:22" ht="25.5">
      <c r="A242" s="63" t="s">
        <v>1439</v>
      </c>
      <c r="B242" s="64" t="s">
        <v>1440</v>
      </c>
      <c r="C242" s="74" t="s">
        <v>1441</v>
      </c>
      <c r="D242" s="222">
        <v>2</v>
      </c>
      <c r="E242" s="42"/>
      <c r="F242" s="261">
        <f t="shared" si="56"/>
        <v>0.753</v>
      </c>
      <c r="G242" s="261">
        <f t="shared" si="57"/>
        <v>0.753</v>
      </c>
      <c r="H242" s="261">
        <f t="shared" si="58"/>
        <v>0.90400000000000003</v>
      </c>
      <c r="I242" s="261">
        <f t="shared" si="59"/>
        <v>0.75800000000000001</v>
      </c>
      <c r="J242" s="261">
        <f t="shared" si="60"/>
        <v>0.998</v>
      </c>
      <c r="K242" s="261">
        <f t="shared" si="61"/>
        <v>0.86</v>
      </c>
      <c r="L242" s="249">
        <f t="shared" si="62"/>
        <v>0.96599999999999997</v>
      </c>
      <c r="N242" s="10"/>
      <c r="O242" s="10"/>
      <c r="P242" s="10"/>
      <c r="Q242" s="10"/>
      <c r="R242" s="10"/>
      <c r="S242" s="10"/>
      <c r="T242" s="10"/>
      <c r="U242" s="10"/>
      <c r="V242" s="10"/>
    </row>
    <row r="243" spans="1:22" ht="25.5">
      <c r="A243" s="63" t="s">
        <v>1442</v>
      </c>
      <c r="B243" s="64" t="s">
        <v>1443</v>
      </c>
      <c r="C243" s="74" t="s">
        <v>1444</v>
      </c>
      <c r="D243" s="222">
        <v>1</v>
      </c>
      <c r="E243" s="42"/>
      <c r="F243" s="261">
        <f t="shared" si="56"/>
        <v>0.3765</v>
      </c>
      <c r="G243" s="261">
        <f t="shared" si="57"/>
        <v>0.3765</v>
      </c>
      <c r="H243" s="261">
        <f t="shared" si="58"/>
        <v>0.45200000000000001</v>
      </c>
      <c r="I243" s="261">
        <f t="shared" si="59"/>
        <v>0.379</v>
      </c>
      <c r="J243" s="261">
        <f t="shared" si="60"/>
        <v>0.499</v>
      </c>
      <c r="K243" s="261">
        <f t="shared" si="61"/>
        <v>0.43</v>
      </c>
      <c r="L243" s="249">
        <f t="shared" si="62"/>
        <v>0.48299999999999998</v>
      </c>
      <c r="N243" s="10"/>
      <c r="O243" s="10"/>
      <c r="P243" s="10"/>
      <c r="Q243" s="10"/>
      <c r="R243" s="10"/>
      <c r="S243" s="10"/>
      <c r="T243" s="10"/>
      <c r="U243" s="10"/>
      <c r="V243" s="10"/>
    </row>
    <row r="244" spans="1:22" ht="25.5">
      <c r="A244" s="63" t="s">
        <v>1445</v>
      </c>
      <c r="B244" s="64" t="s">
        <v>1446</v>
      </c>
      <c r="C244" s="74" t="s">
        <v>1447</v>
      </c>
      <c r="D244" s="222">
        <v>1</v>
      </c>
      <c r="E244" s="42"/>
      <c r="F244" s="261">
        <f t="shared" si="56"/>
        <v>0.3765</v>
      </c>
      <c r="G244" s="261">
        <f t="shared" si="57"/>
        <v>0.3765</v>
      </c>
      <c r="H244" s="261">
        <f t="shared" si="58"/>
        <v>0.45200000000000001</v>
      </c>
      <c r="I244" s="261">
        <f t="shared" si="59"/>
        <v>0.379</v>
      </c>
      <c r="J244" s="261">
        <f t="shared" si="60"/>
        <v>0.499</v>
      </c>
      <c r="K244" s="261">
        <f t="shared" si="61"/>
        <v>0.43</v>
      </c>
      <c r="L244" s="249">
        <f t="shared" si="62"/>
        <v>0.48299999999999998</v>
      </c>
      <c r="N244" s="10"/>
      <c r="O244" s="10"/>
      <c r="P244" s="10"/>
      <c r="Q244" s="10"/>
      <c r="R244" s="10"/>
      <c r="S244" s="10"/>
      <c r="T244" s="10"/>
      <c r="U244" s="10"/>
      <c r="V244" s="10"/>
    </row>
    <row r="245" spans="1:22" ht="25.5">
      <c r="A245" s="63" t="s">
        <v>1448</v>
      </c>
      <c r="B245" s="64" t="s">
        <v>1449</v>
      </c>
      <c r="C245" s="74" t="s">
        <v>1450</v>
      </c>
      <c r="D245" s="222">
        <v>1</v>
      </c>
      <c r="E245" s="42"/>
      <c r="F245" s="261">
        <f t="shared" si="56"/>
        <v>0.3765</v>
      </c>
      <c r="G245" s="261">
        <f t="shared" si="57"/>
        <v>0.3765</v>
      </c>
      <c r="H245" s="261">
        <f t="shared" si="58"/>
        <v>0.45200000000000001</v>
      </c>
      <c r="I245" s="261">
        <f t="shared" si="59"/>
        <v>0.379</v>
      </c>
      <c r="J245" s="261">
        <f t="shared" si="60"/>
        <v>0.499</v>
      </c>
      <c r="K245" s="261">
        <f t="shared" si="61"/>
        <v>0.43</v>
      </c>
      <c r="L245" s="249">
        <f t="shared" si="62"/>
        <v>0.48299999999999998</v>
      </c>
      <c r="N245" s="10"/>
      <c r="O245" s="10"/>
      <c r="P245" s="10"/>
      <c r="Q245" s="10"/>
      <c r="R245" s="10"/>
      <c r="S245" s="10"/>
      <c r="T245" s="10"/>
      <c r="U245" s="10"/>
      <c r="V245" s="10"/>
    </row>
    <row r="246" spans="1:22">
      <c r="A246" s="63" t="s">
        <v>1451</v>
      </c>
      <c r="B246" s="64" t="s">
        <v>1452</v>
      </c>
      <c r="C246" s="74" t="s">
        <v>1453</v>
      </c>
      <c r="D246" s="222">
        <v>25</v>
      </c>
      <c r="E246" s="42"/>
      <c r="F246" s="261">
        <f t="shared" si="56"/>
        <v>9.4124999999999996</v>
      </c>
      <c r="G246" s="261">
        <f t="shared" si="57"/>
        <v>9.4124999999999996</v>
      </c>
      <c r="H246" s="261">
        <f t="shared" si="58"/>
        <v>11.3</v>
      </c>
      <c r="I246" s="261">
        <f t="shared" si="59"/>
        <v>9.4749999999999996</v>
      </c>
      <c r="J246" s="261">
        <f t="shared" si="60"/>
        <v>12.475</v>
      </c>
      <c r="K246" s="261">
        <f t="shared" si="61"/>
        <v>10.75</v>
      </c>
      <c r="L246" s="249">
        <f t="shared" si="62"/>
        <v>12.074999999999999</v>
      </c>
      <c r="N246" s="10"/>
      <c r="O246" s="10"/>
      <c r="P246" s="10"/>
      <c r="Q246" s="10"/>
      <c r="R246" s="10"/>
      <c r="S246" s="10"/>
      <c r="T246" s="10"/>
      <c r="U246" s="10"/>
      <c r="V246" s="10"/>
    </row>
    <row r="247" spans="1:22">
      <c r="A247" s="63" t="s">
        <v>1454</v>
      </c>
      <c r="B247" s="64" t="s">
        <v>1455</v>
      </c>
      <c r="C247" s="74" t="s">
        <v>1456</v>
      </c>
      <c r="D247" s="222">
        <v>14</v>
      </c>
      <c r="E247" s="42"/>
      <c r="F247" s="261">
        <f t="shared" si="56"/>
        <v>5.2709999999999999</v>
      </c>
      <c r="G247" s="261">
        <f t="shared" si="57"/>
        <v>5.2709999999999999</v>
      </c>
      <c r="H247" s="261">
        <f t="shared" si="58"/>
        <v>6.3280000000000003</v>
      </c>
      <c r="I247" s="261">
        <f t="shared" si="59"/>
        <v>5.306</v>
      </c>
      <c r="J247" s="261">
        <f t="shared" si="60"/>
        <v>6.9859999999999998</v>
      </c>
      <c r="K247" s="261">
        <f t="shared" si="61"/>
        <v>6.02</v>
      </c>
      <c r="L247" s="249">
        <f t="shared" si="62"/>
        <v>6.7619999999999996</v>
      </c>
      <c r="N247" s="10"/>
      <c r="O247" s="10"/>
      <c r="P247" s="10"/>
      <c r="Q247" s="10"/>
      <c r="R247" s="10"/>
      <c r="S247" s="10"/>
      <c r="T247" s="10"/>
      <c r="U247" s="10"/>
      <c r="V247" s="10"/>
    </row>
    <row r="248" spans="1:22">
      <c r="A248" s="63" t="s">
        <v>1457</v>
      </c>
      <c r="B248" s="64" t="s">
        <v>1458</v>
      </c>
      <c r="C248" s="65" t="s">
        <v>1459</v>
      </c>
      <c r="D248" s="222">
        <v>3</v>
      </c>
      <c r="E248" s="42"/>
      <c r="F248" s="261">
        <f t="shared" si="56"/>
        <v>1.1294999999999999</v>
      </c>
      <c r="G248" s="261">
        <f t="shared" si="57"/>
        <v>1.1294999999999999</v>
      </c>
      <c r="H248" s="261">
        <f t="shared" si="58"/>
        <v>1.3560000000000001</v>
      </c>
      <c r="I248" s="261">
        <f t="shared" si="59"/>
        <v>1.137</v>
      </c>
      <c r="J248" s="261">
        <f t="shared" si="60"/>
        <v>1.4969999999999999</v>
      </c>
      <c r="K248" s="261">
        <f t="shared" si="61"/>
        <v>1.29</v>
      </c>
      <c r="L248" s="249">
        <f t="shared" si="62"/>
        <v>1.4489999999999998</v>
      </c>
      <c r="N248" s="10"/>
      <c r="O248" s="10"/>
      <c r="P248" s="10"/>
      <c r="Q248" s="10"/>
      <c r="R248" s="10"/>
      <c r="S248" s="10"/>
      <c r="T248" s="10"/>
      <c r="U248" s="10"/>
      <c r="V248" s="10"/>
    </row>
    <row r="249" spans="1:22">
      <c r="A249" s="63" t="s">
        <v>1460</v>
      </c>
      <c r="B249" s="64" t="s">
        <v>1461</v>
      </c>
      <c r="C249" s="65" t="s">
        <v>1462</v>
      </c>
      <c r="D249" s="222">
        <v>3</v>
      </c>
      <c r="E249" s="42"/>
      <c r="F249" s="261">
        <f t="shared" si="56"/>
        <v>1.1294999999999999</v>
      </c>
      <c r="G249" s="261">
        <f t="shared" si="57"/>
        <v>1.1294999999999999</v>
      </c>
      <c r="H249" s="261">
        <f t="shared" si="58"/>
        <v>1.3560000000000001</v>
      </c>
      <c r="I249" s="261">
        <f t="shared" si="59"/>
        <v>1.137</v>
      </c>
      <c r="J249" s="261">
        <f t="shared" si="60"/>
        <v>1.4969999999999999</v>
      </c>
      <c r="K249" s="261">
        <f t="shared" si="61"/>
        <v>1.29</v>
      </c>
      <c r="L249" s="249">
        <f t="shared" si="62"/>
        <v>1.4489999999999998</v>
      </c>
      <c r="N249" s="10"/>
      <c r="O249" s="10"/>
      <c r="P249" s="10"/>
      <c r="Q249" s="10"/>
      <c r="R249" s="10"/>
      <c r="S249" s="10"/>
      <c r="T249" s="10"/>
      <c r="U249" s="10"/>
      <c r="V249" s="10"/>
    </row>
    <row r="250" spans="1:22">
      <c r="A250" s="63" t="s">
        <v>1463</v>
      </c>
      <c r="B250" s="64" t="s">
        <v>1464</v>
      </c>
      <c r="C250" s="65" t="s">
        <v>1465</v>
      </c>
      <c r="D250" s="222">
        <v>2</v>
      </c>
      <c r="E250" s="42"/>
      <c r="F250" s="261">
        <f t="shared" si="56"/>
        <v>0.753</v>
      </c>
      <c r="G250" s="261">
        <f t="shared" si="57"/>
        <v>0.753</v>
      </c>
      <c r="H250" s="261">
        <f t="shared" si="58"/>
        <v>0.90400000000000003</v>
      </c>
      <c r="I250" s="261">
        <f t="shared" si="59"/>
        <v>0.75800000000000001</v>
      </c>
      <c r="J250" s="261">
        <f t="shared" si="60"/>
        <v>0.998</v>
      </c>
      <c r="K250" s="261">
        <f t="shared" si="61"/>
        <v>0.86</v>
      </c>
      <c r="L250" s="249">
        <f t="shared" si="62"/>
        <v>0.96599999999999997</v>
      </c>
      <c r="N250" s="10"/>
      <c r="O250" s="10"/>
      <c r="P250" s="10"/>
      <c r="Q250" s="10"/>
      <c r="R250" s="10"/>
      <c r="S250" s="10"/>
      <c r="T250" s="10"/>
      <c r="U250" s="10"/>
      <c r="V250" s="10"/>
    </row>
    <row r="251" spans="1:22">
      <c r="A251" s="63" t="s">
        <v>1466</v>
      </c>
      <c r="B251" s="64" t="s">
        <v>1467</v>
      </c>
      <c r="C251" s="65" t="s">
        <v>1468</v>
      </c>
      <c r="D251" s="222">
        <v>5</v>
      </c>
      <c r="E251" s="42"/>
      <c r="F251" s="261">
        <f t="shared" si="56"/>
        <v>1.8825000000000001</v>
      </c>
      <c r="G251" s="261">
        <f t="shared" si="57"/>
        <v>1.8825000000000001</v>
      </c>
      <c r="H251" s="261">
        <f t="shared" si="58"/>
        <v>2.2600000000000002</v>
      </c>
      <c r="I251" s="261">
        <f t="shared" si="59"/>
        <v>1.895</v>
      </c>
      <c r="J251" s="261">
        <f t="shared" si="60"/>
        <v>2.4950000000000001</v>
      </c>
      <c r="K251" s="261">
        <f t="shared" si="61"/>
        <v>2.15</v>
      </c>
      <c r="L251" s="249">
        <f t="shared" si="62"/>
        <v>2.415</v>
      </c>
      <c r="N251" s="10"/>
      <c r="O251" s="10"/>
      <c r="P251" s="10"/>
      <c r="Q251" s="10"/>
      <c r="R251" s="10"/>
      <c r="S251" s="10"/>
      <c r="T251" s="10"/>
      <c r="U251" s="10"/>
      <c r="V251" s="10"/>
    </row>
    <row r="252" spans="1:22">
      <c r="A252" s="63" t="s">
        <v>1469</v>
      </c>
      <c r="B252" s="63" t="s">
        <v>1470</v>
      </c>
      <c r="C252" s="74" t="s">
        <v>1471</v>
      </c>
      <c r="D252" s="222">
        <v>150</v>
      </c>
      <c r="E252" s="42"/>
      <c r="F252" s="261">
        <f t="shared" si="56"/>
        <v>56.475000000000001</v>
      </c>
      <c r="G252" s="261">
        <f t="shared" si="57"/>
        <v>56.475000000000001</v>
      </c>
      <c r="H252" s="261">
        <f t="shared" si="58"/>
        <v>67.8</v>
      </c>
      <c r="I252" s="261">
        <f t="shared" si="59"/>
        <v>56.85</v>
      </c>
      <c r="J252" s="261">
        <f t="shared" si="60"/>
        <v>74.849999999999994</v>
      </c>
      <c r="K252" s="261">
        <f t="shared" si="61"/>
        <v>64.5</v>
      </c>
      <c r="L252" s="249">
        <f t="shared" si="62"/>
        <v>72.45</v>
      </c>
      <c r="N252" s="10"/>
      <c r="O252" s="10"/>
      <c r="P252" s="10"/>
      <c r="Q252" s="10"/>
      <c r="R252" s="10"/>
      <c r="S252" s="10"/>
      <c r="T252" s="10"/>
      <c r="U252" s="10"/>
      <c r="V252" s="10"/>
    </row>
    <row r="253" spans="1:22">
      <c r="A253" s="63" t="s">
        <v>1472</v>
      </c>
      <c r="B253" s="64" t="s">
        <v>1473</v>
      </c>
      <c r="C253" s="74" t="s">
        <v>1474</v>
      </c>
      <c r="D253" s="222">
        <v>1</v>
      </c>
      <c r="E253" s="42"/>
      <c r="F253" s="261">
        <f t="shared" si="56"/>
        <v>0.3765</v>
      </c>
      <c r="G253" s="261">
        <f t="shared" si="57"/>
        <v>0.3765</v>
      </c>
      <c r="H253" s="261">
        <f t="shared" si="58"/>
        <v>0.45200000000000001</v>
      </c>
      <c r="I253" s="261">
        <f t="shared" si="59"/>
        <v>0.379</v>
      </c>
      <c r="J253" s="261">
        <f t="shared" si="60"/>
        <v>0.499</v>
      </c>
      <c r="K253" s="261">
        <f t="shared" si="61"/>
        <v>0.43</v>
      </c>
      <c r="L253" s="249">
        <f t="shared" si="62"/>
        <v>0.48299999999999998</v>
      </c>
      <c r="N253" s="10"/>
      <c r="O253" s="10"/>
      <c r="P253" s="10"/>
      <c r="Q253" s="10"/>
      <c r="R253" s="10"/>
      <c r="S253" s="10"/>
      <c r="T253" s="10"/>
      <c r="U253" s="10"/>
      <c r="V253" s="10"/>
    </row>
    <row r="254" spans="1:22">
      <c r="A254" s="63" t="s">
        <v>1475</v>
      </c>
      <c r="B254" s="64" t="s">
        <v>1476</v>
      </c>
      <c r="C254" s="74" t="s">
        <v>1477</v>
      </c>
      <c r="D254" s="222">
        <v>2</v>
      </c>
      <c r="E254" s="42"/>
      <c r="F254" s="261">
        <f t="shared" si="56"/>
        <v>0.753</v>
      </c>
      <c r="G254" s="261">
        <f t="shared" si="57"/>
        <v>0.753</v>
      </c>
      <c r="H254" s="261">
        <f t="shared" si="58"/>
        <v>0.90400000000000003</v>
      </c>
      <c r="I254" s="261">
        <f t="shared" si="59"/>
        <v>0.75800000000000001</v>
      </c>
      <c r="J254" s="261">
        <f t="shared" si="60"/>
        <v>0.998</v>
      </c>
      <c r="K254" s="261">
        <f t="shared" si="61"/>
        <v>0.86</v>
      </c>
      <c r="L254" s="249">
        <f t="shared" si="62"/>
        <v>0.96599999999999997</v>
      </c>
      <c r="N254" s="10"/>
      <c r="O254" s="10"/>
      <c r="P254" s="10"/>
      <c r="Q254" s="10"/>
      <c r="R254" s="10"/>
      <c r="S254" s="10"/>
      <c r="T254" s="10"/>
      <c r="U254" s="10"/>
      <c r="V254" s="10"/>
    </row>
    <row r="255" spans="1:22">
      <c r="A255" s="63" t="s">
        <v>1475</v>
      </c>
      <c r="B255" s="64" t="s">
        <v>1476</v>
      </c>
      <c r="C255" s="74" t="s">
        <v>1478</v>
      </c>
      <c r="D255" s="222">
        <v>2</v>
      </c>
      <c r="E255" s="42"/>
      <c r="F255" s="261">
        <f t="shared" si="56"/>
        <v>0.753</v>
      </c>
      <c r="G255" s="261">
        <f t="shared" si="57"/>
        <v>0.753</v>
      </c>
      <c r="H255" s="261">
        <f t="shared" si="58"/>
        <v>0.90400000000000003</v>
      </c>
      <c r="I255" s="261">
        <f t="shared" si="59"/>
        <v>0.75800000000000001</v>
      </c>
      <c r="J255" s="261">
        <f t="shared" si="60"/>
        <v>0.998</v>
      </c>
      <c r="K255" s="261">
        <f t="shared" si="61"/>
        <v>0.86</v>
      </c>
      <c r="L255" s="249">
        <f t="shared" si="62"/>
        <v>0.96599999999999997</v>
      </c>
      <c r="N255" s="10"/>
      <c r="O255" s="10"/>
      <c r="P255" s="10"/>
      <c r="Q255" s="10"/>
      <c r="R255" s="10"/>
      <c r="S255" s="10"/>
      <c r="T255" s="10"/>
      <c r="U255" s="10"/>
      <c r="V255" s="10"/>
    </row>
    <row r="256" spans="1:22">
      <c r="A256" s="63" t="s">
        <v>1479</v>
      </c>
      <c r="B256" s="64" t="s">
        <v>1366</v>
      </c>
      <c r="C256" s="74" t="s">
        <v>1480</v>
      </c>
      <c r="D256" s="222">
        <v>75</v>
      </c>
      <c r="E256" s="42"/>
      <c r="F256" s="261">
        <f t="shared" si="56"/>
        <v>28.237500000000001</v>
      </c>
      <c r="G256" s="261">
        <f t="shared" si="57"/>
        <v>28.237500000000001</v>
      </c>
      <c r="H256" s="261">
        <f t="shared" si="58"/>
        <v>33.9</v>
      </c>
      <c r="I256" s="261">
        <f t="shared" si="59"/>
        <v>28.425000000000001</v>
      </c>
      <c r="J256" s="261">
        <f t="shared" si="60"/>
        <v>37.424999999999997</v>
      </c>
      <c r="K256" s="261">
        <f t="shared" si="61"/>
        <v>32.25</v>
      </c>
      <c r="L256" s="249">
        <f t="shared" si="62"/>
        <v>36.225000000000001</v>
      </c>
      <c r="N256" s="10"/>
      <c r="O256" s="10"/>
      <c r="P256" s="10"/>
      <c r="Q256" s="10"/>
      <c r="R256" s="10"/>
      <c r="S256" s="10"/>
      <c r="T256" s="10"/>
      <c r="U256" s="10"/>
      <c r="V256" s="10"/>
    </row>
    <row r="257" spans="1:30">
      <c r="A257" s="63" t="s">
        <v>1481</v>
      </c>
      <c r="B257" s="64" t="s">
        <v>1369</v>
      </c>
      <c r="C257" s="74" t="s">
        <v>1482</v>
      </c>
      <c r="D257" s="222">
        <v>36</v>
      </c>
      <c r="E257" s="42"/>
      <c r="F257" s="261">
        <f t="shared" si="56"/>
        <v>13.554</v>
      </c>
      <c r="G257" s="261">
        <f t="shared" si="57"/>
        <v>13.554</v>
      </c>
      <c r="H257" s="261">
        <f t="shared" si="58"/>
        <v>16.272000000000002</v>
      </c>
      <c r="I257" s="261">
        <f t="shared" si="59"/>
        <v>13.644</v>
      </c>
      <c r="J257" s="261">
        <f t="shared" si="60"/>
        <v>17.963999999999999</v>
      </c>
      <c r="K257" s="261">
        <f t="shared" si="61"/>
        <v>15.48</v>
      </c>
      <c r="L257" s="249">
        <f t="shared" si="62"/>
        <v>17.387999999999998</v>
      </c>
      <c r="N257" s="10"/>
      <c r="O257" s="10"/>
      <c r="P257" s="10"/>
      <c r="Q257" s="10"/>
      <c r="R257" s="10"/>
      <c r="S257" s="10"/>
      <c r="T257" s="10"/>
      <c r="U257" s="10"/>
      <c r="V257" s="10"/>
    </row>
    <row r="258" spans="1:30">
      <c r="A258" s="63" t="s">
        <v>1483</v>
      </c>
      <c r="B258" s="64" t="s">
        <v>1372</v>
      </c>
      <c r="C258" s="74" t="s">
        <v>1484</v>
      </c>
      <c r="D258" s="222">
        <v>75</v>
      </c>
      <c r="E258" s="42"/>
      <c r="F258" s="261">
        <f t="shared" si="56"/>
        <v>28.237500000000001</v>
      </c>
      <c r="G258" s="261">
        <f t="shared" si="57"/>
        <v>28.237500000000001</v>
      </c>
      <c r="H258" s="261">
        <f t="shared" si="58"/>
        <v>33.9</v>
      </c>
      <c r="I258" s="261">
        <f t="shared" si="59"/>
        <v>28.425000000000001</v>
      </c>
      <c r="J258" s="261">
        <f t="shared" si="60"/>
        <v>37.424999999999997</v>
      </c>
      <c r="K258" s="261">
        <f t="shared" si="61"/>
        <v>32.25</v>
      </c>
      <c r="L258" s="249">
        <f t="shared" si="62"/>
        <v>36.225000000000001</v>
      </c>
      <c r="N258" s="10"/>
      <c r="O258" s="10"/>
      <c r="P258" s="10"/>
      <c r="Q258" s="10"/>
      <c r="R258" s="10"/>
      <c r="S258" s="10"/>
      <c r="T258" s="10"/>
      <c r="U258" s="10"/>
      <c r="V258" s="10"/>
    </row>
    <row r="259" spans="1:30">
      <c r="A259" s="63" t="s">
        <v>1485</v>
      </c>
      <c r="B259" s="64" t="s">
        <v>1375</v>
      </c>
      <c r="C259" s="74" t="s">
        <v>1486</v>
      </c>
      <c r="D259" s="222">
        <v>36</v>
      </c>
      <c r="E259" s="42"/>
      <c r="F259" s="261">
        <f t="shared" si="56"/>
        <v>13.554</v>
      </c>
      <c r="G259" s="261">
        <f t="shared" si="57"/>
        <v>13.554</v>
      </c>
      <c r="H259" s="261">
        <f t="shared" si="58"/>
        <v>16.272000000000002</v>
      </c>
      <c r="I259" s="261">
        <f t="shared" si="59"/>
        <v>13.644</v>
      </c>
      <c r="J259" s="261">
        <f t="shared" si="60"/>
        <v>17.963999999999999</v>
      </c>
      <c r="K259" s="261">
        <f t="shared" si="61"/>
        <v>15.48</v>
      </c>
      <c r="L259" s="249">
        <f t="shared" si="62"/>
        <v>17.387999999999998</v>
      </c>
      <c r="N259" s="10"/>
      <c r="O259" s="10"/>
      <c r="P259" s="10"/>
      <c r="Q259" s="10"/>
      <c r="R259" s="10"/>
      <c r="S259" s="10"/>
      <c r="T259" s="10"/>
      <c r="U259" s="10"/>
      <c r="V259" s="10"/>
    </row>
    <row r="260" spans="1:30">
      <c r="A260" s="63" t="s">
        <v>1487</v>
      </c>
      <c r="B260" s="64" t="s">
        <v>1487</v>
      </c>
      <c r="C260" s="74" t="s">
        <v>1488</v>
      </c>
      <c r="D260" s="222">
        <v>25</v>
      </c>
      <c r="E260" s="42"/>
      <c r="F260" s="261">
        <f t="shared" si="56"/>
        <v>9.4124999999999996</v>
      </c>
      <c r="G260" s="261">
        <f t="shared" si="57"/>
        <v>9.4124999999999996</v>
      </c>
      <c r="H260" s="261">
        <f t="shared" si="58"/>
        <v>11.3</v>
      </c>
      <c r="I260" s="261">
        <f t="shared" si="59"/>
        <v>9.4749999999999996</v>
      </c>
      <c r="J260" s="261">
        <f t="shared" si="60"/>
        <v>12.475</v>
      </c>
      <c r="K260" s="261">
        <f t="shared" si="61"/>
        <v>10.75</v>
      </c>
      <c r="L260" s="249">
        <f t="shared" si="62"/>
        <v>12.074999999999999</v>
      </c>
      <c r="N260" s="10"/>
      <c r="O260" s="10"/>
      <c r="P260" s="10"/>
      <c r="Q260" s="10"/>
      <c r="R260" s="10"/>
      <c r="S260" s="10"/>
      <c r="T260" s="10"/>
      <c r="U260" s="10"/>
      <c r="V260" s="10"/>
    </row>
    <row r="261" spans="1:30">
      <c r="A261" s="63" t="s">
        <v>1489</v>
      </c>
      <c r="B261" s="64" t="s">
        <v>1489</v>
      </c>
      <c r="C261" s="74" t="s">
        <v>1490</v>
      </c>
      <c r="D261" s="222">
        <v>3</v>
      </c>
      <c r="E261" s="42"/>
      <c r="F261" s="261">
        <f t="shared" si="56"/>
        <v>1.1294999999999999</v>
      </c>
      <c r="G261" s="261">
        <f t="shared" si="57"/>
        <v>1.1294999999999999</v>
      </c>
      <c r="H261" s="261">
        <f t="shared" si="58"/>
        <v>1.3560000000000001</v>
      </c>
      <c r="I261" s="261">
        <f t="shared" si="59"/>
        <v>1.137</v>
      </c>
      <c r="J261" s="261">
        <f t="shared" si="60"/>
        <v>1.4969999999999999</v>
      </c>
      <c r="K261" s="261">
        <f t="shared" si="61"/>
        <v>1.29</v>
      </c>
      <c r="L261" s="249">
        <f t="shared" si="62"/>
        <v>1.4489999999999998</v>
      </c>
      <c r="N261" s="10"/>
      <c r="O261" s="10"/>
      <c r="P261" s="10"/>
      <c r="Q261" s="10"/>
      <c r="R261" s="10"/>
      <c r="S261" s="10"/>
      <c r="T261" s="10"/>
      <c r="U261" s="10"/>
      <c r="V261" s="10"/>
    </row>
    <row r="262" spans="1:30">
      <c r="A262" s="63" t="s">
        <v>1491</v>
      </c>
      <c r="B262" s="64" t="s">
        <v>1491</v>
      </c>
      <c r="C262" s="65" t="s">
        <v>1492</v>
      </c>
      <c r="D262" s="222">
        <v>2</v>
      </c>
      <c r="E262" s="42"/>
      <c r="F262" s="261">
        <f t="shared" si="56"/>
        <v>0.753</v>
      </c>
      <c r="G262" s="261">
        <f t="shared" si="57"/>
        <v>0.753</v>
      </c>
      <c r="H262" s="261">
        <f t="shared" si="58"/>
        <v>0.90400000000000003</v>
      </c>
      <c r="I262" s="261">
        <f t="shared" si="59"/>
        <v>0.75800000000000001</v>
      </c>
      <c r="J262" s="261">
        <f t="shared" si="60"/>
        <v>0.998</v>
      </c>
      <c r="K262" s="261">
        <f t="shared" si="61"/>
        <v>0.86</v>
      </c>
      <c r="L262" s="249">
        <f t="shared" si="62"/>
        <v>0.96599999999999997</v>
      </c>
      <c r="N262" s="10"/>
      <c r="O262" s="10"/>
      <c r="P262" s="10"/>
      <c r="Q262" s="10"/>
      <c r="R262" s="10"/>
      <c r="S262" s="10"/>
      <c r="T262" s="10"/>
      <c r="U262" s="10"/>
      <c r="V262" s="10"/>
    </row>
    <row r="263" spans="1:30">
      <c r="A263" s="63" t="s">
        <v>1493</v>
      </c>
      <c r="B263" s="64" t="s">
        <v>1493</v>
      </c>
      <c r="C263" s="65" t="s">
        <v>1494</v>
      </c>
      <c r="D263" s="222">
        <v>4</v>
      </c>
      <c r="E263" s="42"/>
      <c r="F263" s="261">
        <f t="shared" si="56"/>
        <v>1.506</v>
      </c>
      <c r="G263" s="261">
        <f t="shared" si="57"/>
        <v>1.506</v>
      </c>
      <c r="H263" s="261">
        <f t="shared" si="58"/>
        <v>1.8080000000000001</v>
      </c>
      <c r="I263" s="261">
        <f t="shared" si="59"/>
        <v>1.516</v>
      </c>
      <c r="J263" s="261">
        <f t="shared" si="60"/>
        <v>1.996</v>
      </c>
      <c r="K263" s="261">
        <f t="shared" si="61"/>
        <v>1.72</v>
      </c>
      <c r="L263" s="249">
        <f t="shared" si="62"/>
        <v>1.9319999999999999</v>
      </c>
      <c r="N263" s="10"/>
      <c r="O263" s="10"/>
      <c r="P263" s="10"/>
      <c r="Q263" s="10"/>
      <c r="R263" s="10"/>
      <c r="S263" s="10"/>
      <c r="T263" s="10"/>
      <c r="U263" s="10"/>
      <c r="V263" s="10"/>
    </row>
    <row r="264" spans="1:30">
      <c r="A264" s="63" t="s">
        <v>1495</v>
      </c>
      <c r="B264" s="64" t="s">
        <v>1495</v>
      </c>
      <c r="C264" s="65" t="s">
        <v>1496</v>
      </c>
      <c r="D264" s="222">
        <v>4</v>
      </c>
      <c r="E264" s="42"/>
      <c r="F264" s="261">
        <f t="shared" si="56"/>
        <v>1.506</v>
      </c>
      <c r="G264" s="261">
        <f t="shared" si="57"/>
        <v>1.506</v>
      </c>
      <c r="H264" s="261">
        <f t="shared" si="58"/>
        <v>1.8080000000000001</v>
      </c>
      <c r="I264" s="261">
        <f t="shared" si="59"/>
        <v>1.516</v>
      </c>
      <c r="J264" s="261">
        <f t="shared" si="60"/>
        <v>1.996</v>
      </c>
      <c r="K264" s="261">
        <f t="shared" si="61"/>
        <v>1.72</v>
      </c>
      <c r="L264" s="249">
        <f t="shared" si="62"/>
        <v>1.9319999999999999</v>
      </c>
      <c r="N264" s="10"/>
      <c r="O264" s="10"/>
      <c r="P264" s="10"/>
      <c r="Q264" s="10"/>
      <c r="R264" s="10"/>
      <c r="S264" s="10"/>
      <c r="T264" s="10"/>
      <c r="U264" s="10"/>
      <c r="V264" s="10"/>
    </row>
    <row r="265" spans="1:30" ht="47.25">
      <c r="A265" s="63" t="s">
        <v>1497</v>
      </c>
      <c r="B265" s="64" t="s">
        <v>1497</v>
      </c>
      <c r="C265" s="65" t="s">
        <v>1498</v>
      </c>
      <c r="D265" s="222">
        <v>4</v>
      </c>
      <c r="E265" s="42"/>
      <c r="F265" s="261">
        <f t="shared" si="56"/>
        <v>1.506</v>
      </c>
      <c r="G265" s="261">
        <f t="shared" si="57"/>
        <v>1.506</v>
      </c>
      <c r="H265" s="261">
        <f t="shared" si="58"/>
        <v>1.8080000000000001</v>
      </c>
      <c r="I265" s="261">
        <f t="shared" si="59"/>
        <v>1.516</v>
      </c>
      <c r="J265" s="261">
        <f t="shared" si="60"/>
        <v>1.996</v>
      </c>
      <c r="K265" s="261">
        <f t="shared" si="61"/>
        <v>1.72</v>
      </c>
      <c r="L265" s="249">
        <f t="shared" si="62"/>
        <v>1.9319999999999999</v>
      </c>
      <c r="N265" s="10"/>
      <c r="O265" s="10"/>
      <c r="P265" s="10"/>
      <c r="Q265" s="10"/>
      <c r="R265" s="10"/>
      <c r="S265" s="10"/>
      <c r="T265" s="10"/>
      <c r="U265" s="10"/>
      <c r="V265" s="10"/>
      <c r="X265" s="53" t="s">
        <v>1596</v>
      </c>
      <c r="Y265" s="53" t="s">
        <v>1597</v>
      </c>
      <c r="Z265" s="53" t="s">
        <v>1598</v>
      </c>
      <c r="AA265" s="53" t="s">
        <v>1599</v>
      </c>
      <c r="AB265" s="53" t="s">
        <v>1600</v>
      </c>
      <c r="AC265" s="53" t="s">
        <v>1601</v>
      </c>
      <c r="AD265" s="53" t="s">
        <v>1607</v>
      </c>
    </row>
    <row r="266" spans="1:30">
      <c r="A266" s="63" t="s">
        <v>1499</v>
      </c>
      <c r="B266" s="64" t="s">
        <v>1499</v>
      </c>
      <c r="C266" s="65" t="s">
        <v>1500</v>
      </c>
      <c r="D266" s="222">
        <v>3</v>
      </c>
      <c r="E266" s="42"/>
      <c r="F266" s="261">
        <f t="shared" si="56"/>
        <v>1.1294999999999999</v>
      </c>
      <c r="G266" s="261">
        <f t="shared" si="57"/>
        <v>1.1294999999999999</v>
      </c>
      <c r="H266" s="261">
        <f t="shared" si="58"/>
        <v>1.3560000000000001</v>
      </c>
      <c r="I266" s="261">
        <f t="shared" si="59"/>
        <v>1.137</v>
      </c>
      <c r="J266" s="261">
        <f t="shared" si="60"/>
        <v>1.4969999999999999</v>
      </c>
      <c r="K266" s="261">
        <f t="shared" si="61"/>
        <v>1.29</v>
      </c>
      <c r="L266" s="249">
        <f t="shared" si="62"/>
        <v>1.4489999999999998</v>
      </c>
      <c r="N266" s="10"/>
      <c r="O266" s="10"/>
      <c r="P266" s="10"/>
      <c r="Q266" s="10"/>
      <c r="R266" s="10"/>
      <c r="S266" s="10"/>
      <c r="T266" s="10"/>
      <c r="U266" s="10"/>
      <c r="V266" s="10"/>
      <c r="X266" s="150">
        <v>0.3765</v>
      </c>
      <c r="Y266" s="150">
        <v>0.3765</v>
      </c>
      <c r="Z266" s="150">
        <v>0.45200000000000001</v>
      </c>
      <c r="AA266" s="150">
        <v>0.379</v>
      </c>
      <c r="AB266" s="150">
        <v>0.499</v>
      </c>
      <c r="AC266" s="150">
        <v>0.43</v>
      </c>
      <c r="AD266" s="150">
        <v>0.48299999999999998</v>
      </c>
    </row>
    <row r="267" spans="1:30" ht="15">
      <c r="A267" s="16"/>
      <c r="B267" s="16"/>
      <c r="C267" s="41"/>
      <c r="D267" s="42"/>
      <c r="E267" s="42"/>
      <c r="F267"/>
      <c r="G267" s="10"/>
      <c r="H267" s="10"/>
      <c r="I267" s="10"/>
      <c r="J267" s="10"/>
      <c r="K267" s="10"/>
      <c r="L267" s="10"/>
      <c r="M267" s="10"/>
      <c r="N267" s="10"/>
      <c r="O267" s="10"/>
      <c r="P267" s="10"/>
      <c r="Q267" s="10"/>
      <c r="R267" s="10"/>
      <c r="S267" s="10"/>
      <c r="T267" s="10"/>
      <c r="U267" s="10"/>
      <c r="V267" s="10"/>
      <c r="X267" s="358" t="s">
        <v>1603</v>
      </c>
      <c r="Y267" s="358"/>
      <c r="Z267" s="358"/>
      <c r="AA267" s="358"/>
      <c r="AB267" s="358"/>
      <c r="AC267" s="358"/>
      <c r="AD267" s="358"/>
    </row>
    <row r="268" spans="1:30" ht="40.5" customHeight="1">
      <c r="A268" s="26" t="s">
        <v>935</v>
      </c>
      <c r="B268" s="5" t="s">
        <v>118</v>
      </c>
      <c r="C268" s="5"/>
      <c r="D268" s="6" t="s">
        <v>938</v>
      </c>
      <c r="E268" s="5" t="s">
        <v>133</v>
      </c>
      <c r="F268" s="5" t="s">
        <v>134</v>
      </c>
      <c r="G268" s="5" t="s">
        <v>135</v>
      </c>
      <c r="H268" s="5" t="s">
        <v>136</v>
      </c>
      <c r="I268" s="5" t="s">
        <v>137</v>
      </c>
      <c r="J268" s="5" t="s">
        <v>339</v>
      </c>
      <c r="K268" s="5" t="s">
        <v>340</v>
      </c>
      <c r="L268" s="5" t="s">
        <v>341</v>
      </c>
      <c r="M268" s="5" t="s">
        <v>342</v>
      </c>
      <c r="N268" s="5" t="s">
        <v>343</v>
      </c>
      <c r="O268" s="5" t="s">
        <v>591</v>
      </c>
      <c r="P268" s="5" t="s">
        <v>592</v>
      </c>
      <c r="Q268" s="5" t="s">
        <v>593</v>
      </c>
      <c r="R268" s="5" t="s">
        <v>594</v>
      </c>
      <c r="S268" s="5" t="s">
        <v>1501</v>
      </c>
      <c r="T268" s="5" t="s">
        <v>1502</v>
      </c>
      <c r="U268" s="5" t="s">
        <v>864</v>
      </c>
      <c r="V268" s="5" t="s">
        <v>862</v>
      </c>
      <c r="X268" s="157" t="s">
        <v>1605</v>
      </c>
      <c r="Y268" s="157" t="s">
        <v>1605</v>
      </c>
      <c r="Z268" s="157" t="s">
        <v>1605</v>
      </c>
      <c r="AA268" s="157" t="s">
        <v>1605</v>
      </c>
      <c r="AB268" s="157" t="s">
        <v>1605</v>
      </c>
      <c r="AC268" s="157" t="s">
        <v>1605</v>
      </c>
      <c r="AD268" s="157" t="s">
        <v>1605</v>
      </c>
    </row>
    <row r="269" spans="1:30">
      <c r="A269" s="59" t="s">
        <v>1503</v>
      </c>
      <c r="B269" s="60"/>
      <c r="C269" s="60"/>
      <c r="D269" s="61"/>
      <c r="E269" s="60"/>
      <c r="F269" s="60"/>
      <c r="G269" s="60"/>
      <c r="H269" s="62"/>
      <c r="I269" s="62"/>
      <c r="J269" s="62"/>
      <c r="K269" s="62"/>
      <c r="L269" s="62"/>
      <c r="M269" s="62"/>
      <c r="N269" s="62"/>
      <c r="O269" s="62"/>
      <c r="P269" s="62"/>
      <c r="Q269" s="62"/>
      <c r="R269" s="62"/>
      <c r="S269" s="62"/>
      <c r="T269" s="62"/>
      <c r="U269" s="62"/>
      <c r="V269" s="62"/>
      <c r="X269" s="60"/>
      <c r="Y269" s="60"/>
      <c r="Z269" s="60"/>
      <c r="AA269" s="60"/>
      <c r="AB269" s="60"/>
      <c r="AC269" s="60"/>
      <c r="AD269" s="60"/>
    </row>
    <row r="270" spans="1:30">
      <c r="A270" s="63" t="s">
        <v>1504</v>
      </c>
      <c r="B270" s="64" t="s">
        <v>1505</v>
      </c>
      <c r="C270" s="65"/>
      <c r="D270" s="82">
        <v>110</v>
      </c>
      <c r="E270" s="111" t="s">
        <v>1506</v>
      </c>
      <c r="F270" s="111" t="s">
        <v>1590</v>
      </c>
      <c r="G270" s="109" t="s">
        <v>1591</v>
      </c>
      <c r="H270" s="110" t="s">
        <v>1507</v>
      </c>
      <c r="I270" s="110" t="s">
        <v>1508</v>
      </c>
      <c r="J270" s="110" t="s">
        <v>1509</v>
      </c>
      <c r="K270" s="232" t="s">
        <v>1510</v>
      </c>
      <c r="L270" s="232" t="s">
        <v>1511</v>
      </c>
      <c r="M270" s="110" t="s">
        <v>1512</v>
      </c>
      <c r="N270" s="110" t="s">
        <v>1513</v>
      </c>
      <c r="O270" s="110" t="s">
        <v>1514</v>
      </c>
      <c r="P270" s="110" t="s">
        <v>1515</v>
      </c>
      <c r="Q270" s="110" t="s">
        <v>1516</v>
      </c>
      <c r="R270" s="110" t="s">
        <v>1517</v>
      </c>
      <c r="S270" s="110" t="s">
        <v>1518</v>
      </c>
      <c r="T270" s="110" t="s">
        <v>1519</v>
      </c>
      <c r="U270" s="111" t="s">
        <v>1520</v>
      </c>
      <c r="V270" s="111" t="s">
        <v>1521</v>
      </c>
      <c r="X270" s="249">
        <f>D270*$X$266</f>
        <v>41.414999999999999</v>
      </c>
      <c r="Y270" s="249">
        <f>D270*$Y$266</f>
        <v>41.414999999999999</v>
      </c>
      <c r="Z270" s="249">
        <f>D270*$Z$266</f>
        <v>49.72</v>
      </c>
      <c r="AA270" s="249">
        <f>D270*$AA$266</f>
        <v>41.69</v>
      </c>
      <c r="AB270" s="249">
        <f>D270*$AB$266</f>
        <v>54.89</v>
      </c>
      <c r="AC270" s="249">
        <f>D270*$AC$266</f>
        <v>47.3</v>
      </c>
      <c r="AD270" s="249">
        <f>D270*$AD$266</f>
        <v>53.129999999999995</v>
      </c>
    </row>
    <row r="271" spans="1:30" ht="25.5">
      <c r="A271" s="63" t="s">
        <v>1704</v>
      </c>
      <c r="B271" s="64" t="s">
        <v>1522</v>
      </c>
      <c r="C271" s="65"/>
      <c r="D271" s="82">
        <v>160</v>
      </c>
      <c r="E271" s="111" t="s">
        <v>1523</v>
      </c>
      <c r="F271" s="111" t="s">
        <v>1592</v>
      </c>
      <c r="G271" s="109" t="s">
        <v>1593</v>
      </c>
      <c r="H271" s="110" t="s">
        <v>1524</v>
      </c>
      <c r="I271" s="110" t="s">
        <v>1525</v>
      </c>
      <c r="J271" s="110" t="s">
        <v>1526</v>
      </c>
      <c r="K271" s="232" t="s">
        <v>1527</v>
      </c>
      <c r="L271" s="232" t="s">
        <v>1528</v>
      </c>
      <c r="M271" s="110" t="s">
        <v>1529</v>
      </c>
      <c r="N271" s="110" t="s">
        <v>1530</v>
      </c>
      <c r="O271" s="110" t="s">
        <v>1531</v>
      </c>
      <c r="P271" s="110" t="s">
        <v>1532</v>
      </c>
      <c r="Q271" s="110" t="s">
        <v>1533</v>
      </c>
      <c r="R271" s="110" t="s">
        <v>1534</v>
      </c>
      <c r="S271" s="110" t="s">
        <v>1535</v>
      </c>
      <c r="T271" s="110" t="s">
        <v>1536</v>
      </c>
      <c r="U271" s="111" t="s">
        <v>1537</v>
      </c>
      <c r="V271" s="111" t="s">
        <v>1538</v>
      </c>
      <c r="X271" s="249">
        <f>D271*$X$266</f>
        <v>60.24</v>
      </c>
      <c r="Y271" s="249">
        <f>D271*$Y$266</f>
        <v>60.24</v>
      </c>
      <c r="Z271" s="249">
        <f>D271*$Z$266</f>
        <v>72.320000000000007</v>
      </c>
      <c r="AA271" s="249">
        <f>D271*$AA$266</f>
        <v>60.64</v>
      </c>
      <c r="AB271" s="249">
        <f>D271*$AB$266</f>
        <v>79.84</v>
      </c>
      <c r="AC271" s="249">
        <f>D271*$AC$266</f>
        <v>68.8</v>
      </c>
      <c r="AD271" s="249">
        <f>D271*$AD$266</f>
        <v>77.28</v>
      </c>
    </row>
    <row r="273" spans="4:21">
      <c r="D273" s="19"/>
      <c r="E273" s="19"/>
    </row>
    <row r="274" spans="4:21">
      <c r="D274" s="19"/>
      <c r="E274" s="19"/>
      <c r="U274" s="205"/>
    </row>
    <row r="275" spans="4:21">
      <c r="D275" s="19"/>
      <c r="E275" s="19"/>
    </row>
    <row r="276" spans="4:21">
      <c r="D276" s="19"/>
      <c r="E276" s="19"/>
    </row>
    <row r="277" spans="4:21">
      <c r="D277" s="19"/>
      <c r="E277" s="19"/>
    </row>
    <row r="278" spans="4:21">
      <c r="D278" s="19"/>
      <c r="E278" s="19"/>
    </row>
    <row r="279" spans="4:21">
      <c r="D279" s="19"/>
      <c r="E279" s="19"/>
    </row>
    <row r="280" spans="4:21">
      <c r="D280" s="19"/>
      <c r="E280" s="19"/>
    </row>
    <row r="281" spans="4:21">
      <c r="D281" s="19"/>
      <c r="E281" s="19"/>
    </row>
    <row r="282" spans="4:21">
      <c r="D282" s="19"/>
      <c r="E282" s="19"/>
    </row>
    <row r="283" spans="4:21">
      <c r="D283" s="19"/>
      <c r="E283" s="19"/>
    </row>
    <row r="284" spans="4:21">
      <c r="D284" s="19"/>
      <c r="E284" s="19"/>
    </row>
    <row r="285" spans="4:21">
      <c r="D285" s="19"/>
      <c r="E285" s="19"/>
    </row>
    <row r="286" spans="4:21">
      <c r="D286" s="19"/>
      <c r="E286" s="19"/>
    </row>
    <row r="287" spans="4:21">
      <c r="D287" s="19"/>
      <c r="E287" s="19"/>
    </row>
    <row r="288" spans="4:21">
      <c r="D288" s="19"/>
      <c r="E288" s="19"/>
    </row>
    <row r="289" s="19" customFormat="1"/>
    <row r="290" s="19" customFormat="1"/>
    <row r="291" s="19" customFormat="1"/>
  </sheetData>
  <mergeCells count="3">
    <mergeCell ref="F9:L9"/>
    <mergeCell ref="F12:L12"/>
    <mergeCell ref="X267:AD267"/>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5:V22"/>
  <sheetViews>
    <sheetView zoomScale="60" zoomScaleNormal="60" workbookViewId="0">
      <selection activeCell="N17" sqref="N17"/>
    </sheetView>
  </sheetViews>
  <sheetFormatPr baseColWidth="10" defaultColWidth="11.42578125" defaultRowHeight="14.25"/>
  <cols>
    <col min="1" max="1" width="6.42578125" style="8" bestFit="1" customWidth="1"/>
    <col min="2" max="2" width="8.85546875" style="8" bestFit="1" customWidth="1"/>
    <col min="3" max="3" width="21" style="8" bestFit="1" customWidth="1"/>
    <col min="4" max="4" width="23.42578125" style="8" bestFit="1" customWidth="1"/>
    <col min="5" max="6" width="12.42578125" style="8" customWidth="1"/>
    <col min="7" max="7" width="18.85546875" style="8" customWidth="1"/>
    <col min="8" max="8" width="12.42578125" style="8" customWidth="1"/>
    <col min="9" max="9" width="33.140625" style="16" bestFit="1" customWidth="1"/>
    <col min="10" max="10" width="20.42578125" style="21" bestFit="1" customWidth="1"/>
    <col min="11" max="11" width="8.140625" style="3" bestFit="1" customWidth="1"/>
    <col min="12" max="12" width="17.42578125" style="8" bestFit="1" customWidth="1"/>
    <col min="13" max="13" width="17.85546875" style="8" bestFit="1" customWidth="1"/>
    <col min="14" max="14" width="34.140625" style="8" customWidth="1"/>
    <col min="15" max="15" width="4.42578125" style="8" customWidth="1"/>
    <col min="16" max="16" width="15.140625" style="8" customWidth="1"/>
    <col min="17" max="17" width="14.85546875" style="8" customWidth="1"/>
    <col min="18" max="18" width="13.42578125" style="8" customWidth="1"/>
    <col min="19" max="19" width="11.42578125" style="8"/>
    <col min="20" max="20" width="12.140625" style="8" customWidth="1"/>
    <col min="21" max="22" width="13.140625" style="8" customWidth="1"/>
    <col min="23" max="16384" width="11.42578125" style="8"/>
  </cols>
  <sheetData>
    <row r="5" spans="1:22" ht="64.5" customHeight="1">
      <c r="P5" s="355" t="s">
        <v>1595</v>
      </c>
      <c r="Q5" s="356"/>
      <c r="R5" s="356"/>
      <c r="S5" s="356"/>
      <c r="T5" s="356"/>
      <c r="U5" s="356"/>
      <c r="V5" s="357"/>
    </row>
    <row r="6" spans="1:22" s="3" customFormat="1" ht="31.5">
      <c r="A6" s="352" t="s">
        <v>114</v>
      </c>
      <c r="B6" s="352"/>
      <c r="C6" s="352"/>
      <c r="D6" s="352"/>
      <c r="E6" s="352"/>
      <c r="F6" s="352"/>
      <c r="G6" s="352"/>
      <c r="H6" s="352"/>
      <c r="I6" s="16"/>
      <c r="J6" s="21"/>
      <c r="P6" s="53" t="s">
        <v>1596</v>
      </c>
      <c r="Q6" s="53" t="s">
        <v>1597</v>
      </c>
      <c r="R6" s="53" t="s">
        <v>1598</v>
      </c>
      <c r="S6" s="53" t="s">
        <v>1599</v>
      </c>
      <c r="T6" s="53" t="s">
        <v>1600</v>
      </c>
      <c r="U6" s="53" t="s">
        <v>1601</v>
      </c>
      <c r="V6" s="53" t="s">
        <v>1607</v>
      </c>
    </row>
    <row r="7" spans="1:22" s="3" customFormat="1" ht="20.25">
      <c r="A7" s="352" t="s">
        <v>115</v>
      </c>
      <c r="B7" s="352"/>
      <c r="C7" s="352"/>
      <c r="D7" s="352"/>
      <c r="E7" s="352"/>
      <c r="F7" s="352"/>
      <c r="G7" s="352"/>
      <c r="H7" s="352"/>
      <c r="I7" s="27"/>
      <c r="J7" s="21"/>
      <c r="P7" s="150">
        <v>0.3765</v>
      </c>
      <c r="Q7" s="150">
        <v>0.3765</v>
      </c>
      <c r="R7" s="150">
        <v>0.45200000000000001</v>
      </c>
      <c r="S7" s="150">
        <v>0.379</v>
      </c>
      <c r="T7" s="150">
        <v>0.499</v>
      </c>
      <c r="U7" s="150">
        <v>0.43</v>
      </c>
      <c r="V7" s="150">
        <v>0.48299999999999998</v>
      </c>
    </row>
    <row r="8" spans="1:22" s="16" customFormat="1" ht="20.25">
      <c r="A8" s="353" t="s">
        <v>1539</v>
      </c>
      <c r="B8" s="354"/>
      <c r="C8" s="354"/>
      <c r="D8" s="354"/>
      <c r="E8" s="354"/>
      <c r="F8" s="354"/>
      <c r="G8" s="354"/>
      <c r="H8" s="354"/>
      <c r="I8" s="354"/>
      <c r="J8" s="354"/>
      <c r="K8" s="354"/>
      <c r="L8" s="354"/>
      <c r="M8" s="354"/>
      <c r="N8" s="73"/>
      <c r="P8" s="358" t="s">
        <v>1603</v>
      </c>
      <c r="Q8" s="358"/>
      <c r="R8" s="358"/>
      <c r="S8" s="358"/>
      <c r="T8" s="358"/>
      <c r="U8" s="358"/>
      <c r="V8" s="358"/>
    </row>
    <row r="9" spans="1:22" s="16" customFormat="1" ht="72" customHeight="1">
      <c r="A9" s="28" t="s">
        <v>1540</v>
      </c>
      <c r="B9" s="29" t="s">
        <v>120</v>
      </c>
      <c r="C9" s="30" t="s">
        <v>1541</v>
      </c>
      <c r="D9" s="30" t="s">
        <v>1542</v>
      </c>
      <c r="E9" s="30" t="s">
        <v>1543</v>
      </c>
      <c r="F9" s="30" t="s">
        <v>1544</v>
      </c>
      <c r="G9" s="30" t="s">
        <v>1545</v>
      </c>
      <c r="H9" s="30" t="s">
        <v>1546</v>
      </c>
      <c r="I9" s="30" t="s">
        <v>1547</v>
      </c>
      <c r="J9" s="31" t="s">
        <v>1548</v>
      </c>
      <c r="K9" s="31" t="s">
        <v>1594</v>
      </c>
      <c r="L9" s="31" t="s">
        <v>1549</v>
      </c>
      <c r="M9" s="32" t="s">
        <v>1551</v>
      </c>
      <c r="N9" s="131" t="s">
        <v>1573</v>
      </c>
      <c r="P9" s="157" t="s">
        <v>1605</v>
      </c>
      <c r="Q9" s="157" t="s">
        <v>1605</v>
      </c>
      <c r="R9" s="157" t="s">
        <v>1605</v>
      </c>
      <c r="S9" s="157" t="s">
        <v>1605</v>
      </c>
      <c r="T9" s="157" t="s">
        <v>1605</v>
      </c>
      <c r="U9" s="157" t="s">
        <v>1605</v>
      </c>
      <c r="V9" s="157" t="s">
        <v>1605</v>
      </c>
    </row>
    <row r="10" spans="1:22" s="16" customFormat="1" ht="12.75">
      <c r="A10" s="33" t="s">
        <v>1552</v>
      </c>
      <c r="B10" s="34"/>
      <c r="C10" s="34"/>
      <c r="D10" s="34"/>
      <c r="E10" s="34"/>
      <c r="F10" s="34"/>
      <c r="G10" s="34"/>
      <c r="H10" s="34"/>
      <c r="I10" s="34"/>
      <c r="J10" s="34" t="s">
        <v>1553</v>
      </c>
      <c r="K10" s="34" t="s">
        <v>1552</v>
      </c>
      <c r="L10" s="35" t="s">
        <v>1554</v>
      </c>
      <c r="M10" s="36"/>
      <c r="N10" s="7"/>
    </row>
    <row r="11" spans="1:22" s="16" customFormat="1" ht="38.25">
      <c r="A11" s="37" t="s">
        <v>1552</v>
      </c>
      <c r="B11" s="38" t="s">
        <v>1555</v>
      </c>
      <c r="C11" s="39" t="s">
        <v>1556</v>
      </c>
      <c r="D11" s="39" t="s">
        <v>1557</v>
      </c>
      <c r="E11" s="39" t="s">
        <v>1558</v>
      </c>
      <c r="F11" s="39" t="s">
        <v>1559</v>
      </c>
      <c r="G11" s="39" t="s">
        <v>1560</v>
      </c>
      <c r="H11" s="39" t="s">
        <v>350</v>
      </c>
      <c r="I11" s="39" t="s">
        <v>1561</v>
      </c>
      <c r="J11" s="39" t="s">
        <v>1553</v>
      </c>
      <c r="K11" s="40" t="s">
        <v>1552</v>
      </c>
      <c r="L11" s="39" t="s">
        <v>1562</v>
      </c>
      <c r="M11" s="45" t="s">
        <v>1564</v>
      </c>
      <c r="N11" s="108">
        <v>690</v>
      </c>
      <c r="P11" s="179">
        <f>N11*$P$7</f>
        <v>259.78500000000003</v>
      </c>
      <c r="Q11" s="179">
        <f>N11*$Q$7</f>
        <v>259.78500000000003</v>
      </c>
      <c r="R11" s="179">
        <f>N11*$R$7</f>
        <v>311.88</v>
      </c>
      <c r="S11" s="179">
        <f>N11*$S$7</f>
        <v>261.51</v>
      </c>
      <c r="T11" s="179">
        <f>N11*$T$7</f>
        <v>344.31</v>
      </c>
      <c r="U11" s="179">
        <f>N11*$U$7</f>
        <v>296.7</v>
      </c>
      <c r="V11" s="179">
        <f>N11*$V$7</f>
        <v>333.27</v>
      </c>
    </row>
    <row r="12" spans="1:22" s="16" customFormat="1" ht="26.25" customHeight="1">
      <c r="A12" s="37" t="s">
        <v>1565</v>
      </c>
      <c r="B12" s="38" t="s">
        <v>1566</v>
      </c>
      <c r="C12" s="39" t="s">
        <v>1556</v>
      </c>
      <c r="D12" s="39" t="s">
        <v>1557</v>
      </c>
      <c r="E12" s="39" t="s">
        <v>1558</v>
      </c>
      <c r="F12" s="39" t="s">
        <v>1559</v>
      </c>
      <c r="G12" s="39"/>
      <c r="H12" s="39" t="s">
        <v>350</v>
      </c>
      <c r="I12" s="39" t="s">
        <v>1567</v>
      </c>
      <c r="J12" s="39" t="s">
        <v>1553</v>
      </c>
      <c r="K12" s="40" t="s">
        <v>1568</v>
      </c>
      <c r="L12" s="39" t="s">
        <v>1563</v>
      </c>
      <c r="M12" s="45" t="s">
        <v>1564</v>
      </c>
      <c r="N12" s="108">
        <v>601</v>
      </c>
      <c r="P12" s="179">
        <f>N12*$P$7</f>
        <v>226.2765</v>
      </c>
      <c r="Q12" s="179">
        <f>N12*$Q$7</f>
        <v>226.2765</v>
      </c>
      <c r="R12" s="179">
        <f>N12*$R$7</f>
        <v>271.65199999999999</v>
      </c>
      <c r="S12" s="179">
        <f>N12*$S$7</f>
        <v>227.779</v>
      </c>
      <c r="T12" s="179">
        <f>N12*$T$7</f>
        <v>299.899</v>
      </c>
      <c r="U12" s="179">
        <f>N12*$U$7</f>
        <v>258.43</v>
      </c>
      <c r="V12" s="179">
        <f>N12*$V$7</f>
        <v>290.28300000000002</v>
      </c>
    </row>
    <row r="13" spans="1:22" s="16" customFormat="1" ht="15">
      <c r="A13" s="8"/>
      <c r="B13" s="8"/>
      <c r="C13" s="8"/>
      <c r="D13" s="8"/>
      <c r="E13" s="8"/>
      <c r="F13" s="8"/>
      <c r="G13" s="8"/>
      <c r="H13" s="8"/>
      <c r="J13"/>
      <c r="K13"/>
      <c r="L13"/>
      <c r="M13"/>
      <c r="N13"/>
    </row>
    <row r="14" spans="1:22" s="16" customFormat="1">
      <c r="A14" s="8"/>
      <c r="B14" s="8"/>
      <c r="C14" s="8"/>
      <c r="D14" s="8"/>
      <c r="E14" s="8"/>
      <c r="F14" s="8"/>
      <c r="G14" s="8"/>
      <c r="H14" s="8"/>
      <c r="J14" s="21"/>
      <c r="K14" s="3"/>
      <c r="L14" s="8"/>
      <c r="M14" s="8"/>
    </row>
    <row r="15" spans="1:22" s="16" customFormat="1">
      <c r="A15" s="8"/>
      <c r="B15" s="8"/>
      <c r="C15" s="8"/>
      <c r="D15" s="8"/>
      <c r="E15" s="8"/>
      <c r="F15" s="8"/>
      <c r="G15" s="8"/>
      <c r="H15" s="8"/>
      <c r="J15" s="21"/>
      <c r="K15" s="3"/>
      <c r="L15" s="8"/>
      <c r="M15" s="8"/>
    </row>
    <row r="16" spans="1:22" s="16" customFormat="1">
      <c r="A16" s="8"/>
      <c r="B16" s="8"/>
      <c r="C16" s="8"/>
      <c r="D16" s="8"/>
      <c r="E16" s="8"/>
      <c r="F16" s="8"/>
      <c r="G16" s="8"/>
      <c r="H16" s="8"/>
      <c r="J16" s="21"/>
      <c r="K16" s="3"/>
      <c r="L16" s="8"/>
      <c r="M16" s="8"/>
    </row>
    <row r="17" spans="1:13" s="16" customFormat="1">
      <c r="A17" s="8"/>
      <c r="B17" s="8"/>
      <c r="C17" s="8"/>
      <c r="D17" s="8"/>
      <c r="E17" s="8"/>
      <c r="F17" s="8"/>
      <c r="G17" s="8"/>
      <c r="H17" s="8"/>
      <c r="J17" s="21"/>
      <c r="K17" s="3"/>
      <c r="L17" s="8"/>
      <c r="M17" s="8"/>
    </row>
    <row r="18" spans="1:13" s="16" customFormat="1">
      <c r="A18" s="8"/>
      <c r="B18" s="8"/>
      <c r="C18" s="8"/>
      <c r="D18" s="8"/>
      <c r="E18" s="8"/>
      <c r="F18" s="8"/>
      <c r="G18" s="8"/>
      <c r="H18" s="8"/>
      <c r="J18" s="21"/>
      <c r="K18" s="3"/>
      <c r="L18" s="8"/>
      <c r="M18" s="8"/>
    </row>
    <row r="19" spans="1:13" s="16" customFormat="1">
      <c r="A19" s="8"/>
      <c r="B19" s="8"/>
      <c r="C19" s="8"/>
      <c r="D19" s="8"/>
      <c r="E19" s="8"/>
      <c r="F19" s="8"/>
      <c r="G19" s="8"/>
      <c r="H19" s="8"/>
      <c r="J19" s="21"/>
      <c r="K19" s="3"/>
      <c r="L19" s="8"/>
      <c r="M19" s="8"/>
    </row>
    <row r="20" spans="1:13" s="16" customFormat="1">
      <c r="A20" s="8"/>
      <c r="B20" s="8"/>
      <c r="C20" s="8"/>
      <c r="D20" s="8"/>
      <c r="E20" s="8"/>
      <c r="F20" s="8"/>
      <c r="G20" s="8"/>
      <c r="H20" s="8"/>
      <c r="J20" s="21"/>
      <c r="K20" s="3"/>
      <c r="L20" s="8"/>
      <c r="M20" s="8"/>
    </row>
    <row r="21" spans="1:13" s="16" customFormat="1">
      <c r="A21" s="8"/>
      <c r="B21" s="8"/>
      <c r="C21" s="8"/>
      <c r="D21" s="8"/>
      <c r="E21" s="8"/>
      <c r="F21" s="8"/>
      <c r="G21" s="8"/>
      <c r="H21" s="8"/>
      <c r="J21" s="21"/>
      <c r="K21" s="3"/>
      <c r="L21" s="8"/>
      <c r="M21" s="8"/>
    </row>
    <row r="22" spans="1:13" s="16" customFormat="1">
      <c r="A22" s="8"/>
      <c r="B22" s="8"/>
      <c r="C22" s="8"/>
      <c r="D22" s="8"/>
      <c r="E22" s="8"/>
      <c r="F22" s="8"/>
      <c r="G22" s="8"/>
      <c r="H22" s="8"/>
      <c r="J22" s="21"/>
      <c r="K22" s="3"/>
      <c r="L22" s="8"/>
      <c r="M22" s="8"/>
    </row>
  </sheetData>
  <mergeCells count="5">
    <mergeCell ref="A6:H6"/>
    <mergeCell ref="A7:H7"/>
    <mergeCell ref="A8:M8"/>
    <mergeCell ref="P5:V5"/>
    <mergeCell ref="P8:V8"/>
  </mergeCells>
  <conditionalFormatting sqref="B9">
    <cfRule type="duplicateValues" dxfId="4" priority="4"/>
    <cfRule type="duplicateValues" dxfId="3" priority="5"/>
    <cfRule type="duplicateValues" dxfId="2" priority="6"/>
  </conditionalFormatting>
  <conditionalFormatting sqref="B10:B11">
    <cfRule type="duplicateValues" dxfId="1" priority="3"/>
  </conditionalFormatting>
  <conditionalFormatting sqref="B12">
    <cfRule type="duplicateValues" dxfId="0" priority="1"/>
  </conditionalFormatting>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J16"/>
  <sheetViews>
    <sheetView showGridLines="0" zoomScale="70" zoomScaleNormal="70" workbookViewId="0">
      <selection activeCell="C21" sqref="C21"/>
    </sheetView>
  </sheetViews>
  <sheetFormatPr baseColWidth="10" defaultColWidth="10.85546875" defaultRowHeight="15"/>
  <cols>
    <col min="1" max="1" width="22" bestFit="1" customWidth="1"/>
    <col min="2" max="2" width="27.42578125" bestFit="1" customWidth="1"/>
    <col min="3" max="3" width="11" bestFit="1" customWidth="1"/>
    <col min="4" max="10" width="15" customWidth="1"/>
  </cols>
  <sheetData>
    <row r="1" spans="1:10" ht="36">
      <c r="A1" s="359" t="s">
        <v>1608</v>
      </c>
      <c r="B1" s="359"/>
      <c r="C1" s="359"/>
      <c r="D1" s="359"/>
      <c r="E1" s="359"/>
      <c r="F1" s="359"/>
      <c r="G1" s="359"/>
      <c r="H1" s="359"/>
      <c r="I1" s="359"/>
      <c r="J1" s="359"/>
    </row>
    <row r="2" spans="1:10">
      <c r="A2" s="54"/>
      <c r="B2" s="54"/>
      <c r="C2" s="54"/>
    </row>
    <row r="3" spans="1:10" ht="47.25" customHeight="1">
      <c r="A3" s="55" t="s">
        <v>1609</v>
      </c>
      <c r="B3" s="55" t="s">
        <v>1610</v>
      </c>
      <c r="C3" s="55" t="s">
        <v>1611</v>
      </c>
      <c r="D3" s="53" t="s">
        <v>1596</v>
      </c>
      <c r="E3" s="53" t="s">
        <v>1597</v>
      </c>
      <c r="F3" s="53" t="s">
        <v>1598</v>
      </c>
      <c r="G3" s="53" t="s">
        <v>1599</v>
      </c>
      <c r="H3" s="53" t="s">
        <v>1600</v>
      </c>
      <c r="I3" s="53" t="s">
        <v>1601</v>
      </c>
      <c r="J3" s="53" t="s">
        <v>1602</v>
      </c>
    </row>
    <row r="4" spans="1:10">
      <c r="A4" s="360" t="s">
        <v>1612</v>
      </c>
      <c r="B4" s="55" t="s">
        <v>1613</v>
      </c>
      <c r="C4" s="55" t="s">
        <v>1614</v>
      </c>
      <c r="D4" s="56">
        <v>3</v>
      </c>
      <c r="E4" s="56">
        <v>3</v>
      </c>
      <c r="F4" s="56">
        <v>3</v>
      </c>
      <c r="G4" s="56">
        <v>3</v>
      </c>
      <c r="H4" s="56">
        <v>4</v>
      </c>
      <c r="I4" s="56">
        <v>4</v>
      </c>
      <c r="J4" s="56">
        <v>4</v>
      </c>
    </row>
    <row r="5" spans="1:10">
      <c r="A5" s="360"/>
      <c r="B5" s="55" t="s">
        <v>1615</v>
      </c>
      <c r="C5" s="55" t="s">
        <v>1616</v>
      </c>
      <c r="D5" s="56">
        <v>50</v>
      </c>
      <c r="E5" s="56">
        <v>50</v>
      </c>
      <c r="F5" s="56">
        <v>50</v>
      </c>
      <c r="G5" s="56">
        <v>50</v>
      </c>
      <c r="H5" s="56">
        <v>70</v>
      </c>
      <c r="I5" s="56">
        <v>70</v>
      </c>
      <c r="J5" s="56">
        <v>70</v>
      </c>
    </row>
    <row r="6" spans="1:10">
      <c r="A6" s="55" t="s">
        <v>1617</v>
      </c>
      <c r="B6" s="55" t="s">
        <v>1618</v>
      </c>
      <c r="C6" s="55" t="s">
        <v>1619</v>
      </c>
      <c r="D6" s="56">
        <v>4</v>
      </c>
      <c r="E6" s="56">
        <v>4</v>
      </c>
      <c r="F6" s="56">
        <v>4</v>
      </c>
      <c r="G6" s="56">
        <v>4</v>
      </c>
      <c r="H6" s="56">
        <v>5</v>
      </c>
      <c r="I6" s="56">
        <v>5</v>
      </c>
      <c r="J6" s="56">
        <v>5</v>
      </c>
    </row>
    <row r="7" spans="1:10">
      <c r="A7" s="360" t="s">
        <v>1620</v>
      </c>
      <c r="B7" s="55" t="s">
        <v>1621</v>
      </c>
      <c r="C7" s="55" t="s">
        <v>1622</v>
      </c>
      <c r="D7" s="56">
        <v>380</v>
      </c>
      <c r="E7" s="56">
        <v>380</v>
      </c>
      <c r="F7" s="56">
        <v>380</v>
      </c>
      <c r="G7" s="56">
        <v>380</v>
      </c>
      <c r="H7" s="56">
        <v>420</v>
      </c>
      <c r="I7" s="56">
        <v>420</v>
      </c>
      <c r="J7" s="56">
        <v>420</v>
      </c>
    </row>
    <row r="8" spans="1:10">
      <c r="A8" s="360"/>
      <c r="B8" s="55" t="s">
        <v>1623</v>
      </c>
      <c r="C8" s="55" t="s">
        <v>1624</v>
      </c>
      <c r="D8" s="56">
        <v>430</v>
      </c>
      <c r="E8" s="56">
        <v>430</v>
      </c>
      <c r="F8" s="56">
        <v>430</v>
      </c>
      <c r="G8" s="56">
        <v>430</v>
      </c>
      <c r="H8" s="56">
        <v>490</v>
      </c>
      <c r="I8" s="56">
        <v>490</v>
      </c>
      <c r="J8" s="56">
        <v>490</v>
      </c>
    </row>
    <row r="9" spans="1:10">
      <c r="A9" s="360" t="s">
        <v>1625</v>
      </c>
      <c r="B9" s="55" t="s">
        <v>1626</v>
      </c>
      <c r="C9" s="55" t="s">
        <v>1627</v>
      </c>
      <c r="D9" s="57">
        <v>0.12</v>
      </c>
      <c r="E9" s="57">
        <v>0.12</v>
      </c>
      <c r="F9" s="57">
        <v>0.12</v>
      </c>
      <c r="G9" s="57">
        <v>0.12</v>
      </c>
      <c r="H9" s="57">
        <v>0.15</v>
      </c>
      <c r="I9" s="57">
        <v>0.15</v>
      </c>
      <c r="J9" s="57">
        <v>0.15</v>
      </c>
    </row>
    <row r="10" spans="1:10">
      <c r="A10" s="360"/>
      <c r="B10" s="55" t="s">
        <v>1628</v>
      </c>
      <c r="C10" s="55" t="s">
        <v>1629</v>
      </c>
      <c r="D10" s="57">
        <v>0.09</v>
      </c>
      <c r="E10" s="57">
        <v>0.09</v>
      </c>
      <c r="F10" s="57">
        <v>0.09</v>
      </c>
      <c r="G10" s="57">
        <v>0.09</v>
      </c>
      <c r="H10" s="57">
        <v>0.12</v>
      </c>
      <c r="I10" s="57">
        <v>0.12</v>
      </c>
      <c r="J10" s="57">
        <v>0.12</v>
      </c>
    </row>
    <row r="11" spans="1:10">
      <c r="A11" s="360"/>
      <c r="B11" s="55" t="s">
        <v>1630</v>
      </c>
      <c r="C11" s="55" t="s">
        <v>1631</v>
      </c>
      <c r="D11" s="57">
        <v>0.09</v>
      </c>
      <c r="E11" s="57">
        <v>0.09</v>
      </c>
      <c r="F11" s="57">
        <v>0.09</v>
      </c>
      <c r="G11" s="57">
        <v>0.09</v>
      </c>
      <c r="H11" s="57">
        <v>0.12</v>
      </c>
      <c r="I11" s="57">
        <v>0.12</v>
      </c>
      <c r="J11" s="57">
        <v>0.12</v>
      </c>
    </row>
    <row r="12" spans="1:10">
      <c r="A12" s="360" t="s">
        <v>1632</v>
      </c>
      <c r="B12" s="55" t="s">
        <v>1626</v>
      </c>
      <c r="C12" s="55" t="s">
        <v>1633</v>
      </c>
      <c r="D12" s="57">
        <v>0.2</v>
      </c>
      <c r="E12" s="57">
        <v>0.2</v>
      </c>
      <c r="F12" s="57">
        <v>0.2</v>
      </c>
      <c r="G12" s="57">
        <v>0.2</v>
      </c>
      <c r="H12" s="57">
        <v>0.25</v>
      </c>
      <c r="I12" s="57">
        <v>0.25</v>
      </c>
      <c r="J12" s="57">
        <v>0.25</v>
      </c>
    </row>
    <row r="13" spans="1:10">
      <c r="A13" s="360"/>
      <c r="B13" s="55" t="s">
        <v>1628</v>
      </c>
      <c r="C13" s="55" t="s">
        <v>1634</v>
      </c>
      <c r="D13" s="57">
        <v>0.15</v>
      </c>
      <c r="E13" s="57">
        <v>0.15</v>
      </c>
      <c r="F13" s="57">
        <v>0.15</v>
      </c>
      <c r="G13" s="57">
        <v>0.15</v>
      </c>
      <c r="H13" s="57">
        <v>0.2</v>
      </c>
      <c r="I13" s="57">
        <v>0.2</v>
      </c>
      <c r="J13" s="57">
        <v>0.2</v>
      </c>
    </row>
    <row r="14" spans="1:10">
      <c r="A14" s="360"/>
      <c r="B14" s="55" t="s">
        <v>1630</v>
      </c>
      <c r="C14" s="55" t="s">
        <v>1635</v>
      </c>
      <c r="D14" s="57">
        <v>0.15</v>
      </c>
      <c r="E14" s="57">
        <v>0.15</v>
      </c>
      <c r="F14" s="57">
        <v>0.15</v>
      </c>
      <c r="G14" s="57">
        <v>0.15</v>
      </c>
      <c r="H14" s="57">
        <v>0.2</v>
      </c>
      <c r="I14" s="57">
        <v>0.2</v>
      </c>
      <c r="J14" s="57">
        <v>0.2</v>
      </c>
    </row>
    <row r="16" spans="1:10">
      <c r="A16" t="s">
        <v>1636</v>
      </c>
    </row>
  </sheetData>
  <mergeCells count="5">
    <mergeCell ref="A1:J1"/>
    <mergeCell ref="A4:A5"/>
    <mergeCell ref="A7:A8"/>
    <mergeCell ref="A9:A11"/>
    <mergeCell ref="A12:A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40E574666B6CD40B3D8965A58485F6F" ma:contentTypeVersion="1" ma:contentTypeDescription="Crée un document." ma:contentTypeScope="" ma:versionID="cd06698c682c89123c514d903f8304cb">
  <xsd:schema xmlns:xsd="http://www.w3.org/2001/XMLSchema" xmlns:xs="http://www.w3.org/2001/XMLSchema" xmlns:p="http://schemas.microsoft.com/office/2006/metadata/properties" xmlns:ns1="http://schemas.microsoft.com/sharepoint/v3" targetNamespace="http://schemas.microsoft.com/office/2006/metadata/properties" ma:root="true" ma:fieldsID="958d4179aa0650e9d6faab80409a0ec1"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FC5849C6-FCFB-4E2A-97C4-F1DC79F6DB33}">
  <ds:schemaRefs>
    <ds:schemaRef ds:uri="http://schemas.microsoft.com/sharepoint/v3/contenttype/forms"/>
  </ds:schemaRefs>
</ds:datastoreItem>
</file>

<file path=customXml/itemProps2.xml><?xml version="1.0" encoding="utf-8"?>
<ds:datastoreItem xmlns:ds="http://schemas.openxmlformats.org/officeDocument/2006/customXml" ds:itemID="{71EBB3AE-0AE5-4A3E-BA86-9B879E497E50}"/>
</file>

<file path=customXml/itemProps3.xml><?xml version="1.0" encoding="utf-8"?>
<ds:datastoreItem xmlns:ds="http://schemas.openxmlformats.org/officeDocument/2006/customXml" ds:itemID="{60E8C133-FBFD-4A08-8969-B172F9F80FA4}">
  <ds:schemaRefs>
    <ds:schemaRef ds:uri="http://purl.org/dc/terms/"/>
    <ds:schemaRef ds:uri="http://schemas.microsoft.com/office/2006/metadata/properties"/>
    <ds:schemaRef ds:uri="http://purl.org/dc/elements/1.1/"/>
    <ds:schemaRef ds:uri="http://www.w3.org/XML/1998/namespace"/>
    <ds:schemaRef ds:uri="64fe8c59-3550-437a-9cc1-69277fe2ea73"/>
    <ds:schemaRef ds:uri="http://purl.org/dc/dcmitype/"/>
    <ds:schemaRef ds:uri="http://schemas.microsoft.com/office/2006/documentManagement/types"/>
    <ds:schemaRef ds:uri="c526f6ae-98d2-4465-96f7-d6548217b1cd"/>
    <ds:schemaRef ds:uri="http://schemas.microsoft.com/office/infopath/2007/PartnerControls"/>
    <ds:schemaRef ds:uri="http://schemas.openxmlformats.org/package/2006/metadata/core-properties"/>
    <ds:schemaRef ds:uri="998a3a80-ab39-4905-b96f-d633e6269bc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Résumé</vt:lpstr>
      <vt:lpstr>Récapitulatif</vt:lpstr>
      <vt:lpstr>LOT 2</vt:lpstr>
      <vt:lpstr>Extensions Communes</vt:lpstr>
      <vt:lpstr>Clients Légers</vt:lpstr>
      <vt:lpstr>LOT 2 LOCATION</vt:lpstr>
      <vt:lpstr>Extensions Communes LOCATION</vt:lpstr>
      <vt:lpstr>Clients Légers LOCATION</vt:lpstr>
      <vt:lpstr>LOT 2 DROM COM</vt:lpstr>
      <vt:lpstr>Extensions Communes DROM COM</vt:lpstr>
      <vt:lpstr>Clients Légers DROM COM</vt:lpstr>
      <vt:lpstr>Prestations Services DROM COM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Moreau</dc:creator>
  <cp:keywords/>
  <dc:description/>
  <cp:lastModifiedBy>DEMAZY Odile</cp:lastModifiedBy>
  <cp:revision/>
  <dcterms:created xsi:type="dcterms:W3CDTF">2021-12-28T21:33:45Z</dcterms:created>
  <dcterms:modified xsi:type="dcterms:W3CDTF">2024-01-03T16:38:16Z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0x010100E40E574666B6CD40B3D8965A58485F6F</vt:lpwstr>
  </property>
  <property fmtid="{D5CDD505-2E9C-101B-9397-08002B2CF9AE}" pid="3" name="MediaServiceImageTags">
    <vt:lpwstr/>
  </property>
  <property fmtid="{D5CDD505-2E9C-101B-9397-08002B2CF9AE}" pid="4" name="MSIP_Label_d5c20be7-c3a5-46e3-9158-fa8a02ce2395_Enabled">
    <vt:lpwstr>true</vt:lpwstr>
  </property>
  <property fmtid="{D5CDD505-2E9C-101B-9397-08002B2CF9AE}" pid="5" name="MSIP_Label_d5c20be7-c3a5-46e3-9158-fa8a02ce2395_SetDate">
    <vt:lpwstr>2023-04-12T14:18:10Z</vt:lpwstr>
  </property>
  <property fmtid="{D5CDD505-2E9C-101B-9397-08002B2CF9AE}" pid="6" name="MSIP_Label_d5c20be7-c3a5-46e3-9158-fa8a02ce2395_Method">
    <vt:lpwstr>Standard</vt:lpwstr>
  </property>
  <property fmtid="{D5CDD505-2E9C-101B-9397-08002B2CF9AE}" pid="7" name="MSIP_Label_d5c20be7-c3a5-46e3-9158-fa8a02ce2395_Name">
    <vt:lpwstr>defa4170-0d19-0005-0004-bc88714345d2</vt:lpwstr>
  </property>
  <property fmtid="{D5CDD505-2E9C-101B-9397-08002B2CF9AE}" pid="8" name="MSIP_Label_d5c20be7-c3a5-46e3-9158-fa8a02ce2395_SiteId">
    <vt:lpwstr>8c6f9078-037e-4261-a583-52a944e55f7f</vt:lpwstr>
  </property>
  <property fmtid="{D5CDD505-2E9C-101B-9397-08002B2CF9AE}" pid="9" name="MSIP_Label_d5c20be7-c3a5-46e3-9158-fa8a02ce2395_ActionId">
    <vt:lpwstr>b553a881-3fe5-44f9-aeb1-bee6ce41eec8</vt:lpwstr>
  </property>
  <property fmtid="{D5CDD505-2E9C-101B-9397-08002B2CF9AE}" pid="10" name="MSIP_Label_d5c20be7-c3a5-46e3-9158-fa8a02ce2395_ContentBits">
    <vt:lpwstr>0</vt:lpwstr>
  </property>
</Properties>
</file>