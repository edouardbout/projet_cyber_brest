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date1904="1" showInkAnnotation="0" autoCompressPictures="0"/>
  <mc:AlternateContent xmlns:mc="http://schemas.openxmlformats.org/markup-compatibility/2006">
    <mc:Choice Requires="x15">
      <x15ac:absPath xmlns:x15ac="http://schemas.microsoft.com/office/spreadsheetml/2010/11/ac" url="C:\Users\cpereirasan\Downloads\"/>
    </mc:Choice>
  </mc:AlternateContent>
  <bookViews>
    <workbookView xWindow="0" yWindow="465" windowWidth="38400" windowHeight="19800" tabRatio="501" firstSheet="1" activeTab="1"/>
  </bookViews>
  <sheets>
    <sheet name="1 - Page de garde" sheetId="8" r:id="rId1"/>
    <sheet name="2 - Tarif normalisé n°4 Lot 5" sheetId="4" r:id="rId2"/>
    <sheet name="3 - Accessoires et logiciels" sheetId="9" r:id="rId3"/>
    <sheet name="4 - Services" sheetId="10" r:id="rId4"/>
    <sheet name="5 - Location" sheetId="14" r:id="rId5"/>
    <sheet name="6 - Services DROM-COM" sheetId="17" r:id="rId6"/>
    <sheet name="Récapitulatif remises" sheetId="3" r:id="rId7"/>
  </sheets>
  <externalReferences>
    <externalReference r:id="rId8"/>
    <externalReference r:id="rId9"/>
    <externalReference r:id="rId10"/>
  </externalReferences>
  <definedNames>
    <definedName name="_xlnm._FilterDatabase" localSheetId="1" hidden="1">'2 - Tarif normalisé n°4 Lot 5'!$A$1:$Q$679</definedName>
    <definedName name="_xlnm._FilterDatabase" localSheetId="2" hidden="1">'3 - Accessoires et logiciels'!$A$1:$Q$623</definedName>
    <definedName name="_xlnm._FilterDatabase" localSheetId="5" hidden="1">'6 - Services DROM-COM'!$A$6:$H$83</definedName>
    <definedName name="_Pro_13_3___Retina_Core_i5_2_5_GHz_256_Go_stockage_flash__réf._Apple_ME662F_A" localSheetId="1">#REF!</definedName>
    <definedName name="Cat_exco" localSheetId="1">#REF!</definedName>
    <definedName name="Cat_exco_adeth" localSheetId="1">#REF!</definedName>
    <definedName name="Cat_exco_adeth" localSheetId="4">#REF!</definedName>
    <definedName name="Cat_exco_adeth">#REF!</definedName>
    <definedName name="Cat_exco_adsect" localSheetId="1">#REF!</definedName>
    <definedName name="Cat_exco_adsect" localSheetId="4">#REF!</definedName>
    <definedName name="Cat_exco_adsect">#REF!</definedName>
    <definedName name="Cat_exco_advideo" localSheetId="1">#REF!</definedName>
    <definedName name="Cat_exco_advideo" localSheetId="4">#REF!</definedName>
    <definedName name="Cat_exco_advideo">#REF!</definedName>
    <definedName name="Cat_exco_airport" localSheetId="1">#REF!</definedName>
    <definedName name="Cat_exco_airport" localSheetId="4">#REF!</definedName>
    <definedName name="Cat_exco_airport">#REF!</definedName>
    <definedName name="Cat_exco_ass" localSheetId="1">#REF!</definedName>
    <definedName name="Cat_exco_ass" localSheetId="4">#REF!</definedName>
    <definedName name="Cat_exco_ass">#REF!</definedName>
    <definedName name="cat_exco_audio" localSheetId="4">#REF!</definedName>
    <definedName name="cat_exco_audio">#REF!</definedName>
    <definedName name="Cat_exco_batt" localSheetId="1">#REF!</definedName>
    <definedName name="cat_exco_batt" localSheetId="4">#REF!</definedName>
    <definedName name="cat_exco_batt">#REF!</definedName>
    <definedName name="Cat_exco_bretford" localSheetId="1">#REF!</definedName>
    <definedName name="Cat_exco_bretford" localSheetId="4">#REF!</definedName>
    <definedName name="Cat_exco_bretford">#REF!</definedName>
    <definedName name="Cat_exco_cable" localSheetId="1">#REF!</definedName>
    <definedName name="Cat_exco_cable" localSheetId="4">#REF!</definedName>
    <definedName name="Cat_exco_cable">#REF!</definedName>
    <definedName name="Cat_exco_clav" localSheetId="1">#REF!</definedName>
    <definedName name="Cat_exco_clav" localSheetId="4">#REF!</definedName>
    <definedName name="Cat_exco_clav">#REF!</definedName>
    <definedName name="Cat_exco_dd" localSheetId="1">#REF!</definedName>
    <definedName name="Cat_exco_dd" localSheetId="4">#REF!</definedName>
    <definedName name="Cat_exco_dd">#REF!</definedName>
    <definedName name="Cat_exco_ergokally" localSheetId="1">#REF!</definedName>
    <definedName name="Cat_exco_ergokally" localSheetId="4">#REF!</definedName>
    <definedName name="Cat_exco_ergokally">#REF!</definedName>
    <definedName name="Cat_exco_film" localSheetId="1">#REF!</definedName>
    <definedName name="cat_exco_film" localSheetId="4">#REF!</definedName>
    <definedName name="cat_exco_film">#REF!</definedName>
    <definedName name="Cat_exco_iglaze" localSheetId="1">#REF!</definedName>
    <definedName name="cat_exco_iglaze" localSheetId="4">#REF!</definedName>
    <definedName name="cat_exco_iglaze">#REF!</definedName>
    <definedName name="cat_exco_jamf" localSheetId="4">#REF!</definedName>
    <definedName name="cat_exco_jamf">#REF!</definedName>
    <definedName name="Cat_exco_log" localSheetId="1">#REF!</definedName>
    <definedName name="Cat_exco_log" localSheetId="4">#REF!</definedName>
    <definedName name="Cat_exco_log">#REF!</definedName>
    <definedName name="Cat_exco_memsub" localSheetId="1">#REF!</definedName>
    <definedName name="Cat_exco_memsub" localSheetId="4">#REF!</definedName>
    <definedName name="Cat_exco_memsub">#REF!</definedName>
    <definedName name="cat_exco_memusb" localSheetId="4">#REF!</definedName>
    <definedName name="cat_exco_memusb">#REF!</definedName>
    <definedName name="Cat_exco_moni" localSheetId="1">#REF!</definedName>
    <definedName name="Cat_exco_moni" localSheetId="4">#REF!</definedName>
    <definedName name="Cat_exco_moni">#REF!</definedName>
    <definedName name="Cat_exco_ondu" localSheetId="1">#REF!</definedName>
    <definedName name="cat_exco_ondu" localSheetId="4">#REF!</definedName>
    <definedName name="cat_exco_ondu">#REF!</definedName>
    <definedName name="Cat_exco_pciexp" localSheetId="1">#REF!</definedName>
    <definedName name="Cat_exco_pciexp" localSheetId="4">#REF!</definedName>
    <definedName name="Cat_exco_pciexp">#REF!</definedName>
    <definedName name="Cat_exco_sauv" localSheetId="1">#REF!</definedName>
    <definedName name="Cat_exco_sauv" localSheetId="4">#REF!</definedName>
    <definedName name="Cat_exco_sauv">#REF!</definedName>
    <definedName name="Cat_exco_secu" localSheetId="1">#REF!</definedName>
    <definedName name="Cat_exco_secu" localSheetId="4">#REF!</definedName>
    <definedName name="Cat_exco_secu">#REF!</definedName>
    <definedName name="Cat_exco_serv" localSheetId="1">#REF!</definedName>
    <definedName name="Cat_exco_serv" localSheetId="4">#REF!</definedName>
    <definedName name="Cat_exco_serv">#REF!</definedName>
    <definedName name="Cat_exco_souris" localSheetId="1">#REF!</definedName>
    <definedName name="Cat_exco_souris" localSheetId="4">#REF!</definedName>
    <definedName name="Cat_exco_souris">#REF!</definedName>
    <definedName name="Cat1_acc" localSheetId="1">#REF!</definedName>
    <definedName name="cat1_acc_comm" localSheetId="4">#REF!</definedName>
    <definedName name="cat1_acc_comm">#REF!</definedName>
    <definedName name="cat1_acc_mb12" localSheetId="4">#REF!</definedName>
    <definedName name="cat1_acc_mb12">#REF!</definedName>
    <definedName name="cat1_acc_mba13" localSheetId="4">#REF!</definedName>
    <definedName name="cat1_acc_mba13">#REF!</definedName>
    <definedName name="cat1_conf1" localSheetId="4">#REF!</definedName>
    <definedName name="cat1_conf1">#REF!</definedName>
    <definedName name="Cat1_conf1_mba11" localSheetId="1">#REF!</definedName>
    <definedName name="cat1_conf2" localSheetId="4">#REF!</definedName>
    <definedName name="cat1_conf2">#REF!</definedName>
    <definedName name="Cat1_conf2_mba13" localSheetId="1">#REF!</definedName>
    <definedName name="cat1_conf3" localSheetId="4">#REF!</definedName>
    <definedName name="cat1_conf3">#REF!</definedName>
    <definedName name="cat1_conf4" localSheetId="4">#REF!</definedName>
    <definedName name="cat1_conf4">#REF!</definedName>
    <definedName name="Cat1_md223" localSheetId="1">#REF!</definedName>
    <definedName name="Cat1_md224" localSheetId="1">#REF!</definedName>
    <definedName name="Cat1_md231" localSheetId="1">#REF!</definedName>
    <definedName name="Cat1_md232" localSheetId="1">#REF!</definedName>
    <definedName name="Cat2_acc" localSheetId="1">#REF!</definedName>
    <definedName name="cat2_acc_comm" localSheetId="4">#REF!</definedName>
    <definedName name="cat2_acc_comm">#REF!</definedName>
    <definedName name="cat2_acc_mbpr" localSheetId="4">#REF!</definedName>
    <definedName name="cat2_acc_mbpr">#REF!</definedName>
    <definedName name="cat2_acc_mbptb" localSheetId="4">#REF!</definedName>
    <definedName name="cat2_acc_mbptb">#REF!</definedName>
    <definedName name="cat2_conf1" localSheetId="4">#REF!</definedName>
    <definedName name="cat2_conf1">#REF!</definedName>
    <definedName name="cat2_conf2" localSheetId="4">#REF!</definedName>
    <definedName name="cat2_conf2">#REF!</definedName>
    <definedName name="Cat2_conf2_mbp13" localSheetId="1">#REF!</definedName>
    <definedName name="Cat2_conf2_mbp15" localSheetId="1">#REF!</definedName>
    <definedName name="cat2_conf3" localSheetId="4">#REF!</definedName>
    <definedName name="cat2_conf3">#REF!</definedName>
    <definedName name="Cat2_conf3_mbpr13" localSheetId="1">#REF!</definedName>
    <definedName name="cat2_conf4" localSheetId="4">#REF!</definedName>
    <definedName name="cat2_conf4">#REF!</definedName>
    <definedName name="cat2_conf5" localSheetId="4">#REF!</definedName>
    <definedName name="cat2_conf5">#REF!</definedName>
    <definedName name="cat2_conf6" localSheetId="4">#REF!</definedName>
    <definedName name="cat2_conf6">#REF!</definedName>
    <definedName name="cat2_conf7" localSheetId="4">#REF!</definedName>
    <definedName name="cat2_conf7">#REF!</definedName>
    <definedName name="Cat2_md101" localSheetId="1">#REF!</definedName>
    <definedName name="Cat2_md102" localSheetId="1">#REF!</definedName>
    <definedName name="Cat2_md103" localSheetId="1">#REF!</definedName>
    <definedName name="Cat2_md212" localSheetId="1">#REF!</definedName>
    <definedName name="Cat2_me662" localSheetId="1">#REF!</definedName>
    <definedName name="Cat2_me866" localSheetId="1">#REF!</definedName>
    <definedName name="Cat3_acc" localSheetId="1">#REF!</definedName>
    <definedName name="cat3_acc" localSheetId="4">#REF!</definedName>
    <definedName name="cat3_acc">#REF!</definedName>
    <definedName name="cat3_conf1" localSheetId="4">#REF!</definedName>
    <definedName name="cat3_conf1">#REF!</definedName>
    <definedName name="Cat3_conf1_mbpret15" localSheetId="1">#REF!</definedName>
    <definedName name="cat3_conf2" localSheetId="4">#REF!</definedName>
    <definedName name="cat3_conf2">#REF!</definedName>
    <definedName name="cat3_conf3" localSheetId="4">#REF!</definedName>
    <definedName name="cat3_conf3">#REF!</definedName>
    <definedName name="Cat3_me664" localSheetId="1">#REF!</definedName>
    <definedName name="Cat3_me665" localSheetId="1">#REF!</definedName>
    <definedName name="Cat4_acc" localSheetId="1">#REF!</definedName>
    <definedName name="cat4_acc" localSheetId="4">#REF!</definedName>
    <definedName name="cat4_acc">#REF!</definedName>
    <definedName name="cat4_conf1" localSheetId="4">#REF!</definedName>
    <definedName name="cat4_conf1">#REF!</definedName>
    <definedName name="Cat4_conf1_mm" localSheetId="1">#REF!</definedName>
    <definedName name="cat4_conf2" localSheetId="4">#REF!</definedName>
    <definedName name="cat4_conf2">#REF!</definedName>
    <definedName name="cat4_conf3" localSheetId="4">#REF!</definedName>
    <definedName name="cat4_conf3">#REF!</definedName>
    <definedName name="cat4_conf4" localSheetId="4">#REF!</definedName>
    <definedName name="cat4_conf4">#REF!</definedName>
    <definedName name="cat4_conf5" localSheetId="4">#REF!</definedName>
    <definedName name="cat4_conf5">#REF!</definedName>
    <definedName name="cat4_conf6" localSheetId="4">#REF!</definedName>
    <definedName name="cat4_conf6">#REF!</definedName>
    <definedName name="Cat4_md387" localSheetId="1">#REF!</definedName>
    <definedName name="Cat4_md388" localSheetId="1">#REF!</definedName>
    <definedName name="Cat5_acc" localSheetId="1">#REF!</definedName>
    <definedName name="cat5_acc" localSheetId="4">#REF!</definedName>
    <definedName name="cat5_acc">#REF!</definedName>
    <definedName name="cat5_conf1" localSheetId="4">#REF!</definedName>
    <definedName name="cat5_conf1">#REF!</definedName>
    <definedName name="Cat5_conf1_imac" localSheetId="1">#REF!</definedName>
    <definedName name="cat5_conf2" localSheetId="4">#REF!</definedName>
    <definedName name="cat5_conf2">#REF!</definedName>
    <definedName name="Cat5_conf3_im27" localSheetId="1">#REF!</definedName>
    <definedName name="Cat5_me086" localSheetId="1">#REF!</definedName>
    <definedName name="Cat5_me087" localSheetId="1">#REF!</definedName>
    <definedName name="Cat5_me088" localSheetId="1">#REF!</definedName>
    <definedName name="Cat5_me089" localSheetId="1">#REF!</definedName>
    <definedName name="Cat5_mf883" localSheetId="1">#REF!</definedName>
    <definedName name="Cat6_acc" localSheetId="1">#REF!</definedName>
    <definedName name="cat6_acc_com" localSheetId="4">#REF!</definedName>
    <definedName name="cat6_acc_com">#REF!</definedName>
    <definedName name="cat6_acc_dd" localSheetId="4">#REF!</definedName>
    <definedName name="cat6_acc_dd">#REF!</definedName>
    <definedName name="cat6_acc_gestion" localSheetId="4">#REF!</definedName>
    <definedName name="cat6_acc_gestion">#REF!</definedName>
    <definedName name="cat6_acc_ip9" localSheetId="4">#REF!</definedName>
    <definedName name="cat6_acc_ip9">#REF!</definedName>
    <definedName name="cat6_acc_ipa" localSheetId="4">#REF!</definedName>
    <definedName name="cat6_acc_ipa">#REF!</definedName>
    <definedName name="cat6_acc_ipa2" localSheetId="4">#REF!</definedName>
    <definedName name="cat6_acc_ipa2">#REF!</definedName>
    <definedName name="cat6_acc_ipm" localSheetId="4">#REF!</definedName>
    <definedName name="cat6_acc_ipm">#REF!</definedName>
    <definedName name="cat6_acc_ipm4" localSheetId="4">#REF!</definedName>
    <definedName name="cat6_acc_ipm4">#REF!</definedName>
    <definedName name="cat6_acc_ipp12" localSheetId="4">#REF!</definedName>
    <definedName name="cat6_acc_ipp12">#REF!</definedName>
    <definedName name="cat6_acc_ipp9" localSheetId="4">#REF!</definedName>
    <definedName name="cat6_acc_ipp9">#REF!</definedName>
    <definedName name="cat6_acc_light" localSheetId="4">#REF!</definedName>
    <definedName name="cat6_acc_light">#REF!</definedName>
    <definedName name="cat6_conf1" localSheetId="4">#REF!</definedName>
    <definedName name="cat6_conf1">#REF!</definedName>
    <definedName name="Cat6_conf1_mp" localSheetId="1">#REF!</definedName>
    <definedName name="cat6_conf2" localSheetId="4">#REF!</definedName>
    <definedName name="cat6_conf2">#REF!</definedName>
    <definedName name="cat6_conf3" localSheetId="4">#REF!</definedName>
    <definedName name="cat6_conf3">#REF!</definedName>
    <definedName name="cat6_conf5" localSheetId="4">#REF!</definedName>
    <definedName name="cat6_conf5">#REF!</definedName>
    <definedName name="cat6_conf6" localSheetId="4">#REF!</definedName>
    <definedName name="cat6_conf6">#REF!</definedName>
    <definedName name="cat6_conf7" localSheetId="4">#REF!</definedName>
    <definedName name="cat6_conf7">#REF!</definedName>
    <definedName name="cat6_conf8" localSheetId="4">#REF!</definedName>
    <definedName name="cat6_conf8">#REF!</definedName>
    <definedName name="Cat6_md878" localSheetId="1">#REF!</definedName>
    <definedName name="Cat6_me253" localSheetId="1">#REF!</definedName>
    <definedName name="Cat7_acc" localSheetId="1">#REF!</definedName>
    <definedName name="Cat7_conf1_mmsv" localSheetId="1">#REF!</definedName>
    <definedName name="Cat7_md389" localSheetId="1">#REF!</definedName>
    <definedName name="Cat7_md772" localSheetId="1">#REF!</definedName>
    <definedName name="Cat7_mpsvbi" localSheetId="1">#REF!</definedName>
    <definedName name="Cat8_acc_ddipad" localSheetId="1">#REF!</definedName>
    <definedName name="Cat8_acc_dock" localSheetId="1">#REF!</definedName>
    <definedName name="Cat8_acc_gestion" localSheetId="1">#REF!</definedName>
    <definedName name="Cat8_acc_ipad" localSheetId="1">#REF!</definedName>
    <definedName name="Cat8_acc_ipad2" localSheetId="1">#REF!</definedName>
    <definedName name="Cat8_acc_ipada" localSheetId="1">#REF!</definedName>
    <definedName name="Cat8_acc_ipadr" localSheetId="1">#REF!</definedName>
    <definedName name="Cat8_conf1" localSheetId="1">#REF!</definedName>
    <definedName name="Cat8_conf12_ipad2" localSheetId="1">#REF!</definedName>
    <definedName name="Cat8_conf2" localSheetId="1">#REF!</definedName>
    <definedName name="Cat8_conf3" localSheetId="1">#REF!</definedName>
    <definedName name="Cat8_conf34_ipadr" localSheetId="1">#REF!</definedName>
    <definedName name="Cat8_conf4" localSheetId="1">#REF!</definedName>
    <definedName name="im24_5pl" localSheetId="5">#REF!</definedName>
    <definedName name="im24_5pl">'2 - Tarif normalisé n°4 Lot 5'!$H$341</definedName>
    <definedName name="im27_5pl" localSheetId="5">#REF!</definedName>
    <definedName name="im27_5pl">'2 - Tarif normalisé n°4 Lot 5'!$H$399</definedName>
    <definedName name="ip_5pl" localSheetId="5">#REF!</definedName>
    <definedName name="ip_5pl">'2 - Tarif normalisé n°4 Lot 5'!$H$587</definedName>
    <definedName name="ipa_5pl" localSheetId="5">#REF!</definedName>
    <definedName name="ipa_5pl">'2 - Tarif normalisé n°4 Lot 5'!$H$611</definedName>
    <definedName name="ipm_5pl" localSheetId="5">#REF!</definedName>
    <definedName name="ipm_5pl">'2 - Tarif normalisé n°4 Lot 5'!$J$586</definedName>
    <definedName name="mba13_5pl" localSheetId="5">#REF!</definedName>
    <definedName name="mba13_5pl">'2 - Tarif normalisé n°4 Lot 5'!$H$6</definedName>
    <definedName name="mbp13_5pl" localSheetId="5">#REF!</definedName>
    <definedName name="mbp13_5pl">'2 - Tarif normalisé n°4 Lot 5'!$H$71</definedName>
    <definedName name="mbp14_5pl" localSheetId="5">#REF!</definedName>
    <definedName name="mbp14_5pl">'2 - Tarif normalisé n°4 Lot 5'!$J$120</definedName>
    <definedName name="mbp16_5pl" localSheetId="5">#REF!</definedName>
    <definedName name="mbp16_5pl">'2 - Tarif normalisé n°4 Lot 5'!$H$193</definedName>
    <definedName name="mm_5pl" localSheetId="5">#REF!</definedName>
    <definedName name="mm_5pl">'2 - Tarif normalisé n°4 Lot 5'!$H$275</definedName>
    <definedName name="mp_5pl" localSheetId="5">#REF!</definedName>
    <definedName name="mp_5pl">'2 - Tarif normalisé n°4 Lot 5'!$H$471</definedName>
    <definedName name="mst_5pl" localSheetId="5">#REF!</definedName>
    <definedName name="mst_5pl">'2 - Tarif normalisé n°4 Lot 5'!$H$554</definedName>
    <definedName name="PA_GAR_IM" localSheetId="1">#REF!</definedName>
    <definedName name="PA_GAR_IM" localSheetId="4">#REF!</definedName>
    <definedName name="PA_GAR_IM">#REF!</definedName>
    <definedName name="PA_GAR_IP" localSheetId="1">#REF!</definedName>
    <definedName name="PA_GAR_IP" localSheetId="4">#REF!</definedName>
    <definedName name="PA_GAR_IP">#REF!</definedName>
    <definedName name="PA_GAR_MB" localSheetId="1">#REF!</definedName>
    <definedName name="PA_GAR_MB" localSheetId="4">#REF!</definedName>
    <definedName name="PA_GAR_MB">#REF!</definedName>
    <definedName name="PA_GAR_MBP" localSheetId="1">#REF!</definedName>
    <definedName name="PA_GAR_MBP" localSheetId="4">#REF!</definedName>
    <definedName name="PA_GAR_MBP">#REF!</definedName>
    <definedName name="PA_GAR_MM" localSheetId="1">#REF!</definedName>
    <definedName name="PA_GAR_MM" localSheetId="4">#REF!</definedName>
    <definedName name="PA_GAR_MM">#REF!</definedName>
    <definedName name="PA_GAR_MP" localSheetId="1">#REF!</definedName>
    <definedName name="PA_GAR_MP" localSheetId="4">#REF!</definedName>
    <definedName name="PA_GAR_MP">#REF!</definedName>
    <definedName name="pa_im21_5pl" localSheetId="5">#REF!</definedName>
    <definedName name="pa_im21_5pl">'2 - Tarif normalisé n°4 Lot 5'!#REF!</definedName>
    <definedName name="pa_im27_5pl" localSheetId="5">#REF!</definedName>
    <definedName name="pa_im27_5pl">'2 - Tarif normalisé n°4 Lot 5'!#REF!</definedName>
    <definedName name="pa_ip_5pl" localSheetId="5">#REF!</definedName>
    <definedName name="pa_ip_5pl">'2 - Tarif normalisé n°4 Lot 5'!#REF!</definedName>
    <definedName name="pa_mba13_5pl" localSheetId="5">#REF!</definedName>
    <definedName name="pa_mba13_5pl">'2 - Tarif normalisé n°4 Lot 5'!#REF!</definedName>
    <definedName name="pa_mbp13_5pl" localSheetId="5">#REF!</definedName>
    <definedName name="pa_mbp13_5pl">'2 - Tarif normalisé n°4 Lot 5'!#REF!</definedName>
    <definedName name="pa_mbp14_5pl" localSheetId="5">#REF!</definedName>
    <definedName name="pa_mbp14_5pl">'2 - Tarif normalisé n°4 Lot 5'!#REF!</definedName>
    <definedName name="pa_mbp16_5pl" localSheetId="5">#REF!</definedName>
    <definedName name="pa_mbp16_5pl">'2 - Tarif normalisé n°4 Lot 5'!#REF!</definedName>
    <definedName name="pa_mm_5pl" localSheetId="5">#REF!</definedName>
    <definedName name="pa_mm_5pl">'2 - Tarif normalisé n°4 Lot 5'!#REF!</definedName>
    <definedName name="pa_mp_5pl" localSheetId="5">#REF!</definedName>
    <definedName name="pa_mp_5pl">'2 - Tarif normalisé n°4 Lot 5'!#REF!</definedName>
    <definedName name="Page_54" localSheetId="1">#REF!</definedName>
    <definedName name="Page_54" localSheetId="4">#REF!</definedName>
    <definedName name="Page_54">#REF!</definedName>
    <definedName name="pp_cat1_conf1" localSheetId="4">#REF!</definedName>
    <definedName name="pp_cat1_conf1">#REF!</definedName>
    <definedName name="pp_cat1_conf2" localSheetId="4">#REF!</definedName>
    <definedName name="pp_cat1_conf2">#REF!</definedName>
    <definedName name="pp_cat1_conf3" localSheetId="4">#REF!</definedName>
    <definedName name="pp_cat1_conf3">#REF!</definedName>
    <definedName name="pp_cat1_conf4" localSheetId="4">#REF!</definedName>
    <definedName name="pp_cat1_conf4">#REF!</definedName>
    <definedName name="pp_cat1_md223" localSheetId="1">#REF!</definedName>
    <definedName name="pp_cat1_md224" localSheetId="1">#REF!</definedName>
    <definedName name="pp_cat1_md231" localSheetId="1">#REF!</definedName>
    <definedName name="pp_cat1_md232" localSheetId="1">#REF!</definedName>
    <definedName name="pp_cat2_conf1" localSheetId="4">#REF!</definedName>
    <definedName name="pp_cat2_conf1">#REF!</definedName>
    <definedName name="pp_cat2_conf2" localSheetId="4">#REF!</definedName>
    <definedName name="pp_cat2_conf2">#REF!</definedName>
    <definedName name="pp_cat2_conf3" localSheetId="4">#REF!</definedName>
    <definedName name="pp_cat2_conf3">#REF!</definedName>
    <definedName name="pp_cat2_conf4" localSheetId="4">#REF!</definedName>
    <definedName name="pp_cat2_conf4">#REF!</definedName>
    <definedName name="pp_cat2_conf5" localSheetId="4">#REF!</definedName>
    <definedName name="pp_cat2_conf5">#REF!</definedName>
    <definedName name="pp_cat2_conf6" localSheetId="4">#REF!</definedName>
    <definedName name="pp_cat2_conf6">#REF!</definedName>
    <definedName name="pp_cat2_conf7" localSheetId="4">#REF!</definedName>
    <definedName name="pp_cat2_conf7">#REF!</definedName>
    <definedName name="pp_cat2_md101" localSheetId="1">#REF!</definedName>
    <definedName name="pp_cat2_md102" localSheetId="1">#REF!</definedName>
    <definedName name="pp_cat2_md103" localSheetId="1">#REF!</definedName>
    <definedName name="pp_cat2_me864" localSheetId="1">#REF!</definedName>
    <definedName name="pp_cat2_me865" localSheetId="1">#REF!</definedName>
    <definedName name="pp_cat2_me866" localSheetId="1">#REF!</definedName>
    <definedName name="pp_cat3_conf1" localSheetId="4">#REF!</definedName>
    <definedName name="pp_cat3_conf1">#REF!</definedName>
    <definedName name="pp_cat3_conf2" localSheetId="4">#REF!</definedName>
    <definedName name="pp_cat3_conf2">#REF!</definedName>
    <definedName name="pp_cat3_conf3" localSheetId="4">#REF!</definedName>
    <definedName name="pp_cat3_conf3">#REF!</definedName>
    <definedName name="pp_cat3_me293" localSheetId="1">#REF!</definedName>
    <definedName name="pp_cat3_me294" localSheetId="1">#REF!</definedName>
    <definedName name="pp_cat4_conf1" localSheetId="4">#REF!</definedName>
    <definedName name="pp_cat4_conf1">#REF!</definedName>
    <definedName name="pp_cat4_conf2" localSheetId="4">#REF!</definedName>
    <definedName name="pp_cat4_conf2">#REF!</definedName>
    <definedName name="pp_cat4_conf3" localSheetId="4">#REF!</definedName>
    <definedName name="pp_cat4_conf3">#REF!</definedName>
    <definedName name="pp_cat4_conf4" localSheetId="4">#REF!</definedName>
    <definedName name="pp_cat4_conf4">#REF!</definedName>
    <definedName name="pp_cat4_conf5" localSheetId="4">#REF!</definedName>
    <definedName name="pp_cat4_conf5">#REF!</definedName>
    <definedName name="pp_cat4_conf6" localSheetId="4">#REF!</definedName>
    <definedName name="pp_cat4_conf6">#REF!</definedName>
    <definedName name="pp_cat4_md387" localSheetId="1">#REF!</definedName>
    <definedName name="pp_cat4_md388" localSheetId="1">#REF!</definedName>
    <definedName name="pp_cat5_conf1" localSheetId="4">#REF!</definedName>
    <definedName name="pp_cat5_conf1">#REF!</definedName>
    <definedName name="pp_cat5_conf2" localSheetId="4">#REF!</definedName>
    <definedName name="pp_cat5_conf2">#REF!</definedName>
    <definedName name="pp_cat5_me086" localSheetId="1">#REF!</definedName>
    <definedName name="pp_cat5_me087" localSheetId="1">#REF!</definedName>
    <definedName name="pp_cat5_me088" localSheetId="1">#REF!</definedName>
    <definedName name="pp_cat5_me089" localSheetId="1">#REF!</definedName>
    <definedName name="pp_cat5_mf883" localSheetId="1">#REF!</definedName>
    <definedName name="pp_cat6_conf1" localSheetId="4">#REF!</definedName>
    <definedName name="pp_cat6_conf1">#REF!</definedName>
    <definedName name="pp_cat6_conf2" localSheetId="4">#REF!</definedName>
    <definedName name="pp_cat6_conf2">#REF!</definedName>
    <definedName name="pp_cat6_conf3" localSheetId="4">#REF!</definedName>
    <definedName name="pp_cat6_conf3">#REF!</definedName>
    <definedName name="pp_cat6_conf4" localSheetId="4">#REF!</definedName>
    <definedName name="pp_cat6_conf4">#REF!</definedName>
    <definedName name="pp_cat6_conf5" localSheetId="4">#REF!</definedName>
    <definedName name="pp_cat6_conf5">#REF!</definedName>
    <definedName name="pp_cat6_conf6" localSheetId="4">#REF!</definedName>
    <definedName name="pp_cat6_conf6">#REF!</definedName>
    <definedName name="pp_cat6_conf7" localSheetId="4">#REF!</definedName>
    <definedName name="pp_cat6_conf7">#REF!</definedName>
    <definedName name="pp_cat6_conf8" localSheetId="4">#REF!</definedName>
    <definedName name="pp_cat6_conf8">#REF!</definedName>
    <definedName name="pp_cat6_md878" localSheetId="1">#REF!</definedName>
    <definedName name="pp_cat6_me253" localSheetId="1">#REF!</definedName>
    <definedName name="pp_cat7_md389" localSheetId="1">#REF!</definedName>
    <definedName name="pp_cat8_conf1" localSheetId="1">#REF!</definedName>
    <definedName name="pp_cat8_conf2" localSheetId="1">#REF!</definedName>
    <definedName name="pp_cat9_conf1" localSheetId="1">#REF!</definedName>
    <definedName name="pp_cat9_conf2" localSheetId="1">#REF!</definedName>
    <definedName name="pp_gar_cat1_conf1" localSheetId="4">#REF!</definedName>
    <definedName name="pp_gar_cat1_conf1">#REF!</definedName>
    <definedName name="pp_gar_cat1_conf2" localSheetId="4">#REF!</definedName>
    <definedName name="pp_gar_cat1_conf2">#REF!</definedName>
    <definedName name="pp_gar_cat2_conf1" localSheetId="4">#REF!</definedName>
    <definedName name="pp_gar_cat2_conf1">#REF!</definedName>
    <definedName name="pp_gar_cat2_conf2" localSheetId="4">#REF!</definedName>
    <definedName name="pp_gar_cat2_conf2">#REF!</definedName>
    <definedName name="pp_gar_cat3_conf1" localSheetId="4">#REF!</definedName>
    <definedName name="pp_gar_cat3_conf1">#REF!</definedName>
    <definedName name="pp_gar_cat4_conf1" localSheetId="4">#REF!</definedName>
    <definedName name="pp_gar_cat4_conf1">#REF!</definedName>
    <definedName name="pp_gar_cat4_im27" localSheetId="4">#REF!</definedName>
    <definedName name="pp_gar_cat4_im27">#REF!</definedName>
    <definedName name="pp_gar_cat5_conf1" localSheetId="4">#REF!</definedName>
    <definedName name="pp_gar_cat5_conf1">#REF!</definedName>
    <definedName name="pp_gar_cat6_conf1" localSheetId="4">#REF!</definedName>
    <definedName name="pp_gar_cat6_conf1">#REF!</definedName>
    <definedName name="pp_gar_cat6_conf2" localSheetId="4">#REF!</definedName>
    <definedName name="pp_gar_cat6_conf2">#REF!</definedName>
    <definedName name="pp_gar_cat6_ip123pl" localSheetId="4">#REF!</definedName>
    <definedName name="pp_gar_cat6_ip123pl">#REF!</definedName>
    <definedName name="PP_GAR_IM" localSheetId="1">#REF!</definedName>
    <definedName name="PP_GAR_IM" localSheetId="4">#REF!</definedName>
    <definedName name="PP_GAR_IM">#REF!</definedName>
    <definedName name="PP_GAR_IP" localSheetId="1">#REF!</definedName>
    <definedName name="PP_GAR_IP" localSheetId="4">#REF!</definedName>
    <definedName name="PP_GAR_IP">#REF!</definedName>
    <definedName name="PP_GAR_MB" localSheetId="1">#REF!</definedName>
    <definedName name="PP_GAR_MB" localSheetId="4">#REF!</definedName>
    <definedName name="PP_GAR_MB">#REF!</definedName>
    <definedName name="PP_GAR_MBP" localSheetId="1">#REF!</definedName>
    <definedName name="PP_GAR_MBP" localSheetId="4">#REF!</definedName>
    <definedName name="PP_GAR_MBP">#REF!</definedName>
    <definedName name="PP_GAR_MM" localSheetId="1">#REF!</definedName>
    <definedName name="PP_GAR_MM" localSheetId="4">#REF!</definedName>
    <definedName name="PP_GAR_MM">#REF!</definedName>
    <definedName name="PP_GAR_MP" localSheetId="1">#REF!</definedName>
    <definedName name="PP_GAR_MP" localSheetId="4">#REF!</definedName>
    <definedName name="PP_GAR_MP">#REF!</definedName>
    <definedName name="pr_cat1_conf2" localSheetId="4">#REF!</definedName>
    <definedName name="pr_cat1_conf2">#REF!</definedName>
    <definedName name="pr_cat1_conf3" localSheetId="4">#REF!</definedName>
    <definedName name="pr_cat1_conf3">#REF!</definedName>
    <definedName name="pr_cat1_conf4" localSheetId="4">#REF!</definedName>
    <definedName name="pr_cat1_conf4">#REF!</definedName>
    <definedName name="pr_cat1_md223" localSheetId="1">#REF!</definedName>
    <definedName name="pr_cat1_md224" localSheetId="1">#REF!</definedName>
    <definedName name="pr_cat1_md231" localSheetId="1">#REF!</definedName>
    <definedName name="pr_cat1_md232" localSheetId="1">#REF!</definedName>
    <definedName name="pr_cat2_conf1" localSheetId="4">#REF!</definedName>
    <definedName name="pr_cat2_conf1">#REF!</definedName>
    <definedName name="pr_cat2_conf2" localSheetId="4">#REF!</definedName>
    <definedName name="pr_cat2_conf2">#REF!</definedName>
    <definedName name="pr_cat2_conf3" localSheetId="4">#REF!</definedName>
    <definedName name="pr_cat2_conf3">#REF!</definedName>
    <definedName name="pr_cat2_conf4" localSheetId="4">#REF!</definedName>
    <definedName name="pr_cat2_conf4">#REF!</definedName>
    <definedName name="pr_cat2_conf5" localSheetId="4">#REF!</definedName>
    <definedName name="pr_cat2_conf5">#REF!</definedName>
    <definedName name="pr_cat2_conf6" localSheetId="4">#REF!</definedName>
    <definedName name="pr_cat2_conf6">#REF!</definedName>
    <definedName name="pr_cat2_conf7" localSheetId="4">#REF!</definedName>
    <definedName name="pr_cat2_conf7">#REF!</definedName>
    <definedName name="pr_cat2_md101" localSheetId="1">#REF!</definedName>
    <definedName name="pr_cat2_me864" localSheetId="1">#REF!</definedName>
    <definedName name="pr_cat2_me865" localSheetId="1">#REF!</definedName>
    <definedName name="pr_cat2_me866" localSheetId="1">#REF!</definedName>
    <definedName name="pr_cat3_conf1" localSheetId="4">#REF!</definedName>
    <definedName name="pr_cat3_conf1">#REF!</definedName>
    <definedName name="pr_cat3_conf2" localSheetId="4">#REF!</definedName>
    <definedName name="pr_cat3_conf2">#REF!</definedName>
    <definedName name="pr_cat3_conf3" localSheetId="4">#REF!</definedName>
    <definedName name="pr_cat3_conf3">#REF!</definedName>
    <definedName name="pr_cat3_me294" localSheetId="1">#REF!</definedName>
    <definedName name="pr_cat3_me664" localSheetId="1">#REF!</definedName>
    <definedName name="pr_cat3_me665" localSheetId="1">#REF!</definedName>
    <definedName name="pr_cat4_conf1" localSheetId="4">#REF!</definedName>
    <definedName name="pr_cat4_conf1">#REF!</definedName>
    <definedName name="pr_cat4_conf2" localSheetId="4">#REF!</definedName>
    <definedName name="pr_cat4_conf2">#REF!</definedName>
    <definedName name="pr_cat4_conf3" localSheetId="4">#REF!</definedName>
    <definedName name="pr_cat4_conf3">#REF!</definedName>
    <definedName name="pr_cat4_conf4" localSheetId="4">#REF!</definedName>
    <definedName name="pr_cat4_conf4">#REF!</definedName>
    <definedName name="pr_cat4_conf5" localSheetId="4">#REF!</definedName>
    <definedName name="pr_cat4_conf5">#REF!</definedName>
    <definedName name="pr_cat4_conf6" localSheetId="4">#REF!</definedName>
    <definedName name="pr_cat4_conf6">#REF!</definedName>
    <definedName name="pr_cat4_md387" localSheetId="1">#REF!</definedName>
    <definedName name="pr_cat4_md388" localSheetId="1">#REF!</definedName>
    <definedName name="pr_cat5_conf1" localSheetId="4">#REF!</definedName>
    <definedName name="pr_cat5_conf1">#REF!</definedName>
    <definedName name="pr_cat5_conf2" localSheetId="4">#REF!</definedName>
    <definedName name="pr_cat5_conf2">#REF!</definedName>
    <definedName name="pr_cat5_me086" localSheetId="1">#REF!</definedName>
    <definedName name="pr_cat5_me087" localSheetId="1">#REF!</definedName>
    <definedName name="pr_cat5_me088" localSheetId="1">#REF!</definedName>
    <definedName name="pr_cat5_me089" localSheetId="1">#REF!</definedName>
    <definedName name="pr_cat5_mf883" localSheetId="1">#REF!</definedName>
    <definedName name="pr_cat6_conf1" localSheetId="4">#REF!</definedName>
    <definedName name="pr_cat6_conf1">#REF!</definedName>
    <definedName name="pr_cat6_conf2" localSheetId="4">#REF!</definedName>
    <definedName name="pr_cat6_conf2">#REF!</definedName>
    <definedName name="pr_cat6_conf3" localSheetId="4">#REF!</definedName>
    <definedName name="pr_cat6_conf3">#REF!</definedName>
    <definedName name="pr_cat6_conf4" localSheetId="4">#REF!</definedName>
    <definedName name="pr_cat6_conf4">#REF!</definedName>
    <definedName name="pr_cat6_conf5" localSheetId="4">#REF!</definedName>
    <definedName name="pr_cat6_conf5">#REF!</definedName>
    <definedName name="pr_cat6_conf6" localSheetId="4">#REF!</definedName>
    <definedName name="pr_cat6_conf6">#REF!</definedName>
    <definedName name="pr_cat6_conf7" localSheetId="4">#REF!</definedName>
    <definedName name="pr_cat6_conf7">#REF!</definedName>
    <definedName name="pr_cat6_conf8" localSheetId="4">#REF!</definedName>
    <definedName name="pr_cat6_conf8">#REF!</definedName>
    <definedName name="pr_cat6_md878" localSheetId="1">#REF!</definedName>
    <definedName name="pr_cat6_me253" localSheetId="1">#REF!</definedName>
    <definedName name="pr_cat7_md389" localSheetId="1">#REF!</definedName>
    <definedName name="pr_cat8_conf1" localSheetId="1">#REF!</definedName>
    <definedName name="pr_cat8_conf2" localSheetId="1">#REF!</definedName>
    <definedName name="pr_cat8_conf3" localSheetId="1">#REF!</definedName>
    <definedName name="pr_cat8_conf4" localSheetId="1">#REF!</definedName>
    <definedName name="pr_cat8conf1" localSheetId="4">#REF!</definedName>
    <definedName name="pr_cat8conf1">#REF!</definedName>
    <definedName name="pr_cat8conf5" localSheetId="4">#REF!</definedName>
    <definedName name="pr_cat8conf5">#REF!</definedName>
    <definedName name="pr_ipadaw16g" localSheetId="1">#REF!</definedName>
    <definedName name="pr_ipadawc16g" localSheetId="1">#REF!</definedName>
    <definedName name="pr_ipadmrw16g" localSheetId="1">#REF!</definedName>
    <definedName name="Prix_remisé___HT" localSheetId="1">#REF!</definedName>
    <definedName name="Prix_remisé___HT" localSheetId="4">#REF!</definedName>
    <definedName name="Prix_remisé___HT">#REF!</definedName>
    <definedName name="ra_acc_ipad" localSheetId="5">'[1]Remises arrières'!$E$59</definedName>
    <definedName name="ra_acc_ipad">#REF!</definedName>
    <definedName name="ra_acc_ipad_nd7" localSheetId="4">#REF!</definedName>
    <definedName name="ra_acc_ipad_nd7">#REF!</definedName>
    <definedName name="ra_acc_mac" localSheetId="5">'[1]Remises arrières'!$E$58</definedName>
    <definedName name="ra_acc_mac">#REF!</definedName>
    <definedName name="ra_acc_mac_nd7" localSheetId="4">#REF!</definedName>
    <definedName name="ra_acc_mac_nd7">#REF!</definedName>
    <definedName name="ra_acc_nodac" localSheetId="5">'[1]Remises arrières'!$E$60</definedName>
    <definedName name="ra_acc_nodac">#REF!</definedName>
    <definedName name="ra_acc_nodac_nd7" localSheetId="4">#REF!</definedName>
    <definedName name="ra_acc_nodac_nd7">#REF!</definedName>
    <definedName name="ra_ace">#REF!</definedName>
    <definedName name="ra_app" localSheetId="5">'[1]Remises arrières'!$E$63</definedName>
    <definedName name="ra_app">#REF!</definedName>
    <definedName name="ra_app_nd7" localSheetId="4">#REF!</definedName>
    <definedName name="ra_app_nd7">#REF!</definedName>
    <definedName name="ra_appplus">#REF!</definedName>
    <definedName name="ra_atv_eg" localSheetId="5">'[1]Remises arrières'!$E$56</definedName>
    <definedName name="ra_atv_eg">#REF!</definedName>
    <definedName name="ra_atv_eg_nd7" localSheetId="4">#REF!</definedName>
    <definedName name="ra_atv_eg_nd7">#REF!</definedName>
    <definedName name="ra_atv_hg" localSheetId="5">'[1]Remises arrières'!$E$57</definedName>
    <definedName name="ra_atv_hg">#REF!</definedName>
    <definedName name="ra_atv_hg_nd7" localSheetId="4">#REF!</definedName>
    <definedName name="ra_atv_hg_nd7">#REF!</definedName>
    <definedName name="ra_im21_eg">#REF!</definedName>
    <definedName name="ra_im21_eg_nd7" localSheetId="4">#REF!</definedName>
    <definedName name="ra_im21_eg_nd7">#REF!</definedName>
    <definedName name="ra_im21_hg" localSheetId="5">'[1]Remises arrières'!$E$33</definedName>
    <definedName name="ra_im21_hg">#REF!</definedName>
    <definedName name="ra_im21_hg_nd7" localSheetId="4">#REF!</definedName>
    <definedName name="ra_im21_hg_nd7">#REF!</definedName>
    <definedName name="ra_im27">#REF!</definedName>
    <definedName name="ra_im27_hg">#REF!</definedName>
    <definedName name="ra_im27_hg_nd7" localSheetId="4">#REF!</definedName>
    <definedName name="ra_im27_hg_nd7">#REF!</definedName>
    <definedName name="ra_im27_nd7" localSheetId="4">#REF!</definedName>
    <definedName name="ra_im27_nd7">#REF!</definedName>
    <definedName name="ra_imp" localSheetId="5">'[1]Remises arrières'!$E$39</definedName>
    <definedName name="ra_imp">#REF!</definedName>
    <definedName name="ra_imp_nd7" localSheetId="4">#REF!</definedName>
    <definedName name="ra_imp_nd7">#REF!</definedName>
    <definedName name="ra_ip9_eg">#REF!</definedName>
    <definedName name="ra_ip9_eg_nd7" localSheetId="4">#REF!</definedName>
    <definedName name="ra_ip9_eg_nd7">#REF!</definedName>
    <definedName name="ra_ip9_hg" localSheetId="5">'[1]Remises arrières'!$E$52</definedName>
    <definedName name="ra_ip9_hg">#REF!</definedName>
    <definedName name="ra_ip9_hg_nd7" localSheetId="4">#REF!</definedName>
    <definedName name="ra_ip9_hg_nd7">#REF!</definedName>
    <definedName name="ra_ipa10" localSheetId="5">'[1]Remises arrières'!$E$53</definedName>
    <definedName name="ra_ipa10">#REF!</definedName>
    <definedName name="ra_ipm_eg" localSheetId="5">'[1]Remises arrières'!$E$49</definedName>
    <definedName name="ra_ipm_eg">#REF!</definedName>
    <definedName name="ra_ipm_eg_nd7" localSheetId="4">#REF!</definedName>
    <definedName name="ra_ipm_eg_nd7">#REF!</definedName>
    <definedName name="ra_ipm_hg">#REF!</definedName>
    <definedName name="ra_ipm_hg_nd7" localSheetId="4">#REF!</definedName>
    <definedName name="ra_ipm_hg_nd7">#REF!</definedName>
    <definedName name="ra_ipp10" localSheetId="5">'[1]Remises arrières'!$E$53</definedName>
    <definedName name="ra_ipp10">#REF!</definedName>
    <definedName name="ra_ipp10_nd7" localSheetId="4">#REF!</definedName>
    <definedName name="ra_ipp10_nd7">#REF!</definedName>
    <definedName name="ra_ipp11" localSheetId="5">'[1]Remises arrières'!$E$54</definedName>
    <definedName name="ra_ipp11">#REF!</definedName>
    <definedName name="ra_ipp11_nd7" localSheetId="4">#REF!</definedName>
    <definedName name="ra_ipp11_nd7">#REF!</definedName>
    <definedName name="ra_ipp12" localSheetId="5">'[1]Remises arrières'!$E$55</definedName>
    <definedName name="ra_ipp12">#REF!</definedName>
    <definedName name="ra_ipp12_nd7" localSheetId="4">#REF!</definedName>
    <definedName name="ra_ipp12_nd7">#REF!</definedName>
    <definedName name="ra_mb_eg" localSheetId="5">'[1]Remises arrières'!#REF!</definedName>
    <definedName name="ra_mb_eg">#REF!</definedName>
    <definedName name="ra_mb_hg" localSheetId="5">'[1]Remises arrières'!#REF!</definedName>
    <definedName name="ra_mb_hg">#REF!</definedName>
    <definedName name="ra_mba_eg" localSheetId="5">'[1]Remises arrières'!#REF!</definedName>
    <definedName name="ra_mba_eg">#REF!</definedName>
    <definedName name="ra_mba_hg" localSheetId="5">'[1]Remises arrières'!$E$5</definedName>
    <definedName name="ra_mba_hg">#REF!</definedName>
    <definedName name="ra_mba_hg_nd7" localSheetId="4">#REF!</definedName>
    <definedName name="ra_mba_hg_nd7">#REF!</definedName>
    <definedName name="ra_mba_mg" localSheetId="5">'[1]Remises arrières'!$E$3</definedName>
    <definedName name="ra_mba_mg">#REF!</definedName>
    <definedName name="ra_mba_mg_nd7" localSheetId="4">#REF!</definedName>
    <definedName name="ra_mba_mg_nd7">#REF!</definedName>
    <definedName name="ra_mbp13_eg" localSheetId="5">'[1]Remises arrières'!$E$7</definedName>
    <definedName name="ra_mbp13_eg">#REF!</definedName>
    <definedName name="ra_mbp13_eg_nd7" localSheetId="4">#REF!</definedName>
    <definedName name="ra_mbp13_eg_nd7">#REF!</definedName>
    <definedName name="ra_mbp13_hg" localSheetId="5">'[1]Remises arrières'!$E$9</definedName>
    <definedName name="ra_mbp13_hg">#REF!</definedName>
    <definedName name="ra_mbp13_hg_nd7" localSheetId="4">#REF!</definedName>
    <definedName name="ra_mbp13_hg_nd7">#REF!</definedName>
    <definedName name="ra_mbp13tbeg">#REF!</definedName>
    <definedName name="ra_mbp13tbeg_nd7" localSheetId="4">#REF!</definedName>
    <definedName name="ra_mbp13tbeg_nd7">#REF!</definedName>
    <definedName name="ra_mbp13tbhg">#REF!</definedName>
    <definedName name="ra_mbp13tbhg_nd7" localSheetId="4">#REF!</definedName>
    <definedName name="ra_mbp13tbhg_nd7">#REF!</definedName>
    <definedName name="ra_mbp14_eg" localSheetId="5">'[1]Remises arrières'!$E$15</definedName>
    <definedName name="ra_mbp14_eg">#REF!</definedName>
    <definedName name="ra_mbp14_eg_cto" localSheetId="5">'[1]Remises arrières'!$E$16</definedName>
    <definedName name="ra_mbp14_eg_cto">#REF!</definedName>
    <definedName name="ra_mbp14_hg" localSheetId="5">'[1]Remises arrières'!$E$17</definedName>
    <definedName name="ra_mbp14_hg">#REF!</definedName>
    <definedName name="ra_mbp14_hg_cto">#REF!</definedName>
    <definedName name="ra_mbp15r" localSheetId="5">'[1]Remises arrières'!#REF!</definedName>
    <definedName name="ra_mbp15r">#REF!</definedName>
    <definedName name="ra_mbp16_eg" localSheetId="5">'[1]Remises arrières'!$E$19</definedName>
    <definedName name="ra_mbp16_eg">#REF!</definedName>
    <definedName name="ra_mbp16_eg_cto" localSheetId="5">'[1]Remises arrières'!$E$20</definedName>
    <definedName name="ra_mbp16_eg_cto">#REF!</definedName>
    <definedName name="ra_mbp16_hg" localSheetId="5">'[1]Remises arrières'!$E$23</definedName>
    <definedName name="ra_mbp16_hg">#REF!</definedName>
    <definedName name="ra_mbp16_hg_cto" localSheetId="5">'[1]Remises arrières'!$E$24</definedName>
    <definedName name="ra_mbp16_hg_cto">#REF!</definedName>
    <definedName name="ra_mbp16_mg" localSheetId="5">'[1]Remises arrières'!$E$21</definedName>
    <definedName name="ra_mbp16_mg">#REF!</definedName>
    <definedName name="ra_mbp16_mg_cto" localSheetId="5">'[1]Remises arrières'!$E$22</definedName>
    <definedName name="ra_mbp16_mg_cto">#REF!</definedName>
    <definedName name="ra_mbp16t_eg_nd7" localSheetId="4">#REF!</definedName>
    <definedName name="ra_mbp16t_hg_nd7" localSheetId="4">#REF!</definedName>
    <definedName name="ra_mm_eg" localSheetId="5">'[1]Remises arrières'!$E$25</definedName>
    <definedName name="ra_mm_eg">#REF!</definedName>
    <definedName name="ra_mm_eg_nd7" localSheetId="4">#REF!</definedName>
    <definedName name="ra_mm_eg_nd7">#REF!</definedName>
    <definedName name="ra_mm_hg" localSheetId="5">'[1]Remises arrières'!$E$29</definedName>
    <definedName name="ra_mm_hg">#REF!</definedName>
    <definedName name="ra_mm_hg_nd7" localSheetId="4">#REF!</definedName>
    <definedName name="ra_mm_hg_nd7">#REF!</definedName>
    <definedName name="ra_mm_mg" localSheetId="5">'[1]Remises arrières'!#REF!</definedName>
    <definedName name="ra_mm_mg">#REF!</definedName>
    <definedName name="ra_moniteur" localSheetId="5">'[1]Remises arrières'!$E$66</definedName>
    <definedName name="ra_moniteur">#REF!</definedName>
    <definedName name="ra_moniteur_nd7" localSheetId="4">#REF!</definedName>
    <definedName name="ra_moniteur_nd7">#REF!</definedName>
    <definedName name="ra_mp_eg" localSheetId="5">'[1]Remises arrières'!$E$41</definedName>
    <definedName name="ra_mp_eg">#REF!</definedName>
    <definedName name="ra_mp_eg_nd7" localSheetId="4">#REF!</definedName>
    <definedName name="ra_mp_eg_nd7">#REF!</definedName>
    <definedName name="ra_mp_hg">#REF!</definedName>
    <definedName name="ra_mp_hg_nd7" localSheetId="4">#REF!</definedName>
    <definedName name="ra_mp_hg_nd7">#REF!</definedName>
    <definedName name="ra_pencil" localSheetId="5">'[1]Remises arrières'!$E$61</definedName>
    <definedName name="ra_pencil">#REF!</definedName>
    <definedName name="ra_pencil_2" localSheetId="5">'[1]Remises arrières'!$E$62</definedName>
    <definedName name="ra_pencil_2">#REF!</definedName>
    <definedName name="ra_pencil_nd7" localSheetId="4">#REF!</definedName>
    <definedName name="ra_pencil_nd7">#REF!</definedName>
    <definedName name="ref_cat1conf1" localSheetId="1">#REF!</definedName>
    <definedName name="ref_cat1conf2" localSheetId="1">#REF!</definedName>
    <definedName name="ref_cat1conf3" localSheetId="1">#REF!</definedName>
    <definedName name="ref_cat1conf4" localSheetId="1">#REF!</definedName>
    <definedName name="ref_cat2conf1" localSheetId="1">#REF!</definedName>
    <definedName name="ref_cat2conf2" localSheetId="1">#REF!</definedName>
    <definedName name="ref_cat2conf3" localSheetId="1">#REF!</definedName>
    <definedName name="ref_cat2conf4" localSheetId="1">#REF!</definedName>
    <definedName name="ref_cat3conf1" localSheetId="1">#REF!</definedName>
    <definedName name="ref_cat3conf2" localSheetId="1">#REF!</definedName>
    <definedName name="ref_cat4conf1" localSheetId="1">#REF!</definedName>
    <definedName name="ref_cat4conf2" localSheetId="1">#REF!</definedName>
    <definedName name="ref_cat5conf1" localSheetId="1">#REF!</definedName>
    <definedName name="ref_cat5conf2" localSheetId="1">#REF!</definedName>
    <definedName name="ref_cat5conf3" localSheetId="1">#REF!</definedName>
    <definedName name="ref_cat5conf4" localSheetId="1">#REF!</definedName>
    <definedName name="ref_cat7conf1" localSheetId="1">#REF!</definedName>
    <definedName name="ref_cat8conf1b" localSheetId="1">#REF!</definedName>
    <definedName name="ref_cat8conf1n" localSheetId="1">#REF!</definedName>
    <definedName name="ref_cat8conf2b" localSheetId="1">#REF!</definedName>
    <definedName name="ref_cat8conf2n" localSheetId="1">#REF!</definedName>
    <definedName name="ref_cat9conf1b" localSheetId="1">#REF!</definedName>
    <definedName name="ref_cat9conf1n" localSheetId="1">#REF!</definedName>
    <definedName name="ref_cat9conf2b" localSheetId="1">#REF!</definedName>
    <definedName name="ref_cat9conf2n" localSheetId="1">#REF!</definedName>
    <definedName name="Rem_arr_acc" localSheetId="1">#REF!</definedName>
    <definedName name="Rem_arr_acc_ipad" localSheetId="1">#REF!</definedName>
    <definedName name="Rem_arr_acc_ipod" localSheetId="1">#REF!</definedName>
    <definedName name="Rem_arr_app" localSheetId="1">#REF!</definedName>
    <definedName name="Rem_arr_écran" localSheetId="1">#REF!</definedName>
    <definedName name="Rem_arr_imac" localSheetId="1">#REF!</definedName>
    <definedName name="Rem_arr_ipad" localSheetId="1">#REF!</definedName>
    <definedName name="Rem_arr_mba" localSheetId="1">#REF!</definedName>
    <definedName name="Rem_arr_mbp_eg" localSheetId="1">#REF!</definedName>
    <definedName name="Rem_arr_mbp_hg" localSheetId="1">#REF!</definedName>
    <definedName name="Rem_arr_mm" localSheetId="1">#REF!</definedName>
    <definedName name="Rem_arr_mp" localSheetId="1">#REF!</definedName>
    <definedName name="Remise_acc" localSheetId="1">#REF!</definedName>
    <definedName name="Remise_acc">'[2]Récapitulatif remises'!$A$19</definedName>
    <definedName name="Remise_acc_10" localSheetId="1">#REF!</definedName>
    <definedName name="Remise_acc_Apple" localSheetId="1">#REF!</definedName>
    <definedName name="Remise_acc_iPad" localSheetId="1">#REF!</definedName>
    <definedName name="Remise_APP" localSheetId="1">#REF!</definedName>
    <definedName name="Remise_clé_USB" localSheetId="1">#REF!</definedName>
    <definedName name="Remise_écran_Apple" localSheetId="1">#REF!</definedName>
    <definedName name="Remise_Ergotron" localSheetId="1">#REF!</definedName>
    <definedName name="Remise_Iiyama" localSheetId="1">#REF!</definedName>
    <definedName name="Remise_iMac" localSheetId="1">#REF!</definedName>
    <definedName name="Remise_iPad" localSheetId="1">#REF!</definedName>
    <definedName name="Remise_iPad">'[2]Récapitulatif remises'!$A$12</definedName>
    <definedName name="Remise_Kallysta_Apollo" localSheetId="1">#REF!</definedName>
    <definedName name="Remise_Kallysta_Magellan" localSheetId="1">#REF!</definedName>
    <definedName name="Remise_Log_Uni" localSheetId="1">#REF!</definedName>
    <definedName name="Remise_Log_Vol" localSheetId="1">#REF!</definedName>
    <definedName name="Remise_MacBook_Pro_13_____MacBook_Pro_13___Retina" localSheetId="1">#REF!</definedName>
    <definedName name="Remise_MBA" localSheetId="1">#REF!</definedName>
    <definedName name="Remise_MBP_EG" localSheetId="1">#REF!</definedName>
    <definedName name="Remise_MBP_HG" localSheetId="1">#REF!</definedName>
    <definedName name="Remise_MBP15_EG" localSheetId="1">#REF!</definedName>
    <definedName name="Remise_mem_USB" localSheetId="1">#REF!</definedName>
    <definedName name="Remise_MI4" localSheetId="5">'[1]Remises arrières'!#REF!</definedName>
    <definedName name="Remise_MI4">#REF!</definedName>
    <definedName name="Remise_MM" localSheetId="1">#REF!</definedName>
    <definedName name="Remise_MP" localSheetId="1">#REF!</definedName>
    <definedName name="Remise_MP">'[3]Récapitulatif remises'!$C$6</definedName>
    <definedName name="Remise_onduleur" localSheetId="1">#REF!</definedName>
    <definedName name="Remise_RAM" localSheetId="1">#REF!</definedName>
    <definedName name="Remise_stockage" localSheetId="1">#REF!</definedName>
    <definedName name="rf_acc_ipad" localSheetId="5">'[1]Remises fonctionnelles'!$B$8</definedName>
    <definedName name="rf_acc_ipad">#REF!</definedName>
    <definedName name="rf_acc_mac" localSheetId="5">'[1]Remises fonctionnelles'!$B$7</definedName>
    <definedName name="rf_acc_mac">#REF!</definedName>
    <definedName name="rf_apple_moniteur" localSheetId="5">'[1]Remises arrières'!#REF!</definedName>
    <definedName name="rf_apple_moniteur">#REF!</definedName>
    <definedName name="rf_applecare" localSheetId="5">'[1]Remises fonctionnelles'!$B$10</definedName>
    <definedName name="rf_applecare">#REF!</definedName>
    <definedName name="rf_atv" localSheetId="5">'[1]Remises fonctionnelles'!$B$6</definedName>
    <definedName name="rf_atv">#REF!</definedName>
    <definedName name="rf_ecrans" localSheetId="5">'[1]Remises fonctionnelles'!$B$5</definedName>
    <definedName name="rf_ecrans">#REF!</definedName>
    <definedName name="rf_ipad" localSheetId="5">'[1]Remises fonctionnelles'!$B$4</definedName>
    <definedName name="rf_ipad">#REF!</definedName>
    <definedName name="rf_mac" localSheetId="5">'[1]Remises fonctionnelles'!$B$3</definedName>
    <definedName name="rf_mac">#REF!</definedName>
    <definedName name="rf_pencil_sk" localSheetId="5">'[1]Remises fonctionnelles'!$B$9</definedName>
    <definedName name="rf_pencil_sk">#REF!</definedName>
    <definedName name="rv_10" localSheetId="5">'[1]Récapitulatif remises'!$B$62</definedName>
    <definedName name="rv_10">'Récapitulatif remises'!$B$62</definedName>
    <definedName name="rv_20" localSheetId="5">'[1]Récapitulatif remises'!$A$61</definedName>
    <definedName name="rv_20">'Récapitulatif remises'!$A$61</definedName>
    <definedName name="rv_3">'Récapitulatif remises'!$A$67</definedName>
    <definedName name="rv_30" localSheetId="5">'[1]Récapitulatif remises'!$C$62</definedName>
    <definedName name="rv_30">'Récapitulatif remises'!$C$62</definedName>
    <definedName name="rv_32" localSheetId="5">'[1]Récapitulatif remises'!$D$62</definedName>
    <definedName name="rv_32">'Récapitulatif remises'!$D$62</definedName>
    <definedName name="rv_7">'Récapitulatif remises'!$B$68</definedName>
    <definedName name="rv_apple_acc_ipad" localSheetId="5">'[1]Récapitulatif remises'!$B$51</definedName>
    <definedName name="rv_apple_acc_ipad">'Récapitulatif remises'!$B$51</definedName>
    <definedName name="rv_apple_acc_mac" localSheetId="5">'[1]Récapitulatif remises'!$A$51</definedName>
    <definedName name="rv_apple_acc_mac">'Récapitulatif remises'!$A$51</definedName>
    <definedName name="rv_apple_acc_mac_15">'Récapitulatif remises'!$A$53</definedName>
    <definedName name="rv_apple_acc_nocrt">'Récapitulatif remises'!$C$58</definedName>
    <definedName name="rv_apple_acc_nodac" localSheetId="5">'[1]Récapitulatif remises'!$C$51</definedName>
    <definedName name="rv_apple_acc_nodac">'Récapitulatif remises'!$C$51</definedName>
    <definedName name="rv_apple_moniteur" localSheetId="5">'[1]Récapitulatif remises'!$D$68</definedName>
    <definedName name="rv_apple_moniteur">'Récapitulatif remises'!$D$68</definedName>
    <definedName name="rv_applecare">'Récapitulatif remises'!$A$57</definedName>
    <definedName name="rv_atv" localSheetId="5">'[1]Récapitulatif remises'!$D$51</definedName>
    <definedName name="rv_atv">'Récapitulatif remises'!$D$51</definedName>
    <definedName name="rv_cvmp">'Récapitulatif remises'!$D$58</definedName>
    <definedName name="rv_iiyama" localSheetId="5">'[1]Récapitulatif remises'!$C$65</definedName>
    <definedName name="rv_iiyama">'Récapitulatif remises'!$C$65</definedName>
    <definedName name="rv_im21_eg">'Récapitulatif remises'!$A$33</definedName>
    <definedName name="rv_im21_eg_cto">'Récapitulatif remises'!$A$36</definedName>
    <definedName name="rv_im21_hg" localSheetId="5">'[1]Récapitulatif remises'!$B$33</definedName>
    <definedName name="rv_im21_hg">'Récapitulatif remises'!$B$33</definedName>
    <definedName name="rv_im21_hg_cto" localSheetId="5">'[1]Récapitulatif remises'!$B$36</definedName>
    <definedName name="rv_im21_hg_cto">'Récapitulatif remises'!$B$36</definedName>
    <definedName name="rv_im27_eg">'Récapitulatif remises'!$C$33</definedName>
    <definedName name="rv_im27_eg_cto">'Récapitulatif remises'!$C$36</definedName>
    <definedName name="rv_im27_hg">'Récapitulatif remises'!$D$33</definedName>
    <definedName name="rv_im27_hg_cto">'Récapitulatif remises'!$D$36</definedName>
    <definedName name="rv_imp">'Récapitulatif remises'!$A$39</definedName>
    <definedName name="rv_imp_cto">'Récapitulatif remises'!$A$42</definedName>
    <definedName name="rv_ip97_eg">'Récapitulatif remises'!$B$45</definedName>
    <definedName name="rv_ip97_hg" localSheetId="5">'[1]Récapitulatif remises'!$C$45</definedName>
    <definedName name="rv_ip97_hg">'Récapitulatif remises'!$C$45</definedName>
    <definedName name="rv_ipm" localSheetId="5">'[1]Récapitulatif remises'!$A$45</definedName>
    <definedName name="rv_ipm">'Récapitulatif remises'!$A$45</definedName>
    <definedName name="rv_ipp105" localSheetId="5">'[1]Récapitulatif remises'!$A$48</definedName>
    <definedName name="rv_ipp105">'Récapitulatif remises'!$A$48</definedName>
    <definedName name="rv_ipp11" localSheetId="5">'[1]Récapitulatif remises'!$B$48</definedName>
    <definedName name="rv_ipp11">'Récapitulatif remises'!$B$48</definedName>
    <definedName name="rv_ipp12" localSheetId="5">'[1]Récapitulatif remises'!$C$48</definedName>
    <definedName name="rv_ipp12">'Récapitulatif remises'!$C$48</definedName>
    <definedName name="rv_jamf">'Récapitulatif remises'!$C$68</definedName>
    <definedName name="rv_log_apple_vol" localSheetId="5">'[1]Récapitulatif remises'!$B$58</definedName>
    <definedName name="rv_log_apple_vol">'Récapitulatif remises'!$B$58</definedName>
    <definedName name="rv_mb_cto" localSheetId="5">'[1]Récapitulatif remises'!#REF!</definedName>
    <definedName name="rv_mb_cto">'Récapitulatif remises'!#REF!</definedName>
    <definedName name="rv_mb_eg" localSheetId="5">'[1]Récapitulatif remises'!#REF!</definedName>
    <definedName name="rv_mb_eg">'Récapitulatif remises'!#REF!</definedName>
    <definedName name="rv_mb_hg" localSheetId="5">'[1]Récapitulatif remises'!#REF!</definedName>
    <definedName name="rv_mb_hg">'Récapitulatif remises'!#REF!</definedName>
    <definedName name="rv_mba_eg">'Récapitulatif remises'!$A$6</definedName>
    <definedName name="rv_mba_eg_cto">'Récapitulatif remises'!$A$9</definedName>
    <definedName name="rv_mba_hg" localSheetId="5">'[1]Récapitulatif remises'!$C$6</definedName>
    <definedName name="rv_mba_hg">'Récapitulatif remises'!$C$6</definedName>
    <definedName name="rv_mba_hg_cto" localSheetId="5">'[1]Récapitulatif remises'!$C$9</definedName>
    <definedName name="rv_mba_hg_cto">'Récapitulatif remises'!$C$9</definedName>
    <definedName name="rv_mba_mg" localSheetId="5">'[1]Récapitulatif remises'!$B$6</definedName>
    <definedName name="rv_mba_mg">'Récapitulatif remises'!$B$6</definedName>
    <definedName name="rv_mba_mg_cto" localSheetId="5">'[1]Récapitulatif remises'!$B$9</definedName>
    <definedName name="rv_mba_mg_cto">'Récapitulatif remises'!$B$9</definedName>
    <definedName name="rv_mbp13_eg" localSheetId="5">'[1]Récapitulatif remises'!$A$12</definedName>
    <definedName name="rv_mbp13_eg">'Récapitulatif remises'!$A$12</definedName>
    <definedName name="rv_mbp13_eg_cto" localSheetId="5">'[1]Récapitulatif remises'!$A$15</definedName>
    <definedName name="rv_mbp13_eg_cto">'Récapitulatif remises'!$A$15</definedName>
    <definedName name="rv_mbp13_hg" localSheetId="5">'[1]Récapitulatif remises'!$B$12</definedName>
    <definedName name="rv_mbp13_hg">'Récapitulatif remises'!$B$12</definedName>
    <definedName name="rv_mbp13_hg_cto" localSheetId="5">'[1]Récapitulatif remises'!$B$15</definedName>
    <definedName name="rv_mbp13_hg_cto">'Récapitulatif remises'!$B$15</definedName>
    <definedName name="rv_mbp13t">'Récapitulatif remises'!$C$12</definedName>
    <definedName name="rv_mbp13t_cto">'Récapitulatif remises'!$C$15</definedName>
    <definedName name="rv_mbp14_eg" localSheetId="5">'[1]Récapitulatif remises'!$A$18</definedName>
    <definedName name="rv_mbp14_eg">'Récapitulatif remises'!$A$18</definedName>
    <definedName name="rv_mbp14_eg_cto" localSheetId="5">'[1]Récapitulatif remises'!$B$18</definedName>
    <definedName name="rv_mbp14_eg_cto">'Récapitulatif remises'!$B$18</definedName>
    <definedName name="rv_mbp14_hg" localSheetId="5">'[1]Récapitulatif remises'!$C$18</definedName>
    <definedName name="rv_mbp14_hg">'Récapitulatif remises'!$C$18</definedName>
    <definedName name="rv_mbp14_hg_cto">'Récapitulatif remises'!$D$18</definedName>
    <definedName name="rv_mbp16_eg" localSheetId="5">'[1]Récapitulatif remises'!$A$21</definedName>
    <definedName name="rv_mbp16_eg">'Récapitulatif remises'!$A$21</definedName>
    <definedName name="rv_mbp16_eg_cto" localSheetId="5">'[1]Récapitulatif remises'!$A$24</definedName>
    <definedName name="rv_mbp16_eg_cto">'Récapitulatif remises'!$A$24</definedName>
    <definedName name="rv_mbp16_hg" localSheetId="5">'[1]Récapitulatif remises'!$B$21</definedName>
    <definedName name="rv_mbp16_hg">'Récapitulatif remises'!$B$21</definedName>
    <definedName name="rv_mbp16_hg_cto" localSheetId="5">'[1]Récapitulatif remises'!$B$24</definedName>
    <definedName name="rv_mbp16_hg_cto">'Récapitulatif remises'!$B$24</definedName>
    <definedName name="rv_mbp16_mg" localSheetId="5">'[1]Récapitulatif remises'!$A$27</definedName>
    <definedName name="rv_mbp16_mg">'Récapitulatif remises'!$A$27</definedName>
    <definedName name="rv_mbp16_mg_cto" localSheetId="5">'[1]Récapitulatif remises'!$A$30</definedName>
    <definedName name="rv_mbp16_mg_cto">'Récapitulatif remises'!$A$30</definedName>
    <definedName name="rv_mm_eg">'Récapitulatif remises'!$C$21</definedName>
    <definedName name="rv_mm_eg_cto" localSheetId="5">'[1]Récapitulatif remises'!$C$24</definedName>
    <definedName name="rv_mm_eg_cto">'Récapitulatif remises'!$C$24</definedName>
    <definedName name="rv_mm_hg" localSheetId="5">'[1]Récapitulatif remises'!$D$21</definedName>
    <definedName name="rv_mm_hg">'Récapitulatif remises'!$D$21</definedName>
    <definedName name="rv_mm_hg_cto" localSheetId="5">'[1]Récapitulatif remises'!$D$24</definedName>
    <definedName name="rv_mm_hg_cto">'Récapitulatif remises'!$D$24</definedName>
    <definedName name="rv_moniteur" localSheetId="5">'[1]Récapitulatif remises'!$E$65</definedName>
    <definedName name="rv_moniteur">'Récapitulatif remises'!$E$65</definedName>
    <definedName name="rv_mp_eg" localSheetId="5">'[1]Récapitulatif remises'!$B$39</definedName>
    <definedName name="rv_mp_eg">'Récapitulatif remises'!$B$39</definedName>
    <definedName name="rv_mp_eg_cto" localSheetId="5">'[1]Récapitulatif remises'!$B$42</definedName>
    <definedName name="rv_mp_eg_cto">'Récapitulatif remises'!$B$42</definedName>
    <definedName name="rv_ms_eg" localSheetId="5">'[1]Récapitulatif remises'!$C$39</definedName>
    <definedName name="rv_ms_eg">'Récapitulatif remises'!$C$39</definedName>
    <definedName name="rv_ms_eg_cto" localSheetId="5">'[1]Récapitulatif remises'!$C$42</definedName>
    <definedName name="rv_ms_eg_cto">'Récapitulatif remises'!$C$42</definedName>
    <definedName name="rv_ms_hg" localSheetId="5">'[1]Récapitulatif remises'!$D$39</definedName>
    <definedName name="rv_ms_hg">'Récapitulatif remises'!$D$39</definedName>
    <definedName name="rv_ms_hg_cto" localSheetId="5">'[1]Récapitulatif remises'!$D$42</definedName>
    <definedName name="rv_ms_hg_cto">'Récapitulatif remises'!$D$42</definedName>
    <definedName name="rv_pencil" localSheetId="5">'[1]Récapitulatif remises'!$C$54</definedName>
    <definedName name="rv_pencil">'Récapitulatif remises'!$C$54</definedName>
    <definedName name="rv_pencil_2" localSheetId="5">'[1]Récapitulatif remises'!$D$54</definedName>
    <definedName name="rv_pencil_2">'Récapitulatif remises'!$D$54</definedName>
    <definedName name="rv_philips" localSheetId="5">'[1]Récapitulatif remises'!$D$65</definedName>
    <definedName name="rv_philips">'Récapitulatif remises'!$D$65</definedName>
    <definedName name="rv_samsung" localSheetId="5">'[1]Récapitulatif remises'!$E$68</definedName>
    <definedName name="rv_samsung">'Récapitulatif remises'!$E$68</definedName>
    <definedName name="rv_stockage">'Récapitulatif remises'!$A$64</definedName>
    <definedName name="som_cat1_conf1" localSheetId="4">#REF!</definedName>
    <definedName name="som_cat1_conf1">#REF!</definedName>
    <definedName name="som_cat1_conf2" localSheetId="4">#REF!</definedName>
    <definedName name="som_cat1_conf2">#REF!</definedName>
    <definedName name="som_cat2_conf1" localSheetId="4">#REF!</definedName>
    <definedName name="som_cat2_conf1">#REF!</definedName>
    <definedName name="som_cat2_conf1_evo1" localSheetId="4">#REF!</definedName>
    <definedName name="som_cat2_conf1_evo1">#REF!</definedName>
    <definedName name="som_cat2_conf1_evo2" localSheetId="4">#REF!</definedName>
    <definedName name="som_cat2_conf1_evo2">#REF!</definedName>
    <definedName name="som_cat2_conf2" localSheetId="4">#REF!</definedName>
    <definedName name="som_cat2_conf2">#REF!</definedName>
    <definedName name="som_cat2_conf2_evo1" localSheetId="4">#REF!</definedName>
    <definedName name="som_cat2_conf2_evo1">#REF!</definedName>
    <definedName name="som_cat3_conf1" localSheetId="4">#REF!</definedName>
    <definedName name="som_cat3_conf1">#REF!</definedName>
    <definedName name="som_cat4_conf1" localSheetId="4">#REF!</definedName>
    <definedName name="som_cat4_conf1">#REF!</definedName>
    <definedName name="som_cat4_conf1_evo1" localSheetId="4">#REF!</definedName>
    <definedName name="som_cat4_conf1_evo1">#REF!</definedName>
    <definedName name="som_cat4_conf1_evo2" localSheetId="4">#REF!</definedName>
    <definedName name="som_cat4_conf1_evo2">#REF!</definedName>
    <definedName name="som_cat4_conf1_evo3" localSheetId="4">#REF!</definedName>
    <definedName name="som_cat4_conf1_evo3">#REF!</definedName>
    <definedName name="som_cat4_conf1_evo4" localSheetId="4">#REF!</definedName>
    <definedName name="som_cat4_conf1_evo4">#REF!</definedName>
    <definedName name="som_cat5_conf1" localSheetId="4">#REF!</definedName>
    <definedName name="som_cat5_conf1">#REF!</definedName>
    <definedName name="som_cat5_conf2" localSheetId="4">#REF!</definedName>
    <definedName name="som_cat5_conf2">#REF!</definedName>
    <definedName name="som_cat6_conf1" localSheetId="4">#REF!</definedName>
    <definedName name="som_cat6_conf1">#REF!</definedName>
    <definedName name="som_cat6_conf1_evo1" localSheetId="4">#REF!</definedName>
    <definedName name="som_cat6_conf1_evo1">#REF!</definedName>
    <definedName name="som_cat6_conf2" localSheetId="4">#REF!</definedName>
    <definedName name="som_cat6_conf2">#REF!</definedName>
    <definedName name="som_cat6_conf2_evo1" localSheetId="4">#REF!</definedName>
    <definedName name="som_cat6_conf2_evo1">#REF!</definedName>
    <definedName name="som_cat6_conf2_evo2" localSheetId="4">#REF!</definedName>
    <definedName name="som_cat6_conf2_evo2">#REF!</definedName>
    <definedName name="som_exco" localSheetId="4">#REF!</definedName>
    <definedName name="som_exco">#REF!</definedName>
  </definedNames>
  <calcPr calcId="162913"/>
  <fileRecoveryPr autoRecover="0"/>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G84" i="9" l="1"/>
  <c r="G689" i="4" l="1"/>
  <c r="H689" i="4" s="1"/>
  <c r="G687" i="4"/>
  <c r="H687" i="4" s="1"/>
  <c r="G688" i="4"/>
  <c r="H688" i="4" s="1"/>
  <c r="G686" i="4"/>
  <c r="H686" i="4" s="1"/>
  <c r="H685" i="4"/>
  <c r="G684" i="4"/>
  <c r="H684" i="4" s="1"/>
  <c r="G683" i="4"/>
  <c r="H683" i="4" s="1"/>
  <c r="G682" i="4"/>
  <c r="H682" i="4" s="1"/>
  <c r="G681" i="4" l="1"/>
  <c r="H681" i="4" s="1"/>
  <c r="R401" i="4"/>
  <c r="S401" i="4"/>
  <c r="T401" i="4"/>
  <c r="U401" i="4"/>
  <c r="AB401" i="4"/>
  <c r="AC401" i="4" s="1"/>
  <c r="G254" i="9"/>
  <c r="H254" i="9" s="1"/>
  <c r="U665" i="4" l="1"/>
  <c r="T665" i="4"/>
  <c r="S665" i="4"/>
  <c r="R665" i="4"/>
  <c r="U664" i="4"/>
  <c r="T664" i="4"/>
  <c r="S664" i="4"/>
  <c r="R664" i="4"/>
  <c r="U663" i="4"/>
  <c r="T663" i="4"/>
  <c r="S663" i="4"/>
  <c r="R663" i="4"/>
  <c r="U662" i="4"/>
  <c r="T662" i="4"/>
  <c r="S662" i="4"/>
  <c r="R662" i="4"/>
  <c r="U661" i="4"/>
  <c r="T661" i="4"/>
  <c r="S661" i="4"/>
  <c r="R661" i="4"/>
  <c r="U660" i="4"/>
  <c r="T660" i="4"/>
  <c r="S660" i="4"/>
  <c r="R660" i="4"/>
  <c r="U642" i="4"/>
  <c r="T642" i="4"/>
  <c r="S642" i="4"/>
  <c r="R642" i="4"/>
  <c r="U641" i="4"/>
  <c r="T641" i="4"/>
  <c r="S641" i="4"/>
  <c r="R641" i="4"/>
  <c r="U640" i="4"/>
  <c r="T640" i="4"/>
  <c r="S640" i="4"/>
  <c r="R640" i="4"/>
  <c r="U639" i="4"/>
  <c r="T639" i="4"/>
  <c r="S639" i="4"/>
  <c r="R639" i="4"/>
  <c r="U638" i="4"/>
  <c r="T638" i="4"/>
  <c r="S638" i="4"/>
  <c r="R638" i="4"/>
  <c r="U637" i="4"/>
  <c r="T637" i="4"/>
  <c r="S637" i="4"/>
  <c r="R637" i="4"/>
  <c r="U635" i="4"/>
  <c r="T635" i="4"/>
  <c r="S635" i="4"/>
  <c r="R635" i="4"/>
  <c r="U634" i="4"/>
  <c r="T634" i="4"/>
  <c r="S634" i="4"/>
  <c r="R634" i="4"/>
  <c r="U633" i="4"/>
  <c r="T633" i="4"/>
  <c r="S633" i="4"/>
  <c r="R633" i="4"/>
  <c r="U632" i="4"/>
  <c r="T632" i="4"/>
  <c r="S632" i="4"/>
  <c r="R632" i="4"/>
  <c r="U631" i="4"/>
  <c r="T631" i="4"/>
  <c r="S631" i="4"/>
  <c r="R631" i="4"/>
  <c r="U611" i="4"/>
  <c r="T611" i="4"/>
  <c r="S611" i="4"/>
  <c r="R611" i="4"/>
  <c r="U609" i="4"/>
  <c r="T609" i="4"/>
  <c r="S609" i="4"/>
  <c r="R609" i="4"/>
  <c r="U608" i="4"/>
  <c r="T608" i="4"/>
  <c r="S608" i="4"/>
  <c r="R608" i="4"/>
  <c r="U607" i="4"/>
  <c r="T607" i="4"/>
  <c r="S607" i="4"/>
  <c r="R607" i="4"/>
  <c r="U606" i="4"/>
  <c r="T606" i="4"/>
  <c r="S606" i="4"/>
  <c r="R606" i="4"/>
  <c r="U605" i="4"/>
  <c r="T605" i="4"/>
  <c r="S605" i="4"/>
  <c r="R605" i="4"/>
  <c r="U604" i="4"/>
  <c r="T604" i="4"/>
  <c r="S604" i="4"/>
  <c r="R604" i="4"/>
  <c r="U592" i="4"/>
  <c r="T592" i="4"/>
  <c r="S592" i="4"/>
  <c r="R592" i="4"/>
  <c r="U591" i="4"/>
  <c r="T591" i="4"/>
  <c r="S591" i="4"/>
  <c r="R591" i="4"/>
  <c r="U590" i="4"/>
  <c r="T590" i="4"/>
  <c r="S590" i="4"/>
  <c r="R590" i="4"/>
  <c r="U589" i="4"/>
  <c r="T589" i="4"/>
  <c r="S589" i="4"/>
  <c r="R589" i="4"/>
  <c r="U588" i="4"/>
  <c r="T588" i="4"/>
  <c r="S588" i="4"/>
  <c r="R588" i="4"/>
  <c r="U587" i="4"/>
  <c r="T587" i="4"/>
  <c r="S587" i="4"/>
  <c r="R587" i="4"/>
  <c r="U585" i="4"/>
  <c r="T585" i="4"/>
  <c r="S585" i="4"/>
  <c r="R585" i="4"/>
  <c r="U584" i="4"/>
  <c r="T584" i="4"/>
  <c r="S584" i="4"/>
  <c r="R584" i="4"/>
  <c r="U583" i="4"/>
  <c r="T583" i="4"/>
  <c r="S583" i="4"/>
  <c r="R583" i="4"/>
  <c r="U582" i="4"/>
  <c r="T582" i="4"/>
  <c r="S582" i="4"/>
  <c r="R582" i="4"/>
  <c r="U581" i="4"/>
  <c r="T581" i="4"/>
  <c r="S581" i="4"/>
  <c r="R581" i="4"/>
  <c r="U580" i="4"/>
  <c r="T580" i="4"/>
  <c r="S580" i="4"/>
  <c r="R580" i="4"/>
  <c r="U579" i="4"/>
  <c r="T579" i="4"/>
  <c r="S579" i="4"/>
  <c r="R579" i="4"/>
  <c r="U578" i="4"/>
  <c r="T578" i="4"/>
  <c r="S578" i="4"/>
  <c r="R578" i="4"/>
  <c r="U577" i="4"/>
  <c r="T577" i="4"/>
  <c r="S577" i="4"/>
  <c r="R577" i="4"/>
  <c r="U576" i="4"/>
  <c r="T576" i="4"/>
  <c r="S576" i="4"/>
  <c r="R576" i="4"/>
  <c r="U575" i="4"/>
  <c r="T575" i="4"/>
  <c r="S575" i="4"/>
  <c r="R575" i="4"/>
  <c r="U574" i="4"/>
  <c r="T574" i="4"/>
  <c r="S574" i="4"/>
  <c r="R574" i="4"/>
  <c r="U573" i="4"/>
  <c r="T573" i="4"/>
  <c r="S573" i="4"/>
  <c r="R573" i="4"/>
  <c r="U572" i="4"/>
  <c r="T572" i="4"/>
  <c r="S572" i="4"/>
  <c r="R572" i="4"/>
  <c r="U571" i="4"/>
  <c r="T571" i="4"/>
  <c r="S571" i="4"/>
  <c r="R571" i="4"/>
  <c r="U570" i="4"/>
  <c r="T570" i="4"/>
  <c r="S570" i="4"/>
  <c r="R570" i="4"/>
  <c r="U569" i="4"/>
  <c r="T569" i="4"/>
  <c r="S569" i="4"/>
  <c r="R569" i="4"/>
  <c r="U568" i="4"/>
  <c r="T568" i="4"/>
  <c r="S568" i="4"/>
  <c r="R568" i="4"/>
  <c r="U567" i="4"/>
  <c r="T567" i="4"/>
  <c r="S567" i="4"/>
  <c r="R567" i="4"/>
  <c r="U566" i="4"/>
  <c r="T566" i="4"/>
  <c r="S566" i="4"/>
  <c r="R566" i="4"/>
  <c r="U565" i="4"/>
  <c r="T565" i="4"/>
  <c r="S565" i="4"/>
  <c r="R565" i="4"/>
  <c r="U563" i="4"/>
  <c r="T563" i="4"/>
  <c r="S563" i="4"/>
  <c r="R563" i="4"/>
  <c r="U562" i="4"/>
  <c r="T562" i="4"/>
  <c r="S562" i="4"/>
  <c r="R562" i="4"/>
  <c r="U561" i="4"/>
  <c r="T561" i="4"/>
  <c r="S561" i="4"/>
  <c r="R561" i="4"/>
  <c r="U560" i="4"/>
  <c r="T560" i="4"/>
  <c r="S560" i="4"/>
  <c r="R560" i="4"/>
  <c r="U559" i="4"/>
  <c r="T559" i="4"/>
  <c r="S559" i="4"/>
  <c r="R559" i="4"/>
  <c r="U558" i="4"/>
  <c r="T558" i="4"/>
  <c r="S558" i="4"/>
  <c r="R558" i="4"/>
  <c r="U557" i="4"/>
  <c r="T557" i="4"/>
  <c r="S557" i="4"/>
  <c r="R557" i="4"/>
  <c r="U556" i="4"/>
  <c r="T556" i="4"/>
  <c r="S556" i="4"/>
  <c r="R556" i="4"/>
  <c r="U555" i="4"/>
  <c r="T555" i="4"/>
  <c r="S555" i="4"/>
  <c r="R555" i="4"/>
  <c r="U554" i="4"/>
  <c r="T554" i="4"/>
  <c r="S554" i="4"/>
  <c r="R554" i="4"/>
  <c r="U552" i="4"/>
  <c r="T552" i="4"/>
  <c r="S552" i="4"/>
  <c r="R552" i="4"/>
  <c r="U551" i="4"/>
  <c r="T551" i="4"/>
  <c r="S551" i="4"/>
  <c r="R551" i="4"/>
  <c r="U550" i="4"/>
  <c r="T550" i="4"/>
  <c r="S550" i="4"/>
  <c r="R550" i="4"/>
  <c r="U549" i="4"/>
  <c r="T549" i="4"/>
  <c r="S549" i="4"/>
  <c r="R549" i="4"/>
  <c r="U548" i="4"/>
  <c r="T548" i="4"/>
  <c r="S548" i="4"/>
  <c r="R548" i="4"/>
  <c r="U547" i="4"/>
  <c r="T547" i="4"/>
  <c r="S547" i="4"/>
  <c r="R547" i="4"/>
  <c r="U546" i="4"/>
  <c r="T546" i="4"/>
  <c r="S546" i="4"/>
  <c r="R546" i="4"/>
  <c r="U545" i="4"/>
  <c r="T545" i="4"/>
  <c r="S545" i="4"/>
  <c r="R545" i="4"/>
  <c r="U544" i="4"/>
  <c r="T544" i="4"/>
  <c r="S544" i="4"/>
  <c r="R544" i="4"/>
  <c r="U543" i="4"/>
  <c r="T543" i="4"/>
  <c r="S543" i="4"/>
  <c r="R543" i="4"/>
  <c r="U542" i="4"/>
  <c r="T542" i="4"/>
  <c r="S542" i="4"/>
  <c r="R542" i="4"/>
  <c r="U541" i="4"/>
  <c r="T541" i="4"/>
  <c r="S541" i="4"/>
  <c r="R541" i="4"/>
  <c r="U540" i="4"/>
  <c r="T540" i="4"/>
  <c r="S540" i="4"/>
  <c r="R540" i="4"/>
  <c r="U539" i="4"/>
  <c r="T539" i="4"/>
  <c r="S539" i="4"/>
  <c r="R539" i="4"/>
  <c r="U538" i="4"/>
  <c r="T538" i="4"/>
  <c r="S538" i="4"/>
  <c r="R538" i="4"/>
  <c r="U537" i="4"/>
  <c r="T537" i="4"/>
  <c r="S537" i="4"/>
  <c r="R537" i="4"/>
  <c r="U536" i="4"/>
  <c r="T536" i="4"/>
  <c r="S536" i="4"/>
  <c r="R536" i="4"/>
  <c r="U535" i="4"/>
  <c r="T535" i="4"/>
  <c r="S535" i="4"/>
  <c r="R535" i="4"/>
  <c r="U534" i="4"/>
  <c r="T534" i="4"/>
  <c r="S534" i="4"/>
  <c r="R534" i="4"/>
  <c r="U533" i="4"/>
  <c r="T533" i="4"/>
  <c r="S533" i="4"/>
  <c r="R533" i="4"/>
  <c r="U532" i="4"/>
  <c r="T532" i="4"/>
  <c r="S532" i="4"/>
  <c r="R532" i="4"/>
  <c r="U531" i="4"/>
  <c r="T531" i="4"/>
  <c r="S531" i="4"/>
  <c r="R531" i="4"/>
  <c r="U530" i="4"/>
  <c r="T530" i="4"/>
  <c r="S530" i="4"/>
  <c r="R530" i="4"/>
  <c r="U529" i="4"/>
  <c r="T529" i="4"/>
  <c r="S529" i="4"/>
  <c r="R529" i="4"/>
  <c r="U528" i="4"/>
  <c r="T528" i="4"/>
  <c r="S528" i="4"/>
  <c r="R528" i="4"/>
  <c r="U527" i="4"/>
  <c r="T527" i="4"/>
  <c r="S527" i="4"/>
  <c r="R527" i="4"/>
  <c r="U526" i="4"/>
  <c r="T526" i="4"/>
  <c r="S526" i="4"/>
  <c r="R526" i="4"/>
  <c r="U525" i="4"/>
  <c r="T525" i="4"/>
  <c r="S525" i="4"/>
  <c r="R525" i="4"/>
  <c r="U524" i="4"/>
  <c r="T524" i="4"/>
  <c r="S524" i="4"/>
  <c r="R524" i="4"/>
  <c r="U523" i="4"/>
  <c r="T523" i="4"/>
  <c r="S523" i="4"/>
  <c r="R523" i="4"/>
  <c r="U522" i="4"/>
  <c r="T522" i="4"/>
  <c r="S522" i="4"/>
  <c r="R522" i="4"/>
  <c r="U521" i="4"/>
  <c r="T521" i="4"/>
  <c r="S521" i="4"/>
  <c r="R521" i="4"/>
  <c r="U520" i="4"/>
  <c r="T520" i="4"/>
  <c r="S520" i="4"/>
  <c r="R520" i="4"/>
  <c r="U518" i="4"/>
  <c r="T518" i="4"/>
  <c r="S518" i="4"/>
  <c r="R518" i="4"/>
  <c r="U517" i="4"/>
  <c r="T517" i="4"/>
  <c r="S517" i="4"/>
  <c r="R517" i="4"/>
  <c r="U516" i="4"/>
  <c r="T516" i="4"/>
  <c r="S516" i="4"/>
  <c r="R516" i="4"/>
  <c r="U515" i="4"/>
  <c r="T515" i="4"/>
  <c r="S515" i="4"/>
  <c r="R515" i="4"/>
  <c r="U514" i="4"/>
  <c r="T514" i="4"/>
  <c r="S514" i="4"/>
  <c r="R514" i="4"/>
  <c r="U513" i="4"/>
  <c r="T513" i="4"/>
  <c r="S513" i="4"/>
  <c r="R513" i="4"/>
  <c r="U512" i="4"/>
  <c r="T512" i="4"/>
  <c r="S512" i="4"/>
  <c r="R512" i="4"/>
  <c r="U511" i="4"/>
  <c r="T511" i="4"/>
  <c r="S511" i="4"/>
  <c r="R511" i="4"/>
  <c r="U510" i="4"/>
  <c r="T510" i="4"/>
  <c r="S510" i="4"/>
  <c r="R510" i="4"/>
  <c r="U509" i="4"/>
  <c r="T509" i="4"/>
  <c r="S509" i="4"/>
  <c r="R509" i="4"/>
  <c r="U508" i="4"/>
  <c r="T508" i="4"/>
  <c r="S508" i="4"/>
  <c r="R508" i="4"/>
  <c r="U507" i="4"/>
  <c r="T507" i="4"/>
  <c r="S507" i="4"/>
  <c r="R507" i="4"/>
  <c r="U506" i="4"/>
  <c r="T506" i="4"/>
  <c r="S506" i="4"/>
  <c r="R506" i="4"/>
  <c r="U505" i="4"/>
  <c r="T505" i="4"/>
  <c r="S505" i="4"/>
  <c r="R505" i="4"/>
  <c r="U504" i="4"/>
  <c r="T504" i="4"/>
  <c r="S504" i="4"/>
  <c r="R504" i="4"/>
  <c r="U503" i="4"/>
  <c r="T503" i="4"/>
  <c r="S503" i="4"/>
  <c r="R503" i="4"/>
  <c r="U502" i="4"/>
  <c r="T502" i="4"/>
  <c r="S502" i="4"/>
  <c r="R502" i="4"/>
  <c r="U501" i="4"/>
  <c r="T501" i="4"/>
  <c r="S501" i="4"/>
  <c r="R501" i="4"/>
  <c r="U500" i="4"/>
  <c r="T500" i="4"/>
  <c r="S500" i="4"/>
  <c r="R500" i="4"/>
  <c r="U499" i="4"/>
  <c r="T499" i="4"/>
  <c r="S499" i="4"/>
  <c r="R499" i="4"/>
  <c r="U498" i="4"/>
  <c r="T498" i="4"/>
  <c r="S498" i="4"/>
  <c r="R498" i="4"/>
  <c r="U497" i="4"/>
  <c r="T497" i="4"/>
  <c r="S497" i="4"/>
  <c r="R497" i="4"/>
  <c r="U496" i="4"/>
  <c r="T496" i="4"/>
  <c r="S496" i="4"/>
  <c r="R496" i="4"/>
  <c r="U495" i="4"/>
  <c r="T495" i="4"/>
  <c r="S495" i="4"/>
  <c r="R495" i="4"/>
  <c r="U494" i="4"/>
  <c r="T494" i="4"/>
  <c r="S494" i="4"/>
  <c r="R494" i="4"/>
  <c r="U493" i="4"/>
  <c r="T493" i="4"/>
  <c r="S493" i="4"/>
  <c r="R493" i="4"/>
  <c r="U492" i="4"/>
  <c r="T492" i="4"/>
  <c r="S492" i="4"/>
  <c r="R492" i="4"/>
  <c r="U491" i="4"/>
  <c r="T491" i="4"/>
  <c r="S491" i="4"/>
  <c r="R491" i="4"/>
  <c r="U490" i="4"/>
  <c r="T490" i="4"/>
  <c r="S490" i="4"/>
  <c r="R490" i="4"/>
  <c r="U489" i="4"/>
  <c r="T489" i="4"/>
  <c r="S489" i="4"/>
  <c r="R489" i="4"/>
  <c r="U488" i="4"/>
  <c r="T488" i="4"/>
  <c r="S488" i="4"/>
  <c r="R488" i="4"/>
  <c r="U487" i="4"/>
  <c r="T487" i="4"/>
  <c r="S487" i="4"/>
  <c r="R487" i="4"/>
  <c r="U486" i="4"/>
  <c r="T486" i="4"/>
  <c r="S486" i="4"/>
  <c r="R486" i="4"/>
  <c r="U485" i="4"/>
  <c r="T485" i="4"/>
  <c r="S485" i="4"/>
  <c r="R485" i="4"/>
  <c r="U484" i="4"/>
  <c r="T484" i="4"/>
  <c r="S484" i="4"/>
  <c r="R484" i="4"/>
  <c r="U483" i="4"/>
  <c r="T483" i="4"/>
  <c r="S483" i="4"/>
  <c r="R483" i="4"/>
  <c r="U482" i="4"/>
  <c r="T482" i="4"/>
  <c r="S482" i="4"/>
  <c r="R482" i="4"/>
  <c r="U481" i="4"/>
  <c r="T481" i="4"/>
  <c r="S481" i="4"/>
  <c r="R481" i="4"/>
  <c r="U480" i="4"/>
  <c r="T480" i="4"/>
  <c r="S480" i="4"/>
  <c r="R480" i="4"/>
  <c r="U479" i="4"/>
  <c r="T479" i="4"/>
  <c r="S479" i="4"/>
  <c r="R479" i="4"/>
  <c r="U478" i="4"/>
  <c r="T478" i="4"/>
  <c r="S478" i="4"/>
  <c r="R478" i="4"/>
  <c r="U477" i="4"/>
  <c r="T477" i="4"/>
  <c r="S477" i="4"/>
  <c r="R477" i="4"/>
  <c r="U476" i="4"/>
  <c r="T476" i="4"/>
  <c r="S476" i="4"/>
  <c r="R476" i="4"/>
  <c r="U475" i="4"/>
  <c r="T475" i="4"/>
  <c r="S475" i="4"/>
  <c r="R475" i="4"/>
  <c r="U474" i="4"/>
  <c r="T474" i="4"/>
  <c r="S474" i="4"/>
  <c r="R474" i="4"/>
  <c r="U473" i="4"/>
  <c r="T473" i="4"/>
  <c r="S473" i="4"/>
  <c r="R473" i="4"/>
  <c r="U472" i="4"/>
  <c r="T472" i="4"/>
  <c r="S472" i="4"/>
  <c r="R472" i="4"/>
  <c r="U471" i="4"/>
  <c r="T471" i="4"/>
  <c r="S471" i="4"/>
  <c r="R471" i="4"/>
  <c r="U469" i="4"/>
  <c r="T469" i="4"/>
  <c r="S469" i="4"/>
  <c r="R469" i="4"/>
  <c r="U468" i="4"/>
  <c r="T468" i="4"/>
  <c r="S468" i="4"/>
  <c r="R468" i="4"/>
  <c r="U467" i="4"/>
  <c r="T467" i="4"/>
  <c r="S467" i="4"/>
  <c r="R467" i="4"/>
  <c r="U466" i="4"/>
  <c r="T466" i="4"/>
  <c r="S466" i="4"/>
  <c r="R466" i="4"/>
  <c r="U465" i="4"/>
  <c r="T465" i="4"/>
  <c r="S465" i="4"/>
  <c r="R465" i="4"/>
  <c r="U464" i="4"/>
  <c r="T464" i="4"/>
  <c r="S464" i="4"/>
  <c r="R464" i="4"/>
  <c r="U463" i="4"/>
  <c r="T463" i="4"/>
  <c r="S463" i="4"/>
  <c r="R463" i="4"/>
  <c r="U462" i="4"/>
  <c r="T462" i="4"/>
  <c r="S462" i="4"/>
  <c r="R462" i="4"/>
  <c r="U461" i="4"/>
  <c r="T461" i="4"/>
  <c r="S461" i="4"/>
  <c r="R461" i="4"/>
  <c r="U460" i="4"/>
  <c r="T460" i="4"/>
  <c r="S460" i="4"/>
  <c r="R460" i="4"/>
  <c r="U459" i="4"/>
  <c r="T459" i="4"/>
  <c r="S459" i="4"/>
  <c r="R459" i="4"/>
  <c r="U458" i="4"/>
  <c r="T458" i="4"/>
  <c r="S458" i="4"/>
  <c r="R458" i="4"/>
  <c r="U457" i="4"/>
  <c r="T457" i="4"/>
  <c r="S457" i="4"/>
  <c r="R457" i="4"/>
  <c r="U456" i="4"/>
  <c r="T456" i="4"/>
  <c r="S456" i="4"/>
  <c r="R456" i="4"/>
  <c r="U455" i="4"/>
  <c r="T455" i="4"/>
  <c r="S455" i="4"/>
  <c r="R455" i="4"/>
  <c r="U454" i="4"/>
  <c r="T454" i="4"/>
  <c r="S454" i="4"/>
  <c r="R454" i="4"/>
  <c r="U453" i="4"/>
  <c r="T453" i="4"/>
  <c r="S453" i="4"/>
  <c r="R453" i="4"/>
  <c r="U452" i="4"/>
  <c r="T452" i="4"/>
  <c r="S452" i="4"/>
  <c r="R452" i="4"/>
  <c r="U451" i="4"/>
  <c r="T451" i="4"/>
  <c r="S451" i="4"/>
  <c r="R451" i="4"/>
  <c r="U450" i="4"/>
  <c r="T450" i="4"/>
  <c r="S450" i="4"/>
  <c r="R450" i="4"/>
  <c r="U449" i="4"/>
  <c r="T449" i="4"/>
  <c r="S449" i="4"/>
  <c r="R449" i="4"/>
  <c r="U448" i="4"/>
  <c r="T448" i="4"/>
  <c r="S448" i="4"/>
  <c r="R448" i="4"/>
  <c r="U447" i="4"/>
  <c r="T447" i="4"/>
  <c r="S447" i="4"/>
  <c r="R447" i="4"/>
  <c r="U446" i="4"/>
  <c r="T446" i="4"/>
  <c r="S446" i="4"/>
  <c r="R446" i="4"/>
  <c r="U445" i="4"/>
  <c r="T445" i="4"/>
  <c r="S445" i="4"/>
  <c r="R445" i="4"/>
  <c r="U444" i="4"/>
  <c r="T444" i="4"/>
  <c r="S444" i="4"/>
  <c r="R444" i="4"/>
  <c r="U443" i="4"/>
  <c r="T443" i="4"/>
  <c r="S443" i="4"/>
  <c r="R443" i="4"/>
  <c r="U442" i="4"/>
  <c r="T442" i="4"/>
  <c r="S442" i="4"/>
  <c r="R442" i="4"/>
  <c r="U441" i="4"/>
  <c r="T441" i="4"/>
  <c r="S441" i="4"/>
  <c r="R441" i="4"/>
  <c r="U440" i="4"/>
  <c r="T440" i="4"/>
  <c r="S440" i="4"/>
  <c r="R440" i="4"/>
  <c r="U439" i="4"/>
  <c r="T439" i="4"/>
  <c r="S439" i="4"/>
  <c r="R439" i="4"/>
  <c r="U438" i="4"/>
  <c r="T438" i="4"/>
  <c r="S438" i="4"/>
  <c r="R438" i="4"/>
  <c r="U437" i="4"/>
  <c r="T437" i="4"/>
  <c r="S437" i="4"/>
  <c r="R437" i="4"/>
  <c r="U436" i="4"/>
  <c r="T436" i="4"/>
  <c r="S436" i="4"/>
  <c r="R436" i="4"/>
  <c r="U435" i="4"/>
  <c r="T435" i="4"/>
  <c r="S435" i="4"/>
  <c r="R435" i="4"/>
  <c r="U434" i="4"/>
  <c r="T434" i="4"/>
  <c r="S434" i="4"/>
  <c r="R434" i="4"/>
  <c r="U433" i="4"/>
  <c r="T433" i="4"/>
  <c r="S433" i="4"/>
  <c r="R433" i="4"/>
  <c r="U432" i="4"/>
  <c r="T432" i="4"/>
  <c r="S432" i="4"/>
  <c r="R432" i="4"/>
  <c r="U431" i="4"/>
  <c r="T431" i="4"/>
  <c r="S431" i="4"/>
  <c r="R431" i="4"/>
  <c r="U430" i="4"/>
  <c r="T430" i="4"/>
  <c r="S430" i="4"/>
  <c r="R430" i="4"/>
  <c r="U429" i="4"/>
  <c r="T429" i="4"/>
  <c r="S429" i="4"/>
  <c r="R429" i="4"/>
  <c r="U428" i="4"/>
  <c r="T428" i="4"/>
  <c r="S428" i="4"/>
  <c r="R428" i="4"/>
  <c r="U427" i="4"/>
  <c r="T427" i="4"/>
  <c r="S427" i="4"/>
  <c r="R427" i="4"/>
  <c r="U426" i="4"/>
  <c r="T426" i="4"/>
  <c r="S426" i="4"/>
  <c r="R426" i="4"/>
  <c r="U425" i="4"/>
  <c r="T425" i="4"/>
  <c r="S425" i="4"/>
  <c r="R425" i="4"/>
  <c r="U424" i="4"/>
  <c r="T424" i="4"/>
  <c r="S424" i="4"/>
  <c r="R424" i="4"/>
  <c r="U423" i="4"/>
  <c r="T423" i="4"/>
  <c r="S423" i="4"/>
  <c r="R423" i="4"/>
  <c r="U422" i="4"/>
  <c r="T422" i="4"/>
  <c r="S422" i="4"/>
  <c r="R422" i="4"/>
  <c r="U421" i="4"/>
  <c r="T421" i="4"/>
  <c r="S421" i="4"/>
  <c r="R421" i="4"/>
  <c r="U420" i="4"/>
  <c r="T420" i="4"/>
  <c r="S420" i="4"/>
  <c r="R420" i="4"/>
  <c r="U419" i="4"/>
  <c r="T419" i="4"/>
  <c r="S419" i="4"/>
  <c r="R419" i="4"/>
  <c r="U418" i="4"/>
  <c r="T418" i="4"/>
  <c r="S418" i="4"/>
  <c r="R418" i="4"/>
  <c r="U417" i="4"/>
  <c r="T417" i="4"/>
  <c r="S417" i="4"/>
  <c r="R417" i="4"/>
  <c r="U416" i="4"/>
  <c r="T416" i="4"/>
  <c r="S416" i="4"/>
  <c r="R416" i="4"/>
  <c r="U415" i="4"/>
  <c r="T415" i="4"/>
  <c r="S415" i="4"/>
  <c r="R415" i="4"/>
  <c r="U414" i="4"/>
  <c r="T414" i="4"/>
  <c r="S414" i="4"/>
  <c r="R414" i="4"/>
  <c r="U413" i="4"/>
  <c r="T413" i="4"/>
  <c r="S413" i="4"/>
  <c r="R413" i="4"/>
  <c r="U412" i="4"/>
  <c r="T412" i="4"/>
  <c r="S412" i="4"/>
  <c r="R412" i="4"/>
  <c r="U411" i="4"/>
  <c r="T411" i="4"/>
  <c r="S411" i="4"/>
  <c r="R411" i="4"/>
  <c r="U410" i="4"/>
  <c r="T410" i="4"/>
  <c r="S410" i="4"/>
  <c r="R410" i="4"/>
  <c r="U409" i="4"/>
  <c r="T409" i="4"/>
  <c r="S409" i="4"/>
  <c r="R409" i="4"/>
  <c r="U408" i="4"/>
  <c r="T408" i="4"/>
  <c r="S408" i="4"/>
  <c r="R408" i="4"/>
  <c r="U407" i="4"/>
  <c r="T407" i="4"/>
  <c r="S407" i="4"/>
  <c r="R407" i="4"/>
  <c r="U406" i="4"/>
  <c r="T406" i="4"/>
  <c r="S406" i="4"/>
  <c r="R406" i="4"/>
  <c r="U405" i="4"/>
  <c r="T405" i="4"/>
  <c r="S405" i="4"/>
  <c r="R405" i="4"/>
  <c r="U404" i="4"/>
  <c r="T404" i="4"/>
  <c r="S404" i="4"/>
  <c r="R404" i="4"/>
  <c r="U403" i="4"/>
  <c r="T403" i="4"/>
  <c r="S403" i="4"/>
  <c r="R403" i="4"/>
  <c r="U402" i="4"/>
  <c r="T402" i="4"/>
  <c r="S402" i="4"/>
  <c r="R402" i="4"/>
  <c r="U400" i="4"/>
  <c r="T400" i="4"/>
  <c r="S400" i="4"/>
  <c r="R400" i="4"/>
  <c r="U399" i="4"/>
  <c r="T399" i="4"/>
  <c r="S399" i="4"/>
  <c r="R399" i="4"/>
  <c r="U398" i="4"/>
  <c r="T398" i="4"/>
  <c r="S398" i="4"/>
  <c r="R398" i="4"/>
  <c r="U397" i="4"/>
  <c r="T397" i="4"/>
  <c r="S397" i="4"/>
  <c r="R397" i="4"/>
  <c r="U396" i="4"/>
  <c r="T396" i="4"/>
  <c r="S396" i="4"/>
  <c r="R396" i="4"/>
  <c r="U395" i="4"/>
  <c r="T395" i="4"/>
  <c r="S395" i="4"/>
  <c r="R395" i="4"/>
  <c r="U394" i="4"/>
  <c r="T394" i="4"/>
  <c r="S394" i="4"/>
  <c r="R394" i="4"/>
  <c r="U393" i="4"/>
  <c r="T393" i="4"/>
  <c r="S393" i="4"/>
  <c r="R393" i="4"/>
  <c r="U392" i="4"/>
  <c r="T392" i="4"/>
  <c r="S392" i="4"/>
  <c r="R392" i="4"/>
  <c r="U391" i="4"/>
  <c r="T391" i="4"/>
  <c r="S391" i="4"/>
  <c r="R391" i="4"/>
  <c r="U390" i="4"/>
  <c r="T390" i="4"/>
  <c r="S390" i="4"/>
  <c r="R390" i="4"/>
  <c r="U389" i="4"/>
  <c r="T389" i="4"/>
  <c r="S389" i="4"/>
  <c r="R389" i="4"/>
  <c r="U388" i="4"/>
  <c r="T388" i="4"/>
  <c r="S388" i="4"/>
  <c r="R388" i="4"/>
  <c r="U387" i="4"/>
  <c r="T387" i="4"/>
  <c r="S387" i="4"/>
  <c r="R387" i="4"/>
  <c r="U386" i="4"/>
  <c r="T386" i="4"/>
  <c r="S386" i="4"/>
  <c r="R386" i="4"/>
  <c r="U385" i="4"/>
  <c r="T385" i="4"/>
  <c r="S385" i="4"/>
  <c r="R385" i="4"/>
  <c r="U384" i="4"/>
  <c r="T384" i="4"/>
  <c r="S384" i="4"/>
  <c r="R384" i="4"/>
  <c r="U383" i="4"/>
  <c r="T383" i="4"/>
  <c r="S383" i="4"/>
  <c r="R383" i="4"/>
  <c r="U382" i="4"/>
  <c r="T382" i="4"/>
  <c r="S382" i="4"/>
  <c r="R382" i="4"/>
  <c r="U381" i="4"/>
  <c r="T381" i="4"/>
  <c r="S381" i="4"/>
  <c r="R381" i="4"/>
  <c r="U380" i="4"/>
  <c r="T380" i="4"/>
  <c r="S380" i="4"/>
  <c r="R380" i="4"/>
  <c r="U379" i="4"/>
  <c r="T379" i="4"/>
  <c r="S379" i="4"/>
  <c r="R379" i="4"/>
  <c r="U378" i="4"/>
  <c r="T378" i="4"/>
  <c r="S378" i="4"/>
  <c r="R378" i="4"/>
  <c r="U377" i="4"/>
  <c r="T377" i="4"/>
  <c r="S377" i="4"/>
  <c r="R377" i="4"/>
  <c r="U376" i="4"/>
  <c r="T376" i="4"/>
  <c r="S376" i="4"/>
  <c r="R376" i="4"/>
  <c r="U375" i="4"/>
  <c r="T375" i="4"/>
  <c r="S375" i="4"/>
  <c r="R375" i="4"/>
  <c r="U374" i="4"/>
  <c r="T374" i="4"/>
  <c r="S374" i="4"/>
  <c r="R374" i="4"/>
  <c r="U373" i="4"/>
  <c r="T373" i="4"/>
  <c r="S373" i="4"/>
  <c r="R373" i="4"/>
  <c r="U372" i="4"/>
  <c r="T372" i="4"/>
  <c r="S372" i="4"/>
  <c r="R372" i="4"/>
  <c r="U371" i="4"/>
  <c r="T371" i="4"/>
  <c r="S371" i="4"/>
  <c r="R371" i="4"/>
  <c r="U369" i="4"/>
  <c r="T369" i="4"/>
  <c r="S369" i="4"/>
  <c r="R369" i="4"/>
  <c r="U368" i="4"/>
  <c r="T368" i="4"/>
  <c r="S368" i="4"/>
  <c r="R368" i="4"/>
  <c r="U367" i="4"/>
  <c r="T367" i="4"/>
  <c r="S367" i="4"/>
  <c r="R367" i="4"/>
  <c r="U366" i="4"/>
  <c r="T366" i="4"/>
  <c r="S366" i="4"/>
  <c r="R366" i="4"/>
  <c r="U365" i="4"/>
  <c r="T365" i="4"/>
  <c r="S365" i="4"/>
  <c r="R365" i="4"/>
  <c r="U364" i="4"/>
  <c r="T364" i="4"/>
  <c r="S364" i="4"/>
  <c r="R364" i="4"/>
  <c r="U363" i="4"/>
  <c r="T363" i="4"/>
  <c r="S363" i="4"/>
  <c r="R363" i="4"/>
  <c r="U362" i="4"/>
  <c r="T362" i="4"/>
  <c r="S362" i="4"/>
  <c r="R362" i="4"/>
  <c r="U361" i="4"/>
  <c r="T361" i="4"/>
  <c r="S361" i="4"/>
  <c r="R361" i="4"/>
  <c r="U360" i="4"/>
  <c r="T360" i="4"/>
  <c r="S360" i="4"/>
  <c r="R360" i="4"/>
  <c r="U359" i="4"/>
  <c r="T359" i="4"/>
  <c r="S359" i="4"/>
  <c r="R359" i="4"/>
  <c r="U358" i="4"/>
  <c r="T358" i="4"/>
  <c r="S358" i="4"/>
  <c r="R358" i="4"/>
  <c r="U356" i="4"/>
  <c r="T356" i="4"/>
  <c r="S356" i="4"/>
  <c r="R356" i="4"/>
  <c r="U355" i="4"/>
  <c r="T355" i="4"/>
  <c r="S355" i="4"/>
  <c r="R355" i="4"/>
  <c r="U354" i="4"/>
  <c r="T354" i="4"/>
  <c r="S354" i="4"/>
  <c r="R354" i="4"/>
  <c r="U353" i="4"/>
  <c r="T353" i="4"/>
  <c r="S353" i="4"/>
  <c r="R353" i="4"/>
  <c r="U352" i="4"/>
  <c r="T352" i="4"/>
  <c r="S352" i="4"/>
  <c r="R352" i="4"/>
  <c r="U351" i="4"/>
  <c r="T351" i="4"/>
  <c r="S351" i="4"/>
  <c r="R351" i="4"/>
  <c r="U350" i="4"/>
  <c r="T350" i="4"/>
  <c r="S350" i="4"/>
  <c r="R350" i="4"/>
  <c r="U349" i="4"/>
  <c r="T349" i="4"/>
  <c r="S349" i="4"/>
  <c r="R349" i="4"/>
  <c r="U348" i="4"/>
  <c r="T348" i="4"/>
  <c r="S348" i="4"/>
  <c r="R348" i="4"/>
  <c r="U347" i="4"/>
  <c r="T347" i="4"/>
  <c r="S347" i="4"/>
  <c r="R347" i="4"/>
  <c r="U346" i="4"/>
  <c r="T346" i="4"/>
  <c r="S346" i="4"/>
  <c r="R346" i="4"/>
  <c r="U345" i="4"/>
  <c r="T345" i="4"/>
  <c r="S345" i="4"/>
  <c r="R345" i="4"/>
  <c r="U344" i="4"/>
  <c r="T344" i="4"/>
  <c r="S344" i="4"/>
  <c r="R344" i="4"/>
  <c r="U343" i="4"/>
  <c r="T343" i="4"/>
  <c r="S343" i="4"/>
  <c r="R343" i="4"/>
  <c r="U342" i="4"/>
  <c r="T342" i="4"/>
  <c r="S342" i="4"/>
  <c r="R342" i="4"/>
  <c r="U341" i="4"/>
  <c r="T341" i="4"/>
  <c r="S341" i="4"/>
  <c r="R341" i="4"/>
  <c r="U339" i="4"/>
  <c r="T339" i="4"/>
  <c r="S339" i="4"/>
  <c r="R339" i="4"/>
  <c r="U338" i="4"/>
  <c r="T338" i="4"/>
  <c r="S338" i="4"/>
  <c r="R338" i="4"/>
  <c r="U337" i="4"/>
  <c r="T337" i="4"/>
  <c r="S337" i="4"/>
  <c r="R337" i="4"/>
  <c r="U336" i="4"/>
  <c r="T336" i="4"/>
  <c r="S336" i="4"/>
  <c r="R336" i="4"/>
  <c r="U335" i="4"/>
  <c r="T335" i="4"/>
  <c r="S335" i="4"/>
  <c r="R335" i="4"/>
  <c r="U334" i="4"/>
  <c r="T334" i="4"/>
  <c r="S334" i="4"/>
  <c r="R334" i="4"/>
  <c r="U333" i="4"/>
  <c r="T333" i="4"/>
  <c r="S333" i="4"/>
  <c r="R333" i="4"/>
  <c r="U332" i="4"/>
  <c r="T332" i="4"/>
  <c r="S332" i="4"/>
  <c r="R332" i="4"/>
  <c r="U331" i="4"/>
  <c r="T331" i="4"/>
  <c r="S331" i="4"/>
  <c r="R331" i="4"/>
  <c r="U330" i="4"/>
  <c r="T330" i="4"/>
  <c r="S330" i="4"/>
  <c r="R330" i="4"/>
  <c r="U329" i="4"/>
  <c r="T329" i="4"/>
  <c r="S329" i="4"/>
  <c r="R329" i="4"/>
  <c r="U328" i="4"/>
  <c r="T328" i="4"/>
  <c r="S328" i="4"/>
  <c r="R328" i="4"/>
  <c r="U327" i="4"/>
  <c r="T327" i="4"/>
  <c r="S327" i="4"/>
  <c r="R327" i="4"/>
  <c r="U326" i="4"/>
  <c r="T326" i="4"/>
  <c r="S326" i="4"/>
  <c r="R326" i="4"/>
  <c r="U325" i="4"/>
  <c r="T325" i="4"/>
  <c r="S325" i="4"/>
  <c r="R325" i="4"/>
  <c r="U324" i="4"/>
  <c r="T324" i="4"/>
  <c r="S324" i="4"/>
  <c r="R324" i="4"/>
  <c r="U323" i="4"/>
  <c r="T323" i="4"/>
  <c r="S323" i="4"/>
  <c r="R323" i="4"/>
  <c r="U322" i="4"/>
  <c r="T322" i="4"/>
  <c r="S322" i="4"/>
  <c r="R322" i="4"/>
  <c r="U321" i="4"/>
  <c r="T321" i="4"/>
  <c r="S321" i="4"/>
  <c r="R321" i="4"/>
  <c r="U320" i="4"/>
  <c r="T320" i="4"/>
  <c r="S320" i="4"/>
  <c r="R320" i="4"/>
  <c r="U319" i="4"/>
  <c r="T319" i="4"/>
  <c r="S319" i="4"/>
  <c r="R319" i="4"/>
  <c r="U318" i="4"/>
  <c r="T318" i="4"/>
  <c r="S318" i="4"/>
  <c r="R318" i="4"/>
  <c r="U317" i="4"/>
  <c r="T317" i="4"/>
  <c r="S317" i="4"/>
  <c r="R317" i="4"/>
  <c r="U316" i="4"/>
  <c r="T316" i="4"/>
  <c r="S316" i="4"/>
  <c r="R316" i="4"/>
  <c r="U315" i="4"/>
  <c r="T315" i="4"/>
  <c r="S315" i="4"/>
  <c r="R315" i="4"/>
  <c r="U314" i="4"/>
  <c r="T314" i="4"/>
  <c r="S314" i="4"/>
  <c r="R314" i="4"/>
  <c r="U313" i="4"/>
  <c r="T313" i="4"/>
  <c r="S313" i="4"/>
  <c r="R313" i="4"/>
  <c r="U312" i="4"/>
  <c r="T312" i="4"/>
  <c r="S312" i="4"/>
  <c r="R312" i="4"/>
  <c r="U311" i="4"/>
  <c r="T311" i="4"/>
  <c r="S311" i="4"/>
  <c r="R311" i="4"/>
  <c r="U310" i="4"/>
  <c r="T310" i="4"/>
  <c r="S310" i="4"/>
  <c r="R310" i="4"/>
  <c r="U309" i="4"/>
  <c r="T309" i="4"/>
  <c r="S309" i="4"/>
  <c r="R309" i="4"/>
  <c r="U308" i="4"/>
  <c r="T308" i="4"/>
  <c r="S308" i="4"/>
  <c r="R308" i="4"/>
  <c r="U307" i="4"/>
  <c r="T307" i="4"/>
  <c r="S307" i="4"/>
  <c r="R307" i="4"/>
  <c r="U306" i="4"/>
  <c r="T306" i="4"/>
  <c r="S306" i="4"/>
  <c r="R306" i="4"/>
  <c r="U305" i="4"/>
  <c r="T305" i="4"/>
  <c r="S305" i="4"/>
  <c r="R305" i="4"/>
  <c r="U304" i="4"/>
  <c r="T304" i="4"/>
  <c r="S304" i="4"/>
  <c r="R304" i="4"/>
  <c r="U302" i="4"/>
  <c r="T302" i="4"/>
  <c r="S302" i="4"/>
  <c r="R302" i="4"/>
  <c r="U301" i="4"/>
  <c r="T301" i="4"/>
  <c r="S301" i="4"/>
  <c r="R301" i="4"/>
  <c r="U300" i="4"/>
  <c r="T300" i="4"/>
  <c r="S300" i="4"/>
  <c r="R300" i="4"/>
  <c r="U299" i="4"/>
  <c r="T299" i="4"/>
  <c r="S299" i="4"/>
  <c r="R299" i="4"/>
  <c r="U297" i="4"/>
  <c r="T297" i="4"/>
  <c r="S297" i="4"/>
  <c r="R297" i="4"/>
  <c r="U296" i="4"/>
  <c r="T296" i="4"/>
  <c r="S296" i="4"/>
  <c r="R296" i="4"/>
  <c r="U295" i="4"/>
  <c r="T295" i="4"/>
  <c r="S295" i="4"/>
  <c r="R295" i="4"/>
  <c r="U294" i="4"/>
  <c r="T294" i="4"/>
  <c r="S294" i="4"/>
  <c r="R294" i="4"/>
  <c r="U293" i="4"/>
  <c r="T293" i="4"/>
  <c r="S293" i="4"/>
  <c r="R293" i="4"/>
  <c r="U292" i="4"/>
  <c r="T292" i="4"/>
  <c r="S292" i="4"/>
  <c r="R292" i="4"/>
  <c r="U291" i="4"/>
  <c r="T291" i="4"/>
  <c r="S291" i="4"/>
  <c r="R291" i="4"/>
  <c r="U290" i="4"/>
  <c r="T290" i="4"/>
  <c r="S290" i="4"/>
  <c r="R290" i="4"/>
  <c r="U289" i="4"/>
  <c r="T289" i="4"/>
  <c r="S289" i="4"/>
  <c r="R289" i="4"/>
  <c r="U288" i="4"/>
  <c r="T288" i="4"/>
  <c r="S288" i="4"/>
  <c r="R288" i="4"/>
  <c r="U287" i="4"/>
  <c r="T287" i="4"/>
  <c r="S287" i="4"/>
  <c r="R287" i="4"/>
  <c r="U286" i="4"/>
  <c r="T286" i="4"/>
  <c r="S286" i="4"/>
  <c r="R286" i="4"/>
  <c r="U285" i="4"/>
  <c r="T285" i="4"/>
  <c r="S285" i="4"/>
  <c r="R285" i="4"/>
  <c r="U284" i="4"/>
  <c r="T284" i="4"/>
  <c r="S284" i="4"/>
  <c r="R284" i="4"/>
  <c r="U283" i="4"/>
  <c r="T283" i="4"/>
  <c r="S283" i="4"/>
  <c r="R283" i="4"/>
  <c r="U282" i="4"/>
  <c r="T282" i="4"/>
  <c r="S282" i="4"/>
  <c r="R282" i="4"/>
  <c r="U281" i="4"/>
  <c r="T281" i="4"/>
  <c r="S281" i="4"/>
  <c r="R281" i="4"/>
  <c r="U280" i="4"/>
  <c r="T280" i="4"/>
  <c r="S280" i="4"/>
  <c r="R280" i="4"/>
  <c r="U279" i="4"/>
  <c r="T279" i="4"/>
  <c r="S279" i="4"/>
  <c r="R279" i="4"/>
  <c r="U278" i="4"/>
  <c r="T278" i="4"/>
  <c r="S278" i="4"/>
  <c r="R278" i="4"/>
  <c r="U277" i="4"/>
  <c r="T277" i="4"/>
  <c r="S277" i="4"/>
  <c r="R277" i="4"/>
  <c r="U276" i="4"/>
  <c r="T276" i="4"/>
  <c r="S276" i="4"/>
  <c r="R276" i="4"/>
  <c r="U275" i="4"/>
  <c r="T275" i="4"/>
  <c r="S275" i="4"/>
  <c r="R275" i="4"/>
  <c r="U273" i="4"/>
  <c r="T273" i="4"/>
  <c r="S273" i="4"/>
  <c r="R273" i="4"/>
  <c r="U272" i="4"/>
  <c r="T272" i="4"/>
  <c r="S272" i="4"/>
  <c r="R272" i="4"/>
  <c r="U271" i="4"/>
  <c r="T271" i="4"/>
  <c r="S271" i="4"/>
  <c r="R271" i="4"/>
  <c r="U270" i="4"/>
  <c r="T270" i="4"/>
  <c r="S270" i="4"/>
  <c r="R270" i="4"/>
  <c r="U269" i="4"/>
  <c r="T269" i="4"/>
  <c r="S269" i="4"/>
  <c r="R269" i="4"/>
  <c r="U268" i="4"/>
  <c r="T268" i="4"/>
  <c r="S268" i="4"/>
  <c r="R268" i="4"/>
  <c r="U267" i="4"/>
  <c r="T267" i="4"/>
  <c r="S267" i="4"/>
  <c r="R267" i="4"/>
  <c r="U266" i="4"/>
  <c r="T266" i="4"/>
  <c r="S266" i="4"/>
  <c r="R266" i="4"/>
  <c r="U265" i="4"/>
  <c r="T265" i="4"/>
  <c r="S265" i="4"/>
  <c r="R265" i="4"/>
  <c r="U264" i="4"/>
  <c r="T264" i="4"/>
  <c r="S264" i="4"/>
  <c r="R264" i="4"/>
  <c r="U263" i="4"/>
  <c r="T263" i="4"/>
  <c r="S263" i="4"/>
  <c r="R263" i="4"/>
  <c r="U262" i="4"/>
  <c r="T262" i="4"/>
  <c r="S262" i="4"/>
  <c r="R262" i="4"/>
  <c r="U261" i="4"/>
  <c r="T261" i="4"/>
  <c r="S261" i="4"/>
  <c r="R261" i="4"/>
  <c r="U260" i="4"/>
  <c r="T260" i="4"/>
  <c r="S260" i="4"/>
  <c r="R260" i="4"/>
  <c r="U259" i="4"/>
  <c r="T259" i="4"/>
  <c r="S259" i="4"/>
  <c r="R259" i="4"/>
  <c r="U258" i="4"/>
  <c r="T258" i="4"/>
  <c r="S258" i="4"/>
  <c r="R258" i="4"/>
  <c r="U257" i="4"/>
  <c r="T257" i="4"/>
  <c r="S257" i="4"/>
  <c r="R257" i="4"/>
  <c r="U256" i="4"/>
  <c r="T256" i="4"/>
  <c r="S256" i="4"/>
  <c r="R256" i="4"/>
  <c r="U255" i="4"/>
  <c r="T255" i="4"/>
  <c r="S255" i="4"/>
  <c r="R255" i="4"/>
  <c r="U254" i="4"/>
  <c r="T254" i="4"/>
  <c r="S254" i="4"/>
  <c r="R254" i="4"/>
  <c r="U253" i="4"/>
  <c r="T253" i="4"/>
  <c r="S253" i="4"/>
  <c r="R253" i="4"/>
  <c r="U252" i="4"/>
  <c r="T252" i="4"/>
  <c r="S252" i="4"/>
  <c r="R252" i="4"/>
  <c r="U251" i="4"/>
  <c r="T251" i="4"/>
  <c r="S251" i="4"/>
  <c r="R251" i="4"/>
  <c r="U250" i="4"/>
  <c r="T250" i="4"/>
  <c r="S250" i="4"/>
  <c r="R250" i="4"/>
  <c r="U249" i="4"/>
  <c r="T249" i="4"/>
  <c r="S249" i="4"/>
  <c r="R249" i="4"/>
  <c r="U248" i="4"/>
  <c r="T248" i="4"/>
  <c r="S248" i="4"/>
  <c r="R248" i="4"/>
  <c r="U246" i="4"/>
  <c r="T246" i="4"/>
  <c r="S246" i="4"/>
  <c r="R246" i="4"/>
  <c r="U245" i="4"/>
  <c r="T245" i="4"/>
  <c r="S245" i="4"/>
  <c r="R245" i="4"/>
  <c r="U244" i="4"/>
  <c r="T244" i="4"/>
  <c r="S244" i="4"/>
  <c r="R244" i="4"/>
  <c r="U243" i="4"/>
  <c r="T243" i="4"/>
  <c r="S243" i="4"/>
  <c r="R243" i="4"/>
  <c r="U242" i="4"/>
  <c r="T242" i="4"/>
  <c r="S242" i="4"/>
  <c r="R242" i="4"/>
  <c r="U241" i="4"/>
  <c r="T241" i="4"/>
  <c r="S241" i="4"/>
  <c r="R241" i="4"/>
  <c r="U240" i="4"/>
  <c r="T240" i="4"/>
  <c r="S240" i="4"/>
  <c r="R240" i="4"/>
  <c r="U238" i="4"/>
  <c r="T238" i="4"/>
  <c r="S238" i="4"/>
  <c r="R238" i="4"/>
  <c r="U237" i="4"/>
  <c r="T237" i="4"/>
  <c r="S237" i="4"/>
  <c r="R237" i="4"/>
  <c r="U236" i="4"/>
  <c r="T236" i="4"/>
  <c r="S236" i="4"/>
  <c r="R236" i="4"/>
  <c r="U235" i="4"/>
  <c r="T235" i="4"/>
  <c r="S235" i="4"/>
  <c r="R235" i="4"/>
  <c r="U234" i="4"/>
  <c r="T234" i="4"/>
  <c r="S234" i="4"/>
  <c r="R234" i="4"/>
  <c r="U233" i="4"/>
  <c r="T233" i="4"/>
  <c r="S233" i="4"/>
  <c r="R233" i="4"/>
  <c r="U232" i="4"/>
  <c r="T232" i="4"/>
  <c r="S232" i="4"/>
  <c r="R232" i="4"/>
  <c r="U231" i="4"/>
  <c r="T231" i="4"/>
  <c r="S231" i="4"/>
  <c r="R231" i="4"/>
  <c r="U230" i="4"/>
  <c r="T230" i="4"/>
  <c r="S230" i="4"/>
  <c r="R230" i="4"/>
  <c r="U229" i="4"/>
  <c r="T229" i="4"/>
  <c r="S229" i="4"/>
  <c r="R229" i="4"/>
  <c r="U227" i="4"/>
  <c r="T227" i="4"/>
  <c r="S227" i="4"/>
  <c r="R227" i="4"/>
  <c r="U226" i="4"/>
  <c r="T226" i="4"/>
  <c r="S226" i="4"/>
  <c r="R226" i="4"/>
  <c r="U225" i="4"/>
  <c r="T225" i="4"/>
  <c r="S225" i="4"/>
  <c r="R225" i="4"/>
  <c r="U224" i="4"/>
  <c r="T224" i="4"/>
  <c r="S224" i="4"/>
  <c r="R224" i="4"/>
  <c r="U223" i="4"/>
  <c r="T223" i="4"/>
  <c r="S223" i="4"/>
  <c r="R223" i="4"/>
  <c r="U222" i="4"/>
  <c r="T222" i="4"/>
  <c r="S222" i="4"/>
  <c r="R222" i="4"/>
  <c r="U221" i="4"/>
  <c r="T221" i="4"/>
  <c r="S221" i="4"/>
  <c r="R221" i="4"/>
  <c r="U220" i="4"/>
  <c r="T220" i="4"/>
  <c r="S220" i="4"/>
  <c r="R220" i="4"/>
  <c r="U219" i="4"/>
  <c r="T219" i="4"/>
  <c r="S219" i="4"/>
  <c r="R219" i="4"/>
  <c r="U218" i="4"/>
  <c r="T218" i="4"/>
  <c r="S218" i="4"/>
  <c r="R218" i="4"/>
  <c r="U216" i="4"/>
  <c r="T216" i="4"/>
  <c r="S216" i="4"/>
  <c r="R216" i="4"/>
  <c r="U215" i="4"/>
  <c r="T215" i="4"/>
  <c r="S215" i="4"/>
  <c r="R215" i="4"/>
  <c r="U214" i="4"/>
  <c r="T214" i="4"/>
  <c r="S214" i="4"/>
  <c r="R214" i="4"/>
  <c r="U213" i="4"/>
  <c r="T213" i="4"/>
  <c r="S213" i="4"/>
  <c r="R213" i="4"/>
  <c r="U212" i="4"/>
  <c r="T212" i="4"/>
  <c r="S212" i="4"/>
  <c r="R212" i="4"/>
  <c r="U211" i="4"/>
  <c r="T211" i="4"/>
  <c r="S211" i="4"/>
  <c r="R211" i="4"/>
  <c r="U210" i="4"/>
  <c r="T210" i="4"/>
  <c r="S210" i="4"/>
  <c r="R210" i="4"/>
  <c r="U209" i="4"/>
  <c r="T209" i="4"/>
  <c r="S209" i="4"/>
  <c r="R209" i="4"/>
  <c r="U208" i="4"/>
  <c r="T208" i="4"/>
  <c r="S208" i="4"/>
  <c r="R208" i="4"/>
  <c r="U207" i="4"/>
  <c r="T207" i="4"/>
  <c r="S207" i="4"/>
  <c r="R207" i="4"/>
  <c r="U206" i="4"/>
  <c r="T206" i="4"/>
  <c r="S206" i="4"/>
  <c r="R206" i="4"/>
  <c r="U204" i="4"/>
  <c r="T204" i="4"/>
  <c r="S204" i="4"/>
  <c r="R204" i="4"/>
  <c r="U203" i="4"/>
  <c r="T203" i="4"/>
  <c r="S203" i="4"/>
  <c r="R203" i="4"/>
  <c r="U202" i="4"/>
  <c r="T202" i="4"/>
  <c r="S202" i="4"/>
  <c r="R202" i="4"/>
  <c r="U201" i="4"/>
  <c r="T201" i="4"/>
  <c r="S201" i="4"/>
  <c r="R201" i="4"/>
  <c r="U200" i="4"/>
  <c r="T200" i="4"/>
  <c r="S200" i="4"/>
  <c r="R200" i="4"/>
  <c r="U199" i="4"/>
  <c r="T199" i="4"/>
  <c r="S199" i="4"/>
  <c r="R199" i="4"/>
  <c r="U198" i="4"/>
  <c r="T198" i="4"/>
  <c r="S198" i="4"/>
  <c r="R198" i="4"/>
  <c r="U197" i="4"/>
  <c r="T197" i="4"/>
  <c r="S197" i="4"/>
  <c r="R197" i="4"/>
  <c r="U196" i="4"/>
  <c r="T196" i="4"/>
  <c r="S196" i="4"/>
  <c r="R196" i="4"/>
  <c r="U195" i="4"/>
  <c r="T195" i="4"/>
  <c r="S195" i="4"/>
  <c r="R195" i="4"/>
  <c r="U194" i="4"/>
  <c r="T194" i="4"/>
  <c r="S194" i="4"/>
  <c r="R194" i="4"/>
  <c r="U193" i="4"/>
  <c r="T193" i="4"/>
  <c r="S193" i="4"/>
  <c r="R193" i="4"/>
  <c r="U191" i="4"/>
  <c r="T191" i="4"/>
  <c r="S191" i="4"/>
  <c r="R191" i="4"/>
  <c r="U190" i="4"/>
  <c r="T190" i="4"/>
  <c r="S190" i="4"/>
  <c r="R190" i="4"/>
  <c r="U189" i="4"/>
  <c r="T189" i="4"/>
  <c r="S189" i="4"/>
  <c r="R189" i="4"/>
  <c r="U188" i="4"/>
  <c r="T188" i="4"/>
  <c r="S188" i="4"/>
  <c r="R188" i="4"/>
  <c r="U187" i="4"/>
  <c r="T187" i="4"/>
  <c r="S187" i="4"/>
  <c r="R187" i="4"/>
  <c r="U186" i="4"/>
  <c r="T186" i="4"/>
  <c r="S186" i="4"/>
  <c r="R186" i="4"/>
  <c r="U185" i="4"/>
  <c r="T185" i="4"/>
  <c r="S185" i="4"/>
  <c r="R185" i="4"/>
  <c r="U184" i="4"/>
  <c r="T184" i="4"/>
  <c r="S184" i="4"/>
  <c r="R184" i="4"/>
  <c r="U183" i="4"/>
  <c r="T183" i="4"/>
  <c r="S183" i="4"/>
  <c r="R183" i="4"/>
  <c r="U182" i="4"/>
  <c r="T182" i="4"/>
  <c r="S182" i="4"/>
  <c r="R182" i="4"/>
  <c r="U181" i="4"/>
  <c r="T181" i="4"/>
  <c r="S181" i="4"/>
  <c r="R181" i="4"/>
  <c r="U180" i="4"/>
  <c r="T180" i="4"/>
  <c r="S180" i="4"/>
  <c r="R180" i="4"/>
  <c r="U179" i="4"/>
  <c r="T179" i="4"/>
  <c r="S179" i="4"/>
  <c r="R179" i="4"/>
  <c r="U178" i="4"/>
  <c r="T178" i="4"/>
  <c r="S178" i="4"/>
  <c r="R178" i="4"/>
  <c r="U177" i="4"/>
  <c r="T177" i="4"/>
  <c r="S177" i="4"/>
  <c r="R177" i="4"/>
  <c r="U176" i="4"/>
  <c r="T176" i="4"/>
  <c r="S176" i="4"/>
  <c r="R176" i="4"/>
  <c r="U175" i="4"/>
  <c r="T175" i="4"/>
  <c r="S175" i="4"/>
  <c r="R175" i="4"/>
  <c r="U174" i="4"/>
  <c r="T174" i="4"/>
  <c r="S174" i="4"/>
  <c r="R174" i="4"/>
  <c r="U173" i="4"/>
  <c r="T173" i="4"/>
  <c r="S173" i="4"/>
  <c r="R173" i="4"/>
  <c r="U172" i="4"/>
  <c r="T172" i="4"/>
  <c r="S172" i="4"/>
  <c r="R172" i="4"/>
  <c r="U171" i="4"/>
  <c r="T171" i="4"/>
  <c r="S171" i="4"/>
  <c r="R171" i="4"/>
  <c r="U170" i="4"/>
  <c r="T170" i="4"/>
  <c r="S170" i="4"/>
  <c r="R170" i="4"/>
  <c r="U169" i="4"/>
  <c r="T169" i="4"/>
  <c r="S169" i="4"/>
  <c r="R169" i="4"/>
  <c r="U168" i="4"/>
  <c r="T168" i="4"/>
  <c r="S168" i="4"/>
  <c r="R168" i="4"/>
  <c r="U167" i="4"/>
  <c r="T167" i="4"/>
  <c r="S167" i="4"/>
  <c r="R167" i="4"/>
  <c r="U166" i="4"/>
  <c r="T166" i="4"/>
  <c r="S166" i="4"/>
  <c r="R166" i="4"/>
  <c r="U165" i="4"/>
  <c r="T165" i="4"/>
  <c r="S165" i="4"/>
  <c r="R165" i="4"/>
  <c r="U164" i="4"/>
  <c r="T164" i="4"/>
  <c r="S164" i="4"/>
  <c r="R164" i="4"/>
  <c r="U163" i="4"/>
  <c r="T163" i="4"/>
  <c r="S163" i="4"/>
  <c r="R163" i="4"/>
  <c r="U161" i="4"/>
  <c r="T161" i="4"/>
  <c r="S161" i="4"/>
  <c r="R161" i="4"/>
  <c r="U160" i="4"/>
  <c r="T160" i="4"/>
  <c r="S160" i="4"/>
  <c r="R160" i="4"/>
  <c r="U159" i="4"/>
  <c r="T159" i="4"/>
  <c r="S159" i="4"/>
  <c r="R159" i="4"/>
  <c r="U158" i="4"/>
  <c r="T158" i="4"/>
  <c r="S158" i="4"/>
  <c r="R158" i="4"/>
  <c r="U157" i="4"/>
  <c r="T157" i="4"/>
  <c r="S157" i="4"/>
  <c r="R157" i="4"/>
  <c r="U156" i="4"/>
  <c r="T156" i="4"/>
  <c r="S156" i="4"/>
  <c r="R156" i="4"/>
  <c r="U155" i="4"/>
  <c r="T155" i="4"/>
  <c r="S155" i="4"/>
  <c r="R155" i="4"/>
  <c r="U154" i="4"/>
  <c r="T154" i="4"/>
  <c r="S154" i="4"/>
  <c r="R154" i="4"/>
  <c r="U153" i="4"/>
  <c r="T153" i="4"/>
  <c r="S153" i="4"/>
  <c r="R153" i="4"/>
  <c r="U152" i="4"/>
  <c r="T152" i="4"/>
  <c r="S152" i="4"/>
  <c r="R152" i="4"/>
  <c r="U150" i="4"/>
  <c r="T150" i="4"/>
  <c r="S150" i="4"/>
  <c r="R150" i="4"/>
  <c r="U149" i="4"/>
  <c r="T149" i="4"/>
  <c r="S149" i="4"/>
  <c r="R149" i="4"/>
  <c r="U148" i="4"/>
  <c r="T148" i="4"/>
  <c r="S148" i="4"/>
  <c r="R148" i="4"/>
  <c r="U147" i="4"/>
  <c r="T147" i="4"/>
  <c r="S147" i="4"/>
  <c r="R147" i="4"/>
  <c r="U146" i="4"/>
  <c r="T146" i="4"/>
  <c r="S146" i="4"/>
  <c r="R146" i="4"/>
  <c r="U145" i="4"/>
  <c r="T145" i="4"/>
  <c r="S145" i="4"/>
  <c r="R145" i="4"/>
  <c r="U144" i="4"/>
  <c r="T144" i="4"/>
  <c r="S144" i="4"/>
  <c r="R144" i="4"/>
  <c r="U143" i="4"/>
  <c r="T143" i="4"/>
  <c r="S143" i="4"/>
  <c r="R143" i="4"/>
  <c r="U142" i="4"/>
  <c r="T142" i="4"/>
  <c r="S142" i="4"/>
  <c r="R142" i="4"/>
  <c r="U141" i="4"/>
  <c r="T141" i="4"/>
  <c r="S141" i="4"/>
  <c r="R141" i="4"/>
  <c r="U140" i="4"/>
  <c r="T140" i="4"/>
  <c r="S140" i="4"/>
  <c r="R140" i="4"/>
  <c r="U139" i="4"/>
  <c r="T139" i="4"/>
  <c r="S139" i="4"/>
  <c r="R139" i="4"/>
  <c r="U138" i="4"/>
  <c r="T138" i="4"/>
  <c r="S138" i="4"/>
  <c r="R138" i="4"/>
  <c r="U137" i="4"/>
  <c r="T137" i="4"/>
  <c r="S137" i="4"/>
  <c r="R137" i="4"/>
  <c r="U135" i="4"/>
  <c r="T135" i="4"/>
  <c r="S135" i="4"/>
  <c r="R135" i="4"/>
  <c r="U134" i="4"/>
  <c r="T134" i="4"/>
  <c r="S134" i="4"/>
  <c r="R134" i="4"/>
  <c r="U133" i="4"/>
  <c r="T133" i="4"/>
  <c r="S133" i="4"/>
  <c r="R133" i="4"/>
  <c r="U132" i="4"/>
  <c r="T132" i="4"/>
  <c r="S132" i="4"/>
  <c r="R132" i="4"/>
  <c r="U131" i="4"/>
  <c r="T131" i="4"/>
  <c r="S131" i="4"/>
  <c r="R131" i="4"/>
  <c r="U130" i="4"/>
  <c r="T130" i="4"/>
  <c r="S130" i="4"/>
  <c r="R130" i="4"/>
  <c r="U129" i="4"/>
  <c r="T129" i="4"/>
  <c r="S129" i="4"/>
  <c r="R129" i="4"/>
  <c r="U128" i="4"/>
  <c r="T128" i="4"/>
  <c r="S128" i="4"/>
  <c r="R128" i="4"/>
  <c r="U127" i="4"/>
  <c r="T127" i="4"/>
  <c r="S127" i="4"/>
  <c r="R127" i="4"/>
  <c r="U126" i="4"/>
  <c r="T126" i="4"/>
  <c r="S126" i="4"/>
  <c r="R126" i="4"/>
  <c r="U125" i="4"/>
  <c r="T125" i="4"/>
  <c r="S125" i="4"/>
  <c r="R125" i="4"/>
  <c r="U124" i="4"/>
  <c r="T124" i="4"/>
  <c r="S124" i="4"/>
  <c r="R124" i="4"/>
  <c r="U123" i="4"/>
  <c r="T123" i="4"/>
  <c r="S123" i="4"/>
  <c r="R123" i="4"/>
  <c r="U122" i="4"/>
  <c r="T122" i="4"/>
  <c r="S122" i="4"/>
  <c r="R122" i="4"/>
  <c r="U121" i="4"/>
  <c r="T121" i="4"/>
  <c r="S121" i="4"/>
  <c r="R121" i="4"/>
  <c r="U119" i="4"/>
  <c r="T119" i="4"/>
  <c r="S119" i="4"/>
  <c r="R119" i="4"/>
  <c r="U118" i="4"/>
  <c r="T118" i="4"/>
  <c r="S118" i="4"/>
  <c r="R118" i="4"/>
  <c r="U117" i="4"/>
  <c r="T117" i="4"/>
  <c r="S117" i="4"/>
  <c r="R117" i="4"/>
  <c r="U116" i="4"/>
  <c r="T116" i="4"/>
  <c r="S116" i="4"/>
  <c r="R116" i="4"/>
  <c r="U115" i="4"/>
  <c r="T115" i="4"/>
  <c r="S115" i="4"/>
  <c r="R115" i="4"/>
  <c r="U114" i="4"/>
  <c r="T114" i="4"/>
  <c r="S114" i="4"/>
  <c r="R114" i="4"/>
  <c r="U112" i="4"/>
  <c r="T112" i="4"/>
  <c r="S112" i="4"/>
  <c r="R112" i="4"/>
  <c r="U111" i="4"/>
  <c r="T111" i="4"/>
  <c r="S111" i="4"/>
  <c r="R111" i="4"/>
  <c r="U110" i="4"/>
  <c r="T110" i="4"/>
  <c r="S110" i="4"/>
  <c r="R110" i="4"/>
  <c r="U109" i="4"/>
  <c r="T109" i="4"/>
  <c r="S109" i="4"/>
  <c r="R109" i="4"/>
  <c r="U108" i="4"/>
  <c r="T108" i="4"/>
  <c r="S108" i="4"/>
  <c r="R108" i="4"/>
  <c r="U107" i="4"/>
  <c r="T107" i="4"/>
  <c r="S107" i="4"/>
  <c r="R107" i="4"/>
  <c r="U105" i="4"/>
  <c r="T105" i="4"/>
  <c r="S105" i="4"/>
  <c r="R105" i="4"/>
  <c r="U104" i="4"/>
  <c r="T104" i="4"/>
  <c r="S104" i="4"/>
  <c r="R104" i="4"/>
  <c r="U103" i="4"/>
  <c r="T103" i="4"/>
  <c r="S103" i="4"/>
  <c r="R103" i="4"/>
  <c r="U102" i="4"/>
  <c r="T102" i="4"/>
  <c r="S102" i="4"/>
  <c r="R102" i="4"/>
  <c r="U101" i="4"/>
  <c r="T101" i="4"/>
  <c r="S101" i="4"/>
  <c r="R101" i="4"/>
  <c r="U100" i="4"/>
  <c r="T100" i="4"/>
  <c r="S100" i="4"/>
  <c r="R100" i="4"/>
  <c r="U99" i="4"/>
  <c r="T99" i="4"/>
  <c r="S99" i="4"/>
  <c r="R99" i="4"/>
  <c r="U97" i="4"/>
  <c r="T97" i="4"/>
  <c r="S97" i="4"/>
  <c r="R97" i="4"/>
  <c r="U96" i="4"/>
  <c r="T96" i="4"/>
  <c r="S96" i="4"/>
  <c r="R96" i="4"/>
  <c r="U95" i="4"/>
  <c r="T95" i="4"/>
  <c r="S95" i="4"/>
  <c r="R95" i="4"/>
  <c r="U94" i="4"/>
  <c r="T94" i="4"/>
  <c r="S94" i="4"/>
  <c r="R94" i="4"/>
  <c r="U93" i="4"/>
  <c r="T93" i="4"/>
  <c r="S93" i="4"/>
  <c r="R93" i="4"/>
  <c r="U92" i="4"/>
  <c r="T92" i="4"/>
  <c r="S92" i="4"/>
  <c r="R92" i="4"/>
  <c r="U91" i="4"/>
  <c r="T91" i="4"/>
  <c r="S91" i="4"/>
  <c r="R91" i="4"/>
  <c r="U90" i="4"/>
  <c r="T90" i="4"/>
  <c r="S90" i="4"/>
  <c r="R90" i="4"/>
  <c r="U89" i="4"/>
  <c r="T89" i="4"/>
  <c r="S89" i="4"/>
  <c r="R89" i="4"/>
  <c r="U88" i="4"/>
  <c r="T88" i="4"/>
  <c r="S88" i="4"/>
  <c r="R88" i="4"/>
  <c r="U87" i="4"/>
  <c r="T87" i="4"/>
  <c r="S87" i="4"/>
  <c r="R87" i="4"/>
  <c r="U86" i="4"/>
  <c r="T86" i="4"/>
  <c r="S86" i="4"/>
  <c r="R86" i="4"/>
  <c r="U85" i="4"/>
  <c r="T85" i="4"/>
  <c r="S85" i="4"/>
  <c r="R85" i="4"/>
  <c r="U84" i="4"/>
  <c r="T84" i="4"/>
  <c r="S84" i="4"/>
  <c r="R84" i="4"/>
  <c r="U83" i="4"/>
  <c r="T83" i="4"/>
  <c r="S83" i="4"/>
  <c r="R83" i="4"/>
  <c r="U82" i="4"/>
  <c r="T82" i="4"/>
  <c r="S82" i="4"/>
  <c r="R82" i="4"/>
  <c r="U81" i="4"/>
  <c r="T81" i="4"/>
  <c r="S81" i="4"/>
  <c r="R81" i="4"/>
  <c r="U80" i="4"/>
  <c r="T80" i="4"/>
  <c r="S80" i="4"/>
  <c r="R80" i="4"/>
  <c r="U79" i="4"/>
  <c r="T79" i="4"/>
  <c r="S79" i="4"/>
  <c r="R79" i="4"/>
  <c r="U78" i="4"/>
  <c r="T78" i="4"/>
  <c r="S78" i="4"/>
  <c r="R78" i="4"/>
  <c r="U77" i="4"/>
  <c r="T77" i="4"/>
  <c r="S77" i="4"/>
  <c r="R77" i="4"/>
  <c r="U76" i="4"/>
  <c r="T76" i="4"/>
  <c r="S76" i="4"/>
  <c r="R76" i="4"/>
  <c r="U75" i="4"/>
  <c r="T75" i="4"/>
  <c r="S75" i="4"/>
  <c r="R75" i="4"/>
  <c r="U74" i="4"/>
  <c r="T74" i="4"/>
  <c r="S74" i="4"/>
  <c r="R74" i="4"/>
  <c r="U73" i="4"/>
  <c r="T73" i="4"/>
  <c r="S73" i="4"/>
  <c r="R73" i="4"/>
  <c r="U72" i="4"/>
  <c r="T72" i="4"/>
  <c r="S72" i="4"/>
  <c r="R72" i="4"/>
  <c r="U71" i="4"/>
  <c r="T71" i="4"/>
  <c r="S71" i="4"/>
  <c r="R71" i="4"/>
  <c r="U69" i="4"/>
  <c r="T69" i="4"/>
  <c r="S69" i="4"/>
  <c r="R69" i="4"/>
  <c r="U68" i="4"/>
  <c r="T68" i="4"/>
  <c r="S68" i="4"/>
  <c r="R68" i="4"/>
  <c r="U67" i="4"/>
  <c r="T67" i="4"/>
  <c r="S67" i="4"/>
  <c r="R67" i="4"/>
  <c r="U66" i="4"/>
  <c r="T66" i="4"/>
  <c r="S66" i="4"/>
  <c r="R66" i="4"/>
  <c r="U65" i="4"/>
  <c r="T65" i="4"/>
  <c r="S65" i="4"/>
  <c r="R65" i="4"/>
  <c r="U64" i="4"/>
  <c r="T64" i="4"/>
  <c r="S64" i="4"/>
  <c r="R64" i="4"/>
  <c r="U62" i="4"/>
  <c r="T62" i="4"/>
  <c r="S62" i="4"/>
  <c r="R62" i="4"/>
  <c r="U61" i="4"/>
  <c r="T61" i="4"/>
  <c r="S61" i="4"/>
  <c r="R61" i="4"/>
  <c r="U60" i="4"/>
  <c r="T60" i="4"/>
  <c r="S60" i="4"/>
  <c r="R60" i="4"/>
  <c r="U59" i="4"/>
  <c r="T59" i="4"/>
  <c r="S59" i="4"/>
  <c r="R59" i="4"/>
  <c r="U58" i="4"/>
  <c r="T58" i="4"/>
  <c r="S58" i="4"/>
  <c r="R58" i="4"/>
  <c r="U57" i="4"/>
  <c r="T57" i="4"/>
  <c r="S57" i="4"/>
  <c r="R57" i="4"/>
  <c r="U55" i="4"/>
  <c r="T55" i="4"/>
  <c r="S55" i="4"/>
  <c r="R55" i="4"/>
  <c r="U54" i="4"/>
  <c r="T54" i="4"/>
  <c r="S54" i="4"/>
  <c r="R54" i="4"/>
  <c r="U53" i="4"/>
  <c r="T53" i="4"/>
  <c r="S53" i="4"/>
  <c r="R53" i="4"/>
  <c r="U52" i="4"/>
  <c r="T52" i="4"/>
  <c r="S52" i="4"/>
  <c r="R52" i="4"/>
  <c r="U51" i="4"/>
  <c r="T51" i="4"/>
  <c r="S51" i="4"/>
  <c r="R51" i="4"/>
  <c r="U50" i="4"/>
  <c r="T50" i="4"/>
  <c r="S50" i="4"/>
  <c r="R50" i="4"/>
  <c r="U48" i="4"/>
  <c r="T48" i="4"/>
  <c r="S48" i="4"/>
  <c r="R48" i="4"/>
  <c r="U47" i="4"/>
  <c r="T47" i="4"/>
  <c r="S47" i="4"/>
  <c r="R47" i="4"/>
  <c r="U46" i="4"/>
  <c r="T46" i="4"/>
  <c r="S46" i="4"/>
  <c r="R46" i="4"/>
  <c r="U45" i="4"/>
  <c r="T45" i="4"/>
  <c r="S45" i="4"/>
  <c r="R45" i="4"/>
  <c r="U44" i="4"/>
  <c r="T44" i="4"/>
  <c r="S44" i="4"/>
  <c r="R44" i="4"/>
  <c r="U43" i="4"/>
  <c r="T43" i="4"/>
  <c r="S43" i="4"/>
  <c r="R43" i="4"/>
  <c r="U42" i="4"/>
  <c r="T42" i="4"/>
  <c r="S42" i="4"/>
  <c r="R42" i="4"/>
  <c r="U40" i="4"/>
  <c r="T40" i="4"/>
  <c r="S40" i="4"/>
  <c r="R40" i="4"/>
  <c r="U39" i="4"/>
  <c r="T39" i="4"/>
  <c r="S39" i="4"/>
  <c r="R39" i="4"/>
  <c r="U38" i="4"/>
  <c r="T38" i="4"/>
  <c r="S38" i="4"/>
  <c r="R38" i="4"/>
  <c r="U37" i="4"/>
  <c r="T37" i="4"/>
  <c r="S37" i="4"/>
  <c r="R37" i="4"/>
  <c r="U36" i="4"/>
  <c r="T36" i="4"/>
  <c r="S36" i="4"/>
  <c r="R36" i="4"/>
  <c r="U35" i="4"/>
  <c r="T35" i="4"/>
  <c r="S35" i="4"/>
  <c r="R35" i="4"/>
  <c r="U34" i="4"/>
  <c r="T34" i="4"/>
  <c r="S34" i="4"/>
  <c r="R34" i="4"/>
  <c r="U32" i="4"/>
  <c r="T32" i="4"/>
  <c r="S32" i="4"/>
  <c r="R32" i="4"/>
  <c r="U31" i="4"/>
  <c r="T31" i="4"/>
  <c r="S31" i="4"/>
  <c r="R31" i="4"/>
  <c r="U30" i="4"/>
  <c r="T30" i="4"/>
  <c r="S30" i="4"/>
  <c r="R30" i="4"/>
  <c r="U29" i="4"/>
  <c r="T29" i="4"/>
  <c r="S29" i="4"/>
  <c r="R29" i="4"/>
  <c r="U28" i="4"/>
  <c r="T28" i="4"/>
  <c r="S28" i="4"/>
  <c r="R28" i="4"/>
  <c r="U27" i="4"/>
  <c r="T27" i="4"/>
  <c r="S27" i="4"/>
  <c r="R27" i="4"/>
  <c r="U26" i="4"/>
  <c r="T26" i="4"/>
  <c r="S26" i="4"/>
  <c r="R26" i="4"/>
  <c r="U25" i="4"/>
  <c r="T25" i="4"/>
  <c r="S25" i="4"/>
  <c r="R25" i="4"/>
  <c r="U24" i="4"/>
  <c r="T24" i="4"/>
  <c r="S24" i="4"/>
  <c r="R24" i="4"/>
  <c r="U23" i="4"/>
  <c r="T23" i="4"/>
  <c r="S23" i="4"/>
  <c r="R23" i="4"/>
  <c r="U22" i="4"/>
  <c r="T22" i="4"/>
  <c r="S22" i="4"/>
  <c r="R22" i="4"/>
  <c r="U21" i="4"/>
  <c r="T21" i="4"/>
  <c r="S21" i="4"/>
  <c r="R21" i="4"/>
  <c r="U20" i="4"/>
  <c r="T20" i="4"/>
  <c r="S20" i="4"/>
  <c r="R20" i="4"/>
  <c r="U19" i="4"/>
  <c r="T19" i="4"/>
  <c r="S19" i="4"/>
  <c r="R19" i="4"/>
  <c r="U18" i="4"/>
  <c r="T18" i="4"/>
  <c r="S18" i="4"/>
  <c r="R18" i="4"/>
  <c r="U17" i="4"/>
  <c r="T17" i="4"/>
  <c r="S17" i="4"/>
  <c r="R17" i="4"/>
  <c r="U16" i="4"/>
  <c r="T16" i="4"/>
  <c r="S16" i="4"/>
  <c r="R16" i="4"/>
  <c r="U15" i="4"/>
  <c r="T15" i="4"/>
  <c r="S15" i="4"/>
  <c r="R15" i="4"/>
  <c r="U14" i="4"/>
  <c r="T14" i="4"/>
  <c r="S14" i="4"/>
  <c r="R14" i="4"/>
  <c r="U13" i="4"/>
  <c r="T13" i="4"/>
  <c r="S13" i="4"/>
  <c r="R13" i="4"/>
  <c r="U12" i="4"/>
  <c r="T12" i="4"/>
  <c r="S12" i="4"/>
  <c r="R12" i="4"/>
  <c r="U11" i="4"/>
  <c r="T11" i="4"/>
  <c r="S11" i="4"/>
  <c r="R11" i="4"/>
  <c r="U10" i="4"/>
  <c r="T10" i="4"/>
  <c r="S10" i="4"/>
  <c r="R10" i="4"/>
  <c r="U9" i="4"/>
  <c r="T9" i="4"/>
  <c r="S9" i="4"/>
  <c r="R9" i="4"/>
  <c r="U8" i="4"/>
  <c r="T8" i="4"/>
  <c r="S8" i="4"/>
  <c r="R8" i="4"/>
  <c r="U7" i="4"/>
  <c r="T7" i="4"/>
  <c r="S7" i="4"/>
  <c r="R7" i="4"/>
  <c r="U6" i="4"/>
  <c r="T6" i="4"/>
  <c r="S6" i="4"/>
  <c r="R6" i="4"/>
  <c r="H56" i="17" l="1"/>
  <c r="H57" i="17"/>
  <c r="H58" i="17"/>
  <c r="H59" i="17"/>
  <c r="H60" i="17"/>
  <c r="H61" i="17"/>
  <c r="H62" i="17"/>
  <c r="H63" i="17"/>
  <c r="H64" i="17"/>
  <c r="H65" i="17"/>
  <c r="H66" i="17"/>
  <c r="H67" i="17"/>
  <c r="H68" i="17"/>
  <c r="H69" i="17"/>
  <c r="H70" i="17"/>
  <c r="H15" i="17"/>
  <c r="H16" i="17"/>
  <c r="H17" i="17"/>
  <c r="H18" i="17"/>
  <c r="H19" i="17"/>
  <c r="H20" i="17"/>
  <c r="H21" i="17"/>
  <c r="H32" i="17"/>
  <c r="H33" i="17"/>
  <c r="H35" i="17"/>
  <c r="H37" i="17"/>
  <c r="H38" i="17"/>
  <c r="H39" i="17"/>
  <c r="H40" i="17"/>
  <c r="H41" i="17"/>
  <c r="H42" i="17"/>
  <c r="H43" i="17"/>
  <c r="H44" i="17"/>
  <c r="H45" i="17"/>
  <c r="H46" i="17"/>
  <c r="H47" i="17"/>
  <c r="H48" i="17"/>
  <c r="H49" i="17"/>
  <c r="H8" i="17" l="1"/>
  <c r="H9" i="17"/>
  <c r="H10" i="17"/>
  <c r="H11" i="17"/>
  <c r="H12" i="17"/>
  <c r="H13" i="17"/>
  <c r="H14" i="17"/>
  <c r="H50" i="17"/>
  <c r="H51" i="17"/>
  <c r="H52" i="17"/>
  <c r="H53" i="17"/>
  <c r="H54" i="17"/>
  <c r="H55" i="17"/>
  <c r="G72" i="17"/>
  <c r="H72" i="17" s="1"/>
  <c r="G73" i="17"/>
  <c r="H73" i="17" s="1"/>
  <c r="G74" i="17"/>
  <c r="H74" i="17" s="1"/>
  <c r="G75" i="17"/>
  <c r="H75" i="17" s="1"/>
  <c r="G76" i="17"/>
  <c r="H76" i="17" s="1"/>
  <c r="G77" i="17"/>
  <c r="H77" i="17" s="1"/>
  <c r="G78" i="17"/>
  <c r="H78" i="17" s="1"/>
  <c r="G79" i="17"/>
  <c r="H79" i="17" s="1"/>
  <c r="G80" i="17"/>
  <c r="H80" i="17" s="1"/>
  <c r="G81" i="17"/>
  <c r="H81" i="17" s="1"/>
  <c r="G82" i="17"/>
  <c r="H82" i="17" s="1"/>
  <c r="G83" i="17"/>
  <c r="H83" i="17" s="1"/>
  <c r="K60" i="14" l="1"/>
  <c r="J60" i="14"/>
  <c r="I60" i="14"/>
  <c r="H60" i="14"/>
  <c r="G60" i="14"/>
  <c r="F60" i="14"/>
  <c r="E60" i="14"/>
  <c r="D60" i="14"/>
  <c r="K55" i="14"/>
  <c r="J55" i="14"/>
  <c r="I55" i="14"/>
  <c r="H55" i="14"/>
  <c r="G55" i="14"/>
  <c r="F55" i="14"/>
  <c r="E55" i="14"/>
  <c r="D55" i="14"/>
  <c r="K50" i="14"/>
  <c r="J50" i="14"/>
  <c r="I50" i="14"/>
  <c r="H50" i="14"/>
  <c r="G50" i="14"/>
  <c r="F50" i="14"/>
  <c r="E50" i="14"/>
  <c r="D50" i="14"/>
  <c r="K45" i="14"/>
  <c r="J45" i="14"/>
  <c r="I45" i="14"/>
  <c r="H45" i="14"/>
  <c r="G45" i="14"/>
  <c r="F45" i="14"/>
  <c r="E45" i="14"/>
  <c r="D45" i="14"/>
  <c r="K40" i="14"/>
  <c r="J40" i="14"/>
  <c r="I40" i="14"/>
  <c r="H40" i="14"/>
  <c r="G40" i="14"/>
  <c r="F40" i="14"/>
  <c r="E40" i="14"/>
  <c r="D40" i="14"/>
  <c r="K35" i="14"/>
  <c r="J35" i="14"/>
  <c r="I35" i="14"/>
  <c r="H35" i="14"/>
  <c r="G35" i="14"/>
  <c r="F35" i="14"/>
  <c r="E35" i="14"/>
  <c r="D35" i="14"/>
  <c r="K30" i="14"/>
  <c r="J30" i="14"/>
  <c r="I30" i="14"/>
  <c r="H30" i="14"/>
  <c r="G30" i="14"/>
  <c r="F30" i="14"/>
  <c r="E30" i="14"/>
  <c r="D30" i="14"/>
  <c r="K25" i="14"/>
  <c r="J25" i="14"/>
  <c r="I25" i="14"/>
  <c r="H25" i="14"/>
  <c r="G25" i="14"/>
  <c r="F25" i="14"/>
  <c r="E25" i="14"/>
  <c r="D25" i="14"/>
  <c r="K20" i="14"/>
  <c r="J20" i="14"/>
  <c r="I20" i="14"/>
  <c r="H20" i="14"/>
  <c r="G20" i="14"/>
  <c r="F20" i="14"/>
  <c r="E20" i="14"/>
  <c r="D20" i="14"/>
  <c r="K15" i="14"/>
  <c r="J15" i="14"/>
  <c r="I15" i="14"/>
  <c r="H15" i="14"/>
  <c r="G15" i="14"/>
  <c r="F15" i="14"/>
  <c r="E15" i="14"/>
  <c r="D15" i="14"/>
  <c r="K10" i="14"/>
  <c r="J10" i="14"/>
  <c r="I10" i="14"/>
  <c r="H10" i="14"/>
  <c r="G10" i="14"/>
  <c r="F10" i="14"/>
  <c r="E10" i="14"/>
  <c r="D10" i="14"/>
  <c r="X422" i="9" l="1"/>
  <c r="Y422" i="9" s="1"/>
  <c r="G537" i="4" l="1"/>
  <c r="H537" i="4" s="1"/>
  <c r="G489" i="4"/>
  <c r="H489" i="4" s="1"/>
  <c r="G112" i="9" l="1"/>
  <c r="H112" i="9" s="1"/>
  <c r="G111" i="9"/>
  <c r="H111" i="9" s="1"/>
  <c r="G110" i="9"/>
  <c r="H110" i="9" s="1"/>
  <c r="G326" i="9" l="1"/>
  <c r="H326" i="9" s="1"/>
  <c r="G325" i="9"/>
  <c r="H325" i="9" s="1"/>
  <c r="G324" i="9"/>
  <c r="H324" i="9" s="1"/>
  <c r="G364" i="9"/>
  <c r="H364" i="9" s="1"/>
  <c r="G363" i="9"/>
  <c r="H363" i="9" s="1"/>
  <c r="G33" i="9"/>
  <c r="H33" i="9" s="1"/>
  <c r="G34" i="9"/>
  <c r="H34" i="9" s="1"/>
  <c r="G35" i="9"/>
  <c r="H35" i="9" s="1"/>
  <c r="G36" i="9"/>
  <c r="H36" i="9" s="1"/>
  <c r="G37" i="9"/>
  <c r="H37" i="9" s="1"/>
  <c r="G552" i="4"/>
  <c r="H552" i="4" s="1"/>
  <c r="G566" i="4"/>
  <c r="H566" i="4" s="1"/>
  <c r="G567" i="4"/>
  <c r="H567" i="4" s="1"/>
  <c r="G568" i="4"/>
  <c r="H568" i="4" s="1"/>
  <c r="G569" i="4"/>
  <c r="H569" i="4" s="1"/>
  <c r="G565" i="4"/>
  <c r="H565" i="4" s="1"/>
  <c r="G564" i="4"/>
  <c r="H564" i="4" s="1"/>
  <c r="G554" i="4"/>
  <c r="H554" i="4" s="1"/>
  <c r="G556" i="4"/>
  <c r="H556" i="4" s="1"/>
  <c r="G557" i="4"/>
  <c r="H557" i="4" s="1"/>
  <c r="G558" i="4"/>
  <c r="H558" i="4" s="1"/>
  <c r="G559" i="4"/>
  <c r="H559" i="4" s="1"/>
  <c r="G560" i="4"/>
  <c r="H560" i="4" s="1"/>
  <c r="G561" i="4"/>
  <c r="H561" i="4" s="1"/>
  <c r="G562" i="4"/>
  <c r="H562" i="4" s="1"/>
  <c r="G563" i="4"/>
  <c r="H563" i="4" s="1"/>
  <c r="G555" i="4"/>
  <c r="H555" i="4" s="1"/>
  <c r="G553" i="4"/>
  <c r="H553" i="4" s="1"/>
  <c r="J553" i="4" l="1"/>
  <c r="K553" i="4" s="1"/>
  <c r="J564" i="4"/>
  <c r="K564" i="4" s="1"/>
  <c r="U564" i="4" l="1"/>
  <c r="T564" i="4"/>
  <c r="R564" i="4"/>
  <c r="S564" i="4"/>
  <c r="U553" i="4"/>
  <c r="T553" i="4"/>
  <c r="R553" i="4"/>
  <c r="S553" i="4"/>
  <c r="X134" i="9"/>
  <c r="Y134" i="9" s="1"/>
  <c r="G134" i="9"/>
  <c r="H134" i="9" s="1"/>
  <c r="X133" i="9"/>
  <c r="Y133" i="9" s="1"/>
  <c r="G133" i="9"/>
  <c r="H133" i="9" s="1"/>
  <c r="X132" i="9"/>
  <c r="Y132" i="9" s="1"/>
  <c r="G132" i="9"/>
  <c r="H132" i="9" s="1"/>
  <c r="G106" i="9"/>
  <c r="H106" i="9" s="1"/>
  <c r="G169" i="9"/>
  <c r="H169" i="9" s="1"/>
  <c r="G390" i="9"/>
  <c r="H390" i="9" s="1"/>
  <c r="G389" i="9"/>
  <c r="H389" i="9" s="1"/>
  <c r="G116" i="9"/>
  <c r="H116" i="9" s="1"/>
  <c r="G115" i="9"/>
  <c r="H115" i="9" s="1"/>
  <c r="G114" i="9"/>
  <c r="H114" i="9" s="1"/>
  <c r="G113" i="9"/>
  <c r="H113" i="9" s="1"/>
  <c r="G5" i="4"/>
  <c r="G183" i="9" l="1"/>
  <c r="H183" i="9" s="1"/>
  <c r="X96" i="10" l="1"/>
  <c r="Y96" i="10" s="1"/>
  <c r="X95" i="10"/>
  <c r="Y95" i="10" s="1"/>
  <c r="X94" i="10"/>
  <c r="Y94" i="10" s="1"/>
  <c r="X93" i="10"/>
  <c r="Y93" i="10" s="1"/>
  <c r="X92" i="10"/>
  <c r="Y92" i="10" s="1"/>
  <c r="X91" i="10"/>
  <c r="Y91" i="10" s="1"/>
  <c r="X90" i="10"/>
  <c r="Y90" i="10" s="1"/>
  <c r="X89" i="10"/>
  <c r="Y89" i="10" s="1"/>
  <c r="X88" i="10"/>
  <c r="Y88" i="10" s="1"/>
  <c r="X87" i="10"/>
  <c r="Y87" i="10" s="1"/>
  <c r="X86" i="10"/>
  <c r="Y86" i="10" s="1"/>
  <c r="X85" i="10"/>
  <c r="Y85" i="10" s="1"/>
  <c r="Y83" i="10"/>
  <c r="Y82" i="10"/>
  <c r="Y81" i="10"/>
  <c r="Y80" i="10"/>
  <c r="Y79" i="10"/>
  <c r="Y78" i="10"/>
  <c r="Y77" i="10"/>
  <c r="Y76" i="10"/>
  <c r="Y75" i="10"/>
  <c r="Y74" i="10"/>
  <c r="Y73" i="10"/>
  <c r="Y72" i="10"/>
  <c r="Y71" i="10"/>
  <c r="Y70" i="10"/>
  <c r="Y69" i="10"/>
  <c r="Y68" i="10"/>
  <c r="Y67" i="10"/>
  <c r="Y66" i="10"/>
  <c r="Y65" i="10"/>
  <c r="Y64" i="10"/>
  <c r="Y63" i="10"/>
  <c r="Y62" i="10"/>
  <c r="Y61" i="10"/>
  <c r="Y60" i="10"/>
  <c r="Y59" i="10"/>
  <c r="Y58" i="10"/>
  <c r="Y57" i="10"/>
  <c r="Y56" i="10"/>
  <c r="Y55" i="10"/>
  <c r="Y54" i="10"/>
  <c r="Y53" i="10"/>
  <c r="Y52" i="10"/>
  <c r="Y51" i="10"/>
  <c r="Y50" i="10"/>
  <c r="Y49" i="10"/>
  <c r="Y48" i="10"/>
  <c r="Y47" i="10"/>
  <c r="Y46" i="10"/>
  <c r="Y45" i="10"/>
  <c r="Y44" i="10"/>
  <c r="Y43" i="10"/>
  <c r="Y42" i="10"/>
  <c r="Y41" i="10"/>
  <c r="Y40" i="10"/>
  <c r="Y39" i="10"/>
  <c r="Y38" i="10"/>
  <c r="Y37" i="10"/>
  <c r="Y36" i="10"/>
  <c r="Y35" i="10"/>
  <c r="Y34" i="10"/>
  <c r="Y33" i="10"/>
  <c r="Y32" i="10"/>
  <c r="Y31" i="10"/>
  <c r="Y30" i="10"/>
  <c r="Y29" i="10"/>
  <c r="Y28" i="10"/>
  <c r="Y27" i="10"/>
  <c r="Y26" i="10"/>
  <c r="Y25" i="10"/>
  <c r="Y24" i="10"/>
  <c r="Y23" i="10"/>
  <c r="Y22" i="10"/>
  <c r="Y21" i="10"/>
  <c r="Y20" i="10"/>
  <c r="Y19" i="10"/>
  <c r="Y18" i="10"/>
  <c r="Y17" i="10"/>
  <c r="Y16" i="10"/>
  <c r="Y15" i="10"/>
  <c r="Y14" i="10"/>
  <c r="Y13" i="10"/>
  <c r="Y12" i="10"/>
  <c r="Y11" i="10"/>
  <c r="Y10" i="10"/>
  <c r="Y9" i="10"/>
  <c r="Y8" i="10"/>
  <c r="Y7" i="10"/>
  <c r="X623" i="9"/>
  <c r="Y623" i="9" s="1"/>
  <c r="Y622" i="9"/>
  <c r="X621" i="9"/>
  <c r="Y621" i="9" s="1"/>
  <c r="X620" i="9"/>
  <c r="Y620" i="9" s="1"/>
  <c r="Y619" i="9"/>
  <c r="X618" i="9"/>
  <c r="Y618" i="9" s="1"/>
  <c r="X617" i="9"/>
  <c r="Y617" i="9" s="1"/>
  <c r="X616" i="9"/>
  <c r="Y616" i="9" s="1"/>
  <c r="X615" i="9"/>
  <c r="Y615" i="9" s="1"/>
  <c r="X614" i="9"/>
  <c r="Y614" i="9" s="1"/>
  <c r="Y613" i="9"/>
  <c r="Y612" i="9"/>
  <c r="Y611" i="9"/>
  <c r="Y610" i="9"/>
  <c r="Y609" i="9"/>
  <c r="X608" i="9"/>
  <c r="Y608" i="9" s="1"/>
  <c r="X607" i="9"/>
  <c r="Y607" i="9" s="1"/>
  <c r="X606" i="9"/>
  <c r="Y606" i="9" s="1"/>
  <c r="X605" i="9"/>
  <c r="Y605" i="9" s="1"/>
  <c r="X604" i="9"/>
  <c r="Y604" i="9" s="1"/>
  <c r="X603" i="9"/>
  <c r="Y603" i="9" s="1"/>
  <c r="X602" i="9"/>
  <c r="Y602" i="9" s="1"/>
  <c r="X601" i="9"/>
  <c r="Y601" i="9" s="1"/>
  <c r="X600" i="9"/>
  <c r="Y600" i="9" s="1"/>
  <c r="X599" i="9"/>
  <c r="Y599" i="9" s="1"/>
  <c r="X598" i="9"/>
  <c r="Y598" i="9" s="1"/>
  <c r="X597" i="9"/>
  <c r="Y597" i="9" s="1"/>
  <c r="X596" i="9"/>
  <c r="Y596" i="9" s="1"/>
  <c r="X595" i="9"/>
  <c r="Y595" i="9" s="1"/>
  <c r="X594" i="9"/>
  <c r="Y594" i="9" s="1"/>
  <c r="X593" i="9"/>
  <c r="Y593" i="9" s="1"/>
  <c r="X592" i="9"/>
  <c r="Y592" i="9" s="1"/>
  <c r="X591" i="9"/>
  <c r="Y591" i="9" s="1"/>
  <c r="X590" i="9"/>
  <c r="Y590" i="9" s="1"/>
  <c r="X589" i="9"/>
  <c r="Y589" i="9" s="1"/>
  <c r="X588" i="9"/>
  <c r="Y588" i="9" s="1"/>
  <c r="X587" i="9"/>
  <c r="Y587" i="9" s="1"/>
  <c r="X586" i="9"/>
  <c r="Y586" i="9" s="1"/>
  <c r="X585" i="9"/>
  <c r="Y585" i="9" s="1"/>
  <c r="Y584" i="9"/>
  <c r="Y583" i="9"/>
  <c r="Y582" i="9"/>
  <c r="Y581" i="9"/>
  <c r="Y580" i="9"/>
  <c r="Y579" i="9"/>
  <c r="Y578" i="9"/>
  <c r="Y577" i="9"/>
  <c r="Y576" i="9"/>
  <c r="Y575" i="9"/>
  <c r="Y574" i="9"/>
  <c r="Y573" i="9"/>
  <c r="Y572" i="9"/>
  <c r="Y571" i="9"/>
  <c r="Y570" i="9"/>
  <c r="Y569" i="9"/>
  <c r="Y568" i="9"/>
  <c r="X566" i="9"/>
  <c r="Y566" i="9" s="1"/>
  <c r="X565" i="9"/>
  <c r="Y565" i="9" s="1"/>
  <c r="X564" i="9"/>
  <c r="Y564" i="9" s="1"/>
  <c r="X563" i="9"/>
  <c r="Y563" i="9" s="1"/>
  <c r="X562" i="9"/>
  <c r="Y562" i="9" s="1"/>
  <c r="X561" i="9"/>
  <c r="Y561" i="9" s="1"/>
  <c r="X560" i="9"/>
  <c r="Y560" i="9" s="1"/>
  <c r="X559" i="9"/>
  <c r="Y559" i="9" s="1"/>
  <c r="X558" i="9"/>
  <c r="Y558" i="9" s="1"/>
  <c r="X557" i="9"/>
  <c r="Y557" i="9" s="1"/>
  <c r="X556" i="9"/>
  <c r="Y556" i="9" s="1"/>
  <c r="X555" i="9"/>
  <c r="Y555" i="9" s="1"/>
  <c r="X554" i="9"/>
  <c r="Y554" i="9" s="1"/>
  <c r="X553" i="9"/>
  <c r="Y553" i="9" s="1"/>
  <c r="X552" i="9"/>
  <c r="Y552" i="9" s="1"/>
  <c r="X551" i="9"/>
  <c r="Y551" i="9" s="1"/>
  <c r="X550" i="9"/>
  <c r="Y550" i="9" s="1"/>
  <c r="X549" i="9"/>
  <c r="Y549" i="9" s="1"/>
  <c r="X548" i="9"/>
  <c r="Y548" i="9" s="1"/>
  <c r="X547" i="9"/>
  <c r="Y547" i="9" s="1"/>
  <c r="X546" i="9"/>
  <c r="Y546" i="9" s="1"/>
  <c r="X545" i="9"/>
  <c r="Y545" i="9" s="1"/>
  <c r="X544" i="9"/>
  <c r="Y544" i="9" s="1"/>
  <c r="X543" i="9"/>
  <c r="Y543" i="9" s="1"/>
  <c r="X542" i="9"/>
  <c r="Y542" i="9" s="1"/>
  <c r="X541" i="9"/>
  <c r="Y541" i="9" s="1"/>
  <c r="X540" i="9"/>
  <c r="Y540" i="9" s="1"/>
  <c r="X539" i="9"/>
  <c r="Y539" i="9" s="1"/>
  <c r="X538" i="9"/>
  <c r="Y538" i="9" s="1"/>
  <c r="X537" i="9"/>
  <c r="Y537" i="9" s="1"/>
  <c r="X536" i="9"/>
  <c r="Y536" i="9" s="1"/>
  <c r="X535" i="9"/>
  <c r="Y535" i="9" s="1"/>
  <c r="X534" i="9"/>
  <c r="Y534" i="9" s="1"/>
  <c r="X533" i="9"/>
  <c r="Y533" i="9" s="1"/>
  <c r="X532" i="9"/>
  <c r="Y532" i="9" s="1"/>
  <c r="X531" i="9"/>
  <c r="Y531" i="9" s="1"/>
  <c r="X530" i="9"/>
  <c r="Y530" i="9" s="1"/>
  <c r="X529" i="9"/>
  <c r="Y529" i="9" s="1"/>
  <c r="X528" i="9"/>
  <c r="Y528" i="9" s="1"/>
  <c r="X527" i="9"/>
  <c r="Y527" i="9" s="1"/>
  <c r="X526" i="9"/>
  <c r="Y526" i="9" s="1"/>
  <c r="X525" i="9"/>
  <c r="Y525" i="9" s="1"/>
  <c r="X524" i="9"/>
  <c r="Y524" i="9" s="1"/>
  <c r="X523" i="9"/>
  <c r="Y523" i="9" s="1"/>
  <c r="X522" i="9"/>
  <c r="Y522" i="9" s="1"/>
  <c r="X521" i="9"/>
  <c r="Y521" i="9" s="1"/>
  <c r="X520" i="9"/>
  <c r="Y520" i="9" s="1"/>
  <c r="X519" i="9"/>
  <c r="Y519" i="9" s="1"/>
  <c r="X518" i="9"/>
  <c r="Y518" i="9" s="1"/>
  <c r="X517" i="9"/>
  <c r="Y517" i="9" s="1"/>
  <c r="X516" i="9"/>
  <c r="Y516" i="9" s="1"/>
  <c r="X515" i="9"/>
  <c r="Y515" i="9" s="1"/>
  <c r="X514" i="9"/>
  <c r="Y514" i="9" s="1"/>
  <c r="X513" i="9"/>
  <c r="Y513" i="9" s="1"/>
  <c r="Y512" i="9"/>
  <c r="X511" i="9"/>
  <c r="Y511" i="9" s="1"/>
  <c r="X510" i="9"/>
  <c r="Y510" i="9" s="1"/>
  <c r="X509" i="9"/>
  <c r="Y509" i="9" s="1"/>
  <c r="X508" i="9"/>
  <c r="Y508" i="9" s="1"/>
  <c r="X507" i="9"/>
  <c r="Y507" i="9" s="1"/>
  <c r="X506" i="9"/>
  <c r="Y506" i="9" s="1"/>
  <c r="X505" i="9"/>
  <c r="Y505" i="9" s="1"/>
  <c r="X504" i="9"/>
  <c r="Y504" i="9" s="1"/>
  <c r="X503" i="9"/>
  <c r="Y503" i="9" s="1"/>
  <c r="X502" i="9"/>
  <c r="Y502" i="9" s="1"/>
  <c r="X501" i="9"/>
  <c r="Y501" i="9" s="1"/>
  <c r="X500" i="9"/>
  <c r="Y500" i="9" s="1"/>
  <c r="X499" i="9"/>
  <c r="Y499" i="9" s="1"/>
  <c r="X498" i="9"/>
  <c r="Y498" i="9" s="1"/>
  <c r="X497" i="9"/>
  <c r="Y497" i="9" s="1"/>
  <c r="X496" i="9"/>
  <c r="Y496" i="9" s="1"/>
  <c r="Y495" i="9"/>
  <c r="X494" i="9"/>
  <c r="Y494" i="9" s="1"/>
  <c r="X493" i="9"/>
  <c r="Y493" i="9" s="1"/>
  <c r="X492" i="9"/>
  <c r="Y492" i="9" s="1"/>
  <c r="X491" i="9"/>
  <c r="Y491" i="9" s="1"/>
  <c r="X490" i="9"/>
  <c r="Y490" i="9" s="1"/>
  <c r="X489" i="9"/>
  <c r="Y489" i="9" s="1"/>
  <c r="X488" i="9"/>
  <c r="Y488" i="9" s="1"/>
  <c r="Y487" i="9"/>
  <c r="X486" i="9"/>
  <c r="Y486" i="9" s="1"/>
  <c r="X485" i="9"/>
  <c r="Y485" i="9" s="1"/>
  <c r="X484" i="9"/>
  <c r="Y484" i="9" s="1"/>
  <c r="X483" i="9"/>
  <c r="Y483" i="9" s="1"/>
  <c r="X482" i="9"/>
  <c r="Y482" i="9" s="1"/>
  <c r="X481" i="9"/>
  <c r="Y481" i="9" s="1"/>
  <c r="X480" i="9"/>
  <c r="Y480" i="9" s="1"/>
  <c r="Y479" i="9"/>
  <c r="X478" i="9"/>
  <c r="Y478" i="9" s="1"/>
  <c r="X477" i="9"/>
  <c r="Y477" i="9" s="1"/>
  <c r="X476" i="9"/>
  <c r="Y476" i="9" s="1"/>
  <c r="X475" i="9"/>
  <c r="Y475" i="9" s="1"/>
  <c r="X474" i="9"/>
  <c r="Y474" i="9" s="1"/>
  <c r="X473" i="9"/>
  <c r="Y473" i="9" s="1"/>
  <c r="X472" i="9"/>
  <c r="Y472" i="9" s="1"/>
  <c r="X471" i="9"/>
  <c r="Y471" i="9" s="1"/>
  <c r="X470" i="9"/>
  <c r="Y470" i="9" s="1"/>
  <c r="X469" i="9"/>
  <c r="Y469" i="9" s="1"/>
  <c r="X468" i="9"/>
  <c r="Y468" i="9" s="1"/>
  <c r="X467" i="9"/>
  <c r="Y467" i="9" s="1"/>
  <c r="X466" i="9"/>
  <c r="Y466" i="9" s="1"/>
  <c r="X465" i="9"/>
  <c r="Y465" i="9" s="1"/>
  <c r="X464" i="9"/>
  <c r="Y464" i="9" s="1"/>
  <c r="X463" i="9"/>
  <c r="Y463" i="9" s="1"/>
  <c r="X462" i="9"/>
  <c r="Y462" i="9" s="1"/>
  <c r="X461" i="9"/>
  <c r="Y461" i="9" s="1"/>
  <c r="X460" i="9"/>
  <c r="Y460" i="9" s="1"/>
  <c r="X459" i="9"/>
  <c r="Y459" i="9" s="1"/>
  <c r="X458" i="9"/>
  <c r="Y458" i="9" s="1"/>
  <c r="X457" i="9"/>
  <c r="Y457" i="9" s="1"/>
  <c r="X456" i="9"/>
  <c r="Y456" i="9" s="1"/>
  <c r="X455" i="9"/>
  <c r="Y455" i="9" s="1"/>
  <c r="X454" i="9"/>
  <c r="Y454" i="9" s="1"/>
  <c r="X453" i="9"/>
  <c r="Y453" i="9" s="1"/>
  <c r="X452" i="9"/>
  <c r="Y452" i="9" s="1"/>
  <c r="X451" i="9"/>
  <c r="Y451" i="9" s="1"/>
  <c r="X450" i="9"/>
  <c r="Y450" i="9" s="1"/>
  <c r="X449" i="9"/>
  <c r="Y449" i="9" s="1"/>
  <c r="X448" i="9"/>
  <c r="Y448" i="9" s="1"/>
  <c r="X447" i="9"/>
  <c r="Y447" i="9" s="1"/>
  <c r="X446" i="9"/>
  <c r="Y446" i="9" s="1"/>
  <c r="X445" i="9"/>
  <c r="Y445" i="9" s="1"/>
  <c r="X444" i="9"/>
  <c r="Y444" i="9" s="1"/>
  <c r="X443" i="9"/>
  <c r="Y443" i="9" s="1"/>
  <c r="X442" i="9"/>
  <c r="Y442" i="9" s="1"/>
  <c r="X441" i="9"/>
  <c r="Y441" i="9" s="1"/>
  <c r="X440" i="9"/>
  <c r="Y440" i="9" s="1"/>
  <c r="X439" i="9"/>
  <c r="Y439" i="9" s="1"/>
  <c r="X438" i="9"/>
  <c r="Y438" i="9" s="1"/>
  <c r="X437" i="9"/>
  <c r="Y437" i="9" s="1"/>
  <c r="X436" i="9"/>
  <c r="Y436" i="9" s="1"/>
  <c r="X435" i="9"/>
  <c r="Y435" i="9" s="1"/>
  <c r="X434" i="9"/>
  <c r="Y434" i="9" s="1"/>
  <c r="X433" i="9"/>
  <c r="Y433" i="9" s="1"/>
  <c r="X432" i="9"/>
  <c r="Y432" i="9" s="1"/>
  <c r="X431" i="9"/>
  <c r="Y431" i="9" s="1"/>
  <c r="X430" i="9"/>
  <c r="Y430" i="9" s="1"/>
  <c r="X429" i="9"/>
  <c r="Y429" i="9" s="1"/>
  <c r="X428" i="9"/>
  <c r="Y428" i="9" s="1"/>
  <c r="X427" i="9"/>
  <c r="Y427" i="9" s="1"/>
  <c r="X426" i="9"/>
  <c r="Y426" i="9" s="1"/>
  <c r="X425" i="9"/>
  <c r="Y425" i="9" s="1"/>
  <c r="X424" i="9"/>
  <c r="Y424" i="9" s="1"/>
  <c r="X421" i="9"/>
  <c r="Y421" i="9" s="1"/>
  <c r="X420" i="9"/>
  <c r="Y420" i="9" s="1"/>
  <c r="X419" i="9"/>
  <c r="Y419" i="9" s="1"/>
  <c r="X418" i="9"/>
  <c r="Y418" i="9" s="1"/>
  <c r="X417" i="9"/>
  <c r="Y417" i="9" s="1"/>
  <c r="X416" i="9"/>
  <c r="Y416" i="9" s="1"/>
  <c r="X415" i="9"/>
  <c r="Y415" i="9" s="1"/>
  <c r="X414" i="9"/>
  <c r="Y414" i="9" s="1"/>
  <c r="X413" i="9"/>
  <c r="Y413" i="9" s="1"/>
  <c r="X412" i="9"/>
  <c r="Y412" i="9" s="1"/>
  <c r="X411" i="9"/>
  <c r="Y411" i="9" s="1"/>
  <c r="X410" i="9"/>
  <c r="Y410" i="9" s="1"/>
  <c r="X409" i="9"/>
  <c r="Y409" i="9" s="1"/>
  <c r="X408" i="9"/>
  <c r="Y408" i="9" s="1"/>
  <c r="X407" i="9"/>
  <c r="Y407" i="9" s="1"/>
  <c r="X406" i="9"/>
  <c r="Y406" i="9" s="1"/>
  <c r="X405" i="9"/>
  <c r="Y405" i="9" s="1"/>
  <c r="X404" i="9"/>
  <c r="Y404" i="9" s="1"/>
  <c r="X403" i="9"/>
  <c r="Y403" i="9" s="1"/>
  <c r="X402" i="9"/>
  <c r="Y402" i="9" s="1"/>
  <c r="X401" i="9"/>
  <c r="Y401" i="9" s="1"/>
  <c r="X400" i="9"/>
  <c r="Y400" i="9" s="1"/>
  <c r="X399" i="9"/>
  <c r="Y399" i="9" s="1"/>
  <c r="X398" i="9"/>
  <c r="Y398" i="9" s="1"/>
  <c r="X397" i="9"/>
  <c r="Y397" i="9" s="1"/>
  <c r="X396" i="9"/>
  <c r="Y396" i="9" s="1"/>
  <c r="X395" i="9"/>
  <c r="Y395" i="9" s="1"/>
  <c r="X394" i="9"/>
  <c r="Y394" i="9" s="1"/>
  <c r="X393" i="9"/>
  <c r="Y393" i="9" s="1"/>
  <c r="X392" i="9"/>
  <c r="Y392" i="9" s="1"/>
  <c r="X391" i="9"/>
  <c r="Y391" i="9" s="1"/>
  <c r="X388" i="9"/>
  <c r="Y388" i="9" s="1"/>
  <c r="X387" i="9"/>
  <c r="Y387" i="9" s="1"/>
  <c r="X386" i="9"/>
  <c r="Y386" i="9" s="1"/>
  <c r="X385" i="9"/>
  <c r="Y385" i="9" s="1"/>
  <c r="X384" i="9"/>
  <c r="Y384" i="9" s="1"/>
  <c r="X383" i="9"/>
  <c r="Y383" i="9" s="1"/>
  <c r="X382" i="9"/>
  <c r="Y382" i="9" s="1"/>
  <c r="X381" i="9"/>
  <c r="Y381" i="9" s="1"/>
  <c r="X380" i="9"/>
  <c r="Y380" i="9" s="1"/>
  <c r="X379" i="9"/>
  <c r="Y379" i="9" s="1"/>
  <c r="X378" i="9"/>
  <c r="Y378" i="9" s="1"/>
  <c r="X377" i="9"/>
  <c r="Y377" i="9" s="1"/>
  <c r="X376" i="9"/>
  <c r="Y376" i="9" s="1"/>
  <c r="X375" i="9"/>
  <c r="Y375" i="9" s="1"/>
  <c r="X374" i="9"/>
  <c r="Y374" i="9" s="1"/>
  <c r="X373" i="9"/>
  <c r="Y373" i="9" s="1"/>
  <c r="X372" i="9"/>
  <c r="Y372" i="9" s="1"/>
  <c r="X371" i="9"/>
  <c r="Y371" i="9" s="1"/>
  <c r="X370" i="9"/>
  <c r="Y370" i="9" s="1"/>
  <c r="X369" i="9"/>
  <c r="Y369" i="9" s="1"/>
  <c r="X368" i="9"/>
  <c r="Y368" i="9" s="1"/>
  <c r="X367" i="9"/>
  <c r="Y367" i="9" s="1"/>
  <c r="X366" i="9"/>
  <c r="Y366" i="9" s="1"/>
  <c r="X365" i="9"/>
  <c r="Y365" i="9" s="1"/>
  <c r="X362" i="9"/>
  <c r="Y362" i="9" s="1"/>
  <c r="X361" i="9"/>
  <c r="Y361" i="9" s="1"/>
  <c r="X360" i="9"/>
  <c r="Y360" i="9" s="1"/>
  <c r="X359" i="9"/>
  <c r="Y359" i="9" s="1"/>
  <c r="X358" i="9"/>
  <c r="Y358" i="9" s="1"/>
  <c r="X357" i="9"/>
  <c r="Y357" i="9" s="1"/>
  <c r="X356" i="9"/>
  <c r="Y356" i="9" s="1"/>
  <c r="X355" i="9"/>
  <c r="Y355" i="9" s="1"/>
  <c r="X354" i="9"/>
  <c r="Y354" i="9" s="1"/>
  <c r="X353" i="9"/>
  <c r="Y353" i="9" s="1"/>
  <c r="X352" i="9"/>
  <c r="Y352" i="9" s="1"/>
  <c r="X351" i="9"/>
  <c r="Y351" i="9" s="1"/>
  <c r="X350" i="9"/>
  <c r="Y350" i="9" s="1"/>
  <c r="X349" i="9"/>
  <c r="Y349" i="9" s="1"/>
  <c r="X348" i="9"/>
  <c r="Y348" i="9" s="1"/>
  <c r="X347" i="9"/>
  <c r="Y347" i="9" s="1"/>
  <c r="X346" i="9"/>
  <c r="Y346" i="9" s="1"/>
  <c r="X345" i="9"/>
  <c r="Y345" i="9" s="1"/>
  <c r="X344" i="9"/>
  <c r="Y344" i="9" s="1"/>
  <c r="X343" i="9"/>
  <c r="Y343" i="9" s="1"/>
  <c r="X342" i="9"/>
  <c r="Y342" i="9" s="1"/>
  <c r="X341" i="9"/>
  <c r="Y341" i="9" s="1"/>
  <c r="X340" i="9"/>
  <c r="Y340" i="9" s="1"/>
  <c r="X339" i="9"/>
  <c r="Y339" i="9" s="1"/>
  <c r="X338" i="9"/>
  <c r="Y338" i="9" s="1"/>
  <c r="X337" i="9"/>
  <c r="Y337" i="9" s="1"/>
  <c r="X336" i="9"/>
  <c r="Y336" i="9" s="1"/>
  <c r="X335" i="9"/>
  <c r="Y335" i="9" s="1"/>
  <c r="X334" i="9"/>
  <c r="Y334" i="9" s="1"/>
  <c r="X333" i="9"/>
  <c r="Y333" i="9" s="1"/>
  <c r="X332" i="9"/>
  <c r="Y332" i="9" s="1"/>
  <c r="X331" i="9"/>
  <c r="Y331" i="9" s="1"/>
  <c r="X330" i="9"/>
  <c r="Y330" i="9" s="1"/>
  <c r="X329" i="9"/>
  <c r="Y329" i="9" s="1"/>
  <c r="X328" i="9"/>
  <c r="Y328" i="9" s="1"/>
  <c r="X327" i="9"/>
  <c r="Y327" i="9" s="1"/>
  <c r="X323" i="9"/>
  <c r="Y323" i="9" s="1"/>
  <c r="X322" i="9"/>
  <c r="Y322" i="9" s="1"/>
  <c r="X321" i="9"/>
  <c r="Y321" i="9" s="1"/>
  <c r="X320" i="9"/>
  <c r="Y320" i="9" s="1"/>
  <c r="X319" i="9"/>
  <c r="Y319" i="9" s="1"/>
  <c r="X318" i="9"/>
  <c r="Y318" i="9" s="1"/>
  <c r="X317" i="9"/>
  <c r="Y317" i="9" s="1"/>
  <c r="X316" i="9"/>
  <c r="Y316" i="9" s="1"/>
  <c r="X315" i="9"/>
  <c r="Y315" i="9" s="1"/>
  <c r="X314" i="9"/>
  <c r="Y314" i="9" s="1"/>
  <c r="X313" i="9"/>
  <c r="Y313" i="9" s="1"/>
  <c r="X312" i="9"/>
  <c r="Y312" i="9" s="1"/>
  <c r="X311" i="9"/>
  <c r="Y311" i="9" s="1"/>
  <c r="X310" i="9"/>
  <c r="Y310" i="9" s="1"/>
  <c r="X309" i="9"/>
  <c r="Y309" i="9" s="1"/>
  <c r="X308" i="9"/>
  <c r="Y308" i="9" s="1"/>
  <c r="X307" i="9"/>
  <c r="Y307" i="9" s="1"/>
  <c r="X306" i="9"/>
  <c r="Y306" i="9" s="1"/>
  <c r="X305" i="9"/>
  <c r="Y305" i="9" s="1"/>
  <c r="X304" i="9"/>
  <c r="Y304" i="9" s="1"/>
  <c r="X303" i="9"/>
  <c r="Y303" i="9" s="1"/>
  <c r="X302" i="9"/>
  <c r="Y302" i="9" s="1"/>
  <c r="X301" i="9"/>
  <c r="Y301" i="9" s="1"/>
  <c r="X300" i="9"/>
  <c r="Y300" i="9" s="1"/>
  <c r="X299" i="9"/>
  <c r="Y299" i="9" s="1"/>
  <c r="X298" i="9"/>
  <c r="Y298" i="9" s="1"/>
  <c r="X297" i="9"/>
  <c r="Y297" i="9" s="1"/>
  <c r="X296" i="9"/>
  <c r="Y296" i="9" s="1"/>
  <c r="X295" i="9"/>
  <c r="Y295" i="9" s="1"/>
  <c r="X294" i="9"/>
  <c r="Y294" i="9" s="1"/>
  <c r="X293" i="9"/>
  <c r="Y293" i="9" s="1"/>
  <c r="X292" i="9"/>
  <c r="Y292" i="9" s="1"/>
  <c r="X291" i="9"/>
  <c r="Y291" i="9" s="1"/>
  <c r="X290" i="9"/>
  <c r="Y290" i="9" s="1"/>
  <c r="X289" i="9"/>
  <c r="Y289" i="9" s="1"/>
  <c r="X288" i="9"/>
  <c r="Y288" i="9" s="1"/>
  <c r="X287" i="9"/>
  <c r="Y287" i="9" s="1"/>
  <c r="X286" i="9"/>
  <c r="Y286" i="9" s="1"/>
  <c r="X285" i="9"/>
  <c r="Y285" i="9" s="1"/>
  <c r="X284" i="9"/>
  <c r="Y284" i="9" s="1"/>
  <c r="X283" i="9"/>
  <c r="Y283" i="9" s="1"/>
  <c r="X282" i="9"/>
  <c r="Y282" i="9" s="1"/>
  <c r="X281" i="9"/>
  <c r="Y281" i="9" s="1"/>
  <c r="X280" i="9"/>
  <c r="Y280" i="9" s="1"/>
  <c r="X279" i="9"/>
  <c r="Y279" i="9" s="1"/>
  <c r="X278" i="9"/>
  <c r="Y278" i="9" s="1"/>
  <c r="X277" i="9"/>
  <c r="Y277" i="9" s="1"/>
  <c r="X276" i="9"/>
  <c r="Y276" i="9" s="1"/>
  <c r="X275" i="9"/>
  <c r="Y275" i="9" s="1"/>
  <c r="X274" i="9"/>
  <c r="Y274" i="9" s="1"/>
  <c r="X273" i="9"/>
  <c r="Y273" i="9" s="1"/>
  <c r="X272" i="9"/>
  <c r="Y272" i="9" s="1"/>
  <c r="X271" i="9"/>
  <c r="Y271" i="9" s="1"/>
  <c r="X270" i="9"/>
  <c r="Y270" i="9" s="1"/>
  <c r="X269" i="9"/>
  <c r="Y269" i="9" s="1"/>
  <c r="X267" i="9"/>
  <c r="Y267" i="9" s="1"/>
  <c r="X266" i="9"/>
  <c r="Y266" i="9" s="1"/>
  <c r="X265" i="9"/>
  <c r="Y265" i="9" s="1"/>
  <c r="X264" i="9"/>
  <c r="Y264" i="9" s="1"/>
  <c r="X262" i="9"/>
  <c r="Y262" i="9" s="1"/>
  <c r="X261" i="9"/>
  <c r="Y261" i="9" s="1"/>
  <c r="X260" i="9"/>
  <c r="Y260" i="9" s="1"/>
  <c r="X259" i="9"/>
  <c r="Y259" i="9" s="1"/>
  <c r="X258" i="9"/>
  <c r="Y258" i="9" s="1"/>
  <c r="X257" i="9"/>
  <c r="Y257" i="9" s="1"/>
  <c r="X256" i="9"/>
  <c r="Y256" i="9" s="1"/>
  <c r="X255" i="9"/>
  <c r="Y255" i="9" s="1"/>
  <c r="X253" i="9"/>
  <c r="Y253" i="9" s="1"/>
  <c r="X252" i="9"/>
  <c r="Y252" i="9" s="1"/>
  <c r="X251" i="9"/>
  <c r="Y251" i="9" s="1"/>
  <c r="X250" i="9"/>
  <c r="Y250" i="9" s="1"/>
  <c r="X249" i="9"/>
  <c r="Y249" i="9" s="1"/>
  <c r="X248" i="9"/>
  <c r="Y248" i="9" s="1"/>
  <c r="X247" i="9"/>
  <c r="Y247" i="9" s="1"/>
  <c r="X246" i="9"/>
  <c r="Y246" i="9" s="1"/>
  <c r="X245" i="9"/>
  <c r="Y245" i="9" s="1"/>
  <c r="X244" i="9"/>
  <c r="Y244" i="9" s="1"/>
  <c r="X243" i="9"/>
  <c r="Y243" i="9" s="1"/>
  <c r="X242" i="9"/>
  <c r="Y242" i="9" s="1"/>
  <c r="X241" i="9"/>
  <c r="Y241" i="9" s="1"/>
  <c r="X240" i="9"/>
  <c r="Y240" i="9" s="1"/>
  <c r="X239" i="9"/>
  <c r="Y239" i="9" s="1"/>
  <c r="X238" i="9"/>
  <c r="Y238" i="9" s="1"/>
  <c r="X237" i="9"/>
  <c r="Y237" i="9" s="1"/>
  <c r="X236" i="9"/>
  <c r="Y236" i="9" s="1"/>
  <c r="X235" i="9"/>
  <c r="Y235" i="9" s="1"/>
  <c r="X234" i="9"/>
  <c r="Y234" i="9" s="1"/>
  <c r="X233" i="9"/>
  <c r="Y233" i="9" s="1"/>
  <c r="X232" i="9"/>
  <c r="Y232" i="9" s="1"/>
  <c r="X231" i="9"/>
  <c r="Y231" i="9" s="1"/>
  <c r="X230" i="9"/>
  <c r="Y230" i="9" s="1"/>
  <c r="X229" i="9"/>
  <c r="Y229" i="9" s="1"/>
  <c r="X228" i="9"/>
  <c r="Y228" i="9" s="1"/>
  <c r="X227" i="9"/>
  <c r="Y227" i="9" s="1"/>
  <c r="X226" i="9"/>
  <c r="Y226" i="9" s="1"/>
  <c r="X225" i="9"/>
  <c r="Y225" i="9" s="1"/>
  <c r="X224" i="9"/>
  <c r="Y224" i="9" s="1"/>
  <c r="X223" i="9"/>
  <c r="Y223" i="9" s="1"/>
  <c r="X222" i="9"/>
  <c r="Y222" i="9" s="1"/>
  <c r="X221" i="9"/>
  <c r="Y221" i="9" s="1"/>
  <c r="X220" i="9"/>
  <c r="Y220" i="9" s="1"/>
  <c r="X219" i="9"/>
  <c r="Y219" i="9" s="1"/>
  <c r="X218" i="9"/>
  <c r="Y218" i="9" s="1"/>
  <c r="X217" i="9"/>
  <c r="Y217" i="9" s="1"/>
  <c r="X216" i="9"/>
  <c r="Y216" i="9" s="1"/>
  <c r="X215" i="9"/>
  <c r="Y215" i="9" s="1"/>
  <c r="X214" i="9"/>
  <c r="Y214" i="9" s="1"/>
  <c r="X213" i="9"/>
  <c r="Y213" i="9" s="1"/>
  <c r="X212" i="9"/>
  <c r="Y212" i="9" s="1"/>
  <c r="X211" i="9"/>
  <c r="Y211" i="9" s="1"/>
  <c r="X210" i="9"/>
  <c r="Y210" i="9" s="1"/>
  <c r="X209" i="9"/>
  <c r="Y209" i="9" s="1"/>
  <c r="X208" i="9"/>
  <c r="Y208" i="9" s="1"/>
  <c r="X207" i="9"/>
  <c r="Y207" i="9" s="1"/>
  <c r="X206" i="9"/>
  <c r="Y206" i="9" s="1"/>
  <c r="X205" i="9"/>
  <c r="Y205" i="9" s="1"/>
  <c r="X204" i="9"/>
  <c r="Y204" i="9" s="1"/>
  <c r="X203" i="9"/>
  <c r="Y203" i="9" s="1"/>
  <c r="X202" i="9"/>
  <c r="Y202" i="9" s="1"/>
  <c r="X201" i="9"/>
  <c r="Y201" i="9" s="1"/>
  <c r="X200" i="9"/>
  <c r="Y200" i="9" s="1"/>
  <c r="X199" i="9"/>
  <c r="Y199" i="9" s="1"/>
  <c r="X198" i="9"/>
  <c r="Y198" i="9" s="1"/>
  <c r="X196" i="9"/>
  <c r="Y196" i="9" s="1"/>
  <c r="X195" i="9"/>
  <c r="Y195" i="9" s="1"/>
  <c r="X194" i="9"/>
  <c r="Y194" i="9" s="1"/>
  <c r="X192" i="9"/>
  <c r="Y192" i="9" s="1"/>
  <c r="X191" i="9"/>
  <c r="Y191" i="9" s="1"/>
  <c r="X190" i="9"/>
  <c r="Y190" i="9" s="1"/>
  <c r="X188" i="9"/>
  <c r="Y188" i="9" s="1"/>
  <c r="X187" i="9"/>
  <c r="Y187" i="9" s="1"/>
  <c r="X186" i="9"/>
  <c r="Y186" i="9" s="1"/>
  <c r="X182" i="9"/>
  <c r="Y182" i="9" s="1"/>
  <c r="X181" i="9"/>
  <c r="Y181" i="9" s="1"/>
  <c r="X180" i="9"/>
  <c r="Y180" i="9" s="1"/>
  <c r="X179" i="9"/>
  <c r="Y179" i="9" s="1"/>
  <c r="X178" i="9"/>
  <c r="Y178" i="9" s="1"/>
  <c r="X177" i="9"/>
  <c r="Y177" i="9" s="1"/>
  <c r="X176" i="9"/>
  <c r="Y176" i="9" s="1"/>
  <c r="X175" i="9"/>
  <c r="Y175" i="9" s="1"/>
  <c r="X174" i="9"/>
  <c r="Y174" i="9" s="1"/>
  <c r="X173" i="9"/>
  <c r="Y173" i="9" s="1"/>
  <c r="X172" i="9"/>
  <c r="Y172" i="9" s="1"/>
  <c r="X171" i="9"/>
  <c r="Y171" i="9" s="1"/>
  <c r="X170" i="9"/>
  <c r="Y170" i="9" s="1"/>
  <c r="X169" i="9"/>
  <c r="Y169" i="9" s="1"/>
  <c r="X168" i="9"/>
  <c r="Y168" i="9" s="1"/>
  <c r="X167" i="9"/>
  <c r="Y167" i="9" s="1"/>
  <c r="X166" i="9"/>
  <c r="Y166" i="9" s="1"/>
  <c r="X165" i="9"/>
  <c r="Y165" i="9" s="1"/>
  <c r="X164" i="9"/>
  <c r="Y164" i="9" s="1"/>
  <c r="X163" i="9"/>
  <c r="Y163" i="9" s="1"/>
  <c r="X162" i="9"/>
  <c r="Y162" i="9" s="1"/>
  <c r="X160" i="9"/>
  <c r="Y160" i="9" s="1"/>
  <c r="X159" i="9"/>
  <c r="Y159" i="9" s="1"/>
  <c r="X158" i="9"/>
  <c r="Y158" i="9" s="1"/>
  <c r="X157" i="9"/>
  <c r="Y157" i="9" s="1"/>
  <c r="X156" i="9"/>
  <c r="Y156" i="9" s="1"/>
  <c r="X155" i="9"/>
  <c r="Y155" i="9" s="1"/>
  <c r="X154" i="9"/>
  <c r="Y154" i="9" s="1"/>
  <c r="Y152" i="9"/>
  <c r="Y151" i="9"/>
  <c r="Y150" i="9"/>
  <c r="Y149" i="9"/>
  <c r="X148" i="9"/>
  <c r="Y148" i="9" s="1"/>
  <c r="Y147" i="9"/>
  <c r="X146" i="9"/>
  <c r="Y146" i="9" s="1"/>
  <c r="Y145" i="9"/>
  <c r="X144" i="9"/>
  <c r="Y144" i="9" s="1"/>
  <c r="Y143" i="9"/>
  <c r="X142" i="9"/>
  <c r="Y142" i="9" s="1"/>
  <c r="Y141" i="9"/>
  <c r="X139" i="9"/>
  <c r="Y139" i="9" s="1"/>
  <c r="X138" i="9"/>
  <c r="Y138" i="9" s="1"/>
  <c r="X137" i="9"/>
  <c r="Y137" i="9" s="1"/>
  <c r="X136" i="9"/>
  <c r="Y136" i="9" s="1"/>
  <c r="X131" i="9"/>
  <c r="Y131" i="9" s="1"/>
  <c r="X130" i="9"/>
  <c r="Y130" i="9" s="1"/>
  <c r="X129" i="9"/>
  <c r="Y129" i="9" s="1"/>
  <c r="X128" i="9"/>
  <c r="Y128" i="9" s="1"/>
  <c r="X127" i="9"/>
  <c r="Y127" i="9" s="1"/>
  <c r="X126" i="9"/>
  <c r="Y126" i="9" s="1"/>
  <c r="X125" i="9"/>
  <c r="Y125" i="9" s="1"/>
  <c r="X124" i="9"/>
  <c r="Y124" i="9" s="1"/>
  <c r="X123" i="9"/>
  <c r="Y123" i="9" s="1"/>
  <c r="X122" i="9"/>
  <c r="Y122" i="9" s="1"/>
  <c r="X121" i="9"/>
  <c r="Y121" i="9" s="1"/>
  <c r="X120" i="9"/>
  <c r="Y120" i="9" s="1"/>
  <c r="X119" i="9"/>
  <c r="Y119" i="9" s="1"/>
  <c r="X118" i="9"/>
  <c r="Y118" i="9" s="1"/>
  <c r="X117" i="9"/>
  <c r="Y117" i="9" s="1"/>
  <c r="X109" i="9"/>
  <c r="Y109" i="9" s="1"/>
  <c r="X108" i="9"/>
  <c r="Y108" i="9" s="1"/>
  <c r="X107" i="9"/>
  <c r="Y107" i="9" s="1"/>
  <c r="X106" i="9"/>
  <c r="Y106" i="9" s="1"/>
  <c r="X105" i="9"/>
  <c r="Y105" i="9" s="1"/>
  <c r="X104" i="9"/>
  <c r="Y104" i="9" s="1"/>
  <c r="X102" i="9"/>
  <c r="Y102" i="9" s="1"/>
  <c r="X101" i="9"/>
  <c r="Y101" i="9" s="1"/>
  <c r="X100" i="9"/>
  <c r="Y100" i="9" s="1"/>
  <c r="X99" i="9"/>
  <c r="Y99" i="9" s="1"/>
  <c r="X98" i="9"/>
  <c r="Y98" i="9" s="1"/>
  <c r="X97" i="9"/>
  <c r="Y97" i="9" s="1"/>
  <c r="X96" i="9"/>
  <c r="Y96" i="9" s="1"/>
  <c r="X95" i="9"/>
  <c r="Y95" i="9" s="1"/>
  <c r="X94" i="9"/>
  <c r="Y94" i="9" s="1"/>
  <c r="X93" i="9"/>
  <c r="Y93" i="9" s="1"/>
  <c r="X92" i="9"/>
  <c r="Y92" i="9" s="1"/>
  <c r="X91" i="9"/>
  <c r="Y91" i="9" s="1"/>
  <c r="X90" i="9"/>
  <c r="Y90" i="9" s="1"/>
  <c r="X89" i="9"/>
  <c r="Y89" i="9" s="1"/>
  <c r="X87" i="9"/>
  <c r="Y87" i="9" s="1"/>
  <c r="X86" i="9"/>
  <c r="Y86" i="9" s="1"/>
  <c r="X85" i="9"/>
  <c r="Y85" i="9" s="1"/>
  <c r="X84" i="9"/>
  <c r="Y84" i="9" s="1"/>
  <c r="X83" i="9"/>
  <c r="Y83" i="9" s="1"/>
  <c r="X82" i="9"/>
  <c r="Y82" i="9" s="1"/>
  <c r="X81" i="9"/>
  <c r="Y81" i="9" s="1"/>
  <c r="X80" i="9"/>
  <c r="Y80" i="9" s="1"/>
  <c r="X79" i="9"/>
  <c r="Y79" i="9" s="1"/>
  <c r="X78" i="9"/>
  <c r="Y78" i="9" s="1"/>
  <c r="X77" i="9"/>
  <c r="Y77" i="9" s="1"/>
  <c r="X76" i="9"/>
  <c r="Y76" i="9" s="1"/>
  <c r="X75" i="9"/>
  <c r="Y75" i="9" s="1"/>
  <c r="X74" i="9"/>
  <c r="Y74" i="9" s="1"/>
  <c r="X73" i="9"/>
  <c r="Y73" i="9" s="1"/>
  <c r="X72" i="9"/>
  <c r="Y72" i="9" s="1"/>
  <c r="X71" i="9"/>
  <c r="Y71" i="9" s="1"/>
  <c r="X70" i="9"/>
  <c r="Y70" i="9" s="1"/>
  <c r="X69" i="9"/>
  <c r="Y69" i="9" s="1"/>
  <c r="X68" i="9"/>
  <c r="Y68" i="9" s="1"/>
  <c r="X67" i="9"/>
  <c r="Y67" i="9" s="1"/>
  <c r="X66" i="9"/>
  <c r="Y66" i="9" s="1"/>
  <c r="X65" i="9"/>
  <c r="Y65" i="9" s="1"/>
  <c r="X63" i="9"/>
  <c r="Y63" i="9" s="1"/>
  <c r="X62" i="9"/>
  <c r="Y62" i="9" s="1"/>
  <c r="X61" i="9"/>
  <c r="Y61" i="9" s="1"/>
  <c r="X60" i="9"/>
  <c r="Y60" i="9" s="1"/>
  <c r="X59" i="9"/>
  <c r="Y59" i="9" s="1"/>
  <c r="X57" i="9"/>
  <c r="Y57" i="9" s="1"/>
  <c r="X56" i="9"/>
  <c r="Y56" i="9" s="1"/>
  <c r="X54" i="9"/>
  <c r="Y54" i="9" s="1"/>
  <c r="X53" i="9"/>
  <c r="Y53" i="9" s="1"/>
  <c r="X52" i="9"/>
  <c r="Y52" i="9" s="1"/>
  <c r="X51" i="9"/>
  <c r="Y51" i="9" s="1"/>
  <c r="X50" i="9"/>
  <c r="Y50" i="9" s="1"/>
  <c r="X49" i="9"/>
  <c r="Y49" i="9" s="1"/>
  <c r="X48" i="9"/>
  <c r="Y48" i="9" s="1"/>
  <c r="X47" i="9"/>
  <c r="Y47" i="9" s="1"/>
  <c r="X46" i="9"/>
  <c r="Y46" i="9" s="1"/>
  <c r="X45" i="9"/>
  <c r="Y45" i="9" s="1"/>
  <c r="X44" i="9"/>
  <c r="Y44" i="9" s="1"/>
  <c r="X43" i="9"/>
  <c r="Y43" i="9" s="1"/>
  <c r="X42" i="9"/>
  <c r="Y42" i="9" s="1"/>
  <c r="X41" i="9"/>
  <c r="Y41" i="9" s="1"/>
  <c r="X40" i="9"/>
  <c r="Y40" i="9" s="1"/>
  <c r="X39" i="9"/>
  <c r="Y39" i="9" s="1"/>
  <c r="X38" i="9"/>
  <c r="Y38" i="9" s="1"/>
  <c r="X32" i="9"/>
  <c r="Y32" i="9" s="1"/>
  <c r="X31" i="9"/>
  <c r="Y31" i="9" s="1"/>
  <c r="X30" i="9"/>
  <c r="Y30" i="9" s="1"/>
  <c r="X29" i="9"/>
  <c r="Y29" i="9" s="1"/>
  <c r="X26" i="9"/>
  <c r="Y26" i="9" s="1"/>
  <c r="X25" i="9"/>
  <c r="Y25" i="9" s="1"/>
  <c r="X24" i="9"/>
  <c r="Y24" i="9" s="1"/>
  <c r="X23" i="9"/>
  <c r="Y23" i="9" s="1"/>
  <c r="X22" i="9"/>
  <c r="Y22" i="9" s="1"/>
  <c r="X21" i="9"/>
  <c r="Y21" i="9" s="1"/>
  <c r="X20" i="9"/>
  <c r="Y20" i="9" s="1"/>
  <c r="X19" i="9"/>
  <c r="Y19" i="9" s="1"/>
  <c r="X18" i="9"/>
  <c r="Y18" i="9" s="1"/>
  <c r="X17" i="9"/>
  <c r="Y17" i="9" s="1"/>
  <c r="X16" i="9"/>
  <c r="Y16" i="9" s="1"/>
  <c r="X15" i="9"/>
  <c r="Y15" i="9" s="1"/>
  <c r="X14" i="9"/>
  <c r="Y14" i="9" s="1"/>
  <c r="X13" i="9"/>
  <c r="Y13" i="9" s="1"/>
  <c r="X12" i="9"/>
  <c r="Y12" i="9" s="1"/>
  <c r="X10" i="9"/>
  <c r="Y10" i="9" s="1"/>
  <c r="X9" i="9"/>
  <c r="Y9" i="9" s="1"/>
  <c r="X8" i="9"/>
  <c r="Y8" i="9" s="1"/>
  <c r="X7" i="9"/>
  <c r="Y7" i="9" s="1"/>
  <c r="X6" i="9"/>
  <c r="Y6" i="9" s="1"/>
  <c r="AB679" i="4" l="1"/>
  <c r="AC679" i="4" s="1"/>
  <c r="AF679" i="4" s="1"/>
  <c r="AB678" i="4"/>
  <c r="AC678" i="4" s="1"/>
  <c r="AF678" i="4" s="1"/>
  <c r="AB677" i="4"/>
  <c r="AC677" i="4" s="1"/>
  <c r="AF677" i="4" s="1"/>
  <c r="AB676" i="4"/>
  <c r="AC676" i="4" s="1"/>
  <c r="AF676" i="4" s="1"/>
  <c r="AB675" i="4"/>
  <c r="AC675" i="4" s="1"/>
  <c r="AF675" i="4" s="1"/>
  <c r="AB674" i="4"/>
  <c r="AC674" i="4" s="1"/>
  <c r="AF674" i="4" s="1"/>
  <c r="AB673" i="4"/>
  <c r="AC673" i="4" s="1"/>
  <c r="AF673" i="4" s="1"/>
  <c r="AB672" i="4"/>
  <c r="AC672" i="4" s="1"/>
  <c r="AF672" i="4" s="1"/>
  <c r="AB671" i="4"/>
  <c r="AC671" i="4" s="1"/>
  <c r="AF671" i="4" s="1"/>
  <c r="AB670" i="4"/>
  <c r="AC670" i="4" s="1"/>
  <c r="AF670" i="4" s="1"/>
  <c r="AB669" i="4"/>
  <c r="AC669" i="4" s="1"/>
  <c r="AF669" i="4" s="1"/>
  <c r="AB668" i="4"/>
  <c r="AC668" i="4" s="1"/>
  <c r="AF668" i="4" s="1"/>
  <c r="AB667" i="4"/>
  <c r="AC667" i="4" s="1"/>
  <c r="AF667" i="4" s="1"/>
  <c r="AB666" i="4"/>
  <c r="AC666" i="4" s="1"/>
  <c r="AF666" i="4" s="1"/>
  <c r="AB660" i="4"/>
  <c r="AC660" i="4" s="1"/>
  <c r="AB659" i="4"/>
  <c r="AC659" i="4" s="1"/>
  <c r="AF659" i="4" s="1"/>
  <c r="AB658" i="4"/>
  <c r="AC658" i="4" s="1"/>
  <c r="AF658" i="4" s="1"/>
  <c r="AB657" i="4"/>
  <c r="AC657" i="4" s="1"/>
  <c r="AF657" i="4" s="1"/>
  <c r="AB656" i="4"/>
  <c r="AC656" i="4" s="1"/>
  <c r="AF656" i="4" s="1"/>
  <c r="AB655" i="4"/>
  <c r="AC655" i="4" s="1"/>
  <c r="AF655" i="4" s="1"/>
  <c r="AB654" i="4"/>
  <c r="AC654" i="4" s="1"/>
  <c r="AF654" i="4" s="1"/>
  <c r="AB653" i="4"/>
  <c r="AC653" i="4" s="1"/>
  <c r="AF653" i="4" s="1"/>
  <c r="AB652" i="4"/>
  <c r="AC652" i="4" s="1"/>
  <c r="AF652" i="4" s="1"/>
  <c r="AB651" i="4"/>
  <c r="AC651" i="4" s="1"/>
  <c r="AF651" i="4" s="1"/>
  <c r="AB650" i="4"/>
  <c r="AC650" i="4" s="1"/>
  <c r="AF650" i="4" s="1"/>
  <c r="AB649" i="4"/>
  <c r="AC649" i="4" s="1"/>
  <c r="AF649" i="4" s="1"/>
  <c r="AB648" i="4"/>
  <c r="AC648" i="4" s="1"/>
  <c r="AF648" i="4" s="1"/>
  <c r="AB647" i="4"/>
  <c r="AC647" i="4" s="1"/>
  <c r="AF647" i="4" s="1"/>
  <c r="AB646" i="4"/>
  <c r="AC646" i="4" s="1"/>
  <c r="AF646" i="4" s="1"/>
  <c r="AB645" i="4"/>
  <c r="AC645" i="4" s="1"/>
  <c r="AF645" i="4" s="1"/>
  <c r="AB644" i="4"/>
  <c r="AC644" i="4" s="1"/>
  <c r="AF644" i="4" s="1"/>
  <c r="AB643" i="4"/>
  <c r="AC643" i="4" s="1"/>
  <c r="AF643" i="4" s="1"/>
  <c r="AB637" i="4"/>
  <c r="AC637" i="4" s="1"/>
  <c r="AB636" i="4"/>
  <c r="AC636" i="4" s="1"/>
  <c r="AF636" i="4" s="1"/>
  <c r="AB630" i="4"/>
  <c r="AC630" i="4" s="1"/>
  <c r="AF630" i="4" s="1"/>
  <c r="AB629" i="4"/>
  <c r="AC629" i="4" s="1"/>
  <c r="AF629" i="4" s="1"/>
  <c r="AB628" i="4"/>
  <c r="AC628" i="4" s="1"/>
  <c r="AF628" i="4" s="1"/>
  <c r="AB627" i="4"/>
  <c r="AC627" i="4" s="1"/>
  <c r="AF627" i="4" s="1"/>
  <c r="AB626" i="4"/>
  <c r="AC626" i="4" s="1"/>
  <c r="AF626" i="4" s="1"/>
  <c r="AB625" i="4"/>
  <c r="AC625" i="4" s="1"/>
  <c r="AF625" i="4" s="1"/>
  <c r="AB624" i="4"/>
  <c r="AC624" i="4" s="1"/>
  <c r="AF624" i="4" s="1"/>
  <c r="AB623" i="4"/>
  <c r="AC623" i="4" s="1"/>
  <c r="AF623" i="4" s="1"/>
  <c r="AB622" i="4"/>
  <c r="AC622" i="4" s="1"/>
  <c r="AF622" i="4" s="1"/>
  <c r="AB621" i="4"/>
  <c r="AC621" i="4" s="1"/>
  <c r="AF621" i="4" s="1"/>
  <c r="AB620" i="4"/>
  <c r="AC620" i="4" s="1"/>
  <c r="AF620" i="4" s="1"/>
  <c r="AB619" i="4"/>
  <c r="AC619" i="4" s="1"/>
  <c r="AF619" i="4" s="1"/>
  <c r="AB618" i="4"/>
  <c r="AC618" i="4" s="1"/>
  <c r="AF618" i="4" s="1"/>
  <c r="AB617" i="4"/>
  <c r="AC617" i="4" s="1"/>
  <c r="AF617" i="4" s="1"/>
  <c r="AB616" i="4"/>
  <c r="AC616" i="4" s="1"/>
  <c r="AF616" i="4" s="1"/>
  <c r="AB615" i="4"/>
  <c r="AC615" i="4" s="1"/>
  <c r="AF615" i="4" s="1"/>
  <c r="AB614" i="4"/>
  <c r="AC614" i="4" s="1"/>
  <c r="AF614" i="4" s="1"/>
  <c r="AB613" i="4"/>
  <c r="AC613" i="4" s="1"/>
  <c r="AF613" i="4" s="1"/>
  <c r="AB612" i="4"/>
  <c r="AC612" i="4" s="1"/>
  <c r="AF612" i="4" s="1"/>
  <c r="AC611" i="4"/>
  <c r="AF611" i="4" s="1"/>
  <c r="AB610" i="4"/>
  <c r="AC610" i="4" s="1"/>
  <c r="AF610" i="4" s="1"/>
  <c r="AC604" i="4"/>
  <c r="AB603" i="4"/>
  <c r="AC603" i="4" s="1"/>
  <c r="AF603" i="4" s="1"/>
  <c r="AB602" i="4"/>
  <c r="AC602" i="4" s="1"/>
  <c r="AF602" i="4" s="1"/>
  <c r="AB601" i="4"/>
  <c r="AC601" i="4" s="1"/>
  <c r="AF601" i="4" s="1"/>
  <c r="AB600" i="4"/>
  <c r="AC600" i="4" s="1"/>
  <c r="AF600" i="4" s="1"/>
  <c r="AB599" i="4"/>
  <c r="AC599" i="4" s="1"/>
  <c r="AF599" i="4" s="1"/>
  <c r="AB598" i="4"/>
  <c r="AC598" i="4" s="1"/>
  <c r="AF598" i="4" s="1"/>
  <c r="AB597" i="4"/>
  <c r="AC597" i="4" s="1"/>
  <c r="AF597" i="4" s="1"/>
  <c r="AB596" i="4"/>
  <c r="AC596" i="4" s="1"/>
  <c r="AF596" i="4" s="1"/>
  <c r="AB595" i="4"/>
  <c r="AC595" i="4" s="1"/>
  <c r="AF595" i="4" s="1"/>
  <c r="AB594" i="4"/>
  <c r="AC594" i="4" s="1"/>
  <c r="AF594" i="4" s="1"/>
  <c r="AB593" i="4"/>
  <c r="AC593" i="4" s="1"/>
  <c r="AF593" i="4" s="1"/>
  <c r="AC587" i="4"/>
  <c r="AB586" i="4"/>
  <c r="AC586" i="4" s="1"/>
  <c r="AF586" i="4" s="1"/>
  <c r="AB551" i="4"/>
  <c r="AC551" i="4" s="1"/>
  <c r="AB550" i="4"/>
  <c r="AC550" i="4" s="1"/>
  <c r="AB549" i="4"/>
  <c r="AC549" i="4" s="1"/>
  <c r="AC548" i="4"/>
  <c r="AC547" i="4"/>
  <c r="AB546" i="4"/>
  <c r="AC546" i="4" s="1"/>
  <c r="AB545" i="4"/>
  <c r="AC545" i="4" s="1"/>
  <c r="AB544" i="4"/>
  <c r="AC544" i="4" s="1"/>
  <c r="AB543" i="4"/>
  <c r="AC543" i="4" s="1"/>
  <c r="AB542" i="4"/>
  <c r="AC542" i="4" s="1"/>
  <c r="AB541" i="4"/>
  <c r="AC541" i="4" s="1"/>
  <c r="AB540" i="4"/>
  <c r="AC540" i="4" s="1"/>
  <c r="AB539" i="4"/>
  <c r="AC539" i="4" s="1"/>
  <c r="AB538" i="4"/>
  <c r="AC538" i="4" s="1"/>
  <c r="AB536" i="4"/>
  <c r="AC536" i="4" s="1"/>
  <c r="AB535" i="4"/>
  <c r="AC535" i="4" s="1"/>
  <c r="AB534" i="4"/>
  <c r="AC534" i="4" s="1"/>
  <c r="AB533" i="4"/>
  <c r="AC533" i="4" s="1"/>
  <c r="AB532" i="4"/>
  <c r="AC532" i="4" s="1"/>
  <c r="AB531" i="4"/>
  <c r="AC531" i="4" s="1"/>
  <c r="AB530" i="4"/>
  <c r="AC530" i="4" s="1"/>
  <c r="AB529" i="4"/>
  <c r="AC529" i="4" s="1"/>
  <c r="AB528" i="4"/>
  <c r="AC528" i="4" s="1"/>
  <c r="AB527" i="4"/>
  <c r="AC527" i="4" s="1"/>
  <c r="AB526" i="4"/>
  <c r="AC526" i="4" s="1"/>
  <c r="AB525" i="4"/>
  <c r="AC525" i="4" s="1"/>
  <c r="AB524" i="4"/>
  <c r="AC524" i="4" s="1"/>
  <c r="AB523" i="4"/>
  <c r="AC523" i="4" s="1"/>
  <c r="AB522" i="4"/>
  <c r="AC522" i="4" s="1"/>
  <c r="AB521" i="4"/>
  <c r="AC521" i="4" s="1"/>
  <c r="AB520" i="4"/>
  <c r="AC520" i="4" s="1"/>
  <c r="AB519" i="4"/>
  <c r="AC519" i="4" s="1"/>
  <c r="AB501" i="4"/>
  <c r="AC501" i="4" s="1"/>
  <c r="AC500" i="4"/>
  <c r="AC499" i="4"/>
  <c r="AB498" i="4"/>
  <c r="AC498" i="4" s="1"/>
  <c r="AB497" i="4"/>
  <c r="AC497" i="4" s="1"/>
  <c r="AB496" i="4"/>
  <c r="AC496" i="4" s="1"/>
  <c r="AB495" i="4"/>
  <c r="AC495" i="4" s="1"/>
  <c r="AB494" i="4"/>
  <c r="AC494" i="4" s="1"/>
  <c r="AB493" i="4"/>
  <c r="AC493" i="4" s="1"/>
  <c r="AB492" i="4"/>
  <c r="AC492" i="4" s="1"/>
  <c r="AB491" i="4"/>
  <c r="AC491" i="4" s="1"/>
  <c r="AB490" i="4"/>
  <c r="AC490" i="4" s="1"/>
  <c r="AB488" i="4"/>
  <c r="AC488" i="4" s="1"/>
  <c r="AB487" i="4"/>
  <c r="AC487" i="4" s="1"/>
  <c r="AB486" i="4"/>
  <c r="AC486" i="4" s="1"/>
  <c r="AB485" i="4"/>
  <c r="AC485" i="4" s="1"/>
  <c r="AB484" i="4"/>
  <c r="AC484" i="4" s="1"/>
  <c r="AB483" i="4"/>
  <c r="AC483" i="4" s="1"/>
  <c r="AB482" i="4"/>
  <c r="AC482" i="4" s="1"/>
  <c r="AB481" i="4"/>
  <c r="AC481" i="4" s="1"/>
  <c r="AB480" i="4"/>
  <c r="AC480" i="4" s="1"/>
  <c r="AB479" i="4"/>
  <c r="AC479" i="4" s="1"/>
  <c r="AB478" i="4"/>
  <c r="AC478" i="4" s="1"/>
  <c r="AB477" i="4"/>
  <c r="AC477" i="4" s="1"/>
  <c r="AB476" i="4"/>
  <c r="AC476" i="4" s="1"/>
  <c r="AB475" i="4"/>
  <c r="AC475" i="4" s="1"/>
  <c r="AB474" i="4"/>
  <c r="AC474" i="4" s="1"/>
  <c r="AB473" i="4"/>
  <c r="AC473" i="4" s="1"/>
  <c r="AB472" i="4"/>
  <c r="AC472" i="4" s="1"/>
  <c r="AC471" i="4"/>
  <c r="AB470" i="4"/>
  <c r="AC470" i="4" s="1"/>
  <c r="AB469" i="4"/>
  <c r="AC469" i="4" s="1"/>
  <c r="AB468" i="4"/>
  <c r="AC468" i="4" s="1"/>
  <c r="AC467" i="4"/>
  <c r="AC466" i="4"/>
  <c r="AB465" i="4"/>
  <c r="AC465" i="4" s="1"/>
  <c r="AB464" i="4"/>
  <c r="AC464" i="4" s="1"/>
  <c r="AB463" i="4"/>
  <c r="AC463" i="4" s="1"/>
  <c r="AB462" i="4"/>
  <c r="AC462" i="4" s="1"/>
  <c r="AB461" i="4"/>
  <c r="AC461" i="4" s="1"/>
  <c r="AB460" i="4"/>
  <c r="AC460" i="4" s="1"/>
  <c r="AB459" i="4"/>
  <c r="AC459" i="4" s="1"/>
  <c r="AB458" i="4"/>
  <c r="AC458" i="4" s="1"/>
  <c r="AB457" i="4"/>
  <c r="AC457" i="4" s="1"/>
  <c r="AB456" i="4"/>
  <c r="AC456" i="4" s="1"/>
  <c r="AB455" i="4"/>
  <c r="AC455" i="4" s="1"/>
  <c r="AB454" i="4"/>
  <c r="AC454" i="4" s="1"/>
  <c r="AB453" i="4"/>
  <c r="AC453" i="4" s="1"/>
  <c r="AB452" i="4"/>
  <c r="AC452" i="4" s="1"/>
  <c r="AB451" i="4"/>
  <c r="AC451" i="4" s="1"/>
  <c r="AB450" i="4"/>
  <c r="AC450" i="4" s="1"/>
  <c r="AB449" i="4"/>
  <c r="AC449" i="4" s="1"/>
  <c r="AB448" i="4"/>
  <c r="AC448" i="4" s="1"/>
  <c r="AB447" i="4"/>
  <c r="AC447" i="4" s="1"/>
  <c r="AC446" i="4"/>
  <c r="AC445" i="4"/>
  <c r="AB444" i="4"/>
  <c r="AC444" i="4" s="1"/>
  <c r="AB443" i="4"/>
  <c r="AC443" i="4" s="1"/>
  <c r="AB442" i="4"/>
  <c r="AC442" i="4" s="1"/>
  <c r="AB441" i="4"/>
  <c r="AC441" i="4" s="1"/>
  <c r="AB440" i="4"/>
  <c r="AC440" i="4" s="1"/>
  <c r="AB439" i="4"/>
  <c r="AC439" i="4" s="1"/>
  <c r="AB438" i="4"/>
  <c r="AC438" i="4" s="1"/>
  <c r="AB437" i="4"/>
  <c r="AC437" i="4" s="1"/>
  <c r="AB436" i="4"/>
  <c r="AC436" i="4" s="1"/>
  <c r="AB435" i="4"/>
  <c r="AC435" i="4" s="1"/>
  <c r="AB434" i="4"/>
  <c r="AC434" i="4" s="1"/>
  <c r="AB433" i="4"/>
  <c r="AC433" i="4" s="1"/>
  <c r="AB432" i="4"/>
  <c r="AC432" i="4" s="1"/>
  <c r="AB431" i="4"/>
  <c r="AC431" i="4" s="1"/>
  <c r="AB430" i="4"/>
  <c r="AC430" i="4" s="1"/>
  <c r="AC412" i="4"/>
  <c r="AC411" i="4"/>
  <c r="AB410" i="4"/>
  <c r="AC410" i="4" s="1"/>
  <c r="AB409" i="4"/>
  <c r="AC409" i="4" s="1"/>
  <c r="AB408" i="4"/>
  <c r="AC408" i="4" s="1"/>
  <c r="AB407" i="4"/>
  <c r="AC407" i="4" s="1"/>
  <c r="AB406" i="4"/>
  <c r="AC406" i="4" s="1"/>
  <c r="AB405" i="4"/>
  <c r="AC405" i="4" s="1"/>
  <c r="AB404" i="4"/>
  <c r="AC404" i="4" s="1"/>
  <c r="AB403" i="4"/>
  <c r="AC403" i="4" s="1"/>
  <c r="AB402" i="4"/>
  <c r="AC402" i="4" s="1"/>
  <c r="AB400" i="4"/>
  <c r="AC400" i="4" s="1"/>
  <c r="AC399" i="4"/>
  <c r="AB398" i="4"/>
  <c r="AC398" i="4" s="1"/>
  <c r="AB380" i="4"/>
  <c r="AC380" i="4" s="1"/>
  <c r="AB379" i="4"/>
  <c r="AC379" i="4" s="1"/>
  <c r="AB378" i="4"/>
  <c r="AC378" i="4" s="1"/>
  <c r="AC377" i="4"/>
  <c r="AC376" i="4"/>
  <c r="AB375" i="4"/>
  <c r="AC375" i="4" s="1"/>
  <c r="AB374" i="4"/>
  <c r="AC374" i="4" s="1"/>
  <c r="AB373" i="4"/>
  <c r="AC373" i="4" s="1"/>
  <c r="AB372" i="4"/>
  <c r="AC372" i="4" s="1"/>
  <c r="AB371" i="4"/>
  <c r="AC371" i="4" s="1"/>
  <c r="AB370" i="4"/>
  <c r="AC370" i="4" s="1"/>
  <c r="AB368" i="4"/>
  <c r="AC368" i="4" s="1"/>
  <c r="AB367" i="4"/>
  <c r="AC367" i="4" s="1"/>
  <c r="AB366" i="4"/>
  <c r="AC366" i="4" s="1"/>
  <c r="AC365" i="4"/>
  <c r="AC364" i="4"/>
  <c r="AB363" i="4"/>
  <c r="AC363" i="4" s="1"/>
  <c r="AB362" i="4"/>
  <c r="AC362" i="4" s="1"/>
  <c r="AB361" i="4"/>
  <c r="AC361" i="4" s="1"/>
  <c r="AB360" i="4"/>
  <c r="AC360" i="4" s="1"/>
  <c r="AB359" i="4"/>
  <c r="AC359" i="4" s="1"/>
  <c r="AB358" i="4"/>
  <c r="AC358" i="4" s="1"/>
  <c r="AB357" i="4"/>
  <c r="AC357" i="4" s="1"/>
  <c r="AB355" i="4"/>
  <c r="AC355" i="4" s="1"/>
  <c r="AB354" i="4"/>
  <c r="AC354" i="4" s="1"/>
  <c r="AB353" i="4"/>
  <c r="AC353" i="4" s="1"/>
  <c r="AB352" i="4"/>
  <c r="AC352" i="4" s="1"/>
  <c r="AB351" i="4"/>
  <c r="AC351" i="4" s="1"/>
  <c r="AB350" i="4"/>
  <c r="AC350" i="4" s="1"/>
  <c r="AC349" i="4"/>
  <c r="AC348" i="4"/>
  <c r="AB347" i="4"/>
  <c r="AC347" i="4" s="1"/>
  <c r="AB346" i="4"/>
  <c r="AC346" i="4" s="1"/>
  <c r="AB345" i="4"/>
  <c r="AC345" i="4" s="1"/>
  <c r="AB344" i="4"/>
  <c r="AC344" i="4" s="1"/>
  <c r="AB343" i="4"/>
  <c r="AC343" i="4" s="1"/>
  <c r="AB342" i="4"/>
  <c r="AC342" i="4" s="1"/>
  <c r="AB341" i="4"/>
  <c r="AB340" i="4"/>
  <c r="AC340" i="4" s="1"/>
  <c r="AC321" i="4"/>
  <c r="AC320" i="4"/>
  <c r="AB319" i="4"/>
  <c r="AC319" i="4" s="1"/>
  <c r="AB318" i="4"/>
  <c r="AC318" i="4" s="1"/>
  <c r="AB317" i="4"/>
  <c r="AC317" i="4" s="1"/>
  <c r="AB316" i="4"/>
  <c r="AC316" i="4" s="1"/>
  <c r="AB315" i="4"/>
  <c r="AC315" i="4" s="1"/>
  <c r="AB314" i="4"/>
  <c r="AC314" i="4" s="1"/>
  <c r="AB313" i="4"/>
  <c r="AC313" i="4" s="1"/>
  <c r="AC312" i="4"/>
  <c r="AB311" i="4"/>
  <c r="AC311" i="4" s="1"/>
  <c r="AB310" i="4"/>
  <c r="AC310" i="4" s="1"/>
  <c r="AB309" i="4"/>
  <c r="AC309" i="4" s="1"/>
  <c r="AB308" i="4"/>
  <c r="AC308" i="4" s="1"/>
  <c r="AB307" i="4"/>
  <c r="AC307" i="4" s="1"/>
  <c r="AB306" i="4"/>
  <c r="AC306" i="4" s="1"/>
  <c r="AB305" i="4"/>
  <c r="AC305" i="4" s="1"/>
  <c r="AB304" i="4"/>
  <c r="AC304" i="4" s="1"/>
  <c r="AB303" i="4"/>
  <c r="AC303" i="4" s="1"/>
  <c r="AB302" i="4"/>
  <c r="AC302" i="4" s="1"/>
  <c r="AB301" i="4"/>
  <c r="AC301" i="4" s="1"/>
  <c r="AB300" i="4"/>
  <c r="AC300" i="4" s="1"/>
  <c r="AB299" i="4"/>
  <c r="AC299" i="4" s="1"/>
  <c r="AB298" i="4"/>
  <c r="AC298" i="4" s="1"/>
  <c r="AB280" i="4"/>
  <c r="AC280" i="4" s="1"/>
  <c r="AB279" i="4"/>
  <c r="AC279" i="4" s="1"/>
  <c r="AB278" i="4"/>
  <c r="AC278" i="4" s="1"/>
  <c r="AB277" i="4"/>
  <c r="AC277" i="4" s="1"/>
  <c r="AB276" i="4"/>
  <c r="AC276" i="4" s="1"/>
  <c r="AC275" i="4"/>
  <c r="AC274" i="4"/>
  <c r="AB253" i="4"/>
  <c r="AC253" i="4" s="1"/>
  <c r="AB252" i="4"/>
  <c r="AC252" i="4" s="1"/>
  <c r="AB251" i="4"/>
  <c r="AC251" i="4" s="1"/>
  <c r="AB250" i="4"/>
  <c r="AC250" i="4" s="1"/>
  <c r="AB249" i="4"/>
  <c r="AC249" i="4" s="1"/>
  <c r="AB248" i="4"/>
  <c r="AC248" i="4" s="1"/>
  <c r="AB247" i="4"/>
  <c r="AC247" i="4" s="1"/>
  <c r="AF247" i="4" s="1"/>
  <c r="AB245" i="4"/>
  <c r="AC245" i="4" s="1"/>
  <c r="AB244" i="4"/>
  <c r="AC244" i="4" s="1"/>
  <c r="AB243" i="4"/>
  <c r="AC243" i="4" s="1"/>
  <c r="AB242" i="4"/>
  <c r="AC242" i="4" s="1"/>
  <c r="AB241" i="4"/>
  <c r="AC241" i="4" s="1"/>
  <c r="AB240" i="4"/>
  <c r="AC240" i="4" s="1"/>
  <c r="AB239" i="4"/>
  <c r="AC239" i="4" s="1"/>
  <c r="AF239" i="4" s="1"/>
  <c r="AC236" i="4"/>
  <c r="AB235" i="4"/>
  <c r="AC235" i="4" s="1"/>
  <c r="AB234" i="4"/>
  <c r="AC234" i="4" s="1"/>
  <c r="AB233" i="4"/>
  <c r="AC233" i="4" s="1"/>
  <c r="AB232" i="4"/>
  <c r="AC232" i="4" s="1"/>
  <c r="AB231" i="4"/>
  <c r="AC231" i="4" s="1"/>
  <c r="AB230" i="4"/>
  <c r="AC230" i="4" s="1"/>
  <c r="AB229" i="4"/>
  <c r="AC229" i="4" s="1"/>
  <c r="AB228" i="4"/>
  <c r="AC228" i="4" s="1"/>
  <c r="AF228" i="4" s="1"/>
  <c r="AC225" i="4"/>
  <c r="AB224" i="4"/>
  <c r="AC224" i="4" s="1"/>
  <c r="AB223" i="4"/>
  <c r="AC223" i="4" s="1"/>
  <c r="AB222" i="4"/>
  <c r="AC222" i="4" s="1"/>
  <c r="AB221" i="4"/>
  <c r="AC221" i="4" s="1"/>
  <c r="AB220" i="4"/>
  <c r="AC220" i="4" s="1"/>
  <c r="AB219" i="4"/>
  <c r="AC219" i="4" s="1"/>
  <c r="AB218" i="4"/>
  <c r="AC218" i="4" s="1"/>
  <c r="AB217" i="4"/>
  <c r="AC217" i="4" s="1"/>
  <c r="AF217" i="4" s="1"/>
  <c r="AB213" i="4"/>
  <c r="AC213" i="4" s="1"/>
  <c r="AB212" i="4"/>
  <c r="AC212" i="4" s="1"/>
  <c r="AB211" i="4"/>
  <c r="AC211" i="4" s="1"/>
  <c r="AB210" i="4"/>
  <c r="AC210" i="4" s="1"/>
  <c r="AB209" i="4"/>
  <c r="AC209" i="4" s="1"/>
  <c r="AB208" i="4"/>
  <c r="AC208" i="4" s="1"/>
  <c r="AB207" i="4"/>
  <c r="AC207" i="4" s="1"/>
  <c r="AB206" i="4"/>
  <c r="AC206" i="4" s="1"/>
  <c r="AB205" i="4"/>
  <c r="AC205" i="4" s="1"/>
  <c r="AF205" i="4" s="1"/>
  <c r="AB201" i="4"/>
  <c r="AC201" i="4" s="1"/>
  <c r="AB200" i="4"/>
  <c r="AC200" i="4" s="1"/>
  <c r="AB199" i="4"/>
  <c r="AC199" i="4" s="1"/>
  <c r="AB198" i="4"/>
  <c r="AC198" i="4" s="1"/>
  <c r="AB197" i="4"/>
  <c r="AC197" i="4" s="1"/>
  <c r="AB196" i="4"/>
  <c r="AC196" i="4" s="1"/>
  <c r="AB195" i="4"/>
  <c r="AC195" i="4" s="1"/>
  <c r="AB194" i="4"/>
  <c r="AC194" i="4" s="1"/>
  <c r="AC193" i="4"/>
  <c r="AB192" i="4"/>
  <c r="AC192" i="4" s="1"/>
  <c r="AF192" i="4" s="1"/>
  <c r="AB171" i="4"/>
  <c r="AC171" i="4" s="1"/>
  <c r="AB170" i="4"/>
  <c r="AC170" i="4" s="1"/>
  <c r="AB169" i="4"/>
  <c r="AC169" i="4" s="1"/>
  <c r="AB168" i="4"/>
  <c r="AC168" i="4" s="1"/>
  <c r="AB167" i="4"/>
  <c r="AC167" i="4" s="1"/>
  <c r="AB166" i="4"/>
  <c r="AC166" i="4" s="1"/>
  <c r="AB165" i="4"/>
  <c r="AC165" i="4" s="1"/>
  <c r="AB164" i="4"/>
  <c r="AC164" i="4" s="1"/>
  <c r="AB163" i="4"/>
  <c r="AC163" i="4" s="1"/>
  <c r="AE162" i="4"/>
  <c r="AB162" i="4"/>
  <c r="AC162" i="4" s="1"/>
  <c r="AB160" i="4"/>
  <c r="AC160" i="4" s="1"/>
  <c r="AB159" i="4"/>
  <c r="AC159" i="4" s="1"/>
  <c r="AB158" i="4"/>
  <c r="AC158" i="4" s="1"/>
  <c r="AB157" i="4"/>
  <c r="AC157" i="4" s="1"/>
  <c r="AB156" i="4"/>
  <c r="AC156" i="4" s="1"/>
  <c r="AB155" i="4"/>
  <c r="AC155" i="4" s="1"/>
  <c r="AB154" i="4"/>
  <c r="AC154" i="4" s="1"/>
  <c r="AB153" i="4"/>
  <c r="AC153" i="4" s="1"/>
  <c r="AB152" i="4"/>
  <c r="AC152" i="4" s="1"/>
  <c r="AE151" i="4"/>
  <c r="AB151" i="4"/>
  <c r="AC151" i="4" s="1"/>
  <c r="AB149" i="4"/>
  <c r="AC149" i="4" s="1"/>
  <c r="AB148" i="4"/>
  <c r="AC148" i="4" s="1"/>
  <c r="AB147" i="4"/>
  <c r="AC147" i="4" s="1"/>
  <c r="AB146" i="4"/>
  <c r="AC146" i="4" s="1"/>
  <c r="AB145" i="4"/>
  <c r="AC145" i="4" s="1"/>
  <c r="AB144" i="4"/>
  <c r="AC144" i="4" s="1"/>
  <c r="AB143" i="4"/>
  <c r="AC143" i="4" s="1"/>
  <c r="AB142" i="4"/>
  <c r="AC142" i="4" s="1"/>
  <c r="AB141" i="4"/>
  <c r="AC141" i="4" s="1"/>
  <c r="AB140" i="4"/>
  <c r="AC140" i="4" s="1"/>
  <c r="AB139" i="4"/>
  <c r="AC139" i="4" s="1"/>
  <c r="AB138" i="4"/>
  <c r="AC138" i="4" s="1"/>
  <c r="AB137" i="4"/>
  <c r="AC137" i="4" s="1"/>
  <c r="AE136" i="4"/>
  <c r="AB136" i="4"/>
  <c r="AC136" i="4" s="1"/>
  <c r="AB134" i="4"/>
  <c r="AC134" i="4" s="1"/>
  <c r="AB133" i="4"/>
  <c r="AC133" i="4" s="1"/>
  <c r="AB132" i="4"/>
  <c r="AC132" i="4" s="1"/>
  <c r="AB131" i="4"/>
  <c r="AC131" i="4" s="1"/>
  <c r="AB130" i="4"/>
  <c r="AC130" i="4" s="1"/>
  <c r="AB129" i="4"/>
  <c r="AC129" i="4" s="1"/>
  <c r="AB128" i="4"/>
  <c r="AC128" i="4" s="1"/>
  <c r="AB127" i="4"/>
  <c r="AC127" i="4" s="1"/>
  <c r="AB126" i="4"/>
  <c r="AC126" i="4" s="1"/>
  <c r="AB125" i="4"/>
  <c r="AC125" i="4" s="1"/>
  <c r="AB124" i="4"/>
  <c r="AC124" i="4" s="1"/>
  <c r="AB123" i="4"/>
  <c r="AC123" i="4" s="1"/>
  <c r="AB122" i="4"/>
  <c r="AC122" i="4" s="1"/>
  <c r="AC121" i="4"/>
  <c r="AB120" i="4"/>
  <c r="AC120" i="4" s="1"/>
  <c r="AF120" i="4" s="1"/>
  <c r="AB116" i="4"/>
  <c r="AC116" i="4" s="1"/>
  <c r="AB115" i="4"/>
  <c r="AC115" i="4" s="1"/>
  <c r="AB114" i="4"/>
  <c r="AC114" i="4" s="1"/>
  <c r="AB113" i="4"/>
  <c r="AC113" i="4" s="1"/>
  <c r="AB109" i="4"/>
  <c r="AC109" i="4" s="1"/>
  <c r="AB108" i="4"/>
  <c r="AC108" i="4" s="1"/>
  <c r="AB107" i="4"/>
  <c r="AC107" i="4" s="1"/>
  <c r="AB106" i="4"/>
  <c r="AC106" i="4" s="1"/>
  <c r="AB102" i="4"/>
  <c r="AC102" i="4" s="1"/>
  <c r="AB101" i="4"/>
  <c r="AC101" i="4" s="1"/>
  <c r="AB100" i="4"/>
  <c r="AC100" i="4" s="1"/>
  <c r="AB99" i="4"/>
  <c r="AC99" i="4" s="1"/>
  <c r="AB98" i="4"/>
  <c r="AC98" i="4" s="1"/>
  <c r="AB75" i="4"/>
  <c r="AC75" i="4" s="1"/>
  <c r="AB74" i="4"/>
  <c r="AC74" i="4" s="1"/>
  <c r="AB73" i="4"/>
  <c r="AC73" i="4" s="1"/>
  <c r="AB72" i="4"/>
  <c r="AC72" i="4" s="1"/>
  <c r="AC71" i="4"/>
  <c r="AB70" i="4"/>
  <c r="AC70" i="4" s="1"/>
  <c r="AB66" i="4"/>
  <c r="AC66" i="4" s="1"/>
  <c r="AB65" i="4"/>
  <c r="AC65" i="4" s="1"/>
  <c r="AB64" i="4"/>
  <c r="AC64" i="4" s="1"/>
  <c r="AB63" i="4"/>
  <c r="AC63" i="4" s="1"/>
  <c r="AB59" i="4"/>
  <c r="AC59" i="4" s="1"/>
  <c r="AB58" i="4"/>
  <c r="AC58" i="4" s="1"/>
  <c r="AB57" i="4"/>
  <c r="AC57" i="4" s="1"/>
  <c r="AB56" i="4"/>
  <c r="AC56" i="4" s="1"/>
  <c r="AB52" i="4"/>
  <c r="AC52" i="4" s="1"/>
  <c r="AB51" i="4"/>
  <c r="AC51" i="4" s="1"/>
  <c r="AB50" i="4"/>
  <c r="AC50" i="4" s="1"/>
  <c r="AB49" i="4"/>
  <c r="AC49" i="4" s="1"/>
  <c r="AB45" i="4"/>
  <c r="AC45" i="4" s="1"/>
  <c r="AB44" i="4"/>
  <c r="AC44" i="4" s="1"/>
  <c r="AB43" i="4"/>
  <c r="AC43" i="4" s="1"/>
  <c r="AB42" i="4"/>
  <c r="AC42" i="4" s="1"/>
  <c r="AB41" i="4"/>
  <c r="AC41" i="4" s="1"/>
  <c r="AB37" i="4"/>
  <c r="AC37" i="4" s="1"/>
  <c r="AB36" i="4"/>
  <c r="AC36" i="4" s="1"/>
  <c r="AB35" i="4"/>
  <c r="AC35" i="4" s="1"/>
  <c r="AB34" i="4"/>
  <c r="AC34" i="4" s="1"/>
  <c r="AB33" i="4"/>
  <c r="AC33" i="4" s="1"/>
  <c r="AB10" i="4"/>
  <c r="AC10" i="4" s="1"/>
  <c r="AB9" i="4"/>
  <c r="AC9" i="4" s="1"/>
  <c r="AB8" i="4"/>
  <c r="AC8" i="4" s="1"/>
  <c r="AB7" i="4"/>
  <c r="AC7" i="4" s="1"/>
  <c r="AB6" i="4"/>
  <c r="AC6" i="4" s="1"/>
  <c r="AB5" i="4"/>
  <c r="AC5" i="4" s="1"/>
  <c r="AF151" i="4" l="1"/>
  <c r="AF162" i="4"/>
  <c r="AF136" i="4"/>
  <c r="H58" i="10" l="1"/>
  <c r="G262" i="9"/>
  <c r="H262" i="9" s="1"/>
  <c r="G144" i="9"/>
  <c r="G146" i="9"/>
  <c r="G148" i="9"/>
  <c r="G142" i="9"/>
  <c r="G342" i="9"/>
  <c r="H342" i="9" s="1"/>
  <c r="G173" i="9" l="1"/>
  <c r="H173" i="9" s="1"/>
  <c r="G172" i="9"/>
  <c r="H172" i="9" s="1"/>
  <c r="G171" i="9"/>
  <c r="H171" i="9" s="1"/>
  <c r="G170" i="9"/>
  <c r="H170" i="9" s="1"/>
  <c r="G253" i="4"/>
  <c r="H253" i="4" s="1"/>
  <c r="G252" i="4"/>
  <c r="H252" i="4" s="1"/>
  <c r="G251" i="4"/>
  <c r="H251" i="4" s="1"/>
  <c r="G250" i="4"/>
  <c r="H250" i="4" s="1"/>
  <c r="G249" i="4"/>
  <c r="H249" i="4" s="1"/>
  <c r="G248" i="4"/>
  <c r="H248" i="4" s="1"/>
  <c r="H236" i="4"/>
  <c r="G235" i="4"/>
  <c r="H235" i="4" s="1"/>
  <c r="G234" i="4"/>
  <c r="H234" i="4" s="1"/>
  <c r="G233" i="4"/>
  <c r="H233" i="4" s="1"/>
  <c r="G232" i="4"/>
  <c r="H232" i="4" s="1"/>
  <c r="G231" i="4"/>
  <c r="H231" i="4" s="1"/>
  <c r="G230" i="4"/>
  <c r="H230" i="4" s="1"/>
  <c r="G229" i="4"/>
  <c r="H229" i="4" s="1"/>
  <c r="G213" i="4"/>
  <c r="H213" i="4" s="1"/>
  <c r="G212" i="4"/>
  <c r="H212" i="4" s="1"/>
  <c r="G211" i="4"/>
  <c r="H211" i="4" s="1"/>
  <c r="G210" i="4"/>
  <c r="H210" i="4" s="1"/>
  <c r="G209" i="4"/>
  <c r="H209" i="4" s="1"/>
  <c r="G208" i="4"/>
  <c r="H208" i="4" s="1"/>
  <c r="G207" i="4"/>
  <c r="H207" i="4" s="1"/>
  <c r="G206" i="4"/>
  <c r="H206" i="4" s="1"/>
  <c r="H193" i="4"/>
  <c r="G171" i="4"/>
  <c r="H171" i="4" s="1"/>
  <c r="G170" i="4"/>
  <c r="H170" i="4" s="1"/>
  <c r="G169" i="4"/>
  <c r="H169" i="4" s="1"/>
  <c r="G168" i="4"/>
  <c r="H168" i="4" s="1"/>
  <c r="G167" i="4"/>
  <c r="H167" i="4" s="1"/>
  <c r="G166" i="4"/>
  <c r="H166" i="4" s="1"/>
  <c r="G165" i="4"/>
  <c r="H165" i="4" s="1"/>
  <c r="G164" i="4"/>
  <c r="H164" i="4" s="1"/>
  <c r="G163" i="4"/>
  <c r="H163" i="4" s="1"/>
  <c r="G160" i="4"/>
  <c r="H160" i="4" s="1"/>
  <c r="G159" i="4"/>
  <c r="H159" i="4" s="1"/>
  <c r="G158" i="4"/>
  <c r="H158" i="4" s="1"/>
  <c r="G157" i="4"/>
  <c r="H157" i="4" s="1"/>
  <c r="G156" i="4"/>
  <c r="H156" i="4" s="1"/>
  <c r="G155" i="4"/>
  <c r="H155" i="4" s="1"/>
  <c r="G154" i="4"/>
  <c r="H154" i="4" s="1"/>
  <c r="G153" i="4"/>
  <c r="H153" i="4" s="1"/>
  <c r="G152" i="4"/>
  <c r="H152" i="4" s="1"/>
  <c r="G149" i="4"/>
  <c r="H149" i="4" s="1"/>
  <c r="G148" i="4"/>
  <c r="H148" i="4" s="1"/>
  <c r="G147" i="4"/>
  <c r="H147" i="4" s="1"/>
  <c r="G146" i="4"/>
  <c r="H146" i="4" s="1"/>
  <c r="G145" i="4"/>
  <c r="H145" i="4" s="1"/>
  <c r="G144" i="4"/>
  <c r="H144" i="4" s="1"/>
  <c r="G143" i="4"/>
  <c r="H143" i="4" s="1"/>
  <c r="G142" i="4"/>
  <c r="H142" i="4" s="1"/>
  <c r="G141" i="4"/>
  <c r="H141" i="4" s="1"/>
  <c r="G140" i="4"/>
  <c r="H140" i="4" s="1"/>
  <c r="G139" i="4"/>
  <c r="H139" i="4" s="1"/>
  <c r="G138" i="4"/>
  <c r="H138" i="4" s="1"/>
  <c r="G137" i="4"/>
  <c r="H137" i="4" s="1"/>
  <c r="G134" i="4"/>
  <c r="H134" i="4" s="1"/>
  <c r="G133" i="4"/>
  <c r="H133" i="4" s="1"/>
  <c r="G132" i="4"/>
  <c r="H132" i="4" s="1"/>
  <c r="G131" i="4"/>
  <c r="H131" i="4" s="1"/>
  <c r="G168" i="9"/>
  <c r="H168" i="9" s="1"/>
  <c r="G369" i="9"/>
  <c r="H369" i="9" s="1"/>
  <c r="G368" i="9"/>
  <c r="H368" i="9" s="1"/>
  <c r="G222" i="9"/>
  <c r="H222" i="9" s="1"/>
  <c r="J192" i="4" l="1" a="1"/>
  <c r="J192" i="4" s="1"/>
  <c r="G387" i="9"/>
  <c r="H387" i="9" s="1"/>
  <c r="G388" i="9"/>
  <c r="H388" i="9" s="1"/>
  <c r="G350" i="9" l="1"/>
  <c r="H350" i="9" s="1"/>
  <c r="G247" i="4"/>
  <c r="G195" i="4"/>
  <c r="H195" i="4" s="1"/>
  <c r="G196" i="4"/>
  <c r="H196" i="4" s="1"/>
  <c r="G197" i="4"/>
  <c r="H197" i="4" s="1"/>
  <c r="G198" i="4"/>
  <c r="H198" i="4" s="1"/>
  <c r="G199" i="4"/>
  <c r="H199" i="4" s="1"/>
  <c r="G200" i="4"/>
  <c r="H200" i="4" s="1"/>
  <c r="G201" i="4"/>
  <c r="H201" i="4" s="1"/>
  <c r="G194" i="4"/>
  <c r="H194" i="4" s="1"/>
  <c r="G219" i="4"/>
  <c r="H219" i="4" s="1"/>
  <c r="G220" i="4"/>
  <c r="H220" i="4" s="1"/>
  <c r="G221" i="4"/>
  <c r="H221" i="4" s="1"/>
  <c r="G222" i="4"/>
  <c r="H222" i="4" s="1"/>
  <c r="G223" i="4"/>
  <c r="H223" i="4" s="1"/>
  <c r="G224" i="4"/>
  <c r="H224" i="4" s="1"/>
  <c r="H225" i="4"/>
  <c r="G218" i="4"/>
  <c r="H218" i="4" s="1"/>
  <c r="G241" i="4"/>
  <c r="H241" i="4" s="1"/>
  <c r="G242" i="4"/>
  <c r="H242" i="4" s="1"/>
  <c r="G243" i="4"/>
  <c r="H243" i="4" s="1"/>
  <c r="G244" i="4"/>
  <c r="H244" i="4" s="1"/>
  <c r="G245" i="4"/>
  <c r="H245" i="4" s="1"/>
  <c r="G240" i="4"/>
  <c r="H240" i="4" s="1"/>
  <c r="G239" i="4"/>
  <c r="H239" i="4" s="1"/>
  <c r="K239" i="4" s="1"/>
  <c r="H247" i="4"/>
  <c r="K247" i="4" s="1"/>
  <c r="G228" i="4"/>
  <c r="H228" i="4" s="1"/>
  <c r="K228" i="4" s="1"/>
  <c r="G217" i="4"/>
  <c r="H217" i="4" s="1"/>
  <c r="K217" i="4" s="1"/>
  <c r="G205" i="4"/>
  <c r="H205" i="4" s="1"/>
  <c r="K205" i="4" s="1"/>
  <c r="G192" i="4"/>
  <c r="H192" i="4" s="1"/>
  <c r="J162" i="4"/>
  <c r="G162" i="4"/>
  <c r="H162" i="4" s="1"/>
  <c r="G151" i="4"/>
  <c r="H151" i="4" s="1"/>
  <c r="J151" i="4"/>
  <c r="J136" i="4"/>
  <c r="H121" i="4"/>
  <c r="G136" i="4"/>
  <c r="H136" i="4" s="1"/>
  <c r="G130" i="4"/>
  <c r="H130" i="4" s="1"/>
  <c r="G129" i="4"/>
  <c r="H129" i="4" s="1"/>
  <c r="G128" i="4"/>
  <c r="H128" i="4" s="1"/>
  <c r="G127" i="4"/>
  <c r="H127" i="4" s="1"/>
  <c r="G126" i="4"/>
  <c r="H126" i="4" s="1"/>
  <c r="G123" i="4"/>
  <c r="H123" i="4" s="1"/>
  <c r="G124" i="4"/>
  <c r="H124" i="4" s="1"/>
  <c r="G125" i="4"/>
  <c r="H125" i="4" s="1"/>
  <c r="G122" i="4"/>
  <c r="H122" i="4" s="1"/>
  <c r="G120" i="4"/>
  <c r="G362" i="9"/>
  <c r="H362" i="9" s="1"/>
  <c r="U247" i="4" l="1"/>
  <c r="T247" i="4"/>
  <c r="R247" i="4"/>
  <c r="S247" i="4"/>
  <c r="U217" i="4"/>
  <c r="T217" i="4"/>
  <c r="R217" i="4"/>
  <c r="S217" i="4"/>
  <c r="U228" i="4"/>
  <c r="T228" i="4"/>
  <c r="R228" i="4"/>
  <c r="S228" i="4"/>
  <c r="T205" i="4"/>
  <c r="U205" i="4"/>
  <c r="S205" i="4"/>
  <c r="R205" i="4"/>
  <c r="U239" i="4"/>
  <c r="T239" i="4"/>
  <c r="R239" i="4"/>
  <c r="S239" i="4"/>
  <c r="K162" i="4"/>
  <c r="K192" i="4"/>
  <c r="G109" i="9"/>
  <c r="H109" i="9" s="1"/>
  <c r="G108" i="9"/>
  <c r="H108" i="9" s="1"/>
  <c r="T192" i="4" l="1"/>
  <c r="S192" i="4"/>
  <c r="U192" i="4"/>
  <c r="R192" i="4"/>
  <c r="T162" i="4"/>
  <c r="R162" i="4"/>
  <c r="U162" i="4"/>
  <c r="S162" i="4"/>
  <c r="G386" i="9"/>
  <c r="H386" i="9" s="1"/>
  <c r="G385" i="9"/>
  <c r="H385" i="9" s="1"/>
  <c r="G105" i="9" l="1"/>
  <c r="H105" i="9" s="1"/>
  <c r="G595" i="4" l="1"/>
  <c r="H595" i="4" s="1"/>
  <c r="G594" i="4"/>
  <c r="H594" i="4" s="1"/>
  <c r="G593" i="4"/>
  <c r="H593" i="4" s="1"/>
  <c r="H587" i="4"/>
  <c r="G586" i="4"/>
  <c r="H586" i="4" s="1"/>
  <c r="H604" i="4" l="1"/>
  <c r="G603" i="4"/>
  <c r="H603" i="4" s="1"/>
  <c r="G602" i="4"/>
  <c r="H602" i="4" s="1"/>
  <c r="G601" i="4"/>
  <c r="H601" i="4" s="1"/>
  <c r="G600" i="4"/>
  <c r="H600" i="4" s="1"/>
  <c r="G599" i="4"/>
  <c r="H599" i="4" s="1"/>
  <c r="G598" i="4"/>
  <c r="H598" i="4" s="1"/>
  <c r="G597" i="4"/>
  <c r="H597" i="4" s="1"/>
  <c r="G596" i="4"/>
  <c r="H596" i="4" s="1"/>
  <c r="G551" i="4" l="1"/>
  <c r="H551" i="4" s="1"/>
  <c r="G550" i="4"/>
  <c r="H550" i="4" s="1"/>
  <c r="G549" i="4"/>
  <c r="H549" i="4" s="1"/>
  <c r="G282" i="9"/>
  <c r="H282" i="9" s="1"/>
  <c r="G303" i="9"/>
  <c r="H303" i="9" s="1"/>
  <c r="G413" i="9"/>
  <c r="H413" i="9" s="1"/>
  <c r="G53" i="9"/>
  <c r="H53" i="9" s="1"/>
  <c r="G384" i="9"/>
  <c r="H384" i="9" s="1"/>
  <c r="G383" i="9"/>
  <c r="H383" i="9" s="1"/>
  <c r="G382" i="9"/>
  <c r="H382" i="9" s="1"/>
  <c r="G47" i="9"/>
  <c r="H47" i="9" s="1"/>
  <c r="G46" i="9"/>
  <c r="H46" i="9" s="1"/>
  <c r="G51" i="9"/>
  <c r="H51" i="9" s="1"/>
  <c r="G50" i="9"/>
  <c r="H50" i="9" s="1"/>
  <c r="G31" i="9"/>
  <c r="H31" i="9" s="1"/>
  <c r="G30" i="9"/>
  <c r="H30" i="9" s="1"/>
  <c r="G74" i="9" l="1"/>
  <c r="H74" i="9" s="1"/>
  <c r="G139" i="9"/>
  <c r="H139" i="9" s="1"/>
  <c r="G85" i="9"/>
  <c r="H85" i="9" s="1"/>
  <c r="H84" i="9"/>
  <c r="G83" i="9"/>
  <c r="H83" i="9" s="1"/>
  <c r="G86" i="9"/>
  <c r="H86" i="9" s="1"/>
  <c r="H611" i="4" l="1"/>
  <c r="G543" i="4"/>
  <c r="H543" i="4" s="1"/>
  <c r="G542" i="4"/>
  <c r="H542" i="4" s="1"/>
  <c r="G541" i="4"/>
  <c r="H541" i="4" s="1"/>
  <c r="G540" i="4"/>
  <c r="H540" i="4" s="1"/>
  <c r="G539" i="4"/>
  <c r="H539" i="4" s="1"/>
  <c r="G538" i="4"/>
  <c r="H538" i="4" s="1"/>
  <c r="G495" i="4"/>
  <c r="G494" i="4"/>
  <c r="H494" i="4" s="1"/>
  <c r="G493" i="4"/>
  <c r="H493" i="4" s="1"/>
  <c r="G492" i="4"/>
  <c r="H492" i="4" s="1"/>
  <c r="G491" i="4"/>
  <c r="G490" i="4"/>
  <c r="J617" i="4" l="1"/>
  <c r="J621" i="4"/>
  <c r="J625" i="4"/>
  <c r="J629" i="4"/>
  <c r="J613" i="4"/>
  <c r="J618" i="4"/>
  <c r="J622" i="4"/>
  <c r="J626" i="4"/>
  <c r="J630" i="4"/>
  <c r="J614" i="4"/>
  <c r="J619" i="4"/>
  <c r="J623" i="4"/>
  <c r="J627" i="4"/>
  <c r="J611" i="4"/>
  <c r="J615" i="4"/>
  <c r="J616" i="4"/>
  <c r="J620" i="4"/>
  <c r="J624" i="4"/>
  <c r="J628" i="4"/>
  <c r="J612" i="4"/>
  <c r="J610" i="4"/>
  <c r="H490" i="4"/>
  <c r="H491" i="4"/>
  <c r="H495" i="4"/>
  <c r="G679" i="4" l="1"/>
  <c r="H679" i="4" s="1"/>
  <c r="G678" i="4"/>
  <c r="H678" i="4" s="1"/>
  <c r="G671" i="4"/>
  <c r="H671" i="4" s="1"/>
  <c r="G670" i="4"/>
  <c r="H670" i="4" s="1"/>
  <c r="G657" i="4"/>
  <c r="H657" i="4" s="1"/>
  <c r="G656" i="4"/>
  <c r="H656" i="4" s="1"/>
  <c r="G649" i="4"/>
  <c r="H649" i="4" s="1"/>
  <c r="G648" i="4"/>
  <c r="H648" i="4" s="1"/>
  <c r="G505" i="9" l="1"/>
  <c r="H505" i="9" s="1"/>
  <c r="G343" i="9"/>
  <c r="H343" i="9" s="1"/>
  <c r="G396" i="9"/>
  <c r="H396" i="9" s="1"/>
  <c r="G96" i="10" l="1"/>
  <c r="H96" i="10" s="1"/>
  <c r="G95" i="10"/>
  <c r="H95" i="10" s="1"/>
  <c r="G94" i="10"/>
  <c r="H94" i="10" s="1"/>
  <c r="G93" i="10"/>
  <c r="H93" i="10" s="1"/>
  <c r="G92" i="10"/>
  <c r="H92" i="10" s="1"/>
  <c r="G91" i="10"/>
  <c r="H91" i="10" s="1"/>
  <c r="G90" i="10"/>
  <c r="H90" i="10" s="1"/>
  <c r="G89" i="10"/>
  <c r="H89" i="10" s="1"/>
  <c r="G88" i="10"/>
  <c r="H88" i="10" s="1"/>
  <c r="G87" i="10"/>
  <c r="H87" i="10" s="1"/>
  <c r="G86" i="10"/>
  <c r="H86" i="10" s="1"/>
  <c r="G85" i="10"/>
  <c r="H85" i="10" s="1"/>
  <c r="G186" i="9"/>
  <c r="H186" i="9" s="1"/>
  <c r="G187" i="9"/>
  <c r="H187" i="9" s="1"/>
  <c r="G188" i="9"/>
  <c r="H188" i="9" s="1"/>
  <c r="G190" i="9"/>
  <c r="H190" i="9" s="1"/>
  <c r="G191" i="9"/>
  <c r="H191" i="9" s="1"/>
  <c r="G192" i="9"/>
  <c r="H192" i="9" s="1"/>
  <c r="G194" i="9"/>
  <c r="H194" i="9" s="1"/>
  <c r="G195" i="9"/>
  <c r="H195" i="9" s="1"/>
  <c r="G196" i="9"/>
  <c r="H196" i="9" s="1"/>
  <c r="G198" i="9" l="1"/>
  <c r="H198" i="9" s="1"/>
  <c r="G199" i="9"/>
  <c r="H199" i="9" s="1"/>
  <c r="G636" i="4" l="1"/>
  <c r="G543" i="9" l="1"/>
  <c r="H543" i="9" s="1"/>
  <c r="G544" i="9"/>
  <c r="H544" i="9" s="1"/>
  <c r="G545" i="9"/>
  <c r="H545" i="9" s="1"/>
  <c r="G546" i="9"/>
  <c r="H546" i="9" s="1"/>
  <c r="G547" i="9"/>
  <c r="H547" i="9" s="1"/>
  <c r="G548" i="9"/>
  <c r="H548" i="9" s="1"/>
  <c r="G549" i="9"/>
  <c r="H549" i="9" s="1"/>
  <c r="G536" i="9"/>
  <c r="H536" i="9" s="1"/>
  <c r="G131" i="9" l="1"/>
  <c r="H131" i="9" s="1"/>
  <c r="G130" i="9"/>
  <c r="H130" i="9" s="1"/>
  <c r="G129" i="9"/>
  <c r="H129" i="9" s="1"/>
  <c r="G128" i="9"/>
  <c r="H128" i="9" s="1"/>
  <c r="G127" i="9"/>
  <c r="H127" i="9" s="1"/>
  <c r="G126" i="9"/>
  <c r="H126" i="9" s="1"/>
  <c r="G125" i="9"/>
  <c r="H125" i="9" s="1"/>
  <c r="G124" i="9"/>
  <c r="H124" i="9" s="1"/>
  <c r="G123" i="9"/>
  <c r="H123" i="9" s="1"/>
  <c r="G122" i="9"/>
  <c r="H122" i="9" s="1"/>
  <c r="G121" i="9"/>
  <c r="H121" i="9" s="1"/>
  <c r="G120" i="9"/>
  <c r="H120" i="9" s="1"/>
  <c r="G119" i="9"/>
  <c r="H119" i="9" s="1"/>
  <c r="G118" i="9"/>
  <c r="H118" i="9" s="1"/>
  <c r="G117" i="9"/>
  <c r="H117" i="9" s="1"/>
  <c r="H83" i="10" l="1"/>
  <c r="H82" i="10"/>
  <c r="H81" i="10"/>
  <c r="H80" i="10"/>
  <c r="H79" i="10"/>
  <c r="H78" i="10"/>
  <c r="H77" i="10"/>
  <c r="H76" i="10"/>
  <c r="H75" i="10"/>
  <c r="H74" i="10"/>
  <c r="H73" i="10"/>
  <c r="H72" i="10"/>
  <c r="H71" i="10"/>
  <c r="H70" i="10"/>
  <c r="H69" i="10"/>
  <c r="H68" i="10"/>
  <c r="H67" i="10"/>
  <c r="H66" i="10"/>
  <c r="H65" i="10"/>
  <c r="H64" i="10"/>
  <c r="H63" i="10"/>
  <c r="H62" i="10"/>
  <c r="H61" i="10"/>
  <c r="H60" i="10"/>
  <c r="H59" i="10"/>
  <c r="H57" i="10"/>
  <c r="H56" i="10"/>
  <c r="H55" i="10"/>
  <c r="H54" i="10"/>
  <c r="H53" i="10"/>
  <c r="H52" i="10"/>
  <c r="H51" i="10"/>
  <c r="H50" i="10"/>
  <c r="H49" i="10"/>
  <c r="H48" i="10"/>
  <c r="H47" i="10"/>
  <c r="H46" i="10"/>
  <c r="H45" i="10"/>
  <c r="H44" i="10"/>
  <c r="H43" i="10"/>
  <c r="H42" i="10"/>
  <c r="H41" i="10"/>
  <c r="H40" i="10"/>
  <c r="H39" i="10"/>
  <c r="H38" i="10"/>
  <c r="H37" i="10"/>
  <c r="H36" i="10"/>
  <c r="H35" i="10"/>
  <c r="H34" i="10"/>
  <c r="H33" i="10"/>
  <c r="H32" i="10"/>
  <c r="H31" i="10"/>
  <c r="H30" i="10"/>
  <c r="H29" i="10"/>
  <c r="H28" i="10"/>
  <c r="H27" i="10"/>
  <c r="H26" i="10"/>
  <c r="H25" i="10"/>
  <c r="H24" i="10"/>
  <c r="H23" i="10"/>
  <c r="H22" i="10"/>
  <c r="H21" i="10"/>
  <c r="H20" i="10"/>
  <c r="H19" i="10"/>
  <c r="H18" i="10"/>
  <c r="H17" i="10"/>
  <c r="H16" i="10"/>
  <c r="H15" i="10"/>
  <c r="H14" i="10"/>
  <c r="H13" i="10"/>
  <c r="H12" i="10"/>
  <c r="H11" i="10"/>
  <c r="H10" i="10"/>
  <c r="H9" i="10"/>
  <c r="H8" i="10"/>
  <c r="G623" i="9"/>
  <c r="H623" i="9" s="1"/>
  <c r="H622" i="9"/>
  <c r="G621" i="9"/>
  <c r="H621" i="9" s="1"/>
  <c r="G620" i="9"/>
  <c r="H620" i="9" s="1"/>
  <c r="H619" i="9"/>
  <c r="G618" i="9"/>
  <c r="H618" i="9" s="1"/>
  <c r="G617" i="9"/>
  <c r="H617" i="9" s="1"/>
  <c r="G616" i="9"/>
  <c r="H616" i="9" s="1"/>
  <c r="G615" i="9"/>
  <c r="H615" i="9" s="1"/>
  <c r="G614" i="9"/>
  <c r="H614" i="9" s="1"/>
  <c r="H613" i="9"/>
  <c r="H612" i="9"/>
  <c r="H611" i="9"/>
  <c r="H610" i="9"/>
  <c r="H609" i="9"/>
  <c r="G608" i="9"/>
  <c r="H608" i="9" s="1"/>
  <c r="G607" i="9"/>
  <c r="H607" i="9" s="1"/>
  <c r="G606" i="9"/>
  <c r="H606" i="9" s="1"/>
  <c r="G605" i="9"/>
  <c r="H605" i="9" s="1"/>
  <c r="G604" i="9"/>
  <c r="H604" i="9" s="1"/>
  <c r="G603" i="9"/>
  <c r="H603" i="9" s="1"/>
  <c r="G602" i="9"/>
  <c r="H602" i="9" s="1"/>
  <c r="G601" i="9"/>
  <c r="H601" i="9" s="1"/>
  <c r="G600" i="9"/>
  <c r="H600" i="9" s="1"/>
  <c r="G599" i="9"/>
  <c r="H599" i="9" s="1"/>
  <c r="G598" i="9"/>
  <c r="H598" i="9" s="1"/>
  <c r="G597" i="9"/>
  <c r="H597" i="9" s="1"/>
  <c r="G596" i="9"/>
  <c r="H596" i="9" s="1"/>
  <c r="G595" i="9"/>
  <c r="H595" i="9" s="1"/>
  <c r="G594" i="9"/>
  <c r="H594" i="9" s="1"/>
  <c r="G593" i="9"/>
  <c r="H593" i="9" s="1"/>
  <c r="G592" i="9"/>
  <c r="H592" i="9" s="1"/>
  <c r="G591" i="9"/>
  <c r="H591" i="9" s="1"/>
  <c r="G590" i="9"/>
  <c r="H590" i="9" s="1"/>
  <c r="G589" i="9"/>
  <c r="H589" i="9" s="1"/>
  <c r="G588" i="9"/>
  <c r="H588" i="9" s="1"/>
  <c r="G587" i="9"/>
  <c r="H587" i="9" s="1"/>
  <c r="G586" i="9"/>
  <c r="H586" i="9" s="1"/>
  <c r="G585" i="9"/>
  <c r="H585" i="9" s="1"/>
  <c r="H584" i="9"/>
  <c r="H583" i="9"/>
  <c r="H582" i="9"/>
  <c r="H581" i="9"/>
  <c r="H580" i="9"/>
  <c r="H579" i="9"/>
  <c r="H578" i="9"/>
  <c r="H577" i="9"/>
  <c r="H576" i="9"/>
  <c r="H575" i="9"/>
  <c r="H574" i="9"/>
  <c r="H573" i="9"/>
  <c r="H572" i="9"/>
  <c r="H571" i="9"/>
  <c r="H570" i="9"/>
  <c r="H569" i="9"/>
  <c r="H568" i="9"/>
  <c r="G566" i="9"/>
  <c r="H566" i="9" s="1"/>
  <c r="G565" i="9"/>
  <c r="H565" i="9" s="1"/>
  <c r="G564" i="9"/>
  <c r="H564" i="9" s="1"/>
  <c r="G563" i="9"/>
  <c r="H563" i="9" s="1"/>
  <c r="G562" i="9"/>
  <c r="H562" i="9" s="1"/>
  <c r="G561" i="9"/>
  <c r="H561" i="9" s="1"/>
  <c r="G560" i="9"/>
  <c r="H560" i="9" s="1"/>
  <c r="G559" i="9"/>
  <c r="H559" i="9" s="1"/>
  <c r="G558" i="9"/>
  <c r="H558" i="9" s="1"/>
  <c r="G557" i="9"/>
  <c r="H557" i="9" s="1"/>
  <c r="G556" i="9"/>
  <c r="H556" i="9" s="1"/>
  <c r="G555" i="9"/>
  <c r="H555" i="9" s="1"/>
  <c r="G554" i="9"/>
  <c r="H554" i="9" s="1"/>
  <c r="G553" i="9"/>
  <c r="H553" i="9" s="1"/>
  <c r="G552" i="9"/>
  <c r="H552" i="9" s="1"/>
  <c r="G551" i="9"/>
  <c r="H551" i="9" s="1"/>
  <c r="G550" i="9"/>
  <c r="H550" i="9" s="1"/>
  <c r="G542" i="9"/>
  <c r="H542" i="9" s="1"/>
  <c r="G541" i="9"/>
  <c r="H541" i="9" s="1"/>
  <c r="G540" i="9"/>
  <c r="H540" i="9" s="1"/>
  <c r="G539" i="9"/>
  <c r="H539" i="9" s="1"/>
  <c r="G538" i="9"/>
  <c r="H538" i="9" s="1"/>
  <c r="G537" i="9"/>
  <c r="H537" i="9" s="1"/>
  <c r="G535" i="9"/>
  <c r="H535" i="9" s="1"/>
  <c r="G534" i="9"/>
  <c r="H534" i="9" s="1"/>
  <c r="G533" i="9"/>
  <c r="H533" i="9" s="1"/>
  <c r="G532" i="9"/>
  <c r="H532" i="9" s="1"/>
  <c r="G531" i="9"/>
  <c r="H531" i="9" s="1"/>
  <c r="G530" i="9"/>
  <c r="H530" i="9" s="1"/>
  <c r="G529" i="9"/>
  <c r="H529" i="9" s="1"/>
  <c r="G528" i="9"/>
  <c r="H528" i="9" s="1"/>
  <c r="G527" i="9"/>
  <c r="H527" i="9" s="1"/>
  <c r="G526" i="9"/>
  <c r="H526" i="9" s="1"/>
  <c r="G525" i="9"/>
  <c r="H525" i="9" s="1"/>
  <c r="G524" i="9"/>
  <c r="H524" i="9" s="1"/>
  <c r="G523" i="9"/>
  <c r="H523" i="9" s="1"/>
  <c r="G522" i="9"/>
  <c r="H522" i="9" s="1"/>
  <c r="G521" i="9"/>
  <c r="H521" i="9" s="1"/>
  <c r="G520" i="9"/>
  <c r="H520" i="9" s="1"/>
  <c r="G519" i="9"/>
  <c r="H519" i="9" s="1"/>
  <c r="G518" i="9"/>
  <c r="H518" i="9" s="1"/>
  <c r="G517" i="9"/>
  <c r="H517" i="9" s="1"/>
  <c r="G516" i="9"/>
  <c r="H516" i="9" s="1"/>
  <c r="G515" i="9"/>
  <c r="H515" i="9" s="1"/>
  <c r="G514" i="9"/>
  <c r="H514" i="9" s="1"/>
  <c r="G513" i="9"/>
  <c r="H513" i="9" s="1"/>
  <c r="H512" i="9"/>
  <c r="G511" i="9"/>
  <c r="H511" i="9" s="1"/>
  <c r="G510" i="9"/>
  <c r="H510" i="9" s="1"/>
  <c r="G509" i="9"/>
  <c r="H509" i="9" s="1"/>
  <c r="G508" i="9"/>
  <c r="H508" i="9" s="1"/>
  <c r="G507" i="9"/>
  <c r="H507" i="9" s="1"/>
  <c r="G506" i="9"/>
  <c r="H506" i="9" s="1"/>
  <c r="G504" i="9"/>
  <c r="H504" i="9" s="1"/>
  <c r="G503" i="9"/>
  <c r="H503" i="9" s="1"/>
  <c r="G502" i="9"/>
  <c r="H502" i="9" s="1"/>
  <c r="G501" i="9"/>
  <c r="H501" i="9" s="1"/>
  <c r="G500" i="9"/>
  <c r="H500" i="9" s="1"/>
  <c r="G499" i="9"/>
  <c r="H499" i="9" s="1"/>
  <c r="G498" i="9"/>
  <c r="H498" i="9" s="1"/>
  <c r="G497" i="9"/>
  <c r="H497" i="9" s="1"/>
  <c r="G496" i="9"/>
  <c r="H496" i="9" s="1"/>
  <c r="H495" i="9"/>
  <c r="G494" i="9"/>
  <c r="H494" i="9" s="1"/>
  <c r="G493" i="9"/>
  <c r="H493" i="9" s="1"/>
  <c r="G492" i="9"/>
  <c r="H492" i="9" s="1"/>
  <c r="G491" i="9"/>
  <c r="H491" i="9" s="1"/>
  <c r="G490" i="9"/>
  <c r="H490" i="9" s="1"/>
  <c r="G489" i="9"/>
  <c r="H489" i="9" s="1"/>
  <c r="G488" i="9"/>
  <c r="H488" i="9" s="1"/>
  <c r="H487" i="9"/>
  <c r="G486" i="9"/>
  <c r="H486" i="9" s="1"/>
  <c r="G485" i="9"/>
  <c r="H485" i="9" s="1"/>
  <c r="G484" i="9"/>
  <c r="H484" i="9" s="1"/>
  <c r="G483" i="9"/>
  <c r="H483" i="9" s="1"/>
  <c r="G482" i="9"/>
  <c r="H482" i="9" s="1"/>
  <c r="G481" i="9"/>
  <c r="H481" i="9" s="1"/>
  <c r="G480" i="9"/>
  <c r="H480" i="9" s="1"/>
  <c r="H479" i="9"/>
  <c r="G478" i="9"/>
  <c r="H478" i="9" s="1"/>
  <c r="G477" i="9"/>
  <c r="H477" i="9" s="1"/>
  <c r="G476" i="9"/>
  <c r="H476" i="9" s="1"/>
  <c r="G475" i="9"/>
  <c r="H475" i="9" s="1"/>
  <c r="G474" i="9"/>
  <c r="H474" i="9" s="1"/>
  <c r="G473" i="9"/>
  <c r="H473" i="9" s="1"/>
  <c r="G472" i="9"/>
  <c r="H472" i="9" s="1"/>
  <c r="G471" i="9"/>
  <c r="H471" i="9" s="1"/>
  <c r="G470" i="9"/>
  <c r="H470" i="9" s="1"/>
  <c r="G469" i="9"/>
  <c r="H469" i="9" s="1"/>
  <c r="G468" i="9"/>
  <c r="H468" i="9" s="1"/>
  <c r="G467" i="9"/>
  <c r="H467" i="9" s="1"/>
  <c r="G466" i="9"/>
  <c r="H466" i="9" s="1"/>
  <c r="G465" i="9"/>
  <c r="H465" i="9" s="1"/>
  <c r="G464" i="9"/>
  <c r="H464" i="9" s="1"/>
  <c r="G463" i="9"/>
  <c r="H463" i="9" s="1"/>
  <c r="G462" i="9"/>
  <c r="H462" i="9" s="1"/>
  <c r="G461" i="9"/>
  <c r="H461" i="9" s="1"/>
  <c r="G460" i="9"/>
  <c r="H460" i="9" s="1"/>
  <c r="G459" i="9"/>
  <c r="H459" i="9" s="1"/>
  <c r="G458" i="9"/>
  <c r="H458" i="9" s="1"/>
  <c r="G457" i="9"/>
  <c r="H457" i="9" s="1"/>
  <c r="G456" i="9"/>
  <c r="H456" i="9" s="1"/>
  <c r="G455" i="9"/>
  <c r="H455" i="9" s="1"/>
  <c r="G454" i="9"/>
  <c r="H454" i="9" s="1"/>
  <c r="G453" i="9"/>
  <c r="H453" i="9" s="1"/>
  <c r="G452" i="9"/>
  <c r="H452" i="9" s="1"/>
  <c r="G451" i="9"/>
  <c r="H451" i="9" s="1"/>
  <c r="G450" i="9"/>
  <c r="H450" i="9" s="1"/>
  <c r="G449" i="9"/>
  <c r="H449" i="9" s="1"/>
  <c r="G448" i="9"/>
  <c r="H448" i="9" s="1"/>
  <c r="G447" i="9"/>
  <c r="H447" i="9" s="1"/>
  <c r="G446" i="9"/>
  <c r="H446" i="9" s="1"/>
  <c r="G445" i="9"/>
  <c r="H445" i="9" s="1"/>
  <c r="G444" i="9"/>
  <c r="H444" i="9" s="1"/>
  <c r="G443" i="9"/>
  <c r="H443" i="9" s="1"/>
  <c r="G442" i="9"/>
  <c r="H442" i="9" s="1"/>
  <c r="G441" i="9"/>
  <c r="H441" i="9" s="1"/>
  <c r="G440" i="9"/>
  <c r="H440" i="9" s="1"/>
  <c r="G439" i="9"/>
  <c r="H439" i="9" s="1"/>
  <c r="G438" i="9"/>
  <c r="H438" i="9" s="1"/>
  <c r="G437" i="9"/>
  <c r="H437" i="9" s="1"/>
  <c r="G436" i="9"/>
  <c r="H436" i="9" s="1"/>
  <c r="G435" i="9"/>
  <c r="H435" i="9" s="1"/>
  <c r="G434" i="9"/>
  <c r="H434" i="9" s="1"/>
  <c r="G433" i="9"/>
  <c r="H433" i="9" s="1"/>
  <c r="G432" i="9"/>
  <c r="H432" i="9" s="1"/>
  <c r="G431" i="9"/>
  <c r="H431" i="9" s="1"/>
  <c r="G430" i="9"/>
  <c r="H430" i="9" s="1"/>
  <c r="G429" i="9"/>
  <c r="H429" i="9" s="1"/>
  <c r="G428" i="9"/>
  <c r="H428" i="9" s="1"/>
  <c r="G427" i="9"/>
  <c r="H427" i="9" s="1"/>
  <c r="G426" i="9"/>
  <c r="H426" i="9" s="1"/>
  <c r="G425" i="9"/>
  <c r="H425" i="9" s="1"/>
  <c r="G424" i="9"/>
  <c r="H424" i="9" s="1"/>
  <c r="G423" i="9"/>
  <c r="H423" i="9" s="1"/>
  <c r="G418" i="9"/>
  <c r="H418" i="9" s="1"/>
  <c r="G417" i="9"/>
  <c r="H417" i="9" s="1"/>
  <c r="G415" i="9"/>
  <c r="H415" i="9" s="1"/>
  <c r="G414" i="9"/>
  <c r="H414" i="9" s="1"/>
  <c r="G412" i="9"/>
  <c r="H412" i="9" s="1"/>
  <c r="G411" i="9"/>
  <c r="H411" i="9" s="1"/>
  <c r="G410" i="9"/>
  <c r="H410" i="9" s="1"/>
  <c r="G409" i="9"/>
  <c r="H409" i="9" s="1"/>
  <c r="G408" i="9"/>
  <c r="H408" i="9" s="1"/>
  <c r="G407" i="9"/>
  <c r="H407" i="9" s="1"/>
  <c r="G406" i="9"/>
  <c r="H406" i="9" s="1"/>
  <c r="G405" i="9"/>
  <c r="H405" i="9" s="1"/>
  <c r="G404" i="9"/>
  <c r="H404" i="9" s="1"/>
  <c r="G402" i="9"/>
  <c r="H402" i="9" s="1"/>
  <c r="G401" i="9"/>
  <c r="H401" i="9" s="1"/>
  <c r="G400" i="9"/>
  <c r="H400" i="9" s="1"/>
  <c r="G399" i="9"/>
  <c r="H399" i="9" s="1"/>
  <c r="G398" i="9"/>
  <c r="H398" i="9" s="1"/>
  <c r="G397" i="9"/>
  <c r="H397" i="9" s="1"/>
  <c r="G395" i="9"/>
  <c r="H395" i="9" s="1"/>
  <c r="G394" i="9"/>
  <c r="H394" i="9" s="1"/>
  <c r="G393" i="9"/>
  <c r="H393" i="9" s="1"/>
  <c r="G392" i="9"/>
  <c r="H392" i="9" s="1"/>
  <c r="G391" i="9"/>
  <c r="H391" i="9" s="1"/>
  <c r="G381" i="9"/>
  <c r="H381" i="9" s="1"/>
  <c r="G380" i="9"/>
  <c r="H380" i="9" s="1"/>
  <c r="G379" i="9"/>
  <c r="H379" i="9" s="1"/>
  <c r="G378" i="9"/>
  <c r="H378" i="9" s="1"/>
  <c r="G377" i="9"/>
  <c r="H377" i="9" s="1"/>
  <c r="G376" i="9"/>
  <c r="H376" i="9" s="1"/>
  <c r="G375" i="9"/>
  <c r="H375" i="9" s="1"/>
  <c r="G374" i="9"/>
  <c r="H374" i="9" s="1"/>
  <c r="G373" i="9"/>
  <c r="H373" i="9" s="1"/>
  <c r="G372" i="9"/>
  <c r="H372" i="9" s="1"/>
  <c r="G371" i="9"/>
  <c r="H371" i="9" s="1"/>
  <c r="G370" i="9"/>
  <c r="H370" i="9" s="1"/>
  <c r="G367" i="9"/>
  <c r="H367" i="9" s="1"/>
  <c r="G366" i="9"/>
  <c r="H366" i="9" s="1"/>
  <c r="G365" i="9"/>
  <c r="H365" i="9" s="1"/>
  <c r="G360" i="9"/>
  <c r="H360" i="9" s="1"/>
  <c r="G359" i="9"/>
  <c r="H359" i="9" s="1"/>
  <c r="G358" i="9"/>
  <c r="H358" i="9" s="1"/>
  <c r="G357" i="9"/>
  <c r="H357" i="9" s="1"/>
  <c r="G356" i="9"/>
  <c r="H356" i="9" s="1"/>
  <c r="G355" i="9"/>
  <c r="H355" i="9" s="1"/>
  <c r="G354" i="9"/>
  <c r="H354" i="9" s="1"/>
  <c r="G353" i="9"/>
  <c r="H353" i="9" s="1"/>
  <c r="G352" i="9"/>
  <c r="H352" i="9" s="1"/>
  <c r="G351" i="9"/>
  <c r="H351" i="9" s="1"/>
  <c r="G349" i="9"/>
  <c r="H349" i="9" s="1"/>
  <c r="G348" i="9"/>
  <c r="H348" i="9" s="1"/>
  <c r="G347" i="9"/>
  <c r="H347" i="9" s="1"/>
  <c r="G346" i="9"/>
  <c r="H346" i="9" s="1"/>
  <c r="G345" i="9"/>
  <c r="H345" i="9" s="1"/>
  <c r="G344" i="9"/>
  <c r="H344" i="9" s="1"/>
  <c r="G340" i="9"/>
  <c r="H340" i="9" s="1"/>
  <c r="G339" i="9"/>
  <c r="H339" i="9" s="1"/>
  <c r="G338" i="9"/>
  <c r="H338" i="9" s="1"/>
  <c r="G337" i="9"/>
  <c r="H337" i="9" s="1"/>
  <c r="G336" i="9"/>
  <c r="H336" i="9" s="1"/>
  <c r="G335" i="9"/>
  <c r="H335" i="9" s="1"/>
  <c r="G334" i="9"/>
  <c r="H334" i="9" s="1"/>
  <c r="G333" i="9"/>
  <c r="H333" i="9" s="1"/>
  <c r="G332" i="9"/>
  <c r="H332" i="9" s="1"/>
  <c r="G331" i="9"/>
  <c r="H331" i="9" s="1"/>
  <c r="G330" i="9"/>
  <c r="H330" i="9" s="1"/>
  <c r="G329" i="9"/>
  <c r="H329" i="9" s="1"/>
  <c r="G328" i="9"/>
  <c r="H328" i="9" s="1"/>
  <c r="G327" i="9"/>
  <c r="H327" i="9" s="1"/>
  <c r="G323" i="9"/>
  <c r="H323" i="9" s="1"/>
  <c r="G322" i="9"/>
  <c r="H322" i="9" s="1"/>
  <c r="G321" i="9"/>
  <c r="H321" i="9" s="1"/>
  <c r="G320" i="9"/>
  <c r="H320" i="9" s="1"/>
  <c r="G319" i="9"/>
  <c r="H319" i="9" s="1"/>
  <c r="G318" i="9"/>
  <c r="H318" i="9" s="1"/>
  <c r="G317" i="9"/>
  <c r="H317" i="9" s="1"/>
  <c r="G316" i="9"/>
  <c r="H316" i="9" s="1"/>
  <c r="G315" i="9"/>
  <c r="H315" i="9" s="1"/>
  <c r="G314" i="9"/>
  <c r="H314" i="9" s="1"/>
  <c r="G313" i="9"/>
  <c r="H313" i="9" s="1"/>
  <c r="G312" i="9"/>
  <c r="H312" i="9" s="1"/>
  <c r="G311" i="9"/>
  <c r="H311" i="9" s="1"/>
  <c r="G310" i="9"/>
  <c r="H310" i="9" s="1"/>
  <c r="G309" i="9"/>
  <c r="H309" i="9" s="1"/>
  <c r="G308" i="9"/>
  <c r="H308" i="9" s="1"/>
  <c r="G307" i="9"/>
  <c r="H307" i="9" s="1"/>
  <c r="G306" i="9"/>
  <c r="H306" i="9" s="1"/>
  <c r="G305" i="9"/>
  <c r="H305" i="9" s="1"/>
  <c r="G304" i="9"/>
  <c r="H304" i="9" s="1"/>
  <c r="G302" i="9"/>
  <c r="H302" i="9" s="1"/>
  <c r="G301" i="9"/>
  <c r="H301" i="9" s="1"/>
  <c r="G300" i="9"/>
  <c r="H300" i="9" s="1"/>
  <c r="G299" i="9"/>
  <c r="H299" i="9" s="1"/>
  <c r="G298" i="9"/>
  <c r="H298" i="9" s="1"/>
  <c r="G297" i="9"/>
  <c r="H297" i="9" s="1"/>
  <c r="G296" i="9"/>
  <c r="H296" i="9" s="1"/>
  <c r="G295" i="9"/>
  <c r="H295" i="9" s="1"/>
  <c r="G294" i="9"/>
  <c r="H294" i="9" s="1"/>
  <c r="G293" i="9"/>
  <c r="H293" i="9" s="1"/>
  <c r="G292" i="9"/>
  <c r="H292" i="9" s="1"/>
  <c r="G291" i="9"/>
  <c r="H291" i="9" s="1"/>
  <c r="G290" i="9"/>
  <c r="H290" i="9" s="1"/>
  <c r="G289" i="9"/>
  <c r="H289" i="9" s="1"/>
  <c r="G288" i="9"/>
  <c r="H288" i="9" s="1"/>
  <c r="G287" i="9"/>
  <c r="H287" i="9" s="1"/>
  <c r="G286" i="9"/>
  <c r="H286" i="9" s="1"/>
  <c r="G285" i="9"/>
  <c r="H285" i="9" s="1"/>
  <c r="G284" i="9"/>
  <c r="H284" i="9" s="1"/>
  <c r="G283" i="9"/>
  <c r="H283" i="9" s="1"/>
  <c r="G281" i="9"/>
  <c r="H281" i="9" s="1"/>
  <c r="G280" i="9"/>
  <c r="H280" i="9" s="1"/>
  <c r="G279" i="9"/>
  <c r="H279" i="9" s="1"/>
  <c r="G278" i="9"/>
  <c r="H278" i="9" s="1"/>
  <c r="G277" i="9"/>
  <c r="H277" i="9" s="1"/>
  <c r="G276" i="9"/>
  <c r="H276" i="9" s="1"/>
  <c r="G275" i="9"/>
  <c r="H275" i="9" s="1"/>
  <c r="G274" i="9"/>
  <c r="H274" i="9" s="1"/>
  <c r="G273" i="9"/>
  <c r="H273" i="9" s="1"/>
  <c r="G272" i="9"/>
  <c r="H272" i="9" s="1"/>
  <c r="G271" i="9"/>
  <c r="H271" i="9" s="1"/>
  <c r="G270" i="9"/>
  <c r="H270" i="9" s="1"/>
  <c r="G269" i="9"/>
  <c r="H269" i="9" s="1"/>
  <c r="G267" i="9"/>
  <c r="H267" i="9" s="1"/>
  <c r="G266" i="9"/>
  <c r="H266" i="9" s="1"/>
  <c r="G265" i="9"/>
  <c r="H265" i="9" s="1"/>
  <c r="G264" i="9"/>
  <c r="H264" i="9" s="1"/>
  <c r="G261" i="9"/>
  <c r="H261" i="9" s="1"/>
  <c r="G260" i="9"/>
  <c r="H260" i="9" s="1"/>
  <c r="G259" i="9"/>
  <c r="H259" i="9" s="1"/>
  <c r="G258" i="9"/>
  <c r="H258" i="9" s="1"/>
  <c r="G257" i="9"/>
  <c r="H257" i="9" s="1"/>
  <c r="G256" i="9"/>
  <c r="H256" i="9" s="1"/>
  <c r="G255" i="9"/>
  <c r="H255" i="9" s="1"/>
  <c r="G253" i="9"/>
  <c r="H253" i="9" s="1"/>
  <c r="G252" i="9"/>
  <c r="H252" i="9" s="1"/>
  <c r="G251" i="9"/>
  <c r="H251" i="9" s="1"/>
  <c r="G250" i="9"/>
  <c r="H250" i="9" s="1"/>
  <c r="G249" i="9"/>
  <c r="H249" i="9" s="1"/>
  <c r="G248" i="9"/>
  <c r="H248" i="9" s="1"/>
  <c r="G247" i="9"/>
  <c r="H247" i="9" s="1"/>
  <c r="G246" i="9"/>
  <c r="H246" i="9" s="1"/>
  <c r="G245" i="9"/>
  <c r="H245" i="9" s="1"/>
  <c r="G244" i="9"/>
  <c r="H244" i="9" s="1"/>
  <c r="G243" i="9"/>
  <c r="H243" i="9" s="1"/>
  <c r="G242" i="9"/>
  <c r="H242" i="9" s="1"/>
  <c r="G241" i="9"/>
  <c r="H241" i="9" s="1"/>
  <c r="G240" i="9"/>
  <c r="H240" i="9" s="1"/>
  <c r="G239" i="9"/>
  <c r="H239" i="9" s="1"/>
  <c r="G238" i="9"/>
  <c r="H238" i="9" s="1"/>
  <c r="G237" i="9"/>
  <c r="H237" i="9" s="1"/>
  <c r="G236" i="9"/>
  <c r="H236" i="9" s="1"/>
  <c r="G235" i="9"/>
  <c r="H235" i="9" s="1"/>
  <c r="G234" i="9"/>
  <c r="H234" i="9" s="1"/>
  <c r="G233" i="9"/>
  <c r="H233" i="9" s="1"/>
  <c r="G232" i="9"/>
  <c r="H232" i="9" s="1"/>
  <c r="G231" i="9"/>
  <c r="H231" i="9" s="1"/>
  <c r="G230" i="9"/>
  <c r="H230" i="9" s="1"/>
  <c r="G229" i="9"/>
  <c r="H229" i="9" s="1"/>
  <c r="G228" i="9"/>
  <c r="H228" i="9" s="1"/>
  <c r="G227" i="9"/>
  <c r="H227" i="9" s="1"/>
  <c r="G226" i="9"/>
  <c r="H226" i="9" s="1"/>
  <c r="G225" i="9"/>
  <c r="H225" i="9" s="1"/>
  <c r="G224" i="9"/>
  <c r="H224" i="9" s="1"/>
  <c r="G223" i="9"/>
  <c r="H223" i="9" s="1"/>
  <c r="G221" i="9"/>
  <c r="H221" i="9" s="1"/>
  <c r="G220" i="9"/>
  <c r="H220" i="9" s="1"/>
  <c r="G219" i="9"/>
  <c r="H219" i="9" s="1"/>
  <c r="G218" i="9"/>
  <c r="H218" i="9" s="1"/>
  <c r="G217" i="9"/>
  <c r="H217" i="9" s="1"/>
  <c r="G216" i="9"/>
  <c r="H216" i="9" s="1"/>
  <c r="G215" i="9"/>
  <c r="H215" i="9" s="1"/>
  <c r="G214" i="9"/>
  <c r="H214" i="9" s="1"/>
  <c r="G213" i="9"/>
  <c r="H213" i="9" s="1"/>
  <c r="G212" i="9"/>
  <c r="H212" i="9" s="1"/>
  <c r="G211" i="9"/>
  <c r="H211" i="9" s="1"/>
  <c r="G210" i="9"/>
  <c r="H210" i="9" s="1"/>
  <c r="G209" i="9"/>
  <c r="H209" i="9" s="1"/>
  <c r="G208" i="9"/>
  <c r="H208" i="9" s="1"/>
  <c r="G207" i="9"/>
  <c r="H207" i="9" s="1"/>
  <c r="G206" i="9"/>
  <c r="H206" i="9" s="1"/>
  <c r="G205" i="9"/>
  <c r="H205" i="9" s="1"/>
  <c r="G204" i="9"/>
  <c r="H204" i="9" s="1"/>
  <c r="G203" i="9"/>
  <c r="H203" i="9" s="1"/>
  <c r="G202" i="9"/>
  <c r="H202" i="9" s="1"/>
  <c r="G201" i="9"/>
  <c r="H201" i="9" s="1"/>
  <c r="G200" i="9"/>
  <c r="H200" i="9" s="1"/>
  <c r="G182" i="9"/>
  <c r="H182" i="9" s="1"/>
  <c r="G181" i="9"/>
  <c r="H181" i="9" s="1"/>
  <c r="G180" i="9"/>
  <c r="H180" i="9" s="1"/>
  <c r="G179" i="9"/>
  <c r="H179" i="9" s="1"/>
  <c r="G178" i="9"/>
  <c r="H178" i="9" s="1"/>
  <c r="G177" i="9"/>
  <c r="H177" i="9" s="1"/>
  <c r="G176" i="9"/>
  <c r="H176" i="9" s="1"/>
  <c r="G175" i="9"/>
  <c r="H175" i="9" s="1"/>
  <c r="G174" i="9"/>
  <c r="H174" i="9" s="1"/>
  <c r="G167" i="9"/>
  <c r="H167" i="9" s="1"/>
  <c r="G166" i="9"/>
  <c r="H166" i="9" s="1"/>
  <c r="G165" i="9"/>
  <c r="H165" i="9" s="1"/>
  <c r="G164" i="9"/>
  <c r="H164" i="9" s="1"/>
  <c r="G163" i="9"/>
  <c r="H163" i="9" s="1"/>
  <c r="G162" i="9"/>
  <c r="H162" i="9" s="1"/>
  <c r="G160" i="9"/>
  <c r="H160" i="9" s="1"/>
  <c r="G159" i="9"/>
  <c r="H159" i="9" s="1"/>
  <c r="G158" i="9"/>
  <c r="H158" i="9" s="1"/>
  <c r="G157" i="9"/>
  <c r="H157" i="9" s="1"/>
  <c r="G156" i="9"/>
  <c r="H156" i="9" s="1"/>
  <c r="G155" i="9"/>
  <c r="H155" i="9" s="1"/>
  <c r="G154" i="9"/>
  <c r="H154" i="9" s="1"/>
  <c r="H152" i="9"/>
  <c r="H151" i="9"/>
  <c r="H150" i="9"/>
  <c r="H149" i="9"/>
  <c r="H148" i="9"/>
  <c r="H147" i="9"/>
  <c r="H146" i="9"/>
  <c r="H145" i="9"/>
  <c r="H144" i="9"/>
  <c r="H143" i="9"/>
  <c r="H142" i="9"/>
  <c r="H141" i="9"/>
  <c r="G138" i="9"/>
  <c r="H138" i="9" s="1"/>
  <c r="G137" i="9"/>
  <c r="H137" i="9" s="1"/>
  <c r="G136" i="9"/>
  <c r="H136" i="9" s="1"/>
  <c r="G107" i="9"/>
  <c r="H107" i="9" s="1"/>
  <c r="G102" i="9"/>
  <c r="H102" i="9" s="1"/>
  <c r="G101" i="9"/>
  <c r="H101" i="9" s="1"/>
  <c r="G100" i="9"/>
  <c r="H100" i="9" s="1"/>
  <c r="G99" i="9"/>
  <c r="H99" i="9" s="1"/>
  <c r="G98" i="9"/>
  <c r="H98" i="9" s="1"/>
  <c r="G97" i="9"/>
  <c r="H97" i="9" s="1"/>
  <c r="G96" i="9"/>
  <c r="H96" i="9" s="1"/>
  <c r="G95" i="9"/>
  <c r="H95" i="9" s="1"/>
  <c r="G94" i="9"/>
  <c r="H94" i="9" s="1"/>
  <c r="G93" i="9"/>
  <c r="H93" i="9" s="1"/>
  <c r="G92" i="9"/>
  <c r="H92" i="9" s="1"/>
  <c r="G91" i="9"/>
  <c r="H91" i="9" s="1"/>
  <c r="G90" i="9"/>
  <c r="H90" i="9" s="1"/>
  <c r="G89" i="9"/>
  <c r="H89" i="9" s="1"/>
  <c r="G87" i="9"/>
  <c r="H87" i="9" s="1"/>
  <c r="G82" i="9"/>
  <c r="H82" i="9" s="1"/>
  <c r="G81" i="9"/>
  <c r="H81" i="9" s="1"/>
  <c r="G80" i="9"/>
  <c r="H80" i="9" s="1"/>
  <c r="G78" i="9"/>
  <c r="H78" i="9" s="1"/>
  <c r="G77" i="9"/>
  <c r="H77" i="9" s="1"/>
  <c r="G76" i="9"/>
  <c r="H76" i="9" s="1"/>
  <c r="G75" i="9"/>
  <c r="H75" i="9" s="1"/>
  <c r="G73" i="9"/>
  <c r="H73" i="9" s="1"/>
  <c r="G72" i="9"/>
  <c r="H72" i="9" s="1"/>
  <c r="G71" i="9"/>
  <c r="H71" i="9" s="1"/>
  <c r="G70" i="9"/>
  <c r="H70" i="9" s="1"/>
  <c r="G69" i="9"/>
  <c r="H69" i="9" s="1"/>
  <c r="G68" i="9"/>
  <c r="H68" i="9" s="1"/>
  <c r="G67" i="9"/>
  <c r="H67" i="9" s="1"/>
  <c r="G66" i="9"/>
  <c r="H66" i="9" s="1"/>
  <c r="G65" i="9"/>
  <c r="H65" i="9" s="1"/>
  <c r="G63" i="9"/>
  <c r="H63" i="9" s="1"/>
  <c r="G62" i="9"/>
  <c r="H62" i="9" s="1"/>
  <c r="G61" i="9"/>
  <c r="H61" i="9" s="1"/>
  <c r="G60" i="9"/>
  <c r="H60" i="9" s="1"/>
  <c r="G59" i="9"/>
  <c r="H59" i="9" s="1"/>
  <c r="G57" i="9"/>
  <c r="H57" i="9" s="1"/>
  <c r="G56" i="9"/>
  <c r="H56" i="9" s="1"/>
  <c r="G54" i="9"/>
  <c r="H54" i="9" s="1"/>
  <c r="G52" i="9"/>
  <c r="H52" i="9" s="1"/>
  <c r="G49" i="9"/>
  <c r="H49" i="9" s="1"/>
  <c r="G48" i="9"/>
  <c r="H48" i="9" s="1"/>
  <c r="G45" i="9"/>
  <c r="H45" i="9" s="1"/>
  <c r="G44" i="9"/>
  <c r="H44" i="9" s="1"/>
  <c r="G43" i="9"/>
  <c r="H43" i="9" s="1"/>
  <c r="G42" i="9"/>
  <c r="H42" i="9" s="1"/>
  <c r="G41" i="9"/>
  <c r="H41" i="9" s="1"/>
  <c r="G40" i="9"/>
  <c r="H40" i="9" s="1"/>
  <c r="G39" i="9"/>
  <c r="H39" i="9" s="1"/>
  <c r="G38" i="9"/>
  <c r="H38" i="9" s="1"/>
  <c r="G32" i="9"/>
  <c r="H32" i="9" s="1"/>
  <c r="G29" i="9"/>
  <c r="H29" i="9" s="1"/>
  <c r="G26" i="9"/>
  <c r="H26" i="9" s="1"/>
  <c r="G25" i="9"/>
  <c r="H25" i="9" s="1"/>
  <c r="G24" i="9"/>
  <c r="H24" i="9" s="1"/>
  <c r="G23" i="9"/>
  <c r="H23" i="9" s="1"/>
  <c r="G22" i="9"/>
  <c r="H22" i="9" s="1"/>
  <c r="G21" i="9"/>
  <c r="H21" i="9" s="1"/>
  <c r="G20" i="9"/>
  <c r="H20" i="9" s="1"/>
  <c r="G19" i="9"/>
  <c r="H19" i="9" s="1"/>
  <c r="G18" i="9"/>
  <c r="H18" i="9" s="1"/>
  <c r="G17" i="9"/>
  <c r="H17" i="9" s="1"/>
  <c r="G16" i="9"/>
  <c r="H16" i="9" s="1"/>
  <c r="G15" i="9"/>
  <c r="H15" i="9" s="1"/>
  <c r="G14" i="9"/>
  <c r="H14" i="9" s="1"/>
  <c r="G13" i="9"/>
  <c r="H13" i="9" s="1"/>
  <c r="G12" i="9"/>
  <c r="H12" i="9" s="1"/>
  <c r="G10" i="9"/>
  <c r="H10" i="9" s="1"/>
  <c r="G9" i="9"/>
  <c r="H9" i="9" s="1"/>
  <c r="G8" i="9"/>
  <c r="H8" i="9" s="1"/>
  <c r="G7" i="9"/>
  <c r="H7" i="9" s="1"/>
  <c r="G6" i="9"/>
  <c r="H6" i="9" s="1"/>
  <c r="G660" i="4" l="1"/>
  <c r="H660" i="4" s="1"/>
  <c r="G637" i="4"/>
  <c r="H637" i="4" s="1"/>
  <c r="H471" i="4"/>
  <c r="G298" i="4"/>
  <c r="AE370" i="4" l="1"/>
  <c r="AF370" i="4" s="1"/>
  <c r="AE357" i="4"/>
  <c r="AF357" i="4" s="1"/>
  <c r="AC341" i="4"/>
  <c r="AE340" i="4"/>
  <c r="AF340" i="4" s="1"/>
  <c r="AE311" i="4"/>
  <c r="AF311" i="4" s="1"/>
  <c r="AE398" i="4"/>
  <c r="AF398" i="4" s="1"/>
  <c r="AE430" i="4"/>
  <c r="AF430" i="4" s="1"/>
  <c r="AE447" i="4"/>
  <c r="AF447" i="4" s="1"/>
  <c r="AE519" i="4"/>
  <c r="AF519" i="4" s="1"/>
  <c r="AE470" i="4"/>
  <c r="AF470" i="4" s="1"/>
  <c r="J470" i="4"/>
  <c r="K679" i="4"/>
  <c r="K670" i="4"/>
  <c r="K678" i="4"/>
  <c r="K657" i="4"/>
  <c r="K648" i="4"/>
  <c r="K656" i="4"/>
  <c r="K649" i="4"/>
  <c r="K671" i="4"/>
  <c r="J519" i="4"/>
  <c r="U649" i="4" l="1"/>
  <c r="T649" i="4"/>
  <c r="R649" i="4"/>
  <c r="S649" i="4"/>
  <c r="U678" i="4"/>
  <c r="T678" i="4"/>
  <c r="S678" i="4"/>
  <c r="R678" i="4"/>
  <c r="U670" i="4"/>
  <c r="T670" i="4"/>
  <c r="S670" i="4"/>
  <c r="R670" i="4"/>
  <c r="U648" i="4"/>
  <c r="T648" i="4"/>
  <c r="R648" i="4"/>
  <c r="S648" i="4"/>
  <c r="U679" i="4"/>
  <c r="T679" i="4"/>
  <c r="S679" i="4"/>
  <c r="R679" i="4"/>
  <c r="U671" i="4"/>
  <c r="T671" i="4"/>
  <c r="S671" i="4"/>
  <c r="R671" i="4"/>
  <c r="U657" i="4"/>
  <c r="T657" i="4"/>
  <c r="R657" i="4"/>
  <c r="S657" i="4"/>
  <c r="U656" i="4"/>
  <c r="T656" i="4"/>
  <c r="R656" i="4"/>
  <c r="S656" i="4"/>
  <c r="G341" i="4"/>
  <c r="H341" i="4" s="1"/>
  <c r="G6" i="4"/>
  <c r="G362" i="4"/>
  <c r="J370" i="4" l="1"/>
  <c r="J340" i="4"/>
  <c r="J357" i="4"/>
  <c r="G33" i="4" l="1"/>
  <c r="H275" i="4" l="1"/>
  <c r="AE303" i="4" l="1"/>
  <c r="AF303" i="4" s="1"/>
  <c r="AE298" i="4"/>
  <c r="AF298" i="4" s="1"/>
  <c r="AE274" i="4"/>
  <c r="AF274" i="4" s="1"/>
  <c r="J298" i="4"/>
  <c r="J274" i="4"/>
  <c r="J303" i="4"/>
  <c r="H71" i="4"/>
  <c r="AE106" i="4" l="1"/>
  <c r="AF106" i="4" s="1"/>
  <c r="AE98" i="4"/>
  <c r="AF98" i="4" s="1"/>
  <c r="AE113" i="4"/>
  <c r="AF113" i="4" s="1"/>
  <c r="AE70" i="4"/>
  <c r="AF70" i="4" s="1"/>
  <c r="J70" i="4"/>
  <c r="K151" i="4"/>
  <c r="K136" i="4"/>
  <c r="J113" i="4"/>
  <c r="J106" i="4"/>
  <c r="J98" i="4"/>
  <c r="G106" i="4"/>
  <c r="H106" i="4" s="1"/>
  <c r="G107" i="4"/>
  <c r="H107" i="4" s="1"/>
  <c r="G41" i="4"/>
  <c r="H41" i="4" s="1"/>
  <c r="G42" i="4"/>
  <c r="H42" i="4" s="1"/>
  <c r="T136" i="4" l="1"/>
  <c r="U136" i="4"/>
  <c r="S136" i="4"/>
  <c r="R136" i="4"/>
  <c r="T151" i="4"/>
  <c r="U151" i="4"/>
  <c r="S151" i="4"/>
  <c r="R151" i="4"/>
  <c r="K106" i="4"/>
  <c r="R106" i="4" l="1"/>
  <c r="U106" i="4"/>
  <c r="S106" i="4"/>
  <c r="T106" i="4"/>
  <c r="H6" i="4"/>
  <c r="G7" i="4"/>
  <c r="G302" i="4"/>
  <c r="AE49" i="4" l="1"/>
  <c r="AF49" i="4" s="1"/>
  <c r="AE41" i="4"/>
  <c r="AF41" i="4" s="1"/>
  <c r="AE33" i="4"/>
  <c r="AF33" i="4" s="1"/>
  <c r="AE5" i="4" a="1"/>
  <c r="AE5" i="4" s="1"/>
  <c r="AF5" i="4" s="1"/>
  <c r="AE63" i="4"/>
  <c r="AF63" i="4" s="1"/>
  <c r="AE56" i="4"/>
  <c r="AF56" i="4" s="1"/>
  <c r="J41" i="4"/>
  <c r="K41" i="4" s="1"/>
  <c r="J63" i="4"/>
  <c r="J33" i="4"/>
  <c r="J56" i="4"/>
  <c r="J49" i="4"/>
  <c r="J5" i="4" a="1"/>
  <c r="J5" i="4" s="1"/>
  <c r="H302" i="4"/>
  <c r="G280" i="4"/>
  <c r="H280" i="4" s="1"/>
  <c r="G380" i="4"/>
  <c r="H380" i="4" s="1"/>
  <c r="G379" i="4"/>
  <c r="H379" i="4" s="1"/>
  <c r="G378" i="4"/>
  <c r="H378" i="4" s="1"/>
  <c r="H377" i="4"/>
  <c r="H376" i="4"/>
  <c r="G375" i="4"/>
  <c r="H375" i="4" s="1"/>
  <c r="G374" i="4"/>
  <c r="H374" i="4" s="1"/>
  <c r="G373" i="4"/>
  <c r="H373" i="4" s="1"/>
  <c r="H362" i="4"/>
  <c r="G355" i="4"/>
  <c r="H355" i="4" s="1"/>
  <c r="G354" i="4"/>
  <c r="H354" i="4" s="1"/>
  <c r="G353" i="4"/>
  <c r="H353" i="4" s="1"/>
  <c r="R41" i="4" l="1"/>
  <c r="U41" i="4"/>
  <c r="S41" i="4"/>
  <c r="T41" i="4"/>
  <c r="G372" i="4"/>
  <c r="H372" i="4" s="1"/>
  <c r="G371" i="4"/>
  <c r="H371" i="4" s="1"/>
  <c r="G370" i="4"/>
  <c r="H370" i="4" s="1"/>
  <c r="G368" i="4"/>
  <c r="H368" i="4" s="1"/>
  <c r="G367" i="4"/>
  <c r="H367" i="4" s="1"/>
  <c r="G366" i="4"/>
  <c r="H366" i="4" s="1"/>
  <c r="H365" i="4"/>
  <c r="H364" i="4"/>
  <c r="G363" i="4"/>
  <c r="H363" i="4" s="1"/>
  <c r="G361" i="4"/>
  <c r="H361" i="4" s="1"/>
  <c r="G360" i="4"/>
  <c r="H360" i="4" s="1"/>
  <c r="G359" i="4"/>
  <c r="H359" i="4" s="1"/>
  <c r="G358" i="4"/>
  <c r="H358" i="4" s="1"/>
  <c r="G357" i="4"/>
  <c r="H357" i="4" s="1"/>
  <c r="G352" i="4"/>
  <c r="H352" i="4" s="1"/>
  <c r="G351" i="4"/>
  <c r="H351" i="4" s="1"/>
  <c r="G350" i="4"/>
  <c r="H350" i="4" s="1"/>
  <c r="H349" i="4"/>
  <c r="H348" i="4"/>
  <c r="G347" i="4"/>
  <c r="H347" i="4" s="1"/>
  <c r="G346" i="4"/>
  <c r="H346" i="4" s="1"/>
  <c r="G345" i="4"/>
  <c r="H345" i="4" s="1"/>
  <c r="G344" i="4"/>
  <c r="H344" i="4" s="1"/>
  <c r="G343" i="4"/>
  <c r="H343" i="4" s="1"/>
  <c r="G342" i="4"/>
  <c r="H342" i="4" s="1"/>
  <c r="G340" i="4"/>
  <c r="H340" i="4" s="1"/>
  <c r="G301" i="4" l="1"/>
  <c r="H301" i="4" s="1"/>
  <c r="G300" i="4"/>
  <c r="H300" i="4" s="1"/>
  <c r="G299" i="4"/>
  <c r="H299" i="4" s="1"/>
  <c r="H298" i="4"/>
  <c r="G35" i="4"/>
  <c r="H35" i="4" s="1"/>
  <c r="G536" i="4"/>
  <c r="H536" i="4" s="1"/>
  <c r="G488" i="4"/>
  <c r="H488" i="4" s="1"/>
  <c r="G630" i="4"/>
  <c r="H630" i="4" s="1"/>
  <c r="G629" i="4"/>
  <c r="H629" i="4" s="1"/>
  <c r="G625" i="4"/>
  <c r="H625" i="4" s="1"/>
  <c r="G624" i="4"/>
  <c r="H624" i="4" s="1"/>
  <c r="G620" i="4"/>
  <c r="H620" i="4" s="1"/>
  <c r="G619" i="4"/>
  <c r="H619" i="4" s="1"/>
  <c r="G615" i="4"/>
  <c r="H615" i="4" s="1"/>
  <c r="G614" i="4"/>
  <c r="H614" i="4" s="1"/>
  <c r="G486" i="4"/>
  <c r="H486" i="4" s="1"/>
  <c r="G534" i="4"/>
  <c r="H534" i="4" s="1"/>
  <c r="G310" i="4"/>
  <c r="H310" i="4" s="1"/>
  <c r="G309" i="4"/>
  <c r="H309" i="4" s="1"/>
  <c r="G308" i="4"/>
  <c r="H308" i="4" s="1"/>
  <c r="G305" i="4"/>
  <c r="H305" i="4" s="1"/>
  <c r="G306" i="4"/>
  <c r="H306" i="4" s="1"/>
  <c r="G307" i="4"/>
  <c r="H307" i="4" s="1"/>
  <c r="G304" i="4"/>
  <c r="H304" i="4" s="1"/>
  <c r="G303" i="4"/>
  <c r="H303" i="4" s="1"/>
  <c r="G544" i="4"/>
  <c r="H544" i="4" s="1"/>
  <c r="G496" i="4"/>
  <c r="H496" i="4" s="1"/>
  <c r="H548" i="4"/>
  <c r="H547" i="4"/>
  <c r="G546" i="4"/>
  <c r="H546" i="4" s="1"/>
  <c r="G545" i="4"/>
  <c r="H545" i="4" s="1"/>
  <c r="G533" i="4"/>
  <c r="H533" i="4" s="1"/>
  <c r="G532" i="4"/>
  <c r="H532" i="4" s="1"/>
  <c r="G531" i="4"/>
  <c r="H531" i="4" s="1"/>
  <c r="G530" i="4"/>
  <c r="H530" i="4" s="1"/>
  <c r="G529" i="4"/>
  <c r="H529" i="4" s="1"/>
  <c r="G528" i="4"/>
  <c r="H528" i="4" s="1"/>
  <c r="G527" i="4"/>
  <c r="H527" i="4" s="1"/>
  <c r="G526" i="4"/>
  <c r="H526" i="4" s="1"/>
  <c r="G525" i="4"/>
  <c r="H525" i="4" s="1"/>
  <c r="G524" i="4"/>
  <c r="H524" i="4" s="1"/>
  <c r="G523" i="4"/>
  <c r="H523" i="4" s="1"/>
  <c r="G522" i="4"/>
  <c r="H522" i="4" s="1"/>
  <c r="G521" i="4"/>
  <c r="H521" i="4" s="1"/>
  <c r="G520" i="4"/>
  <c r="H520" i="4" s="1"/>
  <c r="G519" i="4"/>
  <c r="H519" i="4" s="1"/>
  <c r="G485" i="4"/>
  <c r="H485" i="4" s="1"/>
  <c r="G501" i="4"/>
  <c r="H501" i="4" s="1"/>
  <c r="H500" i="4"/>
  <c r="H499" i="4"/>
  <c r="G498" i="4"/>
  <c r="H498" i="4" s="1"/>
  <c r="G484" i="4"/>
  <c r="H484" i="4" s="1"/>
  <c r="G483" i="4"/>
  <c r="H483" i="4" s="1"/>
  <c r="G482" i="4"/>
  <c r="H482" i="4" s="1"/>
  <c r="G481" i="4"/>
  <c r="H481" i="4" s="1"/>
  <c r="G473" i="4"/>
  <c r="H473" i="4" s="1"/>
  <c r="G474" i="4"/>
  <c r="H474" i="4" s="1"/>
  <c r="G475" i="4"/>
  <c r="H475" i="4" s="1"/>
  <c r="G476" i="4"/>
  <c r="H476" i="4" s="1"/>
  <c r="G477" i="4"/>
  <c r="H477" i="4" s="1"/>
  <c r="G478" i="4"/>
  <c r="H478" i="4" s="1"/>
  <c r="G479" i="4"/>
  <c r="H479" i="4" s="1"/>
  <c r="G480" i="4"/>
  <c r="H480" i="4" s="1"/>
  <c r="G497" i="4"/>
  <c r="H497" i="4" s="1"/>
  <c r="G472" i="4"/>
  <c r="H472" i="4" s="1"/>
  <c r="G470" i="4"/>
  <c r="H470" i="4" s="1"/>
  <c r="G116" i="4"/>
  <c r="H116" i="4" s="1"/>
  <c r="G109" i="4"/>
  <c r="H109" i="4" s="1"/>
  <c r="G102" i="4"/>
  <c r="H102" i="4" s="1"/>
  <c r="G75" i="4"/>
  <c r="H75" i="4" s="1"/>
  <c r="G643" i="4"/>
  <c r="H643" i="4" s="1"/>
  <c r="G628" i="4"/>
  <c r="H628" i="4" s="1"/>
  <c r="G627" i="4"/>
  <c r="H627" i="4" s="1"/>
  <c r="G626" i="4"/>
  <c r="H626" i="4" s="1"/>
  <c r="G623" i="4"/>
  <c r="H623" i="4" s="1"/>
  <c r="G622" i="4"/>
  <c r="H622" i="4" s="1"/>
  <c r="G621" i="4"/>
  <c r="H621" i="4" s="1"/>
  <c r="G618" i="4"/>
  <c r="H618" i="4" s="1"/>
  <c r="G617" i="4"/>
  <c r="H617" i="4" s="1"/>
  <c r="G616" i="4"/>
  <c r="H616" i="4" s="1"/>
  <c r="G613" i="4"/>
  <c r="H613" i="4" s="1"/>
  <c r="G612" i="4"/>
  <c r="H612" i="4" s="1"/>
  <c r="G610" i="4"/>
  <c r="H610" i="4" s="1"/>
  <c r="H274" i="4"/>
  <c r="G279" i="4"/>
  <c r="H279" i="4" s="1"/>
  <c r="G278" i="4"/>
  <c r="H278" i="4" s="1"/>
  <c r="G277" i="4"/>
  <c r="H277" i="4" s="1"/>
  <c r="G276" i="4"/>
  <c r="H276" i="4" s="1"/>
  <c r="G113" i="4"/>
  <c r="H113" i="4" s="1"/>
  <c r="G115" i="4"/>
  <c r="H115" i="4" s="1"/>
  <c r="G114" i="4"/>
  <c r="H114" i="4" s="1"/>
  <c r="G108" i="4"/>
  <c r="H108" i="4" s="1"/>
  <c r="G98" i="4"/>
  <c r="H98" i="4" s="1"/>
  <c r="G101" i="4"/>
  <c r="H101" i="4" s="1"/>
  <c r="G100" i="4"/>
  <c r="H100" i="4" s="1"/>
  <c r="G99" i="4"/>
  <c r="H99" i="4" s="1"/>
  <c r="G74" i="4"/>
  <c r="H74" i="4" s="1"/>
  <c r="G73" i="4"/>
  <c r="H73" i="4" s="1"/>
  <c r="G72" i="4"/>
  <c r="H72" i="4" s="1"/>
  <c r="G70" i="4"/>
  <c r="H70" i="4" s="1"/>
  <c r="G45" i="4"/>
  <c r="H45" i="4" s="1"/>
  <c r="G44" i="4"/>
  <c r="H44" i="4" s="1"/>
  <c r="G43" i="4"/>
  <c r="H43" i="4" s="1"/>
  <c r="H33" i="4"/>
  <c r="G37" i="4"/>
  <c r="H37" i="4" s="1"/>
  <c r="G36" i="4"/>
  <c r="H36" i="4" s="1"/>
  <c r="G34" i="4"/>
  <c r="H34" i="4" s="1"/>
  <c r="G10" i="4"/>
  <c r="H10" i="4" s="1"/>
  <c r="G9" i="4"/>
  <c r="H9" i="4" s="1"/>
  <c r="G8" i="4"/>
  <c r="H8" i="4" s="1"/>
  <c r="H7" i="4"/>
  <c r="H5" i="4"/>
  <c r="G66" i="4"/>
  <c r="H66" i="4" s="1"/>
  <c r="G65" i="4"/>
  <c r="H65" i="4" s="1"/>
  <c r="G64" i="4"/>
  <c r="H64" i="4" s="1"/>
  <c r="G63" i="4"/>
  <c r="H63" i="4" s="1"/>
  <c r="G59" i="4"/>
  <c r="H59" i="4" s="1"/>
  <c r="G58" i="4"/>
  <c r="H58" i="4" s="1"/>
  <c r="G57" i="4"/>
  <c r="H57" i="4" s="1"/>
  <c r="G56" i="4"/>
  <c r="H56" i="4" s="1"/>
  <c r="G52" i="4"/>
  <c r="H52" i="4" s="1"/>
  <c r="G51" i="4"/>
  <c r="H51" i="4" s="1"/>
  <c r="G50" i="4"/>
  <c r="H50" i="4" s="1"/>
  <c r="G49" i="4"/>
  <c r="H49" i="4" s="1"/>
  <c r="G677" i="4"/>
  <c r="H677" i="4" s="1"/>
  <c r="G676" i="4"/>
  <c r="H676" i="4" s="1"/>
  <c r="G675" i="4"/>
  <c r="H675" i="4" s="1"/>
  <c r="G674" i="4"/>
  <c r="H674" i="4" s="1"/>
  <c r="G673" i="4"/>
  <c r="H673" i="4" s="1"/>
  <c r="G672" i="4"/>
  <c r="H672" i="4" s="1"/>
  <c r="G669" i="4"/>
  <c r="H669" i="4" s="1"/>
  <c r="G668" i="4"/>
  <c r="H668" i="4" s="1"/>
  <c r="G667" i="4"/>
  <c r="H667" i="4" s="1"/>
  <c r="G666" i="4"/>
  <c r="H666" i="4" s="1"/>
  <c r="G659" i="4"/>
  <c r="H659" i="4" s="1"/>
  <c r="G658" i="4"/>
  <c r="H658" i="4" s="1"/>
  <c r="G655" i="4"/>
  <c r="H655" i="4" s="1"/>
  <c r="G654" i="4"/>
  <c r="H654" i="4" s="1"/>
  <c r="G653" i="4"/>
  <c r="H653" i="4" s="1"/>
  <c r="G652" i="4"/>
  <c r="H652" i="4" s="1"/>
  <c r="G651" i="4"/>
  <c r="H651" i="4" s="1"/>
  <c r="G650" i="4"/>
  <c r="H650" i="4" s="1"/>
  <c r="G647" i="4"/>
  <c r="H647" i="4" s="1"/>
  <c r="G646" i="4"/>
  <c r="H646" i="4" s="1"/>
  <c r="G645" i="4"/>
  <c r="H645" i="4" s="1"/>
  <c r="G644" i="4"/>
  <c r="H644" i="4" s="1"/>
  <c r="H636" i="4"/>
  <c r="B65" i="3"/>
  <c r="K519" i="4" l="1"/>
  <c r="K644" i="4"/>
  <c r="K652" i="4"/>
  <c r="K620" i="4"/>
  <c r="K610" i="4"/>
  <c r="K617" i="4"/>
  <c r="K613" i="4"/>
  <c r="K627" i="4"/>
  <c r="K33" i="4"/>
  <c r="K623" i="4"/>
  <c r="K5" i="4"/>
  <c r="K56" i="4"/>
  <c r="K621" i="4"/>
  <c r="K645" i="4"/>
  <c r="K647" i="4"/>
  <c r="K651" i="4"/>
  <c r="K653" i="4"/>
  <c r="K646" i="4"/>
  <c r="K654" i="4"/>
  <c r="K113" i="4"/>
  <c r="K274" i="4"/>
  <c r="K618" i="4"/>
  <c r="K643" i="4"/>
  <c r="K628" i="4"/>
  <c r="K622" i="4"/>
  <c r="K298" i="4"/>
  <c r="K626" i="4"/>
  <c r="K612" i="4"/>
  <c r="K667" i="4"/>
  <c r="K675" i="4"/>
  <c r="K615" i="4"/>
  <c r="K619" i="4"/>
  <c r="K625" i="4"/>
  <c r="K659" i="4"/>
  <c r="K669" i="4"/>
  <c r="K673" i="4"/>
  <c r="K677" i="4"/>
  <c r="K650" i="4"/>
  <c r="K668" i="4"/>
  <c r="K676" i="4"/>
  <c r="K63" i="4"/>
  <c r="K630" i="4"/>
  <c r="K658" i="4"/>
  <c r="K672" i="4"/>
  <c r="K666" i="4"/>
  <c r="K674" i="4"/>
  <c r="K303" i="4"/>
  <c r="K629" i="4"/>
  <c r="K70" i="4"/>
  <c r="K98" i="4"/>
  <c r="K655" i="4"/>
  <c r="K49" i="4"/>
  <c r="K470" i="4"/>
  <c r="K616" i="4"/>
  <c r="K636" i="4"/>
  <c r="K614" i="4"/>
  <c r="K624" i="4"/>
  <c r="R49" i="4" l="1"/>
  <c r="U49" i="4"/>
  <c r="T49" i="4"/>
  <c r="S49" i="4"/>
  <c r="U672" i="4"/>
  <c r="T672" i="4"/>
  <c r="S672" i="4"/>
  <c r="R672" i="4"/>
  <c r="U673" i="4"/>
  <c r="T673" i="4"/>
  <c r="S673" i="4"/>
  <c r="R673" i="4"/>
  <c r="U612" i="4"/>
  <c r="T612" i="4"/>
  <c r="R612" i="4"/>
  <c r="S612" i="4"/>
  <c r="U628" i="4"/>
  <c r="T628" i="4"/>
  <c r="R628" i="4"/>
  <c r="S628" i="4"/>
  <c r="R56" i="4"/>
  <c r="U56" i="4"/>
  <c r="S56" i="4"/>
  <c r="T56" i="4"/>
  <c r="U620" i="4"/>
  <c r="T620" i="4"/>
  <c r="R620" i="4"/>
  <c r="S620" i="4"/>
  <c r="U655" i="4"/>
  <c r="T655" i="4"/>
  <c r="R655" i="4"/>
  <c r="S655" i="4"/>
  <c r="U658" i="4"/>
  <c r="T658" i="4"/>
  <c r="R658" i="4"/>
  <c r="S658" i="4"/>
  <c r="U669" i="4"/>
  <c r="T669" i="4"/>
  <c r="S669" i="4"/>
  <c r="R669" i="4"/>
  <c r="U626" i="4"/>
  <c r="T626" i="4"/>
  <c r="R626" i="4"/>
  <c r="S626" i="4"/>
  <c r="U654" i="4"/>
  <c r="T654" i="4"/>
  <c r="R654" i="4"/>
  <c r="S654" i="4"/>
  <c r="U647" i="4"/>
  <c r="T647" i="4"/>
  <c r="R647" i="4"/>
  <c r="S647" i="4"/>
  <c r="U613" i="4"/>
  <c r="T613" i="4"/>
  <c r="R613" i="4"/>
  <c r="S613" i="4"/>
  <c r="U616" i="4"/>
  <c r="T616" i="4"/>
  <c r="R616" i="4"/>
  <c r="S616" i="4"/>
  <c r="U674" i="4"/>
  <c r="T674" i="4"/>
  <c r="S674" i="4"/>
  <c r="R674" i="4"/>
  <c r="U630" i="4"/>
  <c r="T630" i="4"/>
  <c r="R630" i="4"/>
  <c r="S630" i="4"/>
  <c r="U650" i="4"/>
  <c r="T650" i="4"/>
  <c r="R650" i="4"/>
  <c r="S650" i="4"/>
  <c r="U659" i="4"/>
  <c r="T659" i="4"/>
  <c r="R659" i="4"/>
  <c r="S659" i="4"/>
  <c r="U675" i="4"/>
  <c r="T675" i="4"/>
  <c r="S675" i="4"/>
  <c r="R675" i="4"/>
  <c r="U298" i="4"/>
  <c r="T298" i="4"/>
  <c r="R298" i="4"/>
  <c r="S298" i="4"/>
  <c r="U618" i="4"/>
  <c r="T618" i="4"/>
  <c r="R618" i="4"/>
  <c r="S618" i="4"/>
  <c r="U646" i="4"/>
  <c r="T646" i="4"/>
  <c r="R646" i="4"/>
  <c r="S646" i="4"/>
  <c r="U645" i="4"/>
  <c r="T645" i="4"/>
  <c r="R645" i="4"/>
  <c r="S645" i="4"/>
  <c r="U623" i="4"/>
  <c r="T623" i="4"/>
  <c r="R623" i="4"/>
  <c r="S623" i="4"/>
  <c r="U617" i="4"/>
  <c r="T617" i="4"/>
  <c r="R617" i="4"/>
  <c r="S617" i="4"/>
  <c r="U644" i="4"/>
  <c r="T644" i="4"/>
  <c r="R644" i="4"/>
  <c r="S644" i="4"/>
  <c r="U614" i="4"/>
  <c r="T614" i="4"/>
  <c r="R614" i="4"/>
  <c r="S614" i="4"/>
  <c r="U629" i="4"/>
  <c r="T629" i="4"/>
  <c r="R629" i="4"/>
  <c r="S629" i="4"/>
  <c r="U676" i="4"/>
  <c r="T676" i="4"/>
  <c r="S676" i="4"/>
  <c r="R676" i="4"/>
  <c r="U619" i="4"/>
  <c r="T619" i="4"/>
  <c r="R619" i="4"/>
  <c r="S619" i="4"/>
  <c r="T113" i="4"/>
  <c r="R113" i="4"/>
  <c r="S113" i="4"/>
  <c r="U113" i="4"/>
  <c r="U651" i="4"/>
  <c r="T651" i="4"/>
  <c r="R651" i="4"/>
  <c r="S651" i="4"/>
  <c r="U627" i="4"/>
  <c r="T627" i="4"/>
  <c r="R627" i="4"/>
  <c r="S627" i="4"/>
  <c r="U636" i="4"/>
  <c r="T636" i="4"/>
  <c r="R636" i="4"/>
  <c r="S636" i="4"/>
  <c r="U303" i="4"/>
  <c r="T303" i="4"/>
  <c r="R303" i="4"/>
  <c r="S303" i="4"/>
  <c r="U668" i="4"/>
  <c r="T668" i="4"/>
  <c r="S668" i="4"/>
  <c r="R668" i="4"/>
  <c r="U615" i="4"/>
  <c r="T615" i="4"/>
  <c r="R615" i="4"/>
  <c r="S615" i="4"/>
  <c r="U643" i="4"/>
  <c r="T643" i="4"/>
  <c r="R643" i="4"/>
  <c r="S643" i="4"/>
  <c r="R5" i="4"/>
  <c r="U5" i="4"/>
  <c r="S5" i="4"/>
  <c r="T5" i="4"/>
  <c r="U652" i="4"/>
  <c r="T652" i="4"/>
  <c r="R652" i="4"/>
  <c r="S652" i="4"/>
  <c r="R98" i="4"/>
  <c r="U98" i="4"/>
  <c r="T98" i="4"/>
  <c r="S98" i="4"/>
  <c r="U624" i="4"/>
  <c r="T624" i="4"/>
  <c r="R624" i="4"/>
  <c r="S624" i="4"/>
  <c r="U470" i="4"/>
  <c r="T470" i="4"/>
  <c r="R470" i="4"/>
  <c r="S470" i="4"/>
  <c r="R70" i="4"/>
  <c r="U70" i="4"/>
  <c r="T70" i="4"/>
  <c r="S70" i="4"/>
  <c r="U666" i="4"/>
  <c r="T666" i="4"/>
  <c r="S666" i="4"/>
  <c r="R666" i="4"/>
  <c r="R63" i="4"/>
  <c r="U63" i="4"/>
  <c r="T63" i="4"/>
  <c r="S63" i="4"/>
  <c r="U677" i="4"/>
  <c r="T677" i="4"/>
  <c r="S677" i="4"/>
  <c r="R677" i="4"/>
  <c r="U625" i="4"/>
  <c r="T625" i="4"/>
  <c r="R625" i="4"/>
  <c r="S625" i="4"/>
  <c r="U667" i="4"/>
  <c r="T667" i="4"/>
  <c r="S667" i="4"/>
  <c r="R667" i="4"/>
  <c r="U622" i="4"/>
  <c r="T622" i="4"/>
  <c r="R622" i="4"/>
  <c r="S622" i="4"/>
  <c r="U274" i="4"/>
  <c r="T274" i="4"/>
  <c r="R274" i="4"/>
  <c r="S274" i="4"/>
  <c r="U653" i="4"/>
  <c r="T653" i="4"/>
  <c r="R653" i="4"/>
  <c r="S653" i="4"/>
  <c r="U621" i="4"/>
  <c r="T621" i="4"/>
  <c r="R621" i="4"/>
  <c r="S621" i="4"/>
  <c r="R33" i="4"/>
  <c r="U33" i="4"/>
  <c r="T33" i="4"/>
  <c r="S33" i="4"/>
  <c r="U610" i="4"/>
  <c r="T610" i="4"/>
  <c r="R610" i="4"/>
  <c r="S610" i="4"/>
  <c r="U519" i="4"/>
  <c r="T519" i="4"/>
  <c r="R519" i="4"/>
  <c r="S519" i="4"/>
  <c r="K370" i="4"/>
  <c r="K357" i="4"/>
  <c r="K340" i="4"/>
  <c r="U357" i="4" l="1"/>
  <c r="T357" i="4"/>
  <c r="R357" i="4"/>
  <c r="S357" i="4"/>
  <c r="U340" i="4"/>
  <c r="T340" i="4"/>
  <c r="R340" i="4"/>
  <c r="S340" i="4"/>
  <c r="U370" i="4"/>
  <c r="T370" i="4"/>
  <c r="R370" i="4"/>
  <c r="S370" i="4"/>
  <c r="H120" i="4"/>
  <c r="K120" i="4" s="1"/>
  <c r="T120" i="4" l="1"/>
  <c r="S120" i="4"/>
  <c r="U120" i="4"/>
  <c r="R120" i="4"/>
  <c r="J601" i="4"/>
  <c r="K601" i="4" s="1"/>
  <c r="J596" i="4"/>
  <c r="K596" i="4" s="1"/>
  <c r="J600" i="4"/>
  <c r="K600" i="4" s="1"/>
  <c r="J595" i="4"/>
  <c r="K595" i="4" s="1"/>
  <c r="J593" i="4"/>
  <c r="K593" i="4" s="1"/>
  <c r="J603" i="4"/>
  <c r="K603" i="4" s="1"/>
  <c r="J594" i="4"/>
  <c r="K594" i="4" s="1"/>
  <c r="J602" i="4"/>
  <c r="K602" i="4" s="1"/>
  <c r="J598" i="4"/>
  <c r="K598" i="4" s="1"/>
  <c r="J599" i="4"/>
  <c r="K599" i="4" s="1"/>
  <c r="J597" i="4"/>
  <c r="K597" i="4" s="1"/>
  <c r="K586" i="4"/>
  <c r="U602" i="4" l="1"/>
  <c r="T602" i="4"/>
  <c r="R602" i="4"/>
  <c r="S602" i="4"/>
  <c r="U600" i="4"/>
  <c r="T600" i="4"/>
  <c r="R600" i="4"/>
  <c r="S600" i="4"/>
  <c r="U586" i="4"/>
  <c r="T586" i="4"/>
  <c r="R586" i="4"/>
  <c r="S586" i="4"/>
  <c r="U595" i="4"/>
  <c r="T595" i="4"/>
  <c r="R595" i="4"/>
  <c r="S595" i="4"/>
  <c r="U597" i="4"/>
  <c r="T597" i="4"/>
  <c r="R597" i="4"/>
  <c r="S597" i="4"/>
  <c r="U594" i="4"/>
  <c r="T594" i="4"/>
  <c r="R594" i="4"/>
  <c r="S594" i="4"/>
  <c r="U599" i="4"/>
  <c r="T599" i="4"/>
  <c r="R599" i="4"/>
  <c r="S599" i="4"/>
  <c r="U603" i="4"/>
  <c r="T603" i="4"/>
  <c r="R603" i="4"/>
  <c r="S603" i="4"/>
  <c r="U596" i="4"/>
  <c r="T596" i="4"/>
  <c r="R596" i="4"/>
  <c r="S596" i="4"/>
  <c r="U598" i="4"/>
  <c r="T598" i="4"/>
  <c r="R598" i="4"/>
  <c r="S598" i="4"/>
  <c r="U593" i="4"/>
  <c r="T593" i="4"/>
  <c r="R593" i="4"/>
  <c r="S593" i="4"/>
  <c r="U601" i="4"/>
  <c r="T601" i="4"/>
  <c r="R601" i="4"/>
  <c r="S601" i="4"/>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<sst xmlns="http://schemas.openxmlformats.org/spreadsheetml/2006/main" count="22697" uniqueCount="3467">
  <si>
    <t>TARIF N°4 - LOT5 - MATINFO5</t>
  </si>
  <si>
    <t>DATE DE SOUMISSION</t>
  </si>
  <si>
    <t>VERSION</t>
  </si>
  <si>
    <t>AJOUT</t>
  </si>
  <si>
    <t>le 22/03/2022</t>
  </si>
  <si>
    <t>Tarif n°4</t>
  </si>
  <si>
    <r>
      <t xml:space="preserve">08/03/2022 suite à la Keynote Apple </t>
    </r>
    <r>
      <rPr>
        <sz val="16"/>
        <color rgb="FF2CAB42"/>
        <rFont val="Calibri (Corps)"/>
      </rPr>
      <t>nouveaux</t>
    </r>
    <r>
      <rPr>
        <sz val="16"/>
        <color rgb="FF2CAB42"/>
        <rFont val="Calibri"/>
        <family val="2"/>
        <scheme val="minor"/>
      </rPr>
      <t xml:space="preserve"> iPad Air 10,9 et nouvelle configuration Mac Studio</t>
    </r>
  </si>
  <si>
    <r>
      <t xml:space="preserve"> iMac 21,5 et 27“ </t>
    </r>
    <r>
      <rPr>
        <sz val="16"/>
        <color rgb="FFFF0000"/>
        <rFont val="Calibri (Corps)"/>
      </rPr>
      <t>obsolètes</t>
    </r>
    <r>
      <rPr>
        <sz val="16"/>
        <color rgb="FFFF0000"/>
        <rFont val="Calibri"/>
        <family val="2"/>
        <scheme val="minor"/>
      </rPr>
      <t xml:space="preserve"> et sorties de la gamme Apple</t>
    </r>
  </si>
  <si>
    <t>Baisse de prix sur des références de passages pour les 2 Mac pro (stockage, carte graphique)</t>
  </si>
  <si>
    <t>Modification des références sur les passages de claviers portables (IE anglais International, BR anglais Britannique et US anglais américain)</t>
  </si>
  <si>
    <t>Onglet services : modification références et désignation Ecocare par E-Care et augmentation des prix</t>
  </si>
  <si>
    <t>Ajout de nouveaux étuis de protection iPad et  housses pour MacBook Pro 13 et 14“</t>
  </si>
  <si>
    <t>le 25/10/2021</t>
  </si>
  <si>
    <t>Tarif n°3_V1</t>
  </si>
  <si>
    <t>18/10/2021 Keynote Apple : 2 nouveaux modèles MacBook Pro 14“ et 16“</t>
  </si>
  <si>
    <t>Supression de la gamme MacBook Pro 13“ et 16“ INTEL</t>
  </si>
  <si>
    <t>Augmentation de prix sur logiciels Apple</t>
  </si>
  <si>
    <t>Ajout de nouveaux accessoires (multi marques)</t>
  </si>
  <si>
    <t>le 24/09/2021</t>
  </si>
  <si>
    <t>Tarif n°2_V1</t>
  </si>
  <si>
    <t>14/09/2021 Suite à la Keynote Apple annonce de nouveaux modèles : iPad 10,2" et iPad mini</t>
  </si>
  <si>
    <t>Correction de prix sur les garanties optionnelles (Pro et Platine 7 et 8 ans)</t>
  </si>
  <si>
    <t>Ajout d'accessoires (smart folio pour nouveaux ipad + hub Satechi )</t>
  </si>
  <si>
    <t>le 25/08/2021</t>
  </si>
  <si>
    <t>Tarif n°1_V2</t>
  </si>
  <si>
    <t>03/08/2021 changement Apple : Introduction de nouvelles cartes graphique pour Mac Pro + suppression des références obsolètes</t>
  </si>
  <si>
    <t>Création de nouvelles références de garantie pour chaque gamme iPad ( iPad 10,2"iPad Air, et iPad Pro 11 &amp; 12")</t>
  </si>
  <si>
    <t>Correction du prix public sur MacBook Pro 16" (MVVM2F/A + MVVK2F/A) erreur de prix</t>
  </si>
  <si>
    <t>Correction des prix public (sans l'écotaxe) sur la gamme MacBook Pro 13" M1 et intel</t>
  </si>
  <si>
    <t>Introduction de nouveaux claviers "magic keyboard pour Mac et iPad</t>
  </si>
  <si>
    <r>
      <rPr>
        <sz val="16"/>
        <color theme="1"/>
        <rFont val="Calibri (Corps)"/>
      </rPr>
      <t>Introduction de n</t>
    </r>
    <r>
      <rPr>
        <sz val="16"/>
        <color theme="1"/>
        <rFont val="Calibri"/>
        <family val="2"/>
        <scheme val="minor"/>
      </rPr>
      <t>ouveaux accessoires Apple, Satechi</t>
    </r>
  </si>
  <si>
    <t>Suppression des produits obsolètes</t>
  </si>
  <si>
    <t>le 19/07/2021</t>
  </si>
  <si>
    <t>Tarif n°1_V1</t>
  </si>
  <si>
    <t>Introdution d'une page de garde</t>
  </si>
  <si>
    <t>Nouveaux onglets créés : accessoires et logiciels, service et location</t>
  </si>
  <si>
    <t>Suppression du moniteur Apple 32"</t>
  </si>
  <si>
    <t xml:space="preserve">Mise à jour de la gamme des iMacs et introduction des iMacs 24" </t>
  </si>
  <si>
    <t xml:space="preserve">Suppression du contrat Apple Care Entreprise 5 ans </t>
  </si>
  <si>
    <t>Introduction des moniteurs Viewsonic et  Samsung</t>
  </si>
  <si>
    <t>Introduction des accessoires ancienne génération de portables</t>
  </si>
  <si>
    <t>Introduction d'accessoires Mobilis pour iPad</t>
  </si>
  <si>
    <t>Introduction de barrettes mémoire pour station fixes (iMac et Mac Pro)</t>
  </si>
  <si>
    <t>Introduction de chariots Lockncharge</t>
  </si>
  <si>
    <t>Introduction de la nouvelle gamme iPad Pro 11 et 12,9" puce M1 (à l'exception de la capacité de stockage de 2To)</t>
  </si>
  <si>
    <t>modification et création d'une seule référence de "gravure", suppression des références par "tranche"</t>
  </si>
  <si>
    <t>Modification de référence et désignation sur l'option de garantie ECOCARE</t>
  </si>
  <si>
    <t>LÉGENDE</t>
  </si>
  <si>
    <t>Coeff locatif 12 mois</t>
  </si>
  <si>
    <t>Coeff locatif 24 mois</t>
  </si>
  <si>
    <t>Coeff locatif 36 mois</t>
  </si>
  <si>
    <t>Coeff locatif 48 mois</t>
  </si>
  <si>
    <r>
      <rPr>
        <b/>
        <sz val="14"/>
        <color rgb="FF2CAB42"/>
        <rFont val="Calibri (Corps)"/>
      </rPr>
      <t>Vert: Nouveauté</t>
    </r>
    <r>
      <rPr>
        <b/>
        <sz val="14"/>
        <color theme="1"/>
        <rFont val="Calibri"/>
        <family val="2"/>
        <scheme val="minor"/>
      </rPr>
      <t xml:space="preserve"> -</t>
    </r>
    <r>
      <rPr>
        <b/>
        <sz val="14"/>
        <color rgb="FFFF0000"/>
        <rFont val="Calibri (Corps)"/>
      </rPr>
      <t xml:space="preserve"> Rouge: Suppression</t>
    </r>
    <r>
      <rPr>
        <b/>
        <sz val="14"/>
        <color theme="1"/>
        <rFont val="Calibri"/>
        <family val="2"/>
        <scheme val="minor"/>
      </rPr>
      <t xml:space="preserve"> - </t>
    </r>
    <r>
      <rPr>
        <b/>
        <sz val="14"/>
        <color rgb="FFFFC000"/>
        <rFont val="Calibri (Corps)"/>
      </rPr>
      <t>Jaune: Modification</t>
    </r>
  </si>
  <si>
    <t>CLASSIFICATION BU</t>
  </si>
  <si>
    <t>Catégories - Configurations</t>
  </si>
  <si>
    <t>Nomenclatures CPV</t>
  </si>
  <si>
    <t>Code NACRES</t>
  </si>
  <si>
    <t>durée de location</t>
  </si>
  <si>
    <t>ANCIEN TARIF N°3 VALIDE AU 04/11/2021</t>
  </si>
  <si>
    <t>Réf. article fournisseur</t>
  </si>
  <si>
    <t xml:space="preserve">Libellé de l'article </t>
    <phoneticPr fontId="2" type="noConversion"/>
  </si>
  <si>
    <t>Unité de vente</t>
  </si>
  <si>
    <t>Marque</t>
  </si>
  <si>
    <t>Réf. article fabricant</t>
  </si>
  <si>
    <t>Prix public par unité de vente en € HT</t>
  </si>
  <si>
    <t>Taux de remise en %</t>
  </si>
  <si>
    <t>Prix net remisé par unité de vente en € HT</t>
  </si>
  <si>
    <t>Réf. extension garantie obligatoire</t>
  </si>
  <si>
    <t>Prix Passage à une garantie obligatoire</t>
  </si>
  <si>
    <t>Prix total remisé configuration</t>
  </si>
  <si>
    <t>Taxe Copie Privée en € HT</t>
  </si>
  <si>
    <t>Ecotaxe en € HT</t>
  </si>
  <si>
    <t>Statistiques Matinfo 4</t>
  </si>
  <si>
    <t>MGN93FN/A</t>
  </si>
  <si>
    <t>MacBook Air 13" argent / M1 CPU 8 cœurs GPU 7 cœurs / 8 Go / 256 Go SSD / 2xThunderbolt USB 4 / Wi‑Fi 6 802.11ax / Bluetooth 5.0</t>
  </si>
  <si>
    <t>APPLE</t>
  </si>
  <si>
    <t>MI5-MBA-13-5-PLUS</t>
  </si>
  <si>
    <t>-</t>
  </si>
  <si>
    <t>Catégorie 1 - Portables legers - Configuration 1</t>
  </si>
  <si>
    <t xml:space="preserve">30213100-6 </t>
  </si>
  <si>
    <t>IA12</t>
  </si>
  <si>
    <t>Garantie 5 ans formule Plus pour MacBook Air (intervention à J+1 - réparation à J+3 ou MacBook Air de prêt)</t>
  </si>
  <si>
    <t>ECONOCOM</t>
  </si>
  <si>
    <t>PRODUCT CARE</t>
  </si>
  <si>
    <t>Extensions de garantie</t>
  </si>
  <si>
    <t xml:space="preserve"> 66515000-3</t>
  </si>
  <si>
    <t>IC02</t>
  </si>
  <si>
    <t>CTO-MGN93-16GB</t>
  </si>
  <si>
    <t>Passage à 16 Go de mémoire unifiée pour MacBook Air MGN93FN/A</t>
  </si>
  <si>
    <t>IA25</t>
  </si>
  <si>
    <t>CTO-MGN93-SSD512</t>
  </si>
  <si>
    <t>Passage à 512 Go de stockage SSD pour MacBook Air MGN93FN/A</t>
  </si>
  <si>
    <t>CTO-MGN93-SSD1To</t>
  </si>
  <si>
    <t>Passage à 1 To de stockage SSD pour MacBook Air MGN93FN/A</t>
  </si>
  <si>
    <t>CTO-MGN93-SSD2To</t>
  </si>
  <si>
    <t>Passage à 2 To de stockage SSD pour MacBook Air MGN93FN/A</t>
  </si>
  <si>
    <t>CTO-MGN93-QUS</t>
  </si>
  <si>
    <t>Passage à un clavier rétro-éclairé anglais américain &amp; guide utilisateur anglais pour MacBook Air MGN93FN/A</t>
  </si>
  <si>
    <t>Passage à un clavier rétro-éclairé américain &amp; guide utilisateur anglais pour MacBook Air MGN93FN/A</t>
  </si>
  <si>
    <t>CTO-MGN93-QBR</t>
  </si>
  <si>
    <t>Passage à un clavier rétro-éclairé anglais Britannique &amp; guide utilisateur anglais pour MacBook Air MGN93FN/A</t>
  </si>
  <si>
    <t>Passage à un clavier rétro-éclairé anglais Britanique &amp; guide utilisateur anglais pour MacBook Air MGN93FN/A</t>
  </si>
  <si>
    <t>CTO-MGN93-QIE</t>
  </si>
  <si>
    <t>Passage à un clavier rétro-éclairé anglais International &amp; guide utilisateur anglais pour MacBook Air MGN93FN/A</t>
  </si>
  <si>
    <t>OPTION CLAVIERS "LANGUES" disponibles pour les références : (MGN93 + MGN63 + MGND3 + MGNA3 + MGN73 + MGNE3)</t>
  </si>
  <si>
    <t>existe en :  allemand / espagnol / italien / suisse</t>
  </si>
  <si>
    <t>existe en : anglais international / allemand / espagnol / italien / suisse</t>
  </si>
  <si>
    <t>MI5-MBA-13-6-PLUS</t>
  </si>
  <si>
    <r>
      <t xml:space="preserve">Passage à une garantie 6 ans </t>
    </r>
    <r>
      <rPr>
        <b/>
        <sz val="10"/>
        <rFont val="Calibri (Corps)"/>
      </rPr>
      <t>formule Plus</t>
    </r>
    <r>
      <rPr>
        <b/>
        <sz val="10"/>
        <rFont val="Calibri"/>
        <family val="2"/>
        <scheme val="minor"/>
      </rPr>
      <t xml:space="preserve"> pour MacBook Air (intervention à J+1 - réparation à J+3 ou MacBook Air de prêt)</t>
    </r>
  </si>
  <si>
    <t>MI5-MBA-13-7-PLUS</t>
  </si>
  <si>
    <r>
      <t xml:space="preserve">Passage à une garantie 7 ans </t>
    </r>
    <r>
      <rPr>
        <b/>
        <sz val="10"/>
        <rFont val="Calibri (Corps)"/>
      </rPr>
      <t>formule Plus</t>
    </r>
    <r>
      <rPr>
        <b/>
        <sz val="10"/>
        <rFont val="Calibri"/>
        <family val="2"/>
        <scheme val="minor"/>
      </rPr>
      <t xml:space="preserve"> pour MacBook Air (intervention à J+1 - réparation à J+3 ou MacBook Air de prêt)</t>
    </r>
  </si>
  <si>
    <t>MI5-MBA-13-8-PLUS</t>
  </si>
  <si>
    <r>
      <t xml:space="preserve">Passage à une garantie 8 ans </t>
    </r>
    <r>
      <rPr>
        <b/>
        <sz val="10"/>
        <rFont val="Calibri (Corps)"/>
      </rPr>
      <t>formule Plus</t>
    </r>
    <r>
      <rPr>
        <b/>
        <sz val="10"/>
        <rFont val="Calibri"/>
        <family val="2"/>
        <scheme val="minor"/>
      </rPr>
      <t xml:space="preserve"> pour MacBook Air (intervention à J+1 - réparation à J+3 ou MacBook Air de prêt)</t>
    </r>
  </si>
  <si>
    <t>MI5-MBA-13-5-PRO</t>
  </si>
  <si>
    <r>
      <t xml:space="preserve">Passage à une garantie 5 ans </t>
    </r>
    <r>
      <rPr>
        <b/>
        <sz val="10"/>
        <rFont val="Calibri (Corps)"/>
      </rPr>
      <t>formule Pro+</t>
    </r>
    <r>
      <rPr>
        <b/>
        <sz val="10"/>
        <rFont val="Calibri"/>
        <family val="2"/>
        <scheme val="minor"/>
      </rPr>
      <t xml:space="preserve"> pour MacBook Air (diagnostic à H+4 - remplacement à J+1)</t>
    </r>
  </si>
  <si>
    <t>MI5-MBA-13-6-PRO</t>
  </si>
  <si>
    <r>
      <t xml:space="preserve">Passage à une garantie 6 ans </t>
    </r>
    <r>
      <rPr>
        <b/>
        <sz val="10"/>
        <rFont val="Calibri (Corps)"/>
      </rPr>
      <t>formule Pro+</t>
    </r>
    <r>
      <rPr>
        <b/>
        <sz val="10"/>
        <rFont val="Calibri"/>
        <family val="2"/>
        <scheme val="minor"/>
      </rPr>
      <t xml:space="preserve"> pour MacBook Air (diagnostic à H+4 - remplacement à J+1)</t>
    </r>
  </si>
  <si>
    <t>MI5-MBA-13-7-PRO</t>
  </si>
  <si>
    <r>
      <t xml:space="preserve">Passage à une garantie 7 ans </t>
    </r>
    <r>
      <rPr>
        <b/>
        <sz val="10"/>
        <rFont val="Calibri (Corps)"/>
      </rPr>
      <t>formule Pro+</t>
    </r>
    <r>
      <rPr>
        <b/>
        <sz val="10"/>
        <rFont val="Calibri"/>
        <family val="2"/>
        <scheme val="minor"/>
      </rPr>
      <t xml:space="preserve"> pour MacBook Air (diagnostic à H+4 - remplacement à J+1)</t>
    </r>
  </si>
  <si>
    <t>MI5-MBA-13-8-PRO</t>
  </si>
  <si>
    <r>
      <t xml:space="preserve">Passage à une garantie 8 ans </t>
    </r>
    <r>
      <rPr>
        <b/>
        <sz val="10"/>
        <rFont val="Calibri (Corps)"/>
      </rPr>
      <t>formule Pro+</t>
    </r>
    <r>
      <rPr>
        <b/>
        <sz val="10"/>
        <rFont val="Calibri"/>
        <family val="2"/>
        <scheme val="minor"/>
      </rPr>
      <t xml:space="preserve"> pour MacBook Air (diagnostic à H+4 - remplacement à J+1)</t>
    </r>
  </si>
  <si>
    <t>MI5-MBA-13-5-PLATINE</t>
  </si>
  <si>
    <r>
      <t xml:space="preserve">Passage à une garantie 5 ans formule </t>
    </r>
    <r>
      <rPr>
        <b/>
        <sz val="10"/>
        <rFont val="Calibri (Corps)"/>
      </rPr>
      <t>Platine</t>
    </r>
    <r>
      <rPr>
        <b/>
        <sz val="10"/>
        <rFont val="Calibri"/>
        <family val="2"/>
        <scheme val="minor"/>
      </rPr>
      <t xml:space="preserve"> pour MacBook Air (réparation sur site de J+1 à J+3 maximum)</t>
    </r>
  </si>
  <si>
    <t>MI5-MBA-13-6-PLATINE</t>
  </si>
  <si>
    <r>
      <t xml:space="preserve">Passage à une garantie 6 ans formule </t>
    </r>
    <r>
      <rPr>
        <b/>
        <sz val="10"/>
        <rFont val="Calibri (Corps)"/>
      </rPr>
      <t>Platine</t>
    </r>
    <r>
      <rPr>
        <b/>
        <sz val="10"/>
        <rFont val="Calibri"/>
        <family val="2"/>
        <scheme val="minor"/>
      </rPr>
      <t xml:space="preserve"> pour MacBook Air (réparation sur site de J+1 à J+3 maximum)</t>
    </r>
  </si>
  <si>
    <t>MI5-MBA-13-7-PLATINE</t>
  </si>
  <si>
    <r>
      <t xml:space="preserve">Passage à une garantie 7 ans formule </t>
    </r>
    <r>
      <rPr>
        <b/>
        <sz val="10"/>
        <rFont val="Calibri (Corps)"/>
      </rPr>
      <t>Platine</t>
    </r>
    <r>
      <rPr>
        <b/>
        <sz val="10"/>
        <rFont val="Calibri"/>
        <family val="2"/>
        <scheme val="minor"/>
      </rPr>
      <t xml:space="preserve"> pour MacBook Air (réparation sur site de J+1 à J+3 maximum)</t>
    </r>
  </si>
  <si>
    <t>MI5-MBA-13-8-PLATINE</t>
  </si>
  <si>
    <r>
      <t xml:space="preserve">Passage à une garantie 8 ans formule </t>
    </r>
    <r>
      <rPr>
        <b/>
        <sz val="10"/>
        <rFont val="Calibri (Corps)"/>
      </rPr>
      <t>Platine</t>
    </r>
    <r>
      <rPr>
        <b/>
        <sz val="10"/>
        <rFont val="Calibri"/>
        <family val="2"/>
        <scheme val="minor"/>
      </rPr>
      <t xml:space="preserve"> pour MacBook Air (réparation sur site de J+1 à J+3 maximum)</t>
    </r>
  </si>
  <si>
    <t>MI5-MBA-13-5-PLUS-INTER</t>
  </si>
  <si>
    <t>Garantie 5 ans formule Plus internationale pour MacBook Air (France : intervention à J+1 - réparation à J+3 ou MacBook Air de prêt pour la France Métropolitaine - retour atelier pour l'étranger) (remplace la garantie 5 ans formule Plus)</t>
  </si>
  <si>
    <t>MI5-MBA-13-5-PRO-INTER</t>
  </si>
  <si>
    <t>Garantie 5 ans formule Pro internationale pour MacBook Air (diagnostic à H+4 - remplacement à J+1 - retour atelier à l'étranger)(remplace la garantie 5 ans formule Plus)</t>
  </si>
  <si>
    <t>MI5-MBA-13-5-E-CARE</t>
  </si>
  <si>
    <t>Service de substitution forfaité d'une durée de 5 ans pour MacBook Air</t>
  </si>
  <si>
    <t>Service complémentaire forfaité d'assurance vol /casse/maladresse pour une durée de 5 ans pour MacBook Air</t>
  </si>
  <si>
    <t>MI5-MBA-13-8-E-CARE</t>
  </si>
  <si>
    <t>Service complémentaire forfaité d'assurance vol /casse/maladresse pour une durée de 8 ans pour MacBook Air</t>
  </si>
  <si>
    <t>MI5-MBA-13-5-E-KYOD</t>
  </si>
  <si>
    <t>Service de conservation du disque dur pour une durée de 5 ans pour MacBook Air (Keep your own drive)</t>
  </si>
  <si>
    <t>MI5-MBA-13-8-E-KYOD</t>
  </si>
  <si>
    <t>Service de conservation du disque dur pour une durée de 8 ans pour MacBook Air (Keep your own drive)</t>
  </si>
  <si>
    <t>MGN63FN/A</t>
  </si>
  <si>
    <t>MacBook Air 13" gris sidéral / M1 CPU 8 cœurs GPU 7 cœurs / 8 Go / 256 Go SSD / 2xThunderbolt USB 4 / Wi‑Fi 6 802.11ax / Bluetooth 5.0</t>
  </si>
  <si>
    <t>CTO-MGN63-16GB</t>
  </si>
  <si>
    <t>Passage à 16 Go de mémoire unifiée pour MacBook Air MGN63FN/A</t>
  </si>
  <si>
    <t>CTO-MGN63-SSD512</t>
  </si>
  <si>
    <t>Passage à 512 Go de stockage SSD pour MacBook Air MGN63FN/A</t>
  </si>
  <si>
    <t>CTO-MGN63-SSD1To</t>
  </si>
  <si>
    <t>Passage à 1 To de stockage SSD pour MacBook Air MGN63FN/A</t>
  </si>
  <si>
    <t>CTO-MGN63-SSD2To</t>
  </si>
  <si>
    <t>Passage à 2 To de stockage SSD pour MacBook Air MGN63FN/A</t>
  </si>
  <si>
    <t>CTO-MGN63-QUS</t>
  </si>
  <si>
    <t>Passage à un clavier rétro-éclairé anglais américain &amp; guide utilisateur anglais pour MacBook Air MGN63FN/A</t>
  </si>
  <si>
    <t>Passage à un clavier rétro-éclairé américain &amp; guide utilisateur anglais pour MacBook Air MGN63FN/A</t>
  </si>
  <si>
    <t>CTO-MGN63-QBR</t>
  </si>
  <si>
    <t>Passage à un clavier rétro-éclairé anglais Britannique &amp; guide utilisateur anglais pour MacBook Air MGN63FN/A</t>
  </si>
  <si>
    <t>Passage à un clavier rétro-éclairé anglais Britanique &amp; guide utilisateur anglais pour MacBook Air MGN63FN/A</t>
  </si>
  <si>
    <t>CTO-MGN63-QIE</t>
  </si>
  <si>
    <t>Passage à un clavier rétro-éclairé anglais International &amp; guide utilisateur anglais pour MacBook Air MGN63FN/A</t>
  </si>
  <si>
    <t>MGND3FN/A</t>
  </si>
  <si>
    <t>MacBook Air 13" or / M1 CPU 8 cœurs GPU 7 cœurs / 8 Go / 256 Go SSD / 2xThunderbolt USB 4 / Wi‑Fi 6 802.11ax / Bluetooth 5.0</t>
  </si>
  <si>
    <t>CTO-MGND3-16GB</t>
  </si>
  <si>
    <t>Passage à 16 Go de mémoire unifiée pour MacBook Air MGND3FN/A</t>
  </si>
  <si>
    <t>CTO-MGND3-SSD512</t>
  </si>
  <si>
    <t>Passage à 512 Go de stockage SSD pour MacBook Air MGND3FN/A</t>
  </si>
  <si>
    <t>CTO-MGND3-SSD1To</t>
  </si>
  <si>
    <t>Passage à 1 To de stockage SSD pour MacBook Air MGND3FN/A</t>
  </si>
  <si>
    <t>CTO-MGND3-SSD2To</t>
  </si>
  <si>
    <t>Passage à 2 To de stockage SSD pour MacBook Air MGND3FN/A</t>
  </si>
  <si>
    <t>CTO-MGND3-QUS</t>
  </si>
  <si>
    <t>Passage à un clavier rétro-éclairé anglais américain &amp; guide utilisateur anglais pour MacBook Air MGND3FN/A</t>
  </si>
  <si>
    <t>Passage à un clavier rétro-éclairé américain &amp; guide utilisateur anglais pour MacBook Air MGND3FN/A</t>
  </si>
  <si>
    <t>CTO-MGND3-QBR</t>
  </si>
  <si>
    <t>Passage à un clavier rétro-éclairé anglais Britannique &amp; guide utilisateur anglais pour MacBook Air MGND3FN/A</t>
  </si>
  <si>
    <t>Passage à un clavier rétro-éclairé anglais Britanique &amp; guide utilisateur anglais pour MacBook Air MGND3FN/A</t>
  </si>
  <si>
    <t>CTO-MGND3-QIE</t>
  </si>
  <si>
    <t>Passage à un clavier rétro-éclairé anglais International &amp; guide utilisateur anglais pour MacBook Air MGND3FN/A</t>
  </si>
  <si>
    <t>MGNA3FN/A</t>
  </si>
  <si>
    <t>MacBook Air 13" argent / M1 CPU 8 cœurs GPU 8 cœurs / 8 Go / 512 Go SSD / 2xThunderbolt USB 4 / Wi‑Fi 6 802.11ax / Bluetooth 5.0</t>
  </si>
  <si>
    <t>Catégorie 1 - Portables legers - Configuration 2</t>
  </si>
  <si>
    <t>CTO-MGNA3-16GB</t>
  </si>
  <si>
    <t>Passage à 16 Go de mémoire unifiée pour MacBook Air MGNA3FN/A</t>
  </si>
  <si>
    <t>CTO-MGNA3-SSD1To</t>
  </si>
  <si>
    <t>Passage à 1 To de stockage SSD pour MacBook Air MGNA3FN/A</t>
  </si>
  <si>
    <t>CTO-MGNA3-SSD2To</t>
  </si>
  <si>
    <t>Passage à 2 To de stockage SSD pour MacBook Air MGNA3FN/A</t>
  </si>
  <si>
    <t>CTO-MGNA3-QUS</t>
  </si>
  <si>
    <t>Passage à un clavier rétro-éclairé anglais américain &amp; guide utilisateur anglais pour MacBook Air MGNA3FN/A</t>
  </si>
  <si>
    <t>Passage à un clavier rétro-éclairé américain &amp; guide utilisateur anglais pour MacBook Air MGNA3FN/A</t>
  </si>
  <si>
    <t>CTO-MGNA3-QBR</t>
  </si>
  <si>
    <t>Passage à un clavier rétro-éclairé anglais Britannique &amp; guide utilisateur anglais pour MacBook Air MGNA3FN/A</t>
  </si>
  <si>
    <t>Passage à un clavier rétro-éclairé anglais Britanique &amp; guide utilisateur anglais pour MacBook Air MGNA3FN/A</t>
  </si>
  <si>
    <t>CTO-MGNA3-QIE</t>
  </si>
  <si>
    <t>Passage à un clavier rétro-éclairé anglais International &amp; guide utilisateur anglais pour MacBook Air MGNA3FN/A</t>
  </si>
  <si>
    <t>MGN73FN/A</t>
  </si>
  <si>
    <t>MacBook Air 13" gris sidéral / M1 CPU 8 cœurs GPU 8 cœurs / 8 Go / 512 Go SSD / 2xThunderbolt USB 4 / Wi‑Fi 6 802.11ax / Bluetooth 5.0</t>
  </si>
  <si>
    <t>CTO-MGN73-16GB</t>
  </si>
  <si>
    <t>Passage à 16 Go de mémoire unifiée pour MacBook Air MGN73FN/A</t>
  </si>
  <si>
    <t>CTO-MGN73-SSD1To</t>
  </si>
  <si>
    <t>Passage à 1 To de stockage SSD pour MacBook Air MGN73FN/A</t>
  </si>
  <si>
    <t>CTO-MGN73-SSD2To</t>
  </si>
  <si>
    <t>Passage à 2 To de stockage SSD pour MacBook Air MGN73FN/A</t>
  </si>
  <si>
    <t>CTO-MGN73-QUS</t>
  </si>
  <si>
    <t>Passage à un clavier rétro-éclairé anglais américain &amp; guide utilisateur anglais pour MacBook Air MGN73FN/A</t>
  </si>
  <si>
    <t>Passage à un clavier rétro-éclairé américain &amp; guide utilisateur anglais pour MacBook Air MGN73FN/A</t>
  </si>
  <si>
    <t>CTO-MGN73-QBR</t>
  </si>
  <si>
    <t>Passage à un clavier rétro-éclairé anglais Britannique &amp; guide utilisateur anglais pour MacBook Air MGN73FN/A</t>
  </si>
  <si>
    <t>Passage à un clavier rétro-éclairé anglais Britanique &amp; guide utilisateur anglais pour MacBook Air MGN73FN/A</t>
  </si>
  <si>
    <t>CTO-MGN73-QIE</t>
  </si>
  <si>
    <t>Passage à un clavier rétro-éclairé anglais International &amp; guide utilisateur anglais pour MacBook Air MGN73FN/A</t>
  </si>
  <si>
    <t>MGNE3FN/A</t>
  </si>
  <si>
    <t>MacBook Air 13" or / M1 CPU 8 cœurs GPU 8 cœurs / 8 Go / 512 Go SSD / 2xThunderbolt USB 4 / Wi‑Fi 6 802.11ax / Bluetooth 5.0</t>
  </si>
  <si>
    <t>CTO-MGNE3-16GB</t>
  </si>
  <si>
    <t>Passage à 16 Go de mémoire unifiée pour MacBook Air MGNE3FN/A</t>
  </si>
  <si>
    <t>CTO-MGNE3-SSD1To</t>
  </si>
  <si>
    <t>Passage à 1 To de stockage SSD pour MacBook Air MGNE3FN/A</t>
  </si>
  <si>
    <t>CTO-MGNE3-SSD2To</t>
  </si>
  <si>
    <t>Passage à 2 To de stockage SSD pour MacBook Air MGNE3FN/A</t>
  </si>
  <si>
    <t>CTO-MGNE3-QUS</t>
  </si>
  <si>
    <t>Passage à un clavier rétro-éclairé anglais américain &amp; guide utilisateur anglais pour MacBook Air MGNE3FN/A</t>
  </si>
  <si>
    <t>Passage à un clavier rétro-éclairé américain &amp; guide utilisateur anglais pour MacBook Air MGNE3FN/A</t>
  </si>
  <si>
    <t>CTO-MGNE3-QBR</t>
  </si>
  <si>
    <t>Passage à un clavier rétro-éclairé anglais Britannique &amp; guide utilisateur anglais pour MacBook Air MGNE3FN/A</t>
  </si>
  <si>
    <t>Passage à un clavier rétro-éclairé anglais Britanique &amp; guide utilisateur anglais pour MacBook Air MGNE3FN/A</t>
  </si>
  <si>
    <t>CTO-MGNE3-QIE</t>
  </si>
  <si>
    <t>Passage à un clavier rétro-éclairé anglais International &amp; guide utilisateur anglais pour MacBook Air MGNE3FN/A</t>
  </si>
  <si>
    <t>MYDA2FN/A</t>
  </si>
  <si>
    <t>MacBook Pro 13" argent Touch Bar / M1 CPU 8 cœurs GPU 8 cœurs / 8 Go / 256 Go SSD / 2xThunderbolt USB 4 / Wi‑Fi 6 802.11ax / Bluetooth 5.0</t>
  </si>
  <si>
    <t>MI5-MBP-13-5-PLUS</t>
  </si>
  <si>
    <t>Catégorie 2 - Portables standards - Configuration 1</t>
  </si>
  <si>
    <t>IA11</t>
  </si>
  <si>
    <t>Garantie 5 ans formule Plus pour MacBook Pro 13" (intervention à J+1 - réparation à J+3 ou MacBook Pro 13" de prêt)</t>
  </si>
  <si>
    <t>CTO-MYDA2-16GB</t>
  </si>
  <si>
    <t>Passage à 16 Go de mémoire unifiée pour MacBook Pro 13" MYDA2FN/A</t>
  </si>
  <si>
    <t>CTO-MYDA2-SSD512</t>
  </si>
  <si>
    <t>Passage à 512 Go de stockage SSD pour MacBook Pro 13" MYDA2FN/A</t>
  </si>
  <si>
    <t>CTO-MYDA2-SSD1To</t>
  </si>
  <si>
    <t>Passage à 1 To de stockage SSD pour MacBook Pro 13" MYDA2FN/A</t>
  </si>
  <si>
    <t>CTO-MYDA2-SSD2To</t>
  </si>
  <si>
    <t>Passage à 2 To de stockage SSD pour MacBook Pro 13" MYDA2FN/A</t>
  </si>
  <si>
    <t>CTO-MYDA2-QUS</t>
  </si>
  <si>
    <t>Passage à un clavier rétro-éclairé anglais américain &amp; guide utilisateur anglais pour MacBook Pro 13" MYDA2FN/A</t>
  </si>
  <si>
    <t>Passage à un clavier rétro-éclairé américain &amp; guide utilisateur anglais pour MacBook Pro 13" MYDA2FN/A</t>
  </si>
  <si>
    <t>CTO-MYDA2-QBR</t>
  </si>
  <si>
    <t>Passage à un clavier rétro-éclairé anglais Britannique &amp; guide utilisateur anglais pour MacBook Pro 13" MYDA2FN/A</t>
  </si>
  <si>
    <t>Passage à un clavier rétro-éclairé anglais Britanique &amp; guide utilisateur anglais pour MacBook Pro 13" MYDA2FN/A</t>
  </si>
  <si>
    <t>CTO-MYDA2-QIE</t>
  </si>
  <si>
    <t>Passage à un clavier rétro-éclairé anglais International &amp; guide utilisateur anglais pour MacBook Pro 13“ MYDA2FN/A</t>
  </si>
  <si>
    <t>OPTION CLAVIERS "LANGUES" disponibles pour les références : (MYDA2 + MYD82 + MYDC2 + MYD92 + MWP72 + MWP42 + MWP82 + MWP52)</t>
  </si>
  <si>
    <t>existe en allemand / espagnol / italien / suisse</t>
  </si>
  <si>
    <t>existe en anglais international / allemand / espagnol / italien / suisse</t>
  </si>
  <si>
    <t>MI5-MBP-13-6-PLUS</t>
  </si>
  <si>
    <r>
      <t xml:space="preserve">Passage à une garantie 6 ans </t>
    </r>
    <r>
      <rPr>
        <b/>
        <sz val="10"/>
        <rFont val="Calibri (Corps)"/>
      </rPr>
      <t>formule Plus</t>
    </r>
    <r>
      <rPr>
        <b/>
        <sz val="10"/>
        <rFont val="Calibri"/>
        <family val="2"/>
        <scheme val="minor"/>
      </rPr>
      <t xml:space="preserve"> pour MacBook Pro 13" (intervention à J+1 - réparation à J+3 ou MacBook Pro de prêt)</t>
    </r>
  </si>
  <si>
    <t>MI5-MBP-13-7-PLUS</t>
  </si>
  <si>
    <r>
      <t xml:space="preserve">Passage à une garantie 7 ans </t>
    </r>
    <r>
      <rPr>
        <b/>
        <sz val="10"/>
        <rFont val="Calibri (Corps)"/>
      </rPr>
      <t>formule Plus</t>
    </r>
    <r>
      <rPr>
        <b/>
        <sz val="10"/>
        <rFont val="Calibri"/>
        <family val="2"/>
        <scheme val="minor"/>
      </rPr>
      <t xml:space="preserve"> pour MacBook Pro 13" (intervention à J+1 - réparation à J+3 ou MacBook Pro de prêt)</t>
    </r>
  </si>
  <si>
    <t>MI5-MBP-13-8-PLUS</t>
  </si>
  <si>
    <r>
      <t xml:space="preserve">Passage à une garantie 8 ans </t>
    </r>
    <r>
      <rPr>
        <b/>
        <sz val="10"/>
        <rFont val="Calibri (Corps)"/>
      </rPr>
      <t>formule Plus</t>
    </r>
    <r>
      <rPr>
        <b/>
        <sz val="10"/>
        <rFont val="Calibri"/>
        <family val="2"/>
        <scheme val="minor"/>
      </rPr>
      <t xml:space="preserve"> pour MacBook Pro 13" (intervention à J+1 - réparation à J+3 ou MacBook Pro de prêt)</t>
    </r>
  </si>
  <si>
    <t>MI5-MBP-13-5-PRO</t>
  </si>
  <si>
    <r>
      <t xml:space="preserve">Passage à une garantie 5 ans </t>
    </r>
    <r>
      <rPr>
        <b/>
        <sz val="10"/>
        <rFont val="Calibri (Corps)"/>
      </rPr>
      <t>formule Pro+</t>
    </r>
    <r>
      <rPr>
        <b/>
        <sz val="10"/>
        <rFont val="Calibri"/>
        <family val="2"/>
        <scheme val="minor"/>
      </rPr>
      <t xml:space="preserve"> pour MacBook Pro 13" (diagnostic à H+4 - remplacement à J+1)</t>
    </r>
  </si>
  <si>
    <t>MI5-MBP-13-6-PRO</t>
  </si>
  <si>
    <r>
      <t xml:space="preserve">Passage à une garantie 6 ans </t>
    </r>
    <r>
      <rPr>
        <b/>
        <sz val="10"/>
        <rFont val="Calibri (Corps)"/>
      </rPr>
      <t>formule Pro+</t>
    </r>
    <r>
      <rPr>
        <b/>
        <sz val="10"/>
        <rFont val="Calibri"/>
        <family val="2"/>
        <scheme val="minor"/>
      </rPr>
      <t xml:space="preserve"> pour MacBook Pro 13" (diagnostic à H+4 - remplacement à J+1)</t>
    </r>
  </si>
  <si>
    <t>MI5-MBP-13-7-PRO</t>
  </si>
  <si>
    <r>
      <t xml:space="preserve">Passage à une garantie 7 ans </t>
    </r>
    <r>
      <rPr>
        <b/>
        <sz val="10"/>
        <rFont val="Calibri (Corps)"/>
      </rPr>
      <t>formule Pro+</t>
    </r>
    <r>
      <rPr>
        <b/>
        <sz val="10"/>
        <rFont val="Calibri"/>
        <family val="2"/>
        <scheme val="minor"/>
      </rPr>
      <t xml:space="preserve"> pour MacBook Pro (diagnostic à H+4 - remplacement à J+1)</t>
    </r>
  </si>
  <si>
    <t>MI5-MBP-13-8-PRO</t>
  </si>
  <si>
    <r>
      <t xml:space="preserve">Passage à une garantie 8 ans </t>
    </r>
    <r>
      <rPr>
        <b/>
        <sz val="10"/>
        <rFont val="Calibri (Corps)"/>
      </rPr>
      <t>formule Pro+</t>
    </r>
    <r>
      <rPr>
        <b/>
        <sz val="10"/>
        <rFont val="Calibri"/>
        <family val="2"/>
        <scheme val="minor"/>
      </rPr>
      <t xml:space="preserve"> pour MacBook Pro (diagnostic à H+4 - remplacement à J+1)</t>
    </r>
  </si>
  <si>
    <t>MI5-MBP-13-5-PLATINE</t>
  </si>
  <si>
    <r>
      <t xml:space="preserve">Passage à une garantie 5 ans formule </t>
    </r>
    <r>
      <rPr>
        <b/>
        <sz val="10"/>
        <rFont val="Calibri (Corps)"/>
      </rPr>
      <t>Platine</t>
    </r>
    <r>
      <rPr>
        <b/>
        <sz val="10"/>
        <rFont val="Calibri"/>
        <family val="2"/>
        <scheme val="minor"/>
      </rPr>
      <t xml:space="preserve"> pour MacBook Pro (réparation sur site de J+1 à J+3 maximum)</t>
    </r>
  </si>
  <si>
    <t>MI5-MBP-13-6-PLATINE</t>
  </si>
  <si>
    <r>
      <t xml:space="preserve">Passage à une garantie 6 ans formule </t>
    </r>
    <r>
      <rPr>
        <b/>
        <sz val="10"/>
        <rFont val="Calibri (Corps)"/>
      </rPr>
      <t>Platine</t>
    </r>
    <r>
      <rPr>
        <b/>
        <sz val="10"/>
        <rFont val="Calibri"/>
        <family val="2"/>
        <scheme val="minor"/>
      </rPr>
      <t xml:space="preserve"> pour MacBook Pro (réparation sur site de J+1 à J+3 maximum)</t>
    </r>
  </si>
  <si>
    <t>MI5-MBP-13-7-PLATINE</t>
  </si>
  <si>
    <r>
      <t xml:space="preserve">Passage à une garantie 7 ans formule </t>
    </r>
    <r>
      <rPr>
        <b/>
        <sz val="10"/>
        <rFont val="Calibri (Corps)"/>
      </rPr>
      <t>Platine</t>
    </r>
    <r>
      <rPr>
        <b/>
        <sz val="10"/>
        <rFont val="Calibri"/>
        <family val="2"/>
        <scheme val="minor"/>
      </rPr>
      <t xml:space="preserve"> pour MacBook Pro (réparation sur site de J+1 à J+3 maximum)</t>
    </r>
  </si>
  <si>
    <t>MI5-MBP-13-8-PLATINE</t>
  </si>
  <si>
    <r>
      <t xml:space="preserve">Passage à une garantie 8 ans formule </t>
    </r>
    <r>
      <rPr>
        <b/>
        <sz val="10"/>
        <rFont val="Calibri (Corps)"/>
      </rPr>
      <t>Platine</t>
    </r>
    <r>
      <rPr>
        <b/>
        <sz val="10"/>
        <rFont val="Calibri"/>
        <family val="2"/>
        <scheme val="minor"/>
      </rPr>
      <t xml:space="preserve"> pour MacBook Pro (réparation sur site de J+1 à J+3 maximum)</t>
    </r>
  </si>
  <si>
    <t>MI5-MBP-13-5-PLUS-INTER</t>
  </si>
  <si>
    <t>Garantie 5 ans formule Plus internationale pour MacBook Pro 13" (France : intervention à J+1 - réparation à J+3 ou MacBook Air de prêt pour la France Métropolitaine - retour atelier pour l'étranger) (remplace la garantie 5 ans formule Plus)</t>
  </si>
  <si>
    <t>MI5-MBP-13-5-PRO-INTER</t>
  </si>
  <si>
    <t>Garantie 5 ans formule Pro internationale pour MacBook Pro 13" (diagnostic à H+4 - remplacement à J+1 - retour atelier à l'étranger) (remplace la garantie 5 ans formule Plus)</t>
  </si>
  <si>
    <t>MI5-MBP-13-5-E-CARE</t>
  </si>
  <si>
    <t>Service de substitution forfaité d'une durée de 5 ans pour MacBook Pro 13"</t>
  </si>
  <si>
    <t>Service complémentaire forfaité d'assurance vol /casse/maladresse pour une durée de 5 ans pour MacBook Pro 13"</t>
  </si>
  <si>
    <t>IC03</t>
  </si>
  <si>
    <t>MI5-MBP-13-8-E-CARE</t>
  </si>
  <si>
    <t>Service complémentaire forfaité d'assurance vol /casse/maladresse pour une durée de 8 ans pour MacBook Pro 13"</t>
  </si>
  <si>
    <t>IC04</t>
  </si>
  <si>
    <t>MI5-MBP-13-5-E-KYOD</t>
  </si>
  <si>
    <t>Service de conservation du disque dur pour une durée de 5 ans pour MacBook Pro (Keep your own drive)</t>
  </si>
  <si>
    <t>IC05</t>
  </si>
  <si>
    <t>MI5-MBP-13-8-E-KYOD</t>
  </si>
  <si>
    <t>Service de conservation du disque dur pour une durée de 8 ans pour MacBook Pro (Keep your own drive)</t>
  </si>
  <si>
    <t>IC06</t>
  </si>
  <si>
    <t>MYD82FN/A</t>
  </si>
  <si>
    <t>MacBook Pro 13" gris sidéral Touch Bar / M1 CPU 8 cœurs GPU 8 cœurs / 8 Go / 256 Go SSD / 2xThunderbolt USB 4 / Wi‑Fi 6 802.11ax / Bluetooth 5.0</t>
  </si>
  <si>
    <t>CTO-MYD82-16GB</t>
  </si>
  <si>
    <t>Passage à 16 Go de mémoire unifiée pour MacBook Pro 13" MYD82FN/A</t>
  </si>
  <si>
    <t>CTO-MYD82-SSD512</t>
  </si>
  <si>
    <t>Passage à 512 Go de stockage SSD pour MacBook Pro 13" MYD82FN/A</t>
  </si>
  <si>
    <t>CTO-MYD82-SSD1To</t>
  </si>
  <si>
    <t>Passage à 1 To de stockage SSD pour MacBook Pro 13" MYD82FN/A</t>
  </si>
  <si>
    <t>CTO-MYD82-SSD2To</t>
  </si>
  <si>
    <t>Passage à 2 To de stockage SSD pour MacBook Pro 13" MYD82FN/A</t>
  </si>
  <si>
    <t>CTO-MYD82-QUS</t>
  </si>
  <si>
    <t>Passage à un clavier rétro-éclairé anglais américain &amp; guide utilisateur anglais pour MacBook Pro 13" MYD82FN/A</t>
  </si>
  <si>
    <t>Passage à un clavier rétro-éclairé américain &amp; guide utilisateur anglais pour MacBook Pro 13" MYD82FN/A</t>
  </si>
  <si>
    <t>CTO-MYD82-QBR</t>
  </si>
  <si>
    <t>Passage à un clavier rétro-éclairé anglais Britannique &amp; guide utilisateur anglais pour MacBook Pro 13" MYD82FN/A</t>
  </si>
  <si>
    <t>Passage à un clavier rétro-éclairé anglais Britanique &amp; guide utilisateur anglais pour MacBook Pro 13" MYD82FN/A</t>
  </si>
  <si>
    <t>CTO-MYD82-QIE</t>
  </si>
  <si>
    <t>Passage à un clavier rétro-éclairé anglais International &amp; guide utilisateur anglais pour MacBook Pro 13“ MYD82FN/A</t>
  </si>
  <si>
    <t>MYDC2FN/A</t>
  </si>
  <si>
    <t>MacBook Pro 13" argent Touch Bar / M1 CPU 8 cœurs GPU 8 cœurs / 8 Go / 512 Go SSD / 2xThunderbolt USB 4 / Wi‑Fi 6 802.11ax / Bluetooth 5.0</t>
  </si>
  <si>
    <t>Catégorie 2 - Portables standards - Configuration 2</t>
  </si>
  <si>
    <t>CTO-MYDC2-16GB</t>
  </si>
  <si>
    <t>Passage à 16 Go de mémoire unifiée pour MacBook Pro 13" MYDC2FN/A</t>
  </si>
  <si>
    <t>CTO-MYDC2-SSD1To</t>
  </si>
  <si>
    <t>Passage à 1 To de stockage SSD pour MacBook Pro 13" MYDC2FN/A</t>
  </si>
  <si>
    <t>CTO-MYDC2-SSD2To</t>
  </si>
  <si>
    <t>Passage à 2 To de stockage SSD pour MacBook Pro 13" MYDC2FN/A</t>
  </si>
  <si>
    <t>CTO-MYDC2-QUS</t>
  </si>
  <si>
    <t>Passage à un clavier rétro-éclairé anglais américain &amp; guide utilisateur anglais pour MacBook Pro 13" MYDC2FN/A</t>
  </si>
  <si>
    <t>Passage à un clavier rétro-éclairé américain &amp; guide utilisateur anglais pour MacBook Pro 13" MYDC2FN/A</t>
  </si>
  <si>
    <t>CTO-MYDC2-QBR</t>
  </si>
  <si>
    <t>Passage à un clavier rétro-éclairé anglais Britannique &amp; guide utilisateur anglais pour MacBook Pro 13" MYDC2FN/A</t>
  </si>
  <si>
    <t>Passage à un clavier rétro-éclairé anglais Britanique &amp; guide utilisateur anglais pour MacBook Pro 13" MYDC2FN/A</t>
  </si>
  <si>
    <t>CTO-MYDC2-QIE</t>
  </si>
  <si>
    <t>Passage à un clavier rétro-éclairé anglais International &amp; guide utilisateur anglais pour MacBook Pro 13“ MYDC2FN/A</t>
  </si>
  <si>
    <t>MYD92FN/A</t>
  </si>
  <si>
    <t>MacBook Pro 13" gris sidéral Touch Bar / M1 CPU 8 cœurs GPU 8 cœurs / 8 Go / 512 Go SSD / 2xThunderbolt USB 4 / Wi‑Fi 6 802.11ax / Bluetooth 5.0</t>
  </si>
  <si>
    <t>CTO-MYD92-16GB</t>
  </si>
  <si>
    <t>Passage à 16 Go de mémoire unifiée pour MacBook Pro 13" MYD92FN/A</t>
  </si>
  <si>
    <t>CTO-MYD92-SSD1To</t>
  </si>
  <si>
    <t>Passage à 1 To de stockage SSD pour MacBook Pro 13" MYD92FN/A</t>
  </si>
  <si>
    <t>CTO-MYD92-SSD2To</t>
  </si>
  <si>
    <t>Passage à 2 To de stockage SSD pour MacBook Pro 13" MYD92FN/A</t>
  </si>
  <si>
    <t>CTO-MYD92-QUS</t>
  </si>
  <si>
    <t>Passage à un clavier rétro-éclairé anglais américain &amp; guide utilisateur anglais pour MacBook Pro 13" MYD92FN/A</t>
  </si>
  <si>
    <t>Passage à un clavier rétro-éclairé américain &amp; guide utilisateur anglais pour MacBook Pro 13" MYD92FN/A</t>
  </si>
  <si>
    <t>CTO-MYD92-QBR</t>
  </si>
  <si>
    <t>Catégorie 2 - Portables standards - Configuration 3</t>
  </si>
  <si>
    <t>30213100-7</t>
  </si>
  <si>
    <t>IA26</t>
  </si>
  <si>
    <t>CTO-MYD92-QIE</t>
  </si>
  <si>
    <t>Passage à un clavier rétro-éclairé anglais International &amp; guide utilisateur anglais pour MacBook Pro 13“ MYD92FN/A</t>
  </si>
  <si>
    <t>MKGP3FN/A</t>
  </si>
  <si>
    <t>MacBook Pro 14" / M1 Pro CPU 8 cœurs GPU 14 cœurs / 16 Go / 512 Go SSD / 3x Thunderbolt 4 / HDMI / lecteur carte SDXC / port MagSafe 3 / Gris sidéral</t>
  </si>
  <si>
    <t>MI5-MBP-14-5-PLUS</t>
  </si>
  <si>
    <t>Catégorie 2 - Portables standards - Configuration 4</t>
  </si>
  <si>
    <t>Garantie 5 ans formule Plus pour MacBook Pro 14" (intervention à J+1 - réparation à J+3 ou MacBook Pro 14" de prêt)</t>
  </si>
  <si>
    <t>CTO-MKGP3-GPU14</t>
  </si>
  <si>
    <t>Passage à un M1 pro avec CPU 10 cœurs GPU 14 cœurs et chargeur 96 W pour MacBook Pro 14" MKGP3FN/A</t>
  </si>
  <si>
    <t>CTO-MKGP3-GPU16</t>
  </si>
  <si>
    <t>Passage à un M1 pro avec CPU 10 cœurs GPU 16 cœurs et chargeur 96 W pour MacBook Pro 14" MKGP3FN/A</t>
  </si>
  <si>
    <t>CTO-MKGP3-GPU24</t>
  </si>
  <si>
    <t>Passage à un M1 Max avec CPU 10 cœurs GPU 24 cœurs, 32 Go de mémoire unifiée et chargeur 96 W pour MacBook Pro 14" MKGP3FN/A</t>
  </si>
  <si>
    <t>CTO-MKGP3-GPU32</t>
  </si>
  <si>
    <t>Passage à un M1 Max avec CPU 10 cœurs GPU 32 cœurs, 32 Go de mémoire unifiée et chargeur 96 W pour MacBook Pro 14" MKGP3FN/A</t>
  </si>
  <si>
    <t>CTO-MKGP3-32GB</t>
  </si>
  <si>
    <t>Passage à 32 Go de mémoire unifiée pour MacBook Pro 14" (uniquement avec M1 Pro) MKGP3FN/A</t>
  </si>
  <si>
    <t>CTO-MKGP3-64GB</t>
  </si>
  <si>
    <t>Passage à 64 Go de mémoire unifiée pour MacBook Pro 14" (uniquement avec M1 Max) MKGP3FN/A</t>
  </si>
  <si>
    <t>CTO-MKGP3-SSD1To</t>
  </si>
  <si>
    <t>Passage à 1 To de stockage SSD pour MacBook Pro 14" MKGP3FN/A</t>
  </si>
  <si>
    <t>CTO-MKGP3-SSD2To</t>
  </si>
  <si>
    <t>Passage à 2 To de stockage SSD pour MacBook Pro 14" MKGP3FN/A</t>
  </si>
  <si>
    <t>CTO-MKGP3-SSD4To</t>
  </si>
  <si>
    <t>Passage à 4 To de stockage SSD pour MacBook Pro 14" MKGP3FN/A</t>
  </si>
  <si>
    <t>CTO-MKGP3-SSD8To</t>
  </si>
  <si>
    <t>Passage à 8 To de stockage SSD pour MacBook Pro 14" MKGP3FN/A</t>
  </si>
  <si>
    <t>CTO-MKGP3-96W</t>
  </si>
  <si>
    <t>Passage à un adaptateur secteur USB‑C 96 W pour MacBook Pro 14" (uniquement avec M1 Pro CPU 8 cœurs) MKGP3FN/A</t>
  </si>
  <si>
    <t>CTO-MKGP3-QUS</t>
  </si>
  <si>
    <t>Passage à un clavier rétro-éclairé anglais américain &amp; guide utilisateur anglais pour MacBook Pro 14" MKGP3FN/A</t>
  </si>
  <si>
    <t>Passage à un clavier américain &amp; guide utilisateur anglais pour MacBook Pro 14" MKGP3FN/A</t>
  </si>
  <si>
    <t>CTO-MKGP3-QIE</t>
  </si>
  <si>
    <t>Passage à un clavier rétro-éclairé anglais international &amp; guide utilisateur anglais pour MacBook Pro 14" MKGP3FN/A</t>
  </si>
  <si>
    <t>CTO-MKGP3-QUK</t>
  </si>
  <si>
    <t>Passage à un clavier anglais international &amp; guide utilisateur anglais pour MacBook Pro 14" MKGP3FN/A</t>
  </si>
  <si>
    <t>CTO-MKGP3-QBR</t>
  </si>
  <si>
    <t>Passage à un clavier rétro-éclairé anglais Britannique &amp; guide utilisateur anglais pour MacBook Pro 14“ MKGP3FN/A</t>
  </si>
  <si>
    <t>MKGR3FN/A</t>
  </si>
  <si>
    <t>MacBook Pro 14" / M1 Pro CPU 8 cœurs GPU 14 cœurs / 16 Go / 512 Go SSD / 3x Thunderbolt 4 / HDMI / lecteur carte SDXC / port MagSafe 3 / Argent</t>
  </si>
  <si>
    <t>CTO-MKGR3-GPU14</t>
  </si>
  <si>
    <t>Passage à un M1 pro avec CPU 10 cœurs GPU 14 cœurs et chargeur 96 W pour MacBook Pro 14" MKGR3FN/A</t>
  </si>
  <si>
    <t>CTO-MKGR3-GPU16</t>
  </si>
  <si>
    <t>Passage à un M1 pro avec CPU 10 cœurs GPU 16 cœurs et chargeur 96 W pour MacBook Pro 14" MKGR3FN/A</t>
  </si>
  <si>
    <t>CTO-MKGR3-GPU24</t>
  </si>
  <si>
    <t>Passage à un M1 Max avec CPU 10 cœurs GPU 24 cœurs, 32 Go de mémoire unifiée et chargeur 96 W pour MacBook Pro 14" MKGR3FN/A</t>
  </si>
  <si>
    <t>CTO-MKGR3-GPU32</t>
  </si>
  <si>
    <t>Passage à un M1 Max avec CPU 10 cœurs GPU 32 cœurs, 32 Go de mémoire unifiée et chargeur 96 W pour MacBook Pro 14" MKGR3FN/A</t>
  </si>
  <si>
    <t>CTO-MKGR3-32GB</t>
  </si>
  <si>
    <t>Passage à 32 Go de mémoire unifiée pour MacBook Pro 14" (uniquement avec M1 Pro) MKGR3FN/A</t>
  </si>
  <si>
    <t>CTO-MKGR3-64GB</t>
  </si>
  <si>
    <t>Passage à 64 Go de mémoire unifiée pour MacBook Pro 14" (uniquement avec M1 Max) MKGR3FN/A</t>
  </si>
  <si>
    <t>CTO-MKGR3-SSD1To</t>
  </si>
  <si>
    <t>Passage à 1 To de stockage SSD pour MacBook Pro 14" MKGR3FN/A</t>
  </si>
  <si>
    <t>CTO-MKGR3-SSD2To</t>
  </si>
  <si>
    <t>Passage à 2 To de stockage SSD pour MacBook Pro 14" MKGR3FN/A</t>
  </si>
  <si>
    <t>CTO-MKGR3-SSD4To</t>
  </si>
  <si>
    <t>Passage à 4 To de stockage SSD pour MacBook Pro 14" MKGR3FN/A</t>
  </si>
  <si>
    <t>CTO-MKGR3-SSD8To</t>
  </si>
  <si>
    <t>Passage à 8 To de stockage SSD pour MacBook Pro 14" MKGR3FN/A</t>
  </si>
  <si>
    <t>CTO-MKGR3-96W</t>
  </si>
  <si>
    <t>Passage à un adaptateur secteur USB‑C 96 W pour MacBook Pro 14" (uniquement avec M1 Pro CPU 8 cœurs) MKGR3FN/A</t>
  </si>
  <si>
    <t>CTO-MKGR3-QUS</t>
  </si>
  <si>
    <t>Passage à un clavier rétro-éclairé anglais américain &amp; guide utilisateur anglais pour MacBook Pro 14" MKGR3FN/A</t>
  </si>
  <si>
    <t>Passage à un clavier américain &amp; guide utilisateur anglais pour MacBook Pro 14" MKGR3FN/A</t>
  </si>
  <si>
    <t>CTO-MKGR3-QIE</t>
  </si>
  <si>
    <t>Passage à un clavier rétro-éclairé anglais international &amp; guide utilisateur anglais pour MacBook Pro 14" MKGR3FN/A</t>
  </si>
  <si>
    <t>CTO-MKGR3-QUK</t>
  </si>
  <si>
    <t>Passage à un clavier anglais international &amp; guide utilisateur anglais pour MacBook Pro 14" MKGR3FN/A</t>
  </si>
  <si>
    <t>CTO-MKGR3-QBR</t>
  </si>
  <si>
    <t>Passage à un clavier rétro-éclairé anglais Britannique &amp; guide utilisateur anglais pour MacBook Pro 14“ MKGR3FN/A</t>
  </si>
  <si>
    <t>MKGQ3FN/A</t>
  </si>
  <si>
    <t>MacBook Pro 14" / M1 Pro CPU 10 cœurs GPU 16 cœurs / 16 Go / 1 To SSD / 3x Thunderbolt 4 / HDMI / lecteur carte SDXC / port MagSafe 3 / Gris sidéral</t>
  </si>
  <si>
    <t>Catégorie 2 - Portables standards - Configuration 5</t>
  </si>
  <si>
    <t>CTO-MKGQ3-GPU24</t>
  </si>
  <si>
    <t>Passage à un M1 Max avec CPU 10 cœurs GPU 24 cœurs, 32 Go de mémoire unifiée et chargeur 96 W pour MacBook Pro 14" MKGQ3FN/A</t>
  </si>
  <si>
    <t>CTO-MKGQ3-GPU32</t>
  </si>
  <si>
    <t>Passage à un M1 Max avec CPU 10 cœurs GPU 32 cœurs, 32 Go de mémoire unifiée et chargeur 96 W pour MacBook Pro 14" MKGQ3FN/A</t>
  </si>
  <si>
    <t>CTO-MKGQ3-32GB</t>
  </si>
  <si>
    <t>Passage à 32 Go de mémoire unifiée pour MacBook Pro 14" (uniquement avec M1 Pro) MKGQ3FN/A</t>
  </si>
  <si>
    <t>CTO-MKGQ3-64GB</t>
  </si>
  <si>
    <t>Passage à 64 Go de mémoire unifiée pour MacBook Pro 14" (uniquement avec M1 Max) MKGQ3FN/A</t>
  </si>
  <si>
    <t>CTO-MKGQ3-SSD2To</t>
  </si>
  <si>
    <t>Passage à 2 To de stockage SSD pour MacBook Pro 14" MKGQ3FN/A</t>
  </si>
  <si>
    <t>CTO-MKGQ3-SSD4To</t>
  </si>
  <si>
    <t>Passage à 4 To de stockage SSD pour MacBook Pro 14" MKGQ3FN/A</t>
  </si>
  <si>
    <t>CTO-MKGQ3-SSD8To</t>
  </si>
  <si>
    <t>Passage à 8 To de stockage SSD pour MacBook Pro 14" MKGQ3FN/A</t>
  </si>
  <si>
    <t>CTO-MKGQ3-QUS</t>
  </si>
  <si>
    <t>Passage à un clavier rétro-éclairé anglais américain &amp; guide utilisateur anglais pour MacBook Pro 14" MKGQ3FN/A</t>
  </si>
  <si>
    <t>Passage à un clavier américain &amp; guide utilisateur anglais pour MacBook Pro 14" MKGQ3FN/A</t>
  </si>
  <si>
    <t>CTO-MKGQ3-QIE</t>
  </si>
  <si>
    <t>Passage à un clavier rétro-éclairé anglais international &amp; guide utilisateur anglais pour MacBook Pro 14" MKGQ3FN/A</t>
  </si>
  <si>
    <t>CTO-MKGQ3-QUK</t>
  </si>
  <si>
    <t>Passage à un clavier anglais international &amp; guide utilisateur anglais pour MacBook Pro 14" MKGQ3FN/A</t>
  </si>
  <si>
    <t>CTO-MKGQ3-QBR</t>
  </si>
  <si>
    <t>MKGT3FN/A</t>
  </si>
  <si>
    <t>MacBook Pro 14" / M1 Pro CPU 10 cœurs GPU 16 cœurs / 16 Go / 1 To SSD / 3x Thunderbolt 4 / HDMI / lecteur carte SDXC / port MagSafe 3 / Argent</t>
  </si>
  <si>
    <t>CTO-MKGT3-GPU24</t>
  </si>
  <si>
    <t>Passage à un M1 Max avec CPU 10 cœurs GPU 24 cœurs, 32 Go de mémoire unifiée et chargeur 96 W pour MacBook Pro 14" MKGT3FN/A</t>
  </si>
  <si>
    <t>CTO-MKGT3-GPU32</t>
  </si>
  <si>
    <t>Passage à un M1 Max avec CPU 10 cœurs GPU 32 cœurs, 32 Go de mémoire unifiée et chargeur 96 W pour MacBook Pro 14" MKGT3FN/A</t>
  </si>
  <si>
    <t>CTO-MKGT3-32GB</t>
  </si>
  <si>
    <t>Passage à 32 Go de mémoire unifiée pour MacBook Pro 14" (uniquement avec M1 Pro) MKGT3FN/A</t>
  </si>
  <si>
    <t>CTO-MKGT3-64GB</t>
  </si>
  <si>
    <t>Passage à 64 Go de mémoire unifiée pour MacBook Pro 14" (uniquement avec M1 Max) MKGT3FN/A</t>
  </si>
  <si>
    <t>CTO-MKGT3-SSD2To</t>
  </si>
  <si>
    <t>Passage à 2 To de stockage SSD pour MacBook Pro 14" MKGT3FN/A</t>
  </si>
  <si>
    <t>CTO-MKGT3-SSD4To</t>
  </si>
  <si>
    <t>Passage à 4 To de stockage SSD pour MacBook Pro 14" MKGT3FN/A</t>
  </si>
  <si>
    <t>CTO-MKGT3-SSD8To</t>
  </si>
  <si>
    <t>Passage à 8 To de stockage SSD pour MacBook Pro 14" MKGT3FN/A</t>
  </si>
  <si>
    <t>CTO-MKGT3-QUS</t>
  </si>
  <si>
    <t>Passage à un clavier rétro-éclairé anglais américain &amp; guide utilisateur anglais pour MacBook Pro 14" MKGT3FN/A</t>
  </si>
  <si>
    <t>Passage à un clavier américain &amp; guide utilisateur anglais pour MacBook Pro 14" MKGT3FN/A</t>
  </si>
  <si>
    <t>CTO-MKGT3-QIE</t>
  </si>
  <si>
    <t>Passage à un clavier rétro-éclairé anglais international &amp; guide utilisateur anglais pour MacBook Pro 14" MKGT3FN/A</t>
  </si>
  <si>
    <t>CTO-MKGT3-QUK</t>
  </si>
  <si>
    <t>Passage à un clavier anglais international &amp; guide utilisateur anglais pour MacBook Pro 14" MKGT3FN/A</t>
  </si>
  <si>
    <t>CTO-MKGT3-QBR</t>
  </si>
  <si>
    <t>Passage à un clavier rétro-éclairé anglais Britannique &amp; guide utilisateur anglais pour MacBook Pro 14“ MKGT3FN/A</t>
  </si>
  <si>
    <t>OPTION CLAVIERS "LANGUES" disponibles pour les références : (MKGP3+MKGR3+MKGQ3+MKGT3)</t>
  </si>
  <si>
    <t>existe en allemand /espagnol /italien /suisse</t>
  </si>
  <si>
    <t>existe en allemand /espagnol /italien /suisse/arabe/portugais</t>
  </si>
  <si>
    <t>MI5-MBP-14-6-PLUS</t>
  </si>
  <si>
    <r>
      <t xml:space="preserve">Passage à une garantie 6 ans </t>
    </r>
    <r>
      <rPr>
        <b/>
        <sz val="10"/>
        <rFont val="Calibri (Corps)"/>
      </rPr>
      <t>formule Plus</t>
    </r>
    <r>
      <rPr>
        <b/>
        <sz val="10"/>
        <rFont val="Calibri"/>
        <family val="2"/>
        <scheme val="minor"/>
      </rPr>
      <t xml:space="preserve"> pour MacBook Pro 14" (intervention à J+1 - réparation à J+3 ou MacBook Pro 14“)</t>
    </r>
  </si>
  <si>
    <t>MI5-MBP-14-7-PLUS</t>
  </si>
  <si>
    <r>
      <t xml:space="preserve">Passage à une garantie 7 ans </t>
    </r>
    <r>
      <rPr>
        <b/>
        <sz val="10"/>
        <rFont val="Calibri (Corps)"/>
      </rPr>
      <t>formule Plus</t>
    </r>
    <r>
      <rPr>
        <b/>
        <sz val="10"/>
        <rFont val="Calibri"/>
        <family val="2"/>
        <scheme val="minor"/>
      </rPr>
      <t xml:space="preserve"> pour MacBook Pro 14" (intervention à J+1 - réparation à J+3 ou MacBook Pro 14</t>
    </r>
  </si>
  <si>
    <t>MI5-MBP-14-8-PLUS</t>
  </si>
  <si>
    <r>
      <t xml:space="preserve">Passage à une garantie 8 ans </t>
    </r>
    <r>
      <rPr>
        <b/>
        <sz val="10"/>
        <rFont val="Calibri (Corps)"/>
      </rPr>
      <t>formule Plus</t>
    </r>
    <r>
      <rPr>
        <b/>
        <sz val="10"/>
        <rFont val="Calibri"/>
        <family val="2"/>
        <scheme val="minor"/>
      </rPr>
      <t xml:space="preserve"> pour MacBook Pro 14" (intervention à J+1 - réparation à J+3 ou MacBook Pro 14“)</t>
    </r>
  </si>
  <si>
    <t>MI5-MBP-14-5-PRO</t>
  </si>
  <si>
    <r>
      <t xml:space="preserve">Passage à une garantie 5 ans </t>
    </r>
    <r>
      <rPr>
        <b/>
        <sz val="10"/>
        <rFont val="Calibri (Corps)"/>
      </rPr>
      <t>formule Pro</t>
    </r>
    <r>
      <rPr>
        <b/>
        <sz val="10"/>
        <rFont val="Calibri"/>
        <family val="2"/>
        <scheme val="minor"/>
      </rPr>
      <t xml:space="preserve"> pour MacBook Pro 14" (diagnostic à H+4 - remplacement à J+1)</t>
    </r>
  </si>
  <si>
    <t>MI5-MBP-14-6-PRO</t>
  </si>
  <si>
    <r>
      <t xml:space="preserve">Passage à une garantie 6 ans </t>
    </r>
    <r>
      <rPr>
        <b/>
        <sz val="10"/>
        <rFont val="Calibri (Corps)"/>
      </rPr>
      <t>formule Pro</t>
    </r>
    <r>
      <rPr>
        <b/>
        <sz val="10"/>
        <rFont val="Calibri"/>
        <family val="2"/>
        <scheme val="minor"/>
      </rPr>
      <t xml:space="preserve"> pour MacBook Pro 14" (diagnostic à H+4 - remplacement à J+1)</t>
    </r>
  </si>
  <si>
    <t>MI5-MBP-14-7-PRO</t>
  </si>
  <si>
    <r>
      <t xml:space="preserve">Passage à une garantie 7 ans </t>
    </r>
    <r>
      <rPr>
        <b/>
        <sz val="10"/>
        <rFont val="Calibri (Corps)"/>
      </rPr>
      <t>formule Pro</t>
    </r>
    <r>
      <rPr>
        <b/>
        <sz val="10"/>
        <rFont val="Calibri"/>
        <family val="2"/>
        <scheme val="minor"/>
      </rPr>
      <t xml:space="preserve"> pour MacBook Pro 14“ (diagnostic à H+4 - remplacement à J+1)</t>
    </r>
  </si>
  <si>
    <t>MI5-MBP-14-8-PRO</t>
  </si>
  <si>
    <r>
      <t xml:space="preserve">Passage à une garantie 8 ans </t>
    </r>
    <r>
      <rPr>
        <b/>
        <sz val="10"/>
        <rFont val="Calibri (Corps)"/>
      </rPr>
      <t>formule Pro</t>
    </r>
    <r>
      <rPr>
        <b/>
        <sz val="10"/>
        <rFont val="Calibri"/>
        <family val="2"/>
        <scheme val="minor"/>
      </rPr>
      <t xml:space="preserve"> pour MacBook Pro 14“ (diagnostic à H+4 - remplacement à J+1)</t>
    </r>
  </si>
  <si>
    <t>MI5-MBP-14-5-PLATINE</t>
  </si>
  <si>
    <r>
      <t xml:space="preserve">Passage à une garantie 5 ans formule </t>
    </r>
    <r>
      <rPr>
        <b/>
        <sz val="10"/>
        <rFont val="Calibri (Corps)"/>
      </rPr>
      <t>Platine</t>
    </r>
    <r>
      <rPr>
        <b/>
        <sz val="10"/>
        <rFont val="Calibri"/>
        <family val="2"/>
        <scheme val="minor"/>
      </rPr>
      <t xml:space="preserve"> pour MacBook Pro 14“ (réparation sur site de J+1 à J+3 maximum)</t>
    </r>
  </si>
  <si>
    <t>MI5-MBP-14-6-PLATINE</t>
  </si>
  <si>
    <r>
      <t xml:space="preserve">Passage à une garantie 6 ans formule </t>
    </r>
    <r>
      <rPr>
        <b/>
        <sz val="10"/>
        <rFont val="Calibri (Corps)"/>
      </rPr>
      <t>Platine</t>
    </r>
    <r>
      <rPr>
        <b/>
        <sz val="10"/>
        <rFont val="Calibri"/>
        <family val="2"/>
        <scheme val="minor"/>
      </rPr>
      <t xml:space="preserve"> pour MacBook Pro 14“ (réparation sur site de J+1 à J+3 maximum)</t>
    </r>
  </si>
  <si>
    <t>MI5-MBP-14-7-PLATINE</t>
  </si>
  <si>
    <r>
      <t xml:space="preserve">Passage à une garantie 7 ans formule </t>
    </r>
    <r>
      <rPr>
        <b/>
        <sz val="10"/>
        <rFont val="Calibri (Corps)"/>
      </rPr>
      <t>Platine</t>
    </r>
    <r>
      <rPr>
        <b/>
        <sz val="10"/>
        <rFont val="Calibri"/>
        <family val="2"/>
        <scheme val="minor"/>
      </rPr>
      <t xml:space="preserve"> pour MacBook Pro 14“ (réparation sur site de J+1 à J+3 maximum)</t>
    </r>
  </si>
  <si>
    <t>MI5-MBP-14-8-PLATINE</t>
  </si>
  <si>
    <r>
      <t xml:space="preserve">Passage à une garantie 8 ans formule </t>
    </r>
    <r>
      <rPr>
        <b/>
        <sz val="10"/>
        <rFont val="Calibri (Corps)"/>
      </rPr>
      <t>Platine</t>
    </r>
    <r>
      <rPr>
        <b/>
        <sz val="10"/>
        <rFont val="Calibri"/>
        <family val="2"/>
        <scheme val="minor"/>
      </rPr>
      <t xml:space="preserve"> pour MacBook Pro 14“ (réparation sur site de J+1 à J+3 maximum)</t>
    </r>
  </si>
  <si>
    <t>MI5-MBP-14-5-PLUS-INTER</t>
  </si>
  <si>
    <t>Garantie 5 ans formule Plus internationale pour MacBook Pro 14“ (France : intervention à J+1 - réparation à J+3 ou MacBook Pro 14“ pour la France Métropolitaine - retour atelier pour l'étranger) (remplace la garantie 5 ans formule Plus)</t>
  </si>
  <si>
    <t>MI5-MBP-14-5-PRO-INTER</t>
  </si>
  <si>
    <t>Garantie 5 ans formule Pro+  internationale pour MacBook Pro 14“ (diagnostic à H+4 - remplacement à J+1 - retour atelier à l'étranger) (remplace la garantie 5 ans formule Plus)</t>
  </si>
  <si>
    <t>MI5-MBP-14-5-E-CARE</t>
  </si>
  <si>
    <t>Service de substitution forfaité d'une durée de 5 ans pour MacBook Pro 14"</t>
  </si>
  <si>
    <t>Service complémentaire forfaité d'assurance vol /casse/maladresse pour une durée de 5 ans pour MacBook Pro 14"</t>
  </si>
  <si>
    <t>MI5-MBP-14-8-E-CARE</t>
  </si>
  <si>
    <t>Service complémentaire forfaité d'assurance vol /casse/maladresse pour une durée de 8 ans pour MacBook Pro 14"</t>
  </si>
  <si>
    <t>MI5-MBP-14-5-E-KYOD</t>
  </si>
  <si>
    <t>Service de conservation du disque dur pour une durée de 5 ans pour MacBook Pro 14“ (Keep your own drive)</t>
  </si>
  <si>
    <t>MI5-MBP-14-8-E-KYOD</t>
  </si>
  <si>
    <t>Service de conservation du disque dur pour une durée de 8 ans pour MacBook Pro 14“ (Keep your own drive)</t>
  </si>
  <si>
    <t>MK183FN/A</t>
  </si>
  <si>
    <t>MacBook Pro 16" / M1 Pro CPU 10 cœurs GPU 16 cœurs / 16 Go / 512 Go SSD / 3x Thunderbolt 4 / HDMI / lecteur carte SDXC / port MagSafe 3 / Gris sidéral</t>
  </si>
  <si>
    <t>MI5-MBP-16-5-PLUS</t>
  </si>
  <si>
    <t>Catégorie 2 - Portables standards - Configuration 6</t>
  </si>
  <si>
    <t>30200000-1</t>
  </si>
  <si>
    <t>Garantie 5 ans formule Plus pour MacBook Pro 16" (intervention à J+1 - réparation à J+3 ou MacBook Pro 16" de prêt)</t>
  </si>
  <si>
    <t>CTO-MK183-GPU24</t>
  </si>
  <si>
    <t>Passage à un M1 Max avec CPU 10 cœurs GPU 24 cœurs et 32 Go de mémoire unifiée pour MacBook Pro 16" MK183FN/A</t>
  </si>
  <si>
    <t>CTO-MK183-GPU32</t>
  </si>
  <si>
    <t>Passage à un M1 Max avec CPU 10 cœurs GPU 32 cœurs et 32 Go de mémoire unifiée pour MacBook Pro 16" MK183FN/A</t>
  </si>
  <si>
    <t>CTO-MK183-32GB</t>
  </si>
  <si>
    <t>Passage à 32 Go de mémoire unifiée pour MacBook Pro 16" (uniquement avec M1 Pro) MK183FN/A</t>
  </si>
  <si>
    <t>CTO-MK183-64GB</t>
  </si>
  <si>
    <t>Passage à 64 Go de mémoire unifiée pour MacBook Pro 16" (uniquement avec M1 Max) MK183FN/A</t>
  </si>
  <si>
    <t>CTO-MK183-SSD1To</t>
  </si>
  <si>
    <t>Passage à 1 To de stockage SSD pour MacBook Pro 16" MK183FN/A</t>
  </si>
  <si>
    <t>CTO-MK183-SSD2To</t>
  </si>
  <si>
    <t>Passage à 2 To de stockage SSD pour MacBook Pro 16" MK183FN/A</t>
  </si>
  <si>
    <t>CTO-MK183-SSD4To</t>
  </si>
  <si>
    <t>Passage à 4 To de stockage SSD pour MacBook Pro 16" MK183FN/A</t>
  </si>
  <si>
    <t>CTO-MK183-SSD8To</t>
  </si>
  <si>
    <t>Passage à 8 To de stockage SSD pour MacBook Pro 16" MK183FN/A</t>
  </si>
  <si>
    <t>CTO-MK183-QUS</t>
  </si>
  <si>
    <t>Passage à un clavier rétro-éclairé anglais américain &amp; guide utilisateur anglais pour MacBook Pro 16" MK183FN/A</t>
  </si>
  <si>
    <t>Passage à un clavier américain &amp; guide utilisateur anglais pour MacBook Pro 16" MK183FN/A</t>
  </si>
  <si>
    <t>CTO-MK183-QBR</t>
  </si>
  <si>
    <t>Passage à un clavier rétro-éclairé anglais Britannique &amp; guide utilisateur anglais pour MacBook Pro 16" MK183FN/A</t>
  </si>
  <si>
    <t>CTO-MK183-QUK</t>
  </si>
  <si>
    <t>Passage à un clavier anglais international &amp; guide utilisateur anglais pour MacBook Pro 16" MK183FN/A</t>
  </si>
  <si>
    <t>CTO-MK183-QIE</t>
  </si>
  <si>
    <t>Passage à un clavier rétro-éclairé anglais International &amp; guide utilisateur anglais pour MacBook Pro 16“ MK183FN/A</t>
  </si>
  <si>
    <t>MK1E3FN/A</t>
  </si>
  <si>
    <t>MacBook Pro 16" / M1 Pro CPU 10 cœurs GPU 16 cœurs / 16 Go / 512 Go SSD / 3x Thunderbolt 4 / HDMI / lecteur carte SDXC / port MagSafe 3 / Argent</t>
  </si>
  <si>
    <t>CTO-MK1E3-GPU24</t>
  </si>
  <si>
    <t>Passage à un M1 Max avec CPU 10 cœurs GPU 24 cœurs et 32 Go de mémoire unifiée pour MacBook Pro 16" MK1E3FN/A</t>
  </si>
  <si>
    <t>CTO-MK1E3-GPU32</t>
  </si>
  <si>
    <t>Passage à un M1 Max avec CPU 10 cœurs GPU 32 cœurs et 32 Go de mémoire unifiée pour MacBook Pro 16" MK1E3FN/A</t>
  </si>
  <si>
    <t>CTO-MK1E3-32GB</t>
  </si>
  <si>
    <t>Passage à 32 Go de mémoire unifiée pour MacBook Pro 16" (uniquement avec M1 Pro) MK1E3FN/A</t>
  </si>
  <si>
    <t>CTO-MK1E3-64GB</t>
  </si>
  <si>
    <t>Passage à 64 Go de mémoire unifiée pour MacBook Pro 16" (uniquement avec M1 Max) MK1E3FN/A</t>
  </si>
  <si>
    <t>CTO-MK1E3-SSD1To</t>
  </si>
  <si>
    <t>Passage à 1 To de stockage SSD pour MacBook Pro 16" MK1E3FN/A</t>
  </si>
  <si>
    <t>CTO-MK1E3-SSD2To</t>
  </si>
  <si>
    <t>Passage à 2 To de stockage SSD pour MacBook Pro 16" MK1E3FN/A</t>
  </si>
  <si>
    <t>CTO-MK1E3-SSD4To</t>
  </si>
  <si>
    <t>Passage à 4 To de stockage SSD pour MacBook Pro 16" MK1E3FN/A</t>
  </si>
  <si>
    <t>CTO-MK1E3-SSD8To</t>
  </si>
  <si>
    <t>Passage à 8 To de stockage SSD pour MacBook Pro 16" MK1E3FN/A</t>
  </si>
  <si>
    <t>CTO-MK1E3-QUS</t>
  </si>
  <si>
    <t>Passage à un clavier rétro-éclairé anglais américain &amp; guide utilisateur anglais pour MacBook Pro 16" MK1E3FN/A</t>
  </si>
  <si>
    <t>Passage à un clavier américain &amp; guide utilisateur anglais pour MacBook Pro 16" MK1E3FN/A</t>
  </si>
  <si>
    <t>CTO-MK1E3-QBR</t>
  </si>
  <si>
    <t>Passage à un clavier rétro-éclairé anglais Britannique &amp; guide utilisateur anglais pour MacBook Pro 16" MK1E3FN/A</t>
  </si>
  <si>
    <t>CTO-MK1E3-QUK</t>
  </si>
  <si>
    <t>Passage à un clavier anglais international &amp; guide utilisateur anglais pour MacBook Pro 16" MK1E3FN/A</t>
  </si>
  <si>
    <t>CTO-MK1E3-QIE</t>
  </si>
  <si>
    <t>Passage à un clavier rétro-éclairé anglais International &amp; guide utilisateur anglais pour MacBook Pro 16“ MK1E3FN/A</t>
  </si>
  <si>
    <t>MK193FN/A</t>
  </si>
  <si>
    <t>MacBook Pro 16" / M1 Pro CPU 10 cœurs GPU 16 cœurs / 16 Go / 1 To SSD / 3x Thunderbolt 4 / HDMI / lecteur carte SDXC / port MagSafe 3 / Gris sidéral</t>
  </si>
  <si>
    <t>CTO-MK193-GPU24</t>
  </si>
  <si>
    <t>Passage à un M1 Max avec CPU 10 cœurs GPU 24 cœurs et 32 Go de mémoire unifiée pour MacBook Pro 16" MK193FN/A</t>
  </si>
  <si>
    <t>CTO-MK193-GPU32</t>
  </si>
  <si>
    <t>Passage à un M1 Max avec CPU 10 cœurs GPU 32 cœurs et 32 Go de mémoire unifiée pour MacBook Pro 16" MK193FN/A</t>
  </si>
  <si>
    <t>CTO-MK193-32GB</t>
  </si>
  <si>
    <t>Passage à 32 Go de mémoire unifiée pour MacBook Pro 16" (uniquement avec M1 Pro) MK193FN/A</t>
  </si>
  <si>
    <t>CTO-MK193-64GB</t>
  </si>
  <si>
    <t>Passage à 64 Go de mémoire unifiée pour MacBook Pro 16" (uniquement avec M1 Max) MK193FN/A</t>
  </si>
  <si>
    <t>CTO-MK193-SSD2To</t>
  </si>
  <si>
    <t>Passage à 2 To de stockage SSD pour MacBook Pro 16" MK193FN/A</t>
  </si>
  <si>
    <t>CTO-MK193-SSD4To</t>
  </si>
  <si>
    <t>Passage à 4 To de stockage SSD pour MacBook Pro 16" MK193FN/A</t>
  </si>
  <si>
    <t>CTO-MK193-SSD8To</t>
  </si>
  <si>
    <t>Passage à 8 To de stockage SSD pour MacBook Pro 16" MK193FN/A</t>
  </si>
  <si>
    <t>CTO-MK193-QUS</t>
  </si>
  <si>
    <t>Passage à un clavier rétro-éclairé anglais américain &amp; guide utilisateur anglais pour MacBook Pro 16" MK193FN/A</t>
  </si>
  <si>
    <t>Passage à un clavier américain &amp; guide utilisateur anglais pour MacBook Pro 16" MK193FN/A</t>
  </si>
  <si>
    <t>CTO-MK193-QBR</t>
  </si>
  <si>
    <t>Passage à un clavier rétro-éclairé anglais Britannique &amp; guide utilisateur anglais pour MacBook Pro 16" MK193FN/A</t>
  </si>
  <si>
    <t>CTO-MK193-QUK</t>
  </si>
  <si>
    <t>Passage à un clavier anglais international &amp; guide utilisateur anglais pour MacBook Pro 16" MK193FN/A</t>
  </si>
  <si>
    <t>CTO-MK193-QIE</t>
  </si>
  <si>
    <t>Passage à un clavier rétro-éclairé anglais International &amp; guide utilisateur anglais pour MacBook Pro 16“ MK193FN/A</t>
  </si>
  <si>
    <t>MK1F3FN/A</t>
  </si>
  <si>
    <t>MacBook Pro 16" / M1 Pro CPU 10 cœurs GPU 16 cœurs / 16 Go / 1 To SSD / 3x Thunderbolt 4 / HDMI / lecteur carte SDXC / port MagSafe 3 / Argent</t>
  </si>
  <si>
    <t>CTO-MK1F3-GPU24</t>
  </si>
  <si>
    <t>Passage à un M1 Max avec CPU 10 cœurs GPU 24 cœurs et 32 Go de mémoire unifiée pour MacBook Pro 16" MK1F3FN/A</t>
  </si>
  <si>
    <t>CTO-MK1F3-GPU32</t>
  </si>
  <si>
    <t>Passage à un M1 Max avec CPU 10 cœurs GPU 32 cœurs et 32 Go de mémoire unifiée pour MacBook Pro 16" MK1F3FN/A</t>
  </si>
  <si>
    <t>CTO-MK1F3-32GB</t>
  </si>
  <si>
    <t>Passage à 32 Go de mémoire unifiée pour MacBook Pro 16" (uniquement avec M1 Pro) MK1F3FN/A</t>
  </si>
  <si>
    <t>CTO-MK1F3-64GB</t>
  </si>
  <si>
    <t>Passage à 64 Go de mémoire unifiée pour MacBook Pro 16" (uniquement avec M1 Max) MK1F3FN/A</t>
  </si>
  <si>
    <t>CTO-MK1F3-SSD2To</t>
  </si>
  <si>
    <t>Passage à 2 To de stockage SSD pour MacBook Pro 16" MK1F3FN/A</t>
  </si>
  <si>
    <t>CTO-MK1F3-SSD4To</t>
  </si>
  <si>
    <t>Passage à 4 To de stockage SSD pour MacBook Pro 16" MK1F3FN/A</t>
  </si>
  <si>
    <t>CTO-MK1F3-SSD8To</t>
  </si>
  <si>
    <t>Passage à 8 To de stockage SSD pour MacBook Pro 16" MK1F3FN/A</t>
  </si>
  <si>
    <t>CTO-MK1F3-QUS</t>
  </si>
  <si>
    <t>Passage à un clavier rétro-éclairé anglais américain &amp; guide utilisateur anglais pour MacBook Pro 16" MK1F3FN/A</t>
  </si>
  <si>
    <t>Passage à un clavier américain &amp; guide utilisateur anglais pour MacBook Pro 16" MK1F3FN/A</t>
  </si>
  <si>
    <t>CTO-MK1F3-QBR</t>
  </si>
  <si>
    <t>Passage à un clavier rétro-éclairé anglais Britannique &amp; guide utilisateur anglais pour MacBook Pro 16" MK1F3FN/A</t>
  </si>
  <si>
    <t>CTO-MK1F3-QUK</t>
  </si>
  <si>
    <t>Passage à un clavier anglais international &amp; guide utilisateur anglais pour MacBook Pro 16" MK1F3FN/A</t>
  </si>
  <si>
    <t>CTO-MK1F3-QIE</t>
  </si>
  <si>
    <t>Passage à un clavier rétro-éclairé anglais International &amp; guide utilisateur anglais pour MacBook Pro 16“ MK1F3FN/A</t>
  </si>
  <si>
    <t>MK1A3FN/A</t>
  </si>
  <si>
    <t>MacBook Pro 16" / M1 Max CPU 10 cœurs GPU 32 cœurs / 32 Go / 1 To SSD / 3x Thunderbolt 4 / HDMI / lecteur carte SDXC / port MagSafe 3 / Gris sidéral</t>
  </si>
  <si>
    <t>CTO-MK1A3-64GB</t>
  </si>
  <si>
    <t>Passage à 64 Go de mémoire unifiée pour MacBook Pro 16" MK1A3FN/A</t>
  </si>
  <si>
    <t>CTO-MK1A3-SSD2To</t>
  </si>
  <si>
    <t>Passage à 2 To de stockage SSD pour MacBook Pro 16" MK1A3FN/A</t>
  </si>
  <si>
    <t>CTO-MK1A3-SSD4To</t>
  </si>
  <si>
    <t>Passage à 4 To de stockage SSD pour MacBook Pro 16" MK1A3FN/A</t>
  </si>
  <si>
    <t>CTO-MK1A3-SSD8To</t>
  </si>
  <si>
    <t>Passage à 8 To de stockage SSD pour MacBook Pro 16" MK1A3FN/A</t>
  </si>
  <si>
    <t>CTO-MK1A3-QUS</t>
  </si>
  <si>
    <t>Passage à un clavier rétro-éclairé anglais américain &amp; guide utilisateur anglais pour MacBook Pro 16" MK1A3FN/A</t>
  </si>
  <si>
    <t>Passage à un clavier américain &amp; guide utilisateur anglais pour MacBook Pro 16" MK1A3FN/A</t>
  </si>
  <si>
    <t>CTO-MK1A3-QBR</t>
  </si>
  <si>
    <t>Passage à un clavier rétro-éclairé anglais Britannique &amp; guide utilisateur anglais pour MacBook Pro 16" MK1A3FN/A</t>
  </si>
  <si>
    <t>CTO-MK1A3-QUK</t>
  </si>
  <si>
    <t>Passage à un clavier anglais international &amp; guide utilisateur anglais pour MacBook Pro 16" MK1A3FN/A</t>
  </si>
  <si>
    <t>CTO-MK1A3-QIE</t>
  </si>
  <si>
    <t>Passage à un clavier rétro-éclairé anglais International &amp; guide utilisateur anglais pour MacBook Air MK1A3FN/A</t>
  </si>
  <si>
    <t>MK1H3FN/A</t>
  </si>
  <si>
    <t>MacBook Pro 16" / M1 Max CPU 10 cœurs GPU 32 cœurs / 32 Go / 1 To SSD / 3x Thunderbolt 4 / HDMI / lecteur carte SDXC / port MagSafe 3 / Argent</t>
  </si>
  <si>
    <t>CTO-MK1H3-64GB</t>
  </si>
  <si>
    <t>Passage à 64 Go de mémoire unifiée pour MacBook Pro 16" MK1H3FN/A</t>
  </si>
  <si>
    <t>CTO-MK1H3-SSD2To</t>
  </si>
  <si>
    <t>Passage à 2 To de stockage SSD pour MacBook Pro 16" MK1H3FN/A</t>
  </si>
  <si>
    <t>CTO-MK1H3-SSD4To</t>
  </si>
  <si>
    <t>Passage à 4 To de stockage SSD pour MacBook Pro 16" MK1H3FN/A</t>
  </si>
  <si>
    <t>CTO-MK1H3-SSD8To</t>
  </si>
  <si>
    <t>Passage à 8 To de stockage SSD pour MacBook Pro 16" MK1H3FN/A</t>
  </si>
  <si>
    <t>CTO-MK1H3-QUS</t>
  </si>
  <si>
    <t>Passage à un clavier rétro-éclairé anglais américain &amp; guide utilisateur anglais pour MacBook Pro 16" MK1H3FN/A</t>
  </si>
  <si>
    <t>Passage à un clavier américain &amp; guide utilisateur anglais pour MacBook Pro 16" MK1H3FN/A</t>
  </si>
  <si>
    <t>CTO-MK1H3-QBR</t>
  </si>
  <si>
    <t>Passage à un clavier rétro-éclairé anglais Britannique &amp; guide utilisateur anglais pour MacBook Pro 16" MK1H3FN/A</t>
  </si>
  <si>
    <t>CTO-MK1H3-QUK</t>
  </si>
  <si>
    <t>Passage à un clavier anglais international &amp; guide utilisateur anglais pour MacBook Pro 16" MK1H3FN/A</t>
  </si>
  <si>
    <t>CTO-MK1H3-QIE</t>
  </si>
  <si>
    <t>Passage à un clavier rétro-éclairé anglais International &amp; guide utilisateur anglais pour MacBook Pro 16“ MK1H3FN/A</t>
  </si>
  <si>
    <t>OPTION CLAVIERS "LANGUES" disponibles pour les références : (M183+MK1E3+MK193+MK1F3+MK1A3+MK1H3)</t>
  </si>
  <si>
    <t>existe en allemand/ espagnol/ italien/ suisse</t>
  </si>
  <si>
    <t>existe en allemand/espagnol/italien/suisse/arabe/portugais</t>
  </si>
  <si>
    <t>MI5-MBP-16-6-PLUS</t>
  </si>
  <si>
    <r>
      <t xml:space="preserve">Passage à une garantie 6 ans </t>
    </r>
    <r>
      <rPr>
        <b/>
        <sz val="10"/>
        <rFont val="Calibri (Corps)"/>
      </rPr>
      <t>formule Plus</t>
    </r>
    <r>
      <rPr>
        <b/>
        <sz val="10"/>
        <rFont val="Calibri"/>
        <family val="2"/>
        <scheme val="minor"/>
      </rPr>
      <t xml:space="preserve"> pour MacBook Pro 16" (intervention à J+1 - réparation à J+3 ou MacBook Pro 16")</t>
    </r>
  </si>
  <si>
    <t>MI5-MBP-16-7-PLUS</t>
  </si>
  <si>
    <r>
      <t xml:space="preserve">Passage à une garantie 7 ans </t>
    </r>
    <r>
      <rPr>
        <b/>
        <sz val="10"/>
        <rFont val="Calibri (Corps)"/>
      </rPr>
      <t>formule Plus</t>
    </r>
    <r>
      <rPr>
        <b/>
        <sz val="10"/>
        <rFont val="Calibri"/>
        <family val="2"/>
        <scheme val="minor"/>
      </rPr>
      <t xml:space="preserve"> pour MacBook Pro 16" (intervention à J+1 - réparation à J+3 ou MacBook Pro 16")</t>
    </r>
  </si>
  <si>
    <t>MI5-MBP-16-8-PLUS</t>
  </si>
  <si>
    <r>
      <t xml:space="preserve">Passage à une garantie 8 ans </t>
    </r>
    <r>
      <rPr>
        <b/>
        <sz val="10"/>
        <rFont val="Calibri (Corps)"/>
      </rPr>
      <t>formule Plus</t>
    </r>
    <r>
      <rPr>
        <b/>
        <sz val="10"/>
        <rFont val="Calibri"/>
        <family val="2"/>
        <scheme val="minor"/>
      </rPr>
      <t xml:space="preserve"> pour MacBook Pro 16" (intervention à J+1 - réparation à J+3 ou MacBook Pro 16")</t>
    </r>
  </si>
  <si>
    <t>MI5-MBP-16-5-PRO</t>
  </si>
  <si>
    <r>
      <t xml:space="preserve">Passage à une garantie 5 ans </t>
    </r>
    <r>
      <rPr>
        <b/>
        <sz val="10"/>
        <rFont val="Calibri (Corps)"/>
      </rPr>
      <t>formule Pro</t>
    </r>
    <r>
      <rPr>
        <b/>
        <sz val="10"/>
        <rFont val="Calibri"/>
        <family val="2"/>
        <scheme val="minor"/>
      </rPr>
      <t xml:space="preserve"> pour MacBook Pro 16" (diagnostic à H+4 - remplacement à J+1)</t>
    </r>
  </si>
  <si>
    <t>MI5-MBP-16-6-PRO</t>
  </si>
  <si>
    <r>
      <t xml:space="preserve">Passage à une garantie 6 ans </t>
    </r>
    <r>
      <rPr>
        <b/>
        <sz val="10"/>
        <rFont val="Calibri (Corps)"/>
      </rPr>
      <t>formule Pro</t>
    </r>
    <r>
      <rPr>
        <b/>
        <sz val="10"/>
        <rFont val="Calibri"/>
        <family val="2"/>
        <scheme val="minor"/>
      </rPr>
      <t xml:space="preserve"> pour MacBook Pro 16" (diagnostic à H+4 - remplacement à J+1)</t>
    </r>
  </si>
  <si>
    <t>MI5-MBP-16-7-PRO</t>
  </si>
  <si>
    <r>
      <t xml:space="preserve">Passage à une garantie 7 ans </t>
    </r>
    <r>
      <rPr>
        <b/>
        <sz val="10"/>
        <rFont val="Calibri (Corps)"/>
      </rPr>
      <t>formule Pro</t>
    </r>
    <r>
      <rPr>
        <b/>
        <sz val="10"/>
        <rFont val="Calibri"/>
        <family val="2"/>
        <scheme val="minor"/>
      </rPr>
      <t xml:space="preserve"> pour MacBook Pro 16" (diagnostic à H+4 - remplacement à J+1)</t>
    </r>
  </si>
  <si>
    <t>MI5-MBP-16-8-PRO</t>
  </si>
  <si>
    <r>
      <t xml:space="preserve">Passage à une garantie 8 ans </t>
    </r>
    <r>
      <rPr>
        <b/>
        <sz val="10"/>
        <rFont val="Calibri (Corps)"/>
      </rPr>
      <t>formule Pro</t>
    </r>
    <r>
      <rPr>
        <b/>
        <sz val="10"/>
        <rFont val="Calibri"/>
        <family val="2"/>
        <scheme val="minor"/>
      </rPr>
      <t xml:space="preserve"> pour MacBook Pro 16" (diagnostic à H+4 - remplacement à J+1)</t>
    </r>
  </si>
  <si>
    <t>MI5-MBP-16-5-PLATINE</t>
  </si>
  <si>
    <r>
      <t xml:space="preserve">Passage à une garantie 5 ans formule </t>
    </r>
    <r>
      <rPr>
        <b/>
        <sz val="10"/>
        <rFont val="Calibri (Corps)"/>
      </rPr>
      <t>Platine</t>
    </r>
    <r>
      <rPr>
        <b/>
        <sz val="10"/>
        <rFont val="Calibri"/>
        <family val="2"/>
        <scheme val="minor"/>
      </rPr>
      <t xml:space="preserve"> pour MacBook Pro 16" (réparation sur site de J+1 à J+3 maximum) </t>
    </r>
  </si>
  <si>
    <t>MI5-MBP-16-6-PLATINE</t>
  </si>
  <si>
    <r>
      <t xml:space="preserve">Passage à une garantie 6 ans formule </t>
    </r>
    <r>
      <rPr>
        <b/>
        <sz val="10"/>
        <rFont val="Calibri (Corps)"/>
      </rPr>
      <t>Platine</t>
    </r>
    <r>
      <rPr>
        <b/>
        <sz val="10"/>
        <rFont val="Calibri"/>
        <family val="2"/>
        <scheme val="minor"/>
      </rPr>
      <t xml:space="preserve"> pour MacBook Pro 16" (réparation sur site de J+1 à J+3 maximum) </t>
    </r>
  </si>
  <si>
    <t>MI5-MBP-16-7-PLATINE</t>
  </si>
  <si>
    <r>
      <t xml:space="preserve">Passage à une garantie 7 ans formule </t>
    </r>
    <r>
      <rPr>
        <b/>
        <sz val="10"/>
        <rFont val="Calibri (Corps)"/>
      </rPr>
      <t>Platine</t>
    </r>
    <r>
      <rPr>
        <b/>
        <sz val="10"/>
        <rFont val="Calibri"/>
        <family val="2"/>
        <scheme val="minor"/>
      </rPr>
      <t xml:space="preserve"> pour MacBook Pro 16" (réparation sur site de J+1 à J+3 maximum) </t>
    </r>
  </si>
  <si>
    <t>MI5-MBP-16-8-PLATINE</t>
  </si>
  <si>
    <r>
      <t xml:space="preserve">Passage à une garantie 8 ans formule </t>
    </r>
    <r>
      <rPr>
        <b/>
        <sz val="10"/>
        <rFont val="Calibri (Corps)"/>
      </rPr>
      <t>Platine</t>
    </r>
    <r>
      <rPr>
        <b/>
        <sz val="10"/>
        <rFont val="Calibri"/>
        <family val="2"/>
        <scheme val="minor"/>
      </rPr>
      <t xml:space="preserve"> pour MacBook Pro 16" (réparation sur site de J+1 à J+3 maximum) </t>
    </r>
  </si>
  <si>
    <t>MI5-MBP-16-5-PLUS-INTER</t>
  </si>
  <si>
    <t>Garantie 5 ans formule Plus internationale pour MacBook Pro 16" (France : intervention à J+1 - réparation à J+3 ou MacBook Pro 16" de prêt pour la France Métropolitaine - retour atelier pour l'étranger) (remplace la garantie 5 ans formule Plus)</t>
  </si>
  <si>
    <t>MI5-MBP-16-5-PRO-INTER</t>
  </si>
  <si>
    <t>Garantie 5 ans formule Pro+  internationale pour MacBook Pro 16" (diagnostic à H+4 - remplacement à J+1 - retour atelier à l'étranger) (remplace la garantie 5 ans formule Plus)</t>
  </si>
  <si>
    <t>MI5-MBP-16-5-E-CARE</t>
  </si>
  <si>
    <t>Service de substitution forfaité d'une durée de 5 ans pour MacBook Pro 16"</t>
  </si>
  <si>
    <t>Service complémentaire forfaité d'assurance vol /casse/maladresse pour une durée de 5 ans pour MacBook Pro 16"</t>
  </si>
  <si>
    <t>MI5-MBP-16-8-E-CARE</t>
  </si>
  <si>
    <t>Service complémentaire forfaité d'assurance vol /casse/maladresse pour une durée de 8 ans pour MacBook Pro 16"</t>
  </si>
  <si>
    <t>MI5-MBP-16-5-E-KYOD</t>
  </si>
  <si>
    <r>
      <t xml:space="preserve">Service de conservation du disque dur pour une durée de 5 ans pour </t>
    </r>
    <r>
      <rPr>
        <b/>
        <sz val="10"/>
        <rFont val="Calibri (Corps)"/>
      </rPr>
      <t>MacBook Pro 16"</t>
    </r>
    <r>
      <rPr>
        <b/>
        <sz val="10"/>
        <rFont val="Calibri"/>
        <family val="2"/>
        <scheme val="minor"/>
      </rPr>
      <t xml:space="preserve"> (Keep your own drive)</t>
    </r>
  </si>
  <si>
    <r>
      <t xml:space="preserve">Service de conservation du disque dur pour une durée de 5 ans pour </t>
    </r>
    <r>
      <rPr>
        <sz val="10"/>
        <rFont val="Calibri (Corps)"/>
      </rPr>
      <t>MacBook Pro 16"</t>
    </r>
    <r>
      <rPr>
        <sz val="10"/>
        <rFont val="Calibri"/>
        <family val="2"/>
        <scheme val="minor"/>
      </rPr>
      <t xml:space="preserve"> (Keep your own drive)</t>
    </r>
  </si>
  <si>
    <t>MI5-MBP-16-8-E-KYOD</t>
  </si>
  <si>
    <r>
      <t xml:space="preserve">Service de conservation du disque dur pour une durée de 8 ans pour </t>
    </r>
    <r>
      <rPr>
        <sz val="10"/>
        <rFont val="Calibri (Corps)"/>
      </rPr>
      <t>MacBook Pro 16"</t>
    </r>
    <r>
      <rPr>
        <sz val="10"/>
        <rFont val="Calibri"/>
        <family val="2"/>
        <scheme val="minor"/>
      </rPr>
      <t xml:space="preserve"> (Keep your own drive)</t>
    </r>
  </si>
  <si>
    <t>MGNR3FN/A</t>
  </si>
  <si>
    <t>Mac mini M1 CPU 8 cœurs GPU 8 cœurs / 8 Go / 256 Go / 2x Thunderbolt USB 4 / Wi‑Fi 6 802.11ax / Bluetooth 5.0</t>
  </si>
  <si>
    <t>MI5-MM-5-PLUS</t>
  </si>
  <si>
    <t>Catégorie 3 - Fixes à faible encombrement - Configuration 1</t>
  </si>
  <si>
    <t>30214000-2</t>
  </si>
  <si>
    <t>IA01</t>
  </si>
  <si>
    <t>Garantie 5 ans formule Plus pour Mac mini (intervention à J+1 - réparation à J+3 ou Mac mini de prêt)</t>
  </si>
  <si>
    <t>IC01</t>
  </si>
  <si>
    <t>CTO-MGNR3-16GB</t>
  </si>
  <si>
    <t>Passage à 16 Go de mémoire unifiée pour Mac mini MGNR3FN/A</t>
  </si>
  <si>
    <t>CTO-MGNR3-SSD512</t>
  </si>
  <si>
    <t>Passage à 512 Go de stockage SSD pour Mac mini MGNR3FN/A</t>
  </si>
  <si>
    <t>CTO-MGNR3-SSD1To</t>
  </si>
  <si>
    <t>Passage à 1 To de stockage SSD pour Mac mini MGNR3FN/A</t>
  </si>
  <si>
    <t>CTO-MGNR3-SSD2To</t>
  </si>
  <si>
    <t>Passage à 2 To de stockage SSD pour Mac mini MGNR3FN/A</t>
  </si>
  <si>
    <t>CTO-MGNR3-ETH</t>
  </si>
  <si>
    <t>Passage à 10 Gigabit Ethernet à commander avec MGNR3FN/A</t>
  </si>
  <si>
    <t>MI5-MM-6-PLUS</t>
  </si>
  <si>
    <r>
      <t xml:space="preserve">Passage à une garantie 6 ans </t>
    </r>
    <r>
      <rPr>
        <b/>
        <sz val="10"/>
        <rFont val="Calibri (Corps)"/>
      </rPr>
      <t>formule Plus</t>
    </r>
    <r>
      <rPr>
        <b/>
        <sz val="10"/>
        <rFont val="Calibri"/>
        <family val="2"/>
        <scheme val="minor"/>
      </rPr>
      <t xml:space="preserve"> pour Mac mini (intervention à J+1 - réparation à J+3 ou Mac mini de prêt)</t>
    </r>
  </si>
  <si>
    <t>MI5-MM-7-PLUS</t>
  </si>
  <si>
    <r>
      <t xml:space="preserve">Passage à une garantie 7 ans </t>
    </r>
    <r>
      <rPr>
        <b/>
        <sz val="10"/>
        <rFont val="Calibri (Corps)"/>
      </rPr>
      <t>formule Plus</t>
    </r>
    <r>
      <rPr>
        <b/>
        <sz val="10"/>
        <rFont val="Calibri"/>
        <family val="2"/>
        <scheme val="minor"/>
      </rPr>
      <t xml:space="preserve"> pour Mac mini (intervention à J+1 - réparation à J+3 ou Mac mini de prêt)</t>
    </r>
  </si>
  <si>
    <t>MI5-MM-8-PLUS</t>
  </si>
  <si>
    <r>
      <t xml:space="preserve">Passage à une garantie 8 ans </t>
    </r>
    <r>
      <rPr>
        <b/>
        <sz val="10"/>
        <rFont val="Calibri (Corps)"/>
      </rPr>
      <t>formule Plus</t>
    </r>
    <r>
      <rPr>
        <b/>
        <sz val="10"/>
        <rFont val="Calibri"/>
        <family val="2"/>
        <scheme val="minor"/>
      </rPr>
      <t xml:space="preserve"> pour Mac mini (intervention à J+1 - réparation à J+3 ou Mac mini de prêt)</t>
    </r>
  </si>
  <si>
    <t>MI5-MM-5-PRO</t>
  </si>
  <si>
    <r>
      <t xml:space="preserve">Passage à une garantie 5 ans </t>
    </r>
    <r>
      <rPr>
        <b/>
        <sz val="10"/>
        <rFont val="Calibri (Corps)"/>
      </rPr>
      <t>formule Pro+</t>
    </r>
    <r>
      <rPr>
        <b/>
        <sz val="10"/>
        <rFont val="Calibri"/>
        <family val="2"/>
        <scheme val="minor"/>
      </rPr>
      <t xml:space="preserve"> pour Mac mini (diagnostic à H+4 - remplacement à J+1)</t>
    </r>
  </si>
  <si>
    <t>MI5-MM-6-PRO</t>
  </si>
  <si>
    <r>
      <t xml:space="preserve">Passage à une garantie 6 ans </t>
    </r>
    <r>
      <rPr>
        <b/>
        <sz val="10"/>
        <rFont val="Calibri (Corps)"/>
      </rPr>
      <t>formule Pro+</t>
    </r>
    <r>
      <rPr>
        <b/>
        <sz val="10"/>
        <rFont val="Calibri"/>
        <family val="2"/>
        <scheme val="minor"/>
      </rPr>
      <t xml:space="preserve"> pour Mac mini (diagnostic à H+4 - remplacement à J+1)</t>
    </r>
  </si>
  <si>
    <t>MI5-MM-7-PRO</t>
  </si>
  <si>
    <r>
      <t xml:space="preserve">Passage à une garantie 7 ans </t>
    </r>
    <r>
      <rPr>
        <b/>
        <sz val="10"/>
        <rFont val="Calibri (Corps)"/>
      </rPr>
      <t>formule Pro+</t>
    </r>
    <r>
      <rPr>
        <b/>
        <sz val="10"/>
        <rFont val="Calibri"/>
        <family val="2"/>
        <scheme val="minor"/>
      </rPr>
      <t xml:space="preserve"> pour Mac mini (diagnostic à H+4 - remplacement à J+1)</t>
    </r>
  </si>
  <si>
    <t>MI5-MM-8-PRO</t>
  </si>
  <si>
    <r>
      <t xml:space="preserve">Passage à une garantie 8 ans </t>
    </r>
    <r>
      <rPr>
        <b/>
        <sz val="10"/>
        <rFont val="Calibri (Corps)"/>
      </rPr>
      <t>formule Pro+</t>
    </r>
    <r>
      <rPr>
        <b/>
        <sz val="10"/>
        <rFont val="Calibri"/>
        <family val="2"/>
        <scheme val="minor"/>
      </rPr>
      <t xml:space="preserve"> pour Mac mini (diagnostic à H+4 - remplacement à J+1)</t>
    </r>
  </si>
  <si>
    <t>MI5-MM-5-PLATINE</t>
  </si>
  <si>
    <r>
      <t xml:space="preserve">Passage à une garantie 5 ans formule </t>
    </r>
    <r>
      <rPr>
        <b/>
        <sz val="10"/>
        <rFont val="Calibri (Corps)"/>
      </rPr>
      <t>Platine</t>
    </r>
    <r>
      <rPr>
        <b/>
        <sz val="10"/>
        <rFont val="Calibri"/>
        <family val="2"/>
        <scheme val="minor"/>
      </rPr>
      <t xml:space="preserve"> pour Mac mini (réparation sur site de J+1 à J+3 maximum)</t>
    </r>
  </si>
  <si>
    <t>MI5-MM-6-PLATINE</t>
  </si>
  <si>
    <r>
      <t xml:space="preserve">Passage à une garantie 6 ans formule </t>
    </r>
    <r>
      <rPr>
        <b/>
        <sz val="10"/>
        <rFont val="Calibri (Corps)"/>
      </rPr>
      <t>Platine</t>
    </r>
    <r>
      <rPr>
        <b/>
        <sz val="10"/>
        <rFont val="Calibri"/>
        <family val="2"/>
        <scheme val="minor"/>
      </rPr>
      <t xml:space="preserve"> pour Mac mini(réparation sur site de J+1 à J+3 maximum)</t>
    </r>
  </si>
  <si>
    <t>MI5-MM-7-PLATINE</t>
  </si>
  <si>
    <r>
      <t xml:space="preserve">Passage à une garantie 7 ans formule </t>
    </r>
    <r>
      <rPr>
        <b/>
        <sz val="10"/>
        <rFont val="Calibri (Corps)"/>
      </rPr>
      <t>Platine</t>
    </r>
    <r>
      <rPr>
        <b/>
        <sz val="10"/>
        <rFont val="Calibri"/>
        <family val="2"/>
        <scheme val="minor"/>
      </rPr>
      <t xml:space="preserve"> pour Mac mini (réparation sur site de J+1 à J+3 maximum)</t>
    </r>
  </si>
  <si>
    <t>MI5-MM-8-PLATINE</t>
  </si>
  <si>
    <r>
      <t xml:space="preserve">Passage à une garantie 8 ans formule </t>
    </r>
    <r>
      <rPr>
        <b/>
        <sz val="10"/>
        <rFont val="Calibri (Corps)"/>
      </rPr>
      <t>Platine</t>
    </r>
    <r>
      <rPr>
        <b/>
        <sz val="10"/>
        <rFont val="Calibri"/>
        <family val="2"/>
        <scheme val="minor"/>
      </rPr>
      <t xml:space="preserve"> pour Mac mini (réparation sur site de J+1 à J+3 maximum)</t>
    </r>
  </si>
  <si>
    <t>MI5-MM-5-PLUS-INTER</t>
  </si>
  <si>
    <t>Garantie 5 ans formule Plus internationale pour Mac mini (France : intervention à J+1 - réparation à J+3 ou Mac mini de prêt pour la France Métropolitaine - retour atelier pour l'étranger) (remplace la garantie 5 ans formule Plus)</t>
  </si>
  <si>
    <t>MI5-MM-5-PRO-INTER</t>
  </si>
  <si>
    <t>Garantie 5 ans formule Pro internationale pour Mac mini (diagnostic à H+4 - remplacement à J+1 - retour atelier à l'étranger)(remplace la garantie 5 ans formule Plus)</t>
  </si>
  <si>
    <t>MI5-MM-5-E-CARE</t>
  </si>
  <si>
    <t>Service de substitution forfaité d'une durée de/casse/maladresse pour une durée de 5 ans pour Mac mini</t>
  </si>
  <si>
    <t>MI5-MM-8-E-CARE</t>
  </si>
  <si>
    <t>Service de substitution forfaité d'une durée de/casse/maladresse pour une durée de 8 ans pour Mac mini</t>
  </si>
  <si>
    <t>MI5-MM-5-E-KYOD</t>
  </si>
  <si>
    <t>Service de conservation du disque dur pour une durée de 5 ans pour Mac mini (Keep your own drive)</t>
  </si>
  <si>
    <t>MI5-MM-8-E-KYOD</t>
  </si>
  <si>
    <t>Service de conservation du disque dur pour une durée de 8 ans pour Mac mini (Keep your own drive)</t>
  </si>
  <si>
    <t>MGNT3FN/A</t>
  </si>
  <si>
    <t>Mac mini M1 CPU 8 cœurs GPU 8 cœurs / 8 Go / 512 Go / 2x Thunderbolt USB 4 / Wi‑Fi 6 802.11ax / Bluetooth 5.0</t>
  </si>
  <si>
    <t>MI5-MM-5PL</t>
  </si>
  <si>
    <t>Catégorie 3 - Fixes à faible encombrement - Configuration 2</t>
  </si>
  <si>
    <t>CTO-MGNT3-16GB</t>
  </si>
  <si>
    <t>Passage à 16 Go de mémoire unifiée pour Mac mini MGNT3FN/A</t>
  </si>
  <si>
    <t>CTO-MGNT3-SSD1To</t>
  </si>
  <si>
    <t>Passage à 1 To de stockage SSD pour Mac mini MGNT3FN/A</t>
  </si>
  <si>
    <t>CTO-MGNT3-SSD2To</t>
  </si>
  <si>
    <t>Passage à 2 To de stockage SSD pour Mac mini MGNT3FN/A</t>
  </si>
  <si>
    <t>CTO-MGNT3-ETH</t>
  </si>
  <si>
    <t>Passage à 10 Gigabit Ethernet à commander avec MGNT3FN/A</t>
  </si>
  <si>
    <t>MXNG2FN/A</t>
  </si>
  <si>
    <t>Mac mini Intel hexacœur Core i5 3,0 GHz / 8 Go / 512 Go SSD PCIe / Intel UHD Graphics 630 / AirPort Extreme 802.11ac / Bluetooth 5.0 / Go Eth</t>
  </si>
  <si>
    <t>CTO-MXNG2-i76c-3,2</t>
  </si>
  <si>
    <t>Passage à un processeur hexacœur Intel Core i7 à 3,2 GHz à commander avec MXNG2FN/A</t>
  </si>
  <si>
    <t>CTO-MXNG2-2x8GB</t>
  </si>
  <si>
    <t>Passage à 16 Go de mémoire (2x8 Go) DDR4 2 666 MHz non soudés à commander avec MXNG2FN/A</t>
  </si>
  <si>
    <t>CTO-MXNG2-2x16GB</t>
  </si>
  <si>
    <t>Passage à 32 Go de mémoire (2x16 Go) DDR4 2 666 MHz non soudés à commander avec MXNG2FN/A</t>
  </si>
  <si>
    <t>CTO-MXNG2-2x32GB</t>
  </si>
  <si>
    <t>Passage à 64 Go de mémoire (2x32 Go) DDR4 2 666 MHz non soudés à commander avec MXNG2FN/A</t>
  </si>
  <si>
    <t>CTO-MXNG2-SSD1To</t>
  </si>
  <si>
    <t>Passage à 1 To de stockage SSD PCIe à commander avec MXNG2FN/A</t>
  </si>
  <si>
    <t>CTO-MXNG2-SSD2To</t>
  </si>
  <si>
    <t>Passage à 2 To de stockage SSD PCIe à commander avec MXNG2FN/A</t>
  </si>
  <si>
    <t>CTO-MXNG2-ETH</t>
  </si>
  <si>
    <t>Passage à 10 Gigabit Ethernet à commander avec MXNG2FN/A</t>
  </si>
  <si>
    <t>MHK03FN/A</t>
  </si>
  <si>
    <t>iMac 21,5" / Core i5 bicœur 2,3 GHz / 8 Go DDR4 2 133 MHz / SSD 256 Go / Intel Iris Plus Graphics 640 / 2xThunderbolt 3 / 2xUSB 3 / AirPort Extreme 802.11ac / Bluetooth 4.2 / Gigabit Eth</t>
  </si>
  <si>
    <t>MI5-IMAC-21-5-PLUS</t>
  </si>
  <si>
    <t>Catégorie 4 - Fixes bureautiques - Configuration 1</t>
  </si>
  <si>
    <t>Garantie 5 ans formule Plus pour iMac 21,5" (intervention à J+1 - réparation à J+3 ou iMac 21,5" de prêt)</t>
  </si>
  <si>
    <t>CTO-MHK03-16GB</t>
  </si>
  <si>
    <t>Passage à 16 Go de mémoire DDR4 2 133 MHz non soudés à commander avec MHK03FN/A</t>
  </si>
  <si>
    <t>CTO-MHK03-FD1To</t>
  </si>
  <si>
    <t>Passage à un stockage Fusion Drive 1 To (32 Go SSD &amp; disque dur 1 To Serial ATA) à commander avec MHK03FN/A</t>
  </si>
  <si>
    <t>CTO-MHK03-MTP2</t>
  </si>
  <si>
    <t>Passage à un Magic Trackpad 2 (Force Touch sans fil Bluetooth rechargeable Lightning) pour iMac 21,5'' MHK03FN/A</t>
  </si>
  <si>
    <t>CTO-MHK03-MMTP2</t>
  </si>
  <si>
    <t>Passage à une souris Magic Mouse 2 et un Magic Trackpad 2 (Force Touch sans fil Bluetooth rechargeable Lightning) pour iMac 21,5'' MHK03FN/A</t>
  </si>
  <si>
    <t>CTO-MHK03-MKEPV-FR</t>
  </si>
  <si>
    <t>Passage à un Magic Keyboard français 109 touches avec pavé numérique pour iMac 21,5'' MHK03FN/A</t>
  </si>
  <si>
    <t>CTO-MHK03-MKEPV-US</t>
  </si>
  <si>
    <t>Passage à un Magic Keyboard américain 109 touches avec pavé numérique pour iMac 21,5'' MHK03FN/A</t>
  </si>
  <si>
    <t>CTO-MHK03-MKEPV-UK</t>
  </si>
  <si>
    <t>Passage à un Magic Keyboard anglais international 109 touches avec pavé numérique pour iMac 21,5'' MHK03FN/A</t>
  </si>
  <si>
    <t>CTO-MHK03-MKE-QUS</t>
  </si>
  <si>
    <t>Passage à un Magic Keyboard américain 78 touches sans fil Bluetooth rechargeable (sans pavé numérique) pour iMac 21,5'' MHK03FN/A</t>
  </si>
  <si>
    <t>CTO-MHK03-MKE-QUK</t>
  </si>
  <si>
    <t>Passage à un Magic Keyboard anglais international 78 touches sans fil Bluetooth rechargeable (sans pavé numérique) pour iMac 21,5'' MHK03FN/A</t>
  </si>
  <si>
    <t>MI5-IMAC-21-6-PLUS</t>
  </si>
  <si>
    <r>
      <t xml:space="preserve">Passage à une garantie 6 ans </t>
    </r>
    <r>
      <rPr>
        <b/>
        <sz val="10"/>
        <rFont val="Calibri (Corps)"/>
      </rPr>
      <t>formule Plus</t>
    </r>
    <r>
      <rPr>
        <b/>
        <sz val="10"/>
        <rFont val="Calibri"/>
        <family val="2"/>
        <scheme val="minor"/>
      </rPr>
      <t xml:space="preserve"> pour iMac 21,5" (intervention à J+1 - réparation à J+3 ou iMac 21,5" de prêt)</t>
    </r>
  </si>
  <si>
    <t>MI5-IMAC-21-7-PLUS</t>
  </si>
  <si>
    <r>
      <t xml:space="preserve">Passage à une garantie 7 ans </t>
    </r>
    <r>
      <rPr>
        <b/>
        <sz val="10"/>
        <rFont val="Calibri (Corps)"/>
      </rPr>
      <t>formule Plus</t>
    </r>
    <r>
      <rPr>
        <b/>
        <sz val="10"/>
        <rFont val="Calibri"/>
        <family val="2"/>
        <scheme val="minor"/>
      </rPr>
      <t xml:space="preserve"> pour iMac 21,5" (intervention à J+1 - réparation à J+3 ou iMac 21,5" de prêt)</t>
    </r>
  </si>
  <si>
    <t>MI5-IMAC-21-8-PLUS</t>
  </si>
  <si>
    <r>
      <t xml:space="preserve">Passage à une garantie 8 ans </t>
    </r>
    <r>
      <rPr>
        <b/>
        <sz val="10"/>
        <rFont val="Calibri (Corps)"/>
      </rPr>
      <t>formule Plus</t>
    </r>
    <r>
      <rPr>
        <b/>
        <sz val="10"/>
        <rFont val="Calibri"/>
        <family val="2"/>
        <scheme val="minor"/>
      </rPr>
      <t xml:space="preserve"> pour iMac 21,5" (intervention à J+1 - réparation à J+3 ou iMac 21,5" de prêt)</t>
    </r>
  </si>
  <si>
    <t>MI5-IMAC-21-5-PRO</t>
  </si>
  <si>
    <r>
      <t xml:space="preserve">Passage à une garantie 5 ans </t>
    </r>
    <r>
      <rPr>
        <b/>
        <sz val="10"/>
        <rFont val="Calibri (Corps)"/>
      </rPr>
      <t>formule Pro+</t>
    </r>
    <r>
      <rPr>
        <b/>
        <sz val="10"/>
        <rFont val="Calibri"/>
        <family val="2"/>
        <scheme val="minor"/>
      </rPr>
      <t xml:space="preserve"> pour iMac 21,5" (diagnostic à H+4 - remplacement à J+1)</t>
    </r>
  </si>
  <si>
    <t>MI5-IMAC-21-6-PRO</t>
  </si>
  <si>
    <r>
      <t xml:space="preserve">Passage à une garantie 6 ans </t>
    </r>
    <r>
      <rPr>
        <b/>
        <sz val="10"/>
        <rFont val="Calibri (Corps)"/>
      </rPr>
      <t>formule Pro+</t>
    </r>
    <r>
      <rPr>
        <b/>
        <sz val="10"/>
        <rFont val="Calibri"/>
        <family val="2"/>
        <scheme val="minor"/>
      </rPr>
      <t xml:space="preserve"> pour iMac 21,5"(diagnostic à H+4 - remplacement à J+1)</t>
    </r>
  </si>
  <si>
    <t>MI5-IMAC-21-7-PRO</t>
  </si>
  <si>
    <r>
      <t xml:space="preserve">Passage à une garantie 7 ans </t>
    </r>
    <r>
      <rPr>
        <b/>
        <sz val="10"/>
        <rFont val="Calibri (Corps)"/>
      </rPr>
      <t>formule Pro+</t>
    </r>
    <r>
      <rPr>
        <b/>
        <sz val="10"/>
        <rFont val="Calibri"/>
        <family val="2"/>
        <scheme val="minor"/>
      </rPr>
      <t xml:space="preserve"> pour iMac 21,5" (diagnostic à H+4 - remplacement à J+1)</t>
    </r>
  </si>
  <si>
    <t>MI5-IMAC-21-8-PRO</t>
  </si>
  <si>
    <r>
      <t xml:space="preserve">Passage à une garantie 8 ans </t>
    </r>
    <r>
      <rPr>
        <b/>
        <sz val="10"/>
        <rFont val="Calibri (Corps)"/>
      </rPr>
      <t>formule Pro+</t>
    </r>
    <r>
      <rPr>
        <b/>
        <sz val="10"/>
        <rFont val="Calibri"/>
        <family val="2"/>
        <scheme val="minor"/>
      </rPr>
      <t xml:space="preserve"> pour iMac 21,5" (diagnostic à H+4 - remplacement à J+1)</t>
    </r>
  </si>
  <si>
    <t>MI5-IMAC-21-5-PLATINE</t>
  </si>
  <si>
    <r>
      <t xml:space="preserve">Passage à une garantie 5 ans formule </t>
    </r>
    <r>
      <rPr>
        <b/>
        <sz val="10"/>
        <rFont val="Calibri (Corps)"/>
      </rPr>
      <t>Platine</t>
    </r>
    <r>
      <rPr>
        <b/>
        <sz val="10"/>
        <rFont val="Calibri"/>
        <family val="2"/>
        <scheme val="minor"/>
      </rPr>
      <t xml:space="preserve"> pour iMac 21,5" (réparation sur site de J+1 à J+3 maximum)</t>
    </r>
  </si>
  <si>
    <t>MI5-IMAC-21-6-PLATINE</t>
  </si>
  <si>
    <r>
      <t xml:space="preserve">Passage à une garantie 6 ans formule </t>
    </r>
    <r>
      <rPr>
        <b/>
        <sz val="10"/>
        <rFont val="Calibri (Corps)"/>
      </rPr>
      <t>Platine</t>
    </r>
    <r>
      <rPr>
        <b/>
        <sz val="10"/>
        <rFont val="Calibri"/>
        <family val="2"/>
        <scheme val="minor"/>
      </rPr>
      <t xml:space="preserve"> pour iMac 21,5" (réparation sur site de J+1 à J+3 maximum)</t>
    </r>
  </si>
  <si>
    <t>MI5-IMAC-21-7-PLATINE</t>
  </si>
  <si>
    <r>
      <t xml:space="preserve">Passage à une garantie 7 ans formule </t>
    </r>
    <r>
      <rPr>
        <b/>
        <sz val="10"/>
        <rFont val="Calibri (Corps)"/>
      </rPr>
      <t>Platine</t>
    </r>
    <r>
      <rPr>
        <b/>
        <sz val="10"/>
        <rFont val="Calibri"/>
        <family val="2"/>
        <scheme val="minor"/>
      </rPr>
      <t xml:space="preserve"> pour iMac 21,5" (réparation sur site de J+1 à J+3 maximum)</t>
    </r>
  </si>
  <si>
    <t>MI5-IMAC-21-8-PLATINE</t>
  </si>
  <si>
    <t>Passage à une garantie 8 ans formule Platine pour iMac 21,5" (réparation sur site de J+1 à J+3 maximum)</t>
  </si>
  <si>
    <t>MI5-IMAC-21-5-PLUS-INTER</t>
  </si>
  <si>
    <t>Garantie 5 ans formule Plus internationale pour iMac 21,5" (France : intervention à J+1 - réparation à J+3 ou iMac 21,5" de prêt pour la France Métropolitaine - retour atelier pour l'étranger) (remplace la garantie 5 ans formule Plus)</t>
  </si>
  <si>
    <t>MI5-IMAC-21-5-PRO-INTER</t>
  </si>
  <si>
    <t>Garantie 5 ans formule Pro internationale pour iMac 21,5" (diagnostic à H+4 - remplacement à J+1 - retour atelier à l'étranger) (remplace la garantie 5 ans formule Plus)</t>
  </si>
  <si>
    <t>MI5-IMAC-21-5-E-CARE</t>
  </si>
  <si>
    <t>Service complémentaire forfaité d'assurance vol /casse/maladresse pour une durée de 5 ans pour iMac 21,5"</t>
  </si>
  <si>
    <t>MI5-IMAC-21-8-E-CARE</t>
  </si>
  <si>
    <t>Service complémentaire forfaité d'assurance vol /casse/maladresse pour une durée de 8 ans pour iMac 21,5"</t>
  </si>
  <si>
    <t>MI5-IMAC-21-5-E-KYOD</t>
  </si>
  <si>
    <t>Service de conservation du disque dur pour une durée de 5 ans pour iMac 21" (Keep your own drive)</t>
  </si>
  <si>
    <t>MI5-IMAC-21-8-E-KYOD</t>
  </si>
  <si>
    <t>Service de conservation du disque dur pour une durée de 8 ans pour iMac 21" (Keep your own drive)</t>
  </si>
  <si>
    <t>existe en bleu / vert / rose et argent</t>
  </si>
  <si>
    <t>MGTF3FN/A</t>
  </si>
  <si>
    <t>iMac 24" Retina 4,5K / Apple M1 CPU 8 cœurs et GPU 7 cœurs / 8 Go de mémoire unifiée / SSD 256 Go / 2xThunderbolt/USB 4 / Wi‑Fi 6 802.11ax / Bluetooth 5.0 - Argent</t>
  </si>
  <si>
    <t>Catégorie 4 - Fixes bureautiques - Configuration 2</t>
  </si>
  <si>
    <t>MI5-IMAC-24-5-PLUS</t>
  </si>
  <si>
    <t>Garantie 5 ans formule Plus pour iMac 21 &amp; 24" (intervention à J+1 - réparation à J+3 ou iMac 21 ou 24" de prêt)</t>
  </si>
  <si>
    <t xml:space="preserve">CTO-MGTF3-16GB </t>
  </si>
  <si>
    <t>Passage à 16 Go de mémoire unifiée pour iMac 24'' Retina 4,5K MGTF3FN/A</t>
  </si>
  <si>
    <t xml:space="preserve">CTO-MGTF3-SSD512 </t>
  </si>
  <si>
    <t>Passage à 512 Go de stockage SSD pour iMac 24'' Retina 4,5K MGTF3FN/A</t>
  </si>
  <si>
    <t>CTO-MGTF3-SSD1To</t>
  </si>
  <si>
    <t>Passage à 1 To de stockage SSD pour iMac 24'' Retina 4,5K MGTF3FN/A</t>
  </si>
  <si>
    <t xml:space="preserve">CTO-MGTF3-ETH </t>
  </si>
  <si>
    <t>Passage à 10 Gigabit Ethernet pour iMac 24'' Retina 4,5K MGTF3FN/A</t>
  </si>
  <si>
    <t xml:space="preserve">CTO-MGTF3-MTP2 </t>
  </si>
  <si>
    <t>Passage à un Magic Trackpad 2 (Force Touch sans fil Bluetooth rechargeable Lightning) pour iMac 24'' Retina 4,5K MGTF3FN/A</t>
  </si>
  <si>
    <t xml:space="preserve">CTO-MGTF3-MMTP2 </t>
  </si>
  <si>
    <t>Passage à une souris Magic Mouse 2 et un Magic Trackpad 2 (Force Touch sans fil Bluetooth rechargeable Lightning) pour iMac 24'' Retina 4,5K MGTF3FN/A</t>
  </si>
  <si>
    <t>CTO-MGTF3-MKE-QUS</t>
  </si>
  <si>
    <t>Passage à un Magic Keyboard américain 78 touches sans fil Bluetooth rechargeable (sans pavé numérique) pour iMac 24'' Retina 4,5K MGTF3FN/A</t>
  </si>
  <si>
    <t xml:space="preserve">CTO-MGTF3-MKE-QUS </t>
  </si>
  <si>
    <t>CTO-MGTF3-MKE-QIE</t>
  </si>
  <si>
    <t>Passage à un Magic Keyboard anglais international 78 touches sans fil Bluetooth rechargeable (sans pavé numérique) pour iMac 24'' Retina 4,5K MGTF3FN/A</t>
  </si>
  <si>
    <t>CTO-MGTF3-MKE-QUK</t>
  </si>
  <si>
    <t>CTO-MGTF3-MKETI-FR</t>
  </si>
  <si>
    <t>Passage à un Magic Keyboard français avec Touch ID 78 touches sans fil Bluetooth rechargeable (sans pavé numérique) pour iMac 24'' Retina 4,5K MGTF3FN/A</t>
  </si>
  <si>
    <t>CTO-MGTF3-MKETI-US</t>
  </si>
  <si>
    <t>Passage à un Magic Keyboard américain avec Touch ID 78 touches sans fil Bluetooth rechargeable (sans pavé numérique) pour iMac 24'' Retina 4,5K MGTF3FN/A</t>
  </si>
  <si>
    <t>CTO-MGTF3-MKETI-IE</t>
  </si>
  <si>
    <t>Passage à un Magic Keyboard anglais international avec Touch ID 78 touches sans fil Bluetooth rechargeable (sans pavé numérique) pour iMac 24'' Retina 4,5K MGTF3FN/A</t>
  </si>
  <si>
    <t>CTO-MGTF3-MKETI-UK</t>
  </si>
  <si>
    <t>CTO-MGTF3-MKETIPV-FR</t>
  </si>
  <si>
    <t>Passage à un Magic Keyboard français avec Touch ID 109 touches sans fil Bluetooth rechargeable avec pavé numérique pour iMac 24'' Retina 4,5K MGTF3FN/A</t>
  </si>
  <si>
    <t>CTO-MGTF3-MKETIPV-US</t>
  </si>
  <si>
    <t>Passage à un Magic Keyboard américain avec Touch ID 109 touches sans fil Bluetooth rechargeable avec pavé numérique pour iMac 24'' Retina 4,5K MGTF3FN/A</t>
  </si>
  <si>
    <t>CTO-MGTF3-MKETIPV-IE</t>
  </si>
  <si>
    <t>Passage à un Magic Keyboard anglais international avec Touch ID 109 touches sans fil Bluetooth rechargeable avec pavé numérique pour iMac 24'' Retina 4,5K MGTF3FN/A</t>
  </si>
  <si>
    <t>CTO-MGTF3-MKETIPV-UK</t>
  </si>
  <si>
    <t>existe en bleu / vert / rose / argent / jaune / orange et mauve</t>
  </si>
  <si>
    <t>MGPC3FN/A</t>
  </si>
  <si>
    <t>iMac 24" Retina 4,5K / Apple M1 CPU 8 cœurs et GPU 8 cœurs / 8 Go de mémoire unifiée / SSD 256 Go / 2xThunderbolt/USB 4 / 2xUSB 3 / Wi‑Fi 6 802.11ax  / Bluetooth 5.0  / GBIt Eth - Argent</t>
  </si>
  <si>
    <t>Catégorie 4 - Fixes bureautiques - Configuration 3</t>
  </si>
  <si>
    <t>CTO-MGPC3-16GB</t>
  </si>
  <si>
    <t>Passage à 16 Go de mémoire unifiée pour iMac 24'' Retina 4,5K MGPC3FN/A</t>
  </si>
  <si>
    <t xml:space="preserve">CTO-MGPC3-16GB </t>
  </si>
  <si>
    <t>CTO-MGPC3-SSD512</t>
  </si>
  <si>
    <t>Passage à 512 Go de stockage SSD pour iMac 24'' Retina 4,5K MGPC3FN/A</t>
  </si>
  <si>
    <t xml:space="preserve">CTO-MGPC3-SSD512 </t>
  </si>
  <si>
    <t>CTO-MGPC3-SSD1To</t>
  </si>
  <si>
    <t>Passage à 1 To de stockage SSD pour iMac 24'' Retina 4,5K MGPC3FN/A</t>
  </si>
  <si>
    <t>CTO-MGPC3-SSD2To</t>
  </si>
  <si>
    <t>Passage à 2 To de stockage SSD pour iMac 24'' Retina 4,5K MGPC3FN/A</t>
  </si>
  <si>
    <t xml:space="preserve">CTO-MGPC3-MTP2 </t>
  </si>
  <si>
    <t>Passage à un Magic Trackpad 2 (Force Touch sans fil Bluetooth rechargeable Lightning) pour iMac 24'' Retina 4,5K MGPC3FN/A</t>
  </si>
  <si>
    <t xml:space="preserve">CTO-MGPC3-MMTP2 </t>
  </si>
  <si>
    <t>Passage à une souris Magic Mouse 2 et un Magic Trackpad 2 (Force Touch sans fil Bluetooth rechargeable Lightning) pour iMac 24'' Retina 4,5K MGPC3FN/A</t>
  </si>
  <si>
    <t>CTO-MGPC3-MKETI-US</t>
  </si>
  <si>
    <t>Passage à un Magic Keyboard américain avec Touch ID 78 touches sans fil Bluetooth rechargeable (sans pavé numérique) pour iMac 24'' Retina 4,5K MGPC3FN/A</t>
  </si>
  <si>
    <t>CTO-MGPC3-MKETI-IE</t>
  </si>
  <si>
    <t>Passage à un Magic Keyboard anglais international avec Touch ID 78 touches sans fil Bluetooth rechargeable (sans pavé numérique) pour iMac 24'' Retina 4,5K MGPC3FN/A</t>
  </si>
  <si>
    <t>CTO-MGPC3-MKETI-UK</t>
  </si>
  <si>
    <t>CTO-MGPC3-MKETIPV-FR</t>
  </si>
  <si>
    <t>Passage à un Magic Keyboard français avec Touch ID 109 touches sans fil Bluetooth rechargeable avec pavé numérique pour iMac 24'' Retina 4,5K MGPC3FN/A</t>
  </si>
  <si>
    <t>CTO-MGPC3-MKETIPV-US</t>
  </si>
  <si>
    <t>Passage à un Magic Keyboard américain avec Touch ID 109 touches sans fil Bluetooth rechargeable avec pavé numérique pour iMac 24'' Retina 4,5K MGPC3FN/A</t>
  </si>
  <si>
    <t>CTO-MGPC3-MKETIPV-IE</t>
  </si>
  <si>
    <t>Passage à un Magic Keyboard anglais international avec Touch ID 109 touches sans fil Bluetooth rechargeable avec pavé numérique pour iMac 24'' Retina 4,5K MGPC3FN/A</t>
  </si>
  <si>
    <t>CTO-MGPC3-MKETIPV-UK</t>
  </si>
  <si>
    <t>MGPD3FN/A</t>
  </si>
  <si>
    <t>iMac 24" Retina 4,5K / Apple M1 CPU 8 cœurs et GPU 8 cœurs / 8 Go de mémoire unifiée / SSD 512 Go / 2xThunderbolt/USB 4 / 2xUSB 3 / Wi‑Fi 6 802.11ax  / Bluetooth 5.0  / Gbit Eth - Argent</t>
  </si>
  <si>
    <t>Catégorie 4 - Fixes bureautiques - Configuration 4</t>
  </si>
  <si>
    <t xml:space="preserve">CTO-MGPD3-16GB </t>
  </si>
  <si>
    <t>Passage à 16 Go de mémoire unifiée pour iMac 24'' Retina 4,5K MGPD3FN/A</t>
  </si>
  <si>
    <t>CTO-MGPD3-SSD1To</t>
  </si>
  <si>
    <t>Passage à 1 To de stockage SSD pour iMac 24'' Retina 4,5K MGPD3FN/A</t>
  </si>
  <si>
    <t>CTO-MGPD3-SSD2To</t>
  </si>
  <si>
    <t>Passage à 2 To de stockage SSD pour iMac 24'' Retina 4,5K MGPD3FN/A</t>
  </si>
  <si>
    <t xml:space="preserve">CTO-MGPD3-MTP2 </t>
  </si>
  <si>
    <t>Passage à un Magic Trackpad 2 (Force Touch sans fil Bluetooth rechargeable Lightning) pour iMac 24'' Retina 4,5K MGPD3FN/A</t>
  </si>
  <si>
    <t xml:space="preserve">CTO-MGPD3-MMTP2 </t>
  </si>
  <si>
    <t>Passage à une souris Magic Mouse 2 et un Magic Trackpad 2 (Force Touch sans fil Bluetooth rechargeable Lightning) pour iMac 24'' Retina 4,5K MGPD3FN/A</t>
  </si>
  <si>
    <t>CTO-MGPD3-MKETI-US</t>
  </si>
  <si>
    <t>Passage à un Magic Keyboard américain avec Touch ID 78 touches sans fil Bluetooth rechargeable (sans pavé numérique) pour iMac 24'' Retina 4,5K MGPD3FN/A</t>
  </si>
  <si>
    <t>CTO-MGPD3-MKETI-IE</t>
  </si>
  <si>
    <t>Passage à un Magic Keyboard anglais international avec Touch ID 78 touches sans fil Bluetooth rechargeable (sans pavé numérique) pour iMac 24'' Retina 4,5K MGPD3FN/A</t>
  </si>
  <si>
    <t>CTO-MGPD3-MKETI-UK</t>
  </si>
  <si>
    <t>CTO-MGPD3-MKETIPV-FR</t>
  </si>
  <si>
    <t>Passage à un Magic Keyboard français avec Touch ID 109 touches sans fil Bluetooth rechargeable avec pavé numérique pour iMac 24'' Retina 4,5K MGPD3FN/A</t>
  </si>
  <si>
    <t>CTO-MGPD3-MKETIPV-US</t>
  </si>
  <si>
    <t>Passage à un Magic Keyboard américain avec Touch ID 109 touches sans fil Bluetooth rechargeable avec pavé numérique pour iMac 24'' Retina 4,5K MGPD3FN/A</t>
  </si>
  <si>
    <t>CTO-MGPD3-MKETIPV-IE</t>
  </si>
  <si>
    <t>Passage à un Magic Keyboard anglais international avec Touch ID 109 touches sans fil Bluetooth rechargeable avec pavé numérique pour iMac 24'' Retina 4,5K MGPD3FN/A</t>
  </si>
  <si>
    <t>CTO-MGPD3-MKETIPV-UK</t>
  </si>
  <si>
    <t>MI5-IMAC-24-6-PLUS</t>
  </si>
  <si>
    <r>
      <t xml:space="preserve">Passage à une garantie 6 ans </t>
    </r>
    <r>
      <rPr>
        <b/>
        <sz val="10"/>
        <rFont val="Calibri (Corps)"/>
      </rPr>
      <t>formule Plus</t>
    </r>
    <r>
      <rPr>
        <b/>
        <sz val="10"/>
        <rFont val="Calibri"/>
        <family val="2"/>
        <scheme val="minor"/>
      </rPr>
      <t xml:space="preserve"> pour iMac 24" (intervention à J+1 - réparation à J+3 ou iMac 21,5" de prêt)</t>
    </r>
  </si>
  <si>
    <r>
      <t xml:space="preserve">Passage à une garantie 6 ans </t>
    </r>
    <r>
      <rPr>
        <b/>
        <sz val="10"/>
        <rFont val="Calibri (Corps)"/>
      </rPr>
      <t>formule Plus</t>
    </r>
    <r>
      <rPr>
        <b/>
        <sz val="10"/>
        <rFont val="Calibri"/>
        <family val="2"/>
        <scheme val="minor"/>
      </rPr>
      <t xml:space="preserve"> pour iMac 21 &amp; 24" (intervention à J+1 - réparation à J+3 ou iMac 21,5" de prêt)</t>
    </r>
  </si>
  <si>
    <t>MI5-IMAC-24-7-PLUS</t>
  </si>
  <si>
    <r>
      <t xml:space="preserve">Passage à une garantie 7 ans </t>
    </r>
    <r>
      <rPr>
        <b/>
        <sz val="10"/>
        <rFont val="Calibri (Corps)"/>
      </rPr>
      <t>formule Plus</t>
    </r>
    <r>
      <rPr>
        <b/>
        <sz val="10"/>
        <rFont val="Calibri"/>
        <family val="2"/>
        <scheme val="minor"/>
      </rPr>
      <t xml:space="preserve"> pour iMac 24" (intervention à J+1 - réparation à J+3 ou iMac 21,5" de prêt)</t>
    </r>
  </si>
  <si>
    <r>
      <t xml:space="preserve">Passage à une garantie 7 ans </t>
    </r>
    <r>
      <rPr>
        <b/>
        <sz val="10"/>
        <rFont val="Calibri (Corps)"/>
      </rPr>
      <t>formule Plus</t>
    </r>
    <r>
      <rPr>
        <b/>
        <sz val="10"/>
        <rFont val="Calibri"/>
        <family val="2"/>
        <scheme val="minor"/>
      </rPr>
      <t xml:space="preserve"> pour iMac 21 &amp; 24" (intervention à J+1 - réparation à J+3 ou iMac 21,5" de prêt)</t>
    </r>
  </si>
  <si>
    <t>MI5-IMAC-24-8-PLUS</t>
  </si>
  <si>
    <r>
      <t xml:space="preserve">Passage à une garantie 8 ans </t>
    </r>
    <r>
      <rPr>
        <b/>
        <sz val="10"/>
        <rFont val="Calibri (Corps)"/>
      </rPr>
      <t>formule Plus</t>
    </r>
    <r>
      <rPr>
        <b/>
        <sz val="10"/>
        <rFont val="Calibri"/>
        <family val="2"/>
        <scheme val="minor"/>
      </rPr>
      <t xml:space="preserve"> pour iMac 24" (intervention à J+1 - réparation à J+3 ou iMac 21,5" de prêt)</t>
    </r>
  </si>
  <si>
    <r>
      <t xml:space="preserve">Passage à une garantie 8 ans </t>
    </r>
    <r>
      <rPr>
        <b/>
        <sz val="10"/>
        <rFont val="Calibri (Corps)"/>
      </rPr>
      <t>formule Plus</t>
    </r>
    <r>
      <rPr>
        <b/>
        <sz val="10"/>
        <rFont val="Calibri"/>
        <family val="2"/>
        <scheme val="minor"/>
      </rPr>
      <t xml:space="preserve"> pour iMac 21 &amp; 24" (intervention à J+1 - réparation à J+3 ou iMac 21,5" de prêt)</t>
    </r>
  </si>
  <si>
    <t>MI5-IMAC-24-5-PRO</t>
  </si>
  <si>
    <r>
      <t xml:space="preserve">Passage à une garantie 5 ans </t>
    </r>
    <r>
      <rPr>
        <b/>
        <sz val="10"/>
        <rFont val="Calibri (Corps)"/>
      </rPr>
      <t>formule Pro+</t>
    </r>
    <r>
      <rPr>
        <b/>
        <sz val="10"/>
        <rFont val="Calibri"/>
        <family val="2"/>
        <scheme val="minor"/>
      </rPr>
      <t xml:space="preserve"> pour iMac 24" (diagnostic à H+4 - remplacement à J+1)</t>
    </r>
  </si>
  <si>
    <r>
      <t xml:space="preserve">Passage à une garantie 5 ans </t>
    </r>
    <r>
      <rPr>
        <b/>
        <sz val="10"/>
        <rFont val="Calibri (Corps)"/>
      </rPr>
      <t>formule Pro+</t>
    </r>
    <r>
      <rPr>
        <b/>
        <sz val="10"/>
        <rFont val="Calibri"/>
        <family val="2"/>
        <scheme val="minor"/>
      </rPr>
      <t xml:space="preserve"> pour iMac 21 &amp; 24" (diagnostic à H+4 - remplacement à J+1)</t>
    </r>
  </si>
  <si>
    <t>MI5-IMAC-24-6-PRO</t>
  </si>
  <si>
    <r>
      <t xml:space="preserve">Passage à une garantie 6 ans </t>
    </r>
    <r>
      <rPr>
        <b/>
        <sz val="10"/>
        <rFont val="Calibri (Corps)"/>
      </rPr>
      <t>formule Pro+</t>
    </r>
    <r>
      <rPr>
        <b/>
        <sz val="10"/>
        <rFont val="Calibri"/>
        <family val="2"/>
        <scheme val="minor"/>
      </rPr>
      <t xml:space="preserve"> pour iMac 24" (diagnostic à H+4 - remplacement à J+1)</t>
    </r>
  </si>
  <si>
    <r>
      <t xml:space="preserve">Passage à une garantie 6 ans </t>
    </r>
    <r>
      <rPr>
        <b/>
        <sz val="10"/>
        <rFont val="Calibri (Corps)"/>
      </rPr>
      <t>formule Pro+</t>
    </r>
    <r>
      <rPr>
        <b/>
        <sz val="10"/>
        <rFont val="Calibri"/>
        <family val="2"/>
        <scheme val="minor"/>
      </rPr>
      <t xml:space="preserve"> pour iMac 21 &amp; 24" (diagnostic à H+4 - remplacement à J+1)</t>
    </r>
  </si>
  <si>
    <t>MI5-IMAC-24-7-PRO</t>
  </si>
  <si>
    <r>
      <t xml:space="preserve">Passage à une garantie 7 ans </t>
    </r>
    <r>
      <rPr>
        <b/>
        <sz val="10"/>
        <rFont val="Calibri (Corps)"/>
      </rPr>
      <t>formule Pro+</t>
    </r>
    <r>
      <rPr>
        <b/>
        <sz val="10"/>
        <rFont val="Calibri"/>
        <family val="2"/>
        <scheme val="minor"/>
      </rPr>
      <t xml:space="preserve"> pour iMac 24" (diagnostic à H+4 - remplacement à J+1)</t>
    </r>
  </si>
  <si>
    <r>
      <t xml:space="preserve">Passage à une garantie 7 ans </t>
    </r>
    <r>
      <rPr>
        <b/>
        <sz val="10"/>
        <rFont val="Calibri (Corps)"/>
      </rPr>
      <t>formule Pro+</t>
    </r>
    <r>
      <rPr>
        <b/>
        <sz val="10"/>
        <rFont val="Calibri"/>
        <family val="2"/>
        <scheme val="minor"/>
      </rPr>
      <t xml:space="preserve"> pour iMac 21 &amp; 24" (diagnostic à H+4 - remplacement à J+1)</t>
    </r>
  </si>
  <si>
    <t>MI5-IMAC-24-8-PRO</t>
  </si>
  <si>
    <r>
      <t xml:space="preserve">Passage à une garantie 8 ans </t>
    </r>
    <r>
      <rPr>
        <b/>
        <sz val="10"/>
        <rFont val="Calibri (Corps)"/>
      </rPr>
      <t>formule Pro+</t>
    </r>
    <r>
      <rPr>
        <b/>
        <sz val="10"/>
        <rFont val="Calibri"/>
        <family val="2"/>
        <scheme val="minor"/>
      </rPr>
      <t xml:space="preserve"> pour iMac 24" (diagnostic à H+4 - remplacement à J+1)</t>
    </r>
  </si>
  <si>
    <r>
      <t xml:space="preserve">Passage à une garantie 8 ans </t>
    </r>
    <r>
      <rPr>
        <b/>
        <sz val="10"/>
        <rFont val="Calibri (Corps)"/>
      </rPr>
      <t>formule Pro+</t>
    </r>
    <r>
      <rPr>
        <b/>
        <sz val="10"/>
        <rFont val="Calibri"/>
        <family val="2"/>
        <scheme val="minor"/>
      </rPr>
      <t xml:space="preserve"> pour iMac 21 &amp; 24" (diagnostic à H+4 - remplacement à J+1)</t>
    </r>
  </si>
  <si>
    <t>MI5-IMAC-24-5-PLATINE</t>
  </si>
  <si>
    <t xml:space="preserve">Passage à une garantie 5 ans formule Platine pour iMac 24" (réparation sur site de J+1 à J+3 maximum) </t>
  </si>
  <si>
    <t xml:space="preserve">Passage à une garantie 5 ans formule Platine pour iMac 21 &amp; 24" (réparation sur site de J+1 à J+3 maximum) </t>
  </si>
  <si>
    <t>MI5-IMAC-24-6-PLATINE</t>
  </si>
  <si>
    <t>Passage à une garantie 6 ans formule Platine pour iMac 24" (réparation sur site de J+1 à J+3 maximum)</t>
  </si>
  <si>
    <t>Passage à une garantie 6 ans formule Platine pour iMac 21 &amp; 24" (réparation sur site de J+1 à J+3 maximum)</t>
  </si>
  <si>
    <t>MI5-IMAC-24-7-PLATINE</t>
  </si>
  <si>
    <t xml:space="preserve">Passage à une garantie 7 ans formule Platine pour iMac 24" (réparation sur site de J+1 à J+3 maximum) </t>
  </si>
  <si>
    <t xml:space="preserve">Passage à une garantie 7 ans formule Platine pour iMac 21 &amp; 24" (réparation sur site de J+1 à J+3 maximum) </t>
  </si>
  <si>
    <t>MI5-IMAC-24-8-PLATINE</t>
  </si>
  <si>
    <t xml:space="preserve">Passage à une garantie 8 ans formule Platine pour iMac 24" (réparation sur site de J+1 à J+3 maximum) </t>
  </si>
  <si>
    <t xml:space="preserve">Passage à une garantie 8 ans formule Platine pour iMac 21 &amp; 24" (réparation sur site de J+1 à J+3 maximum) </t>
  </si>
  <si>
    <t>MI5-IMAC-24-5-PLUS-INTER</t>
  </si>
  <si>
    <t>Garantie 5 ans formule Plus internationale pour iMac 24" (France : intervention à J+1 - réparation à J+3 ou iMac 21,5" ou 24" de prêt pour la France Métropolitaine - retour atelier pour l'étranger)(remplace la garantie 5 ans formule Plus)</t>
  </si>
  <si>
    <t>Garantie 5 ans formule Plus internationale pour iMac 21,5" &amp; iMac 24" (France : intervention à J+1 - réparation à J+3 ou iMac 21,5" ou 24" de prêt pour la France Métropolitaine - retour atelier pour l'étranger)(remplace la garantie 5 ans formule Plus)</t>
  </si>
  <si>
    <t>MI5-IMAC-24-5-PRO-INTER</t>
  </si>
  <si>
    <t>Garantie 5 ans formule Pro internationale pour iMac 24" (diagnostic à H+4 - remplacement à J+1 - retour atelier à l'étranger)(remplace la garantie 5 ans formule Plus)</t>
  </si>
  <si>
    <t>Garantie 5 ans formule Pro internationale pour iMac 21,5" &amp; iMac 24" (diagnostic à H+4 - remplacement à J+1 - retour atelier à l'étranger)(remplace la garantie 5 ans formule Plus)</t>
  </si>
  <si>
    <t>Service complémentaire forfaité d'assurance vol /casse/maladresse pour une durée de 5 ans pour iMac 21 &amp; 24"</t>
  </si>
  <si>
    <t>Service complémentaire forfaité d'assurance vol /casse/maladresse pour une durée de 8 ans pour iMac 21 &amp; 24"</t>
  </si>
  <si>
    <t>MI5-IMAC-24-5-E-KYOD</t>
  </si>
  <si>
    <t>Service de conservation du disque dur pour une durée de 5 ans pour iMac 24" (Keep your own drive)</t>
  </si>
  <si>
    <t>Service de conservation du disque dur pour une durée de 5 ans pour iMac 21 &amp; 24" (Keep your own drive)</t>
  </si>
  <si>
    <t>Service de conservation du disque dur pour une durée de 8 ans pour iMac 21 &amp; 24" (Keep your own drive)</t>
  </si>
  <si>
    <t>MXWT2FN/A</t>
  </si>
  <si>
    <t>iMac 27" Retina 5K / Core i5 hexacœur 3,1 GHz / 8 Go DDR4 2 666 MHz / SSD 256 Go / AMD Radeon Pro 5300 4 Go / 2xThunderbolt 3 / 4xUSB 3 / AirPort Extreme 802.11ac / Bluetooth 5.0 / Gigabit Eth</t>
  </si>
  <si>
    <t>MI5-IMAC-27-5-PLUS</t>
  </si>
  <si>
    <t>Catégorie 4 - Fixes bureautiques - Configuration 5</t>
  </si>
  <si>
    <t>Garantie 5 ans formule Plus pour iMac 27" (intervention à J+1 - réparation à J+3 ou iMac 27" de prêt)</t>
  </si>
  <si>
    <t>CTO-MXWT2-VERNT</t>
  </si>
  <si>
    <t>Passage à un écran avec verre nano-texturé pour iMac 27'' Retina 5K MXWT2FN/A</t>
  </si>
  <si>
    <t>CTO-MXWT2-16GB</t>
  </si>
  <si>
    <t>Passage à 16 Go de mémoire DDR4 2 666 MHz non soudés pour iMac 27'' Retina 5K MXWT2FN/A</t>
  </si>
  <si>
    <t>CTO-MXWT2-32GB</t>
  </si>
  <si>
    <t>Passage à 32 Go de mémoire DDR4 2 666 MHz non soudés pour iMac 27'' Retina 5K MXWT2FN/A</t>
  </si>
  <si>
    <t>CTO-MXWT2-64GB</t>
  </si>
  <si>
    <t>Passage à 64 Go de mémoire DDR4 2 666 MHz non soudés pour iMac 27'' Retina 5K MXWT2FN/A</t>
  </si>
  <si>
    <t>CTO-MXWT2-128GB</t>
  </si>
  <si>
    <t>Passage à 128 Go de mémoire DDR4 2 666 MHz non soudés pour iMac 27'' Retina 5K MXWT2FN/A</t>
  </si>
  <si>
    <t>CTO-MXWT2-ETH</t>
  </si>
  <si>
    <t>Passage à 10 Gigabit Ethernet pour iMac 27'' Retina 5K MXWT2FN/A</t>
  </si>
  <si>
    <t>CTO-MXWT2-MTP2</t>
  </si>
  <si>
    <t>Passage à un Magic Trackpad 2 (Force Touch sans fil Bluetooth rechargeable Lightning) pour iMac 27'' Retina 5K MXWT2FN/A</t>
  </si>
  <si>
    <t>CTO-MXWT2-MMTP2</t>
  </si>
  <si>
    <t>Passage à une souris Magic Mouse 2 et un Magic Trackpad 2 (Force Touch sans fil Bluetooth rechargeable Lightning) pour iMac 27'' Retina 5K MXWT2FN/A</t>
  </si>
  <si>
    <t>CTO-MXWT2-MKEPV-FR</t>
  </si>
  <si>
    <t>Passage à un Magic Keyboard français 109 touches avec pavé numérique pour iMac 27'' Retina 5K MXWT2FN/A</t>
  </si>
  <si>
    <t>CTO-MXWT2-MKEPV-US</t>
  </si>
  <si>
    <t>Passage à un Magic Keyboard américain 109 touches avec pavé numérique pour iMac 27'' Retina 5K MXWT2FN/A</t>
  </si>
  <si>
    <t>CTO-MXWT2-MKEPV-UK</t>
  </si>
  <si>
    <t>Passage à un Magic Keyboard anglais international 109 touches avec pavé numérique pour iMac 27'' Retina 5K MXWT2FN/A</t>
  </si>
  <si>
    <t>CTO-MXWT2-MKE-QUS</t>
  </si>
  <si>
    <t>Passage à un Magic Keyboard américain 78 touches sans fil Bluetooth rechargeable (sans pavé numérique) pour iMac 27'' Retina 5K MXWT2FN/A</t>
  </si>
  <si>
    <t>CTO-MXWT2-MKE-QUK</t>
  </si>
  <si>
    <t>Passage à un Magic Keyboard anglais international 78 touches sans fil Bluetooth rechargeable (sans pavé numérique) pour iMac 27'' Retina 5K MXWT2FN/A</t>
  </si>
  <si>
    <t>MI5-IMAC-27-6-PLUS</t>
  </si>
  <si>
    <t>Passage à une garantie 6 ans formule Plus pour iMac 27" (intervention à J+1 - réparation à J+3 ou iMac 27" de prêt)</t>
  </si>
  <si>
    <t>MI5-IMAC-27-7-PLUS</t>
  </si>
  <si>
    <t>Passage à une garantie 7 ans formule Plus pour iMac 27" (intervention à J+1 - réparation à J+3 ou iMac 27" de prêt)</t>
  </si>
  <si>
    <t>MI5-IMAC-27-8-PLUS</t>
  </si>
  <si>
    <t>Passage à une garantie 8 ans formule Plus pour iMac 27" (intervention à J+1 - réparation à J+3 ou iMac 27" de prêt)</t>
  </si>
  <si>
    <t>MI5-IMAC-27-5-PRO</t>
  </si>
  <si>
    <r>
      <t xml:space="preserve">Passage à une garantie 5 ans </t>
    </r>
    <r>
      <rPr>
        <b/>
        <sz val="10"/>
        <rFont val="Calibri (Corps)"/>
      </rPr>
      <t>formule Pro+</t>
    </r>
    <r>
      <rPr>
        <b/>
        <sz val="10"/>
        <rFont val="Calibri"/>
        <family val="2"/>
        <scheme val="minor"/>
      </rPr>
      <t xml:space="preserve"> pour iMac 27" (diagnostic à H+4 - remplacement à J+1)</t>
    </r>
  </si>
  <si>
    <t>MI5-IMAC-27-6-PRO</t>
  </si>
  <si>
    <r>
      <t xml:space="preserve">Passage à une garantie 6 ans </t>
    </r>
    <r>
      <rPr>
        <b/>
        <sz val="10"/>
        <rFont val="Calibri (Corps)"/>
      </rPr>
      <t>formule Pro+</t>
    </r>
    <r>
      <rPr>
        <b/>
        <sz val="10"/>
        <rFont val="Calibri"/>
        <family val="2"/>
        <scheme val="minor"/>
      </rPr>
      <t xml:space="preserve"> pour iMac 27" (diagnostic à H+4 - remplacement à J+1)</t>
    </r>
  </si>
  <si>
    <t>MI5-IMAC-27-7-PRO</t>
  </si>
  <si>
    <r>
      <t xml:space="preserve">Passage à une garantie 7 ans </t>
    </r>
    <r>
      <rPr>
        <b/>
        <sz val="10"/>
        <rFont val="Calibri (Corps)"/>
      </rPr>
      <t>formule Pro+</t>
    </r>
    <r>
      <rPr>
        <b/>
        <sz val="10"/>
        <rFont val="Calibri"/>
        <family val="2"/>
        <scheme val="minor"/>
      </rPr>
      <t xml:space="preserve"> pour iMac 27" (diagnostic à H+4 - remplacement à J+1)</t>
    </r>
  </si>
  <si>
    <t>MI5-IMAC-27-8-PRO</t>
  </si>
  <si>
    <r>
      <t xml:space="preserve">Passage à une garantie 8 ans </t>
    </r>
    <r>
      <rPr>
        <b/>
        <sz val="10"/>
        <rFont val="Calibri (Corps)"/>
      </rPr>
      <t>formule Pro+</t>
    </r>
    <r>
      <rPr>
        <b/>
        <sz val="10"/>
        <rFont val="Calibri"/>
        <family val="2"/>
        <scheme val="minor"/>
      </rPr>
      <t xml:space="preserve"> pour iMac 27" (diagnostic à H+4 - remplacement à J+1)</t>
    </r>
  </si>
  <si>
    <t>MI5-IMAC-27-5-PLATINE</t>
  </si>
  <si>
    <t xml:space="preserve">Passage à une garantie 5 ans formule Platine pour iMac 27" (réparation sur site de J+1 à J+3 maximum) </t>
  </si>
  <si>
    <t>MI5-IMAC-27-6-PLATINE</t>
  </si>
  <si>
    <t>Passage à une garantie 6 ans formule Platine pour iMac 27" (réparation sur site de J+1 à J+3 maximum)</t>
  </si>
  <si>
    <t>MI5-IMAC-27-7-PLATINE</t>
  </si>
  <si>
    <t>Passage à une garantie 7 ans formule Platine pour iMac 27" (réparation sur site de J+1 à J+3 maximum)</t>
  </si>
  <si>
    <t>MI5-IMAC-27-8-PLATINE</t>
  </si>
  <si>
    <t>Passage à une garantie 8 ans formule Platine pour iMac 27" (réparation sur site de J+1 à J+3 maximum)</t>
  </si>
  <si>
    <t>MI5-IMAC-27-5-PLUS-INTER</t>
  </si>
  <si>
    <t>Garantie 5 ans formule Plus internationale pour iMac 27" (France : intervention à J+1 - réparation à J+3 ou iMac 27" de prêt pour la France Métropolitaine - retour atelier pour l'étranger) (remplace la garantie 5 ans formule Plus)</t>
  </si>
  <si>
    <t>MI5-IMAC-27-5-PRO-INTER</t>
  </si>
  <si>
    <t>Garantie 5 ans formule Pro internationale pour iMac 27" (diagnostic à H+4 - remplacement à J+1 - retour atelier à l'étranger) (remplace la garantie 5 ans formule Plus)</t>
  </si>
  <si>
    <t>MI5-IMAC-27-5-E-CARE</t>
  </si>
  <si>
    <t>Service complémentaire forfaité d'assurance vol /casse/maladresse pour une durée de 5 ans pour iMac 27"</t>
  </si>
  <si>
    <t>MI5-IMAC-27-8-E-CARE</t>
  </si>
  <si>
    <t>Service complémentaire forfaité d'assurance vol /casse/maladresse pour une durée de 8 ans pour iMac 27"</t>
  </si>
  <si>
    <t>MI5-IMAC-27-5-E-KYOD</t>
  </si>
  <si>
    <t>Service de conservation du disque dur pour une durée de 5 ans pour iMac 27" (Keep your own drive)</t>
  </si>
  <si>
    <t>MI5-IMAC-27-8-E-KYOD</t>
  </si>
  <si>
    <t>Service de conservation du disque dur pour une durée de 8 ans pour iMac 27" (Keep your own drive)</t>
  </si>
  <si>
    <t>MXWU2FN/A</t>
  </si>
  <si>
    <t>iMac 27" Retina 5K / Core i5 hexacœur 3,3 GHz / 8 Go DDR4 2 666 MHz / SSD 512 Go / AMD Radeon Pro 5300 4 Go / 2xThunderbolt 3 / 4xUSB 3 / AirPort Extreme 802.11ac / Bluetooth 5.0 / Gigabit Eth</t>
  </si>
  <si>
    <t>Catégorie 4 - Fixes bureautiques - Configuration 6</t>
  </si>
  <si>
    <t>CTO-MXWU2-VERNT</t>
  </si>
  <si>
    <t>Passage à un écran avec verre nano-texturé pour iMac 27'' Retina 5K MXWU2FN/A</t>
  </si>
  <si>
    <t>CTO-MXWU2-i9-3,6</t>
  </si>
  <si>
    <t>Passage à un processeur Core i9 10 cœurs à 3,6 GHz (Turbo Boost à 5,0 GHz) pour iMac 27" Retina 5K MXWU2FN/A</t>
  </si>
  <si>
    <t>CTO-MXWU2-16GB</t>
  </si>
  <si>
    <t>Passage à 16 Go de mémoire DDR4 2 666 MHz non soudés pour iMac 27'' Retina 5K MXWU2FN/A</t>
  </si>
  <si>
    <t>CTO-MXWU2-32GB</t>
  </si>
  <si>
    <t>Passage à 32 Go de mémoire DDR4 2 666 MHz non soudés pour iMac 27'' Retina 5K MXWU2FN/A</t>
  </si>
  <si>
    <t>CTO-MXWU2-64GB</t>
  </si>
  <si>
    <t>Passage à 64 Go de mémoire DDR4 2 666 MHz non soudés pour iMac 27'' Retina 5K MXWU2FN/A</t>
  </si>
  <si>
    <t>CTO-MXWU2-128GB</t>
  </si>
  <si>
    <t>Passage à 128 Go de mémoire DDR4 2 666 MHz non soudés pour iMac 27'' Retina 5K MXWU2FN/A</t>
  </si>
  <si>
    <t>CTO-MXWU2-SSD1To</t>
  </si>
  <si>
    <t>Passage à 1 To de stockage SSD PCIe pour iMac 27'' Retina 5K MXWU2FN/A</t>
  </si>
  <si>
    <t>CTO-MXWU2-SSD2To</t>
  </si>
  <si>
    <t>Passage à 2 To de stockage SSD PCIe pour iMac 27'' Retina 5K MXWU2FN/A</t>
  </si>
  <si>
    <t>CTO-MXWU2-ETH</t>
  </si>
  <si>
    <t>Passage à 10 Gigabit Ethernet pour iMac 27'' Retina 5K MXWU2FN/A</t>
  </si>
  <si>
    <t>CTO-MXWU2-MTP2</t>
  </si>
  <si>
    <t>Passage à un Magic Trackpad 2 (Force Touch sans fil Bluetooth rechargeable Lightning) pour iMac 27'' Retina 5K MXWU2FN/A</t>
  </si>
  <si>
    <t>CTO-MXWU2-MMTP2</t>
  </si>
  <si>
    <t>Passage à une souris Magic Mouse 2 et un Magic Trackpad 2 (Force Touch sans fil Bluetooth rechargeable Lightning) pour iMac 27'' Retina 5K MXWU2FN/A</t>
  </si>
  <si>
    <t>CTO-MXWU2-MKEPV-FR</t>
  </si>
  <si>
    <t>Passage à un Magic Keyboard français 109 touches avec pavé numérique pour iMac 27'' Retina 5K MXWU2FN/A</t>
  </si>
  <si>
    <t>CTO-MXWU2-MKEPV-US</t>
  </si>
  <si>
    <t>Passage à un Magic Keyboard américain 109 touches avec pavé numérique pour iMac 27'' Retina 5K MXWU2FN/A</t>
  </si>
  <si>
    <t>CTO-MXWU2-MKEPV-UK</t>
  </si>
  <si>
    <t>Passage à un Magic Keyboard anglais international 109 touches avec pavé numérique pour iMac 27'' Retina 5K MXWU2FN/A</t>
  </si>
  <si>
    <t>CTO-MXWU2-MKE-QUS</t>
  </si>
  <si>
    <t>Passage à un Magic Keyboard américain 78 touches sans fil Bluetooth rechargeable (sans pavé numérique) pour iMac 27'' Retina 5K MXWU2FN/A</t>
  </si>
  <si>
    <t>CTO-MXWU2-MKE-QUK</t>
  </si>
  <si>
    <t>Passage à un Magic Keyboard anglais international 78 touches sans fil Bluetooth rechargeable (sans pavé numérique) pour iMac 27'' Retina 5K MXWU2FN/A</t>
  </si>
  <si>
    <t>MXWV2FN/A</t>
  </si>
  <si>
    <t>iMac 27" Retina 5K / Core i7 octocœur 3,8 GHz / 8 Go DDR4 2 666 MHz / SSD 512 Go / AMD Radeon Pro 5500XT 8 Go / 2xThunderbolt 3 / 4xUSB 3 / AirPort Extreme 802.11ac / Bluetooth 5.0 / GigaBit Eth</t>
  </si>
  <si>
    <t>Catégorie 4 - Fixes bureautiques - Configuration 7</t>
  </si>
  <si>
    <t>CTO-MXWV2-VERNT</t>
  </si>
  <si>
    <t>Passage à un écran avec verre nano-texturé pour iMac 27'' Retina 5K MXWV2FN/A</t>
  </si>
  <si>
    <t>CTO-MXWV2-i9-3,6</t>
  </si>
  <si>
    <t>Passage à un processeur Core i9 10 cœurs à 3,6 GHz (Turbo Boost à 5,0 GHz) pour iMac 27" Retina 5K MXWV2FN/A</t>
  </si>
  <si>
    <t>CTO-MXWV2-16GB</t>
  </si>
  <si>
    <t>Passage à 16 Go de mémoire DDR4 2 666 MHz non soudés pour iMac 27'' Retina 5K MXWV2FN/A</t>
  </si>
  <si>
    <t>CTO-MXWV2-32GB</t>
  </si>
  <si>
    <t>Passage à 32 Go de mémoire DDR4 2 666 MHz non soudés pour iMac 27'' Retina 5K MXWV2FN/A</t>
  </si>
  <si>
    <t>CTO-MXWV2-64GB</t>
  </si>
  <si>
    <t>Passage à 64 Go de mémoire DDR4 2 666 MHz non soudés pour iMac 27'' Retina 5K MXWV2FN/A</t>
  </si>
  <si>
    <t>CTO-MXWV2-128GB</t>
  </si>
  <si>
    <t>Passage à 128 Go de mémoire DDR4 2 666 MHz non soudés pour iMac 27'' Retina 5K MXWV2FN/A</t>
  </si>
  <si>
    <t>CTO-MXWV2-RAD57008G</t>
  </si>
  <si>
    <t>Passage à un processeur graphique Radeon Pro 5700 (8 Go de mémoire GDDR6) pour iMac 21,5'' Retina 4K MXWV2FN/A</t>
  </si>
  <si>
    <t>CTO-MXWV2-RAD5700XT16G</t>
  </si>
  <si>
    <t>Passage à un processeur graphique Radeon Pro 5700 XT (16 Go de mémoire GDDR6) pour iMac 21,5'' Retina 4K MXWV2FN/A</t>
  </si>
  <si>
    <t>CTO-MXWV2-SSD1To</t>
  </si>
  <si>
    <t>Passage à 1 To de stockage SSD PCIe pour iMac 27'' Retina 5K MXWV2FN/A</t>
  </si>
  <si>
    <t>CTO-MXWV2-SSD2To</t>
  </si>
  <si>
    <t>Passage à 2 To de stockage SSD PCIe pour iMac 27'' Retina 5K MXWV2FN/A</t>
  </si>
  <si>
    <t>CTO-MXWV2-SSD4To</t>
  </si>
  <si>
    <t>Passage à 4 To de stockage SSD PCIe pour iMac 27'' Retina 5K MXWV2FN/A</t>
  </si>
  <si>
    <t>CTO-MXWV2-SSD8To</t>
  </si>
  <si>
    <t>Passage à 8 To de stockage SSD PCIe pour iMac 27'' Retina 5K MXWV2FN/A</t>
  </si>
  <si>
    <t>CTO-MXWV2-ETH</t>
  </si>
  <si>
    <t>Passage à 10 Gigabit Ethernet pour iMac 27'' Retina 5K MXWV2FN/A</t>
  </si>
  <si>
    <t>CTO-MXWV2-MTP2</t>
  </si>
  <si>
    <t>Passage à un Magic Trackpad 2 (Force Touch sans fil Bluetooth rechargeable Lightning) pour iMac 27'' Retina 5K MXWV2FN/A</t>
  </si>
  <si>
    <t>CTO-MXWV2-MMTP2</t>
  </si>
  <si>
    <t>Passage à une souris Magic Mouse 2 et un Magic Trackpad 2 (Force Touch sans fil Bluetooth rechargeable Lightning) pour iMac 27'' Retina 5K MXWV2FN/A</t>
  </si>
  <si>
    <t>CTO-MXWV2-MKEPV-FR</t>
  </si>
  <si>
    <t>Passage à un Magic Keyboard français 109 touches avec pavé numérique pour iMac 27'' Retina 5K MXWV2FN/A</t>
  </si>
  <si>
    <t>CTO-MXWV2-MKEPV-US</t>
  </si>
  <si>
    <t>Passage à un Magic Keyboard américain 109 touches avec pavé numérique pour iMac 27'' Retina 5K MXWV2FN/A</t>
  </si>
  <si>
    <t>CTO-MXWV2-MKEPV-UK</t>
  </si>
  <si>
    <t>Passage à un Magic Keyboard anglais international 109 touches avec pavé numérique pour iMac 27'' Retina 5K MXWV2FN/A</t>
  </si>
  <si>
    <t>CTO-MXWV2-MKE-QUS</t>
  </si>
  <si>
    <t>Passage à un Magic Keyboard américain 78 touches sans fil Bluetooth rechargeable (sans pavé numérique) pour iMac 27'' Retina 5K MXWV2FN/A</t>
  </si>
  <si>
    <t>CTO-MXWV2-MKE-QUK</t>
  </si>
  <si>
    <t>Passage à un Magic Keyboard anglais international 78 touches sans fil Bluetooth rechargeable (sans pavé numérique) pour iMac 27'' Retina 5K MXWV2FN/A</t>
  </si>
  <si>
    <t>S/AP-IM426S16G</t>
  </si>
  <si>
    <t>Carte 16 Go SDRAM DDR4 à 2 666 MHz So-DIMM pour iMac 27" Retina 5K (03 2019)</t>
  </si>
  <si>
    <t>SQP</t>
  </si>
  <si>
    <t>Accessoires</t>
  </si>
  <si>
    <t>S/AP-IM426S32G</t>
  </si>
  <si>
    <t>Carte 32 Go SDRAM DDR4 à 2 666 MHz So-DIMM pour iMac 27" Retina 5K (03 2019)</t>
  </si>
  <si>
    <t>Z0W3</t>
  </si>
  <si>
    <t>CTO Mac Pro tour Intel Xeon W 8-core 3,5 GHz/32 Go (4x8) DDR4 ECC/512 Go SSD/Radeon Pro W5500X 8 Go GDDR6/Magic Keyboard avec pavé numérique &amp; Magic Mouse 2</t>
  </si>
  <si>
    <t>MI5-MACPRO-5-PLUS</t>
  </si>
  <si>
    <t>Catégorie 5 - Fixes performants - Configuration 1</t>
  </si>
  <si>
    <t>CTO Mac Pro Tour Intel Xeon W 8 coeurs 3,5 GHz / 32 Go DDR4 ECC / SSD 256 Go / Radeon Pro 580X avec 8 Go / 6xThunderbolt 3 / 2xUSB 3 / 2xGigabit Ethernet / AirPort Extreme 802.11ac / Bluetooth 5.0</t>
  </si>
  <si>
    <t>Garantie 5 ans formule Plus pour Mac Pro (intervention à J+1 - réparation à J+3 ou Mac Pro de prêt)</t>
  </si>
  <si>
    <t>CTO-Z0W3-12C-3,3</t>
  </si>
  <si>
    <t>Passage à processeur 12 cœurs Intel Xeon W à 3,3 GHz avec 31,25 Mo mémoire cache N3 à commander avec Z0W3</t>
  </si>
  <si>
    <t>iA25</t>
  </si>
  <si>
    <t>CTO-Z0W3-16C-3,2</t>
  </si>
  <si>
    <t>Passage à processeur 16 cœurs Intel Xeon W à 3,2 GHz avec 38 Mo mémoire cache N3 à commander avec Z0W3</t>
  </si>
  <si>
    <t>CTO-Z0W3-24C-2,7</t>
  </si>
  <si>
    <t>Passage à processeur 24 cœurs Intel Xeon W à 2,7 GHz avec 57 Mo mémoire cache N3 à commander avec Z0W3</t>
  </si>
  <si>
    <t>CTO-Z0W3-28C-2,5</t>
  </si>
  <si>
    <t>Passage à processeur 28 cœurs Intel Xeon W à 2,5 GHz avec 66,5 Mo mémoire cache N3 à commander avec Z0W3</t>
  </si>
  <si>
    <t>CTO-Z0W3-6x8GB</t>
  </si>
  <si>
    <t>Passage à 48 Go de mémoire (6x8 Go) DDR4 2 666 MHz ou 2 933 Mhz non soudés à commander avec Z0W3</t>
  </si>
  <si>
    <t>CTO-Z0W3-6x16GB</t>
  </si>
  <si>
    <t>Passage à 96 Go de mémoire (6x16 Go) DDR4 2 666 MHz ou 2 933 Mhz non soudés à commander avec Z0W3</t>
  </si>
  <si>
    <t xml:space="preserve">CTO-Z0W3-6x32GB </t>
  </si>
  <si>
    <t>Passage à 192 Go de mémoire (6x32 Go) DDR4 2 666 MHz ou 2 933 Mhz non soudés à commander avec Z0W3</t>
  </si>
  <si>
    <t>CTO-Z0W3-6x64GB</t>
  </si>
  <si>
    <t>Passage à 384 Go de mémoire (6x64 Go) DDR4 2 666 MHz ou 2 933 Mhz non soudés à commander avec Z0W3</t>
  </si>
  <si>
    <t>CTO-Z0W3-12x64GB</t>
  </si>
  <si>
    <t>Passage à 768 Go de mémoire (12x64 Go) DDR4 2 666 MHz ou 2 933 Mhz non soudés à commander avec Z0W3</t>
  </si>
  <si>
    <t>CTO-Z0W3-6x128GB</t>
  </si>
  <si>
    <t>Passage à 768 Go de mémoire (6x128 Go) DDR4 2 666 MHz ou 2 933 Mhz non soudés à commander avec Z0W3</t>
  </si>
  <si>
    <t>CTO-Z0W3-SSD1To</t>
  </si>
  <si>
    <t>Passage à 1 To de stockage SSD NVMe à commander avec Z0W3</t>
  </si>
  <si>
    <t>CTO-Z0W3-SSD2To</t>
  </si>
  <si>
    <t>Passage à 2 To de stockage SSD NVMe à commander avec Z0W3</t>
  </si>
  <si>
    <t>CTO-Z0W3-SSD4To</t>
  </si>
  <si>
    <t>Passage à 4 To de stockage SSD NVMe à commander avec Z0W3</t>
  </si>
  <si>
    <t>CTO-Z0W3-SSD8To</t>
  </si>
  <si>
    <t>Passage à 8 To de stockage SSD NVMe à commander avec Z0W3</t>
  </si>
  <si>
    <t>CTO-Z0W3-RADW5700X16</t>
  </si>
  <si>
    <t>Passage à un processeur graphique Radeon Pro W5700X avec 16 Go de mémoire GDDR6 pour Mac Pro Z0W3</t>
  </si>
  <si>
    <t>CTO-Z0W3-RADW5500X8</t>
  </si>
  <si>
    <t>Passage à un processeur graphique Radeon Pro W5500X avec 8 Go de mémoire GDDR6 pour Mac Pro Z0W3</t>
  </si>
  <si>
    <t>CTO-Z0W3-2xRADW5700X16</t>
  </si>
  <si>
    <t>Passage à deux processeurs graphiques Radeon Pro W5700X avec 16 Go de mémoire GDDR6 pour Mac Pro Z0W3</t>
  </si>
  <si>
    <t>CTO-Z0W3-RADW6600X8</t>
  </si>
  <si>
    <t>Passage à un processeur graphique Radeon Pro W6600X avec 8 Go de mémoire GDDR6 pour Mac Pro Z0W3</t>
  </si>
  <si>
    <t>CTO-Z0W3-RADW6800X32</t>
  </si>
  <si>
    <t>Passage à un processeur graphique Radeon Pro W6800X avec 32 Go de mémoire GDDR6 pour Mac Pro Z0W3</t>
  </si>
  <si>
    <t>CTO-Z0W3-2xRADW6800X32</t>
  </si>
  <si>
    <t>Passage à deux processeurs graphiques Radeon Pro W6800X avec 32 Go de mémoire GDDR6 chacun pour Mac Pro Z0W3</t>
  </si>
  <si>
    <t>CTO-Z0W3-RADW6800XDUO</t>
  </si>
  <si>
    <t>Passage à un processeur graphique Radeon Pro W6800X Duo avec 64 Go de mémoire GDDR6 pour Mac Pro Z0W3</t>
  </si>
  <si>
    <t>CTO-Z0W3-2xRADW6800XDUO</t>
  </si>
  <si>
    <t>Passage à deux processeurs graphiques Radeon Pro W6800X avec 64 Go de mémoire GDDR6 chacun pour Mac Pro Z0W3</t>
  </si>
  <si>
    <t>CTO-Z0W3-RADW6900X32</t>
  </si>
  <si>
    <t>Passage à un processeur graphique Radeon Pro W6900X avec 32 Go de mémoire GDDR6 pour Mac Pro Z0W3</t>
  </si>
  <si>
    <t>CTO-Z0W3-2xRADW6900X32</t>
  </si>
  <si>
    <t>Passage à deux processeurs graphiques Radeon Pro W6900X avec 32 Go de mémoire GDDR6 chacun pour Mac Pro Z0W3</t>
  </si>
  <si>
    <t>CTO-Z0W3-AFTERBURNER</t>
  </si>
  <si>
    <t>Ajout d'une carte Apple Afterburner pour Mac Pro Z0W3</t>
  </si>
  <si>
    <t>CTO-Z0W3-MTP2</t>
  </si>
  <si>
    <t>Passage à un Magic Trackpad 2 (Force Touch sans fil Bluetooth rechargeable Lightning) à commander avec Z0W3</t>
  </si>
  <si>
    <t>CTO-Z0W3-MMTP2</t>
  </si>
  <si>
    <t>Passage à une souris Magic Mouse 2 et un Magic Trackpad 2 (Force Touch sans fil Bluetooth rechargeable Lightning) à commander avec Z0W3</t>
  </si>
  <si>
    <t>CTO-Z0W3-MKEPV-US</t>
  </si>
  <si>
    <t>Passage à un Magic Keyboard américain 109 touches avec pavé numérique argent et noir à commander avec Z0W3</t>
  </si>
  <si>
    <t>CTO-Z0W3-MKEPV-IE</t>
  </si>
  <si>
    <t>Passage à un Magic Keyboard anglais international 109 touches avec pavé numérique argent et noir à commander avec Z0W3</t>
  </si>
  <si>
    <t>CTO-Z0W3-MKEPV-UK</t>
  </si>
  <si>
    <t>CTO-Z0W3-ROUES</t>
  </si>
  <si>
    <t>Passage à un châssis en acier inoxydable avec roulettes à commander avec Z0W3</t>
  </si>
  <si>
    <t>MI5-MACPRO-6-PLUS</t>
  </si>
  <si>
    <t>Passage à une garantie 6 ans formule Plus pour Mac Pro (intervention à J+1 - réparation à J+3 ou Mac Pro de prêt)</t>
  </si>
  <si>
    <t>MI5-MACPRO-7-PLUS</t>
  </si>
  <si>
    <t>Passage à une garantie 7 ans formule Plus pour Mac Pro (intervention à J+1 - réparation à J+3 ou Mac Pro de prêt)</t>
  </si>
  <si>
    <t>MI5-MACPRO-8-PLUS</t>
  </si>
  <si>
    <t>Passage à une garantie 8 ans formule Plus pour Mac Pro (intervention à J+1 - réparation à J+3 ou Mac Pro de prêt)</t>
  </si>
  <si>
    <t>MI5-MACPRO-5-PRO</t>
  </si>
  <si>
    <r>
      <t xml:space="preserve">Passage à une garantie 5 ans </t>
    </r>
    <r>
      <rPr>
        <b/>
        <sz val="10"/>
        <rFont val="Calibri (Corps)"/>
      </rPr>
      <t>formule Pro+</t>
    </r>
    <r>
      <rPr>
        <b/>
        <sz val="10"/>
        <rFont val="Calibri"/>
        <family val="2"/>
        <scheme val="minor"/>
      </rPr>
      <t xml:space="preserve"> pour Mac Pro (diagnostic à H+4 - remplacement à J+1)</t>
    </r>
  </si>
  <si>
    <t>MI5-MACPRO-6-PRO</t>
  </si>
  <si>
    <r>
      <t xml:space="preserve">Passage à une garantie 6 ans </t>
    </r>
    <r>
      <rPr>
        <b/>
        <sz val="10"/>
        <rFont val="Calibri (Corps)"/>
      </rPr>
      <t>formule Pro+</t>
    </r>
    <r>
      <rPr>
        <b/>
        <sz val="10"/>
        <rFont val="Calibri"/>
        <family val="2"/>
        <scheme val="minor"/>
      </rPr>
      <t xml:space="preserve"> pour Mac Pro (diagnostic à H+4 - remplacement à J+1)</t>
    </r>
  </si>
  <si>
    <t>MI5-MACPRO-7-PRO</t>
  </si>
  <si>
    <r>
      <t xml:space="preserve">Passage à une garantie 7 ans </t>
    </r>
    <r>
      <rPr>
        <b/>
        <sz val="10"/>
        <rFont val="Calibri (Corps)"/>
      </rPr>
      <t>formule Pro+</t>
    </r>
    <r>
      <rPr>
        <b/>
        <sz val="10"/>
        <rFont val="Calibri"/>
        <family val="2"/>
        <scheme val="minor"/>
      </rPr>
      <t xml:space="preserve"> pour Mac Pro (diagnostic à H+4 - remplacement à J+1)</t>
    </r>
  </si>
  <si>
    <t>MI5-MACPRO-8-PRO</t>
  </si>
  <si>
    <r>
      <t xml:space="preserve">Passage à une garantie 8 ans </t>
    </r>
    <r>
      <rPr>
        <b/>
        <sz val="10"/>
        <rFont val="Calibri (Corps)"/>
      </rPr>
      <t>formule Pro+</t>
    </r>
    <r>
      <rPr>
        <b/>
        <sz val="10"/>
        <rFont val="Calibri"/>
        <family val="2"/>
        <scheme val="minor"/>
      </rPr>
      <t xml:space="preserve"> pour MacPro (diagnostic à H+4 - remplacement à J+1)</t>
    </r>
  </si>
  <si>
    <t>MI5-MACPRO-5-PLATINE</t>
  </si>
  <si>
    <t>Passage à une garantie 5 ans formule Platine pour Mac Pro (réparation sur site de J+1 à J+3 maximum)</t>
  </si>
  <si>
    <t>MI5-MACPRO-6-PLATINE</t>
  </si>
  <si>
    <t xml:space="preserve">Passage à une garantie 6 ans formule Platine pour Mac Pro(réparation sur site de J+1 à J+3 maximum) </t>
  </si>
  <si>
    <t>MI5-MACPRO-7-PLATINE</t>
  </si>
  <si>
    <t>Passage à une garantie 7 ans formule Platine pour Mac Pro (réparation sur site de J+1 à J+3 maximum)</t>
  </si>
  <si>
    <t>MI5-MACPRO-8-PLATINE</t>
  </si>
  <si>
    <t>Passage à une garantie 8 ans formule Platine pour Mac Pro (réparation sur site de J+1 à J+3 maximum)</t>
  </si>
  <si>
    <t>MI5-MACPRO-5-PLUS-INTER</t>
  </si>
  <si>
    <t>Garantie 5 ans formule Plus internationale pour Mac Pro (France : intervention à J+1 - réparation à J+3 ou Mac Pro de prêt pour la France Métropolitaine - retour atelier pour l'étranger) (remplace la garantie 5 ans formule Plus)</t>
  </si>
  <si>
    <t>MI5-MACPRO-5-PRO-INTER</t>
  </si>
  <si>
    <t>Garantie 5 ans formule Pro internationale pour Mac Pro (diagnostic à H+4 - remplacement à J+1 - retour atelier à l'étranger)(remplace la garantie 5 ans formule Plus)</t>
  </si>
  <si>
    <t>MI5-MACPRO-5-E-CARE</t>
  </si>
  <si>
    <t>Service complémentaire forfaité d'assurance vol /casse/maladresse pour une durée de 5 ans pour Mac Pro</t>
  </si>
  <si>
    <t>MI5-MACPRO-8-E-CARE</t>
  </si>
  <si>
    <t>Service complémentaire forfaité d'assurance vol /casse/maladresse pour une durée de 8 ans pour Mac Pro</t>
  </si>
  <si>
    <t>MI5-MACPRO-5-E-KYOD</t>
  </si>
  <si>
    <t>Service de conservation du disque dur pour une durée de 5 ans pour Mac Pro (Keep your own drive)</t>
  </si>
  <si>
    <t>MI5-MACPRO-8-E-KYOD</t>
  </si>
  <si>
    <t>Service de conservation du disque dur pour une durée de 8 ans pour Mac Pro (Keep your own drive)</t>
  </si>
  <si>
    <t>Z0YZ</t>
  </si>
  <si>
    <t>CTO Mac Pro rack Intel Xeon W 8-core 3,5 GHz/32 Go (4x8) DDR4 ECC/512 Go SSD/Radeon Pro W5500X 8 Go GDDR6/Magic Keyboard avec pavé numérique &amp; Magic Mouse 2</t>
  </si>
  <si>
    <t>Catégorie 5 - Fixes performants - Configuration 2</t>
  </si>
  <si>
    <t>CTO Mac Pro Rack Intel Xeon W 8 coeurs 3,5 GHz / 32 Go DDR4 ECC / SSD 256 Go / Radeon Pro 580X avec 8 Go / 6xThunderbolt 3 / 2xUSB 3 / 2xGigabit Ethernet / AirPort Extreme 802.11ac / Bluetooth 5.0</t>
  </si>
  <si>
    <t>CTO-Z0YZ-12C-3,3</t>
  </si>
  <si>
    <t>Passage à processeur 12 cœurs Intel Xeon W à 3,3 GHz avec 31,25 Mo mémoire cache N3 à commander avec Z0YZ</t>
  </si>
  <si>
    <t>CTO-Z0YZ-16C-3,2</t>
  </si>
  <si>
    <t>Passage à processeur 16 cœurs Intel Xeon W à 3,2 GHz avec 38 Mo mémoire cache N3 à commander avec Z0YZ</t>
  </si>
  <si>
    <t>CTO-Z0YZ-24C-2,7</t>
  </si>
  <si>
    <t>Passage à processeur 24 cœurs Intel Xeon W à 2,7 GHz avec 57 Mo mémoire cache N3 à commander avec Z0YZ</t>
  </si>
  <si>
    <t>CTO-Z0YZ-28C-2,5</t>
  </si>
  <si>
    <t>Passage à processeur 28 cœurs Intel Xeon W à 2,5 GHz avec 66,5 Mo mémoire cache N3 à commander avec Z0YZ</t>
  </si>
  <si>
    <t>CTO-Z0YZ-6x8GB</t>
  </si>
  <si>
    <t>Passage à 48 Go de mémoire (6x8 Go) DDR4 2 666 MHz ou 2 933 Mhz non soudés à commander avec Z0YZ</t>
  </si>
  <si>
    <t>CTO-Z0YZ-6x16GB</t>
  </si>
  <si>
    <t>Passage à 96 Go de mémoire (6x16 Go) DDR4 2 666 MHz ou 2 933 Mhz non soudés à commander avec Z0YZ</t>
  </si>
  <si>
    <t xml:space="preserve">CTO-Z0YZ-6x32GB </t>
  </si>
  <si>
    <t>Passage à 192 Go de mémoire (6x32 Go) DDR4 2 666 MHz ou 2 933 Mhz non soudés à commander avec Z0YZ</t>
  </si>
  <si>
    <t>CTO-Z0YZ-6x64GB</t>
  </si>
  <si>
    <t>Passage à 384 Go de mémoire (6x64 Go) DDR4 2 666 MHz ou 2 933 Mhz non soudés à commander avec Z0YZ</t>
  </si>
  <si>
    <t>CTO-Z0YZ-12x64GB</t>
  </si>
  <si>
    <t>Passage à 768 Go de mémoire (12x64 Go) DDR4 2 666 MHz ou 2 933 Mhz non soudés à commander avec Z0YZ</t>
  </si>
  <si>
    <t>CTO-Z0YZ-6x128GB</t>
  </si>
  <si>
    <t>Passage à 768 Go de mémoire (6x128 Go) DDR4 2 666 MHz ou 2 933 Mhz non soudés à commander avec Z0YZ</t>
  </si>
  <si>
    <t>CTO-Z0YZ-SSD1To</t>
  </si>
  <si>
    <t>Passage à 1 To de stockage SSD NVMe à commander avec Z0YZ</t>
  </si>
  <si>
    <t>CTO-Z0YZ-SSD2To</t>
  </si>
  <si>
    <t>Passage à 2 To de stockage SSD NVMe à commander avec Z0YZ</t>
  </si>
  <si>
    <t>CTO-Z0YZ-SSD4To</t>
  </si>
  <si>
    <t>Passage à 4 To de stockage SSD NVMe à commander avec Z0YZ</t>
  </si>
  <si>
    <t>CTO-Z0YZ-SSD8To</t>
  </si>
  <si>
    <t>Passage à 8 To de stockage SSD NVMe à commander avec Z0YZ</t>
  </si>
  <si>
    <t>CTO-Z0YZ-RADW5700X16</t>
  </si>
  <si>
    <t>Passage à un processeur graphique Radeon Pro W5700X avec 16 Go de mémoire GDDR6 pour Mac Pro Z0YZ</t>
  </si>
  <si>
    <t>CTO-Z0YZ-RADW5500X8</t>
  </si>
  <si>
    <t>Passage à un processeur graphique Radeon Pro W5500X avec 8 Go de mémoire GDDR6 pour Mac Pro Z0YZ</t>
  </si>
  <si>
    <t>CTO-Z0YZ-2xRADW5700X16</t>
  </si>
  <si>
    <t>Passage à deux processeurs graphiques Radeon Pro W5700X avec 16 Go de mémoire GDDR6 pour Mac Pro Z0YZ</t>
  </si>
  <si>
    <t>CTO-Z0YZ-RADW6800X32</t>
  </si>
  <si>
    <t>Passage à un processeur graphique Radeon Pro W6800X avec 32 Go de mémoire GDDR6 pour Mac Pro Z0YZ</t>
  </si>
  <si>
    <t>CTO-Z0YZ-2xRADW6800X32</t>
  </si>
  <si>
    <t>Passage à deux processeurs graphiques Radeon Pro W6800X avec 32 Go de mémoire GDDR6 chacun pour Mac Pro Z0YZ</t>
  </si>
  <si>
    <t>CTO-Z0YZ-RADW6800XDUO</t>
  </si>
  <si>
    <t>Passage à un processeur graphique Radeon Pro W6800X Duo avec 64 Go de mémoire GDDR6 pour Mac Pro Z0YZ</t>
  </si>
  <si>
    <t>CTO-Z0YZ-2xRADW6800XDUO</t>
  </si>
  <si>
    <t>Passage à deux processeurs graphiques Radeon Pro W6800X avec 64 Go de mémoire GDDR6 chacun pour Mac Pro Z0YZ</t>
  </si>
  <si>
    <t>CTO-Z0YZ-RADW6900X32</t>
  </si>
  <si>
    <t>Passage à un processeur graphique Radeon Pro W6900X avec 32 Go de mémoire GDDR6 pour Mac Pro Z0YZ</t>
  </si>
  <si>
    <t>Passage à deux processeurs graphiques Radeon Pro W6900X avec 32 Go de mémoire GDDR6 chacun pour Mac Pro Z0YZ</t>
  </si>
  <si>
    <t>CTO-Z0YZ-AFTERBURNER</t>
  </si>
  <si>
    <t>Ajout d'une carte Apple Afterburner pour Mac Pro Z0YZ</t>
  </si>
  <si>
    <t>CTO-Z0YZ-MTP2</t>
  </si>
  <si>
    <t>Passage à un Magic Trackpad 2 (Force Touch sans fil Bluetooth rechargeable Lightning) à commander avec Z0YZ</t>
  </si>
  <si>
    <t>CTO-Z0YZ-MMTP2</t>
  </si>
  <si>
    <t>Passage à une souris Magic Mouse 2 et un Magic Trackpad 2 (Force Touch sans fil Bluetooth rechargeable Lightning) à commander avec Z0YZ</t>
  </si>
  <si>
    <t>CTO-Z0YZ-MKEPV-US</t>
  </si>
  <si>
    <t>Passage à un Magic Keyboard américain 109 touches avec pavé numérique argent et noir à commander avec Z0YZ</t>
  </si>
  <si>
    <t>CTO-Z0YZ-MKEPV-IE</t>
  </si>
  <si>
    <t>Passage à un Magic Keyboard anglais international 109 touches avec pavé numérique argent et noir à commander avec Z0YZ</t>
  </si>
  <si>
    <t>CTO-Z0YZ-MKEPV-UK</t>
  </si>
  <si>
    <t>MJ073ZM/A</t>
  </si>
  <si>
    <t>Apple module MPX avec Radeon Pro W6800X</t>
  </si>
  <si>
    <t>IA24</t>
  </si>
  <si>
    <t>30200000-29</t>
  </si>
  <si>
    <t>IA52</t>
  </si>
  <si>
    <t>MJ093ZM/A</t>
  </si>
  <si>
    <t>Apple module MPX avec Radeon Pro W6800X Duo</t>
  </si>
  <si>
    <t>MJ103ZM/A</t>
  </si>
  <si>
    <t>Apple module MPX avec Radeon Pro W6900X</t>
  </si>
  <si>
    <t>MKGY3ZM/A</t>
  </si>
  <si>
    <t>Apple module MPX avec Radeon Pro W6600X</t>
  </si>
  <si>
    <t>MJMV3FN/A</t>
  </si>
  <si>
    <t xml:space="preserve">Mac Studio / M1 Max CPU 10 cœurs GPU 24 cœurs / 32 Go / 512 Go SSD / 4x Thunderbolt 4 / 2x USB-C / 2x USB-A / 10 Gigabit Ethernet / HDMI / lecteur carte SDXC </t>
  </si>
  <si>
    <t>MI5-MS-5-PLUS</t>
  </si>
  <si>
    <t>Catégorie 5 - Fixes performants - Configuration 3</t>
  </si>
  <si>
    <t>Garantie 5 ans formule Plus pour Mac Studio (intervention à J+1 - réparation à J+3 ou Mac Studio de prêt)</t>
  </si>
  <si>
    <t>CTO-MJMV3-M1MAX32</t>
  </si>
  <si>
    <t>Passage à un M1 Max avec CPU 10 cœurs GPU 32 cœurs pour Mac Studio MJMV3FN/A</t>
  </si>
  <si>
    <t>CTO-MJMV3-M1ULTRA48</t>
  </si>
  <si>
    <t>Passage à un M1 Ultra avec CPU 20 cœurs GPU 48 cœurs et 64 Go de mémoire unifiée pour Mac Studio MJMV3FN/A</t>
  </si>
  <si>
    <t>CTO-MJMV3-M1ULTRA64</t>
  </si>
  <si>
    <t>Passage à un M1 Ultra avec CPU 20 cœurs GPU 64 cœurs et 64 Go de mémoire unifiée pour Mac Studio MJMV3FN/A</t>
  </si>
  <si>
    <t>CTO-MJMV3-64GB</t>
  </si>
  <si>
    <t>Passage à 64 Go de mémoire unifiée pour Mac Studio MJMV3FN/A (uniquement avec processeur M1 Max)</t>
  </si>
  <si>
    <t>CTO-MJMV3-128GB</t>
  </si>
  <si>
    <t>Passage à 128 Go de mémoire unifiée pour Mac Studio MJMV3FN/A (uniquement avec processeur M1 ultra)</t>
  </si>
  <si>
    <t>CTO-MJMV3-SSD1To</t>
  </si>
  <si>
    <t>Passage à 1 To de stockage SSD pour Mac Studio MJMV3FN/A</t>
  </si>
  <si>
    <t>CTO-MJMV3-SSD2To</t>
  </si>
  <si>
    <t>Passage à 2 To de stockage SSD pour Mac Studio MJMV3FN/A</t>
  </si>
  <si>
    <t>CTO-MJMV3-SSD4To</t>
  </si>
  <si>
    <t>Passage à 4 To de stockage SSD pour Mac Studio MJMV3FN/A</t>
  </si>
  <si>
    <t>CTO-MJMV3-SSD8To</t>
  </si>
  <si>
    <t>Passage à 8 To de stockage SSD pour Mac Studio MJMV3FN/A</t>
  </si>
  <si>
    <t>MJMW3FN/A</t>
  </si>
  <si>
    <t xml:space="preserve">Mac Studio / M1 Ultra CPU 20 cœurs GPU 48 cœurs / 64 Go / 1 To SSD / 6x Thunderbolt 4 / 2x USB-A / 10 Gigabit Ethernet / HDMI / lecteur carte SDXC </t>
  </si>
  <si>
    <t>Catégorie 5 - Fixes performants - Configuration 4</t>
  </si>
  <si>
    <t>CTO-MJMW3-M1ULTRA64</t>
  </si>
  <si>
    <t>Passage à un M1 Ultra avec CPU 20 cœurs GPU 64 cœurs pour Mac Studio MJMW3FN/A</t>
  </si>
  <si>
    <t>CTO-MJMW3-128GB</t>
  </si>
  <si>
    <t>Passage à 128 Go de mémoire unifiée pour Mac Studio MJMW3FN/A</t>
  </si>
  <si>
    <t>CTO-MJMW3-SSD2To</t>
  </si>
  <si>
    <t>Passage à 2 To de stockage SSD pour Mac Studio MJMW3FN/A</t>
  </si>
  <si>
    <t>CTO-MJMW3-SSD4To</t>
  </si>
  <si>
    <t>Passage à 4 To de stockage SSD pour Mac Studio MJMW3FN/A</t>
  </si>
  <si>
    <t>CTO-MJMW3-SSD8To</t>
  </si>
  <si>
    <t>Passage à 8 To de stockage SSD pour Mac Studio MJMW3FN/A</t>
  </si>
  <si>
    <t>MI5-MS-6-PLUS</t>
  </si>
  <si>
    <t>Passage à une garantie 6 ans formule Plus pour Mac Studio (intervention à J+1 - réparation à J+3 ou Mac Studio de prêt)</t>
  </si>
  <si>
    <t>MI5-MS-7-PLUS</t>
  </si>
  <si>
    <t>Passage à une garantie 7 ans formule Plus pour Mac Studio (intervention à J+1 - réparation à J+3 ou Mac Studio de prêt)</t>
  </si>
  <si>
    <t>MI5-MS-8-PLUS</t>
  </si>
  <si>
    <t>Passage à une garantie 8 ans formule Plus pour Mac Studio (intervention à J+1 - réparation à J+3 ou Mac Studio de prêt)</t>
  </si>
  <si>
    <t>MI5-MS-5-PRO</t>
  </si>
  <si>
    <r>
      <t xml:space="preserve">Passage à une garantie 5 ans </t>
    </r>
    <r>
      <rPr>
        <b/>
        <sz val="10"/>
        <rFont val="Calibri (Corps)"/>
      </rPr>
      <t>formule Pro+</t>
    </r>
    <r>
      <rPr>
        <b/>
        <sz val="10"/>
        <rFont val="Calibri"/>
        <family val="2"/>
        <scheme val="minor"/>
      </rPr>
      <t xml:space="preserve"> pour Mac Studio (diagnostic à H+4 - remplacement à J+1)</t>
    </r>
  </si>
  <si>
    <t>MI5-MS-6-PRO</t>
  </si>
  <si>
    <r>
      <t xml:space="preserve">Passage à une garantie 6 ans </t>
    </r>
    <r>
      <rPr>
        <b/>
        <sz val="10"/>
        <rFont val="Calibri (Corps)"/>
      </rPr>
      <t>formule Pro+</t>
    </r>
    <r>
      <rPr>
        <b/>
        <sz val="10"/>
        <rFont val="Calibri"/>
        <family val="2"/>
        <scheme val="minor"/>
      </rPr>
      <t xml:space="preserve"> pour Mac Studio (diagnostic à H+4 - remplacement à J+1)</t>
    </r>
  </si>
  <si>
    <t>MI5-MS-7-PRO</t>
  </si>
  <si>
    <r>
      <t xml:space="preserve">Passage à une garantie 7 ans </t>
    </r>
    <r>
      <rPr>
        <b/>
        <sz val="10"/>
        <rFont val="Calibri (Corps)"/>
      </rPr>
      <t>formule Pro+</t>
    </r>
    <r>
      <rPr>
        <b/>
        <sz val="10"/>
        <rFont val="Calibri"/>
        <family val="2"/>
        <scheme val="minor"/>
      </rPr>
      <t xml:space="preserve"> pour Mac Studio (diagnostic à H+4 - remplacement à J+1)</t>
    </r>
  </si>
  <si>
    <t>MI5-MS-8-PRO</t>
  </si>
  <si>
    <r>
      <t xml:space="preserve">Passage à une garantie 8 ans </t>
    </r>
    <r>
      <rPr>
        <b/>
        <sz val="10"/>
        <rFont val="Calibri (Corps)"/>
      </rPr>
      <t>formule Pro+</t>
    </r>
    <r>
      <rPr>
        <b/>
        <sz val="10"/>
        <rFont val="Calibri"/>
        <family val="2"/>
        <scheme val="minor"/>
      </rPr>
      <t xml:space="preserve"> pour Mac Studio(diagnostic à H+4 - remplacement à J+1)</t>
    </r>
  </si>
  <si>
    <t>MI5-MS-5-PLATINE</t>
  </si>
  <si>
    <t>Passage à une garantie 5 ans formule Platine pour Mac Studio (réparation sur site de J+1 à J+3 maximum)</t>
  </si>
  <si>
    <t>MI5-MS-6-PLATINE</t>
  </si>
  <si>
    <t xml:space="preserve">Passage à une garantie 6 ans formule Platine pour Mac Studio(réparation sur site de J+1 à J+3 maximum) </t>
  </si>
  <si>
    <t>MI5-MS-7-PLATINE</t>
  </si>
  <si>
    <t>Passage à une garantie 7 ans formule Platine pour Mac Studio (réparation sur site de J+1 à J+3 maximum)</t>
  </si>
  <si>
    <t>MI5-MS-8-PLATINE</t>
  </si>
  <si>
    <t>Passage à une garantie 8 ans formule Platine pour Mac Studio (réparation sur site de J+1 à J+3 maximum)</t>
  </si>
  <si>
    <t>MI5-MS-5-PLUS-INTER</t>
  </si>
  <si>
    <t>Garantie 5 ans formule Plus internationale pour Mac Studio (France : intervention à J+1 - réparation à J+3 ou Mac Studio de prêt pour la France Métropolitaine - retour atelier pour l'étranger) (remplace la garantie 5 ans formule Plus)</t>
  </si>
  <si>
    <t>MI5-MS-5-PRO-INTER</t>
  </si>
  <si>
    <t>Garantie 5 ans formule Pro internationale pour Mac Studio (diagnostic à H+4 - remplacement à J+1 - retour atelier à l'étranger) (remplace la garantie 5 ans formule Plus)</t>
  </si>
  <si>
    <t>MI5-MS-5-E-KYOD</t>
  </si>
  <si>
    <t>Service de conservation du disque dur pour une durée de 5 ans pour Mac Studio (Keep your own drive)</t>
  </si>
  <si>
    <t>existe en coloris rose, mauve et lumière stellaire</t>
  </si>
  <si>
    <t>MK7M3NF/A</t>
  </si>
  <si>
    <t>iPad mini (6e gén.) - Processeur A15 - Wi-Fi 64 Go - gris sidéral</t>
  </si>
  <si>
    <t>MI5-IPADMINI-5-PLUS</t>
  </si>
  <si>
    <t>Catégorie 6 - Tablettes - Configuration 2</t>
  </si>
  <si>
    <t xml:space="preserve">30213200-7 </t>
  </si>
  <si>
    <t>Garantie 5 ans formule Plus pour iPad mini 7,9" (intervention à J+1 - réparation à J+3 ou iPad 7,9" de prêt)</t>
  </si>
  <si>
    <t>MI5-IPADMINI-6-PLUS</t>
  </si>
  <si>
    <t>Passage à une garantie 6 ans formule Plus pour iPad mini 7,9"  (intervention à J+1 - réparation à J+3 ou iPad de prêt)</t>
  </si>
  <si>
    <t>MI5-IPADMINI-7-PLUS</t>
  </si>
  <si>
    <r>
      <t xml:space="preserve">Passage à une garantie 7 ans formule Plus pour </t>
    </r>
    <r>
      <rPr>
        <sz val="10"/>
        <rFont val="Calibri (Corps)"/>
      </rPr>
      <t>iPad mini 7,9"</t>
    </r>
    <r>
      <rPr>
        <sz val="10"/>
        <rFont val="Calibri"/>
        <family val="2"/>
        <scheme val="minor"/>
      </rPr>
      <t xml:space="preserve">  (intervention à J+1 - réparation à J+3 ou iPad de prêt)</t>
    </r>
  </si>
  <si>
    <t>MI5-IPADMINI-8-PLUS</t>
  </si>
  <si>
    <r>
      <t xml:space="preserve">Passage à une garantie 8 ans formule Plus pour </t>
    </r>
    <r>
      <rPr>
        <sz val="10"/>
        <rFont val="Calibri (Corps)"/>
      </rPr>
      <t>iPad mini</t>
    </r>
    <r>
      <rPr>
        <sz val="10"/>
        <rFont val="Calibri"/>
        <family val="2"/>
        <scheme val="minor"/>
      </rPr>
      <t xml:space="preserve"> 7,9" (intervention à J+1 - réparation à J+3 ou iPad de prêt)</t>
    </r>
  </si>
  <si>
    <t>MI5-IPADMINI-5-E-CARE</t>
  </si>
  <si>
    <t>Service de substitution forfaité d'une durée de 5 ans pour iPad mini 7,9"</t>
  </si>
  <si>
    <t>Service complémentaire forfaité d'assurance vol /casse/maladresse pour une durée de 5 ans pour iPad mini 7,9"</t>
  </si>
  <si>
    <t>MI5-IPADMINI-8-E-CARE</t>
  </si>
  <si>
    <t>Service complémentaire forfaité d'assurance vol /casse/maladresse pour une durée de 8 ans pour iPad mini 7,9"</t>
  </si>
  <si>
    <t>MK7T3NF/A</t>
  </si>
  <si>
    <t>iPad mini (6e gén.) - Processeur A15 - Wi-Fi 256 Go - gris sidéral</t>
  </si>
  <si>
    <t>Catégorie 6 - Tablettes - Configuration 6</t>
  </si>
  <si>
    <t>30213200-11</t>
  </si>
  <si>
    <t>IA16</t>
  </si>
  <si>
    <t>MK893NF/A</t>
  </si>
  <si>
    <t>iPad mini (6e gén.) - Processeur A15 - Wi-Fi &amp; Cellulaire 64 Go - gris sidéral</t>
  </si>
  <si>
    <t>Catégorie 6 - Tablettes - Configuration 10</t>
  </si>
  <si>
    <t>30213200-15</t>
  </si>
  <si>
    <t>IA20</t>
  </si>
  <si>
    <t>MK8F3NF/A</t>
  </si>
  <si>
    <t>iPad mini (6e gén.) - Processeur A15 - Wi-Fi &amp; Cellulaire 256 Go - gris sidéral</t>
  </si>
  <si>
    <t>Catégorie 6 - Tablettes - Configuration 14</t>
  </si>
  <si>
    <t>30213200-19</t>
  </si>
  <si>
    <t>MK2K3NF/A</t>
  </si>
  <si>
    <t>iPad 10,2" (9e gén.) - Processeur A13 -  Wi-Fi 64 Go - gris sidéral</t>
  </si>
  <si>
    <t>MI5-IPAD-5-PLUS</t>
  </si>
  <si>
    <t>MK2L3NF/A</t>
  </si>
  <si>
    <t>iPad 10,2" (9e gén.) - Processeur A13 -  Wi-Fi 64 Go - argent</t>
  </si>
  <si>
    <t>MK2N3NF/A</t>
  </si>
  <si>
    <t>iPad 10,2" (9e gén.) - Processeur A13 -  Wi-Fi 256 Go - gris sidéral</t>
  </si>
  <si>
    <t>MK2P3NF/A</t>
  </si>
  <si>
    <t>iPad 10,2" (9e gén.) - Processeur A13 -  Wi-Fi 256 Go - argent</t>
  </si>
  <si>
    <t>MK473NF/A</t>
  </si>
  <si>
    <t>iPad 10,2" (9e gén.) - Processeur A13 -  Wi-Fi &amp; Cellulaire 64 Go - gris sidéral</t>
  </si>
  <si>
    <t>MK493NF/A</t>
  </si>
  <si>
    <t>iPad 10,2" (9e gén.) - Processeur A13 -  Wi-Fi &amp; Cellulaire 64 Go - argent</t>
  </si>
  <si>
    <t>MK4E3NF/A</t>
  </si>
  <si>
    <t>iPad 10,2" (9e gén.) - Processeur A13 -  Wi-Fi &amp; Cellulaire 256 Go - gris sidéral</t>
  </si>
  <si>
    <t>MK4H3NF/A</t>
  </si>
  <si>
    <t>iPad 10,2" (9e gén.) - Processeur A13 -  Wi-Fi &amp; Cellulaire 256 Go - argent</t>
  </si>
  <si>
    <r>
      <t xml:space="preserve">Garantie 5 ans formule Plus pour </t>
    </r>
    <r>
      <rPr>
        <b/>
        <sz val="10"/>
        <rFont val="Calibri (Corps)"/>
      </rPr>
      <t>iPad 10,2"</t>
    </r>
    <r>
      <rPr>
        <b/>
        <sz val="10"/>
        <rFont val="Calibri"/>
        <family val="2"/>
        <scheme val="minor"/>
      </rPr>
      <t xml:space="preserve"> (intervention à J+1 - réparation à J+3 ou iPad de prêt)</t>
    </r>
  </si>
  <si>
    <t>MI5-IPAD-6-PLUS</t>
  </si>
  <si>
    <r>
      <t xml:space="preserve">Passage à une garantie 6 ans formule Plus pour iPad </t>
    </r>
    <r>
      <rPr>
        <sz val="10"/>
        <rFont val="Calibri (Corps)"/>
      </rPr>
      <t>10,2"</t>
    </r>
    <r>
      <rPr>
        <sz val="10"/>
        <rFont val="Calibri"/>
        <family val="2"/>
        <scheme val="minor"/>
      </rPr>
      <t xml:space="preserve">  (intervention à J+1 - réparation à J+3 ou iPad de prêt)</t>
    </r>
  </si>
  <si>
    <t>MI5-IPAD-7-PLUS</t>
  </si>
  <si>
    <r>
      <t xml:space="preserve">Passage à une garantie 7 ans formule Plus pour </t>
    </r>
    <r>
      <rPr>
        <sz val="10"/>
        <rFont val="Calibri (Corps)"/>
      </rPr>
      <t>iPad 10,2"</t>
    </r>
    <r>
      <rPr>
        <sz val="10"/>
        <rFont val="Calibri"/>
        <family val="2"/>
        <scheme val="minor"/>
      </rPr>
      <t xml:space="preserve">  (intervention à J+1 - réparation à J+3 ou iPad de prêt)</t>
    </r>
  </si>
  <si>
    <t>MI5-IPAD-8-PLUS</t>
  </si>
  <si>
    <r>
      <t xml:space="preserve">Passage à une garantie 8 ans formule Plus pour </t>
    </r>
    <r>
      <rPr>
        <sz val="10"/>
        <rFont val="Calibri (Corps)"/>
      </rPr>
      <t>iPad 10,2"</t>
    </r>
    <r>
      <rPr>
        <sz val="10"/>
        <rFont val="Calibri"/>
        <family val="2"/>
        <scheme val="minor"/>
      </rPr>
      <t xml:space="preserve">  (intervention à J+1 - réparation à J+3 ou iPad de prêt)</t>
    </r>
  </si>
  <si>
    <t>MI5-IPAD-5-E-CARE</t>
  </si>
  <si>
    <t>Service de substitution forfaité d'une durée de 5 ans pour iPad 10,2"</t>
  </si>
  <si>
    <t>Service complémentaire forfaité d'assurance vol /casse/maladresse pour une durée de 5 ans pour iPad 10,2"</t>
  </si>
  <si>
    <t>MI5-IPAD-8-E-CARE</t>
  </si>
  <si>
    <t>Service complémentaire forfaité d'assurance vol /casse/maladresse pour une durée de 8 ans pour iPad 10,2"</t>
  </si>
  <si>
    <t>MM9C3NF/A</t>
  </si>
  <si>
    <t>iPad Air 10,9'' Wi-Fi 64 Go - gris sidéral - puce Apple M1 - Touch ID - 461g</t>
  </si>
  <si>
    <t>MI5-IPADAIR-5-PLUS</t>
  </si>
  <si>
    <t>Catégorie 6 - Tablettes - Configuration 9</t>
  </si>
  <si>
    <t>MYFM2NF/A</t>
  </si>
  <si>
    <t>iPad Air 10,9'' Wi-Fi 64 Go - gris sidéral - processeur A14 Bionic 64 bits - Touch ID - 458g</t>
  </si>
  <si>
    <r>
      <t xml:space="preserve">Garantie 5 ans formule Plus pour </t>
    </r>
    <r>
      <rPr>
        <b/>
        <sz val="10"/>
        <color theme="1"/>
        <rFont val="Calibri (Corps)"/>
      </rPr>
      <t>iPad Air 10,9"</t>
    </r>
    <r>
      <rPr>
        <b/>
        <sz val="10"/>
        <color theme="1"/>
        <rFont val="Calibri"/>
        <family val="2"/>
        <scheme val="minor"/>
      </rPr>
      <t xml:space="preserve"> (intervention à J+1 - réparation à J+3 ou iPad de prêt)</t>
    </r>
  </si>
  <si>
    <t>MM9F3NF/A</t>
  </si>
  <si>
    <t>iPad Air 10,9'' Wi-Fi 64 Go - lumière stellaire - puce Apple M1 - Touch ID - 461g</t>
  </si>
  <si>
    <t>MYFN2NF/A</t>
  </si>
  <si>
    <t>iPad Air 10,9'' Wi-Fi 64 Go - argent - processeur A14 Bionic 64 bits - Touch ID - 458g</t>
  </si>
  <si>
    <t>MM9D3NF/A</t>
  </si>
  <si>
    <t>iPad Air 10,9'' Wi-Fi 64 Go - rose - puce Apple M1 - Touch ID - 461g</t>
  </si>
  <si>
    <t>MYFP2NF/A</t>
  </si>
  <si>
    <t>iPad Air 10,9'' Wi-Fi 64 Go - or rose - processeur A14 Bionic 64 bits - Touch ID - 458g</t>
  </si>
  <si>
    <t>MM9E3NF/A</t>
  </si>
  <si>
    <t>iPad Air 10,9'' Wi-Fi 64 Go - bleu - puce Apple M1 - Touch ID - 461g</t>
  </si>
  <si>
    <t>MYFQ2NF/A</t>
  </si>
  <si>
    <t>iPad Air 10,9'' Wi-Fi 64 Go - bleu ciel - processeur A14 Bionic 64 bits - Touch ID - 458g</t>
  </si>
  <si>
    <t>MME23NF/A</t>
  </si>
  <si>
    <t>iPad Air 10,9'' Wi-Fi 64 Go - mauve - puce Apple M1 - Touch ID - 461g</t>
  </si>
  <si>
    <t>MYFR2NF/A</t>
  </si>
  <si>
    <t>iPad Air 10,9'' Wi-Fi 64 Go - vert - processeur A14 Bionic 64 bits - Touch ID - 458g</t>
  </si>
  <si>
    <t>MM9L3NF/A</t>
  </si>
  <si>
    <t>iPad Air 10,9'' Wi-Fi 256 Go - gris sidéral - puce Apple M1 - Touch ID - 461g</t>
  </si>
  <si>
    <t>MYFT2NF/A</t>
  </si>
  <si>
    <t>iPad Air 10,9'' Wi-Fi 256 Go - gris sidéral - processeur A14 Bionic 64 bits - Touch ID - 458g</t>
  </si>
  <si>
    <t>MM9P3NF/A</t>
  </si>
  <si>
    <t>iPad Air 10,9'' Wi-Fi 256 Go - lumière stellaire - puce Apple M1 - Touch ID - 461g</t>
  </si>
  <si>
    <t>MYFW2NF/A</t>
  </si>
  <si>
    <t>iPad Air 10,9'' Wi-Fi 256 Go - argent - processeur A14 Bionic 64 bits - Touch ID - 458g</t>
  </si>
  <si>
    <t>MM9M3NF/A</t>
  </si>
  <si>
    <t>iPad Air 10,9'' Wi-Fi 256 Go - rose - puce Apple M1 - Touch ID - 461g</t>
  </si>
  <si>
    <t>MYFX2NF/A</t>
  </si>
  <si>
    <t>iPad Air 10,9'' Wi-Fi 256 Go - or rose - processeur A14 Bionic 64 bits - Touch ID - 458g</t>
  </si>
  <si>
    <t>MM9N3NF/A</t>
  </si>
  <si>
    <t>iPad Air 10,9'' Wi-Fi 256 Go - bleu - puce Apple M1 - Touch ID - 461g</t>
  </si>
  <si>
    <t>MYFY2NF/A</t>
  </si>
  <si>
    <t>iPad Air 10,9'' Wi-Fi 256 Go - bleu ciel - processeur A14 Bionic 64 bits - Touch ID - 458g</t>
  </si>
  <si>
    <t>MME63NF/A</t>
  </si>
  <si>
    <t>iPad Air 10,9'' Wi-Fi 256 Go - mauve - puce Apple M1 - Touch ID - 461g</t>
  </si>
  <si>
    <t>MYG02NF/A</t>
  </si>
  <si>
    <t>iPad Air 10,9'' Wi-Fi 256 Go - vert - processeur A14 Bionic 64 bits - Touch ID - 458g</t>
  </si>
  <si>
    <t>MM6R3NF/A</t>
  </si>
  <si>
    <t>iPad Air 10,9'' Wi-Fi &amp; Cellulaire 64 Go - gris sidéral - puce Apple M1 - Touch ID - 462g</t>
  </si>
  <si>
    <t>Catégorie 6 - Tablettes - Configuration 11</t>
  </si>
  <si>
    <t>MYGW2NF/A</t>
  </si>
  <si>
    <t>iPad Air 10,9'' Wi-Fi &amp; Cellulaire 64 Go - gris sidéral - processeur A14 Bionic 64 bits - Touch ID - 460g</t>
  </si>
  <si>
    <t>MM6V3NF/A</t>
  </si>
  <si>
    <t>iPad Air 10,9'' Wi-Fi &amp; Cellulaire 64 Go - lumière stellaire - puce Apple M1 - Touch ID - 462g</t>
  </si>
  <si>
    <t>MYGX2NF/A</t>
  </si>
  <si>
    <t>iPad Air 10,9'' Wi-Fi &amp; Cellulaire 64 Go - argent - processeur A14 Bionic 64 bits - Touch ID - 460g</t>
  </si>
  <si>
    <t>MM6T3NF/A</t>
  </si>
  <si>
    <t>iPad Air 10,9'' Wi-Fi &amp; Cellulaire 64 Go - rose - puce Apple M1 - Touch ID - 462g</t>
  </si>
  <si>
    <t>MYGY2NF/A</t>
  </si>
  <si>
    <t>iPad Air 10,9'' Wi-Fi &amp; Cellulaire 64 Go - or rose - processeur A14 Bionic 64 bits - Touch ID - 460g</t>
  </si>
  <si>
    <t>MM6U3NF/A</t>
  </si>
  <si>
    <t>iPad Air 10,9'' Wi-Fi &amp; Cellulaire 64 Go - bleu - puce Apple M1 - Touch ID - 462g</t>
  </si>
  <si>
    <t>MYH02NF/A</t>
  </si>
  <si>
    <t>iPad Air 10,9'' Wi-Fi &amp; Cellulaire 64 Go - bleu ciel - processeur A14 Bionic 64 bits - Touch ID - 460g</t>
  </si>
  <si>
    <t>MME93NF/A</t>
  </si>
  <si>
    <t>iPad Air 10,9'' Wi-Fi &amp; Cellulaire 64 Go - mauve - puce Apple M1 - Touch ID - 462g</t>
  </si>
  <si>
    <t>MYH12NF/A</t>
  </si>
  <si>
    <t>iPad Air 10,9'' Wi-Fi &amp; Cellulaire 64 Go - vert - processeur A14 Bionic 64 bits - Touch ID - 460g</t>
  </si>
  <si>
    <t>MM713NF/A</t>
  </si>
  <si>
    <t>iPad Air 10,9'' Wi-Fi &amp; Cellulaire 256 Go - gris sidéral - puce Apple M1 - Touch ID - 462g</t>
  </si>
  <si>
    <t>Catégorie 6 - Tablettes - Configuration 12</t>
  </si>
  <si>
    <t>MYH22NF/A</t>
  </si>
  <si>
    <t>iPad Air 10,9'' Wi-Fi &amp; Cellulaire 256 Go - gris sidéral - processeur A14 Bionic 64 bits - Touch ID - 460g</t>
  </si>
  <si>
    <t>MM743NF/A</t>
  </si>
  <si>
    <t>iPad Air 10,9'' Wi-Fi &amp; Cellulaire 256 Go - lumière stellaire - puce Apple M1 - Touch ID - 462g</t>
  </si>
  <si>
    <t>MYH42NF/A</t>
  </si>
  <si>
    <t>iPad Air 10,9'' Wi-Fi &amp; Cellulaire 256 Go - argent - processeur A14 Bionic 64 bits - Touch ID - 460g</t>
  </si>
  <si>
    <t>MM723NF/A</t>
  </si>
  <si>
    <t>iPad Air 10,9'' Wi-Fi &amp; Cellulaire 256 Go - rose - puce Apple M1 - Touch ID - 462g</t>
  </si>
  <si>
    <t>MYH52NF/A</t>
  </si>
  <si>
    <t>iPad Air 10,9'' Wi-Fi &amp; Cellulaire 256 Go - or rose - processeur A14 Bionic 64 bits - Touch ID - 460g</t>
  </si>
  <si>
    <t>MM733NF/A</t>
  </si>
  <si>
    <t>iPad Air 10,9'' Wi-Fi &amp; Cellulaire 256 Go - bleu - puce Apple M1 - Touch ID - 462g</t>
  </si>
  <si>
    <t>MYH62NF/A</t>
  </si>
  <si>
    <t>iPad Air 10,9'' Wi-Fi &amp; Cellulaire 256 Go - bleu ciel - processeur A14 Bionic 64 bits - Touch ID - 460g</t>
  </si>
  <si>
    <t>MMED3NF/A</t>
  </si>
  <si>
    <t>iPad Air 10,9'' Wi-Fi &amp; Cellulaire 256 Go - mauve - puce Apple M1 - Touch ID - 462g</t>
  </si>
  <si>
    <t>MYH72NF/A</t>
  </si>
  <si>
    <t>iPad Air 10,9'' Wi-Fi &amp; Cellulaire 256 Go - vert - processeur A14 Bionic 64 bits - Touch ID - 460g</t>
  </si>
  <si>
    <t>MI5-IPADAIR-6-PLUS</t>
  </si>
  <si>
    <t>Passage à une garantie 6 ans formule Plus pour iPad Air 10,9" (intervention à J+1 - réparation à J+3 ou iPad de prêt)</t>
  </si>
  <si>
    <t>MI5-IPADAIR-7-PLUS</t>
  </si>
  <si>
    <r>
      <t xml:space="preserve">Passage à une garantie 7 ans formule Plus pour </t>
    </r>
    <r>
      <rPr>
        <sz val="10"/>
        <rFont val="Calibri (Corps)"/>
      </rPr>
      <t>iPad Air 10,9"</t>
    </r>
    <r>
      <rPr>
        <sz val="10"/>
        <rFont val="Calibri"/>
        <family val="2"/>
        <scheme val="minor"/>
      </rPr>
      <t xml:space="preserve">  (intervention à J+1 - réparation à J+3 ou iPad de prêt)</t>
    </r>
  </si>
  <si>
    <t>MI5-IPADAIR-8-PLUS</t>
  </si>
  <si>
    <r>
      <t xml:space="preserve">Passage à une garantie 8 ans formule Plus pour </t>
    </r>
    <r>
      <rPr>
        <sz val="10"/>
        <rFont val="Calibri (Corps)"/>
      </rPr>
      <t>iPad Air</t>
    </r>
    <r>
      <rPr>
        <sz val="10"/>
        <rFont val="Calibri"/>
        <family val="2"/>
        <scheme val="minor"/>
      </rPr>
      <t xml:space="preserve"> 10,9" (intervention à J+1 - réparation à J+3 ou iPad de prêt)</t>
    </r>
  </si>
  <si>
    <t>MI5-IPADAIR-5-E-CARE</t>
  </si>
  <si>
    <t>Service de substitution forfaité d'une durée de 5 ans pour iPad Air 10,9"</t>
  </si>
  <si>
    <t>Service complémentaire forfaité d'assurance vol /casse/maladresse pour une durée de 5 ans pour iPad Air 10,9"</t>
  </si>
  <si>
    <t>MI5-IPADAIR-8-E-CARE</t>
  </si>
  <si>
    <t>Service complémentaire forfaité d'assurance vol /casse/maladresse pour une durée de 8 ans pour iPad Air 10,9"</t>
  </si>
  <si>
    <t>MHQR3NF/A</t>
  </si>
  <si>
    <t>iPad Pro 11" (3e gén.) - M1 - Wi‑Fi 128 Go - Gris Sidéral</t>
  </si>
  <si>
    <t>MI5-IPADPRO11-5-PLUS</t>
  </si>
  <si>
    <t>Catégorie 6 - Tablettes - Configuration 13</t>
  </si>
  <si>
    <r>
      <t xml:space="preserve">Garantie 5 ans formule Plus pour </t>
    </r>
    <r>
      <rPr>
        <b/>
        <sz val="10"/>
        <rFont val="Calibri (Corps)"/>
      </rPr>
      <t>iPad Pro 11"</t>
    </r>
    <r>
      <rPr>
        <b/>
        <sz val="10"/>
        <rFont val="Calibri"/>
        <family val="2"/>
        <scheme val="minor"/>
      </rPr>
      <t xml:space="preserve"> (intervention à J+1 - réparation à J+3 ou iPad de prêt)</t>
    </r>
  </si>
  <si>
    <t>MI5-IPADPRO11-6-PLUS</t>
  </si>
  <si>
    <t>Passage à une garantie 6 ans formule Plus pour iPad Pro 11"  (intervention à J+1 - réparation à J+3 ou iPad de prêt)</t>
  </si>
  <si>
    <t>MI5-IPADPRO11-7-PLUS</t>
  </si>
  <si>
    <r>
      <t xml:space="preserve">Passage à une garantie 7 ans formule Plus pour </t>
    </r>
    <r>
      <rPr>
        <sz val="10"/>
        <rFont val="Calibri (Corps)"/>
      </rPr>
      <t>iPad Pro</t>
    </r>
    <r>
      <rPr>
        <sz val="10"/>
        <rFont val="Calibri"/>
        <family val="2"/>
        <scheme val="minor"/>
      </rPr>
      <t xml:space="preserve"> 11" (intervention à J+1 - réparation à J+3 ou iPad de prêt)</t>
    </r>
  </si>
  <si>
    <t>MI5-IPADPRO11-8-PLUS</t>
  </si>
  <si>
    <r>
      <t xml:space="preserve">Passage à une garantie 8 ans formule Plus pour </t>
    </r>
    <r>
      <rPr>
        <sz val="10"/>
        <rFont val="Calibri (Corps)"/>
      </rPr>
      <t>iPad Pro</t>
    </r>
    <r>
      <rPr>
        <sz val="10"/>
        <rFont val="Calibri"/>
        <family val="2"/>
        <scheme val="minor"/>
      </rPr>
      <t xml:space="preserve"> 11" (intervention à J+1 - réparation à J+3 ou iPad de prêt)</t>
    </r>
  </si>
  <si>
    <t>MI5-IPADPRO11-5-E-CARE</t>
  </si>
  <si>
    <t>Service de substitution forfaité d'une durée de 5 ans pour iPad Pro 11"</t>
  </si>
  <si>
    <t>Service complémentaire forfaité d'assurance vol /casse/maladresse pour une durée de 5 ans pour iPad Pro 11"</t>
  </si>
  <si>
    <t>MI5-IPADPRO11-8-E-CARE</t>
  </si>
  <si>
    <t>Service complémentaire forfaité d'assurance vol /casse/maladresse pour une durée de 8 ans pour iPad Pro 11"</t>
  </si>
  <si>
    <t>MHQT3NF/A</t>
  </si>
  <si>
    <t>iPad Pro 11" (3e gén.) - M1 - Wi‑Fi 128 Go - argent</t>
  </si>
  <si>
    <t>MHQU3NF/A</t>
  </si>
  <si>
    <t>iPad Pro 11" (3e gén.) - M1 - Wi‑Fi 256 Go - Gris Sidéral</t>
  </si>
  <si>
    <t>MHQV3NF/A</t>
  </si>
  <si>
    <t>iPad Pro 11" (3e gén.) - M1 - Wi‑Fi 256 Go - Argent</t>
  </si>
  <si>
    <t>MHQW3NF/A</t>
  </si>
  <si>
    <t>iPad Pro 11" (3e gén.) - M1 - Wi‑Fi 512 Go - Gris Sidéral</t>
  </si>
  <si>
    <t>Catégorie 6 - Tablettes - Configuration 15</t>
  </si>
  <si>
    <t>MHQX3NF/A</t>
  </si>
  <si>
    <t>iPad Pro 11" (3e gén.) - M1 - Wi‑Fi 512 Go - Argent</t>
  </si>
  <si>
    <t>MHQY3NF/A</t>
  </si>
  <si>
    <t>iPad Pro 11" (3e gén.) - M1 - Wi‑Fi 1 To - gris sidéral</t>
  </si>
  <si>
    <t>Catégorie 6 - Tablettes - Configuration 16</t>
  </si>
  <si>
    <t>30213200-8</t>
  </si>
  <si>
    <t>IA13</t>
  </si>
  <si>
    <t>MHR03NF/A</t>
  </si>
  <si>
    <t>iPad Pro 11" (3e gén.) - M1 - Wi‑Fi 1 To - argent</t>
  </si>
  <si>
    <t>30213200-9</t>
  </si>
  <si>
    <t>IA14</t>
  </si>
  <si>
    <t>MHW53NF/A</t>
  </si>
  <si>
    <t>iPad Pro 11" (3e gén.) - M1 - Wi‑Fi &amp; Cellulaire 5G - 128 Go - Gris Sidéral</t>
  </si>
  <si>
    <t>Catégorie 6 - Tablettes - Configuration 17</t>
  </si>
  <si>
    <t>MHW63NF/A</t>
  </si>
  <si>
    <t>iPad Pro 11" (3e gén.) - M1 - Wi‑Fi &amp; Cellulaire 5G - 128 Go - Argent</t>
  </si>
  <si>
    <t>MHW73NF/A</t>
  </si>
  <si>
    <t>iPad Pro 11" (3e gén.) - M1 - Wi‑Fi &amp; Cellulaire 5G - 256 Go - Gris Sidéral</t>
  </si>
  <si>
    <t>Catégorie 6 - Tablettes - Configuration 18</t>
  </si>
  <si>
    <t>MHW83NF/A</t>
  </si>
  <si>
    <t>iPad Pro 11" (3e gén.) - M1 - Wi‑Fi &amp; Cellulaire 5G - 256 Go - Argent</t>
  </si>
  <si>
    <t>MHW93NF/A</t>
  </si>
  <si>
    <t>iPad Pro 11" (3e gén.) - M1 - Wi‑Fi &amp; Cellulaire 5G - 512 Go - Gris Sidéral</t>
  </si>
  <si>
    <t>Catégorie 6 - Tablettes - Configuration 19</t>
  </si>
  <si>
    <t>MHWA3NF/A</t>
  </si>
  <si>
    <t>iPad Pro 11" (3e gén.) - M1 - Wi‑Fi &amp; Cellulaire 5G - 512 Go - Argent</t>
  </si>
  <si>
    <t>MHWC3NF/A</t>
  </si>
  <si>
    <t>iPad Pro 11" (3e gén.) - M1 - Wi‑Fi &amp; Cellulaire 5G - 1 To - gris sidéral</t>
  </si>
  <si>
    <t>Catégorie 6 - Tablettes - Configuration 20</t>
  </si>
  <si>
    <t>MHWD3NF/A</t>
  </si>
  <si>
    <t>iPad Pro 11" (3e gén.) - M1 - Wi‑Fi &amp; Cellulaire 5G - 1 To - argent</t>
  </si>
  <si>
    <t>MHNF3NF/A</t>
  </si>
  <si>
    <t>iPad Pro 12,9" (5e gén.) - M1 - Wi‑Fi 128 Go - Gris Sidéral</t>
  </si>
  <si>
    <t>MI5-IPADPRO12-5-PLUS</t>
  </si>
  <si>
    <t>Catégorie 6 - Tablettes - Configuration 21</t>
  </si>
  <si>
    <t>MHNG3NF/A</t>
  </si>
  <si>
    <t>iPad Pro 12,9" (5e gén.) - M1 - Wi‑Fi 128 Go - Argent</t>
  </si>
  <si>
    <r>
      <t xml:space="preserve">Garantie 5 ans formule Plus pour </t>
    </r>
    <r>
      <rPr>
        <b/>
        <sz val="10"/>
        <rFont val="Calibri (Corps)"/>
      </rPr>
      <t>iPad Pro 12"</t>
    </r>
    <r>
      <rPr>
        <b/>
        <sz val="10"/>
        <rFont val="Calibri"/>
        <family val="2"/>
        <scheme val="minor"/>
      </rPr>
      <t xml:space="preserve"> (intervention à J+1 - réparation à J+3 ou iPad de prêt)</t>
    </r>
  </si>
  <si>
    <t>MI5-IPADPRO12-6-PLUS</t>
  </si>
  <si>
    <t>Passage à une garantie 6 ans formule Plus pour iPad Pro 12"  (intervention à J+1 - réparation à J+3 ou iPad de prêt)</t>
  </si>
  <si>
    <t>MI5-IPADPRO12-7-PLUS</t>
  </si>
  <si>
    <r>
      <t xml:space="preserve">Passage à une garantie 7 ans formule Plus pour </t>
    </r>
    <r>
      <rPr>
        <sz val="10"/>
        <rFont val="Calibri (Corps)"/>
      </rPr>
      <t>iPad Pro 12"</t>
    </r>
    <r>
      <rPr>
        <sz val="10"/>
        <rFont val="Calibri"/>
        <family val="2"/>
        <scheme val="minor"/>
      </rPr>
      <t xml:space="preserve">  (intervention à J+1 - réparation à J+3 ou iPad de prêt)</t>
    </r>
  </si>
  <si>
    <t>MI5-IPADPRO12-8-PLUS</t>
  </si>
  <si>
    <t>Passage à une garantie 8 ans formule Plus pour iPad Pro 12"  (intervention à J+1 - réparation à J+3 ou iPad de prêt)</t>
  </si>
  <si>
    <t>MI5-IPADPRO12-5-E-CARE</t>
  </si>
  <si>
    <t>Service de substitution forfaité d'une durée de 5 ans pour iPad Pro 12""</t>
  </si>
  <si>
    <t>Service complémentaire forfaité d'assurance vol /casse/maladresse pour une durée de 5 ans pour iPad Pro 12""</t>
  </si>
  <si>
    <t>MI5-IPADPRO12-8-E-CARE</t>
  </si>
  <si>
    <t>Service complémentaire forfaité d'assurance vol /casse/maladresse pour une durée de 8 ans pour iPad Pro 12"</t>
  </si>
  <si>
    <t>MHNH3NF/A</t>
  </si>
  <si>
    <t>iPad Pro 12,9" (5e gén.) - M1 - Wi‑Fi 256 Go - Gris Sidéral</t>
  </si>
  <si>
    <t>Catégorie 6 - Tablettes - Configuration 22</t>
  </si>
  <si>
    <t>MHNJ3NF/A</t>
  </si>
  <si>
    <t>iPad Pro 12,9" (5e gén.) - M1 - Wi‑Fi 256 Go - Argent</t>
  </si>
  <si>
    <t>MHNK3NF/A</t>
  </si>
  <si>
    <t>iPad Pro 12,9" (5e gén.) - M1 - Wi‑Fi 512 Go - Gris Sidéral</t>
  </si>
  <si>
    <t>Catégorie 6 - Tablettes - Configuration 23</t>
  </si>
  <si>
    <t>MHNL3NF/A</t>
  </si>
  <si>
    <t>iPad Pro 12,9" (5e gén.) - M1 - Wi‑Fi 512 Go - Argent</t>
  </si>
  <si>
    <t>MHNM3NF/A</t>
  </si>
  <si>
    <t>iPad Pro 12,9" (5e gén.) - M1 - Wi‑Fi 1 To - gris sidéral</t>
  </si>
  <si>
    <t>Catégorie 6 - Tablettes - Configuration 24</t>
  </si>
  <si>
    <t>MHNN3NF/A</t>
  </si>
  <si>
    <t>iPad Pro 12,9" (5e gén.) - M1 - Wi‑Fi 1 To - argent</t>
  </si>
  <si>
    <t>MHR43NF/A</t>
  </si>
  <si>
    <t>iPad Pro 12,9" (5e gén.) - M1 - Wi‑Fi &amp; Cellulaire 5G - 128 Go - Gris Sidéral</t>
  </si>
  <si>
    <t>Catégorie 6 - Tablettes - Configuration 25</t>
  </si>
  <si>
    <t>MHR53NF/A</t>
  </si>
  <si>
    <t>iPad Pro 12,9" (5e gén.) - M1 - Wi‑Fi &amp; Cellulaire 5G - 128 Go - Argent</t>
  </si>
  <si>
    <t>MHR63NF/A</t>
  </si>
  <si>
    <t>iPad Pro 12,9" (5e gén.) - M1 - Wi‑Fi &amp; Cellulaire 5G - 256 Go - Gris Sidéral</t>
  </si>
  <si>
    <t>Catégorie 6 - Tablettes - Configuration 26</t>
  </si>
  <si>
    <t>MHR73NF/A</t>
  </si>
  <si>
    <t>iPad Pro 12,9" (5e gén.) - M1 - Wi‑Fi &amp; Cellulaire 5G - 256 Go - Argent</t>
  </si>
  <si>
    <t>MHR83NF/A</t>
  </si>
  <si>
    <t>iPad Pro 12,9" (5e gén.) - M1 - Wi‑Fi &amp; Cellulaire 5G - 512 Go - Gris Sidéral</t>
  </si>
  <si>
    <t>Catégorie 6 - Tablettes - Configuration 27</t>
  </si>
  <si>
    <t>MHR93NF/A</t>
  </si>
  <si>
    <t>iPad Pro 12,9" (5e gén.) - M1 - Wi‑Fi &amp; Cellulaire 5G - 512 Go - Argent</t>
  </si>
  <si>
    <t>MHRA3NF/A</t>
  </si>
  <si>
    <t>iPad Pro 12,9" (5e gén.) - M1 - Wi‑Fi &amp; Cellulaire 5G - 1 To - gris sidéral</t>
  </si>
  <si>
    <t>Catégorie 6 - Tablettes - Configuration 28</t>
  </si>
  <si>
    <t>MHRC3NF/A</t>
  </si>
  <si>
    <t>iPad Pro 12,9" (5e gén.) - M1 - Wi‑Fi &amp; Cellulaire 5G - 1 To - argent</t>
  </si>
  <si>
    <r>
      <t>Vert: Nouveauté</t>
    </r>
    <r>
      <rPr>
        <b/>
        <sz val="14"/>
        <color rgb="FF000000"/>
        <rFont val="Calibri"/>
        <family val="2"/>
      </rPr>
      <t xml:space="preserve"> -</t>
    </r>
    <r>
      <rPr>
        <b/>
        <sz val="14"/>
        <color rgb="FFFF0000"/>
        <rFont val="Calibri"/>
        <family val="2"/>
      </rPr>
      <t xml:space="preserve"> Rouge: Suppression</t>
    </r>
    <r>
      <rPr>
        <b/>
        <sz val="14"/>
        <color rgb="FF000000"/>
        <rFont val="Calibri"/>
        <family val="2"/>
      </rPr>
      <t xml:space="preserve"> - </t>
    </r>
    <r>
      <rPr>
        <b/>
        <sz val="14"/>
        <color rgb="FFFFC000"/>
        <rFont val="Calibri"/>
        <family val="2"/>
      </rPr>
      <t>Jaune: Modification</t>
    </r>
  </si>
  <si>
    <t>ANCIEN TARIF N°3 VALIDE LE 04/11/2021</t>
  </si>
  <si>
    <t>Moniteurs standard</t>
  </si>
  <si>
    <t>XU2390HS-B1</t>
  </si>
  <si>
    <t>Iiyama moniteur ProLite LED 23" 1920 x 1080 Full HD (1080p) IPS 250 cd/m² 1000:1 4 ms HDMI, DVI-D, VGA, haut-parleurs – noir Garantie 3 ans certifié ENERGY STAR</t>
  </si>
  <si>
    <t>IIYAMA</t>
  </si>
  <si>
    <t>Moniteurs</t>
  </si>
  <si>
    <t>XB2483HSU-B3</t>
  </si>
  <si>
    <t>Iiyama moniteur 24'' LED ProLite (HDMI, VGA, DisplayPort - 16:9 résolution 1920x1080, 4 ms, noir, TCO 6 )</t>
  </si>
  <si>
    <t>B2791HSU-B1</t>
  </si>
  <si>
    <t>Iiyama moniteur 27" LED ProLite (HDMI/VGA/DisplayPort - 16/9 rés. 1920x1080, 1 ms, noir , TCO 6)</t>
  </si>
  <si>
    <t>XB3288UHSU</t>
  </si>
  <si>
    <t>Iiyama moniteur 32" ProLite LED - 4K - 32"- HDR (VA, 2xHDMI, 1xDisplayPort, 1 x câble USB - 16:9 résolution 4K 3840 x 2160 à 60 Hz, noir, Energystar)</t>
  </si>
  <si>
    <t>30200000-2</t>
  </si>
  <si>
    <t>XUB3493WQSU-B1</t>
  </si>
  <si>
    <t>Iiyama moniteur 34'' LED IPS ProLite XUB3493WQSU (2x HDMI/DisplayPort - 21:9 résolution 3440x1440, 4 ms, noir, TCO 6)</t>
  </si>
  <si>
    <t>Moniteurs spécifiques : multimédia, stations d'accueil</t>
  </si>
  <si>
    <t>272B7QUPBEB/00</t>
  </si>
  <si>
    <t>Philips moniteur 27'' LED Brilliance B-line 272B7QUPBEB (USB-C, HDMI, DisplayPort, USB, Ethernet - 16:9 résolution 2560x1440 - 5 ms - noir - TCO) sans webcam intégrée</t>
  </si>
  <si>
    <t>PHILIPS</t>
  </si>
  <si>
    <t>272B7QUPBEB</t>
  </si>
  <si>
    <t>346B1C/00</t>
  </si>
  <si>
    <t>Philips moniteur 34'' Incurvé LED Brilliance B-line 346B1C (HDMI, DisplayPort, USB-C avec Port RJ45, 4x USB 3,2 -  21:9 résolution 3440x1440, 5 ms, noir, réglable en hauteur)</t>
  </si>
  <si>
    <t>272B7QUBHEB/00</t>
  </si>
  <si>
    <t>Philips moniteur 27'' QHD LED Brilliance B-line 272B7QUBHEB (USB-C, HDMI, DisplayPort, 4x USB, Ethernet - webcam - 16:9 résolution 2560x1440, 5 ms, noir) avec webcam intégrée</t>
  </si>
  <si>
    <t>30200000-3</t>
  </si>
  <si>
    <t>328P6VUBREB/00</t>
  </si>
  <si>
    <t>Philips moniteur 32'' 4K UHD LED Brilliance P-line 328P6VUBREB (USB-C, 2x HDMI, DisplayPort, 4x USB, Ethernet - 16:9 résolution 3840x2160, 4 ms, noir)</t>
  </si>
  <si>
    <t>30200000-4</t>
  </si>
  <si>
    <t>IA27</t>
  </si>
  <si>
    <t>241B7QGJEB/00</t>
  </si>
  <si>
    <t>Philips moniteur vert 24'' LED B-line (DisplayPort, HDMI, USB-C 3.2 (alimentation jusqu'à 90 W) - 16:9 résolution 1920 x 1080, 5 ms, noir , très faible consommation A++)</t>
  </si>
  <si>
    <t>30200000-5</t>
  </si>
  <si>
    <t>IA28</t>
  </si>
  <si>
    <t>242B1V/00</t>
  </si>
  <si>
    <t>Philips moniteur avec mode confidentiel 24'' LED B-line ( Display Port, HDMI, DVI-D (numérique, HDCP), VGA - 16:9 résolution 1920 x 1080, 5 ms, noir)</t>
  </si>
  <si>
    <t>30200000-6</t>
  </si>
  <si>
    <t>IA29</t>
  </si>
  <si>
    <t>LF24T450FQRXEN</t>
  </si>
  <si>
    <t>Samsung F24T450FQR - T45F Series - écran LED 24" - Full HD (1080p) 1920 x 1080 @ 75 Hz 250 cd/m² 1000: 15 ms 2xHDMI,DisplayPort - noir</t>
  </si>
  <si>
    <t>SAMSUNG</t>
  </si>
  <si>
    <t>30200000-8</t>
  </si>
  <si>
    <t>IA31</t>
  </si>
  <si>
    <t>LS27A600UUUXEN</t>
  </si>
  <si>
    <t>Samsung S27A600UUU - S60UA Series - écran LED 27" - QHD - 2560 x 1440 @ 75 Hz 300 cd/m² 1000: 15 ms 2xHDMI,DisplayPort - noir</t>
  </si>
  <si>
    <t>LS27A600U</t>
  </si>
  <si>
    <t>30200000-9</t>
  </si>
  <si>
    <t>IA32</t>
  </si>
  <si>
    <t>LS32A600UUUXEN</t>
  </si>
  <si>
    <t>Samsung S32A600UUU - S60A Series - écran LED 32" - QHD - 2560 x 1440 @ 75 Hz 300 cd/m² 3000:15 ms HDMI,DisplayPort,USB-C - noir</t>
  </si>
  <si>
    <t>LS32A600U</t>
  </si>
  <si>
    <t>30200000-10</t>
  </si>
  <si>
    <t>IA33</t>
  </si>
  <si>
    <t>VG2239SMH-2</t>
  </si>
  <si>
    <t>ViewSonic moniteur 22" LED VG2239Smh (connexion DisplayPort+VGA+HDMI - 16:9 résolution 1920x1080 - 6,5 ms - noir)</t>
  </si>
  <si>
    <t>VIEWSONIC</t>
  </si>
  <si>
    <t>30200000-11</t>
  </si>
  <si>
    <t>IA34</t>
  </si>
  <si>
    <t>VP2458</t>
  </si>
  <si>
    <t>ViewSonic ColorPro VP2458 Écran LED 24" (23.8" visualisable) 1920 x 1080 Full HD (1080p) IPS 250 cd/m² 1000:1 7 ms HDMI, VGA, DisplayPort</t>
  </si>
  <si>
    <t>30200000-12</t>
  </si>
  <si>
    <t>IA35</t>
  </si>
  <si>
    <t>VP2468A</t>
  </si>
  <si>
    <t>Viewsonic moniteur 24" (1920 x 1080) Dalle IPS LED monitor with 100% sRGB, 5ms, HDMI, DisplayPort in, DisplayPort out, USB-C, RJ45, 2 USB</t>
  </si>
  <si>
    <t>30200000-13</t>
  </si>
  <si>
    <t>IA36</t>
  </si>
  <si>
    <t>VP2785-4K</t>
  </si>
  <si>
    <t xml:space="preserve">Viewsonic moniteur 27" (3840 x 2160) UHD, IPS sans bords, support du HDR10,  2x HDMI, Mini DisplayPort, DisplayPort, USB 3.1, USB type C, </t>
  </si>
  <si>
    <t>30200000-14</t>
  </si>
  <si>
    <t>IA37</t>
  </si>
  <si>
    <t>VG2755</t>
  </si>
  <si>
    <t>Viewsonic moniteur 27", (1920 x 1080) 5ms, VGA, HDMI, DisplayPort, USB type C, 3x USB, hauts-parleurs, support entièrement ergonomique avec grand angle d'inclinaison</t>
  </si>
  <si>
    <t>30200000-15</t>
  </si>
  <si>
    <t>IA38</t>
  </si>
  <si>
    <t>VP3268-4K</t>
  </si>
  <si>
    <t>Viewsonic moniteur 32" (3840 x 2160) UHD 2x HDMI, Mini DisplayPort, DisplayPort, USB, hauts-parleurs, support entièrement ergonomique, Calibrage matériel</t>
  </si>
  <si>
    <t>30200000-16</t>
  </si>
  <si>
    <t>IA39</t>
  </si>
  <si>
    <t>Claviers et souris additionnels</t>
  </si>
  <si>
    <t>Options langues pour les claviers "Magic Keyboard" existe en langues (allemand, anglais britannique, anglais US, suisse, italien, espagnol et anglais international)</t>
  </si>
  <si>
    <t>MK2A3F/A</t>
  </si>
  <si>
    <t>Apple clavier Magic Keyboard français sans pavé numérique - sans fil rechargeable Bluetooth Lightning - 78 touches - argent</t>
  </si>
  <si>
    <t>30200000-7</t>
  </si>
  <si>
    <t>IA30</t>
  </si>
  <si>
    <t>MK2C3F/A</t>
  </si>
  <si>
    <t>Apple clavier Magic Keyboard avec Touch ID et pavé numérique pour les Mac avec puce Apple  - sans fil rechargeable Bluetooth Lightning - français - argent</t>
  </si>
  <si>
    <t>MK293F/A</t>
  </si>
  <si>
    <t>Apple clavier Magic Keyboard avec Touch ID pour les Mac avec puce Apple sans pavé numérique - sans fil rechargeable Bluetooth Lightning - français - argent</t>
  </si>
  <si>
    <t>MQ052F/A</t>
  </si>
  <si>
    <t>Apple clavier Magic Keyboard français avec pavé numérique - sans fil rechargeable Bluetooth Lightning - 109 touches - argent</t>
  </si>
  <si>
    <t>MMMP3Z/A</t>
  </si>
  <si>
    <t>Apple trackpad sans fil Magic Trackpad (Force Touch - rechargeable - Bluetooth - Lightning) - noir</t>
  </si>
  <si>
    <t>MMMQ3Z/A</t>
  </si>
  <si>
    <t>Apple souris sans fil Magic Mouse (Multi-Touch - rechargeable - Bluetooth - Lightning) - noir</t>
  </si>
  <si>
    <t>MMMR3F/A</t>
  </si>
  <si>
    <t>Apple clavier Magic Keyboard avec Touch ID et pavé numérique pour les Mac avec puce Apple - sans fil rechargeable Bluetooth Lightning - touches noires - français</t>
  </si>
  <si>
    <t>MN713ZM/A</t>
  </si>
  <si>
    <t>Apple câble Thunderbolt 4 Pro (1,8 m)</t>
  </si>
  <si>
    <t>MWP02ZM/A</t>
  </si>
  <si>
    <t>Apple câble Thunderbolt 4 Pro (3 m)</t>
  </si>
  <si>
    <t>MX3L2F/A</t>
  </si>
  <si>
    <t>Apple Smart Keyboard AZERTY français pour iPad 10,2", iPad Air 10,5" et iPad Pro 10,5''</t>
  </si>
  <si>
    <t>MX3L2LB/A</t>
  </si>
  <si>
    <t>Apple Smart Keyboard QWERTY US pour iPad 10,2", iPad Air 10,5" et iPad Pro 10,5''</t>
  </si>
  <si>
    <t>MXNK2F/A</t>
  </si>
  <si>
    <t>Apple Smart Keyboard Folio AZERTY français pour iPad Pro 11'' et iPad Air 10,9"</t>
  </si>
  <si>
    <t>MXNK2LB/A</t>
  </si>
  <si>
    <t>Apple Smart Keyboard Folio QWERTY US pour iPad Pro 11'' et iPad Air 10,9"</t>
  </si>
  <si>
    <t>MXNL2F/A</t>
  </si>
  <si>
    <t>Apple Smart Keyboard Folio AZERTY français pour iPad Pro 12,9'' (3e et 4e gén.)</t>
  </si>
  <si>
    <t>MXNL2LB/A</t>
  </si>
  <si>
    <t>Apple Smart Keyboard Folio QWERTY US pour iPad Pro 12,9'' (3e et 4e gén.)</t>
  </si>
  <si>
    <t>MXQT2F/A</t>
  </si>
  <si>
    <t>Apple Magic Keyboard AZERTY français pour iPad Pro 11'' (2e gén.) et iPad Air 10,9" (4e gén.)</t>
  </si>
  <si>
    <t>MXQT2LB/A</t>
  </si>
  <si>
    <t>Apple Magic Keyboard QWERTY US pour iPad Pro 11'' (2e gén.) et iPad Air 10,9" (4e gén.)</t>
  </si>
  <si>
    <t>MJQJ3F/A</t>
  </si>
  <si>
    <t>Apple Magic Keyboard pour iPad Pro 11" (3e gén.) et iPad Air (4e gén.) - AZERTY Français - Blanc</t>
  </si>
  <si>
    <t>MJQJ3LB/A</t>
  </si>
  <si>
    <t>Apple Magic Keyboard pour iPad Pro 11" (3e gén.) et iPad Air (4e gén.) - QWERTY US - Blanc</t>
  </si>
  <si>
    <t>MJQL3F/A</t>
  </si>
  <si>
    <t>Apple Magic Keyboard pour iPad Pro 12,9" (5e gén.) - AZERTY Français - Blanc</t>
  </si>
  <si>
    <t>MJQL3LB/A</t>
  </si>
  <si>
    <t>Apple Magic Keyboard pour iPad Pro 12,9" (5e gén.) - QWERTY US - Blanc</t>
  </si>
  <si>
    <t>30200000-17</t>
  </si>
  <si>
    <t>IA40</t>
  </si>
  <si>
    <t>MJQK3F/A</t>
  </si>
  <si>
    <t>Apple Magic Keyboard pour iPad Pro 12,9" (5e gén.) - AZERTY Français - Noir</t>
  </si>
  <si>
    <t>MJQK3LB/A</t>
  </si>
  <si>
    <t>Apple Magic Keyboard pour iPad Pro 12,9" (5e gén.) - QWERTY US - Noir</t>
  </si>
  <si>
    <t>920-009554</t>
  </si>
  <si>
    <t>Logitech Clavier MX Keys pour Mac – Clavier rétroéclairé - Bluetooth, 2.4 GHz – AZERTY – Français - gris</t>
  </si>
  <si>
    <t>LOGITECH</t>
  </si>
  <si>
    <t>30200000-18</t>
  </si>
  <si>
    <t>IA41</t>
  </si>
  <si>
    <t>910-005694</t>
  </si>
  <si>
    <t>Logitech MX Master 3 Souris laser 7 boutons sans fil Bluetooth, 2.4 Ghz récepteur sans fil USB graphite</t>
  </si>
  <si>
    <t>910-003357</t>
  </si>
  <si>
    <t>Logitech souris B100 optique filaire - USB - noir</t>
  </si>
  <si>
    <t>30200000-19</t>
  </si>
  <si>
    <t>IA42</t>
  </si>
  <si>
    <t>Périphériques de pointage</t>
  </si>
  <si>
    <t>MK2E3Z/A</t>
  </si>
  <si>
    <t>Apple souris sans fil magic mouse 2 argent (Multi-Touch - rechargeable - Bluetooth - Lightning)</t>
  </si>
  <si>
    <t>30200000-20</t>
  </si>
  <si>
    <t>IA43</t>
  </si>
  <si>
    <t>MK2D3Z/A</t>
  </si>
  <si>
    <t>Apple trackpad sans fil Magic Trackpad 2 argent (Force Touch - rechargeable - Bluetooth - Lightning)</t>
  </si>
  <si>
    <t>30200000-22</t>
  </si>
  <si>
    <t>IA45</t>
  </si>
  <si>
    <t>MQ052LB/A</t>
  </si>
  <si>
    <t>Apple clavier Magic Keyboard américain avec pavé numérique - sans fil rechargeable Bluetooth Lightning - 109 touches - argent</t>
  </si>
  <si>
    <t>30200000-28</t>
  </si>
  <si>
    <t>IA51</t>
  </si>
  <si>
    <t>MQ052Z/A</t>
  </si>
  <si>
    <t>Apple clavier Magic Keyboard anglais international avec pavé numérique - sans fil rechargeable Bluetooth Lightning - 109 touches - argent</t>
  </si>
  <si>
    <t>MU8F2ZM/A</t>
  </si>
  <si>
    <t>Apple Pencil 2ème génération pour iPad Pro 11", iPad Pro 12,9" (2018) et iPad Air 10,9"</t>
  </si>
  <si>
    <t>30200000-31</t>
  </si>
  <si>
    <t>IA54</t>
  </si>
  <si>
    <t>MK0C2ZM/A</t>
  </si>
  <si>
    <t>Apple Pencil 1ère génération pour iPad 10,2", iPad Air 10,5", iPad mini 5, iPad 9,7" (2018) et iPad Pro (2015-2017)</t>
  </si>
  <si>
    <t>30200000-32</t>
  </si>
  <si>
    <t>IA55</t>
  </si>
  <si>
    <t>MLUN2ZM/A</t>
  </si>
  <si>
    <t>Apple pointes pour Apple Pencil - Lot de 4 - compatible Pencil 1ere et 2nde génération</t>
  </si>
  <si>
    <t>30200000-33</t>
  </si>
  <si>
    <t>IA56</t>
  </si>
  <si>
    <t>Adaptateurs vidéo (VGA, HDMI, etc)</t>
  </si>
  <si>
    <t>MXLY2ZM/A</t>
  </si>
  <si>
    <t>Apple câble Lightning vers USB 1 m (pour iPad, iPhone et iPod à connecteur Lightning)</t>
  </si>
  <si>
    <t>MD819ZM/A</t>
  </si>
  <si>
    <t>Apple câble Lightning vers USB 2 m (pour iPad, iPhone et iPod à connecteur Lightning)</t>
  </si>
  <si>
    <t>MD821ZM/A</t>
  </si>
  <si>
    <t>Apple adaptateur Lightning vers câble USB d'appareil photo</t>
  </si>
  <si>
    <t>MD825ZM/A</t>
  </si>
  <si>
    <t>Apple adaptateur vidéo VGA - Lightning</t>
  </si>
  <si>
    <t>MD826ZM/A</t>
  </si>
  <si>
    <t>Apple adaptateur audio vidéo numérique HDMI - Lightning</t>
  </si>
  <si>
    <t>MD861ZM/A</t>
  </si>
  <si>
    <t>Apple câble Thunderbolt - Thunderbolt blanc 2 m</t>
  </si>
  <si>
    <t>MD862ZM/A</t>
  </si>
  <si>
    <t>Apple câble Thunderbolt - Thunderbolt blanc 0,5 m</t>
  </si>
  <si>
    <t>ME291ZM/A</t>
  </si>
  <si>
    <t>Apple câble Lightning vers USB 0,5 m (pour iPad Retina, iPad mini, iPhone 5, iPod touch 5G et iPod nano 7G)</t>
  </si>
  <si>
    <t>MJ1M2ZM/A</t>
  </si>
  <si>
    <t>Apple adaptateur USB-C - USB pour MacBook 12" &amp; MacBook Pro Thunderbolt 3</t>
  </si>
  <si>
    <t>MU7E2ZM/A</t>
  </si>
  <si>
    <t>Apple adaptateur USB-C vers mini-jack 3,5 mm pour iPad Pro 2018 et MacBook, MacBook Air 2018 MacBook Pro</t>
  </si>
  <si>
    <t>MUF82ZM/A</t>
  </si>
  <si>
    <t>Apple adaptateur multiport AV numérique - USB-C (1 port HDMI &amp; 1 port USB) pour iPad Pro 2018 et MacBook, MacBook Air 2018 MacBook Pro</t>
  </si>
  <si>
    <t>MJ1L2ZM/A</t>
  </si>
  <si>
    <t>Apple adaptateur multiport VGA - USB-C (1 port VGA &amp; 1 port USB)</t>
  </si>
  <si>
    <t>MJYT2ZM/A</t>
  </si>
  <si>
    <t>Apple adaptateur Lightning vers lecteur de carte SD</t>
  </si>
  <si>
    <t>MK0W2ZM/A</t>
  </si>
  <si>
    <t>Apple adaptateur Lightning vers câble USB 3.0 pour appareil photo</t>
  </si>
  <si>
    <t>MX0K2ZM/A</t>
  </si>
  <si>
    <t>Apple câble Lightning vers USB-C 1 m (pour iPad, iPhone et iPod à connecteur Lightning)</t>
  </si>
  <si>
    <t>MQGH2ZM/A</t>
  </si>
  <si>
    <t>Apple câble Lightning vers USB-C 2 m (pour iPad, iPhone et iPod à connecteur Lightning)</t>
  </si>
  <si>
    <t>MQ4H2ZM/A</t>
  </si>
  <si>
    <t>Apple câble Thunderbolt 3 (USB-C) 0,80 m</t>
  </si>
  <si>
    <t>MMEL2ZM/A</t>
  </si>
  <si>
    <t>Apple adaptateur Thunderbolt 3 (USB-C) vers Thunderbolt 2</t>
  </si>
  <si>
    <t>MUF82ZM/A  </t>
  </si>
  <si>
    <t>MD837ZM/A</t>
  </si>
  <si>
    <t>Apple kit de voyage (7 adaptateurs pour prise d'alimentation) pour portables Apple, iPad ou iPhone</t>
  </si>
  <si>
    <t>MM4T2ZM/A </t>
  </si>
  <si>
    <t>Apple télécommande remote aluminium infra rouge</t>
  </si>
  <si>
    <t>MD564Z/A</t>
  </si>
  <si>
    <t>Apple lecteur graveur SuperDrive (DVD±R DL/DVD±RW/CD-RW) externe USB 2</t>
  </si>
  <si>
    <t>MUFG2ZM/A</t>
  </si>
  <si>
    <t>Apple adaptateur USB-C vers lecteur de carte SD pour iPad Pro 2018 et MacBook, MacBook Air 2018 MacBook Pro</t>
  </si>
  <si>
    <t>Adaptateur secteurs</t>
  </si>
  <si>
    <t>MHJE3ZM/A</t>
  </si>
  <si>
    <t>Adaptateur secteur 20W USB-C pour iPad Pro (nécessite un câble UBS-C Lightning)</t>
  </si>
  <si>
    <t>MY1W2ZM/A</t>
  </si>
  <si>
    <t>Adaptateur secteur 30W USB-C</t>
  </si>
  <si>
    <t>MKU63ZM/A</t>
  </si>
  <si>
    <t>Adaptateur secteur 67W USB-C</t>
  </si>
  <si>
    <t>MRW22ZM/A</t>
  </si>
  <si>
    <t>Adaptateur secteur 61W USB-C</t>
  </si>
  <si>
    <t>MX0J2ZM/A</t>
  </si>
  <si>
    <t>Adaptateur secteur 96W USB-C</t>
  </si>
  <si>
    <t>MK122Z/A</t>
  </si>
  <si>
    <t>Apple rallonge secteur pour adaptateur secteur</t>
  </si>
  <si>
    <t>MM093ZM/A</t>
  </si>
  <si>
    <t>Apple câble de charge USB-C  (1m)</t>
  </si>
  <si>
    <t>MLL82ZM/A</t>
  </si>
  <si>
    <t>Apple câble de charge USB-C  (2m)</t>
  </si>
  <si>
    <t>WCH002vfWH</t>
  </si>
  <si>
    <t>Belkin - Chargeur secteur USB-C 60W - Avec technologie Gan - Ultra compact</t>
  </si>
  <si>
    <t>BELKIN</t>
  </si>
  <si>
    <t>B2B139vf</t>
  </si>
  <si>
    <t>Belkin - Chargeur USB 10 ports (2,4 A, EU)</t>
  </si>
  <si>
    <t>WCH001vfWH</t>
  </si>
  <si>
    <t>Belkin - Chargeur secteur USB-C 30W - Avec technologie Gan - Ultra compact</t>
  </si>
  <si>
    <t>AVC008btSGY</t>
  </si>
  <si>
    <t>Belkin Station d’accueil Hub USB-C, HDMI, RJ45, 2xUSB-A, 1 carte mémoire SD, 4K Ultra HD 100 W</t>
  </si>
  <si>
    <t>AVC006btSGY</t>
  </si>
  <si>
    <t>Belkin - Station d'accueil USB-C  4-en-1 (60W)</t>
  </si>
  <si>
    <t>INC004btSGY</t>
  </si>
  <si>
    <t>Belkin Station d’accueil USB-C multiport 11 en 1 - Carte mémoire SD, microSD, 2 x USB 3.1, RJ-45, DisplayPort, HDMI, USB 2.0, VGA, USB-C 3.0, jack 3,5 mm</t>
  </si>
  <si>
    <t>INC002vfBK</t>
  </si>
  <si>
    <t>Belkin Station d’accueil USB-C pour affichage double (1x USB-C PD avec Pass-Through 85W - 3x USB-A - 2 ports HDMI - 1x Gigabit Ethernet - 1 entrée / sortie audio)</t>
  </si>
  <si>
    <t>Etuis, coques, protections iPad</t>
  </si>
  <si>
    <t>MGYU3ZM/A</t>
  </si>
  <si>
    <r>
      <t xml:space="preserve">Smart Cover </t>
    </r>
    <r>
      <rPr>
        <sz val="10"/>
        <rFont val="Calibri (Corps)"/>
      </rPr>
      <t>pour iPad mini 4 et mini 5 - Marine intense (existe en coloris: blanc, bleu d'Alaska, bleuet, cactus, noir )</t>
    </r>
  </si>
  <si>
    <t>MM6G3ZM/A</t>
  </si>
  <si>
    <r>
      <t xml:space="preserve">Apple Smart Folio pour iPad mini (6e gén.) - Noir </t>
    </r>
    <r>
      <rPr>
        <sz val="10"/>
        <rFont val="Calibri (Corps)"/>
      </rPr>
      <t>(existe en coloris blanc lavande anglaise, cerise noire)</t>
    </r>
  </si>
  <si>
    <r>
      <t xml:space="preserve">Apple Smart Folio pour iPad mini (6e gén.) - Noir </t>
    </r>
    <r>
      <rPr>
        <sz val="10"/>
        <rFont val="Calibri (Corps)"/>
      </rPr>
      <t>(existe en coloris blanc lavande anglaise, cerise noire et orange électrique)</t>
    </r>
  </si>
  <si>
    <t>MX4U2ZM/A</t>
  </si>
  <si>
    <t>Smart Cover pour iPad 10,2'' et Air 10,5" noir</t>
  </si>
  <si>
    <t>MGYQ3ZM/A</t>
  </si>
  <si>
    <r>
      <t>Smart Cover Marine intense pour iPad 10,2'' (8ème generation), (existe en coloris: blanc, bleu surf,</t>
    </r>
    <r>
      <rPr>
        <sz val="10"/>
        <rFont val="Calibri (Corps)"/>
      </rPr>
      <t xml:space="preserve"> lavande anglaise,</t>
    </r>
    <r>
      <rPr>
        <sz val="10"/>
        <rFont val="Calibri"/>
        <family val="2"/>
        <scheme val="minor"/>
      </rPr>
      <t xml:space="preserve"> noir, orange électrique, rose agrume, vert anglais, vert de Chypre</t>
    </r>
    <r>
      <rPr>
        <sz val="10"/>
        <rFont val="Calibri (Corps)"/>
      </rPr>
      <t>)</t>
    </r>
  </si>
  <si>
    <t>MH0A3ZM/A</t>
  </si>
  <si>
    <t>Apple Smart Folio Blanc pour iPad Air 10,9 (4ème generation), (existe en coloris: Noir, Marine intense,)</t>
  </si>
  <si>
    <t>Smart Folio Blanc pour iPad Air 10,9 (4ème generation), (existe en coloris: Noir, Marine intense, Vert de Chypre et Rose Agrume)</t>
  </si>
  <si>
    <t>MJMA3ZM/A</t>
  </si>
  <si>
    <t>Apple Smart Folio pour iPad Pro 11" (3e gén.) - Blanc  (existe en coloris noir,lavande anglaise, marine intense et vert anglais)</t>
  </si>
  <si>
    <t>Apple Smart Folio pour iPad Pro 11" (3e gén.) - Blanc  (existe en coloris noir,lavande anglaise, marine intense, orange électrique et vert anglais)</t>
  </si>
  <si>
    <t>MJMH3ZM/A</t>
  </si>
  <si>
    <t>Apple Smart Folio pour iPad Pro 12,9" (5e gén.) - Blanc  (existe en coloris noir, lavande anglaise, marine intense)</t>
  </si>
  <si>
    <t>Apple Smart Folio pour iPad Pro 12,9" (5e gén.) - Blanc  (existe en coloris noir,lavande anglaise, marine intense, orange électrique et vert anglais)</t>
  </si>
  <si>
    <t>MNA43ZM/A</t>
  </si>
  <si>
    <t>Apple Smart Folio pour iPad Air (5e gén.) - cerise noire</t>
  </si>
  <si>
    <t>MNA63ZM/A</t>
  </si>
  <si>
    <t>Apple Smart Folio pour iPad Air (5e gén.) - lavande anglaise</t>
  </si>
  <si>
    <t>MNA73ZM/A</t>
  </si>
  <si>
    <t>Apple Smart Folio pour iPad Air (5e gén.) - bleu marine</t>
  </si>
  <si>
    <t>CSIE2155 Black</t>
  </si>
  <si>
    <t>Case Logic SnapView folio pour iPad mini 6 - noir</t>
  </si>
  <si>
    <t>THULE</t>
  </si>
  <si>
    <t>CSIE2253 Black</t>
  </si>
  <si>
    <t>Case Logic Snapview Folio pour Ipad 10''2 Noir avec porte stylet</t>
  </si>
  <si>
    <t>CSIE2153 Black</t>
  </si>
  <si>
    <t xml:space="preserve">Case Logic Snapview Folio pour Ipad 10''2 Noir  </t>
  </si>
  <si>
    <t xml:space="preserve">CSIE2254 Black </t>
  </si>
  <si>
    <t>Case Logic Snapview pour Ipad Air &amp; Pro 11 avec porte stylet</t>
  </si>
  <si>
    <t>053002</t>
  </si>
  <si>
    <t>Mobilis coque renforcée en TPU Protech pour Tab iPad 2019 10.2 '' - Trépied - Patte de saisie (ergonomique) - Porte-stylet - 1 Bandoulière incluse - Couleur noire</t>
  </si>
  <si>
    <t>MOBILIS</t>
  </si>
  <si>
    <t>048026</t>
  </si>
  <si>
    <t>Mobilis étui Folio Origine pour iPad Mini 5 (2019) / Mini 4 - Coque rigide noire - Accès à tous les ports, caractéristiques et fonctions - Fermeture aimantée -2 positions utilisation mode visionnage et clavier - Imitation cuir</t>
  </si>
  <si>
    <t>048027</t>
  </si>
  <si>
    <t>Mobilis étui Folio Origine pour iPad 2019 10.2 '' - Coque rigide noire - Accès à tous les ports, fonctionnalités et fonctions - Fermeture aimantée - 2 positions utilisation mode visionnage et clavier - Imitation cuir</t>
  </si>
  <si>
    <t>048043</t>
  </si>
  <si>
    <t>Mobilis étui Folio Origine pour iPad Air 4 10,9 '' 2020 - Coque rigide noire - Accès à tous les ports, fonctionnalités et fonctions - Fermeture aimantée - 2 positions utilisation mode visionnage et clavier -  Simili cuir</t>
  </si>
  <si>
    <t>048033</t>
  </si>
  <si>
    <t>Mobilis étui Origine Folio pour iPad 2019 10.2"'avec clavier Bluetooth français - Coque rigide noire - Accès à tous les ports, caractéristiques et fonctions - Fermeture aimantée - Simili cuir</t>
  </si>
  <si>
    <t>048025</t>
  </si>
  <si>
    <t>Mobilis étui Origine Folio Universel pour Tablette 10,2" iPad Air 10,9". iPad Pro 11 ''(5e gén) avec clavier Bluetooth Français - Coque rigide noire - Accès à tous les ports, fonctionnalités et fonctions - Fermeture aimantée - Simili cuir</t>
  </si>
  <si>
    <t>060001</t>
  </si>
  <si>
    <t xml:space="preserve">Mobilis étui folio (rabat noir et dos transparent) avec coins renforcés et porte-stylet pour iPad 2019 10.2 '' - Bumpers à chaque coins - Accès à tous les ports, fonctionnalités et fonctions - </t>
  </si>
  <si>
    <t>060006</t>
  </si>
  <si>
    <t xml:space="preserve">Mobilis étui folio (rabat noir et dos transparent) avec coins renforcés et porte-stylet pour iPad Air 4 2020 10.9 '' - Accès à tous les ports, fonctionnalités et fonctions - </t>
  </si>
  <si>
    <t>029020</t>
  </si>
  <si>
    <t>Mobilis coque folio noir C2 pour iPad 10,2 2019 - 2 positions: mode clavier et mode visionage - Sangle élastique - Porte-stylet - Finition cuir</t>
  </si>
  <si>
    <t>029025</t>
  </si>
  <si>
    <t>Mobilis coque folio noir C2 pour iPad Air 10,9 2020 - 2 positions: mode clavier et mode visionage - Sangle élastique - Porte-stylet - Finition cuir</t>
  </si>
  <si>
    <t>029026</t>
  </si>
  <si>
    <t>Mobilis coque folio noir C2 pour iPad Pro 12,9 2020 - 2 positions: mode clavier et mode visionage - Sangle élastique - Porte-stylet - Finition cuir</t>
  </si>
  <si>
    <t>010172</t>
  </si>
  <si>
    <t>Mobilis coque Jelly pour iPad Pro 11 '' - Couleur noire - Accès à tous les ports et fonctions - Bulk no pack</t>
  </si>
  <si>
    <t>010173</t>
  </si>
  <si>
    <t>Mobilis coque Jelly pour iPad Pro 12,9 '' - Couleur noire - Accès à tous les ports et fonctions - Bulk no pack</t>
  </si>
  <si>
    <t>048044</t>
  </si>
  <si>
    <t>Mobilis étui Folio Origine pour iPad Air 10,9 '' 2020 - Coque rigide rouge - Accès à tous les ports, fonctionnalités et fonctions - Fermeture aimantée - Simili cuir</t>
  </si>
  <si>
    <t>044003</t>
  </si>
  <si>
    <t>Mobilis support mural universel pour smartphone / tablette - SecureLock inclus - 2 adhésifs de rechange inclus</t>
  </si>
  <si>
    <t>MMC13UF</t>
  </si>
  <si>
    <t>Sleeve avec Mousse Mémoire de forme pour Macbook Pro 13/Macbook Air 13 - Noir</t>
  </si>
  <si>
    <t>URBAN FACTORY</t>
  </si>
  <si>
    <t>MMC14UF</t>
  </si>
  <si>
    <t>Sleeve avec Mousse Mémoire de forme pour Macbook Pro 14 - Noir</t>
  </si>
  <si>
    <t>MMC16UF</t>
  </si>
  <si>
    <t>Sleeve avec Mousse Mémoire de forme pour Macbook Pro 16 - Noir</t>
  </si>
  <si>
    <t>Apple TV</t>
  </si>
  <si>
    <t>MXH02FD/A</t>
  </si>
  <si>
    <t>Apple TV 4K 64 Go</t>
  </si>
  <si>
    <t xml:space="preserve">MXGY2FD/A </t>
  </si>
  <si>
    <t>Apple TV 4K 32 Go</t>
  </si>
  <si>
    <t>MHY93FD/A</t>
  </si>
  <si>
    <t>Apple TV HD 32 Go</t>
  </si>
  <si>
    <t>MJFM3ZM/A</t>
  </si>
  <si>
    <t>Apple télécommande Siri Remote (2e gén.) compatible avec : Apple TV 4K (1er et 2ᵉ génération) et Apple TV HD</t>
  </si>
  <si>
    <t>Logiciels d'exploitation, de services et support</t>
  </si>
  <si>
    <t>D6105ZM/A</t>
  </si>
  <si>
    <t>Apple Remote Desktop 3 licence électronique monoposte</t>
  </si>
  <si>
    <t>Logiciels</t>
  </si>
  <si>
    <t>48219300-9</t>
  </si>
  <si>
    <t>IB02</t>
  </si>
  <si>
    <t>D6020ZM/A</t>
  </si>
  <si>
    <t>Apple Remote Desktop 3 licence électronique en volume (tranche à partir de 20 postes)</t>
  </si>
  <si>
    <t>D6109ZM/A</t>
  </si>
  <si>
    <t>Apple Final Cut Pro X licence électronique monoposte</t>
  </si>
  <si>
    <t>D5977ZM/A</t>
  </si>
  <si>
    <t>Apple Final Cut Pro X licence électronique unitaire en volume (tranche à partir de 20 postes)</t>
  </si>
  <si>
    <t>D6110ZM/A</t>
  </si>
  <si>
    <t>Apple Motion licence électronique monoposte</t>
  </si>
  <si>
    <t>D5978ZM/A</t>
  </si>
  <si>
    <t>Apple Motion licence électronique unitaire en volume (tranche à partir de 20 postes)</t>
  </si>
  <si>
    <t>D6111ZM/A</t>
  </si>
  <si>
    <t>Apple Compressor licence électronique monoposte</t>
  </si>
  <si>
    <t>D5979ZM/A</t>
  </si>
  <si>
    <t>Apple Compressor licence électronique unitaire en volume (tranche à partir de 20 postes)</t>
  </si>
  <si>
    <t>D6626ZM/A</t>
  </si>
  <si>
    <t>Apple Logic Pro X licence électronique monoposte</t>
  </si>
  <si>
    <t>D6622ZM/A</t>
  </si>
  <si>
    <t>Apple Logic Pro X licence électronique unitaire en volume (tranche à partir de 20 postes)</t>
  </si>
  <si>
    <t>D6627ZM/A</t>
  </si>
  <si>
    <t>Apple MainStage licence électronique monoposte</t>
  </si>
  <si>
    <t>D6624ZM/A</t>
  </si>
  <si>
    <t>Apple MainStage licence électronique unitaire en volume (tranche à partir de 20 postes)</t>
  </si>
  <si>
    <t>Adaptateurs divers</t>
  </si>
  <si>
    <t>Accessoires portable</t>
  </si>
  <si>
    <t>Accessoires portable ancienne génération</t>
  </si>
  <si>
    <t>MC747Z/A</t>
  </si>
  <si>
    <t>Adaptateur secteur 45W MagSafe pour MacBook Air</t>
  </si>
  <si>
    <t>MC556Z/B</t>
  </si>
  <si>
    <t>Adaptateur secteur 85W MagSafe pour MacBook Pro 15" &amp; 17"</t>
  </si>
  <si>
    <t>MC461Z/A</t>
  </si>
  <si>
    <t>Adaptateur secteur 60W MagSafe pour generation MacBook 13''  &amp; MacBook Pro 13"</t>
  </si>
  <si>
    <t>MD592Z/A</t>
  </si>
  <si>
    <t>Adaptateur secteur 45W MagSafe 2 pour MacBook Air</t>
  </si>
  <si>
    <t>0,,05</t>
  </si>
  <si>
    <t>MD565Z/A</t>
  </si>
  <si>
    <t>Adaptateur secteur 60W MagSafe 2 pour MacBook Pro 13" Retina</t>
  </si>
  <si>
    <t>MD506Z/A</t>
  </si>
  <si>
    <t>Adaptateur secteur 85W MagSafe 2 pour MacBook Pro 15" Retina</t>
  </si>
  <si>
    <t>Adaptateur secteur 67W USB-C pour MacBook Air, MacBook Pro 13“ et 14" M1</t>
  </si>
  <si>
    <t>Apple adaptateur secteur USB-C 96 W pour MacBook Pro 16"</t>
  </si>
  <si>
    <t>MX0J2B/A</t>
  </si>
  <si>
    <t>MLYU3ZM/A</t>
  </si>
  <si>
    <t>Apple adaptateur secteur USB-C 140 W pour MacBook Pro 16“</t>
  </si>
  <si>
    <t>MLYV3ZM/A</t>
  </si>
  <si>
    <t>Apple câble de charge USB-C vers Magsafe 3 (2 m)</t>
  </si>
  <si>
    <t>Apple câble de charge USB-C (1 m)</t>
  </si>
  <si>
    <t>MM0A3ZM/A</t>
  </si>
  <si>
    <t>Apple câble de charge USB-C vers lightning (1m)</t>
  </si>
  <si>
    <t>MGN13ZM/A</t>
  </si>
  <si>
    <t>Adaptateur secteur 5W USB-A</t>
  </si>
  <si>
    <t>MGN03ZM/A</t>
  </si>
  <si>
    <t>Adaptateur secteur 12W USB-A</t>
  </si>
  <si>
    <t>MD504ZM/A</t>
  </si>
  <si>
    <t>Apple convertisseur MagSafe vers MagSafe 2</t>
  </si>
  <si>
    <t>MD463ZM/A</t>
  </si>
  <si>
    <t>Apple adaptateur Thunderbolt &lt;--&gt; Ethernet Gigabit 10/100/1000 BT</t>
  </si>
  <si>
    <t>MD464ZM/A</t>
  </si>
  <si>
    <t>Apple Adaptateur Thunderbolt &lt;--&gt; FireWire 800 (9 pins)</t>
  </si>
  <si>
    <t>MC704ZM/A</t>
  </si>
  <si>
    <t>Apple adaptateur USB &lt;--&gt; Ethernet 10/100 BT pour MacBook Air, MacBook Pro Retina</t>
  </si>
  <si>
    <t>C2G adaptateur Mini DisplayPort vers VGA - Thunderbolt (M) pour VGA (F) - 20 cm - noir</t>
  </si>
  <si>
    <t>C2G</t>
  </si>
  <si>
    <t>MDP2DPMM6</t>
  </si>
  <si>
    <t>Startech câble adaptateur Mini DisplayPort vers DisplayPort 1.2 de 1,8m - M/M</t>
  </si>
  <si>
    <t>STARTECH</t>
  </si>
  <si>
    <t>30200000-30</t>
  </si>
  <si>
    <t>IA53</t>
  </si>
  <si>
    <t>MDP2VGDVHDW</t>
  </si>
  <si>
    <t>Startech adaptateur vidéo Mini DisplayPort vers DVI &amp; VGA &amp; HDMI blanc</t>
  </si>
  <si>
    <t>CDP2MDP</t>
  </si>
  <si>
    <t>StarTech Adaptateur USB-C vers Mini DisplayPort 4K 60 Hz - Blanc</t>
  </si>
  <si>
    <t>Barrettes mémoire pour stations fixes ancienne génération</t>
  </si>
  <si>
    <t>iMac Mi 2017</t>
  </si>
  <si>
    <t>S/AP-IM424S4G</t>
  </si>
  <si>
    <t>Carte 4 Go SDRAM DDR4 à 2 400 MHz So-DIMM pour iMac 27" Retina 5K mi 2017</t>
  </si>
  <si>
    <t>S/AP-IM424S8G</t>
  </si>
  <si>
    <t>Carte 8 Go SDRAM DDR4 à 2 400 MHz So-DIMM pour iMac 27" Retina 5K mi 2017</t>
  </si>
  <si>
    <t>S/AP-IM424S16G</t>
  </si>
  <si>
    <t>Carte 16 Go SDRAM DDR4 à 2 400 MHz So-DIMM pour iMac 27" Retina 5K mi 2017</t>
  </si>
  <si>
    <t>iMac Mi 2020</t>
  </si>
  <si>
    <t>S/AP-IM426S8G</t>
  </si>
  <si>
    <t>Carte 8 Go SDRAM DDR4 à 2 666 MHz So-DIMM pour iMac 27" Retina 5K (03 2019)</t>
  </si>
  <si>
    <t>Mac Pro 2010 à Mi 2012</t>
  </si>
  <si>
    <t>S/AP-MP313F4G</t>
  </si>
  <si>
    <t>Module mémoire 4 Go DDR3 Dimm 1333 MHz pour Mac Pro Xeon hexacœur ou dodécacœur (06-2012 et 08-2010)
Garantie: 10 ans</t>
  </si>
  <si>
    <t>S/AP-MP313F8G</t>
  </si>
  <si>
    <t>Module mémoire 8 Go DDR3 ECC 1333 MHz pour Mac Pro Xeon hexacœur ou dodécacœur (06-2012 et 08-2010)</t>
  </si>
  <si>
    <t>S/AP-MP313F16G</t>
  </si>
  <si>
    <t>Module mémoire 16 Go DDR3 ECC 1333 MHz pour Mac Pro Xeon hexacœur ou dodécacœur (08-2010)</t>
  </si>
  <si>
    <t>Accessoires autres marques</t>
  </si>
  <si>
    <t>ADP4B</t>
  </si>
  <si>
    <t>Adonit Jot Pro 4 - stylet pointe fine avec embout amortisseur de précision et capuchon magnétique - noir</t>
  </si>
  <si>
    <t>ADONIT</t>
  </si>
  <si>
    <t>ADN2</t>
  </si>
  <si>
    <t>Adonit stylet Note 2 noir – aluminium – chargement USB-C - Fonctionnalité Palm Rejection native - Étanche à la poussière et à l'eau - Veille prolongée - Embout remplaçable</t>
  </si>
  <si>
    <t>PMH63VT-FR</t>
  </si>
  <si>
    <t xml:space="preserve">APC SurgeArrest multiprise 230 V parafoudre 6 prises </t>
  </si>
  <si>
    <t>APC</t>
  </si>
  <si>
    <t>BE325-FR</t>
  </si>
  <si>
    <t xml:space="preserve">APC onduleur Back-UPS ES 325VA / 185W - 4 connecteurs standard </t>
  </si>
  <si>
    <t>BK500EI</t>
  </si>
  <si>
    <t>APC onduleur Back-UPS CS 500VA - 300 W (nécessite un câble AP9870 par périphérique branché)</t>
  </si>
  <si>
    <t>AP9870</t>
  </si>
  <si>
    <t>APC câble alimentation IEC 320 C13 femelle &lt;--&gt; IEC 320 C14 male 2,4 m</t>
  </si>
  <si>
    <t>INC001btBK</t>
  </si>
  <si>
    <t>Belkin - Adaptateur USB-C vers ETHERNET + recharge 60W</t>
  </si>
  <si>
    <t>AVC002btBK</t>
  </si>
  <si>
    <t>Belkin - Adaptateur USB-C vers HDMI 4K + recharge 60W</t>
  </si>
  <si>
    <t>F2CD079BT</t>
  </si>
  <si>
    <t>Belkin adaptateur vidéo 4K Mini DisplayPort vers HDMI avec audio - noir</t>
  </si>
  <si>
    <t>AVC003btBK</t>
  </si>
  <si>
    <t>Belkin adaptateur vidéo USB-C UNIVERSEL (VGA, DVI, HDMI et DISPLAY PORT)</t>
  </si>
  <si>
    <t>AV10175BT2M-BLK</t>
  </si>
  <si>
    <t>Belkin câble HDMI 4K ultra haute vitesse - HDR et Dolby Vision -  2 m - noir</t>
  </si>
  <si>
    <t>AV10168BT2M-BLK</t>
  </si>
  <si>
    <t>Belkin câble HDMI Ultra HD 2 m - noir</t>
  </si>
  <si>
    <t>F4U110bt</t>
  </si>
  <si>
    <t>Belkin Station d'accueil Thunderbolt 3 Dock Core avec Câble Thunderbolt 3 (Double Affichage 4K à 60 Hz, Transfert de Données de 40 Gbit/s, Puissance de Sortie de 60 W)</t>
  </si>
  <si>
    <t>F4U109vf</t>
  </si>
  <si>
    <t>Belkin Thunderbolt 3 Dock Plus - station d'accueil Thunderbolt 3 (2 ports DisplayPort - 3 ports USB-A 3.0 - 2 ports USB-C - 1 port Gigabit Ethernet - 1 port audio)</t>
  </si>
  <si>
    <t>F4U097vf</t>
  </si>
  <si>
    <t>Belkin Thunderbolt 3 Dock Pro - station d'accueil Thunderbolt 3 (2 ports Thunderbolt 3 - 1 port USB-C - 1 Gigabit Ethernet - 4 USB 3.0 - 1 DisplayPort - lecteur carte SD - port audio / micro stéréo)</t>
  </si>
  <si>
    <t>SDCS2/32GB</t>
  </si>
  <si>
    <t>Cartes mémoires Kingston Canvas Select Plus 32 Go</t>
  </si>
  <si>
    <t>KINGSTON</t>
  </si>
  <si>
    <t>SDCS2/64GB</t>
  </si>
  <si>
    <t xml:space="preserve">Cartes mémoires Kingston Canvas Select Plus 64 Go </t>
  </si>
  <si>
    <t>SDCS2/128GB</t>
  </si>
  <si>
    <t>Cartes mémoires Kingston Canvas Select Plus 128 Go</t>
  </si>
  <si>
    <t>SDCS2/256GB</t>
  </si>
  <si>
    <t xml:space="preserve">Cartes mémoires Kingston Canvas Select Plus 256 Go </t>
  </si>
  <si>
    <t>DT100G3/64GB</t>
  </si>
  <si>
    <t>Clé USB Kingston DataTraveler 100 G3 64 Go</t>
  </si>
  <si>
    <t>DT100G3/128GB</t>
  </si>
  <si>
    <t>Clé USB Kingston DataTraveler 100 G3 128 Go</t>
  </si>
  <si>
    <t>DT100G3/256GB</t>
  </si>
  <si>
    <t>Clé USB Kingston DataTraveler 100 G3 256 Go</t>
  </si>
  <si>
    <t>Clé USB Verbatim PinStripe USB Drive 8 Go</t>
  </si>
  <si>
    <t>VERBATIM</t>
  </si>
  <si>
    <t>30200000-34</t>
  </si>
  <si>
    <t>Clé USB Verbatim PinStripe USB Drive 16 Go</t>
  </si>
  <si>
    <t>30200000-35</t>
  </si>
  <si>
    <t>JK-1610FR-1</t>
  </si>
  <si>
    <t>Cherry clavier KC 6000 SLIM FOR MAC USB Français commutateur : CHERRY SX argent</t>
  </si>
  <si>
    <t>CHERRY</t>
  </si>
  <si>
    <t>JM-0800-0</t>
  </si>
  <si>
    <t>Cherry MC 1000 White Mouse 1200dpi - Souris filaire optique 3 boutons 1200 dpi ambidextre blanc usb</t>
  </si>
  <si>
    <t>D31272</t>
  </si>
  <si>
    <t>Dicota Secret 2-Way protection d'écran filtre de confidentialité pour MacBook Air 13"</t>
  </si>
  <si>
    <t>DICOTA</t>
  </si>
  <si>
    <t>D31591</t>
  </si>
  <si>
    <t>Dicota Secret 2-Way filtre de confidentialité magnétique pour MacBook Pro 13" Thunderbolt 3 et Touch Bar</t>
  </si>
  <si>
    <t>D31275</t>
  </si>
  <si>
    <t>Dicota Secret 2-Way protection d'écran filtre de confidentialité pour iMac 21,5'' Retina</t>
  </si>
  <si>
    <t>D31276</t>
  </si>
  <si>
    <t>Dicota Secret 2-Way protection d'écran filtre de confidentialité pour iMac 27'' Retina</t>
  </si>
  <si>
    <t>D31399</t>
  </si>
  <si>
    <t>Dicota Secret 4-Way filtre de confidentialité adhésif pour iPad Air 10,5" ou iPad Pro 10,5"</t>
  </si>
  <si>
    <t>D70091</t>
  </si>
  <si>
    <t>Dicota Secret 4-Way filtre de confidentialité adhésif pour iPad Pro 11" 2018</t>
  </si>
  <si>
    <t>D70090</t>
  </si>
  <si>
    <t>Dicota Secret 4-Way filtre de confidentialité adhésif pour iPad Pro 12,9" 2018</t>
  </si>
  <si>
    <t>D31159</t>
  </si>
  <si>
    <t>Dicota Secret 4-Way filtre de confidentialité adhésif pour iPad Pro 12,9" 2017</t>
  </si>
  <si>
    <t xml:space="preserve">Epos Micro-casque filaire duo jack 3,5 mm et USB-A </t>
  </si>
  <si>
    <t>EPOS</t>
  </si>
  <si>
    <t>Epos Micro-casque filaire duo prise jack 3,5 mm et USB-A, micro ultra anti-bruit, garantie 3 ans</t>
  </si>
  <si>
    <t xml:space="preserve">Epos Micro-casque duo Bluetooth, ANC, dongle USB Bluetooth, câble USB-C, câble jack </t>
  </si>
  <si>
    <t>45-241-224</t>
  </si>
  <si>
    <t>Ergotron Bras LX, simple écran, fixation bureau, noir mat (existe en coloris blanc)</t>
  </si>
  <si>
    <t>ERGOTRON</t>
  </si>
  <si>
    <t>45-245-224</t>
  </si>
  <si>
    <t>Ergotron Bras LX bi-écrans juxtaposés, fixation bureau, noir mat - pour 2 ecrans jusque 27 pouces (existe en coloris blanc)</t>
  </si>
  <si>
    <t>45-509-216</t>
  </si>
  <si>
    <t>Ergotron Bras LX bi-écrans superposés colonne haute, fixation bureau, blanc - supporte jusque 2 écrans 40 pouces</t>
  </si>
  <si>
    <t>33-406-085</t>
  </si>
  <si>
    <t>Ergotron Bureau assis debout Work Fit TL à poser - noir  (existe en coloris blanc)</t>
  </si>
  <si>
    <t xml:space="preserve">Evoluent Vertical Mouse 3 - droitier </t>
  </si>
  <si>
    <t>EVOLUENT</t>
  </si>
  <si>
    <t xml:space="preserve">Evoluent Vertical Mouse 4 - droitier </t>
  </si>
  <si>
    <t>Evoluent Vertical Mouse 4 - gaucher</t>
  </si>
  <si>
    <t>Evoluent Vertical Mouse 4 bluetooth - droitier</t>
  </si>
  <si>
    <t>PFNAP002</t>
  </si>
  <si>
    <t xml:space="preserve">Filtre de confidentialité 3M pour Apple MacBook Air 13" </t>
  </si>
  <si>
    <t>3M</t>
  </si>
  <si>
    <t>PFNAP004</t>
  </si>
  <si>
    <t xml:space="preserve">Filtre de confidentialité 3M pour Apple MacBook Pro 13" avec écran Retina </t>
  </si>
  <si>
    <t>PFNAP010</t>
  </si>
  <si>
    <t>Filtre de confidentialité 3M pour Apple MacBook Pro 16"</t>
  </si>
  <si>
    <t>HCMAP001</t>
  </si>
  <si>
    <t>Filtre de confidentialité High Clarity 3M pour Apple iMac 21,5“"</t>
  </si>
  <si>
    <t>HCMAP002</t>
  </si>
  <si>
    <t>Filtre de confidentialité High Clarity 3M pour Apple iMac 27" et iMac Pro 27“</t>
  </si>
  <si>
    <t>PFTAP003</t>
  </si>
  <si>
    <t xml:space="preserve">Filtre de confidentialité 3M pour Apple iPad mini 5 Portrait </t>
  </si>
  <si>
    <t>PFTAP012</t>
  </si>
  <si>
    <t>Filtre de confidentialité 3M pour Apple iPad 10,2“ Portrait</t>
  </si>
  <si>
    <t>PFTAP009</t>
  </si>
  <si>
    <t>Filtre de confidentialité pour écran (paysage) pour iPad Pro 11“</t>
  </si>
  <si>
    <t>PFTAP010</t>
  </si>
  <si>
    <t>Filtre de confidentialité pour écran (paysage) pour iPad Pro 12,9“</t>
  </si>
  <si>
    <t>INMB200615-CLR</t>
  </si>
  <si>
    <t>Incase Hardshell coque de protection transparente pour MacBook Air 13" (USB-C) (2020)</t>
  </si>
  <si>
    <t>INCASE</t>
  </si>
  <si>
    <t>INMB200629-CLR </t>
  </si>
  <si>
    <t>Incase Hardshell coque de protection transparente pour MacBook Pro 13" (USB-C) (2020)</t>
  </si>
  <si>
    <t xml:space="preserve">INMB200719-CLR  </t>
  </si>
  <si>
    <t>Incase Hardshell coque de protection transparente pour MacBook Pro 14" (USB-C) (2020)</t>
  </si>
  <si>
    <t>INMB200679-CLR</t>
  </si>
  <si>
    <t>Incase Hardshell coque de protection transparente pour MacBook Pro 16“</t>
  </si>
  <si>
    <t>JBLGO3BLK</t>
  </si>
  <si>
    <t>JBL Go 3 noir (Bluetooth - fonction kit main libre - autonomie 5h - IP67 - USB-C)</t>
  </si>
  <si>
    <t>JBL</t>
  </si>
  <si>
    <t>JBLT500BLK</t>
  </si>
  <si>
    <t>JBL casque Tune 500 noir (casque filaire supra auriculaire - microphone intégré - connecteur audio 3,5 mm)</t>
  </si>
  <si>
    <t>JBLT510BTBLKEU</t>
  </si>
  <si>
    <t>JBL casque Tune 510 BT sans fil noir (casque sans fil Bluetooth supra auriculaire - microphone intégré)</t>
  </si>
  <si>
    <t>JBLT500BTBLK</t>
  </si>
  <si>
    <t>JBLLIVE460NCBLK</t>
  </si>
  <si>
    <t>JBL casque sans fil 460NC noir - forme arceau supra auriculaire – prise jack 3,5mm – connecteur USB Type C- Garantie 2 ans</t>
  </si>
  <si>
    <t>JBLFLIP5-BLK</t>
  </si>
  <si>
    <t>JBL Flip 5 (enceinte sans fil Bluetooth - puissance 20W - waterproof IPX7  - autonomie 12 h) - noir</t>
  </si>
  <si>
    <t>K72426EU</t>
  </si>
  <si>
    <t>Kensington Presenter Expert</t>
  </si>
  <si>
    <t>KENSINGTON</t>
  </si>
  <si>
    <t>K33820WW</t>
  </si>
  <si>
    <t>Kensington Station d’accueil mobile UH1400P USB-C 8 en 1 (1 HDMI 2.0 + 1 GigaBit Ethernet + 1 USB-C + 3 USB 3.2 type A + 1 USB 3.2 type C + micro SD)</t>
  </si>
  <si>
    <t>K34009EU</t>
  </si>
  <si>
    <t>Kensington station d’accueil SD5600T Thunderbolt 3 USB-C avec 2 sorties 4K alimentation 100W - Win/Mac</t>
  </si>
  <si>
    <t>K39122EU</t>
  </si>
  <si>
    <t>Kensington UH4000C hub UBS 3.0 4 ports</t>
  </si>
  <si>
    <t>K67822WW</t>
  </si>
  <si>
    <t>Kensington SafeStand à clé - Kit de sécurité pour Apple iMac</t>
  </si>
  <si>
    <t>K64453WW</t>
  </si>
  <si>
    <t>Kensington station de verrouillage 2.0 avec kit antivol MicroSaver 2.0 à clé (compatible tout portable de 12" à 16")</t>
  </si>
  <si>
    <t>STFR1000800</t>
  </si>
  <si>
    <t>LaCie Rugged USB-C - Disque dur - 1 To - externe (portable) - USB 3.1 Gen 1 (USB-C connecteur)</t>
  </si>
  <si>
    <t>LACIE</t>
  </si>
  <si>
    <t>STFR2000800</t>
  </si>
  <si>
    <t>LaCie Rugged USB-C - Disque dur - 2 To - externe (portable) - USB 3.1 Gen 1 (USB-C connecteur)</t>
  </si>
  <si>
    <t>STFR4000800</t>
  </si>
  <si>
    <t>LaCie Rugged USB-C - Disque dur - 4 To - externe (portable) - USB 3.1 Gen 1 (USB-C connecteur) - orange</t>
  </si>
  <si>
    <t>STFR5000800</t>
  </si>
  <si>
    <t>LaCie Rugged USB-C STFR5000800 - Disque dur - 5 To - externe (portable) - USB 3.1 Gen 1 (USB-C connecteur) - avec 2 ans Rescue Data Recovery Service Plan</t>
  </si>
  <si>
    <t>STFR2000403</t>
  </si>
  <si>
    <t>LaCie Rugged Secure STFR2000403 - Disque dur - chiffré - 2 To - externe (portable) - USB 3.1 Gen 1 (USB-C connecteur) - AES 256 bits - avec 2 ans Rescue Data Recovery Service Plan</t>
  </si>
  <si>
    <t>STGW4000800</t>
  </si>
  <si>
    <t>LaCie Rugged RAID PRO STGW4000800 - Baie de disques - 4 To - 2 Baies - HDD 2 To x 2 - USB 3.1 (externe) - avec 3 years Rescue Data Recovery Service Plan</t>
  </si>
  <si>
    <t>STFK48000402</t>
  </si>
  <si>
    <r>
      <t xml:space="preserve">LaCie 6big Thunderbolt </t>
    </r>
    <r>
      <rPr>
        <sz val="10"/>
        <rFont val="Calibri (Corps)"/>
      </rPr>
      <t>3 STFK48000402</t>
    </r>
    <r>
      <rPr>
        <sz val="10"/>
        <rFont val="Calibri"/>
        <family val="2"/>
        <scheme val="minor"/>
      </rPr>
      <t xml:space="preserve"> - Baie de disques - 48 To - 6 Baies (SATA) - HDD 8 To x 6 - USB 3.1, Thunderbolt 3 (externe)</t>
    </r>
  </si>
  <si>
    <t>STFK60000402</t>
  </si>
  <si>
    <r>
      <t xml:space="preserve">LaCie 6big Thunderbolt 3 </t>
    </r>
    <r>
      <rPr>
        <sz val="10"/>
        <rFont val="Calibri (Corps)"/>
      </rPr>
      <t>STFK60000402</t>
    </r>
    <r>
      <rPr>
        <sz val="10"/>
        <rFont val="Calibri"/>
        <family val="2"/>
        <scheme val="minor"/>
      </rPr>
      <t xml:space="preserve"> - Baie de disques - 60 To - 6 Baies (SATA) - HDD 10 To x 6 - USB 3.1, Thunderbolt 3 (externe)</t>
    </r>
  </si>
  <si>
    <t>STFK84000402</t>
  </si>
  <si>
    <r>
      <t>LaCie 6big Thunderbolt 3</t>
    </r>
    <r>
      <rPr>
        <sz val="10"/>
        <rFont val="Calibri (Corps)"/>
      </rPr>
      <t xml:space="preserve"> STFK84000402</t>
    </r>
    <r>
      <rPr>
        <sz val="10"/>
        <rFont val="Calibri"/>
        <family val="2"/>
        <scheme val="minor"/>
      </rPr>
      <t xml:space="preserve"> - Baie de disques - 84 To - 6 Baies (SATA) - HDD 14 To x 6 - USB 3.1, Thunderbolt 3 (externe)</t>
    </r>
  </si>
  <si>
    <t>STGB16000400</t>
  </si>
  <si>
    <t>LaCie 2big Dock Thunderbolt 3 - Baie de disques - 16 To - 2 Baies (SATA-600) - HDD 8 To x 2 - USB 3.1, Thunderbolt 3 (externe)</t>
  </si>
  <si>
    <t>STGB28000400</t>
  </si>
  <si>
    <t>LaCie 2big Dock Thunderbolt 3 - Baie de disques - 28 To - 2 Baies (SATA-600) - HDD 14 To x 2 - USB 3.1, Thunderbolt 3 (externe)</t>
  </si>
  <si>
    <t>LaCie Rugged Mini - Disque dur - 2 To - externe (portable) - USB 3.0</t>
  </si>
  <si>
    <t>STKS500400</t>
  </si>
  <si>
    <t>LaCie Portable SSD v.2 - 500 Go - externe (portable) - USB 3.1 Gen 2 (USB-C connecteur)</t>
  </si>
  <si>
    <t>STKS1000400</t>
  </si>
  <si>
    <t>LaCie Portable SSD v.2 - 1To - externe (portable) - USB 3.1 Gen 2 (USB-C connecteur)</t>
  </si>
  <si>
    <t>STKS2000400</t>
  </si>
  <si>
    <t>LaCie Portable SSD v.2 - 2 To - externe (portable) - USB 3.1 Gen 2 (USB-C connecteur)</t>
  </si>
  <si>
    <t>STHA6000800</t>
  </si>
  <si>
    <t>LaCie d2 Professional STHA6000800 - Disque dur - 6 To - externe (de bureau) - USB 3.1 (USB-C connecteur) - avec Seagate Rescue Data Recovery</t>
  </si>
  <si>
    <t>STHA8000800</t>
  </si>
  <si>
    <t>LaCie d2 Professional STHA8000800 - Disque dur - 8 To - externe (de bureau) - USB 3.1 Gen 2 (USB-C connecteur) - avec Seagate Rescue Data Recovery</t>
  </si>
  <si>
    <t>STHA10000800</t>
  </si>
  <si>
    <t>LaCie d2 Professional STHA10000800 - Disque dur - 10 To - externe (de bureau) - USB 3.1 (USB-C connecteur) - avec Seagate Rescue Data Recovery</t>
  </si>
  <si>
    <t>STHR500800</t>
  </si>
  <si>
    <t>LaCie Rugged SSD STHR500800 - Disque SSD - chiffré - 500 Go - externe (portable) - USB 3.1 Gen 2 / Thunderbolt 3 (USB-C connecteur) - Self-Encrypting Drive (SED)</t>
  </si>
  <si>
    <t>STHR1000800</t>
  </si>
  <si>
    <t>LaCie Rugged SSD STHR1000800 - Disque SSD - chiffré - 1 To - externe (portable) - USB 3.1 Gen 2 / Thunderbolt 3 (USB-C connecteur) - Self-Encrypting Drive (SED)</t>
  </si>
  <si>
    <t>STHR2000800</t>
  </si>
  <si>
    <t>LaCie Rugged SSD STHR2000800 - Disque SSD - chiffré - 2 To - externe (portable) - USB 3.1 Gen 2 / Thunderbolt 3 (USB-C connecteur) - Self-Encrypting Drive (SED)</t>
  </si>
  <si>
    <t>STHZ1000800</t>
  </si>
  <si>
    <t>LaCie Rugged SSD Pro STHZ1000800 - Disque SSD - 1 To - externe (portable) - USB 3.1 Gen 1 / Thunderbolt 3 (USB-C connecteur)</t>
  </si>
  <si>
    <t>STHZ2000800</t>
  </si>
  <si>
    <t>LaCie Rugged SSD Pro STHZ2000800 - Disque SSD - 2 To - externe (portable) - USB 3.1 Gen 1 / Thunderbolt 3 (USB-C connecteur)</t>
  </si>
  <si>
    <t>STHG1000400</t>
  </si>
  <si>
    <t>LaCie Mobile Drive STHG1000400 - Disque dur - 1 To - externe (portable) - USB 3.1 Gen 2 (USB-C connecteur) - Lune argentée</t>
  </si>
  <si>
    <t>STHG2000400</t>
  </si>
  <si>
    <t>LaCie Mobile Drive STHG2000400 - Disque dur - 2 To - externe (portable) - USB 3.1 Gen 2 (USB-C connecteur) - Lune argentée</t>
  </si>
  <si>
    <t xml:space="preserve">STHG4000400 </t>
  </si>
  <si>
    <t>LaCie Mobile Drive STHG4000400 - Disque dur - 4 To - externe (portable) - USB 3.1 Gen 2 (USB-C connecteur) - Lune argentée</t>
  </si>
  <si>
    <t>STKP6000400</t>
  </si>
  <si>
    <r>
      <t xml:space="preserve">Seagate Expansion Desktop </t>
    </r>
    <r>
      <rPr>
        <sz val="10"/>
        <rFont val="Calibri (Corps)"/>
      </rPr>
      <t>STKP6000400</t>
    </r>
    <r>
      <rPr>
        <sz val="10"/>
        <rFont val="Calibri"/>
        <family val="2"/>
        <scheme val="minor"/>
      </rPr>
      <t xml:space="preserve"> - Disque dur - 6 To - externe (de bureau) - USB 3.0</t>
    </r>
  </si>
  <si>
    <t>STKP8000400</t>
  </si>
  <si>
    <r>
      <t xml:space="preserve">Seagate Expansion Desktop </t>
    </r>
    <r>
      <rPr>
        <sz val="10"/>
        <rFont val="Calibri (Corps)"/>
      </rPr>
      <t>STKP8000400</t>
    </r>
    <r>
      <rPr>
        <sz val="10"/>
        <rFont val="Calibri"/>
        <family val="2"/>
        <scheme val="minor"/>
      </rPr>
      <t xml:space="preserve"> - Disque dur - 8 To - externe (de bureau) - USB 3.0</t>
    </r>
  </si>
  <si>
    <t>STKP10000400</t>
  </si>
  <si>
    <r>
      <t xml:space="preserve">Seagate Expansion Desktop </t>
    </r>
    <r>
      <rPr>
        <sz val="10"/>
        <rFont val="Calibri (Corps)"/>
      </rPr>
      <t>STKP10000400</t>
    </r>
    <r>
      <rPr>
        <sz val="10"/>
        <rFont val="Calibri"/>
        <family val="2"/>
        <scheme val="minor"/>
      </rPr>
      <t xml:space="preserve"> - Disque dur - 10 To - externe (de bureau) - USB 3.0 - noir</t>
    </r>
  </si>
  <si>
    <t>STKM1000400</t>
  </si>
  <si>
    <r>
      <t xml:space="preserve">Seagate Expansion </t>
    </r>
    <r>
      <rPr>
        <sz val="10"/>
        <rFont val="Calibri (Corps)"/>
      </rPr>
      <t>STKM1000400</t>
    </r>
    <r>
      <rPr>
        <sz val="10"/>
        <rFont val="Calibri"/>
        <family val="2"/>
        <scheme val="minor"/>
      </rPr>
      <t xml:space="preserve"> - Disque dur - 1 To - externe (portable) - USB 3.0</t>
    </r>
  </si>
  <si>
    <t>STKM2000400</t>
  </si>
  <si>
    <r>
      <t xml:space="preserve">Seagate Expansion </t>
    </r>
    <r>
      <rPr>
        <sz val="10"/>
        <rFont val="Calibri (Corps)"/>
      </rPr>
      <t>STKM2000400</t>
    </r>
    <r>
      <rPr>
        <sz val="10"/>
        <rFont val="Calibri"/>
        <family val="2"/>
        <scheme val="minor"/>
      </rPr>
      <t xml:space="preserve"> - Disque dur - 2 To - externe (portable) - USB 3.0</t>
    </r>
  </si>
  <si>
    <t>STKM4000400</t>
  </si>
  <si>
    <r>
      <t xml:space="preserve">Seagate Expansion </t>
    </r>
    <r>
      <rPr>
        <sz val="10"/>
        <rFont val="Calibri (Corps)"/>
      </rPr>
      <t>STKM4000400</t>
    </r>
    <r>
      <rPr>
        <sz val="10"/>
        <rFont val="Calibri"/>
        <family val="2"/>
        <scheme val="minor"/>
      </rPr>
      <t xml:space="preserve"> - Disque dur - 4 To - externe (portable) - 2.5' - USB 3.0</t>
    </r>
  </si>
  <si>
    <t>STKM5000400</t>
  </si>
  <si>
    <r>
      <t xml:space="preserve">Seagate Expansion </t>
    </r>
    <r>
      <rPr>
        <sz val="10"/>
        <rFont val="Calibri (Corps)"/>
      </rPr>
      <t xml:space="preserve">STKM5000400 </t>
    </r>
    <r>
      <rPr>
        <sz val="10"/>
        <rFont val="Calibri"/>
        <family val="2"/>
        <scheme val="minor"/>
      </rPr>
      <t>- Disque dur - 5 To - externe (portable) - USB 3.0 - noir</t>
    </r>
  </si>
  <si>
    <t>STHH1000400</t>
  </si>
  <si>
    <t>Seagate Backup Plus Ultra Touch STHH1000400 - Disque dur - chiffré - 1 To - externe (portable) - USB 3.0 - AES 256 bits - noir</t>
  </si>
  <si>
    <t>WDBMUT0040JWT-EESN</t>
  </si>
  <si>
    <t>Western Digital My Cloud Home Duo - Dispositif de stockage personnel dans le nuage - 4 To - HDD 2 To x 2 - Gigabit Ethernet</t>
  </si>
  <si>
    <t>WESTERN DIGITAL</t>
  </si>
  <si>
    <t>910-004913</t>
  </si>
  <si>
    <t>Logitech souris B330 optique sans fil</t>
  </si>
  <si>
    <t>910-004861</t>
  </si>
  <si>
    <t>Logitech Spotlight</t>
  </si>
  <si>
    <t>980-000814</t>
  </si>
  <si>
    <t>Logitech Kit enceintes 2.0 Z150 - noir</t>
  </si>
  <si>
    <t>980-000010</t>
  </si>
  <si>
    <t>Logitech Kit enceintes 2.0 S120 - noir</t>
  </si>
  <si>
    <t>980-001202</t>
  </si>
  <si>
    <t>Logitech Kit enceintes 2.1 Z333 - noir</t>
  </si>
  <si>
    <t>980-001054</t>
  </si>
  <si>
    <t>Logitech Kit enceintes 2.1 Z533 - noir</t>
  </si>
  <si>
    <t>981-000519</t>
  </si>
  <si>
    <t>Logitech casque microphone Headset stéréo H650e - filaire - Plug &amp; Play USB</t>
  </si>
  <si>
    <t>MBALDG01KL</t>
  </si>
  <si>
    <t>MacLocks The Ledge - kit de sécurité à clé argenté pour MacBook Air 13“</t>
  </si>
  <si>
    <t>MACLOCKS</t>
  </si>
  <si>
    <t>MBALDG01CL</t>
  </si>
  <si>
    <t>MacLocks The Ledge - kit de sécurité à code argenté pour MacBook Air 13“</t>
  </si>
  <si>
    <t>UNVMBPRLDG01KL</t>
  </si>
  <si>
    <t>Macklogs universel The Ledge - kit de sécurité à clé argenté - pour MacBook Pro 13“</t>
  </si>
  <si>
    <t>MBPRLDGTB01KL</t>
  </si>
  <si>
    <t>MacLocks The Ledge - kit de sécurité à clé argenté pour MacBook Pro 13" &amp; 15"</t>
  </si>
  <si>
    <t>MBPRLDGTB01CL</t>
  </si>
  <si>
    <t>MacLocks The Ledge - kit de sécurité à code argenté pour MacBook Pro 13" &amp; 15" Touch Bar</t>
  </si>
  <si>
    <t>MMEN76</t>
  </si>
  <si>
    <t>MacLocks Mac mini Mount - chassis de fixation avec kit de sécurité à clé - pour Mac mini depuis mi 2010</t>
  </si>
  <si>
    <t>ATVEN35</t>
  </si>
  <si>
    <t>Maclocks Apple TV 4G Security Mount (support de fixation et sécurisation - compatible VESA 75)</t>
  </si>
  <si>
    <t>CL15UTL</t>
  </si>
  <si>
    <t>Maclocks Universal Tablet Lock (plaque de sécurité préencollée et kit antivol à clé de 1,8 m)</t>
  </si>
  <si>
    <t>BLD01CL</t>
  </si>
  <si>
    <t xml:space="preserve">MacLocks The Blade - kit de sécurité universel - avec câble verrou à combinaison - argent </t>
  </si>
  <si>
    <t>BLD01KL</t>
  </si>
  <si>
    <t xml:space="preserve">MacLocks The Blade - kit de sécurité universel - avec câble verrou à clé - argent </t>
  </si>
  <si>
    <t>MBPR16LDG01KL</t>
  </si>
  <si>
    <r>
      <t xml:space="preserve">MacLocks The Ledge - kit de sécurité à clé argenté - pour MacBook Pro Touch Bar 16" </t>
    </r>
    <r>
      <rPr>
        <sz val="10"/>
        <rFont val="Calibri (Corps)"/>
      </rPr>
      <t>de 2019</t>
    </r>
  </si>
  <si>
    <t>MacLocks The Ledge - kit de sécurité à clé argenté - pour MacBook Pro Touch Bar 16"</t>
  </si>
  <si>
    <t>MBPR16LDG01</t>
  </si>
  <si>
    <r>
      <t xml:space="preserve">MacLocks The Ledge - adaptateur à fente de verrouillage - pour MacBook Pro Touch Bar 16" </t>
    </r>
    <r>
      <rPr>
        <sz val="10"/>
        <rFont val="Calibri (Corps)"/>
      </rPr>
      <t>de 2019</t>
    </r>
  </si>
  <si>
    <t>MacLocks The Ledge - adaptateur à fente de verrouillage - pour MacBook Pro Touch Bar 16"</t>
  </si>
  <si>
    <t>MBPR16LDG01CL</t>
  </si>
  <si>
    <r>
      <t xml:space="preserve">MacLocks The Ledge - kit de sécurité à code argenté - pour MacBook Pro Touch Bar 16" </t>
    </r>
    <r>
      <rPr>
        <sz val="10"/>
        <rFont val="Calibri (Corps)"/>
      </rPr>
      <t>de 2019</t>
    </r>
  </si>
  <si>
    <t>MacLocks The Ledge - kit de sécurité à code argenté - pour MacBook Pro Touch Bar 16"</t>
  </si>
  <si>
    <t>MBPR16LDG02KL</t>
  </si>
  <si>
    <r>
      <t xml:space="preserve">MacLocks The Ledge - kit de sécurité à clé argenté - pour MacBook Pro Touch Bar 16" </t>
    </r>
    <r>
      <rPr>
        <sz val="10"/>
        <rFont val="Calibri (Corps)"/>
      </rPr>
      <t>de 2021</t>
    </r>
  </si>
  <si>
    <t>MBPR16LDG02</t>
  </si>
  <si>
    <r>
      <t xml:space="preserve">MacLocks The Ledge - adaptateur à fente de verrouillage - pour MacBook Pro Touch Bar 16" </t>
    </r>
    <r>
      <rPr>
        <sz val="10"/>
        <rFont val="Calibri (Corps)"/>
      </rPr>
      <t>de 2021</t>
    </r>
  </si>
  <si>
    <t>MBPR16LDG02CL</t>
  </si>
  <si>
    <r>
      <t xml:space="preserve">MacLocks The Ledge - kit de sécurité à code argenté - pour MacBook Pro Touch Bar 16" </t>
    </r>
    <r>
      <rPr>
        <sz val="10"/>
        <rFont val="Calibri (Corps)"/>
      </rPr>
      <t>de 2021</t>
    </r>
  </si>
  <si>
    <t>99MO084213</t>
  </si>
  <si>
    <t>Moshi adaptateur multimédia USB-C 3-en-1 (2 ports USB - 1 port HDMI - lecteur carte SD) gris sidéral</t>
  </si>
  <si>
    <t>MOSHI</t>
  </si>
  <si>
    <t>99MO085018</t>
  </si>
  <si>
    <t>Moshi Umbra protection d'écran avec filtre de confidentialité pour MacBook Pro 16"</t>
  </si>
  <si>
    <t>99MO040913</t>
  </si>
  <si>
    <t>Moshi protection d'écran iVisor XT pour MacBook Pro/Air 13" (2020 - USB-C), gande clarté et netteté, installation facile 100% sans bulles, lavable et réutilisable.</t>
  </si>
  <si>
    <t>99MO071909</t>
  </si>
  <si>
    <t>Moshi iGlaze coque de protection transparente pour pour MacBook Air 13" USB-C (2018 &amp; 2020)</t>
  </si>
  <si>
    <t>99MO124901</t>
  </si>
  <si>
    <t>Moshi iGlaze coque de protection transparente pour MacBook Pro 16"</t>
  </si>
  <si>
    <t>MW-300047-P</t>
  </si>
  <si>
    <t>MW Folio Slim rouge coque arrière transparente - pour iPad 10,2"</t>
  </si>
  <si>
    <t>MW</t>
  </si>
  <si>
    <t>MW-300049-P</t>
  </si>
  <si>
    <t>MW Folio Slim noire coque arrière transparente - pour iPad 10,2"</t>
  </si>
  <si>
    <t>MW-300060</t>
  </si>
  <si>
    <t>MW Folio Slim noire coque arrière transparente - pour iPad Air 10,9" (4è génération)</t>
  </si>
  <si>
    <t>MW-200150</t>
  </si>
  <si>
    <t>MW  protection d'écran verre trempé pour iPad mini 8,3“</t>
  </si>
  <si>
    <t>MW-200118</t>
  </si>
  <si>
    <t xml:space="preserve">MW  protection d'écran verre trempé pour iPad 10,2" </t>
  </si>
  <si>
    <t>MW-200142</t>
  </si>
  <si>
    <t>MW - Verre de protection iPad Air 10.9 (2020 - 4TH GEN) &amp; PRO 11 (2018/20/21 - 1ST/2ND/3RD GEN)</t>
  </si>
  <si>
    <t>MW-200063-P</t>
  </si>
  <si>
    <t>MW  protection d'écran verre trempé pour iPad Pro 12,9" (3è/4è génération)</t>
  </si>
  <si>
    <t>HOUSSE-MBPTB-13</t>
  </si>
  <si>
    <t xml:space="preserve">MW- Housse de protection pour MacBook Air/Pro 13" (USB-C) </t>
  </si>
  <si>
    <t>MW-410002</t>
  </si>
  <si>
    <t>MW- Housse de protection pour MacBook Air/Pro 13" (USB-C) - Gris/Blanc</t>
  </si>
  <si>
    <t>MW-410069</t>
  </si>
  <si>
    <t>MW- Housse de protection pour MacBook Air/Pro 13" (USB-C) - Shade Anthracite</t>
  </si>
  <si>
    <t>MW-410130</t>
  </si>
  <si>
    <t>MW- Housse de protection pour MacBook Pro 14" (USB-C) Seasons Grey</t>
  </si>
  <si>
    <t>MW-410110</t>
  </si>
  <si>
    <t>MW- Housse de protection pour MacBook Pro 16" (USB-C) - Grey/white</t>
  </si>
  <si>
    <t>MW-410131</t>
  </si>
  <si>
    <t>MW- Housse de protection pour MacBook Pro 16" (USB-C) - Shade Anthracite</t>
  </si>
  <si>
    <t>BX700UI</t>
  </si>
  <si>
    <t>Onduleur APC Back-UPS 700VA - Prises FR</t>
  </si>
  <si>
    <t>BX950MI-FR</t>
  </si>
  <si>
    <t>Onduleur APC Back-UPS 950VA - Prises FR</t>
  </si>
  <si>
    <t>BX1400U-FR</t>
  </si>
  <si>
    <t>Onduleur APC Back-UPS 1400VA - Prises FR</t>
  </si>
  <si>
    <t>78-52705</t>
  </si>
  <si>
    <t>OtterBox Power Bank Bundle 5 000 MAh USB A &amp; Micro USB 10W livrée avec cable 3 en 1 (micro, USB C, Lightning) - 1m</t>
  </si>
  <si>
    <t>OTTERBOX</t>
  </si>
  <si>
    <t>78-52563</t>
  </si>
  <si>
    <t>OtterBox Power Bank fast charge 10 000 Mah-18W USB A (2.4A) &amp; USB C (3A)</t>
  </si>
  <si>
    <t>78-52567</t>
  </si>
  <si>
    <t>OtterBox Power Bank fast charge 15 000 Mah-18W USB A (2.4A) &amp; USB C (3A)</t>
  </si>
  <si>
    <t>78-52680</t>
  </si>
  <si>
    <t>OtterBox câble de charge/sync tressé et renforcé : USB C - USB C - 1M - compatible Power Delivery 2.0+</t>
  </si>
  <si>
    <t>78-52723</t>
  </si>
  <si>
    <t>OtterBox Chargeur secteur fast charger 30W - 1x USB C (3A/18W) + USB A (2.4A/12W) - noir</t>
  </si>
  <si>
    <t>78-52727</t>
  </si>
  <si>
    <t>OtterBox Pack chargeur secteur USB C (3A/18W) + Cable renforcé USB C-USB C 1M  - noir</t>
  </si>
  <si>
    <t>78-80480</t>
  </si>
  <si>
    <r>
      <t>OtterBox Pack chargeur fast charge secteur USB C (3A/</t>
    </r>
    <r>
      <rPr>
        <sz val="10"/>
        <rFont val="Calibri (Corps)"/>
      </rPr>
      <t>20W</t>
    </r>
    <r>
      <rPr>
        <sz val="10"/>
        <rFont val="Calibri"/>
        <family val="2"/>
        <scheme val="minor"/>
      </rPr>
      <t>) + Cable renforcé USB C-Lightning 1M  - blanc</t>
    </r>
  </si>
  <si>
    <t>77-62045</t>
  </si>
  <si>
    <t>Otterbox Symmetry Folio etui folio antichoc avec porte stylet pour iPad 10.2" (7ème et 8ème génération) - noir / transparent</t>
  </si>
  <si>
    <t>77-62047</t>
  </si>
  <si>
    <t>Otterbox Symmetry Folio etui folio antichoc avec porte stylet pour iPad 10.2" (7ème et 8ème génération) - bleu / transparent</t>
  </si>
  <si>
    <t>77-62038</t>
  </si>
  <si>
    <t>Otterbox UnlimitEd pour iPad 10.2" (7ème et 8ème génération) - coque antichoc avec protection écran intégrée et porte pencil</t>
  </si>
  <si>
    <t>77-62041</t>
  </si>
  <si>
    <t>Otterbox UnlimitEd Folio pour iPad 10.2" (7ème et 8ème génération) - coque antichoc avec Folio et protection écran intégrée et porte pencil</t>
  </si>
  <si>
    <t>77-63576</t>
  </si>
  <si>
    <t>Otterbox SYMMETRY CLEAR coque antichoc pour iPad 10.2" (7ème et 8ème génération) compatible avec Smart Keyboard et Smart Cover</t>
  </si>
  <si>
    <t>77-80707</t>
  </si>
  <si>
    <t>Otterbox REACT coque antichoc ultra fine pour iPad 10,2“ (7ème et 8ème génération)  - Noire crystale</t>
  </si>
  <si>
    <t>77-81229</t>
  </si>
  <si>
    <t>OtterBox DEFENDER coque antichoc avec protection écran intégrée pour iPad Air 4e generation</t>
  </si>
  <si>
    <t>ST-AMWKS-FR</t>
  </si>
  <si>
    <t>Satechi Clavier filaire en aluminium argent</t>
  </si>
  <si>
    <t>SATECHI</t>
  </si>
  <si>
    <t>ST-UCSW3M-FR</t>
  </si>
  <si>
    <t>Satechi clavier filaire Slim aluminium Azerty USB-C - Space Gray</t>
  </si>
  <si>
    <t>ST-AMWKM-FR</t>
  </si>
  <si>
    <t>Satechi Clavier filaire en aluminium gris sidéral</t>
  </si>
  <si>
    <t>ST-TAUCM</t>
  </si>
  <si>
    <t>Satechi adaptateur USB-A vers USB-C - space gray</t>
  </si>
  <si>
    <t>ST-AWUCMM</t>
  </si>
  <si>
    <t>Satechi souris filaire USB-C space grey</t>
  </si>
  <si>
    <t>ST-ABTCMS</t>
  </si>
  <si>
    <t>Satechi souris Bluetooth M1 aluminium avec port Type-C rechargeable - argent (existe en gris sidéral)</t>
  </si>
  <si>
    <t>ST-ELMPK</t>
  </si>
  <si>
    <t>Satechi tapis de souris en cuir éco noir</t>
  </si>
  <si>
    <t>ST-ELMPN</t>
  </si>
  <si>
    <t>Satechi tapis de souris en cuir éco marron</t>
  </si>
  <si>
    <t>ST-XLABKS</t>
  </si>
  <si>
    <t>Satechi extension de clavier sans fil- connexion Bluetooth - port de charge USB-C - touches raccourcis MacOS - Argent</t>
  </si>
  <si>
    <t>ST-XLABKM</t>
  </si>
  <si>
    <t>Satechi extension de clavier sans fil- connexion Bluetooth - port de charge USB-C - touches raccourcis MacOS - Gris sidéral</t>
  </si>
  <si>
    <t>ST-SALKPS</t>
  </si>
  <si>
    <t>Satechi Slim Wireless Keypad pavé numérique rechargeable Bluetooth argent</t>
  </si>
  <si>
    <t>ST-SALKPM</t>
  </si>
  <si>
    <t>Satechi Slim Wireless Keypad pavé numérique rechargeable Bluetooth gris sidéral</t>
  </si>
  <si>
    <t>ST-TCVGAS</t>
  </si>
  <si>
    <t>Satechi adaptateur USB-C vers VGA argent</t>
  </si>
  <si>
    <t>ST-TCVGAM</t>
  </si>
  <si>
    <t>Satechi adaptateur USB-C vers VGA gris sidéral</t>
  </si>
  <si>
    <t>ST-TC4KHAS</t>
  </si>
  <si>
    <t>Satechi adaptateur USB-C vers HDMI 4K (60 Hz) argent</t>
  </si>
  <si>
    <t>ST-TC4KHAM</t>
  </si>
  <si>
    <t>Satechi adaptateur USB-C vers HDMI 4K (60 Hz) gris sidéral</t>
  </si>
  <si>
    <t>ST-TCENS</t>
  </si>
  <si>
    <t>Satechi Adaptateur USB-C vers Ethernet GigaBit - argent</t>
  </si>
  <si>
    <t>ST-TCENM</t>
  </si>
  <si>
    <t>Satechi Adaptateur USB-C vers Ethernet GigaBit - gris sidéral</t>
  </si>
  <si>
    <t>ST-TC2N1USB31AM</t>
  </si>
  <si>
    <t>Satechi Hub USB-C - 3 ports USB 3.0 - 1 port GigaBit Ethernet - gris sidéral</t>
  </si>
  <si>
    <t>ST-UCSMA3M</t>
  </si>
  <si>
    <t>Satechi Hub USB-C avec 1x USB-C (60W), 1x HDMI 4K, 1x Ethernet, 2x USB-A, 1x SD et 1x Micro SD - gris sidéral (existe en coloris argent)</t>
  </si>
  <si>
    <t>ST-TCPHEM</t>
  </si>
  <si>
    <t>Satechi Station d’accueil plug-in USB-C gris sidéral pour MacBook Air 2020 MacBook Pro 13’’ et 16’’ - 1 HDMI 4K - 1 GigaBit Eth - 1 USB-C pass through 87W - 2 x USB 3.0 - 1 lecteur MSD (existe en coloris argent)</t>
  </si>
  <si>
    <t>ST-TCSHIPM</t>
  </si>
  <si>
    <t>Satechi support et hub pour iPad Pro aluminium</t>
  </si>
  <si>
    <t>ST-ALTSS</t>
  </si>
  <si>
    <t>Satechi support en aluminium argent pour ordinateur portable</t>
  </si>
  <si>
    <t>ST-ALTSM</t>
  </si>
  <si>
    <t>Satechi support en aluminium gris sidéral pour ordinateur portable</t>
  </si>
  <si>
    <t>ST-ABHFM</t>
  </si>
  <si>
    <t>Satechi support hub (1x USB-C - 3x USB-A 3.0 - 1x lecteur cartes micro/SD - port 3,5mm) pour Mac Mini - gris sidéral</t>
  </si>
  <si>
    <t>ST-UCICHS</t>
  </si>
  <si>
    <t>Satechi hub USB-C CLAMP pour iMac 24" 1x USB-C, 3x USB et lecteurs de cartes micro/SD</t>
  </si>
  <si>
    <t>ST-ABHFS</t>
  </si>
  <si>
    <t>Satechi support hub (1x USB-C - 3x USB-A 3.0 - 1x lecteur cartes micro/SD - port 3,5mm) pour Mac Mini - argent</t>
  </si>
  <si>
    <t>TW-12-1708</t>
  </si>
  <si>
    <t>Twelve South Curve noir mat, socle de bureau pour MacBook Pro jusqu'à 16“</t>
  </si>
  <si>
    <t>TWELVE</t>
  </si>
  <si>
    <t>TW-12-1915</t>
  </si>
  <si>
    <t>Twelve South Socle de bureau (pour portables jusqu'au 16")</t>
  </si>
  <si>
    <t>REFPC113DB</t>
  </si>
  <si>
    <t>Case Logic Reflect - housse d'ordinateur portable avec fermeture éclair - bleu foncé pour MacBook Pro 14“</t>
  </si>
  <si>
    <t>CASE LOGIC</t>
  </si>
  <si>
    <t>REFMB113DB</t>
  </si>
  <si>
    <t>Case Logic Reflect - housse d'ordinateur portable avec fermeture éclair - bleu foncé pour MacBook Pro 13“</t>
  </si>
  <si>
    <t>ST-222-237JU-01</t>
  </si>
  <si>
    <t>STM étui Dux Plus Duo pour iPad 10,2" - noir et face arrière transparente - porte stylet Pencil ou Logitech Crayon - polybag</t>
  </si>
  <si>
    <t>STM</t>
  </si>
  <si>
    <t>ST-222-237JU-02</t>
  </si>
  <si>
    <t>STM étui Dux Plus Duo pour iPad 10,2" - rouge et face arrière transparente - porte stylet Pencil ou Logitech Crayon - polybag</t>
  </si>
  <si>
    <t>ST-222-286JT-01</t>
  </si>
  <si>
    <t>STM étui Dux Plus pour iPad Air 10,9" 4è génération - porte stylet Pencil - noir et face arrière transparente</t>
  </si>
  <si>
    <t>ST-222-286JT-02</t>
  </si>
  <si>
    <t>STM étui Dux Plus pour iPad Air 10,9" 4è génération - porte stylet Pencil - rouge et face arrière transparente</t>
  </si>
  <si>
    <t>ST-222-328KZ-01</t>
  </si>
  <si>
    <t>STM étui Dux Plus pour iPad Pro 11 (1è/2è/3è génération) - porte stylet Pencil - noir et face arrière transparente</t>
  </si>
  <si>
    <t>ST-222-328LZ-01</t>
  </si>
  <si>
    <t>STM étui Dux Plus pour iPad Pro 12.9 5è génération - porte stylet Pencil - noir et face arrière transparente</t>
  </si>
  <si>
    <t>ST-111-265P-01</t>
  </si>
  <si>
    <t>STM sac à dos gamechange pack pour MacBook Pro 16" - noir</t>
  </si>
  <si>
    <t>ST-117-268M-01</t>
  </si>
  <si>
    <t>STM sacoche gamechange brief  pour MacBook Pro 13" - Noir</t>
  </si>
  <si>
    <t>ST-117-268P-01</t>
  </si>
  <si>
    <t>STM sacoche gamechange brief pour MacBook Pro 15/16" - Noir</t>
  </si>
  <si>
    <t>KBMAC</t>
  </si>
  <si>
    <t>T’nB Clavier Mac sans fil BlueTooth (batterie intégrée)</t>
  </si>
  <si>
    <t>TNB</t>
  </si>
  <si>
    <t>AMU30EUZ</t>
  </si>
  <si>
    <t>Targus souris optique USB</t>
  </si>
  <si>
    <t>TARGUS</t>
  </si>
  <si>
    <t>TEBP313</t>
  </si>
  <si>
    <t>Thule EnRoute BackPack 13" 14L sac à dos pour MacBook Air ou MacBook Pro 13,3"</t>
  </si>
  <si>
    <t>TCSP313</t>
  </si>
  <si>
    <t>Thule Crossover Sling Pack noir (sac à bandoulière pour MacBook Pro 13" et iPad)</t>
  </si>
  <si>
    <t>UA-121616114040</t>
  </si>
  <si>
    <t>UAG coque folio Metropolis pour iPad mini 5/4- noire - porte stylet Pencil</t>
  </si>
  <si>
    <t>UAG</t>
  </si>
  <si>
    <t>UA-121916114040</t>
  </si>
  <si>
    <t>UAG coque folio Metropolis pour iPad 10,2" - noire</t>
  </si>
  <si>
    <t>UA-121916119393</t>
  </si>
  <si>
    <t>UAG coque folio Metropolis pour iPad 10,2" - rouge</t>
  </si>
  <si>
    <t>UA-12191IB14040</t>
  </si>
  <si>
    <t>UAG Etui folio SCOUT iPad 10.2 Noir - polybag</t>
  </si>
  <si>
    <t>UA-122996114040</t>
  </si>
  <si>
    <t>UAG coque folio Metropolis pour iPad Pro 11" (2018 &amp; 2020) - noir - porte stylet Pencil</t>
  </si>
  <si>
    <t>UA-122076114040</t>
  </si>
  <si>
    <t>UA-122996119393</t>
  </si>
  <si>
    <t>UAG coque folio Metropolis pour iPad Pro 11" (2018 &amp; 2020) - rouge  - porte stylet Pencil</t>
  </si>
  <si>
    <t>UA-122946114040</t>
  </si>
  <si>
    <t>UAG coque folio Metropolis pour iPad Pro 12,9" 2021 (5e gén.) - noir - porte stylet Pencil</t>
  </si>
  <si>
    <t>UA-122946119393</t>
  </si>
  <si>
    <t>UAG coque folio Metropolis pour iPad Pro 12,9" (3e et 4e gén.) - rouge  - porte stylet Pencil</t>
  </si>
  <si>
    <t>TCM15UF</t>
  </si>
  <si>
    <t>Urban Factory station d'accueil mobile USB-C (4K édition) gris sidéral - 1 HDMI 4K - 1 VGA - 1 GigaBit Eth - 1 USB-C pass through 87W - 3 ports USB 3.0 - 1 lecteurs MSD - 1 sortie audio</t>
  </si>
  <si>
    <t>TCM16UF</t>
  </si>
  <si>
    <t>Urban Factory station d'accueil mobile USB-C - Sortie USB-C 100W avec distribution de courant, HDMI 4K, vidéo VGA, 3x USB 3.0, Port LAN Gigabit Ethernet, port Jack, port SD et MSD</t>
  </si>
  <si>
    <t>WHD20UF</t>
  </si>
  <si>
    <t>Urban Factory WEBEE - Webcam FULL HD 1080p, autofocus, compatible MAC</t>
  </si>
  <si>
    <t>BBK01UF</t>
  </si>
  <si>
    <t>Urban Factory Onlee - clavier sans fil Bluetooth- AZERTY - noir</t>
  </si>
  <si>
    <t>XT-XB300</t>
  </si>
  <si>
    <t>Xtorm Power Bank Hubble 6.000 (batterie externe 6 000 mAh)</t>
  </si>
  <si>
    <t>XTORM</t>
  </si>
  <si>
    <t>XT-FS401</t>
  </si>
  <si>
    <t>Xtorm Power Bank Fuel 20W - 10 000 mAh (batterie externe 10 000 mAh  - sorties 1x USB-C PD 20W + 2x USB 3.0 , entrée USB-C PD 20W)</t>
  </si>
  <si>
    <t>XT-FS402</t>
  </si>
  <si>
    <t xml:space="preserve">Xtorm Power Bank 20.000 USB-C PD 20W (batterie externe 20 000 mAh  - sorties 1x USB-C PD 20W + 2x USB Quick Charge 3.0 , entrée USB-C PD 20W) </t>
  </si>
  <si>
    <t>Xtorm Power Bank Fuel 20W - 20 000 mAh (batterie externe 20 000 mAh  - sorties 1x USB-C PD 20W + 2x USB 3.0 , entrée USB-C PD 20W)</t>
  </si>
  <si>
    <t>Xtorm Power Bank Hubble 6.000 (batterie externe 6 000 mAh - sorties 1x USB-C 15W (5V/2A), 1x USB 12W (5V/2,4A) , entrée USB-C 15W (5V/3A)- 184 g)</t>
  </si>
  <si>
    <t>XT-XB302</t>
  </si>
  <si>
    <t>Xtorm Power Bank Rover 20.000 USB-C PD 45W (batterie externe 20 000 mAH - câbles recharges USB amovible - 1x USB-C PD 45W, 1x USB-C 15W (5V/3A), 1x USB Quick Charge 3.0 18W - 415 g)</t>
  </si>
  <si>
    <t>XT-AL490</t>
  </si>
  <si>
    <t>Xtorm Power Bank Pro 41.600 (batterie externe 41 600 mAH - adaptateur AC - 1 port USB-C + 2 ports USB + 2 prises 220V - 1,4 kg)</t>
  </si>
  <si>
    <t>XT-XB303</t>
  </si>
  <si>
    <t>Xtorm Power Bank Voyager 26.000 USB-C PD 60W (batterie externe 26 000 mAH - câbles recharges USB amovible - 1x USB-C PD 60W, 1x USB-C 15W (5V/3A), 2x USB Quick Charge 3.0 18W - 520 g)</t>
  </si>
  <si>
    <t>ST-UCATCM</t>
  </si>
  <si>
    <t>Satechi – Adaptateur USB-C vers USB-A 3.0</t>
  </si>
  <si>
    <t>IM4ZF2-BBF</t>
  </si>
  <si>
    <t>ZAGG Slim Book clavier Bluetooth avec coque iPad Mini 5</t>
  </si>
  <si>
    <t>ZAGG</t>
  </si>
  <si>
    <t>ZAGG Lightning Keyboard clavier AZERTY - Noir</t>
  </si>
  <si>
    <t>CPCF-C32-iPD05-200</t>
  </si>
  <si>
    <t>Arhtim - Gamme Kallysta - Chariot Apollo 32 (chariot de transport, charge et synchronisation pour 32 iPad (7,9'', 9,7', 10,2'' ou 10,5'') - Nécéssite le kit câble KC-C32</t>
  </si>
  <si>
    <t>ARHTIM</t>
  </si>
  <si>
    <t>KC-C32</t>
  </si>
  <si>
    <t>Arhtim - Gamme Kallysta - Kit de 32 câbles Lightning Apple MFI - option obligatoire depuis les iPad 10.2'' (8ème génération)</t>
  </si>
  <si>
    <t>KL-C32</t>
  </si>
  <si>
    <t>Arhtim - Gamme Kallysta - Option Kit LED (32 témoins de charge en façade)</t>
  </si>
  <si>
    <t>KN-C32</t>
  </si>
  <si>
    <t>Arhtim - Gamme Kallysta - Option Kit de numérotation des emplacements iPad (1 à 32)</t>
  </si>
  <si>
    <t>KM-CH</t>
  </si>
  <si>
    <t>Arhtim - Gamme Kallysta - Option kit de marquage magnétique pour tous les chariots Apollo - Kit Marquage Magnétique (4 bandes latérales 1 couleur, petits et grands côtés + 2 rectangles 2 couleurs Face avant et arrière)</t>
  </si>
  <si>
    <t>IA57</t>
  </si>
  <si>
    <t>SRV-MES-1</t>
  </si>
  <si>
    <t>Arhtim - Gamme Kallysta - Option mise en service sur site apollo 16 &amp; 32- (Déballage Chariot, iPad, housse, installation des options sauf écran de protection, Installation des iPad client , Mise en route), Frais de déplacement inclus</t>
  </si>
  <si>
    <t>IA58</t>
  </si>
  <si>
    <t>SRV-MES-32</t>
  </si>
  <si>
    <t>Arhtim - Gamme Kallysta - Option Installation écran de protection iPad sur site - (Déballage Ecran de protection, Mise en place sur les iPad) - Nécessite obligatoirement l'option  mise en service sur site (SRV-MES-1)</t>
  </si>
  <si>
    <t>30200000-36</t>
  </si>
  <si>
    <t>IA59</t>
  </si>
  <si>
    <t>KSECU-CH</t>
  </si>
  <si>
    <t>Arhtim - Gamme Kallysta - Option kit de sécurisation murale (pour tous les chariots Apollo et NoteFlex)</t>
  </si>
  <si>
    <t>30200000-37</t>
  </si>
  <si>
    <t>IA60</t>
  </si>
  <si>
    <t>KAPLA-CH01</t>
  </si>
  <si>
    <t>Arhtim - Gamme Kallysta - Option Starter Kit - Kit de pilotage de l’alimentation du chariot à distance</t>
  </si>
  <si>
    <t>30200000-38</t>
  </si>
  <si>
    <t>IA61</t>
  </si>
  <si>
    <t>KAPLA-CH02</t>
  </si>
  <si>
    <t>Arhtim - Gamme Kallysta - Option Extension - Boitier supplémentaire pour le Kit de pilotage de l’alimentation du chariot à distance</t>
  </si>
  <si>
    <t>30200000-39</t>
  </si>
  <si>
    <t>IA62</t>
  </si>
  <si>
    <t>CPCF-C48-iPD05-200</t>
  </si>
  <si>
    <t>Arhtim - Gamme Kallysta - Chariot Apollo 48 (chariot de transport, charge et synchronisation pour 48 iPad (7,9'' ,  9,7' , 10,2'' ou 10,5'') - Nécéssite le kit câble KC-C48</t>
  </si>
  <si>
    <t>30200000-40</t>
  </si>
  <si>
    <t>IA63</t>
  </si>
  <si>
    <t>KC-C48</t>
  </si>
  <si>
    <t>Arhtim - Gamme Kallysta - Kit de 48 câbles Lightning Apple MFI - option obligatoire depuis les iPad 10.2'' (8ème génération)</t>
  </si>
  <si>
    <t>30200000-41</t>
  </si>
  <si>
    <t>IA64</t>
  </si>
  <si>
    <t>KL-C48</t>
  </si>
  <si>
    <t>Arhtim - Gamme Kallysta - Option Kit LED (48 témoins de charge en façade)</t>
  </si>
  <si>
    <t>30200000-42</t>
  </si>
  <si>
    <t>IA65</t>
  </si>
  <si>
    <t>KN-C48</t>
  </si>
  <si>
    <t>Arhtim - Gamme Kallysta - Option Kit de numérotation des emplacements iPad (1 à 48)</t>
  </si>
  <si>
    <t>30200000-43</t>
  </si>
  <si>
    <t>IA66</t>
  </si>
  <si>
    <t>30200000-44</t>
  </si>
  <si>
    <t>IA67</t>
  </si>
  <si>
    <t>SRV-MES-2</t>
  </si>
  <si>
    <t>Arhtim - Gamme Kallysta - Option mise en service sur site Apollo 48 &amp; 64- (Déballage Chariot, iPad, housse, installation des options sauf écran de protection, Installation des iPad client , Mise en route), Frais de déplacement inclus</t>
  </si>
  <si>
    <t>30200000-45</t>
  </si>
  <si>
    <t>IA68</t>
  </si>
  <si>
    <t>SRV-MES-48</t>
  </si>
  <si>
    <t>Arhtim - Gamme Kallysta - Option Installation écran de protection iPad sur site - (Déballage Ecran de protection, Mise en place sur les iPad) - Nécessite obligatoirement l'option  mise en service sur site (SRV-MES-2)</t>
  </si>
  <si>
    <t>30200000-46</t>
  </si>
  <si>
    <t>IA69</t>
  </si>
  <si>
    <t>30200000-47</t>
  </si>
  <si>
    <t>IA70</t>
  </si>
  <si>
    <t>30200000-48</t>
  </si>
  <si>
    <t>IA71</t>
  </si>
  <si>
    <t>30200000-49</t>
  </si>
  <si>
    <t>IA72</t>
  </si>
  <si>
    <t>CMCF-C64-iPD05-200</t>
  </si>
  <si>
    <t>Arhtim - Gamme Kallysta - Chariot Apollo 64 (chariot de transport, charge et synchronisation pour 64 iPad (7,9'' ,  9,7' , 10,2'' ou 10,5'') - Nécéssite le kit câble KC-C64</t>
  </si>
  <si>
    <t>30200000-50</t>
  </si>
  <si>
    <t>IA73</t>
  </si>
  <si>
    <t>KC-C64</t>
  </si>
  <si>
    <t>Arhtim - Gamme Kallysta - Kit de 64 câbles Lightning Apple MFI - option obligatoire depuis les iPad 10.2'' (8ème génération)</t>
  </si>
  <si>
    <t>30200000-51</t>
  </si>
  <si>
    <t>IA74</t>
  </si>
  <si>
    <t>KL-C64</t>
  </si>
  <si>
    <t>Arhtim - Gamme Kallysta - Option Kit LED (64 témoins de charge en façade)</t>
  </si>
  <si>
    <t>30200000-52</t>
  </si>
  <si>
    <t>IA75</t>
  </si>
  <si>
    <t>KN-C64</t>
  </si>
  <si>
    <t>Arhtim - Gamme Kallysta - Option Kit de numérotation des emplacements iPad (1 à 64)</t>
  </si>
  <si>
    <t>30200000-53</t>
  </si>
  <si>
    <t>IA76</t>
  </si>
  <si>
    <t>30200000-54</t>
  </si>
  <si>
    <t>IA77</t>
  </si>
  <si>
    <t>30200000-55</t>
  </si>
  <si>
    <t>IA78</t>
  </si>
  <si>
    <t>SRV-MES-64</t>
  </si>
  <si>
    <t>30200000-56</t>
  </si>
  <si>
    <t>IA79</t>
  </si>
  <si>
    <t>30200000-57</t>
  </si>
  <si>
    <t>IA80</t>
  </si>
  <si>
    <t>30200000-58</t>
  </si>
  <si>
    <t>IA81</t>
  </si>
  <si>
    <t>30200000-59</t>
  </si>
  <si>
    <t>IA82</t>
  </si>
  <si>
    <t>CGCF-C90-iPD05-200</t>
  </si>
  <si>
    <t>Arhtim - Gamme Kallysta - Chariot Apollo 90 (chariot de transport, charge et synchronisation pour 90 iPad (7,9'' ,  9,7' , 10,2'' ou 10,5'') - Nécéssite le kit câble KC-C90</t>
  </si>
  <si>
    <t>30200000-60</t>
  </si>
  <si>
    <t>IA83</t>
  </si>
  <si>
    <t>KC-C90</t>
  </si>
  <si>
    <t>Arhtim - Gamme Kallysta - Kit de 90 câbles Lightning Apple MFI - option obligatoire depuis les iPad 10.2'' (8ème génération)</t>
  </si>
  <si>
    <t>30200000-61</t>
  </si>
  <si>
    <t>IA84</t>
  </si>
  <si>
    <t>KL-C90</t>
  </si>
  <si>
    <t>Arhtim - Gamme Kallysta - Option Kit LED (90 témoins de charge en façade)</t>
  </si>
  <si>
    <t>30200000-62</t>
  </si>
  <si>
    <t>IA85</t>
  </si>
  <si>
    <t>KN-C90</t>
  </si>
  <si>
    <t>Arhtim - Gamme Kallysta - Option Kit de numérotation des emplacements iPad (1 à 90)</t>
  </si>
  <si>
    <t>30200000-63</t>
  </si>
  <si>
    <t>IA86</t>
  </si>
  <si>
    <t>30200000-64</t>
  </si>
  <si>
    <t>IA87</t>
  </si>
  <si>
    <t>SRV-MES-3</t>
  </si>
  <si>
    <t>Arhtim - Gamme Kallysta - Option mise en service sur site Apollo 90 &amp; 120 (Déballage Chariot, iPad, housse, installation des options sauf écran de protection, Installation des iPad client , Mise en route), Frais de déplacement inclus</t>
  </si>
  <si>
    <t>30200000-65</t>
  </si>
  <si>
    <t>IA88</t>
  </si>
  <si>
    <t>SRV-MES-90</t>
  </si>
  <si>
    <t>Arhtim - Gamme Kallysta - Option Installation écran de protection iPad sur site - (Déballage Ecran de protection, Mise en place sur les iPad) - Nécessite obligatoirement l'option  mise en service sur site (SRV-MES-3)</t>
  </si>
  <si>
    <t>30200000-66</t>
  </si>
  <si>
    <t>IA89</t>
  </si>
  <si>
    <t>30200000-67</t>
  </si>
  <si>
    <t>IA90</t>
  </si>
  <si>
    <t>KPBSUP-C90-120</t>
  </si>
  <si>
    <t>Arhtim - Gamme Kallysta - Option Poignées supplémentaires - Kit poignées basses pour accompagner des passages surélevés - Nécessite ref SRV-MES-3</t>
  </si>
  <si>
    <t>30200000-68</t>
  </si>
  <si>
    <t>IA91</t>
  </si>
  <si>
    <t>30200000-69</t>
  </si>
  <si>
    <t>IA92</t>
  </si>
  <si>
    <t>30200000-70</t>
  </si>
  <si>
    <t>IA93</t>
  </si>
  <si>
    <t>CGCF-C120-iPD05-200</t>
  </si>
  <si>
    <t>Arhtim - Gamme Kallysta - Chariot Apollo 120 (chariot de transport, charge et synchronisation pour 120 iPad (7,9'' ,  9,7' , 10,2'' ou 10,5'') - Nécéssite le kit câble KC-C120</t>
  </si>
  <si>
    <t>30200000-71</t>
  </si>
  <si>
    <t>IA94</t>
  </si>
  <si>
    <t>KC-C120</t>
  </si>
  <si>
    <t>Arhtim - Gamme Kallysta - Kit de 120 câbles Lightning Apple MFI - option obligatoire depuis les iPad 10.2'' (8ème génération)</t>
  </si>
  <si>
    <t>30200000-72</t>
  </si>
  <si>
    <t>IA95</t>
  </si>
  <si>
    <t>KL-C120</t>
  </si>
  <si>
    <t>Arhtim - Gamme Kallysta - Option Kit LED (120 témoins de charge en façade)</t>
  </si>
  <si>
    <t>30200000-73</t>
  </si>
  <si>
    <t>IA96</t>
  </si>
  <si>
    <t>KN-C120</t>
  </si>
  <si>
    <t>Arhtim - Gamme Kallysta - Option Kit de numérotation des emplacements iPad (1 à 120)</t>
  </si>
  <si>
    <t>30200000-74</t>
  </si>
  <si>
    <t>IA97</t>
  </si>
  <si>
    <t>30200000-75</t>
  </si>
  <si>
    <t>IA98</t>
  </si>
  <si>
    <t>30200000-76</t>
  </si>
  <si>
    <t>IA99</t>
  </si>
  <si>
    <t>SRV-MES-120</t>
  </si>
  <si>
    <t>30200000-77</t>
  </si>
  <si>
    <t>IA100</t>
  </si>
  <si>
    <t>30200000-78</t>
  </si>
  <si>
    <t>IA101</t>
  </si>
  <si>
    <t>30200000-79</t>
  </si>
  <si>
    <t>IA102</t>
  </si>
  <si>
    <t>30200000-80</t>
  </si>
  <si>
    <t>IA103</t>
  </si>
  <si>
    <t>30200000-81</t>
  </si>
  <si>
    <t>IA104</t>
  </si>
  <si>
    <t>MGCF-D18-V-MB13-iPD08</t>
  </si>
  <si>
    <t>Arhtim - Gamme Kallysta - Malle Docking - Magellan KSync D18 docking 18 iPad 10.2" 8ème Génération sans housse  (emplacement de rangement de 1 portable 13'', 1 VideoProjecteur, 1 borne WiFi + cables , charge et synchronisation malle fermée)</t>
  </si>
  <si>
    <t>30200000-82</t>
  </si>
  <si>
    <t>IA105</t>
  </si>
  <si>
    <t>SRV-EXTGA-M-3</t>
  </si>
  <si>
    <t>Arhtim - Gamme Kallysta - Option extension de garantie Malle Magellan de 1 à 3 ans (retour atelier)</t>
  </si>
  <si>
    <t>30200000-83</t>
  </si>
  <si>
    <t>IA106</t>
  </si>
  <si>
    <t>SRV-EXTGA-M-5</t>
  </si>
  <si>
    <t>Arhtim - Gamme Kallysta - Option extension de garantie Malle Magellan de 3 à 5 ans (retour atelier)</t>
  </si>
  <si>
    <t>30200000-84</t>
  </si>
  <si>
    <t>IA107</t>
  </si>
  <si>
    <t>PiPP-01</t>
  </si>
  <si>
    <t>Arhtim - Gamme Kallysta - Option préparation de la malle en atelier (Installation et configuration malle, WiFi, tablettes)</t>
  </si>
  <si>
    <t>30200000-85</t>
  </si>
  <si>
    <t>IA108</t>
  </si>
  <si>
    <t>FKSYNC-01</t>
  </si>
  <si>
    <t>Arhtim - Gamme Kallysta - Option formation malle KSync iPad (usages, création de contenu) 1 jour (frais de déplacement compris)</t>
  </si>
  <si>
    <t>30200000-86</t>
  </si>
  <si>
    <t>IA109</t>
  </si>
  <si>
    <t>FKSYNC-02</t>
  </si>
  <si>
    <t>Arhtim - Gamme Kallysta - Option formation malle KSync iPad (usages, création de contenu) 2 jour (frais de déplacement compris)</t>
  </si>
  <si>
    <t>30200000-87</t>
  </si>
  <si>
    <t>IA110</t>
  </si>
  <si>
    <t>FKMESST-01</t>
  </si>
  <si>
    <t>Arhtim - Gamme Kallysta - Option mise en route et prise en main de 2h sur site - Nécéssite la préparation option PiPP01</t>
  </si>
  <si>
    <t>30200000-88</t>
  </si>
  <si>
    <t>IA111</t>
  </si>
  <si>
    <t>KS-604D</t>
  </si>
  <si>
    <t>Arhtim - Gamme Kallysta - Option kit de sécurisation - Cadenas à code 4 chiffres (1 x Cadenas MasterLock 604D)</t>
  </si>
  <si>
    <t>30200000-89</t>
  </si>
  <si>
    <t>IA112</t>
  </si>
  <si>
    <t>MGCF-D24-MB13-iPD08</t>
  </si>
  <si>
    <t>Arhtim - Gamme Kallysta - Malle Docking - Magellan KSync D24 docking 24 iPad 10.2" 8ème Génération sans housse  (emplacement de rangement de 1 portable 13'', 1 borne WiFi + cables , charge et synchronisation malle fermée)</t>
  </si>
  <si>
    <t>30200000-90</t>
  </si>
  <si>
    <t>IA113</t>
  </si>
  <si>
    <t>30200000-91</t>
  </si>
  <si>
    <t>IA114</t>
  </si>
  <si>
    <t>30200000-92</t>
  </si>
  <si>
    <t>IA115</t>
  </si>
  <si>
    <t>30200000-93</t>
  </si>
  <si>
    <t>IA116</t>
  </si>
  <si>
    <t>30200000-94</t>
  </si>
  <si>
    <t>IA117</t>
  </si>
  <si>
    <t>30200000-95</t>
  </si>
  <si>
    <t>IA118</t>
  </si>
  <si>
    <t>30200000-96</t>
  </si>
  <si>
    <t>IA119</t>
  </si>
  <si>
    <t>30200000-97</t>
  </si>
  <si>
    <t>IA120</t>
  </si>
  <si>
    <t>MGCF-D36-MB13-iPD08</t>
  </si>
  <si>
    <t>Arhtim - Gamme Kallysta - Malle Docking - Magellan KSync D36 docking 36 iPad 10.2" 8ème Génération sans housse  (charge et synchronisation malle fermée)</t>
  </si>
  <si>
    <t>30200000-98</t>
  </si>
  <si>
    <t>IA121</t>
  </si>
  <si>
    <t>30200000-99</t>
  </si>
  <si>
    <t>IA122</t>
  </si>
  <si>
    <t>30200000-100</t>
  </si>
  <si>
    <t>IA123</t>
  </si>
  <si>
    <t>30200000-101</t>
  </si>
  <si>
    <t>IA124</t>
  </si>
  <si>
    <t>30200000-102</t>
  </si>
  <si>
    <t>IA125</t>
  </si>
  <si>
    <t>30200000-103</t>
  </si>
  <si>
    <t>IA126</t>
  </si>
  <si>
    <t>30200000-104</t>
  </si>
  <si>
    <t>IA127</t>
  </si>
  <si>
    <t>30200000-105</t>
  </si>
  <si>
    <t>IA128</t>
  </si>
  <si>
    <t>MGCF-C-MB13-196</t>
  </si>
  <si>
    <t>Arhtim - Gamme Kallysta - Malle Magellan Filaire Grand format pour maximum 32 iPad + housse - épaisseur 19,6mm  (malle de transport pour 16 iPad 7,9'' ,  9,7' , 10,2'' ou 10,5'' - emplacement de rangement pour 1 portable 13'')</t>
  </si>
  <si>
    <t>30200000-106</t>
  </si>
  <si>
    <t>IA129</t>
  </si>
  <si>
    <t>KT-MGCF-C7P</t>
  </si>
  <si>
    <t>Arhtim - Gamme Kallysta - Option kit de cales pour iPad mini</t>
  </si>
  <si>
    <t>30200000-107</t>
  </si>
  <si>
    <t>IA130</t>
  </si>
  <si>
    <t>KCS-MGCF</t>
  </si>
  <si>
    <t>Arhtim - Gamme Kallysta - Option kit de charge &amp; synchronisation des iPad - Charge fermée (Alimentation, système de ventilation actif, interrupteur, carte de charge &amp; synchronisation, connecteurs USB) - Nécéssite obligatoirement un kit câble</t>
  </si>
  <si>
    <t>30200000-108</t>
  </si>
  <si>
    <t>IA131</t>
  </si>
  <si>
    <t>KCL-C16</t>
  </si>
  <si>
    <t>Arhtim - Gamme Kallysta - Option kit de 16 câbles Apple Lightning MFI</t>
  </si>
  <si>
    <t>30200000-109</t>
  </si>
  <si>
    <t>IA132</t>
  </si>
  <si>
    <t>KCL-C24</t>
  </si>
  <si>
    <t>Arhtim - Gamme Kallysta - Option kit de 24 câbles Apple Lightning MFI</t>
  </si>
  <si>
    <t>KCL-C28</t>
  </si>
  <si>
    <t>Arhtim - Gamme Kallysta - Option kit de 28 câbles Apple Lightning MFI</t>
  </si>
  <si>
    <t>30200000-110</t>
  </si>
  <si>
    <t>IA133</t>
  </si>
  <si>
    <t>KCL-C32</t>
  </si>
  <si>
    <t>Arhtim - Gamme Kallysta - Option kit de 32 câbles Apple Lightning MFI</t>
  </si>
  <si>
    <t>30200000-111</t>
  </si>
  <si>
    <t>IA134</t>
  </si>
  <si>
    <t>KWUT-802.11ac-MGCF</t>
  </si>
  <si>
    <t>Arhtim - Gamme Kallysta - Option kit WiFi Ultra-Thin qualité standard pour Malle MGCF (Borne WiFi Ultra-Thin 802.11ac, Alimentation, connecteur Ethernet)</t>
  </si>
  <si>
    <t>30200000-112</t>
  </si>
  <si>
    <t>IA135</t>
  </si>
  <si>
    <t>KWHP-Ruckus-MGCF</t>
  </si>
  <si>
    <t>Arhtim - Gamme Kallysta - Option précâblage WiFi Haute performance - Pré-câblage WiFi Ruckus R510 (Alimentation, interrupteur, connecteur Ethernet) - Borne non fournie</t>
  </si>
  <si>
    <t>30200000-113</t>
  </si>
  <si>
    <t>IA136</t>
  </si>
  <si>
    <t>30200000-114</t>
  </si>
  <si>
    <t>IA137</t>
  </si>
  <si>
    <t>30200000-115</t>
  </si>
  <si>
    <t>IA138</t>
  </si>
  <si>
    <t>30200000-116</t>
  </si>
  <si>
    <t>IA139</t>
  </si>
  <si>
    <t>30200000-117</t>
  </si>
  <si>
    <t>IA140</t>
  </si>
  <si>
    <t>30200000-118</t>
  </si>
  <si>
    <t>IA141</t>
  </si>
  <si>
    <t>30200000-119</t>
  </si>
  <si>
    <t>IA142</t>
  </si>
  <si>
    <t>30200000-120</t>
  </si>
  <si>
    <t>IA143</t>
  </si>
  <si>
    <t>NCF-B16-SC-250</t>
  </si>
  <si>
    <t>Arhtim - Gamme NoteFlex -  Chariot NoteFlex 16 (chariot de transport, charge pour 16 iPad (7,9'' ,  9,7' , 10,2'' ou 10,5'') - La charge utilise les adaptateurs secteur et les câbles livrés en standard avec les iPad - Montage à effectuer par le client</t>
  </si>
  <si>
    <t>30200000-121</t>
  </si>
  <si>
    <t>IA144</t>
  </si>
  <si>
    <t>SRV-MES-4</t>
  </si>
  <si>
    <t>Arhtim - Gamme NoteFlex -  Option mise en service NoteFlex 16 sur site - (Déballage Chariot, iPad, câbles, adaptateurs, housse, câblage, installation des options sauf écran de protection, Installation des iPad client , Mise en route), Frais de déplacement inclus</t>
  </si>
  <si>
    <t>30200000-122</t>
  </si>
  <si>
    <t>IA145</t>
  </si>
  <si>
    <t>SRV-MES-416</t>
  </si>
  <si>
    <t>Arhtim - Gamme NoteFlex -  Option Installation écran de protection iPad NoteFlex 16 sur site - (Déballage Ecran de protection, Mise en place sur les iPad) - Nécessite obligatoirement l'option  mise en service sur site (SRV-MES-4)</t>
  </si>
  <si>
    <t>30200000-123</t>
  </si>
  <si>
    <t>IA146</t>
  </si>
  <si>
    <t>Arhtim - Gamme NoteFlex -  Option kit de sécurisation murale (pour tous les chariots Apollo)</t>
  </si>
  <si>
    <t>30200000-124</t>
  </si>
  <si>
    <t>IA147</t>
  </si>
  <si>
    <t>NCF-16-SYNC</t>
  </si>
  <si>
    <t>Arhtim - Gamme NoteFlex -  Option kit Synchronisation NoteFlex 16 (1 Boitier KSync MA16S + Kit 16 câbles Ch&amp;Sync + Connecteur USB + Brassage Câbles)</t>
  </si>
  <si>
    <t>30200000-125</t>
  </si>
  <si>
    <t>IA148</t>
  </si>
  <si>
    <t>NCF-B32-SC-250</t>
  </si>
  <si>
    <t>Arhtim - Gamme NoteFlex -  Chariot NoteFlex 32 (chariot de transport, charge pour 32 iPad (7,9'' ,  9,7' , 10,2'' ou 10,5'') - La charge utilise les adaptateurs secteur et les câbles livrés en standard avec les iPad - Montage à effectuer par le client</t>
  </si>
  <si>
    <t>30200000-126</t>
  </si>
  <si>
    <t>IA149</t>
  </si>
  <si>
    <t>SRV-MES-5</t>
  </si>
  <si>
    <t>Arhtim - Gamme NoteFlex -  Option mise en service NoteFlex 32 sur site - (Déballage Chariot, iPad, câbles, adaptateurs, housse, câblage, installation des options sauf écran de protection, Installation des iPad client , Mise en route), Frais de déplacement inclus</t>
  </si>
  <si>
    <t>30200000-127</t>
  </si>
  <si>
    <t>IA150</t>
  </si>
  <si>
    <t>SRV-MES-532</t>
  </si>
  <si>
    <t>Arhtim - Gamme NoteFlex -  Option Installation écran de protection iPad NoteFlex 32 sur site - (Déballage Ecran de protection, Mise en place sur les iPad) - Nécessite obligatoirement l'option  mise en service sur site (SRV-MES-5)</t>
  </si>
  <si>
    <t>30200000-128</t>
  </si>
  <si>
    <t>IA151</t>
  </si>
  <si>
    <t>30200000-129</t>
  </si>
  <si>
    <t>IA152</t>
  </si>
  <si>
    <t>NCF-32-SYNC</t>
  </si>
  <si>
    <t>Arhtim - Gamme NoteFlex -  Option kit Synchronisation NoteFlex 32(2 Boitiers KSync MA16S + Kit 32 câbles Ch&amp;Sync + Connecteur USB + Brassage Câbles)</t>
  </si>
  <si>
    <t>30200000-130</t>
  </si>
  <si>
    <t>IA153</t>
  </si>
  <si>
    <t>NO3-NL-12M12D-SC</t>
  </si>
  <si>
    <t>Arhtim - Gamme NoteLocker - Casiers  de rangement individuels pour 12 appareils - Verrouillage par Cadenas (non fourni) - la charge se fait en utilisant l'adaptateur secteur et le câble fourni avec le iPad</t>
  </si>
  <si>
    <t>30200000-131</t>
  </si>
  <si>
    <t>IA154</t>
  </si>
  <si>
    <t>KSNL12-604D</t>
  </si>
  <si>
    <t>Arhtim - Gamme NoteLocker - Option kit de sécurisation par cadenas - 12 Cadenas à code 4 chiffres (12 x Cadenas MasterLock 604D)</t>
  </si>
  <si>
    <t>30200000-132</t>
  </si>
  <si>
    <t>IA155</t>
  </si>
  <si>
    <t>KSNL12-12SE-CLMC</t>
  </si>
  <si>
    <t>Arhtim - Gamme NoteLocker - Option Kit de  Fermeture des casiers par serrure électronique à code par clavier avec clé master de deverrouillge</t>
  </si>
  <si>
    <t>30200000-133</t>
  </si>
  <si>
    <t>IA156</t>
  </si>
  <si>
    <t>SRV-MES-6</t>
  </si>
  <si>
    <t>Arhtim - Gamme NoteLocker - Option mise en service NoteLocker 12 sur site - (Déballage NoteLocker, installation et fixation murale, Paramètrage des serrures electronique et prise en main), Frais de déplacement inclus - nécessite une arrivée électrique près des casiers</t>
  </si>
  <si>
    <t>30200000-134</t>
  </si>
  <si>
    <t>IA157</t>
  </si>
  <si>
    <t>CITUNES-25</t>
  </si>
  <si>
    <t>Arhtim - Carte iTunes 25€</t>
  </si>
  <si>
    <t>30200000-135</t>
  </si>
  <si>
    <t>IA158</t>
  </si>
  <si>
    <t>CITUNES-50</t>
  </si>
  <si>
    <t>Arhtim - Carte iTunes 50€</t>
  </si>
  <si>
    <t>30200000-136</t>
  </si>
  <si>
    <t>IA159</t>
  </si>
  <si>
    <t>LNC10381</t>
  </si>
  <si>
    <t>LocknCharge Joey 40 v2. - charriot de charge universelle pour 40 iPads et MacBooks avec grands panier et sans câble USB - Lightning et garantie 10 ans inclus</t>
  </si>
  <si>
    <t>LOCK'N'CHARGE</t>
  </si>
  <si>
    <t>30200000-137</t>
  </si>
  <si>
    <t>IA160</t>
  </si>
  <si>
    <t>LNC7121EUUK</t>
  </si>
  <si>
    <t>LocknCharge iQ10 Charging Station - armoire de recharge USB-A (2.4A/port) avec deux paniers pour 10 iPads livré sans câbles USB Lightning et garantie a vie inclus</t>
  </si>
  <si>
    <t>30200000-138</t>
  </si>
  <si>
    <t>IA161</t>
  </si>
  <si>
    <t>LNC7008EUUK</t>
  </si>
  <si>
    <t>LocknCharge IQ16 Sync &amp; Charge box pour 16 iPads et garantie a vie inclus</t>
  </si>
  <si>
    <t>30200000-141</t>
  </si>
  <si>
    <t>IA164</t>
  </si>
  <si>
    <t>LNC10206</t>
  </si>
  <si>
    <t>LocknCharge FUYL Tower 15MK2 armoire connectée 15 casiers charging Lockers - FR - sans licence Cloud vendu séparément et garantie a vie inclus</t>
  </si>
  <si>
    <t>30200000-139</t>
  </si>
  <si>
    <t>IA162</t>
  </si>
  <si>
    <t>LNC10211</t>
  </si>
  <si>
    <t>LocknCharge FUYL Tower 5MK2 armoire connectée 5 casiers charging Lockers - FR - sans licence Cloud vendu séparément et garantie a vie inclus</t>
  </si>
  <si>
    <t>30200000-140</t>
  </si>
  <si>
    <t>IA163</t>
  </si>
  <si>
    <t>LNC10049</t>
  </si>
  <si>
    <t>LocknCharge  CarryOn - Malette de recharge USB-A (2.4A/port) portable pour 5 iPads et garantie a vie inclus</t>
  </si>
  <si>
    <t>30200000-142</t>
  </si>
  <si>
    <t>IA165</t>
  </si>
  <si>
    <t>LNC10346</t>
  </si>
  <si>
    <t>LocknCharge Uvone - Station de desinfection UV-C pour iPads</t>
  </si>
  <si>
    <t>30200000-143</t>
  </si>
  <si>
    <t>IA166</t>
  </si>
  <si>
    <t>LNC10162</t>
  </si>
  <si>
    <t>LocknCharge Putnam 16 - amoire de recharge pour 16 iPads avec indicateurs LED de charge avec câbles USB Lightning inclus et garantie a vie inclus</t>
  </si>
  <si>
    <t>30200000-144</t>
  </si>
  <si>
    <t>IA167</t>
  </si>
  <si>
    <t>LNC10178 </t>
  </si>
  <si>
    <t>LocknCharge Putnam 8 - amoire de recharge pour 8 iPads avec indicateurs LED de charge avec câbles USB Lightning inclus et garantie a vie inclus</t>
  </si>
  <si>
    <t>30200000-145</t>
  </si>
  <si>
    <t>IA168</t>
  </si>
  <si>
    <t>LNC10387</t>
  </si>
  <si>
    <t>LocknCharge Carrier 10 - armoire de charge universelle (prises secteur 240V) pour 10 iPads, MacBooks et autres modeles de tablettes et PC Portables. Deux grands paniers LocknCharge inclus et un rack de stockage en metal pour appareils &lt;17''. Garantie a vie incluse</t>
  </si>
  <si>
    <t>30200000-146</t>
  </si>
  <si>
    <t>IA169</t>
  </si>
  <si>
    <t>LNC10390</t>
  </si>
  <si>
    <t>LocknCharge Carrier 20 - chariot de charge universelle (prises secteur 240V) pour 20 iPads, MacBooks et autres modeles de tablettes et PC Portables. Quatre grands paniers LocknCharge inclus. Rack de stockage en metal en option pour appareils &lt;17''. Garantie a vie incluse</t>
  </si>
  <si>
    <t>30200000-147</t>
  </si>
  <si>
    <t>IA170</t>
  </si>
  <si>
    <t>LNC10375</t>
  </si>
  <si>
    <t>LocknCharge Carrier 30 - chariot de charge universelle (prises secteur 240V) pour 30 iPads, MacBooks et autres modeles de tablettes et PC Portables. Six grands paniers LocknCharge inclus. Rack de stockage en metal en option pour appareils &lt;17''. Garantie a vie incluse</t>
  </si>
  <si>
    <t>30200000-148</t>
  </si>
  <si>
    <t>IA171</t>
  </si>
  <si>
    <t>LNC10393</t>
  </si>
  <si>
    <t>LocknCharge Carrier 40 - chariot de charge universelle (prises secteur 240V) pour 40 iPads, MacBooks et autres modeles de tablettes et PC Portables. Quatre grands paniers LocknCharge inclus. Rack de stockage en metal en option pour appareils &lt;17''. Garantie a vie incluse</t>
  </si>
  <si>
    <t>30200000-149</t>
  </si>
  <si>
    <t>IA172</t>
  </si>
  <si>
    <t>LNC10150</t>
  </si>
  <si>
    <t>Option Carrier 20 - rack de stockage en metal 10 slots pour appareils &lt;17'' (deux par colis)</t>
  </si>
  <si>
    <t>30200000-150</t>
  </si>
  <si>
    <t>IA173</t>
  </si>
  <si>
    <t>LNC10106</t>
  </si>
  <si>
    <t>Option Carrier 30 - rack de stockage en metal 15 slots pour appareils &lt;17'' (deux par colis)</t>
  </si>
  <si>
    <t>30200000-151</t>
  </si>
  <si>
    <t>IA174</t>
  </si>
  <si>
    <t>LNC10108</t>
  </si>
  <si>
    <t>Option Carrier 40 - rack de stockage en metal 20 slots pour appareils &lt;17'' (deux par colis)</t>
  </si>
  <si>
    <t>30200000-152</t>
  </si>
  <si>
    <t>IA175</t>
  </si>
  <si>
    <t>FE_LOCK'NCHARGE</t>
  </si>
  <si>
    <t>Forfait livraison par transporteur pour les chariots de (+ de 30kg) références concernés: LNC10381 + LNC10206 + LNC10211+ LNC10049 + LNC10346 + LNC10162 + LNC10178 + LNC10387 + LNC10390 + LNC10375 + LNC10393 + LNC10150 + LNC10108 + LNC10106</t>
  </si>
  <si>
    <t>LB-LBWD-V2-ONB10EUB</t>
  </si>
  <si>
    <t>LoxBox - Wall 10 Armoire de chargement sécurisé jusqu'à 10 iPads, tablettes ou ordinateurs portables (jusqu'à 16'' en vertical) - noir/orange</t>
  </si>
  <si>
    <t>LOXBOX</t>
  </si>
  <si>
    <t>LBW-V1-ONB10EUB</t>
  </si>
  <si>
    <t>LBC-V2-ONB20EUB</t>
  </si>
  <si>
    <t>LoxBox - Cart 20 Chariot de chargement sécurisé jusqu'à 20 iPads, tablettes ou ordinateurs portables (jusqu'à 16'') - noir/orange</t>
  </si>
  <si>
    <t>LBC-V1-ONB20EUB</t>
  </si>
  <si>
    <t>LBC-V1-ONB30EUB</t>
  </si>
  <si>
    <t>LoxBox - Cart 30 Chariot de chargement sécurisé jusqu'à 30 iPads, tablettes ou ordinateurs portables (jusqu'à 16'') - noir/orange</t>
  </si>
  <si>
    <t>LBC-V1-ONB40EUB</t>
  </si>
  <si>
    <t>LoxBox - Cart 40 Chariot de chargement sécurisé jusqu'à 40 iPads, tablettes ou ordinateurs portables (jusqu'à 16'') - noir/orange</t>
  </si>
  <si>
    <t>RA0247B</t>
  </si>
  <si>
    <t>Naotic valise Trolley naoCase M500 - pour le transport et le rechargement de 16 tablettes ou 9 ordinateurs portables.</t>
  </si>
  <si>
    <t>NAOTIC</t>
  </si>
  <si>
    <t>RG0263A</t>
  </si>
  <si>
    <t>Naotic option temporisation de charge électrique pour naocase M500</t>
  </si>
  <si>
    <t>RG0276A</t>
  </si>
  <si>
    <t>Naotic option interrupteur de coupure Wifi pour naocase M500</t>
  </si>
  <si>
    <t>30200000-153</t>
  </si>
  <si>
    <t>IA176</t>
  </si>
  <si>
    <t>PE9995A</t>
  </si>
  <si>
    <t>Naotic Cadenas à combinaison avec possibilité́ de clef passe – fournis avec un ensemble de 6 clefs passe pour naocase M500</t>
  </si>
  <si>
    <t>30200000-154</t>
  </si>
  <si>
    <t>IA177</t>
  </si>
  <si>
    <t>RA0325A</t>
  </si>
  <si>
    <t>Naotic Armoire compacte TABIBOX WT1 - 10 tablettes ou ordinateurs jusqu'à 14 pouces</t>
  </si>
  <si>
    <t>30200000-155</t>
  </si>
  <si>
    <t>IA178</t>
  </si>
  <si>
    <t>RA0313</t>
  </si>
  <si>
    <t>Naotic kit d'équipement pour la recharge électrique Tabibox WT1 jusqu'à 10 tablettes</t>
  </si>
  <si>
    <t>30200000-156</t>
  </si>
  <si>
    <t>IA179</t>
  </si>
  <si>
    <t>NA0812B</t>
  </si>
  <si>
    <t>Naotic système de séparation intercalaire</t>
  </si>
  <si>
    <t>30200000-157</t>
  </si>
  <si>
    <t>IA180</t>
  </si>
  <si>
    <t>PB0188A</t>
  </si>
  <si>
    <t>Naotic casier mobile TABICASE MT1 de transport et de rechargement pour 10 tablettes - USB-C</t>
  </si>
  <si>
    <t>30200000-158</t>
  </si>
  <si>
    <t>IA181</t>
  </si>
  <si>
    <t>AB0544A</t>
  </si>
  <si>
    <t xml:space="preserve">Naotic soufflet de rangement pour 5 tablettes pour Tabicase M1 </t>
  </si>
  <si>
    <t>30200000-159</t>
  </si>
  <si>
    <t>IA182</t>
  </si>
  <si>
    <t>RA0330A</t>
  </si>
  <si>
    <t>Naotic sac à dos connecté pour le transport et le rechargement Tabicase ST1 pour 10 tablettes USB-C</t>
  </si>
  <si>
    <t>30200000-160</t>
  </si>
  <si>
    <t>IA183</t>
  </si>
  <si>
    <t>PB0187A</t>
  </si>
  <si>
    <t>Naotic Tabicart S2 20 emplacements - chariot mobile avec poignée centrale de transport pouvant accueillir 20 tablettes avec sacoche de transport</t>
  </si>
  <si>
    <t>30200000-161</t>
  </si>
  <si>
    <t>IA184</t>
  </si>
  <si>
    <t>RG0317A</t>
  </si>
  <si>
    <t>Naotic prise RJ45 latérale pour Tabicart S2 fournie avec cordon cat6 5mètres</t>
  </si>
  <si>
    <t>30200000-162</t>
  </si>
  <si>
    <t>IA185</t>
  </si>
  <si>
    <t>PDBIZ-ASUB-S03-1Y</t>
  </si>
  <si>
    <t>Parallels Desktop pour Mac Business Edition - abonnement 1 utilisateur durée 1 an</t>
  </si>
  <si>
    <t>PARALLELS</t>
  </si>
  <si>
    <t>48213000-4</t>
  </si>
  <si>
    <t>IB01</t>
  </si>
  <si>
    <t>PDBIZ-ASUB-S03-2Y</t>
  </si>
  <si>
    <t>Parallels Desktop pour Mac Business Edition - abonnement 1 utilisateur durée 2 ans</t>
  </si>
  <si>
    <t>PDBIZ-ASUB-S03-3Y</t>
  </si>
  <si>
    <t>Parallels Desktop pour Mac Business Edition - abonnement 1 utilisateur durée 3 ans</t>
  </si>
  <si>
    <t>PD16-BX1-1Y-EU</t>
  </si>
  <si>
    <t>Parallels Desktop pour Mac - (version 16) - ensemble boîte (1 an) - 1 utilisateur</t>
  </si>
  <si>
    <t>PDFM-A-ENTSUB-REN-1Y-ML</t>
  </si>
  <si>
    <t>Parallels Desktop for Mac Academic Subs 1Yr Renewal</t>
  </si>
  <si>
    <t>PDFM-A-ENTSUB-REN-2Y-ML</t>
  </si>
  <si>
    <t>Parallels Desktop for Mac Academic Subs 2Yr Renewal</t>
  </si>
  <si>
    <t>PDFM-A-ENTSUB-REN-3Y-ML</t>
  </si>
  <si>
    <t>Parallels Desktop for Mac Academic Subs 3Yr Renewal</t>
  </si>
  <si>
    <t>Jamf forfait JumpStart pour Jamf Pro iOS - Remote 4 h + 4 h en deux sessions (à commander avec ABT-JSIO-INT-4H+4H-W)</t>
  </si>
  <si>
    <t>JAMF</t>
  </si>
  <si>
    <t>72211000-7</t>
  </si>
  <si>
    <t>ABT-JSIO-INT-4H+4H-W</t>
  </si>
  <si>
    <r>
      <t xml:space="preserve">Econocom </t>
    </r>
    <r>
      <rPr>
        <sz val="10"/>
        <rFont val="Calibri (Corps)"/>
      </rPr>
      <t>prestation</t>
    </r>
    <r>
      <rPr>
        <sz val="10"/>
        <rFont val="Calibri"/>
        <family val="2"/>
        <scheme val="minor"/>
      </rPr>
      <t xml:space="preserve"> JumpStart pour Jamf Pro iOS - Remote 4 h + 4 h en deux sessions - 1912001502</t>
    </r>
  </si>
  <si>
    <t>Jamf forfait JumpStart pour Jamf Pro iOS - Remote 4 h ( à commander avec ABT-JSIO-INT-4H-W)</t>
  </si>
  <si>
    <t>ABT-JSIO-INT-4H-W</t>
  </si>
  <si>
    <r>
      <t xml:space="preserve">Econocom </t>
    </r>
    <r>
      <rPr>
        <sz val="10"/>
        <rFont val="Calibri (Corps)"/>
      </rPr>
      <t>prestation</t>
    </r>
    <r>
      <rPr>
        <sz val="10"/>
        <rFont val="Calibri"/>
        <family val="2"/>
        <scheme val="minor"/>
      </rPr>
      <t xml:space="preserve"> JumpStart pour Jamf Pro iOS - Remote 4 h - 1912001200</t>
    </r>
  </si>
  <si>
    <t>Jamf forfait JumpStart pour Jamf Pro macOS - 2 journées sur site ( à commander avec ABT-JSMO-INT-2J)</t>
  </si>
  <si>
    <t>ABT-JSMO-INT-2J</t>
  </si>
  <si>
    <r>
      <t xml:space="preserve">Econocom </t>
    </r>
    <r>
      <rPr>
        <sz val="10"/>
        <rFont val="Calibri (Corps)"/>
      </rPr>
      <t xml:space="preserve">prestation </t>
    </r>
    <r>
      <rPr>
        <sz val="10"/>
        <rFont val="Calibri"/>
        <family val="2"/>
        <scheme val="minor"/>
      </rPr>
      <t>JumpStart pour Jamf Pro macOS - 2 journées sur site - 1912031200</t>
    </r>
  </si>
  <si>
    <t>Jamf forfait JumpStart pour Jamf Pro macOS &amp; iOS - 3 journées sur site ( à commander avec ABT-JSIM-INT-3J)</t>
  </si>
  <si>
    <t>ABT-JSIM-INT-3J</t>
  </si>
  <si>
    <r>
      <rPr>
        <sz val="10"/>
        <rFont val="Calibri (Corps)"/>
      </rPr>
      <t>Econocom</t>
    </r>
    <r>
      <rPr>
        <sz val="10"/>
        <rFont val="Calibri"/>
        <family val="2"/>
        <scheme val="minor"/>
      </rPr>
      <t xml:space="preserve"> prestation </t>
    </r>
    <r>
      <rPr>
        <sz val="10"/>
        <rFont val="Calibri (Corps)"/>
      </rPr>
      <t>JumpStart pour Jamf Pro macOS &amp; iOS - 3 journées sur site - 1912051200</t>
    </r>
  </si>
  <si>
    <t>Jamf forfait Jumpstart pour Jamf Pro macOS Remote 2+2+4h ( à commander avec ABT-JSMO-INT-2H+2H+4H-W)</t>
  </si>
  <si>
    <t>ABT-JSMO-INT-2H+2H+4H-W</t>
  </si>
  <si>
    <r>
      <t xml:space="preserve">Econocom </t>
    </r>
    <r>
      <rPr>
        <sz val="10"/>
        <rFont val="Calibri (Corps)"/>
      </rPr>
      <t>prestation</t>
    </r>
    <r>
      <rPr>
        <sz val="10"/>
        <rFont val="Calibri"/>
        <family val="2"/>
        <scheme val="minor"/>
      </rPr>
      <t xml:space="preserve"> Jumpstart pour Jamf Pro macOS Remote 2+2+4h - 1912031201</t>
    </r>
  </si>
  <si>
    <t>Jamf Pro macOS éducation - Licence annuelle par poste avec installation sur site (tranche 100 à 9999) - Nouveaux clients</t>
  </si>
  <si>
    <t>Jamf Pro macOS éducation - Licence annuelle par poste avec installation sur site (tranche + 10000) - Nouveaux clients</t>
  </si>
  <si>
    <t>Jamf Pro iOS éducation - Licence annuelle par poste avec installation sur site (tranche 100 à 9999) - Nouveaux clients</t>
  </si>
  <si>
    <t>Jamf Pro iOS éducation - Licence annuelle par poste avec installation sur site (tranche + 10000) - Nouveaux clients</t>
  </si>
  <si>
    <t>Jamf Pro tvOS éducation - Licence annuelle par poste avec installation sur site (tranche 100 à 9999) - Nouveaux clients</t>
  </si>
  <si>
    <t>Jamf Pro tvOS éducation - Licence annuelle par poste avec installation sur site (tranche + 10000) - Nouveaux clients</t>
  </si>
  <si>
    <t>Jamf Pro macOS éducation - Licence cloud annuelle par poste (tranche 100 à 9999) - Nouveaux clients</t>
  </si>
  <si>
    <t>Jamf Pro macOS éducation - Licence cloud annuelle par poste (tranche + 10000) - Nouveaux clients</t>
  </si>
  <si>
    <t>Jamf Pro iOS éducation - Licence cloud annuelle par poste (tranche 100 à 9999) - Nouveaux clients</t>
  </si>
  <si>
    <t>Jamf Pro iOS éducation - Licence cloud annuelle par poste (tranche + 10000) - Nouveaux clients</t>
  </si>
  <si>
    <t>Jamf Pro tvOS éducation - Licence cloud annuelle par poste (tranche 100 à 9999) - Nouveaux clients</t>
  </si>
  <si>
    <t>Jamf Pro tvOS éducation - Licence cloud annuelle par poste (tranche + 10000) - Nouveaux clients</t>
  </si>
  <si>
    <t>Jamf Pro macOS éducation - Renouvellement licence annuelle par poste avec installation sur site (tranche 100 à 9999)</t>
  </si>
  <si>
    <t>Jamf Pro macOS éducation - Renouvellement licence annuelle par poste avec installation sur site (tranche + 10000)</t>
  </si>
  <si>
    <t>Jamf Pro iOS éducation - Renouvellement licence annuelle par poste avec installation sur site (tranche 100 à 9999)</t>
  </si>
  <si>
    <t>Jamf Pro iOS éducation - Renouvellement licence annuelle par poste avec installation sur site (tranche + 10000)</t>
  </si>
  <si>
    <t>Jamf Pro tvOS éducation - Renouvellement licence annuelle par poste avec installation sur site (tranche 100 à 9999)</t>
  </si>
  <si>
    <t>Jamf Pro tvOS éducation - Renouvellement licence annuelle par poste avec installation sur site (tranche + 10000)</t>
  </si>
  <si>
    <t>Jamf Pro macOS éducation - Renouvellement licence cloud annuelle par poste (tranche 100 à 9999)</t>
  </si>
  <si>
    <t>Jamf Pro macOS éducation - Renouvellement licence cloud annuelle par poste (tranche + 10000)</t>
  </si>
  <si>
    <t>Jamf Pro iOS éducation - Renouvellement licence cloud annuelle par poste (tranche 100 à 9999)</t>
  </si>
  <si>
    <t>Jamf Pro iOS éducation - Renouvellement licence cloud annuelle par poste (tranche + 10000)</t>
  </si>
  <si>
    <t>Jamf Pro tvOS éducation - Renouvellement licence cloud annuelle par poste (tranche 100 à 9999)</t>
  </si>
  <si>
    <t>Jamf Pro tvOS éducation - Renouvellement licence cloud annuelle par poste (tranche + 10000)</t>
  </si>
  <si>
    <t>ZU-IOS-CLOUD-ACA</t>
  </si>
  <si>
    <t>Jamf School licence Cloud par poste - année académique (du 01/08 au 31/07)</t>
  </si>
  <si>
    <t>ZU-IOS-CLOUD-CIV</t>
  </si>
  <si>
    <t>Jamf School licence Cloud par poste - année civile (du 01/01 au 31/12)</t>
  </si>
  <si>
    <t>ZU-IOS-CLOUD-CPLT</t>
  </si>
  <si>
    <t>Jamf School licence Cloud par poste - année complète (valable 12 mois à partir de la date d’achat)</t>
  </si>
  <si>
    <t>ZU-IOS-CLOUD-PERP</t>
  </si>
  <si>
    <t>Jamf School Licence Cloud perpétuelle par poste</t>
  </si>
  <si>
    <t>ABT-JSIO-INT-3J</t>
  </si>
  <si>
    <r>
      <t xml:space="preserve">Econocom </t>
    </r>
    <r>
      <rPr>
        <sz val="10"/>
        <rFont val="Calibri (Corps)"/>
      </rPr>
      <t>prestation</t>
    </r>
    <r>
      <rPr>
        <sz val="10"/>
        <rFont val="Calibri"/>
        <family val="2"/>
        <scheme val="minor"/>
      </rPr>
      <t xml:space="preserve"> Jamf School pack démarrage iPadOS - 3 jours (2 jours à distance + 1j sur site)</t>
    </r>
  </si>
  <si>
    <t>Jamf Connect EDU tranche 1 à 9999</t>
  </si>
  <si>
    <t>Jamf Connect EDU 10000+</t>
  </si>
  <si>
    <t>Jamf Connect EDU 1 à 9999 - Renouvellement</t>
  </si>
  <si>
    <t>Jamf Connect EDU 10000+ Renouvellement</t>
  </si>
  <si>
    <t>Jamf Connect for macOS configuration &amp; installation - Remote 4 h ( à commander avec ABT-JACO-EXT-4H-W)</t>
  </si>
  <si>
    <t>ABT-JACO-EXT-4H-W</t>
  </si>
  <si>
    <r>
      <t xml:space="preserve">Econocom </t>
    </r>
    <r>
      <rPr>
        <sz val="10"/>
        <rFont val="Calibri (Corps)"/>
      </rPr>
      <t>prestation</t>
    </r>
    <r>
      <rPr>
        <sz val="10"/>
        <rFont val="Calibri"/>
        <family val="2"/>
        <scheme val="minor"/>
      </rPr>
      <t xml:space="preserve"> Jamf Connect for macOS configuration &amp; installation - Remote 4 h - 1912101220</t>
    </r>
  </si>
  <si>
    <t>7768328-EDU</t>
  </si>
  <si>
    <t>Jamf Protect Education Licence macOS Education</t>
  </si>
  <si>
    <t>7768328-EDU-1</t>
  </si>
  <si>
    <t>Jamf Protect Education Renouvellement Licence macOS Education</t>
  </si>
  <si>
    <t>ABT-JPRO-WEBEX-4H</t>
  </si>
  <si>
    <r>
      <t xml:space="preserve">Econocom </t>
    </r>
    <r>
      <rPr>
        <sz val="10"/>
        <rFont val="Calibri (Corps)"/>
      </rPr>
      <t>prestation</t>
    </r>
    <r>
      <rPr>
        <sz val="10"/>
        <rFont val="Calibri"/>
        <family val="2"/>
        <scheme val="minor"/>
      </rPr>
      <t xml:space="preserve"> Jamf Protect à distance webex 4h (2h+2h)</t>
    </r>
  </si>
  <si>
    <t>Jamf Formation par personne niveau 200, 300, or 400</t>
  </si>
  <si>
    <t>Prestations de marquage et étiquetage (Gravure, Etiquetage, Rapports, Marquage Antivol, …)</t>
  </si>
  <si>
    <t>OSTA4536.XI.A</t>
  </si>
  <si>
    <t>Fourniture et pose d'une étiquette avec logo de l'établissement</t>
  </si>
  <si>
    <t>Services</t>
  </si>
  <si>
    <t>MI5-ETIQUETTE</t>
  </si>
  <si>
    <t>Fourniture et pose d'une étiquette avec logo de l'établissement, numéro de série et adresse MAC</t>
  </si>
  <si>
    <t>OSTA4537.XI.A</t>
  </si>
  <si>
    <t>MI5-ETAB-ETIQ3_1</t>
  </si>
  <si>
    <t>Fourniture et pose d'une étiquette code barre avec logo et mention texte « Propriété de » avec numéro d’inventaire. Envoi d’un fichier de rapport de suivi.</t>
  </si>
  <si>
    <t>OSTA4562.XI.A</t>
  </si>
  <si>
    <t>MI5-ETAB-ETIQ3_2</t>
  </si>
  <si>
    <t>Fourniture et pose d'une étiquette code barre avec logo et mention texte de l'établissement, numéro d’inventaire, numéro de commande, date fin de garantie. Envoi d’un fichier de rapport de suivi.</t>
  </si>
  <si>
    <t>MI5-ETAB-ETIQ3_3</t>
  </si>
  <si>
    <t>Fourniture et pose d'une étiquette code barre avec mention texte "Établissement", numéro d’inventaire, numéro de commande, adresse MAC et numéro de série. Envoi d’un fichier de rapport de suivi.</t>
  </si>
  <si>
    <t>MI5-STOPTRACK</t>
  </si>
  <si>
    <t>Fourniture et pose d'une plaque StopTrack avec identification marché et numéro d'identification</t>
  </si>
  <si>
    <t>MI5-GRAVURE</t>
  </si>
  <si>
    <t>Gravure laser logo vectoriel ou texte unitaire - tranche de 1 à 100</t>
  </si>
  <si>
    <t>OSTA4552.XI.A</t>
  </si>
  <si>
    <t>MI5-SERIG-INT-1</t>
  </si>
  <si>
    <t>Marquage par sérigraphie</t>
  </si>
  <si>
    <t>GDLASER</t>
  </si>
  <si>
    <t>ABT-INST-BUG-BA-TR1</t>
  </si>
  <si>
    <t>Installation basique 1 poste</t>
  </si>
  <si>
    <t>BUGBUSTER</t>
  </si>
  <si>
    <t>ABT-INST-BUG-BA-TR2-6</t>
  </si>
  <si>
    <t>Installation basique tranche 2 à 5 postes</t>
  </si>
  <si>
    <t>ABT-INST-BUG-BA-TR6-9</t>
  </si>
  <si>
    <t>Installation basique tranche  6 à 9 postes</t>
  </si>
  <si>
    <t>MI5-INST-BUG-BA-TR&gt;10</t>
  </si>
  <si>
    <t>Installation basique tranche 10 postes et plus</t>
  </si>
  <si>
    <t>ABT-INST-BUG-AV-TR1</t>
  </si>
  <si>
    <t>Installation avancée 1 poste</t>
  </si>
  <si>
    <t>ABT-INST-BUG-AV-TR2-5</t>
  </si>
  <si>
    <t>Installation avancée tranche 2 à 5 postes</t>
  </si>
  <si>
    <t>ABT-INST-BUG-AV-TR6-9</t>
  </si>
  <si>
    <t>Installation avancée tranche  6 à 9 postes</t>
  </si>
  <si>
    <t>ABT-INST-BUG-AV-TR&gt;10</t>
  </si>
  <si>
    <t>Installation avancée tranche 10 postes et plus</t>
  </si>
  <si>
    <t>ABT-INST-BUG-LOG-NIV1-TR1</t>
  </si>
  <si>
    <t>Installation logicielle seule  1 poste</t>
  </si>
  <si>
    <t>ABT-INST-BUG-LOG-NIV1-TR2-5</t>
  </si>
  <si>
    <t>Installation logicielle seule tranche 2 à 5 postes</t>
  </si>
  <si>
    <t>ABT-INST-BUG-LOG-NIV1-TR6-9</t>
  </si>
  <si>
    <t>Installation logicielle seule tranche  6 à 9 postes</t>
  </si>
  <si>
    <t>MI5-BUG-LOG-NIV1-TR&gt;10</t>
  </si>
  <si>
    <t>Installation logicielle seule tranche 10 postes et plus</t>
  </si>
  <si>
    <t>MI5-BUG-LOG-NIV2-TR1</t>
  </si>
  <si>
    <t>Installation logicielle concomitante à une installation physique  1 poste</t>
  </si>
  <si>
    <t>MI5-BUG-LOG-NIV2-TR2-5</t>
  </si>
  <si>
    <t>Installation logicielle concomitante tranche 2 à 5 postes</t>
  </si>
  <si>
    <t>MI5-BUG-LOG-NIV2-TR6-9</t>
  </si>
  <si>
    <t>Installation logicielle concomitante tranche  6 à 9 postes</t>
  </si>
  <si>
    <t>MI5-BUG-LOG-NIV2-TR&gt;10</t>
  </si>
  <si>
    <t>Installation logicielle concomitante tranche 10 postes et plus</t>
  </si>
  <si>
    <t>ABT-CLEAN-BUG-SITE</t>
  </si>
  <si>
    <t>Blanchiment sur site prestation associée à l'installation physique - prix par disque</t>
  </si>
  <si>
    <t>ABT-SAVE-BUG</t>
  </si>
  <si>
    <t>Rétention de disque dans le cadre de la garantie</t>
  </si>
  <si>
    <t>ABT-DESTROY-BUG-SITE</t>
  </si>
  <si>
    <t xml:space="preserve">Destruction de disque sur site / 1er disque </t>
  </si>
  <si>
    <t>ABT-DESTROY-BUG-DD</t>
  </si>
  <si>
    <t>Destruction d'un disque supplémentaire sur site</t>
  </si>
  <si>
    <t>ABT-TRANSFER-BUG-TR1</t>
  </si>
  <si>
    <t>Transfert de données utilisateur 1 poste</t>
  </si>
  <si>
    <t>ABT-TRANSFER-BUG-TR2-5</t>
  </si>
  <si>
    <t>Transfert de données utilisateur tranche 2 à 5 postes</t>
  </si>
  <si>
    <t>ABT-TRANSFER-BUG-TR6-9</t>
  </si>
  <si>
    <t>Transfert de données utilisateur tranche  6 à 9 postes</t>
  </si>
  <si>
    <t>ABT-TRANSFER-BUG-TR&gt;10</t>
  </si>
  <si>
    <t>Transfert de données utilisateur tranche 10 postes et plus</t>
  </si>
  <si>
    <t>ABT-SAVE-CARBONITE-1Y</t>
  </si>
  <si>
    <t>Sauvegarde en ligne des données - Carbonite (1an)</t>
  </si>
  <si>
    <t>ABT-SAVE-CARBONITE-3Y</t>
  </si>
  <si>
    <t>Sauvegarde en ligne des données - Carbonite (3 ans)</t>
  </si>
  <si>
    <t>ABT-REP-BUG-MAC</t>
  </si>
  <si>
    <t>Reprise machine pour mise à disposition</t>
  </si>
  <si>
    <t>ABT-REP-BUG-MAC-BL</t>
  </si>
  <si>
    <t>Reprise machine + blanchiment atelier</t>
  </si>
  <si>
    <t>ABT-EXP-BUG-MAC</t>
  </si>
  <si>
    <t>Expédition poste repris vers établissement</t>
  </si>
  <si>
    <t>ABT-TCO-BUG-IPADOS-2H</t>
  </si>
  <si>
    <t>﻿Forfait transfert de compétence iPadOS  2 heures sur site - mono utilisateur</t>
  </si>
  <si>
    <t>ABT-TCO-BUG-IPADOS-1/2J</t>
  </si>
  <si>
    <t>﻿Forfait transfert de compétence iPadOS  1/2 journée sur site - mono utilisateur</t>
  </si>
  <si>
    <t>ABT-TCO-BUG-IPADOS-1J</t>
  </si>
  <si>
    <t>﻿Forfait transfert de compétence iPadOS  1 journée sur site - mono utilisateur</t>
  </si>
  <si>
    <t>ABT-TCO-BUG-MACOS-2H</t>
  </si>
  <si>
    <t>﻿Forfait transfert de compétence macOS  2 heures sur site - mono utilisateur</t>
  </si>
  <si>
    <t>ABT-TCO-BUG-MACOS-1/2J</t>
  </si>
  <si>
    <t>﻿Forfait transfert de compétence macOS  1/2 journée sur site - mono utilisateur</t>
  </si>
  <si>
    <t>ABT-TCO-BUG-MACOS-1J</t>
  </si>
  <si>
    <t>﻿Forfait transfert de compétence macOS  1 journée sur site - mono utilisateur</t>
  </si>
  <si>
    <t>ABT-TECH-BUG-SITE-2H</t>
  </si>
  <si>
    <t>﻿Forfait mise à disposition 2 heures sur site d'un technicien niveau 2</t>
  </si>
  <si>
    <t>ABT-TECH-BUG-SITE-1/2J</t>
  </si>
  <si>
    <t>﻿Forfait mise à disposition 1/2 journée sur site d'un technicien niveau 2</t>
  </si>
  <si>
    <t>ABT-TECH-BUG-SITE-1J</t>
  </si>
  <si>
    <t>﻿Forfait mise à disposition 1 journée sur site d'un technicien niveau 2</t>
  </si>
  <si>
    <t>SSD-ING-MI5-DRIVE-1J</t>
  </si>
  <si>
    <t>Forfait mise à disposition ingénieur technique niveau 3 - 1 journée sur site (frais de déplacement non inclus)</t>
  </si>
  <si>
    <t>SSD-ING-MI5-DRIVE -1H-W</t>
  </si>
  <si>
    <t>Forfait Webex Ingénieur 1h</t>
  </si>
  <si>
    <t>SSD-ING-MI5-DRIVE-1/2J-W</t>
  </si>
  <si>
    <t>Forfait Webex Ingénieur 1/2 journée</t>
  </si>
  <si>
    <t>SSD-ING-MI5-DRIVE-1J-W</t>
  </si>
  <si>
    <t>Forfait Webex Ingénieur 1 journée</t>
  </si>
  <si>
    <t>SSD-ACCMOS-MI5-DRIVE-2H-W</t>
  </si>
  <si>
    <t>Forfait Webex Prise en main de l'environnement macOS 2H</t>
  </si>
  <si>
    <t>SSD-ING-MI5-DRIVE-1/2J</t>
  </si>
  <si>
    <t>Forfait mise à disposition ingénieur technique niveau 3 – 1/2 journée sur site</t>
  </si>
  <si>
    <t>ABT-CDP-BUG-SITE-1J</t>
  </si>
  <si>
    <t>﻿Forfait mise à disposition 1 journée Chef de Projet</t>
  </si>
  <si>
    <t>ABT-COR-BUG-SITE-1J</t>
  </si>
  <si>
    <t>﻿Forfait mise à disposition 1 journée Coordinateur</t>
  </si>
  <si>
    <t>ABT-TAM-PCARE</t>
  </si>
  <si>
    <t>Technical Account Manager dédié</t>
  </si>
  <si>
    <t>ABT-RECYC-PAPREC-1POSTE</t>
  </si>
  <si>
    <t>Gestion des emballages (enlèvement des cartons pour un poste)</t>
  </si>
  <si>
    <t>PAPREC</t>
  </si>
  <si>
    <t>ABT-RECYC-PAPREC-VRAC</t>
  </si>
  <si>
    <t>Traitement des emballages  en vrac &lt; 3m3</t>
  </si>
  <si>
    <t>ABT-RECYC-PAPREC&lt;3m3</t>
  </si>
  <si>
    <t>Collecte vrac DEEE et recyclage &lt; 3m3</t>
  </si>
  <si>
    <t>ABT-RECYC-PAPREC&lt;4-7m3</t>
  </si>
  <si>
    <t>Collecte vrac DEEE et recyclage de 4 m3 à 7m3</t>
  </si>
  <si>
    <t>ABT-RECYC-PAPREC&lt;8-15m3</t>
  </si>
  <si>
    <t>Collecte vrac DEEE et recyclage de 8 m3 à 15m3</t>
  </si>
  <si>
    <t>ABT-DEEE-PAPREC</t>
  </si>
  <si>
    <t>Manutention complexe collecte DEEE</t>
  </si>
  <si>
    <t>ABT-D3BOX-PAPREC-GF</t>
  </si>
  <si>
    <t>D3BOX grand format</t>
  </si>
  <si>
    <t>ABT-D3BOX-PAPREC-PF</t>
  </si>
  <si>
    <t>D3BOX petit format</t>
  </si>
  <si>
    <t>ABT-RECYC-PAPREC-BOX</t>
  </si>
  <si>
    <t>Box cartouches d'impression</t>
  </si>
  <si>
    <t>ABT-RECYC-PAPREC-LUMIBOX</t>
  </si>
  <si>
    <t>Lumibox (Boîte de recyclages pour des ampoules usagées)</t>
  </si>
  <si>
    <t>ABT-TRACK-PAPREC</t>
  </si>
  <si>
    <t>Traçabilité numéros de série DEEE</t>
  </si>
  <si>
    <t>ABT-REPORT-PAPREC</t>
  </si>
  <si>
    <t>Reporting environnemental</t>
  </si>
  <si>
    <t>ABT-DESTROY-PAPREC-ZONE1-SITE</t>
  </si>
  <si>
    <t>Camion broyeur sur site - Zone 1</t>
  </si>
  <si>
    <t>ABT-DESTROY-PAPREC-ZONE2-SITE</t>
  </si>
  <si>
    <t>Camion broyeur sur site - Zone 2</t>
  </si>
  <si>
    <t>ABT-DESTROY-PAPREC-ZONE3-SITE</t>
  </si>
  <si>
    <t>Camion broyeur sur site - Zone 3</t>
  </si>
  <si>
    <t>ABT-RECYC-GREEN-TR1 à 1999</t>
  </si>
  <si>
    <t>Offre Watt's green de 1 à 1999 assets</t>
  </si>
  <si>
    <t>ABT-RECYC-GREEN-TR2000 à 4999</t>
  </si>
  <si>
    <t>Offre Watt's green de 2000 à 4999 assets</t>
  </si>
  <si>
    <t>ABT-RECYC-GREEN-TR5000 à 9999</t>
  </si>
  <si>
    <t>Offre Watt's green de 5000 à 9999 assets</t>
  </si>
  <si>
    <t>ABT-RECYC-GREEN-TR10000 à 14999</t>
  </si>
  <si>
    <t>Offre Watt's green de 10 000 à 14 999 assets</t>
  </si>
  <si>
    <t>ABT-RECYC-GREEN-TR150000 à 20000</t>
  </si>
  <si>
    <t>Offre Watt's green de 15 000 à 20 000 assets</t>
  </si>
  <si>
    <t>ABT-CEG-1J</t>
  </si>
  <si>
    <t>Consultant Expert Green IT - 1 journée ( visio conférence)</t>
  </si>
  <si>
    <t>ABT-FORM-APF</t>
  </si>
  <si>
    <t>Formation APF - Pratiques en matière d’accessibilité des outils numériques</t>
  </si>
  <si>
    <t>AppleCare OS Support</t>
  </si>
  <si>
    <t>D5690ZM/A</t>
  </si>
  <si>
    <t>AppleCare OS Support Preferred (1 Year) contrat de garantie 12 heures par jour / 7 jours par semaine pour macOS, macOS server, iOS, iPadOS (n.b illimité d'incidents - réponse sous 2 h, chargé de compte AppleCare dédié au client, intervention sur un seul site)</t>
  </si>
  <si>
    <t>AppleCare</t>
  </si>
  <si>
    <t>D6408Z/A</t>
  </si>
  <si>
    <t>AppleCare OS Support Preferred (2 Years) contrat de garantie 12 heures par jour / 7 jours par semaine pour macOS, macOS server, iOS, iPadOS (nbr illimité d'incidents - réponse sous 2 h, chargé de compte AppleCare dédié au client, intervention sur un seul site)</t>
  </si>
  <si>
    <t>D5692ZM/A</t>
  </si>
  <si>
    <t>AppleCare OS Support Preferred (3 Years) contrat de garantie 12 heures par jour / 7 jours par semaine pour macOS, macOS server, iOS, iPadOS (n.b illimité d'incidents - réponse sous 2 h, chargé de compte AppleCare dédié au client, intervention sur un seul site)</t>
  </si>
  <si>
    <t>D6602ZM/A</t>
  </si>
  <si>
    <t>AppleCare OS Support Select (1 Year) contrat de garantie 12 heures par jour / 7 jours par semaine pour macOS, macOS server, iOS, iPadOS (10 incidents - réponse sous 4 h, chargé de compte AppleCare dédié au client, intervention sur un seul site)</t>
  </si>
  <si>
    <t>D6152Z/A</t>
  </si>
  <si>
    <t>AppleCare OS Support Select (2 Years) contrat de garantie 12 heures par jour / 7 jours par semaine pour macOS, macOS server, iOS, iPadOS (10 incidents - réponse sous 4 h, chargé de compte AppleCare dédié au client, intervention sur un seul site)</t>
  </si>
  <si>
    <t>D5845Z/A</t>
  </si>
  <si>
    <t>AppleCare OS Support Select (3 Years) contrat de garantie 12 heures par jour / 7 jours par semaine pour macOS, macOS server, iOS, iPadOS (10 incidents - réponse sous 4 h, chargé de compte AppleCare dédié au client, intervention sur un seul site)</t>
  </si>
  <si>
    <t>D5691ZM/A</t>
  </si>
  <si>
    <t>AppleCare OS Support Alliance (1 Year) contrat de garantie 12 heures par jour / 7 jours par semaine pour macOS, macOS server, iOS, iPadOS (n.b illimité d'incidents - réponse sous 1 h, chargé de compte AppleCare dédié au client, intervention sur multi sites)</t>
  </si>
  <si>
    <t>D5865ZM/A</t>
  </si>
  <si>
    <t>AppleCare OS Support Alliance (2 Years) contrat de garantie 12 heures par jour / 7 jours par semaine pour macOS, macOS server, iOS, iPadOS (n.b illimité d'incidents - réponse sous 1 h, chargé de compte AppleCare dédié au client, intervention sur multi sites)</t>
  </si>
  <si>
    <t>D5693ZM/A</t>
  </si>
  <si>
    <t>AppleCare OS Support Alliance (3 Years) contrat de garantie 12 heures par jour / 7 jours par semaine pour macOS, macOS server, iOS, iPadOS (n.b illimité d'incidents - réponse sous 1 h, chargé de compte AppleCare dédié au client, intervention sur multi sites)</t>
  </si>
  <si>
    <t>D8080Z/A</t>
  </si>
  <si>
    <t>AppleCare Help Desk Support - contrat d'assistance téléphonique 12 heures par jour / 7 jours par semaine pour macOS, macOS server, iOS, iPadOS - 1 an</t>
  </si>
  <si>
    <t>D8082Z/A</t>
  </si>
  <si>
    <t>AppleCare Help Desk Support - contrat d'assistance téléphonique 12 heures par jour / 7 jours par semaine pour macOS, macOS server, iOS, iPadOS - 2 ans</t>
  </si>
  <si>
    <t>D8084Z/A</t>
  </si>
  <si>
    <t>AppleCare Help Desk Support - contrat d'assistance téléphonique 12 heures par jour / 7 jours par semaine pour macOS, macOS server, iOS, iPadOS - 3ans</t>
  </si>
  <si>
    <t>MI5_TAM_1Y</t>
  </si>
  <si>
    <t>Service annuel d'accompagnement TAM (Technical account manager - 1 an)</t>
  </si>
  <si>
    <t>11 072,00 €</t>
  </si>
  <si>
    <t>OFFRE LOCATIVE RESERVEE AUX ÉTABLISSEMENTS SIGNATAIRES D'UN MARCHE SUBSÉQUENT DE LOCATION</t>
  </si>
  <si>
    <t>Loyer trimestriel HT</t>
  </si>
  <si>
    <t>Option d'achat HT</t>
  </si>
  <si>
    <t>Coefficient trimestriel</t>
  </si>
  <si>
    <t>Catégories</t>
  </si>
  <si>
    <t>Référence</t>
  </si>
  <si>
    <t>Prix de vente HT (garantie 5 ans incluse)</t>
  </si>
  <si>
    <t>12 mois</t>
  </si>
  <si>
    <t>24 mois</t>
  </si>
  <si>
    <t>36 mois</t>
  </si>
  <si>
    <t>48 mois</t>
  </si>
  <si>
    <t>cat1config1_MacBook Air</t>
  </si>
  <si>
    <t>MI5-MBA-13-1-E-CARE</t>
  </si>
  <si>
    <t>MI5-MBA-13-2-E-CARE</t>
  </si>
  <si>
    <t>MI5-MBA-13-3-E-CARE</t>
  </si>
  <si>
    <t>MI5-MBA-13-4-E-CARE</t>
  </si>
  <si>
    <t>cat2config1_MacBook Pro 13</t>
  </si>
  <si>
    <t>MI5-MBP-13-1-E-CARE</t>
  </si>
  <si>
    <t>MI5-MBP-13-2-E-CARE</t>
  </si>
  <si>
    <t>MI5-MBP-13-3-E-CARE</t>
  </si>
  <si>
    <t>MI5-MBP-13-4-E-CARE</t>
  </si>
  <si>
    <t>cat2config3_MacBook Pro 14</t>
  </si>
  <si>
    <t>MI5-MBP-14-1-E-CARE</t>
  </si>
  <si>
    <t>MI5-MBP-14-2-E-CARE</t>
  </si>
  <si>
    <t>MI5-MBP-14-3-E-CARE</t>
  </si>
  <si>
    <t>MI5-MBP-14-4-E-CARE</t>
  </si>
  <si>
    <t>cat2config2_MacBook Pro 16</t>
  </si>
  <si>
    <t>MI5-MBP-16-1-E-CARE</t>
  </si>
  <si>
    <t>MI5-MBP-16-2-E-CARE</t>
  </si>
  <si>
    <t>MI5-MBP-16-3-E-CARE</t>
  </si>
  <si>
    <t>MI5-MBP-16-4-E-CARE</t>
  </si>
  <si>
    <t>cat3config1_Mac mini</t>
  </si>
  <si>
    <t>MI5-MM-1-E-CARE</t>
  </si>
  <si>
    <t>MI5-MM-2-E-CARE</t>
  </si>
  <si>
    <t>MI5-MM-3-E-CARE</t>
  </si>
  <si>
    <t>MI5-MM-4-E-CARE</t>
  </si>
  <si>
    <t>cat4config1_iMac 24</t>
  </si>
  <si>
    <t>MI5-IMAC-24-1-E-CARE</t>
  </si>
  <si>
    <t>MI5-IMAC-24-2-E-CARE</t>
  </si>
  <si>
    <t>MI5-IMAC-24-3-E-CARE</t>
  </si>
  <si>
    <t>MI5-IMAC-24-4-E-CARE</t>
  </si>
  <si>
    <t>cat5config2_Mac Pro</t>
  </si>
  <si>
    <t>MI5-MACPRO-1-E-CARE</t>
  </si>
  <si>
    <t>MI5-MACPRO-2-E-CARE</t>
  </si>
  <si>
    <t>MI5-MACPRO-3-E-CARE</t>
  </si>
  <si>
    <t>MI5-MACPRO-4-E-CARE</t>
  </si>
  <si>
    <t xml:space="preserve">cat6config1_iPad mini </t>
  </si>
  <si>
    <t>MI5-IPADMINI-1-E-CARE</t>
  </si>
  <si>
    <t>MI5-IPADMINI-2-E-CARE</t>
  </si>
  <si>
    <t>MI5-IPADMINI-3-E-CARE</t>
  </si>
  <si>
    <t>MI5-IPAD-4-E-CARE</t>
  </si>
  <si>
    <t>cat6config2_iPad 10,2"</t>
  </si>
  <si>
    <t>MI5-IPAD-1-E-CARE</t>
  </si>
  <si>
    <t>MI5-IPAD-2-E-CARE</t>
  </si>
  <si>
    <t>MI5-IPAD-3-E-CARE</t>
  </si>
  <si>
    <t>cat6config3_iPad Pro 11"</t>
  </si>
  <si>
    <t>MI5-IPADPRO11-1-E-CARE</t>
  </si>
  <si>
    <t>MI5-IPADPRO11-2-E-CARE</t>
  </si>
  <si>
    <t>MI5-IPADPRO11-3-E-CARE</t>
  </si>
  <si>
    <t>MI5-IPADPRO11-4-E-CARE</t>
  </si>
  <si>
    <t>MAC STUDIO</t>
  </si>
  <si>
    <t>MI5-MS-1-E-CARE</t>
  </si>
  <si>
    <t>MI5-MS-2-E-CARE</t>
  </si>
  <si>
    <t>MI5-MS-3-E-CARE</t>
  </si>
  <si>
    <t>MI5-MS-4-E-CARE</t>
  </si>
  <si>
    <t>* L'offre de service E-CARE sur les durées 1,2,3 et 4 ans sont valables uniquement pour le modèle locatif</t>
  </si>
  <si>
    <t xml:space="preserve">Le service de Palettisation est facturable au moment de la reprise des équipements </t>
  </si>
  <si>
    <t>Prix unitaire d'achat en €HT</t>
  </si>
  <si>
    <t>Service de Palettisation : récupération des équipements en un lieu unique, en rez-de-chaussée et accessible avec un transpalette. Le prix est exprimé en euro HT par équipement</t>
  </si>
  <si>
    <t xml:space="preserve">Libellé de l'article </t>
    <phoneticPr fontId="3" type="noConversion"/>
  </si>
  <si>
    <t>S9732ZM/A</t>
  </si>
  <si>
    <t>Apple extension de garantie 3 ans AppleCare Plan dématérialisée pour MacBook Air</t>
  </si>
  <si>
    <t>SCPX2ZM/A</t>
  </si>
  <si>
    <t>Apple extension de garantie 3 ans AppleCare Plan dématérialisée pour MacBook Pro 14"</t>
  </si>
  <si>
    <t>SE282ZM/A</t>
  </si>
  <si>
    <t>Apple extension de garantie 3 ans AppleCare Plan dématérialisée pour MacBook Pro 16"</t>
  </si>
  <si>
    <t>S7127ZM/A</t>
  </si>
  <si>
    <t>Apple extension de garantie 3 ans AppleCare Plan dématérialisée pour Mac mini</t>
  </si>
  <si>
    <t>S7126ZM/A</t>
  </si>
  <si>
    <t>Apple extension de garantie 3 ans AppleCare Plan dématérialisée pour iMac 24'</t>
  </si>
  <si>
    <t>S7128ZM/A</t>
  </si>
  <si>
    <t>Apple extension de garantie 3 ans AppleCare Plan dématérialisée pour Mac Pro</t>
  </si>
  <si>
    <t>SEV82ZM/A</t>
  </si>
  <si>
    <t>Apple extension de garantie 3 ans AppleCare Plan dématérialisée pour Mac Studio</t>
  </si>
  <si>
    <t>S5790Z/A</t>
  </si>
  <si>
    <t>Apple extension de garantie 3 ans AppleCare Plan dématérialisée pour iPad</t>
  </si>
  <si>
    <t>C2I</t>
  </si>
  <si>
    <t>Blanchiment sur site prestation associée à l'installation physique - prix par disque (retour atelier C2I)</t>
  </si>
  <si>
    <t>Destruction de disque sur site / 1er disque (retour atelier C2I)</t>
  </si>
  <si>
    <t>Destruction d'un disque supplémentaire sur site (retour atelier C2i)</t>
  </si>
  <si>
    <t>Transfert de données utilisateur 1 poste retour atelier C2I</t>
  </si>
  <si>
    <t>Transfert de données utilisateur tranche 2 à 5 postes retour atelier C2I</t>
  </si>
  <si>
    <t>Transfert de données utilisateur tranche  6 à 9 postes retour atelier C2I</t>
  </si>
  <si>
    <t>Transfert de données utilisateur tranche 10 postes et plus retour atelier C2I</t>
  </si>
  <si>
    <t>Expédition poste repris vers établissement (sur demande de devis)</t>
  </si>
  <si>
    <t>Manutention complexe collecte DEEE (uniquement sur devis)</t>
  </si>
  <si>
    <t>RÉCAPITULATIF REMISES MATINFO5</t>
  </si>
  <si>
    <t>REMISES MATINFO5 - APPLE</t>
  </si>
  <si>
    <t>Remise MacBook Air milieu de gamme</t>
  </si>
  <si>
    <t>Remise MacBook Air haut de gamme</t>
  </si>
  <si>
    <t>Remise MacBook Air CTO milieu de gamme</t>
  </si>
  <si>
    <t>Remise MacBook Air CTO haut de gamme</t>
  </si>
  <si>
    <t>Remise MacBook Pro 13" 2 ports Thunderbolt 3 entrée de gamme</t>
  </si>
  <si>
    <t>Remise MacBook Pro 13" 2 ports Thunderbolt 3 haut de gamme</t>
  </si>
  <si>
    <t>Remise MacBook Pro 13" 4 ports Thunderbolt 3 entrée de gamme</t>
  </si>
  <si>
    <t>Remise MacBook Pro 13" 4 ports Thunderbolt 3 haut de gamme</t>
  </si>
  <si>
    <t>Remise MacBook Pro 13" 2 ports Thunderbolt 3 entrée de gamme CTO</t>
  </si>
  <si>
    <t>Remise MacBook Pro 13" 2 ports Thunderbolt 3 haut de gamme CTO</t>
  </si>
  <si>
    <t>Remise MacBook Pro 13" 4 ports Thunderbolt 3 entrée de gamme CTO</t>
  </si>
  <si>
    <t>Remise MacBook Pro 13" 4 ports Thunderbolt 3 haut de gamme CTO</t>
  </si>
  <si>
    <t>Remise MacBook Pro 14" entrée de gamme</t>
  </si>
  <si>
    <t>Remise MacBook Pro 14" entrée de gamme CTO</t>
  </si>
  <si>
    <t>Remise MacBook Pro 14" haut de gamme</t>
  </si>
  <si>
    <t>Remise MacBook Pro 14" haut de gamme CTO</t>
  </si>
  <si>
    <t>Remise MacBook Pro 16" entrée de gamme</t>
  </si>
  <si>
    <t>Remise MacBook Pro 16" haut de gamme</t>
  </si>
  <si>
    <t>Remise Mac mini entrée de gamme</t>
  </si>
  <si>
    <t>Remise Mac mini haut de gamme</t>
  </si>
  <si>
    <t>Remise MacBook Pro 16" entrée de gamme CTO</t>
  </si>
  <si>
    <t>Remise MacBook Pro 16" haut de gamme CTO</t>
  </si>
  <si>
    <t>Remise Mac mini entrée de gamme CTO</t>
  </si>
  <si>
    <t>Remise Mac mini haut de gamme CTO</t>
  </si>
  <si>
    <t>Remise MacBook Pro 16" milieu de gamme CTO</t>
  </si>
  <si>
    <t>Remise iMac 21,5" entrée de gamme</t>
  </si>
  <si>
    <t>Remise iMac 21,5" haut de gamme</t>
  </si>
  <si>
    <t>Remise iMac 27" entrée de gamme</t>
  </si>
  <si>
    <t>Remise iMac 27" haut de gamme</t>
  </si>
  <si>
    <t>Remise iMac 21,5" entrée de gamme CTO</t>
  </si>
  <si>
    <t>Remise iMac 21,5" haut de gamme CTO</t>
  </si>
  <si>
    <t>Remise iMac 27" entrée de gamme CTO</t>
  </si>
  <si>
    <t>Remise iMac 27" haut de gamme CTO</t>
  </si>
  <si>
    <t>Remise iMac Pro</t>
  </si>
  <si>
    <t>Remise Mac Pro entrée de gamme</t>
  </si>
  <si>
    <t>Remise Mac Studio entrée de gamme</t>
  </si>
  <si>
    <t>Remise Mac Studio haut de gamme</t>
  </si>
  <si>
    <t>Remise iMac Pro CTO</t>
  </si>
  <si>
    <t>Remise Mac Pro entrée de gamme CTO</t>
  </si>
  <si>
    <t>Remise Mac Studio entrée de gamme CTO</t>
  </si>
  <si>
    <t>Remise Mac Studio haut de gamme CTO</t>
  </si>
  <si>
    <t>Remise iPad mini 5</t>
  </si>
  <si>
    <t>Remise iPad 10,2" 32 Go</t>
  </si>
  <si>
    <t>Remise iPad 10,2" 128 Go</t>
  </si>
  <si>
    <t>Remise iPad Air 10,5"</t>
  </si>
  <si>
    <t>Remise iPad Pro 11"</t>
  </si>
  <si>
    <t>Remise iPad Pro 12,9"</t>
  </si>
  <si>
    <t>Remise accessoires Apple Mac</t>
  </si>
  <si>
    <t>Remise accessoires Apple iPad</t>
  </si>
  <si>
    <t>Remise accessoires sans DAC</t>
  </si>
  <si>
    <t>Remise Apple TV</t>
  </si>
  <si>
    <t>Remise pencil</t>
  </si>
  <si>
    <t>remise pencil 2</t>
  </si>
  <si>
    <t>Remise accessoires AppleCare</t>
  </si>
  <si>
    <t>Remise logiciels Apple volume</t>
  </si>
  <si>
    <t>Remise accessoires sans CRT</t>
  </si>
  <si>
    <t>Remise cartes vidéo Mac Pro</t>
  </si>
  <si>
    <t>REMISES MATINFO5 - AUTRES</t>
  </si>
  <si>
    <t>Remise accessoires</t>
  </si>
  <si>
    <t>Remise accessoires spécial</t>
  </si>
  <si>
    <t>Remise onduleur</t>
  </si>
  <si>
    <t>Remise ajout RAM</t>
  </si>
  <si>
    <t>Remise stockage</t>
  </si>
  <si>
    <t>Remise clé USB</t>
  </si>
  <si>
    <t>Remise écran Iiyama</t>
  </si>
  <si>
    <t>Remise écran Philips</t>
  </si>
  <si>
    <t>Remise Viewsonic</t>
  </si>
  <si>
    <t>Remise Kallysta Apollo</t>
  </si>
  <si>
    <t>Remise Kallysta Magellan</t>
  </si>
  <si>
    <t>Remise Jamf MDM</t>
  </si>
  <si>
    <t>Remise écran Apple</t>
  </si>
  <si>
    <t>Remise Samsung</t>
  </si>
  <si>
    <t>NOUVEAU TARIF N°4 VALIDE AU 10/05/2022</t>
  </si>
  <si>
    <t>NOUVEAU TARIF N°4 VALIDE LE 10/05/2022</t>
  </si>
  <si>
    <t>DROM COM NOUVEAU TARIF N°4 VALIDE AU 10/05/2022</t>
  </si>
  <si>
    <t>Changement de références pour les services spécifiques DROM-COM (C2I)</t>
  </si>
  <si>
    <t>SCR5R2ZM/A</t>
  </si>
  <si>
    <t>Apple extension de garantie 3 ans AppleCare Plan dématérialisée pour MacBook Pro 13"</t>
  </si>
  <si>
    <t>SC5R2ZM/A</t>
  </si>
  <si>
    <t>MI5-FRAIS-DROM-COM</t>
  </si>
  <si>
    <t>ABT-INST-C2I-BA-TR1</t>
  </si>
  <si>
    <t>ABT-INST-C2I-BA-TR2-6</t>
  </si>
  <si>
    <t>ABT-INST-C2I-BA-TR6-9</t>
  </si>
  <si>
    <t>ABT-INST-C2I-BA-TR&gt;10</t>
  </si>
  <si>
    <t>ABT-INST-C2I-AV-TR1</t>
  </si>
  <si>
    <t>ABT-INST-C2I-AV-TR2-5</t>
  </si>
  <si>
    <t>ABT-INST-C2I-AV-TR6-9</t>
  </si>
  <si>
    <t>ABT-INST-C2I-AV-TR&gt;10</t>
  </si>
  <si>
    <t>ABT-INST-C2I-LOG-NIV1-TR1</t>
  </si>
  <si>
    <t>ABT-INST-C2I-LOG-NIV1-TR2-5</t>
  </si>
  <si>
    <t>ABT-INST-C2I-LOG-NIV1-TR6-9</t>
  </si>
  <si>
    <t>MI5-C2I-LOG-NIV1-TR&gt;10</t>
  </si>
  <si>
    <t>MI5-C2I-LOG-NIV2-TR1</t>
  </si>
  <si>
    <t>MI5-C2I-LOG-NIV2-TR2-5</t>
  </si>
  <si>
    <t>MI5-C2I-LOG-NIV2-TR6-9</t>
  </si>
  <si>
    <t>MI5-C2I-LOG-NIV2-TR&gt;10</t>
  </si>
  <si>
    <t>ABT-CLEAN-C2I-SITE</t>
  </si>
  <si>
    <t>ABT-DESTROY-C2I-SITE</t>
  </si>
  <si>
    <t>ABT-DESTROY-C2I-DD</t>
  </si>
  <si>
    <t>ABT-TRANSFER-C2I-TR1</t>
  </si>
  <si>
    <t>ABT-TRANSFER-C2I-TR2-5</t>
  </si>
  <si>
    <t>ABT-TRANSFER-C2I-TR6-9</t>
  </si>
  <si>
    <t>ABT-TRANSFER-C2I-TR&gt;10</t>
  </si>
  <si>
    <t>ABT-REP-C2I-MAC</t>
  </si>
  <si>
    <t>ABT-REP-C2I-MAC-BL</t>
  </si>
  <si>
    <t>ABT-EXP-C2I-MAC</t>
  </si>
  <si>
    <t>ABT-TCO-C2I-IPADOS-2H</t>
  </si>
  <si>
    <t>ABT-TCO-C2I-IPADOS-1/2J</t>
  </si>
  <si>
    <t>ABT-TCO-C2I-IPADOS-1J</t>
  </si>
  <si>
    <t>ABT-TCO-C2I-MACOS-2H</t>
  </si>
  <si>
    <t>ABT-TCO-C2I-MACOS-1/2J</t>
  </si>
  <si>
    <t>ABT-TCO-C2I-MACOS-1J</t>
  </si>
  <si>
    <t>ABT-TECH-C2I-SITE-2H</t>
  </si>
  <si>
    <t>ABT-TECH-C2I-SITE-1/2J</t>
  </si>
  <si>
    <t>ABT-TECH-C2I-SITE-1J</t>
  </si>
  <si>
    <t>ABT-CDP-C2I-SITE-1J</t>
  </si>
  <si>
    <t>ABT-COR-C2I-SITE-1J</t>
  </si>
  <si>
    <t>MI5-INST-C2I-BA-TR&gt;10</t>
  </si>
  <si>
    <t>Options langues pour les claviers "Magic Keyboard" existe en langues (anglais britannique, anglais US, et anglais international)</t>
  </si>
  <si>
    <r>
      <t>Supression des 2 onglets</t>
    </r>
    <r>
      <rPr>
        <b/>
        <sz val="16"/>
        <color rgb="FF4F81BD"/>
        <rFont val="Calibri (Corps)"/>
      </rPr>
      <t xml:space="preserve"> 6 et 7 </t>
    </r>
    <r>
      <rPr>
        <sz val="16"/>
        <rFont val="Calibri"/>
        <family val="2"/>
        <scheme val="minor"/>
      </rPr>
      <t>DROM-COM - AJOUT des  AppleCare 3 ans spécifique DROM-COM dans l'onglet 2</t>
    </r>
  </si>
  <si>
    <t>DROM-COM cotation spécifique de livraison Taxes et octrois de mer</t>
  </si>
  <si>
    <t>*ATTENTION, LE PRIX DES CONFIGURATIONS INCLUT POUR LES DROM-COM  UNE  GARANTIES DE BASE  APPLE CARE 1 ANS - LES EXTENSIONS DE GARANTIE CI-DESSOUS SONT DISPONIBLES A LA COMMANDE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</si>
</sst>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2" formatCode="_-* #,##0\ &quot;€&quot;_-;\-* #,##0\ &quot;€&quot;_-;_-* &quot;-&quot;\ &quot;€&quot;_-;_-@_-"/>
    <numFmt numFmtId="43" formatCode="_-* #,##0.00_-;\-* #,##0.00_-;_-* &quot;-&quot;??_-;_-@_-"/>
    <numFmt numFmtId="164" formatCode="_-* #,##0\ _€_-;\-* #,##0\ _€_-;_-* &quot;-&quot;\ _€_-;_-@_-"/>
    <numFmt numFmtId="165" formatCode="_-* #,##0.00\ _€_-;\-* #,##0.00\ _€_-;_-* &quot;-&quot;??\ _€_-;_-@_-"/>
    <numFmt numFmtId="166" formatCode="#,##0.00&quot; F&quot;;[Red]\-#,##0.00&quot; F&quot;"/>
    <numFmt numFmtId="167" formatCode="#,##0.00\ &quot;€&quot;"/>
    <numFmt numFmtId="168" formatCode="0.0%"/>
    <numFmt numFmtId="169" formatCode="#,##0.00\ &quot;€&quot;;[Red]#,##0.00\ &quot;€&quot;"/>
    <numFmt numFmtId="170" formatCode="0.000%"/>
    <numFmt numFmtId="171" formatCode="_-* #,##0_-;\-* #,##0_-;_-* &quot;-&quot;??_-;_-@_-"/>
  </numFmts>
  <fonts count="133">
    <font>
      <sz val="10"/>
      <name val="Geneva"/>
    </font>
    <font>
      <sz val="12"/>
      <color theme="1"/>
      <name val="Calibri"/>
      <family val="2"/>
      <scheme val="minor"/>
    </font>
    <font>
      <sz val="12"/>
      <color theme="1"/>
      <name val="Calibri"/>
      <family val="2"/>
      <scheme val="minor"/>
    </font>
    <font>
      <sz val="10"/>
      <name val="Geneva"/>
      <family val="2"/>
    </font>
    <font>
      <u/>
      <sz val="10"/>
      <color theme="10"/>
      <name val="Geneva"/>
      <family val="2"/>
    </font>
    <font>
      <u/>
      <sz val="10"/>
      <color theme="11"/>
      <name val="Geneva"/>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65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0"/>
      <name val="Geneva"/>
      <family val="2"/>
    </font>
    <font>
      <u/>
      <sz val="16"/>
      <color rgb="FFCA1230"/>
      <name val="Myriad Apple Text"/>
    </font>
    <font>
      <sz val="12"/>
      <color rgb="FFCA1230"/>
      <name val="Century Gothic"/>
      <family val="1"/>
    </font>
    <font>
      <sz val="10"/>
      <color rgb="FF666266"/>
      <name val="Century Gothic"/>
      <family val="1"/>
    </font>
    <font>
      <sz val="22"/>
      <color rgb="FF240058"/>
      <name val="Calibri Light"/>
      <family val="2"/>
    </font>
    <font>
      <sz val="16"/>
      <color rgb="FF240058"/>
      <name val="Calibri Light"/>
      <family val="2"/>
    </font>
    <font>
      <sz val="24"/>
      <color rgb="FF240058"/>
      <name val="Calibri Light"/>
      <family val="2"/>
    </font>
    <font>
      <sz val="14"/>
      <color rgb="FF240058"/>
      <name val="Calibri Light"/>
      <family val="2"/>
    </font>
    <font>
      <sz val="11"/>
      <color rgb="FF240058"/>
      <name val="Calibri Light"/>
      <family val="2"/>
    </font>
    <font>
      <sz val="13"/>
      <color rgb="FFE30613"/>
      <name val="Calibri Light"/>
      <family val="2"/>
    </font>
    <font>
      <sz val="15"/>
      <color rgb="FF737373"/>
      <name val="Calibri Light"/>
      <family val="2"/>
    </font>
    <font>
      <sz val="15"/>
      <color rgb="FF240058"/>
      <name val="Calibri Light"/>
      <family val="2"/>
    </font>
    <font>
      <sz val="11"/>
      <color rgb="FF951746"/>
      <name val="Calibri Light"/>
      <family val="2"/>
    </font>
    <font>
      <sz val="14"/>
      <color rgb="FF240058"/>
      <name val="Calibri"/>
      <family val="2"/>
      <scheme val="minor"/>
    </font>
    <font>
      <sz val="24"/>
      <color rgb="FF240058"/>
      <name val="Calibri"/>
      <family val="2"/>
      <scheme val="minor"/>
    </font>
    <font>
      <sz val="10"/>
      <name val="Calibri"/>
      <family val="2"/>
      <scheme val="minor"/>
    </font>
    <font>
      <sz val="12"/>
      <color rgb="FFCA1230"/>
      <name val="Calibri"/>
      <family val="2"/>
      <scheme val="minor"/>
    </font>
    <font>
      <sz val="18"/>
      <color rgb="FF240058"/>
      <name val="Calibri Light"/>
      <family val="2"/>
    </font>
    <font>
      <sz val="9"/>
      <color theme="1"/>
      <name val="calibri"/>
      <family val="2"/>
    </font>
    <font>
      <b/>
      <sz val="11"/>
      <color theme="0"/>
      <name val="Calibri"/>
      <family val="2"/>
      <scheme val="minor"/>
    </font>
    <font>
      <b/>
      <sz val="10"/>
      <color indexed="10"/>
      <name val="Calibri"/>
      <family val="2"/>
      <scheme val="minor"/>
    </font>
    <font>
      <b/>
      <sz val="10"/>
      <color indexed="11"/>
      <name val="Calibri"/>
      <family val="2"/>
      <scheme val="minor"/>
    </font>
    <font>
      <sz val="10"/>
      <color rgb="FFE1641E"/>
      <name val="Calibri"/>
      <family val="2"/>
      <scheme val="minor"/>
    </font>
    <font>
      <sz val="24"/>
      <color rgb="FF3DB97C"/>
      <name val="Calibri"/>
      <family val="2"/>
      <scheme val="minor"/>
    </font>
    <font>
      <sz val="24"/>
      <color rgb="FFE1641E"/>
      <name val="Calibri"/>
      <family val="2"/>
      <scheme val="minor"/>
    </font>
    <font>
      <sz val="20"/>
      <color rgb="FF3366FF"/>
      <name val="Calibri"/>
      <family val="2"/>
      <scheme val="minor"/>
    </font>
    <font>
      <b/>
      <sz val="10"/>
      <name val="Calibri"/>
      <family val="2"/>
      <scheme val="minor"/>
    </font>
    <font>
      <b/>
      <sz val="10"/>
      <color rgb="FFE1641E"/>
      <name val="Calibri"/>
      <family val="2"/>
      <scheme val="minor"/>
    </font>
    <font>
      <sz val="14"/>
      <color rgb="FF3366FF"/>
      <name val="Calibri"/>
      <family val="2"/>
      <scheme val="minor"/>
    </font>
    <font>
      <b/>
      <sz val="10"/>
      <color rgb="FFCA1230"/>
      <name val="Calibri"/>
      <family val="2"/>
      <scheme val="minor"/>
    </font>
    <font>
      <sz val="10"/>
      <color rgb="FF3366FF"/>
      <name val="Calibri"/>
      <family val="2"/>
      <scheme val="minor"/>
    </font>
    <font>
      <sz val="12"/>
      <name val="Calibri"/>
      <family val="2"/>
      <scheme val="minor"/>
    </font>
    <font>
      <sz val="10"/>
      <color rgb="FFFF0000"/>
      <name val="Calibri"/>
      <family val="2"/>
      <scheme val="minor"/>
    </font>
    <font>
      <sz val="10"/>
      <name val="Calibri"/>
      <family val="2"/>
    </font>
    <font>
      <sz val="10"/>
      <color rgb="FF2CAB42"/>
      <name val="Calibri"/>
      <family val="2"/>
      <scheme val="minor"/>
    </font>
    <font>
      <sz val="24"/>
      <color rgb="FF2CAB42"/>
      <name val="Calibri"/>
      <family val="2"/>
      <scheme val="minor"/>
    </font>
    <font>
      <b/>
      <sz val="10"/>
      <color rgb="FF2CAB42"/>
      <name val="Calibri"/>
      <family val="2"/>
      <scheme val="minor"/>
    </font>
    <font>
      <b/>
      <sz val="10"/>
      <color theme="4"/>
      <name val="Calibri"/>
      <family val="2"/>
      <scheme val="minor"/>
    </font>
    <font>
      <sz val="10"/>
      <color theme="4"/>
      <name val="Calibri"/>
      <family val="2"/>
      <scheme val="minor"/>
    </font>
    <font>
      <b/>
      <sz val="22"/>
      <color rgb="FF240058"/>
      <name val="Calibri Light"/>
      <family val="2"/>
    </font>
    <font>
      <sz val="12"/>
      <color rgb="FF2CAB42"/>
      <name val="Calibri"/>
      <family val="2"/>
      <scheme val="minor"/>
    </font>
    <font>
      <sz val="9"/>
      <color rgb="FFFF0000"/>
      <name val="Calibri"/>
      <family val="2"/>
    </font>
    <font>
      <sz val="10"/>
      <color theme="1"/>
      <name val="Calibri"/>
      <family val="2"/>
      <scheme val="minor"/>
    </font>
    <font>
      <sz val="8"/>
      <name val="Geneva"/>
      <family val="2"/>
    </font>
    <font>
      <b/>
      <sz val="10"/>
      <color rgb="FFFF0000"/>
      <name val="Calibri"/>
      <family val="2"/>
      <scheme val="minor"/>
    </font>
    <font>
      <b/>
      <sz val="10"/>
      <color rgb="FFFF0000"/>
      <name val="Geneva"/>
      <family val="2"/>
    </font>
    <font>
      <b/>
      <sz val="10"/>
      <color theme="1"/>
      <name val="Calibri"/>
      <family val="2"/>
      <scheme val="minor"/>
    </font>
    <font>
      <sz val="10"/>
      <color rgb="FF2CAB42"/>
      <name val="Calibri (Corps)"/>
    </font>
    <font>
      <sz val="10"/>
      <name val="Calibri (Corps)"/>
    </font>
    <font>
      <b/>
      <sz val="10"/>
      <name val="Calibri (Corps)"/>
    </font>
    <font>
      <b/>
      <sz val="10"/>
      <color rgb="FF4F81BD"/>
      <name val="Calibri"/>
      <family val="2"/>
      <scheme val="minor"/>
    </font>
    <font>
      <sz val="10"/>
      <color rgb="FF4F81BD"/>
      <name val="Calibri"/>
      <family val="2"/>
      <scheme val="minor"/>
    </font>
    <font>
      <b/>
      <sz val="10"/>
      <color rgb="FF000000"/>
      <name val="Arial"/>
      <family val="2"/>
    </font>
    <font>
      <b/>
      <sz val="10"/>
      <name val="Arial"/>
      <family val="2"/>
    </font>
    <font>
      <sz val="9"/>
      <color rgb="FFFF0000"/>
      <name val="Calibri (Corps)"/>
    </font>
    <font>
      <sz val="10"/>
      <color rgb="FFFF0000"/>
      <name val="Calibri (Corps)"/>
    </font>
    <font>
      <b/>
      <sz val="10"/>
      <color theme="3"/>
      <name val="Calibri (Corps)"/>
    </font>
    <font>
      <sz val="10"/>
      <color theme="3"/>
      <name val="Calibri (Corps)"/>
    </font>
    <font>
      <b/>
      <sz val="10"/>
      <color theme="3"/>
      <name val="Calibri"/>
      <family val="2"/>
      <scheme val="minor"/>
    </font>
    <font>
      <sz val="10"/>
      <color theme="3"/>
      <name val="Calibri"/>
      <family val="2"/>
      <scheme val="minor"/>
    </font>
    <font>
      <sz val="11"/>
      <color theme="1"/>
      <name val="Calibri"/>
      <family val="2"/>
      <scheme val="minor"/>
    </font>
    <font>
      <sz val="24"/>
      <color theme="1"/>
      <name val="Calibri"/>
      <family val="2"/>
      <scheme val="minor"/>
    </font>
    <font>
      <b/>
      <sz val="10"/>
      <color theme="1"/>
      <name val="Calibri (Corps)"/>
    </font>
    <font>
      <sz val="10"/>
      <color theme="1"/>
      <name val="Calibri (Corps)"/>
    </font>
    <font>
      <sz val="10"/>
      <color rgb="FF00B050"/>
      <name val="Calibri (Corps)"/>
    </font>
    <font>
      <b/>
      <sz val="10"/>
      <color theme="1"/>
      <name val="Arial"/>
      <family val="2"/>
    </font>
    <font>
      <b/>
      <sz val="12"/>
      <name val="Calibri"/>
      <family val="2"/>
      <scheme val="minor"/>
    </font>
    <font>
      <b/>
      <sz val="18"/>
      <color rgb="FFFF0000"/>
      <name val="Calibri"/>
      <family val="2"/>
      <scheme val="minor"/>
    </font>
    <font>
      <b/>
      <sz val="20"/>
      <color rgb="FF0070C0"/>
      <name val="Calibri"/>
      <family val="2"/>
      <scheme val="minor"/>
    </font>
    <font>
      <sz val="16"/>
      <color theme="1"/>
      <name val="Calibri"/>
      <family val="2"/>
      <scheme val="minor"/>
    </font>
    <font>
      <b/>
      <sz val="26"/>
      <color rgb="FF0070C0"/>
      <name val="Calibri"/>
      <family val="2"/>
      <scheme val="minor"/>
    </font>
    <font>
      <sz val="10"/>
      <color rgb="FFFFC000"/>
      <name val="Calibri"/>
      <family val="2"/>
      <scheme val="minor"/>
    </font>
    <font>
      <b/>
      <sz val="24"/>
      <color rgb="FF0070C0"/>
      <name val="Calibri"/>
      <family val="2"/>
      <scheme val="minor"/>
    </font>
    <font>
      <b/>
      <sz val="10"/>
      <color rgb="FFC00000"/>
      <name val="Calibri"/>
      <family val="2"/>
      <scheme val="minor"/>
    </font>
    <font>
      <b/>
      <sz val="10"/>
      <color rgb="FFC00000"/>
      <name val="Geneva"/>
      <family val="2"/>
    </font>
    <font>
      <sz val="24"/>
      <name val="Calibri"/>
      <family val="2"/>
      <scheme val="minor"/>
    </font>
    <font>
      <b/>
      <sz val="14"/>
      <color rgb="FF2CAB42"/>
      <name val="Calibri (Corps)"/>
    </font>
    <font>
      <b/>
      <sz val="14"/>
      <color theme="1"/>
      <name val="Calibri"/>
      <family val="2"/>
      <scheme val="minor"/>
    </font>
    <font>
      <b/>
      <sz val="14"/>
      <color rgb="FFFF0000"/>
      <name val="Calibri (Corps)"/>
    </font>
    <font>
      <b/>
      <sz val="14"/>
      <color rgb="FFFFC000"/>
      <name val="Calibri (Corps)"/>
    </font>
    <font>
      <b/>
      <sz val="14"/>
      <color rgb="FF000000"/>
      <name val="Calibri"/>
      <family val="2"/>
    </font>
    <font>
      <b/>
      <sz val="14"/>
      <color rgb="FF2CAB42"/>
      <name val="Calibri"/>
      <family val="2"/>
    </font>
    <font>
      <b/>
      <sz val="14"/>
      <color rgb="FFFF0000"/>
      <name val="Calibri"/>
      <family val="2"/>
    </font>
    <font>
      <b/>
      <sz val="14"/>
      <color rgb="FFFFC000"/>
      <name val="Calibri"/>
      <family val="2"/>
    </font>
    <font>
      <b/>
      <sz val="10"/>
      <color rgb="FF4F81BD"/>
      <name val="Calibri (Corps)"/>
    </font>
    <font>
      <sz val="10"/>
      <color rgb="FF4F81BD"/>
      <name val="Calibri (Corps)"/>
    </font>
    <font>
      <b/>
      <sz val="10"/>
      <color rgb="FF2CAB42"/>
      <name val="Calibri (Corps)"/>
    </font>
    <font>
      <b/>
      <i/>
      <sz val="9"/>
      <color theme="1"/>
      <name val="Calibri"/>
      <family val="2"/>
      <scheme val="minor"/>
    </font>
    <font>
      <b/>
      <i/>
      <sz val="9"/>
      <name val="Calibri"/>
      <family val="2"/>
      <scheme val="minor"/>
    </font>
    <font>
      <b/>
      <sz val="10"/>
      <color rgb="FFFF0000"/>
      <name val="Calibri (Corps)"/>
    </font>
    <font>
      <sz val="16"/>
      <name val="Calibri"/>
      <family val="2"/>
      <scheme val="minor"/>
    </font>
    <font>
      <sz val="16"/>
      <color theme="1"/>
      <name val="Calibri (Corps)"/>
    </font>
    <font>
      <sz val="10"/>
      <color rgb="FFFFC000"/>
      <name val="Calibri (Corps)"/>
    </font>
    <font>
      <b/>
      <i/>
      <sz val="10"/>
      <name val="Calibri"/>
      <family val="2"/>
      <scheme val="minor"/>
    </font>
    <font>
      <b/>
      <i/>
      <sz val="10"/>
      <name val="Calibri (Corps)"/>
    </font>
    <font>
      <sz val="11"/>
      <name val="Calibri (Corps)"/>
    </font>
    <font>
      <b/>
      <sz val="10"/>
      <color rgb="FF000000"/>
      <name val="Calibri"/>
      <family val="2"/>
    </font>
    <font>
      <sz val="10"/>
      <color rgb="FF3366FF"/>
      <name val="Calibri"/>
      <family val="2"/>
    </font>
    <font>
      <sz val="10"/>
      <color rgb="FF000000"/>
      <name val="Calibri"/>
      <family val="2"/>
    </font>
    <font>
      <b/>
      <sz val="10"/>
      <color rgb="FFFFC000"/>
      <name val="Calibri"/>
      <family val="2"/>
      <scheme val="minor"/>
    </font>
    <font>
      <b/>
      <sz val="12"/>
      <color rgb="FF2CAB42"/>
      <name val="Calibri"/>
      <family val="2"/>
      <scheme val="minor"/>
    </font>
    <font>
      <sz val="16"/>
      <color rgb="FF2CAB42"/>
      <name val="Calibri (Corps)"/>
    </font>
    <font>
      <sz val="16"/>
      <color rgb="FFFF0000"/>
      <name val="Calibri (Corps)"/>
    </font>
    <font>
      <sz val="16"/>
      <color rgb="FFFF0000"/>
      <name val="Calibri"/>
      <family val="2"/>
      <scheme val="minor"/>
    </font>
    <font>
      <sz val="16"/>
      <color rgb="FF2CAB42"/>
      <name val="Calibri"/>
      <family val="2"/>
      <scheme val="minor"/>
    </font>
    <font>
      <sz val="16"/>
      <color rgb="FFFFC000"/>
      <name val="Calibri"/>
      <family val="2"/>
      <scheme val="minor"/>
    </font>
    <font>
      <b/>
      <sz val="16"/>
      <color theme="1"/>
      <name val="Calibri"/>
      <family val="2"/>
      <scheme val="minor"/>
    </font>
    <font>
      <sz val="9"/>
      <name val="Calibri (Corps)"/>
    </font>
    <font>
      <b/>
      <sz val="10"/>
      <name val="Calibri"/>
      <family val="2"/>
    </font>
    <font>
      <sz val="9"/>
      <name val="Calibri"/>
      <family val="2"/>
    </font>
    <font>
      <b/>
      <sz val="16"/>
      <color rgb="FF4F81BD"/>
      <name val="Calibri (Corps)"/>
    </font>
  </fonts>
  <fills count="5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tint="-0.14999847407452621"/>
        <bgColor indexed="64"/>
      </patternFill>
    </fill>
    <fill>
      <patternFill patternType="solid">
        <fgColor rgb="FFFFC000"/>
        <bgColor indexed="64"/>
      </patternFill>
    </fill>
    <fill>
      <patternFill patternType="solid">
        <fgColor rgb="FFFFDBEC"/>
        <bgColor indexed="64"/>
      </patternFill>
    </fill>
    <fill>
      <patternFill patternType="solid">
        <fgColor rgb="FFC3EFFF"/>
        <bgColor indexed="64"/>
      </patternFill>
    </fill>
    <fill>
      <patternFill patternType="solid">
        <fgColor rgb="FFD7B3FF"/>
        <bgColor indexed="64"/>
      </patternFill>
    </fill>
    <fill>
      <patternFill patternType="solid">
        <fgColor rgb="FFCFB38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rgb="FFC1FFB5"/>
        <bgColor indexed="64"/>
      </patternFill>
    </fill>
    <fill>
      <patternFill patternType="solid">
        <fgColor rgb="FFEAFFA2"/>
        <bgColor indexed="64"/>
      </patternFill>
    </fill>
    <fill>
      <patternFill patternType="solid">
        <fgColor rgb="FFF2F1FF"/>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E4E4E4"/>
        <bgColor indexed="64"/>
      </patternFill>
    </fill>
    <fill>
      <patternFill patternType="solid">
        <fgColor theme="8" tint="0.39997558519241921"/>
        <bgColor indexed="64"/>
      </patternFill>
    </fill>
    <fill>
      <patternFill patternType="solid">
        <fgColor rgb="FFFFFF00"/>
        <bgColor indexed="64"/>
      </patternFill>
    </fill>
    <fill>
      <patternFill patternType="solid">
        <fgColor rgb="FF4F81BD"/>
        <bgColor indexed="64"/>
      </patternFill>
    </fill>
  </fills>
  <borders count="7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6A6363"/>
      </left>
      <right/>
      <top/>
      <bottom/>
      <diagonal/>
    </border>
    <border>
      <left/>
      <right/>
      <top style="thin">
        <color rgb="FF6A6363"/>
      </top>
      <bottom style="thin">
        <color rgb="FF6A6363"/>
      </bottom>
      <diagonal/>
    </border>
    <border>
      <left style="thin">
        <color auto="1"/>
      </left>
      <right/>
      <top/>
      <bottom/>
      <diagonal/>
    </border>
    <border>
      <left style="thin">
        <color auto="1"/>
      </left>
      <right style="thin">
        <color auto="1"/>
      </right>
      <top/>
      <bottom/>
      <diagonal/>
    </border>
    <border>
      <left/>
      <right/>
      <top/>
      <bottom style="thin">
        <color rgb="FF240058"/>
      </bottom>
      <diagonal/>
    </border>
    <border>
      <left/>
      <right/>
      <top style="thin">
        <color rgb="FF737373"/>
      </top>
      <bottom/>
      <diagonal/>
    </border>
    <border>
      <left/>
      <right/>
      <top style="thin">
        <color auto="1"/>
      </top>
      <bottom/>
      <diagonal/>
    </border>
    <border>
      <left style="thick">
        <color rgb="FFD90A12"/>
      </left>
      <right style="thin">
        <color rgb="FF6A6363"/>
      </right>
      <top/>
      <bottom/>
      <diagonal/>
    </border>
    <border>
      <left style="thick">
        <color rgb="FFD90A12"/>
      </left>
      <right style="thin">
        <color rgb="FF6A6363"/>
      </right>
      <top style="thin">
        <color rgb="FF6A6363"/>
      </top>
      <bottom style="thin">
        <color auto="1"/>
      </bottom>
      <diagonal/>
    </border>
    <border>
      <left style="thick">
        <color rgb="FFCD0911"/>
      </left>
      <right/>
      <top/>
      <bottom/>
      <diagonal/>
    </border>
    <border>
      <left style="thick">
        <color rgb="FFE30613"/>
      </left>
      <right/>
      <top/>
      <bottom/>
      <diagonal/>
    </border>
    <border>
      <left style="thick">
        <color rgb="FFE30613"/>
      </left>
      <right/>
      <top style="thin">
        <color rgb="FF6A6363"/>
      </top>
      <bottom style="thin">
        <color rgb="FF6A6363"/>
      </bottom>
      <diagonal/>
    </border>
    <border>
      <left style="thin">
        <color auto="1"/>
      </left>
      <right style="thin">
        <color auto="1"/>
      </right>
      <top style="thin">
        <color auto="1"/>
      </top>
      <bottom style="thin">
        <color auto="1"/>
      </bottom>
      <diagonal/>
    </border>
    <border>
      <left/>
      <right style="thin">
        <color auto="1"/>
      </right>
      <top/>
      <bottom/>
      <diagonal/>
    </border>
    <border>
      <left/>
      <right style="thin">
        <color auto="1"/>
      </right>
      <top style="thin">
        <color auto="1"/>
      </top>
      <bottom style="thin">
        <color auto="1"/>
      </bottom>
      <diagonal/>
    </border>
    <border>
      <left style="thin">
        <color auto="1"/>
      </left>
      <right style="thin">
        <color auto="1"/>
      </right>
      <top/>
      <bottom style="thin">
        <color rgb="FF6A6363"/>
      </bottom>
      <diagonal/>
    </border>
    <border>
      <left style="thin">
        <color auto="1"/>
      </left>
      <right style="thin">
        <color auto="1"/>
      </right>
      <top style="thin">
        <color rgb="FF6A6363"/>
      </top>
      <bottom style="thin">
        <color rgb="FF6A6363"/>
      </bottom>
      <diagonal/>
    </border>
    <border>
      <left style="thin">
        <color rgb="FF6A6363"/>
      </left>
      <right/>
      <top style="thin">
        <color rgb="FF6A6363"/>
      </top>
      <bottom style="thin">
        <color rgb="FF6A6363"/>
      </bottom>
      <diagonal/>
    </border>
    <border>
      <left/>
      <right style="thin">
        <color indexed="64"/>
      </right>
      <top/>
      <bottom style="thin">
        <color rgb="FF6A6363"/>
      </bottom>
      <diagonal/>
    </border>
    <border>
      <left/>
      <right style="thin">
        <color indexed="64"/>
      </right>
      <top style="thin">
        <color rgb="FF6A6363"/>
      </top>
      <bottom style="thin">
        <color rgb="FF6A6363"/>
      </bottom>
      <diagonal/>
    </border>
    <border>
      <left/>
      <right style="thin">
        <color indexed="64"/>
      </right>
      <top style="thin">
        <color rgb="FF6A6363"/>
      </top>
      <bottom/>
      <diagonal/>
    </border>
    <border>
      <left style="thin">
        <color auto="1"/>
      </left>
      <right style="thin">
        <color indexed="64"/>
      </right>
      <top style="thin">
        <color rgb="FF6A6363"/>
      </top>
      <bottom/>
      <diagonal/>
    </border>
    <border>
      <left style="thin">
        <color theme="1"/>
      </left>
      <right style="thin">
        <color indexed="64"/>
      </right>
      <top/>
      <bottom/>
      <diagonal/>
    </border>
    <border>
      <left style="thin">
        <color indexed="64"/>
      </left>
      <right style="thin">
        <color rgb="FF6A6363"/>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thin">
        <color auto="1"/>
      </top>
      <bottom/>
      <diagonal/>
    </border>
    <border>
      <left style="thin">
        <color indexed="64"/>
      </left>
      <right/>
      <top style="thin">
        <color auto="1"/>
      </top>
      <bottom/>
      <diagonal/>
    </border>
    <border>
      <left/>
      <right/>
      <top/>
      <bottom style="thin">
        <color indexed="64"/>
      </bottom>
      <diagonal/>
    </border>
    <border>
      <left style="thin">
        <color rgb="FFC00000"/>
      </left>
      <right style="thin">
        <color auto="1"/>
      </right>
      <top style="thin">
        <color auto="1"/>
      </top>
      <bottom style="thin">
        <color auto="1"/>
      </bottom>
      <diagonal/>
    </border>
    <border>
      <left style="medium">
        <color indexed="64"/>
      </left>
      <right style="thin">
        <color auto="1"/>
      </right>
      <top/>
      <bottom/>
      <diagonal/>
    </border>
    <border>
      <left style="thick">
        <color auto="1"/>
      </left>
      <right style="thin">
        <color auto="1"/>
      </right>
      <top style="thick">
        <color auto="1"/>
      </top>
      <bottom/>
      <diagonal/>
    </border>
    <border>
      <left style="thin">
        <color auto="1"/>
      </left>
      <right style="thin">
        <color auto="1"/>
      </right>
      <top style="thick">
        <color auto="1"/>
      </top>
      <bottom/>
      <diagonal/>
    </border>
    <border>
      <left style="thick">
        <color auto="1"/>
      </left>
      <right style="thin">
        <color auto="1"/>
      </right>
      <top/>
      <bottom/>
      <diagonal/>
    </border>
    <border>
      <left style="thick">
        <color auto="1"/>
      </left>
      <right style="thin">
        <color auto="1"/>
      </right>
      <top/>
      <bottom style="thick">
        <color auto="1"/>
      </bottom>
      <diagonal/>
    </border>
    <border>
      <left style="thin">
        <color auto="1"/>
      </left>
      <right style="thin">
        <color auto="1"/>
      </right>
      <top/>
      <bottom style="thick">
        <color auto="1"/>
      </bottom>
      <diagonal/>
    </border>
    <border>
      <left style="thin">
        <color auto="1"/>
      </left>
      <right style="thick">
        <color auto="1"/>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bottom style="thin">
        <color auto="1"/>
      </bottom>
      <diagonal/>
    </border>
    <border>
      <left/>
      <right style="thick">
        <color auto="1"/>
      </right>
      <top/>
      <bottom/>
      <diagonal/>
    </border>
    <border>
      <left style="thin">
        <color auto="1"/>
      </left>
      <right style="thick">
        <color auto="1"/>
      </right>
      <top/>
      <bottom style="thin">
        <color auto="1"/>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right style="medium">
        <color indexed="64"/>
      </right>
      <top style="medium">
        <color indexed="64"/>
      </top>
      <bottom style="thin">
        <color auto="1"/>
      </bottom>
      <diagonal/>
    </border>
    <border>
      <left/>
      <right style="medium">
        <color indexed="64"/>
      </right>
      <top style="thin">
        <color auto="1"/>
      </top>
      <bottom style="thin">
        <color auto="1"/>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style="thin">
        <color auto="1"/>
      </top>
      <bottom style="medium">
        <color indexed="64"/>
      </bottom>
      <diagonal/>
    </border>
    <border>
      <left style="thick">
        <color rgb="FFC00000"/>
      </left>
      <right style="thin">
        <color auto="1"/>
      </right>
      <top/>
      <bottom/>
      <diagonal/>
    </border>
    <border>
      <left style="thick">
        <color rgb="FFC00000"/>
      </left>
      <right style="thin">
        <color rgb="FF6A6363"/>
      </right>
      <top/>
      <bottom/>
      <diagonal/>
    </border>
    <border>
      <left style="thick">
        <color rgb="FFCD0911"/>
      </left>
      <right style="thin">
        <color indexed="64"/>
      </right>
      <top/>
      <bottom style="thin">
        <color auto="1"/>
      </bottom>
      <diagonal/>
    </border>
    <border>
      <left style="thin">
        <color indexed="64"/>
      </left>
      <right style="thin">
        <color indexed="64"/>
      </right>
      <top/>
      <bottom style="thin">
        <color indexed="64"/>
      </bottom>
      <diagonal/>
    </border>
    <border>
      <left style="thick">
        <color rgb="FFC00000"/>
      </left>
      <right/>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ck">
        <color auto="1"/>
      </left>
      <right/>
      <top style="thick">
        <color auto="1"/>
      </top>
      <bottom/>
      <diagonal/>
    </border>
    <border>
      <left/>
      <right/>
      <top style="thick">
        <color auto="1"/>
      </top>
      <bottom/>
      <diagonal/>
    </border>
    <border>
      <left style="thick">
        <color auto="1"/>
      </left>
      <right style="thick">
        <color auto="1"/>
      </right>
      <top style="thick">
        <color auto="1"/>
      </top>
      <bottom style="thick">
        <color auto="1"/>
      </bottom>
      <diagonal/>
    </border>
    <border>
      <left style="thick">
        <color auto="1"/>
      </left>
      <right/>
      <top/>
      <bottom style="thick">
        <color auto="1"/>
      </bottom>
      <diagonal/>
    </border>
    <border>
      <left/>
      <right style="thick">
        <color auto="1"/>
      </right>
      <top style="thin">
        <color auto="1"/>
      </top>
      <bottom style="thin">
        <color auto="1"/>
      </bottom>
      <diagonal/>
    </border>
    <border>
      <left/>
      <right style="thick">
        <color auto="1"/>
      </right>
      <top/>
      <bottom style="thick">
        <color indexed="64"/>
      </bottom>
      <diagonal/>
    </border>
    <border>
      <left style="medium">
        <color indexed="64"/>
      </left>
      <right style="thin">
        <color auto="1"/>
      </right>
      <top/>
      <bottom style="thick">
        <color indexed="64"/>
      </bottom>
      <diagonal/>
    </border>
    <border>
      <left style="medium">
        <color indexed="64"/>
      </left>
      <right style="thin">
        <color auto="1"/>
      </right>
      <top style="thin">
        <color indexed="64"/>
      </top>
      <bottom/>
      <diagonal/>
    </border>
    <border>
      <left style="medium">
        <color indexed="64"/>
      </left>
      <right style="medium">
        <color indexed="64"/>
      </right>
      <top style="thin">
        <color auto="1"/>
      </top>
      <bottom/>
      <diagonal/>
    </border>
    <border>
      <left style="thin">
        <color auto="1"/>
      </left>
      <right/>
      <top style="thin">
        <color rgb="FF6A6363"/>
      </top>
      <bottom/>
      <diagonal/>
    </border>
    <border>
      <left style="thin">
        <color auto="1"/>
      </left>
      <right/>
      <top/>
      <bottom style="thin">
        <color rgb="FF6A6363"/>
      </bottom>
      <diagonal/>
    </border>
  </borders>
  <cellStyleXfs count="24616">
    <xf numFmtId="0" fontId="0" fillId="0" borderId="0"/>
    <xf numFmtId="166" fontId="3" fillId="0" borderId="0" applyFont="0" applyFill="0" applyBorder="0" applyAlignment="0" applyProtection="0"/>
    <xf numFmtId="9" fontId="3" fillId="0" borderId="0" applyFon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42" fontId="3" fillId="0" borderId="0" applyFont="0" applyFill="0" applyBorder="0" applyAlignment="0" applyProtection="0"/>
    <xf numFmtId="0" fontId="6" fillId="0" borderId="0" applyNumberFormat="0" applyFill="0" applyBorder="0" applyAlignment="0" applyProtection="0"/>
    <xf numFmtId="0" fontId="7" fillId="0" borderId="1" applyNumberFormat="0" applyFill="0" applyAlignment="0" applyProtection="0"/>
    <xf numFmtId="0" fontId="8" fillId="0" borderId="2" applyNumberFormat="0" applyFill="0" applyAlignment="0" applyProtection="0"/>
    <xf numFmtId="0" fontId="9" fillId="0" borderId="3" applyNumberFormat="0" applyFill="0" applyAlignment="0" applyProtection="0"/>
    <xf numFmtId="0" fontId="9" fillId="0" borderId="0" applyNumberFormat="0" applyFill="0" applyBorder="0" applyAlignment="0" applyProtection="0"/>
    <xf numFmtId="0" fontId="10" fillId="2" borderId="0" applyNumberFormat="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5" borderId="4" applyNumberFormat="0" applyAlignment="0" applyProtection="0"/>
    <xf numFmtId="0" fontId="14" fillId="6" borderId="5" applyNumberFormat="0" applyAlignment="0" applyProtection="0"/>
    <xf numFmtId="0" fontId="15" fillId="6" borderId="4" applyNumberFormat="0" applyAlignment="0" applyProtection="0"/>
    <xf numFmtId="0" fontId="16" fillId="0" borderId="6" applyNumberFormat="0" applyFill="0" applyAlignment="0" applyProtection="0"/>
    <xf numFmtId="0" fontId="17" fillId="7" borderId="7" applyNumberFormat="0" applyAlignment="0" applyProtection="0"/>
    <xf numFmtId="0" fontId="18" fillId="0" borderId="0" applyNumberFormat="0" applyFill="0" applyBorder="0" applyAlignment="0" applyProtection="0"/>
    <xf numFmtId="0" fontId="3" fillId="8" borderId="8" applyNumberFormat="0" applyFon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1" fillId="12" borderId="0" applyNumberFormat="0" applyBorder="0" applyAlignment="0" applyProtection="0"/>
    <xf numFmtId="0" fontId="21"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1" fillId="20" borderId="0" applyNumberFormat="0" applyBorder="0" applyAlignment="0" applyProtection="0"/>
    <xf numFmtId="0" fontId="21"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1" fillId="24" borderId="0" applyNumberFormat="0" applyBorder="0" applyAlignment="0" applyProtection="0"/>
    <xf numFmtId="0" fontId="21"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1" fillId="28" borderId="0" applyNumberFormat="0" applyBorder="0" applyAlignment="0" applyProtection="0"/>
    <xf numFmtId="0" fontId="21"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1" fillId="32" borderId="0" applyNumberFormat="0" applyBorder="0" applyAlignment="0" applyProtection="0"/>
    <xf numFmtId="0" fontId="28" fillId="0" borderId="15">
      <alignment horizontal="left" indent="5"/>
    </xf>
    <xf numFmtId="0" fontId="24" fillId="0" borderId="0">
      <alignment horizontal="center"/>
    </xf>
    <xf numFmtId="0" fontId="4"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5" fillId="0" borderId="0" applyNumberFormat="0" applyFill="0" applyBorder="0" applyAlignment="0" applyProtection="0"/>
    <xf numFmtId="0" fontId="25" fillId="0" borderId="0">
      <alignment horizontal="center"/>
    </xf>
    <xf numFmtId="9" fontId="29" fillId="0" borderId="0">
      <alignment horizont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26" fillId="0" borderId="14">
      <alignment horizontal="left" indent="5"/>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27" fillId="0" borderId="0">
      <alignment horizontal="left"/>
    </xf>
    <xf numFmtId="10" fontId="31" fillId="0" borderId="0">
      <alignment horizont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32" fillId="0" borderId="16">
      <alignment horizontal="left" indent="7"/>
    </xf>
    <xf numFmtId="0" fontId="30" fillId="0" borderId="0">
      <alignment horizontal="left" indent="1"/>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33" fillId="0" borderId="16">
      <alignment horizontal="left" indent="9"/>
    </xf>
    <xf numFmtId="0" fontId="34" fillId="0" borderId="0">
      <alignment horizontal="left" indent="2"/>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40" fillId="0" borderId="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9" fontId="82" fillId="0" borderId="0" applyFont="0" applyFill="0" applyBorder="0" applyAlignment="0" applyProtection="0"/>
    <xf numFmtId="43" fontId="82" fillId="0" borderId="0" applyFont="0" applyFill="0" applyBorder="0" applyAlignment="0" applyProtection="0"/>
    <xf numFmtId="0" fontId="3" fillId="0" borderId="0"/>
  </cellStyleXfs>
  <cellXfs count="707">
    <xf numFmtId="0" fontId="0" fillId="0" borderId="0" xfId="0"/>
    <xf numFmtId="167" fontId="37" fillId="0" borderId="0" xfId="0" applyNumberFormat="1" applyFont="1"/>
    <xf numFmtId="0" fontId="36" fillId="0" borderId="15" xfId="49" applyFont="1" applyAlignment="1">
      <alignment horizontal="left" vertical="center" indent="5"/>
    </xf>
    <xf numFmtId="167" fontId="38" fillId="0" borderId="0" xfId="0" applyNumberFormat="1" applyFont="1" applyAlignment="1">
      <alignment horizontal="center"/>
    </xf>
    <xf numFmtId="9" fontId="35" fillId="0" borderId="0" xfId="1154" applyFont="1">
      <alignment horizontal="center"/>
    </xf>
    <xf numFmtId="167" fontId="38" fillId="0" borderId="0" xfId="0" applyNumberFormat="1" applyFont="1"/>
    <xf numFmtId="167" fontId="38" fillId="0" borderId="0" xfId="0" applyNumberFormat="1" applyFont="1" applyAlignment="1">
      <alignment horizontal="center" vertical="center"/>
    </xf>
    <xf numFmtId="0" fontId="38" fillId="0" borderId="0" xfId="50" applyFont="1">
      <alignment horizontal="center"/>
    </xf>
    <xf numFmtId="9" fontId="29" fillId="0" borderId="0" xfId="1154">
      <alignment horizontal="center"/>
    </xf>
    <xf numFmtId="0" fontId="26" fillId="0" borderId="14" xfId="3656">
      <alignment horizontal="left" indent="5"/>
    </xf>
    <xf numFmtId="0" fontId="41" fillId="33" borderId="20" xfId="0" applyFont="1" applyFill="1" applyBorder="1" applyAlignment="1">
      <alignment horizontal="center"/>
    </xf>
    <xf numFmtId="167" fontId="42" fillId="0" borderId="0" xfId="0" applyNumberFormat="1" applyFont="1"/>
    <xf numFmtId="0" fontId="41" fillId="0" borderId="20" xfId="0" applyFont="1" applyBorder="1" applyAlignment="1">
      <alignment horizontal="center"/>
    </xf>
    <xf numFmtId="0" fontId="48" fillId="0" borderId="18" xfId="0" applyFont="1" applyBorder="1" applyAlignment="1">
      <alignment horizontal="left" vertical="top" wrapText="1"/>
    </xf>
    <xf numFmtId="2" fontId="37" fillId="0" borderId="13" xfId="0" applyNumberFormat="1" applyFont="1" applyBorder="1" applyAlignment="1">
      <alignment horizontal="center" vertical="top"/>
    </xf>
    <xf numFmtId="0" fontId="37" fillId="0" borderId="12" xfId="0" applyFont="1" applyBorder="1"/>
    <xf numFmtId="2" fontId="48" fillId="0" borderId="22" xfId="0" applyNumberFormat="1" applyFont="1" applyBorder="1" applyAlignment="1">
      <alignment horizontal="center" vertical="top" wrapText="1"/>
    </xf>
    <xf numFmtId="167" fontId="37" fillId="0" borderId="13" xfId="0" applyNumberFormat="1" applyFont="1" applyBorder="1" applyAlignment="1">
      <alignment horizontal="center" vertical="top"/>
    </xf>
    <xf numFmtId="167" fontId="37" fillId="0" borderId="0" xfId="0" applyNumberFormat="1" applyFont="1" applyAlignment="1">
      <alignment vertical="top"/>
    </xf>
    <xf numFmtId="0" fontId="61" fillId="0" borderId="16" xfId="3656" applyFont="1" applyBorder="1" applyAlignment="1">
      <alignment horizontal="left" vertical="top"/>
    </xf>
    <xf numFmtId="0" fontId="39" fillId="0" borderId="14" xfId="3656" applyFont="1" applyAlignment="1">
      <alignment horizontal="left" vertical="top" indent="1"/>
    </xf>
    <xf numFmtId="0" fontId="26" fillId="0" borderId="0" xfId="3656" applyBorder="1">
      <alignment horizontal="left" indent="5"/>
    </xf>
    <xf numFmtId="9" fontId="37" fillId="0" borderId="23" xfId="0" applyNumberFormat="1" applyFont="1" applyBorder="1" applyAlignment="1">
      <alignment horizontal="center"/>
    </xf>
    <xf numFmtId="167" fontId="37" fillId="0" borderId="13" xfId="0" applyNumberFormat="1" applyFont="1" applyBorder="1"/>
    <xf numFmtId="167" fontId="37" fillId="0" borderId="25" xfId="0" applyNumberFormat="1" applyFont="1" applyBorder="1"/>
    <xf numFmtId="0" fontId="37" fillId="0" borderId="19" xfId="0" applyFont="1" applyBorder="1" applyAlignment="1">
      <alignment horizontal="left"/>
    </xf>
    <xf numFmtId="167" fontId="37" fillId="0" borderId="10" xfId="0" applyNumberFormat="1" applyFont="1" applyBorder="1" applyAlignment="1">
      <alignment horizontal="left"/>
    </xf>
    <xf numFmtId="167" fontId="37" fillId="0" borderId="23" xfId="0" applyNumberFormat="1" applyFont="1" applyBorder="1"/>
    <xf numFmtId="167" fontId="44" fillId="0" borderId="13" xfId="0" applyNumberFormat="1" applyFont="1" applyBorder="1"/>
    <xf numFmtId="0" fontId="37" fillId="0" borderId="13" xfId="0" applyFont="1" applyBorder="1" applyAlignment="1">
      <alignment horizontal="center"/>
    </xf>
    <xf numFmtId="167" fontId="48" fillId="0" borderId="27" xfId="0" applyNumberFormat="1" applyFont="1" applyBorder="1" applyAlignment="1">
      <alignment horizontal="left" vertical="top" wrapText="1"/>
    </xf>
    <xf numFmtId="167" fontId="37" fillId="0" borderId="23" xfId="0" applyNumberFormat="1" applyFont="1" applyBorder="1" applyAlignment="1">
      <alignment horizontal="center" vertical="top"/>
    </xf>
    <xf numFmtId="167" fontId="48" fillId="0" borderId="26" xfId="0" applyNumberFormat="1" applyFont="1" applyBorder="1" applyAlignment="1">
      <alignment horizontal="center" vertical="top" wrapText="1"/>
    </xf>
    <xf numFmtId="0" fontId="37" fillId="0" borderId="23" xfId="0" applyFont="1" applyBorder="1" applyAlignment="1">
      <alignment horizontal="center"/>
    </xf>
    <xf numFmtId="167" fontId="48" fillId="0" borderId="29" xfId="0" applyNumberFormat="1" applyFont="1" applyBorder="1" applyAlignment="1">
      <alignment horizontal="center" vertical="top" wrapText="1"/>
    </xf>
    <xf numFmtId="167" fontId="37" fillId="0" borderId="23" xfId="0" applyNumberFormat="1" applyFont="1" applyBorder="1" applyAlignment="1">
      <alignment horizontal="center"/>
    </xf>
    <xf numFmtId="167" fontId="37" fillId="0" borderId="28" xfId="0" applyNumberFormat="1" applyFont="1" applyBorder="1"/>
    <xf numFmtId="2" fontId="48" fillId="0" borderId="29" xfId="0" applyNumberFormat="1" applyFont="1" applyBorder="1" applyAlignment="1">
      <alignment horizontal="center" vertical="top" wrapText="1"/>
    </xf>
    <xf numFmtId="167" fontId="43" fillId="0" borderId="23" xfId="0" applyNumberFormat="1" applyFont="1" applyBorder="1"/>
    <xf numFmtId="167" fontId="43" fillId="0" borderId="28" xfId="0" applyNumberFormat="1" applyFont="1" applyBorder="1"/>
    <xf numFmtId="168" fontId="37" fillId="0" borderId="23" xfId="0" applyNumberFormat="1" applyFont="1" applyBorder="1"/>
    <xf numFmtId="168" fontId="37" fillId="0" borderId="28" xfId="0" applyNumberFormat="1" applyFont="1" applyBorder="1"/>
    <xf numFmtId="168" fontId="48" fillId="0" borderId="29" xfId="0" applyNumberFormat="1" applyFont="1" applyBorder="1" applyAlignment="1">
      <alignment horizontal="center" vertical="top" wrapText="1"/>
    </xf>
    <xf numFmtId="2" fontId="48" fillId="0" borderId="24" xfId="0" applyNumberFormat="1" applyFont="1" applyBorder="1" applyAlignment="1">
      <alignment horizontal="center" vertical="top" wrapText="1"/>
    </xf>
    <xf numFmtId="2" fontId="45" fillId="0" borderId="30" xfId="0" applyNumberFormat="1" applyFont="1" applyBorder="1" applyAlignment="1">
      <alignment horizontal="center"/>
    </xf>
    <xf numFmtId="2" fontId="45" fillId="0" borderId="31" xfId="0" applyNumberFormat="1" applyFont="1" applyBorder="1" applyAlignment="1">
      <alignment horizontal="center"/>
    </xf>
    <xf numFmtId="167" fontId="56" fillId="0" borderId="13" xfId="0" applyNumberFormat="1" applyFont="1" applyBorder="1" applyAlignment="1">
      <alignment horizontal="center" vertical="top"/>
    </xf>
    <xf numFmtId="2" fontId="46" fillId="0" borderId="26" xfId="0" applyNumberFormat="1" applyFont="1" applyBorder="1" applyAlignment="1">
      <alignment horizontal="center"/>
    </xf>
    <xf numFmtId="2" fontId="49" fillId="0" borderId="26" xfId="0" applyNumberFormat="1" applyFont="1" applyBorder="1" applyAlignment="1">
      <alignment horizontal="center" vertical="top" wrapText="1"/>
    </xf>
    <xf numFmtId="2" fontId="57" fillId="0" borderId="26" xfId="0" applyNumberFormat="1" applyFont="1" applyBorder="1" applyAlignment="1">
      <alignment horizontal="center"/>
    </xf>
    <xf numFmtId="2" fontId="58" fillId="0" borderId="26" xfId="0" applyNumberFormat="1" applyFont="1" applyBorder="1" applyAlignment="1">
      <alignment horizontal="center" vertical="top" wrapText="1"/>
    </xf>
    <xf numFmtId="167" fontId="54" fillId="0" borderId="13" xfId="0" applyNumberFormat="1" applyFont="1" applyBorder="1"/>
    <xf numFmtId="2" fontId="54" fillId="0" borderId="13" xfId="0" applyNumberFormat="1" applyFont="1" applyBorder="1" applyAlignment="1">
      <alignment horizontal="center" vertical="top"/>
    </xf>
    <xf numFmtId="167" fontId="47" fillId="0" borderId="22" xfId="0" applyNumberFormat="1" applyFont="1" applyBorder="1" applyAlignment="1">
      <alignment horizontal="center"/>
    </xf>
    <xf numFmtId="167" fontId="50" fillId="0" borderId="25" xfId="0" applyNumberFormat="1" applyFont="1" applyBorder="1" applyAlignment="1">
      <alignment horizontal="center" vertical="top" wrapText="1"/>
    </xf>
    <xf numFmtId="167" fontId="52" fillId="0" borderId="13" xfId="0" applyNumberFormat="1" applyFont="1" applyBorder="1" applyAlignment="1">
      <alignment horizontal="center" vertical="center"/>
    </xf>
    <xf numFmtId="2" fontId="70" fillId="0" borderId="13" xfId="0" applyNumberFormat="1" applyFont="1" applyBorder="1" applyAlignment="1">
      <alignment horizontal="center" vertical="top"/>
    </xf>
    <xf numFmtId="167" fontId="70" fillId="0" borderId="13" xfId="0" applyNumberFormat="1" applyFont="1" applyBorder="1" applyAlignment="1">
      <alignment horizontal="center" vertical="center"/>
    </xf>
    <xf numFmtId="167" fontId="56" fillId="0" borderId="13" xfId="0" applyNumberFormat="1" applyFont="1" applyBorder="1" applyAlignment="1">
      <alignment horizontal="center"/>
    </xf>
    <xf numFmtId="10" fontId="29" fillId="0" borderId="0" xfId="1154" applyNumberFormat="1">
      <alignment horizontal="center"/>
    </xf>
    <xf numFmtId="0" fontId="37" fillId="0" borderId="12" xfId="0" applyFont="1" applyBorder="1" applyAlignment="1">
      <alignment horizontal="left"/>
    </xf>
    <xf numFmtId="0" fontId="37" fillId="0" borderId="13" xfId="0" applyFont="1" applyBorder="1" applyAlignment="1">
      <alignment horizontal="center" vertical="top"/>
    </xf>
    <xf numFmtId="167" fontId="37" fillId="0" borderId="0" xfId="0" applyNumberFormat="1" applyFont="1" applyAlignment="1">
      <alignment horizontal="center"/>
    </xf>
    <xf numFmtId="167" fontId="37" fillId="0" borderId="13" xfId="0" applyNumberFormat="1" applyFont="1" applyBorder="1" applyAlignment="1">
      <alignment horizontal="center"/>
    </xf>
    <xf numFmtId="0" fontId="37" fillId="0" borderId="13" xfId="0" applyFont="1" applyBorder="1" applyAlignment="1">
      <alignment horizontal="left"/>
    </xf>
    <xf numFmtId="1" fontId="37" fillId="0" borderId="13" xfId="0" applyNumberFormat="1" applyFont="1" applyBorder="1" applyAlignment="1">
      <alignment horizontal="center"/>
    </xf>
    <xf numFmtId="168" fontId="37" fillId="0" borderId="23" xfId="0" applyNumberFormat="1" applyFont="1" applyBorder="1" applyAlignment="1">
      <alignment horizontal="center"/>
    </xf>
    <xf numFmtId="10" fontId="35" fillId="0" borderId="0" xfId="1154" applyNumberFormat="1" applyFont="1">
      <alignment horizontal="center"/>
    </xf>
    <xf numFmtId="167" fontId="63" fillId="0" borderId="13" xfId="0" applyNumberFormat="1" applyFont="1" applyBorder="1" applyAlignment="1">
      <alignment horizontal="center" vertical="top"/>
    </xf>
    <xf numFmtId="167" fontId="37" fillId="0" borderId="23" xfId="0" applyNumberFormat="1" applyFont="1" applyBorder="1" applyAlignment="1">
      <alignment horizontal="center" vertical="center"/>
    </xf>
    <xf numFmtId="167" fontId="37" fillId="0" borderId="0" xfId="0" applyNumberFormat="1" applyFont="1" applyAlignment="1">
      <alignment horizontal="center" vertical="center"/>
    </xf>
    <xf numFmtId="167" fontId="37" fillId="0" borderId="13" xfId="0" applyNumberFormat="1" applyFont="1" applyBorder="1" applyAlignment="1">
      <alignment horizontal="center" vertical="center"/>
    </xf>
    <xf numFmtId="167" fontId="37" fillId="0" borderId="12" xfId="0" applyNumberFormat="1" applyFont="1" applyBorder="1" applyAlignment="1">
      <alignment horizontal="center" vertical="center"/>
    </xf>
    <xf numFmtId="167" fontId="42" fillId="0" borderId="13" xfId="0" applyNumberFormat="1" applyFont="1" applyBorder="1" applyAlignment="1">
      <alignment horizontal="center"/>
    </xf>
    <xf numFmtId="167" fontId="42" fillId="0" borderId="25" xfId="0" applyNumberFormat="1" applyFont="1" applyBorder="1" applyAlignment="1">
      <alignment horizontal="center"/>
    </xf>
    <xf numFmtId="167" fontId="43" fillId="0" borderId="23" xfId="0" applyNumberFormat="1" applyFont="1" applyBorder="1" applyAlignment="1">
      <alignment horizontal="center"/>
    </xf>
    <xf numFmtId="167" fontId="43" fillId="0" borderId="28" xfId="0" applyNumberFormat="1" applyFont="1" applyBorder="1" applyAlignment="1">
      <alignment horizontal="center"/>
    </xf>
    <xf numFmtId="9" fontId="37" fillId="0" borderId="23" xfId="0" applyNumberFormat="1" applyFont="1" applyBorder="1" applyAlignment="1">
      <alignment horizontal="center" vertical="center"/>
    </xf>
    <xf numFmtId="0" fontId="38" fillId="40" borderId="0" xfId="50" applyFont="1" applyFill="1">
      <alignment horizontal="center"/>
    </xf>
    <xf numFmtId="167" fontId="38" fillId="41" borderId="0" xfId="0" applyNumberFormat="1" applyFont="1" applyFill="1" applyAlignment="1">
      <alignment horizontal="center"/>
    </xf>
    <xf numFmtId="0" fontId="38" fillId="42" borderId="0" xfId="50" applyFont="1" applyFill="1">
      <alignment horizontal="center"/>
    </xf>
    <xf numFmtId="0" fontId="38" fillId="43" borderId="0" xfId="50" applyFont="1" applyFill="1">
      <alignment horizontal="center"/>
    </xf>
    <xf numFmtId="0" fontId="38" fillId="37" borderId="0" xfId="50" applyFont="1" applyFill="1">
      <alignment horizontal="center"/>
    </xf>
    <xf numFmtId="167" fontId="38" fillId="38" borderId="0" xfId="0" applyNumberFormat="1" applyFont="1" applyFill="1" applyAlignment="1">
      <alignment horizontal="center"/>
    </xf>
    <xf numFmtId="167" fontId="38" fillId="34" borderId="0" xfId="0" applyNumberFormat="1" applyFont="1" applyFill="1" applyAlignment="1">
      <alignment horizontal="center"/>
    </xf>
    <xf numFmtId="0" fontId="38" fillId="36" borderId="0" xfId="50" applyFont="1" applyFill="1">
      <alignment horizontal="center"/>
    </xf>
    <xf numFmtId="0" fontId="38" fillId="44" borderId="0" xfId="50" applyFont="1" applyFill="1">
      <alignment horizontal="center"/>
    </xf>
    <xf numFmtId="0" fontId="38" fillId="35" borderId="0" xfId="50" applyFont="1" applyFill="1">
      <alignment horizontal="center"/>
    </xf>
    <xf numFmtId="0" fontId="38" fillId="39" borderId="0" xfId="50" applyFont="1" applyFill="1">
      <alignment horizontal="center"/>
    </xf>
    <xf numFmtId="0" fontId="38" fillId="45" borderId="0" xfId="50" applyFont="1" applyFill="1">
      <alignment horizontal="center"/>
    </xf>
    <xf numFmtId="167" fontId="38" fillId="46" borderId="0" xfId="0" applyNumberFormat="1" applyFont="1" applyFill="1" applyAlignment="1">
      <alignment horizontal="center"/>
    </xf>
    <xf numFmtId="167" fontId="54" fillId="0" borderId="13" xfId="0" applyNumberFormat="1" applyFont="1" applyBorder="1" applyAlignment="1">
      <alignment horizontal="center"/>
    </xf>
    <xf numFmtId="169" fontId="37" fillId="0" borderId="23" xfId="0" applyNumberFormat="1" applyFont="1" applyBorder="1" applyAlignment="1">
      <alignment horizontal="center"/>
    </xf>
    <xf numFmtId="0" fontId="72" fillId="0" borderId="19" xfId="0" applyFont="1" applyBorder="1" applyAlignment="1">
      <alignment horizontal="left"/>
    </xf>
    <xf numFmtId="167" fontId="72" fillId="0" borderId="10" xfId="0" applyNumberFormat="1" applyFont="1" applyBorder="1" applyAlignment="1">
      <alignment horizontal="left"/>
    </xf>
    <xf numFmtId="0" fontId="72" fillId="0" borderId="13" xfId="0" applyFont="1" applyBorder="1" applyAlignment="1">
      <alignment horizontal="center"/>
    </xf>
    <xf numFmtId="167" fontId="72" fillId="0" borderId="23" xfId="0" applyNumberFormat="1" applyFont="1" applyBorder="1" applyAlignment="1">
      <alignment horizontal="center"/>
    </xf>
    <xf numFmtId="10" fontId="73" fillId="0" borderId="23" xfId="0" applyNumberFormat="1" applyFont="1" applyBorder="1" applyAlignment="1">
      <alignment horizontal="center"/>
    </xf>
    <xf numFmtId="167" fontId="73" fillId="0" borderId="23" xfId="0" applyNumberFormat="1" applyFont="1" applyBorder="1" applyAlignment="1">
      <alignment horizontal="center" vertical="top"/>
    </xf>
    <xf numFmtId="167" fontId="73" fillId="0" borderId="13" xfId="0" applyNumberFormat="1" applyFont="1" applyBorder="1" applyAlignment="1">
      <alignment horizontal="center" vertical="top"/>
    </xf>
    <xf numFmtId="167" fontId="48" fillId="0" borderId="23" xfId="0" applyNumberFormat="1" applyFont="1" applyBorder="1" applyAlignment="1">
      <alignment horizontal="center" vertical="top"/>
    </xf>
    <xf numFmtId="167" fontId="48" fillId="0" borderId="13" xfId="0" applyNumberFormat="1" applyFont="1" applyBorder="1" applyAlignment="1">
      <alignment horizontal="center" vertical="top"/>
    </xf>
    <xf numFmtId="10" fontId="37" fillId="0" borderId="23" xfId="0" applyNumberFormat="1" applyFont="1" applyBorder="1" applyAlignment="1">
      <alignment horizontal="center"/>
    </xf>
    <xf numFmtId="0" fontId="48" fillId="0" borderId="19" xfId="0" applyFont="1" applyBorder="1" applyAlignment="1">
      <alignment horizontal="left"/>
    </xf>
    <xf numFmtId="167" fontId="48" fillId="0" borderId="10" xfId="0" applyNumberFormat="1" applyFont="1" applyBorder="1" applyAlignment="1">
      <alignment horizontal="left"/>
    </xf>
    <xf numFmtId="0" fontId="48" fillId="0" borderId="13" xfId="0" applyFont="1" applyBorder="1" applyAlignment="1">
      <alignment horizontal="center"/>
    </xf>
    <xf numFmtId="167" fontId="48" fillId="0" borderId="0" xfId="0" applyNumberFormat="1" applyFont="1" applyAlignment="1">
      <alignment horizontal="center"/>
    </xf>
    <xf numFmtId="0" fontId="48" fillId="0" borderId="32" xfId="0" applyFont="1" applyBorder="1" applyAlignment="1">
      <alignment horizontal="center"/>
    </xf>
    <xf numFmtId="167" fontId="48" fillId="0" borderId="23" xfId="0" applyNumberFormat="1" applyFont="1" applyBorder="1" applyAlignment="1">
      <alignment horizontal="center"/>
    </xf>
    <xf numFmtId="9" fontId="48" fillId="0" borderId="23" xfId="0" applyNumberFormat="1" applyFont="1" applyBorder="1" applyAlignment="1">
      <alignment horizontal="center"/>
    </xf>
    <xf numFmtId="167" fontId="72" fillId="0" borderId="0" xfId="0" applyNumberFormat="1" applyFont="1" applyAlignment="1">
      <alignment horizontal="center"/>
    </xf>
    <xf numFmtId="0" fontId="72" fillId="0" borderId="12" xfId="0" applyFont="1" applyBorder="1" applyAlignment="1">
      <alignment horizontal="center"/>
    </xf>
    <xf numFmtId="167" fontId="72" fillId="0" borderId="13" xfId="0" applyNumberFormat="1" applyFont="1" applyBorder="1" applyAlignment="1">
      <alignment horizontal="center"/>
    </xf>
    <xf numFmtId="0" fontId="70" fillId="0" borderId="19" xfId="0" applyFont="1" applyBorder="1" applyAlignment="1">
      <alignment horizontal="left"/>
    </xf>
    <xf numFmtId="167" fontId="70" fillId="0" borderId="10" xfId="0" applyNumberFormat="1" applyFont="1" applyBorder="1" applyAlignment="1">
      <alignment horizontal="left"/>
    </xf>
    <xf numFmtId="0" fontId="70" fillId="0" borderId="13" xfId="0" applyFont="1" applyBorder="1" applyAlignment="1">
      <alignment horizontal="center"/>
    </xf>
    <xf numFmtId="167" fontId="70" fillId="0" borderId="23" xfId="0" applyNumberFormat="1" applyFont="1" applyBorder="1" applyAlignment="1">
      <alignment horizontal="center"/>
    </xf>
    <xf numFmtId="0" fontId="70" fillId="0" borderId="23" xfId="0" applyFont="1" applyBorder="1" applyAlignment="1">
      <alignment horizontal="center"/>
    </xf>
    <xf numFmtId="10" fontId="70" fillId="0" borderId="23" xfId="0" applyNumberFormat="1" applyFont="1" applyBorder="1" applyAlignment="1">
      <alignment horizontal="center"/>
    </xf>
    <xf numFmtId="167" fontId="70" fillId="0" borderId="23" xfId="0" applyNumberFormat="1" applyFont="1" applyBorder="1" applyAlignment="1">
      <alignment horizontal="center" vertical="top"/>
    </xf>
    <xf numFmtId="167" fontId="70" fillId="0" borderId="13" xfId="0" applyNumberFormat="1" applyFont="1" applyBorder="1" applyAlignment="1">
      <alignment horizontal="center" vertical="top"/>
    </xf>
    <xf numFmtId="167" fontId="70" fillId="0" borderId="0" xfId="0" applyNumberFormat="1" applyFont="1"/>
    <xf numFmtId="167" fontId="72" fillId="0" borderId="13" xfId="0" applyNumberFormat="1" applyFont="1" applyBorder="1" applyAlignment="1">
      <alignment horizontal="center" vertical="top"/>
    </xf>
    <xf numFmtId="0" fontId="37" fillId="0" borderId="10" xfId="0" applyFont="1" applyBorder="1" applyAlignment="1">
      <alignment horizontal="left"/>
    </xf>
    <xf numFmtId="167" fontId="56" fillId="0" borderId="23" xfId="0" applyNumberFormat="1" applyFont="1" applyBorder="1" applyAlignment="1">
      <alignment horizontal="center" vertical="top"/>
    </xf>
    <xf numFmtId="0" fontId="59" fillId="0" borderId="19" xfId="0" applyFont="1" applyBorder="1" applyAlignment="1">
      <alignment horizontal="left"/>
    </xf>
    <xf numFmtId="167" fontId="59" fillId="0" borderId="10" xfId="0" applyNumberFormat="1" applyFont="1" applyBorder="1" applyAlignment="1">
      <alignment horizontal="left"/>
    </xf>
    <xf numFmtId="0" fontId="59" fillId="0" borderId="13" xfId="0" applyFont="1" applyBorder="1" applyAlignment="1">
      <alignment horizontal="center"/>
    </xf>
    <xf numFmtId="167" fontId="59" fillId="0" borderId="23" xfId="0" applyNumberFormat="1" applyFont="1" applyBorder="1" applyAlignment="1">
      <alignment horizontal="center"/>
    </xf>
    <xf numFmtId="167" fontId="60" fillId="0" borderId="23" xfId="0" applyNumberFormat="1" applyFont="1" applyBorder="1" applyAlignment="1">
      <alignment horizontal="center" vertical="top"/>
    </xf>
    <xf numFmtId="167" fontId="60" fillId="0" borderId="13" xfId="0" applyNumberFormat="1" applyFont="1" applyBorder="1" applyAlignment="1">
      <alignment horizontal="center" vertical="top"/>
    </xf>
    <xf numFmtId="0" fontId="59" fillId="0" borderId="23" xfId="0" applyFont="1" applyBorder="1" applyAlignment="1">
      <alignment horizontal="center"/>
    </xf>
    <xf numFmtId="10" fontId="59" fillId="0" borderId="23" xfId="0" applyNumberFormat="1" applyFont="1" applyBorder="1" applyAlignment="1">
      <alignment horizontal="center"/>
    </xf>
    <xf numFmtId="167" fontId="59" fillId="0" borderId="13" xfId="0" applyNumberFormat="1" applyFont="1" applyBorder="1" applyAlignment="1">
      <alignment horizontal="center" vertical="top"/>
    </xf>
    <xf numFmtId="167" fontId="69" fillId="0" borderId="13" xfId="0" applyNumberFormat="1" applyFont="1" applyBorder="1" applyAlignment="1">
      <alignment horizontal="center" vertical="top"/>
    </xf>
    <xf numFmtId="0" fontId="72" fillId="0" borderId="13" xfId="0" applyFont="1" applyBorder="1" applyAlignment="1">
      <alignment horizontal="left"/>
    </xf>
    <xf numFmtId="0" fontId="72" fillId="0" borderId="10" xfId="0" applyFont="1" applyBorder="1" applyAlignment="1">
      <alignment horizontal="center"/>
    </xf>
    <xf numFmtId="167" fontId="72" fillId="0" borderId="10" xfId="0" applyNumberFormat="1" applyFont="1" applyBorder="1" applyAlignment="1">
      <alignment horizontal="center"/>
    </xf>
    <xf numFmtId="9" fontId="70" fillId="0" borderId="23" xfId="0" applyNumberFormat="1" applyFont="1" applyBorder="1" applyAlignment="1">
      <alignment horizontal="center"/>
    </xf>
    <xf numFmtId="0" fontId="48" fillId="0" borderId="23" xfId="0" applyFont="1" applyBorder="1" applyAlignment="1">
      <alignment horizontal="center"/>
    </xf>
    <xf numFmtId="0" fontId="72" fillId="0" borderId="23" xfId="0" applyFont="1" applyBorder="1" applyAlignment="1">
      <alignment horizontal="center"/>
    </xf>
    <xf numFmtId="10" fontId="72" fillId="0" borderId="23" xfId="0" applyNumberFormat="1" applyFont="1" applyBorder="1" applyAlignment="1">
      <alignment horizontal="center"/>
    </xf>
    <xf numFmtId="0" fontId="37" fillId="0" borderId="12" xfId="0" applyFont="1" applyBorder="1" applyAlignment="1">
      <alignment horizontal="center"/>
    </xf>
    <xf numFmtId="167" fontId="64" fillId="0" borderId="23" xfId="0" applyNumberFormat="1" applyFont="1" applyBorder="1" applyAlignment="1">
      <alignment horizontal="center"/>
    </xf>
    <xf numFmtId="167" fontId="68" fillId="0" borderId="23" xfId="0" applyNumberFormat="1" applyFont="1" applyBorder="1" applyAlignment="1">
      <alignment horizontal="center" vertical="top"/>
    </xf>
    <xf numFmtId="167" fontId="72" fillId="0" borderId="23" xfId="0" applyNumberFormat="1" applyFont="1" applyBorder="1" applyAlignment="1">
      <alignment horizontal="center" vertical="top"/>
    </xf>
    <xf numFmtId="0" fontId="72" fillId="0" borderId="13" xfId="0" applyFont="1" applyBorder="1" applyAlignment="1">
      <alignment horizontal="center" vertical="center"/>
    </xf>
    <xf numFmtId="167" fontId="76" fillId="0" borderId="13" xfId="0" applyNumberFormat="1" applyFont="1" applyBorder="1" applyAlignment="1">
      <alignment horizontal="center" vertical="top"/>
    </xf>
    <xf numFmtId="0" fontId="55" fillId="0" borderId="13" xfId="0" applyFont="1" applyBorder="1" applyAlignment="1">
      <alignment horizontal="center"/>
    </xf>
    <xf numFmtId="0" fontId="59" fillId="0" borderId="13" xfId="0" applyFont="1" applyBorder="1" applyAlignment="1">
      <alignment horizontal="left"/>
    </xf>
    <xf numFmtId="1" fontId="59" fillId="0" borderId="13" xfId="0" applyNumberFormat="1" applyFont="1" applyBorder="1" applyAlignment="1">
      <alignment horizontal="center"/>
    </xf>
    <xf numFmtId="9" fontId="59" fillId="0" borderId="23" xfId="0" applyNumberFormat="1" applyFont="1" applyBorder="1" applyAlignment="1">
      <alignment horizontal="center"/>
    </xf>
    <xf numFmtId="0" fontId="37" fillId="0" borderId="0" xfId="0" applyFont="1" applyAlignment="1">
      <alignment horizontal="left"/>
    </xf>
    <xf numFmtId="167" fontId="70" fillId="0" borderId="23" xfId="0" applyNumberFormat="1" applyFont="1" applyBorder="1"/>
    <xf numFmtId="167" fontId="70" fillId="0" borderId="13" xfId="0" applyNumberFormat="1" applyFont="1" applyBorder="1"/>
    <xf numFmtId="0" fontId="48" fillId="0" borderId="12" xfId="0" applyFont="1" applyBorder="1" applyAlignment="1">
      <alignment horizontal="center"/>
    </xf>
    <xf numFmtId="0" fontId="48" fillId="0" borderId="17" xfId="0" applyFont="1" applyBorder="1" applyAlignment="1">
      <alignment horizontal="left"/>
    </xf>
    <xf numFmtId="0" fontId="48" fillId="0" borderId="33" xfId="0" applyFont="1" applyBorder="1" applyAlignment="1">
      <alignment horizontal="center"/>
    </xf>
    <xf numFmtId="167" fontId="74" fillId="0" borderId="22" xfId="0" applyNumberFormat="1" applyFont="1" applyBorder="1" applyAlignment="1">
      <alignment vertical="center"/>
    </xf>
    <xf numFmtId="167" fontId="74" fillId="0" borderId="22" xfId="0" applyNumberFormat="1" applyFont="1" applyBorder="1" applyAlignment="1">
      <alignment horizontal="left" vertical="center"/>
    </xf>
    <xf numFmtId="167" fontId="75" fillId="0" borderId="22" xfId="0" applyNumberFormat="1" applyFont="1" applyBorder="1" applyAlignment="1">
      <alignment vertical="center"/>
    </xf>
    <xf numFmtId="167" fontId="74" fillId="0" borderId="22" xfId="0" applyNumberFormat="1" applyFont="1" applyBorder="1" applyAlignment="1">
      <alignment vertical="center" wrapText="1"/>
    </xf>
    <xf numFmtId="0" fontId="37" fillId="0" borderId="0" xfId="0" applyFont="1" applyAlignment="1">
      <alignment horizontal="left" vertical="center"/>
    </xf>
    <xf numFmtId="1" fontId="37" fillId="0" borderId="13" xfId="0" applyNumberFormat="1" applyFont="1" applyBorder="1" applyAlignment="1">
      <alignment horizontal="center" vertical="center"/>
    </xf>
    <xf numFmtId="0" fontId="37" fillId="0" borderId="23" xfId="0" applyFont="1" applyBorder="1" applyAlignment="1">
      <alignment horizontal="center" vertical="center"/>
    </xf>
    <xf numFmtId="168" fontId="37" fillId="0" borderId="23" xfId="0" applyNumberFormat="1" applyFont="1" applyBorder="1" applyAlignment="1">
      <alignment horizontal="center" vertical="center"/>
    </xf>
    <xf numFmtId="167" fontId="37" fillId="0" borderId="23" xfId="0" applyNumberFormat="1" applyFont="1" applyBorder="1" applyAlignment="1">
      <alignment vertical="center"/>
    </xf>
    <xf numFmtId="167" fontId="37" fillId="0" borderId="13" xfId="0" applyNumberFormat="1" applyFont="1" applyBorder="1" applyAlignment="1">
      <alignment vertical="center"/>
    </xf>
    <xf numFmtId="167" fontId="37" fillId="0" borderId="0" xfId="0" applyNumberFormat="1" applyFont="1" applyAlignment="1">
      <alignment vertical="center"/>
    </xf>
    <xf numFmtId="1" fontId="37" fillId="0" borderId="0" xfId="0" applyNumberFormat="1" applyFont="1" applyAlignment="1">
      <alignment horizontal="center"/>
    </xf>
    <xf numFmtId="167" fontId="37" fillId="0" borderId="12" xfId="0" applyNumberFormat="1" applyFont="1" applyBorder="1" applyAlignment="1">
      <alignment horizontal="center"/>
    </xf>
    <xf numFmtId="167" fontId="37" fillId="0" borderId="0" xfId="0" applyNumberFormat="1" applyFont="1" applyAlignment="1">
      <alignment horizontal="left"/>
    </xf>
    <xf numFmtId="167" fontId="78" fillId="0" borderId="13" xfId="0" applyNumberFormat="1" applyFont="1" applyBorder="1" applyAlignment="1">
      <alignment horizontal="center" vertical="top"/>
    </xf>
    <xf numFmtId="167" fontId="79" fillId="0" borderId="13" xfId="0" applyNumberFormat="1" applyFont="1" applyBorder="1" applyAlignment="1">
      <alignment horizontal="center" vertical="top"/>
    </xf>
    <xf numFmtId="167" fontId="79" fillId="0" borderId="0" xfId="0" applyNumberFormat="1" applyFont="1"/>
    <xf numFmtId="167" fontId="80" fillId="0" borderId="13" xfId="0" applyNumberFormat="1" applyFont="1" applyBorder="1" applyAlignment="1">
      <alignment horizontal="center" vertical="top"/>
    </xf>
    <xf numFmtId="167" fontId="81" fillId="0" borderId="0" xfId="0" applyNumberFormat="1" applyFont="1"/>
    <xf numFmtId="2" fontId="45" fillId="0" borderId="0" xfId="0" applyNumberFormat="1" applyFont="1"/>
    <xf numFmtId="9" fontId="35" fillId="0" borderId="38" xfId="1154" applyFont="1" applyBorder="1">
      <alignment horizontal="center"/>
    </xf>
    <xf numFmtId="167" fontId="37" fillId="0" borderId="38" xfId="0" applyNumberFormat="1" applyFont="1" applyBorder="1"/>
    <xf numFmtId="10" fontId="48" fillId="0" borderId="23" xfId="0" applyNumberFormat="1" applyFont="1" applyBorder="1" applyAlignment="1">
      <alignment horizontal="center"/>
    </xf>
    <xf numFmtId="1" fontId="48" fillId="0" borderId="13" xfId="0" applyNumberFormat="1" applyFont="1" applyBorder="1" applyAlignment="1">
      <alignment horizontal="center"/>
    </xf>
    <xf numFmtId="167" fontId="44" fillId="0" borderId="25" xfId="0" applyNumberFormat="1" applyFont="1" applyBorder="1"/>
    <xf numFmtId="167" fontId="56" fillId="0" borderId="25" xfId="0" applyNumberFormat="1" applyFont="1" applyBorder="1" applyAlignment="1">
      <alignment horizontal="center"/>
    </xf>
    <xf numFmtId="167" fontId="37" fillId="0" borderId="22" xfId="0" applyNumberFormat="1" applyFont="1" applyBorder="1"/>
    <xf numFmtId="167" fontId="64" fillId="0" borderId="23" xfId="0" applyNumberFormat="1" applyFont="1" applyBorder="1" applyAlignment="1">
      <alignment horizontal="center" vertical="top"/>
    </xf>
    <xf numFmtId="0" fontId="37" fillId="0" borderId="0" xfId="0" applyFont="1"/>
    <xf numFmtId="167" fontId="64" fillId="0" borderId="23" xfId="0" applyNumberFormat="1" applyFont="1" applyBorder="1"/>
    <xf numFmtId="167" fontId="64" fillId="0" borderId="28" xfId="0" applyNumberFormat="1" applyFont="1" applyBorder="1"/>
    <xf numFmtId="2" fontId="83" fillId="0" borderId="30" xfId="0" applyNumberFormat="1" applyFont="1" applyBorder="1" applyAlignment="1">
      <alignment horizontal="center"/>
    </xf>
    <xf numFmtId="2" fontId="68" fillId="0" borderId="24" xfId="0" applyNumberFormat="1" applyFont="1" applyBorder="1" applyAlignment="1">
      <alignment horizontal="center" vertical="top" wrapText="1"/>
    </xf>
    <xf numFmtId="167" fontId="84" fillId="0" borderId="23" xfId="0" applyNumberFormat="1" applyFont="1" applyBorder="1" applyAlignment="1">
      <alignment horizontal="center" vertical="top"/>
    </xf>
    <xf numFmtId="167" fontId="85" fillId="0" borderId="23" xfId="0" applyNumberFormat="1" applyFont="1" applyBorder="1" applyAlignment="1">
      <alignment horizontal="center" vertical="top"/>
    </xf>
    <xf numFmtId="0" fontId="68" fillId="0" borderId="13" xfId="0" applyFont="1" applyBorder="1" applyAlignment="1">
      <alignment horizontal="center"/>
    </xf>
    <xf numFmtId="0" fontId="68" fillId="0" borderId="23" xfId="0" applyFont="1" applyBorder="1" applyAlignment="1">
      <alignment horizontal="center"/>
    </xf>
    <xf numFmtId="167" fontId="86" fillId="0" borderId="23" xfId="0" applyNumberFormat="1" applyFont="1" applyBorder="1" applyAlignment="1">
      <alignment horizontal="center"/>
    </xf>
    <xf numFmtId="167" fontId="59" fillId="0" borderId="10" xfId="0" applyNumberFormat="1" applyFont="1" applyBorder="1" applyAlignment="1">
      <alignment horizontal="center"/>
    </xf>
    <xf numFmtId="167" fontId="86" fillId="0" borderId="0" xfId="0" applyNumberFormat="1" applyFont="1"/>
    <xf numFmtId="0" fontId="86" fillId="0" borderId="23" xfId="0" applyFont="1" applyBorder="1" applyAlignment="1">
      <alignment horizontal="center"/>
    </xf>
    <xf numFmtId="0" fontId="86" fillId="0" borderId="0" xfId="0" applyFont="1" applyAlignment="1">
      <alignment horizontal="left"/>
    </xf>
    <xf numFmtId="167" fontId="77" fillId="0" borderId="0" xfId="0" applyNumberFormat="1" applyFont="1"/>
    <xf numFmtId="167" fontId="86" fillId="0" borderId="23" xfId="0" applyNumberFormat="1" applyFont="1" applyBorder="1" applyAlignment="1">
      <alignment horizontal="center" vertical="center"/>
    </xf>
    <xf numFmtId="2" fontId="37" fillId="0" borderId="12" xfId="0" applyNumberFormat="1" applyFont="1" applyBorder="1" applyAlignment="1">
      <alignment horizontal="center" vertical="top"/>
    </xf>
    <xf numFmtId="2" fontId="85" fillId="0" borderId="13" xfId="0" applyNumberFormat="1" applyFont="1" applyBorder="1" applyAlignment="1">
      <alignment horizontal="center" vertical="top"/>
    </xf>
    <xf numFmtId="0" fontId="87" fillId="0" borderId="0" xfId="0" applyFont="1" applyAlignment="1">
      <alignment horizontal="left" vertical="center"/>
    </xf>
    <xf numFmtId="2" fontId="64" fillId="0" borderId="13" xfId="0" applyNumberFormat="1" applyFont="1" applyBorder="1" applyAlignment="1">
      <alignment horizontal="center" vertical="top"/>
    </xf>
    <xf numFmtId="167" fontId="48" fillId="0" borderId="0" xfId="0" applyNumberFormat="1" applyFont="1"/>
    <xf numFmtId="9" fontId="56" fillId="0" borderId="23" xfId="0" applyNumberFormat="1" applyFont="1" applyBorder="1" applyAlignment="1">
      <alignment horizontal="center"/>
    </xf>
    <xf numFmtId="167" fontId="37" fillId="0" borderId="23" xfId="0" applyNumberFormat="1" applyFont="1" applyBorder="1" applyAlignment="1">
      <alignment vertical="center" wrapText="1"/>
    </xf>
    <xf numFmtId="167" fontId="37" fillId="0" borderId="13" xfId="0" applyNumberFormat="1" applyFont="1" applyBorder="1" applyAlignment="1">
      <alignment vertical="center" wrapText="1"/>
    </xf>
    <xf numFmtId="2" fontId="37" fillId="0" borderId="13" xfId="0" applyNumberFormat="1" applyFont="1" applyBorder="1" applyAlignment="1">
      <alignment horizontal="center" vertical="center" wrapText="1"/>
    </xf>
    <xf numFmtId="167" fontId="37" fillId="0" borderId="0" xfId="0" applyNumberFormat="1" applyFont="1" applyAlignment="1">
      <alignment vertical="center" wrapText="1"/>
    </xf>
    <xf numFmtId="167" fontId="64" fillId="0" borderId="13" xfId="0" applyNumberFormat="1" applyFont="1" applyBorder="1"/>
    <xf numFmtId="0" fontId="64" fillId="0" borderId="0" xfId="0" applyFont="1"/>
    <xf numFmtId="167" fontId="72" fillId="0" borderId="10" xfId="0" applyNumberFormat="1" applyFont="1" applyBorder="1" applyAlignment="1">
      <alignment horizontal="left" vertical="center"/>
    </xf>
    <xf numFmtId="167" fontId="72" fillId="0" borderId="23" xfId="0" applyNumberFormat="1" applyFont="1" applyBorder="1" applyAlignment="1">
      <alignment horizontal="center" vertical="center"/>
    </xf>
    <xf numFmtId="0" fontId="68" fillId="0" borderId="13" xfId="0" applyFont="1" applyBorder="1" applyAlignment="1">
      <alignment horizontal="center" vertical="center"/>
    </xf>
    <xf numFmtId="167" fontId="72" fillId="0" borderId="13" xfId="0" applyNumberFormat="1" applyFont="1" applyBorder="1" applyAlignment="1">
      <alignment horizontal="center" vertical="center"/>
    </xf>
    <xf numFmtId="167" fontId="70" fillId="0" borderId="0" xfId="0" applyNumberFormat="1" applyFont="1" applyAlignment="1">
      <alignment vertical="center"/>
    </xf>
    <xf numFmtId="167" fontId="37" fillId="0" borderId="13" xfId="0" applyNumberFormat="1" applyFont="1" applyBorder="1" applyAlignment="1">
      <alignment horizontal="center" vertical="center" wrapText="1"/>
    </xf>
    <xf numFmtId="167" fontId="64" fillId="0" borderId="0" xfId="0" applyNumberFormat="1" applyFont="1"/>
    <xf numFmtId="0" fontId="64" fillId="0" borderId="13" xfId="0" applyFont="1" applyBorder="1"/>
    <xf numFmtId="2" fontId="97" fillId="0" borderId="26" xfId="0" applyNumberFormat="1" applyFont="1" applyBorder="1" applyAlignment="1">
      <alignment horizontal="center"/>
    </xf>
    <xf numFmtId="2" fontId="48" fillId="0" borderId="26" xfId="0" applyNumberFormat="1" applyFont="1" applyBorder="1" applyAlignment="1">
      <alignment horizontal="center" vertical="top" wrapText="1"/>
    </xf>
    <xf numFmtId="2" fontId="37" fillId="0" borderId="26" xfId="0" applyNumberFormat="1" applyFont="1" applyBorder="1" applyAlignment="1">
      <alignment horizontal="center" vertical="top" wrapText="1"/>
    </xf>
    <xf numFmtId="167" fontId="37" fillId="0" borderId="25" xfId="0" applyNumberFormat="1" applyFont="1" applyBorder="1" applyAlignment="1">
      <alignment horizontal="center"/>
    </xf>
    <xf numFmtId="167" fontId="70" fillId="0" borderId="13" xfId="0" applyNumberFormat="1" applyFont="1" applyBorder="1" applyAlignment="1">
      <alignment horizontal="center"/>
    </xf>
    <xf numFmtId="0" fontId="3" fillId="0" borderId="0" xfId="0" applyFont="1"/>
    <xf numFmtId="168" fontId="37" fillId="0" borderId="0" xfId="0" applyNumberFormat="1" applyFont="1"/>
    <xf numFmtId="167" fontId="54" fillId="0" borderId="0" xfId="0" applyNumberFormat="1" applyFont="1"/>
    <xf numFmtId="2" fontId="64" fillId="0" borderId="0" xfId="0" applyNumberFormat="1" applyFont="1" applyAlignment="1">
      <alignment horizontal="center" vertical="top"/>
    </xf>
    <xf numFmtId="0" fontId="37" fillId="0" borderId="19" xfId="0" applyFont="1" applyBorder="1" applyAlignment="1">
      <alignment horizontal="left" vertical="center"/>
    </xf>
    <xf numFmtId="0" fontId="37" fillId="0" borderId="13" xfId="0" applyFont="1" applyBorder="1" applyAlignment="1">
      <alignment horizontal="left" vertical="center" wrapText="1"/>
    </xf>
    <xf numFmtId="0" fontId="37" fillId="0" borderId="13" xfId="0" applyFont="1" applyBorder="1" applyAlignment="1">
      <alignment horizontal="center" vertical="center"/>
    </xf>
    <xf numFmtId="2" fontId="37" fillId="0" borderId="13" xfId="0" applyNumberFormat="1" applyFont="1" applyBorder="1" applyAlignment="1">
      <alignment horizontal="center" vertical="center"/>
    </xf>
    <xf numFmtId="0" fontId="64" fillId="0" borderId="19" xfId="0" applyFont="1" applyBorder="1" applyAlignment="1">
      <alignment horizontal="left"/>
    </xf>
    <xf numFmtId="167" fontId="99" fillId="0" borderId="10" xfId="0" applyNumberFormat="1" applyFont="1" applyBorder="1" applyAlignment="1">
      <alignment horizontal="left" indent="5"/>
    </xf>
    <xf numFmtId="167" fontId="103" fillId="0" borderId="10" xfId="0" applyNumberFormat="1" applyFont="1" applyBorder="1" applyAlignment="1">
      <alignment horizontal="left" indent="5"/>
    </xf>
    <xf numFmtId="0" fontId="48" fillId="0" borderId="19" xfId="0" applyFont="1" applyBorder="1" applyAlignment="1">
      <alignment horizontal="left" vertical="center"/>
    </xf>
    <xf numFmtId="167" fontId="48" fillId="0" borderId="10" xfId="0" applyNumberFormat="1" applyFont="1" applyBorder="1" applyAlignment="1">
      <alignment horizontal="left" vertical="center" wrapText="1"/>
    </xf>
    <xf numFmtId="0" fontId="48" fillId="0" borderId="13" xfId="0" applyFont="1" applyBorder="1" applyAlignment="1">
      <alignment horizontal="center" vertical="center"/>
    </xf>
    <xf numFmtId="167" fontId="48" fillId="0" borderId="0" xfId="0" applyNumberFormat="1" applyFont="1" applyAlignment="1">
      <alignment horizontal="center" vertical="center"/>
    </xf>
    <xf numFmtId="167" fontId="48" fillId="0" borderId="23" xfId="0" applyNumberFormat="1" applyFont="1" applyBorder="1" applyAlignment="1">
      <alignment horizontal="center" vertical="center"/>
    </xf>
    <xf numFmtId="9" fontId="48" fillId="0" borderId="23" xfId="0" applyNumberFormat="1" applyFont="1" applyBorder="1" applyAlignment="1">
      <alignment horizontal="center" vertical="center"/>
    </xf>
    <xf numFmtId="167" fontId="68" fillId="0" borderId="23" xfId="0" applyNumberFormat="1" applyFont="1" applyBorder="1" applyAlignment="1">
      <alignment horizontal="center" vertical="center"/>
    </xf>
    <xf numFmtId="167" fontId="48" fillId="0" borderId="13" xfId="0" applyNumberFormat="1" applyFont="1" applyBorder="1" applyAlignment="1">
      <alignment horizontal="center" vertical="center"/>
    </xf>
    <xf numFmtId="2" fontId="64" fillId="0" borderId="13" xfId="0" applyNumberFormat="1" applyFont="1" applyBorder="1" applyAlignment="1">
      <alignment horizontal="center" vertical="center"/>
    </xf>
    <xf numFmtId="0" fontId="48" fillId="0" borderId="12" xfId="0" applyFont="1" applyBorder="1" applyAlignment="1">
      <alignment horizontal="center" vertical="center"/>
    </xf>
    <xf numFmtId="167" fontId="64" fillId="0" borderId="23" xfId="0" applyNumberFormat="1" applyFont="1" applyBorder="1" applyAlignment="1">
      <alignment horizontal="center" vertical="center"/>
    </xf>
    <xf numFmtId="0" fontId="72" fillId="0" borderId="19" xfId="0" applyFont="1" applyBorder="1" applyAlignment="1">
      <alignment horizontal="left" vertical="center"/>
    </xf>
    <xf numFmtId="0" fontId="72" fillId="0" borderId="23" xfId="0" applyFont="1" applyBorder="1" applyAlignment="1">
      <alignment horizontal="center" vertical="center"/>
    </xf>
    <xf numFmtId="10" fontId="72" fillId="0" borderId="23" xfId="0" applyNumberFormat="1" applyFont="1" applyBorder="1" applyAlignment="1">
      <alignment horizontal="center" vertical="center"/>
    </xf>
    <xf numFmtId="167" fontId="73" fillId="0" borderId="23" xfId="0" applyNumberFormat="1" applyFont="1" applyBorder="1" applyAlignment="1">
      <alignment horizontal="center" vertical="center"/>
    </xf>
    <xf numFmtId="167" fontId="73" fillId="0" borderId="13" xfId="0" applyNumberFormat="1" applyFont="1" applyBorder="1" applyAlignment="1">
      <alignment horizontal="center" vertical="center"/>
    </xf>
    <xf numFmtId="0" fontId="48" fillId="0" borderId="17" xfId="0" applyFont="1" applyBorder="1" applyAlignment="1">
      <alignment horizontal="left" vertical="center"/>
    </xf>
    <xf numFmtId="0" fontId="48" fillId="0" borderId="33" xfId="0" applyFont="1" applyBorder="1" applyAlignment="1">
      <alignment horizontal="center" vertical="center"/>
    </xf>
    <xf numFmtId="0" fontId="93" fillId="0" borderId="12" xfId="0" applyFont="1" applyBorder="1" applyAlignment="1">
      <alignment horizontal="center"/>
    </xf>
    <xf numFmtId="2" fontId="66" fillId="0" borderId="12" xfId="0" applyNumberFormat="1" applyFont="1" applyBorder="1" applyAlignment="1">
      <alignment horizontal="center" vertical="top"/>
    </xf>
    <xf numFmtId="2" fontId="54" fillId="0" borderId="12" xfId="0" applyNumberFormat="1" applyFont="1" applyBorder="1" applyAlignment="1">
      <alignment horizontal="center" vertical="top"/>
    </xf>
    <xf numFmtId="2" fontId="54" fillId="0" borderId="12" xfId="0" applyNumberFormat="1" applyFont="1" applyBorder="1" applyAlignment="1">
      <alignment horizontal="center" vertical="center"/>
    </xf>
    <xf numFmtId="2" fontId="66" fillId="0" borderId="12" xfId="0" applyNumberFormat="1" applyFont="1" applyBorder="1" applyAlignment="1">
      <alignment horizontal="center" vertical="center"/>
    </xf>
    <xf numFmtId="2" fontId="77" fillId="0" borderId="12" xfId="0" applyNumberFormat="1" applyFont="1" applyBorder="1" applyAlignment="1">
      <alignment horizontal="center" vertical="top"/>
    </xf>
    <xf numFmtId="167" fontId="63" fillId="0" borderId="12" xfId="0" applyNumberFormat="1" applyFont="1" applyBorder="1" applyAlignment="1">
      <alignment horizontal="center" vertical="top"/>
    </xf>
    <xf numFmtId="2" fontId="64" fillId="0" borderId="31" xfId="0" applyNumberFormat="1" applyFont="1" applyBorder="1" applyAlignment="1">
      <alignment horizontal="center" vertical="top"/>
    </xf>
    <xf numFmtId="2" fontId="64" fillId="0" borderId="0" xfId="0" applyNumberFormat="1" applyFont="1" applyAlignment="1">
      <alignment horizontal="center" vertical="center"/>
    </xf>
    <xf numFmtId="2" fontId="85" fillId="0" borderId="0" xfId="0" applyNumberFormat="1" applyFont="1" applyAlignment="1">
      <alignment horizontal="center" vertical="top"/>
    </xf>
    <xf numFmtId="2" fontId="85" fillId="0" borderId="0" xfId="0" applyNumberFormat="1" applyFont="1" applyAlignment="1">
      <alignment horizontal="center" vertical="center"/>
    </xf>
    <xf numFmtId="167" fontId="75" fillId="0" borderId="39" xfId="0" applyNumberFormat="1" applyFont="1" applyBorder="1" applyAlignment="1">
      <alignment vertical="center"/>
    </xf>
    <xf numFmtId="2" fontId="70" fillId="0" borderId="0" xfId="0" applyNumberFormat="1" applyFont="1" applyAlignment="1">
      <alignment horizontal="center" vertical="top"/>
    </xf>
    <xf numFmtId="167" fontId="70" fillId="0" borderId="23" xfId="0" applyNumberFormat="1" applyFont="1" applyBorder="1" applyAlignment="1">
      <alignment horizontal="center" vertical="center"/>
    </xf>
    <xf numFmtId="2" fontId="70" fillId="0" borderId="0" xfId="0" applyNumberFormat="1" applyFont="1" applyAlignment="1">
      <alignment horizontal="center" vertical="center"/>
    </xf>
    <xf numFmtId="2" fontId="70" fillId="0" borderId="13" xfId="0" applyNumberFormat="1" applyFont="1" applyBorder="1" applyAlignment="1">
      <alignment horizontal="center" vertical="center"/>
    </xf>
    <xf numFmtId="167" fontId="37" fillId="0" borderId="10" xfId="0" applyNumberFormat="1" applyFont="1" applyBorder="1" applyAlignment="1">
      <alignment horizontal="left" vertical="center"/>
    </xf>
    <xf numFmtId="0" fontId="70" fillId="0" borderId="13" xfId="0" applyFont="1" applyBorder="1" applyAlignment="1">
      <alignment horizontal="left"/>
    </xf>
    <xf numFmtId="0" fontId="106" fillId="0" borderId="13" xfId="0" applyFont="1" applyBorder="1" applyAlignment="1">
      <alignment horizontal="center"/>
    </xf>
    <xf numFmtId="167" fontId="106" fillId="0" borderId="0" xfId="0" applyNumberFormat="1" applyFont="1" applyAlignment="1">
      <alignment horizontal="center"/>
    </xf>
    <xf numFmtId="167" fontId="106" fillId="0" borderId="23" xfId="0" applyNumberFormat="1" applyFont="1" applyBorder="1" applyAlignment="1">
      <alignment horizontal="center"/>
    </xf>
    <xf numFmtId="10" fontId="106" fillId="0" borderId="23" xfId="0" applyNumberFormat="1" applyFont="1" applyBorder="1" applyAlignment="1">
      <alignment horizontal="center"/>
    </xf>
    <xf numFmtId="167" fontId="107" fillId="0" borderId="13" xfId="0" applyNumberFormat="1" applyFont="1" applyBorder="1" applyAlignment="1">
      <alignment horizontal="center" vertical="top"/>
    </xf>
    <xf numFmtId="167" fontId="106" fillId="0" borderId="13" xfId="0" applyNumberFormat="1" applyFont="1" applyBorder="1" applyAlignment="1">
      <alignment horizontal="center" vertical="top"/>
    </xf>
    <xf numFmtId="167" fontId="73" fillId="0" borderId="0" xfId="0" applyNumberFormat="1" applyFont="1"/>
    <xf numFmtId="167" fontId="73" fillId="0" borderId="0" xfId="0" applyNumberFormat="1" applyFont="1" applyAlignment="1">
      <alignment horizontal="center" vertical="top"/>
    </xf>
    <xf numFmtId="0" fontId="72" fillId="0" borderId="0" xfId="0" applyFont="1" applyAlignment="1">
      <alignment horizontal="center"/>
    </xf>
    <xf numFmtId="0" fontId="73" fillId="0" borderId="0" xfId="0" applyFont="1" applyAlignment="1">
      <alignment horizontal="center" vertical="center"/>
    </xf>
    <xf numFmtId="2" fontId="73" fillId="0" borderId="0" xfId="0" applyNumberFormat="1" applyFont="1" applyAlignment="1">
      <alignment horizontal="center" vertical="top"/>
    </xf>
    <xf numFmtId="0" fontId="72" fillId="0" borderId="0" xfId="0" applyFont="1" applyAlignment="1">
      <alignment horizontal="left"/>
    </xf>
    <xf numFmtId="167" fontId="106" fillId="0" borderId="23" xfId="0" applyNumberFormat="1" applyFont="1" applyBorder="1" applyAlignment="1">
      <alignment horizontal="center" vertical="top"/>
    </xf>
    <xf numFmtId="167" fontId="59" fillId="0" borderId="23" xfId="0" applyNumberFormat="1" applyFont="1" applyBorder="1" applyAlignment="1">
      <alignment horizontal="center" vertical="top"/>
    </xf>
    <xf numFmtId="167" fontId="56" fillId="0" borderId="0" xfId="0" applyNumberFormat="1" applyFont="1"/>
    <xf numFmtId="167" fontId="93" fillId="0" borderId="13" xfId="0" applyNumberFormat="1" applyFont="1" applyBorder="1" applyAlignment="1">
      <alignment horizontal="center" vertical="center"/>
    </xf>
    <xf numFmtId="9" fontId="93" fillId="0" borderId="23" xfId="0" applyNumberFormat="1" applyFont="1" applyBorder="1" applyAlignment="1">
      <alignment horizontal="center"/>
    </xf>
    <xf numFmtId="167" fontId="93" fillId="0" borderId="23" xfId="0" applyNumberFormat="1" applyFont="1" applyBorder="1" applyAlignment="1">
      <alignment horizontal="center"/>
    </xf>
    <xf numFmtId="1" fontId="70" fillId="0" borderId="13" xfId="0" applyNumberFormat="1" applyFont="1" applyBorder="1" applyAlignment="1">
      <alignment horizontal="center"/>
    </xf>
    <xf numFmtId="167" fontId="70" fillId="0" borderId="0" xfId="0" applyNumberFormat="1" applyFont="1" applyAlignment="1">
      <alignment horizontal="center"/>
    </xf>
    <xf numFmtId="49" fontId="37" fillId="0" borderId="19" xfId="0" applyNumberFormat="1" applyFont="1" applyBorder="1" applyAlignment="1">
      <alignment horizontal="left"/>
    </xf>
    <xf numFmtId="167" fontId="37" fillId="0" borderId="0" xfId="0" applyNumberFormat="1" applyFont="1" applyAlignment="1">
      <alignment horizontal="center" vertical="top"/>
    </xf>
    <xf numFmtId="49" fontId="37" fillId="0" borderId="13" xfId="0" applyNumberFormat="1" applyFont="1" applyBorder="1" applyAlignment="1">
      <alignment horizontal="center" vertical="center"/>
    </xf>
    <xf numFmtId="49" fontId="37" fillId="0" borderId="23" xfId="0" applyNumberFormat="1" applyFont="1" applyBorder="1" applyAlignment="1">
      <alignment horizontal="center" vertical="center"/>
    </xf>
    <xf numFmtId="168" fontId="70" fillId="0" borderId="23" xfId="0" applyNumberFormat="1" applyFont="1" applyBorder="1" applyAlignment="1">
      <alignment horizontal="center"/>
    </xf>
    <xf numFmtId="169" fontId="37" fillId="0" borderId="13" xfId="0" applyNumberFormat="1" applyFont="1" applyBorder="1" applyAlignment="1">
      <alignment horizontal="center"/>
    </xf>
    <xf numFmtId="0" fontId="70" fillId="0" borderId="12" xfId="0" applyFont="1" applyBorder="1" applyAlignment="1">
      <alignment horizontal="center"/>
    </xf>
    <xf numFmtId="2" fontId="37" fillId="0" borderId="0" xfId="0" applyNumberFormat="1" applyFont="1" applyAlignment="1">
      <alignment horizontal="center" vertical="top"/>
    </xf>
    <xf numFmtId="0" fontId="75" fillId="0" borderId="0" xfId="0" applyFont="1" applyAlignment="1">
      <alignment horizontal="left" vertical="center"/>
    </xf>
    <xf numFmtId="0" fontId="37" fillId="0" borderId="0" xfId="0" applyFont="1" applyAlignment="1">
      <alignment horizontal="center" vertical="center"/>
    </xf>
    <xf numFmtId="0" fontId="70" fillId="0" borderId="13" xfId="0" applyFont="1" applyBorder="1" applyAlignment="1">
      <alignment horizontal="left" wrapText="1"/>
    </xf>
    <xf numFmtId="167" fontId="70" fillId="0" borderId="13" xfId="0" applyNumberFormat="1" applyFont="1" applyBorder="1" applyAlignment="1">
      <alignment horizontal="left"/>
    </xf>
    <xf numFmtId="0" fontId="70" fillId="0" borderId="0" xfId="0" applyFont="1" applyAlignment="1">
      <alignment horizontal="center"/>
    </xf>
    <xf numFmtId="1" fontId="70" fillId="0" borderId="12" xfId="0" applyNumberFormat="1" applyFont="1" applyBorder="1" applyAlignment="1">
      <alignment horizontal="center"/>
    </xf>
    <xf numFmtId="0" fontId="70" fillId="0" borderId="19" xfId="0" applyFont="1" applyBorder="1" applyAlignment="1">
      <alignment horizontal="left" vertical="center"/>
    </xf>
    <xf numFmtId="167" fontId="70" fillId="0" borderId="10" xfId="0" applyNumberFormat="1" applyFont="1" applyBorder="1" applyAlignment="1">
      <alignment horizontal="left" vertical="center" wrapText="1"/>
    </xf>
    <xf numFmtId="1" fontId="70" fillId="0" borderId="13" xfId="0" applyNumberFormat="1" applyFont="1" applyBorder="1" applyAlignment="1">
      <alignment horizontal="center" vertical="center" wrapText="1"/>
    </xf>
    <xf numFmtId="1" fontId="70" fillId="0" borderId="0" xfId="0" applyNumberFormat="1" applyFont="1" applyAlignment="1">
      <alignment horizontal="center" vertical="center"/>
    </xf>
    <xf numFmtId="0" fontId="70" fillId="0" borderId="12" xfId="0" applyFont="1" applyBorder="1" applyAlignment="1">
      <alignment horizontal="center" vertical="center" wrapText="1"/>
    </xf>
    <xf numFmtId="167" fontId="70" fillId="0" borderId="13" xfId="0" applyNumberFormat="1" applyFont="1" applyBorder="1" applyAlignment="1">
      <alignment horizontal="center" vertical="center" wrapText="1"/>
    </xf>
    <xf numFmtId="9" fontId="70" fillId="0" borderId="23" xfId="0" applyNumberFormat="1" applyFont="1" applyBorder="1" applyAlignment="1">
      <alignment horizontal="center" vertical="center" wrapText="1"/>
    </xf>
    <xf numFmtId="167" fontId="70" fillId="0" borderId="23" xfId="0" applyNumberFormat="1" applyFont="1" applyBorder="1" applyAlignment="1">
      <alignment horizontal="center" vertical="center" wrapText="1"/>
    </xf>
    <xf numFmtId="1" fontId="70" fillId="0" borderId="0" xfId="0" applyNumberFormat="1" applyFont="1" applyAlignment="1">
      <alignment horizontal="center"/>
    </xf>
    <xf numFmtId="167" fontId="70" fillId="0" borderId="0" xfId="0" applyNumberFormat="1" applyFont="1" applyAlignment="1">
      <alignment horizontal="center" vertical="center"/>
    </xf>
    <xf numFmtId="167" fontId="70" fillId="0" borderId="12" xfId="0" applyNumberFormat="1" applyFont="1" applyBorder="1" applyAlignment="1">
      <alignment horizontal="center" vertical="center"/>
    </xf>
    <xf numFmtId="9" fontId="70" fillId="0" borderId="23" xfId="0" applyNumberFormat="1" applyFont="1" applyBorder="1" applyAlignment="1">
      <alignment horizontal="center" vertical="center"/>
    </xf>
    <xf numFmtId="167" fontId="48" fillId="0" borderId="13" xfId="0" applyNumberFormat="1" applyFont="1" applyBorder="1" applyAlignment="1">
      <alignment horizontal="center"/>
    </xf>
    <xf numFmtId="167" fontId="73" fillId="0" borderId="13" xfId="0" applyNumberFormat="1" applyFont="1" applyBorder="1" applyAlignment="1">
      <alignment horizontal="center"/>
    </xf>
    <xf numFmtId="0" fontId="68" fillId="0" borderId="19" xfId="0" applyFont="1" applyBorder="1" applyAlignment="1">
      <alignment horizontal="left"/>
    </xf>
    <xf numFmtId="167" fontId="68" fillId="0" borderId="10" xfId="0" applyNumberFormat="1" applyFont="1" applyBorder="1" applyAlignment="1">
      <alignment horizontal="left"/>
    </xf>
    <xf numFmtId="167" fontId="68" fillId="0" borderId="0" xfId="0" applyNumberFormat="1" applyFont="1" applyAlignment="1">
      <alignment horizontal="center"/>
    </xf>
    <xf numFmtId="167" fontId="68" fillId="0" borderId="23" xfId="0" applyNumberFormat="1" applyFont="1" applyBorder="1" applyAlignment="1">
      <alignment horizontal="center"/>
    </xf>
    <xf numFmtId="10" fontId="68" fillId="0" borderId="23" xfId="0" applyNumberFormat="1" applyFont="1" applyBorder="1" applyAlignment="1">
      <alignment horizontal="center"/>
    </xf>
    <xf numFmtId="0" fontId="48" fillId="0" borderId="13" xfId="0" applyFont="1" applyBorder="1" applyAlignment="1">
      <alignment horizontal="left"/>
    </xf>
    <xf numFmtId="167" fontId="108" fillId="0" borderId="13" xfId="0" applyNumberFormat="1" applyFont="1" applyBorder="1" applyAlignment="1">
      <alignment horizontal="center" vertical="top"/>
    </xf>
    <xf numFmtId="2" fontId="69" fillId="0" borderId="0" xfId="0" applyNumberFormat="1" applyFont="1" applyAlignment="1">
      <alignment horizontal="center" vertical="top"/>
    </xf>
    <xf numFmtId="2" fontId="69" fillId="0" borderId="13" xfId="0" applyNumberFormat="1" applyFont="1" applyBorder="1" applyAlignment="1">
      <alignment horizontal="center" vertical="top"/>
    </xf>
    <xf numFmtId="0" fontId="56" fillId="0" borderId="19" xfId="0" applyFont="1" applyBorder="1" applyAlignment="1">
      <alignment horizontal="left"/>
    </xf>
    <xf numFmtId="10" fontId="72" fillId="0" borderId="13" xfId="0" applyNumberFormat="1" applyFont="1" applyBorder="1" applyAlignment="1">
      <alignment horizontal="center"/>
    </xf>
    <xf numFmtId="167" fontId="84" fillId="0" borderId="13" xfId="0" applyNumberFormat="1" applyFont="1" applyBorder="1" applyAlignment="1">
      <alignment horizontal="center" vertical="top"/>
    </xf>
    <xf numFmtId="167" fontId="85" fillId="0" borderId="13" xfId="0" applyNumberFormat="1" applyFont="1" applyBorder="1" applyAlignment="1">
      <alignment horizontal="center" vertical="top"/>
    </xf>
    <xf numFmtId="2" fontId="64" fillId="0" borderId="12" xfId="0" applyNumberFormat="1" applyFont="1" applyBorder="1" applyAlignment="1">
      <alignment horizontal="center" vertical="top"/>
    </xf>
    <xf numFmtId="167" fontId="56" fillId="0" borderId="13" xfId="0" applyNumberFormat="1" applyFont="1" applyBorder="1" applyAlignment="1">
      <alignment horizontal="center" vertical="center"/>
    </xf>
    <xf numFmtId="0" fontId="3" fillId="0" borderId="0" xfId="24615"/>
    <xf numFmtId="167" fontId="37" fillId="0" borderId="0" xfId="24615" applyNumberFormat="1" applyFont="1"/>
    <xf numFmtId="167" fontId="37" fillId="0" borderId="13" xfId="24615" applyNumberFormat="1" applyFont="1" applyBorder="1" applyAlignment="1">
      <alignment horizontal="center"/>
    </xf>
    <xf numFmtId="167" fontId="37" fillId="0" borderId="13" xfId="24615" applyNumberFormat="1" applyFont="1" applyBorder="1"/>
    <xf numFmtId="167" fontId="37" fillId="0" borderId="23" xfId="24615" applyNumberFormat="1" applyFont="1" applyBorder="1"/>
    <xf numFmtId="168" fontId="37" fillId="0" borderId="23" xfId="24615" applyNumberFormat="1" applyFont="1" applyBorder="1"/>
    <xf numFmtId="0" fontId="88" fillId="50" borderId="22" xfId="24615" applyFont="1" applyFill="1" applyBorder="1" applyAlignment="1">
      <alignment horizontal="center" vertical="center"/>
    </xf>
    <xf numFmtId="0" fontId="88" fillId="46" borderId="22" xfId="24615" applyFont="1" applyFill="1" applyBorder="1" applyAlignment="1">
      <alignment horizontal="center" vertical="center"/>
    </xf>
    <xf numFmtId="0" fontId="88" fillId="40" borderId="22" xfId="24615" applyFont="1" applyFill="1" applyBorder="1" applyAlignment="1">
      <alignment horizontal="center" vertical="center"/>
    </xf>
    <xf numFmtId="0" fontId="88" fillId="49" borderId="22" xfId="24615" applyFont="1" applyFill="1" applyBorder="1" applyAlignment="1">
      <alignment horizontal="center" vertical="center"/>
    </xf>
    <xf numFmtId="10" fontId="53" fillId="0" borderId="22" xfId="24615" applyNumberFormat="1" applyFont="1" applyBorder="1" applyAlignment="1">
      <alignment horizontal="center" vertical="center"/>
    </xf>
    <xf numFmtId="167" fontId="64" fillId="0" borderId="23" xfId="24615" applyNumberFormat="1" applyFont="1" applyBorder="1"/>
    <xf numFmtId="167" fontId="43" fillId="0" borderId="23" xfId="24615" applyNumberFormat="1" applyFont="1" applyBorder="1"/>
    <xf numFmtId="167" fontId="43" fillId="0" borderId="23" xfId="24615" applyNumberFormat="1" applyFont="1" applyBorder="1" applyAlignment="1">
      <alignment horizontal="center"/>
    </xf>
    <xf numFmtId="167" fontId="42" fillId="0" borderId="13" xfId="24615" applyNumberFormat="1" applyFont="1" applyBorder="1" applyAlignment="1">
      <alignment horizontal="center"/>
    </xf>
    <xf numFmtId="0" fontId="41" fillId="33" borderId="20" xfId="24615" applyFont="1" applyFill="1" applyBorder="1" applyAlignment="1">
      <alignment horizontal="center"/>
    </xf>
    <xf numFmtId="0" fontId="53" fillId="0" borderId="0" xfId="24615" applyFont="1"/>
    <xf numFmtId="0" fontId="53" fillId="0" borderId="0" xfId="24615" applyFont="1" applyAlignment="1">
      <alignment horizontal="center" vertical="center"/>
    </xf>
    <xf numFmtId="0" fontId="88" fillId="0" borderId="22" xfId="24615" applyFont="1" applyBorder="1" applyAlignment="1">
      <alignment horizontal="center" vertical="center" wrapText="1"/>
    </xf>
    <xf numFmtId="0" fontId="88" fillId="0" borderId="22" xfId="24615" applyFont="1" applyBorder="1" applyAlignment="1">
      <alignment horizontal="center" vertical="center"/>
    </xf>
    <xf numFmtId="0" fontId="20" fillId="0" borderId="22" xfId="24615" applyFont="1" applyBorder="1" applyAlignment="1">
      <alignment horizontal="center" vertical="center"/>
    </xf>
    <xf numFmtId="0" fontId="22" fillId="0" borderId="0" xfId="24615" applyFont="1" applyAlignment="1">
      <alignment horizontal="center" vertical="center"/>
    </xf>
    <xf numFmtId="0" fontId="88" fillId="0" borderId="0" xfId="24615" applyFont="1" applyAlignment="1">
      <alignment horizontal="center" vertical="center"/>
    </xf>
    <xf numFmtId="167" fontId="64" fillId="0" borderId="13" xfId="24615" applyNumberFormat="1" applyFont="1" applyBorder="1"/>
    <xf numFmtId="167" fontId="54" fillId="0" borderId="13" xfId="24615" applyNumberFormat="1" applyFont="1" applyBorder="1"/>
    <xf numFmtId="167" fontId="42" fillId="0" borderId="0" xfId="24615" applyNumberFormat="1" applyFont="1" applyAlignment="1">
      <alignment horizontal="center"/>
    </xf>
    <xf numFmtId="0" fontId="110" fillId="34" borderId="19" xfId="0" applyFont="1" applyFill="1" applyBorder="1" applyAlignment="1">
      <alignment horizontal="left"/>
    </xf>
    <xf numFmtId="167" fontId="37" fillId="34" borderId="10" xfId="0" applyNumberFormat="1" applyFont="1" applyFill="1" applyBorder="1" applyAlignment="1">
      <alignment horizontal="left"/>
    </xf>
    <xf numFmtId="0" fontId="110" fillId="34" borderId="19" xfId="0" applyFont="1" applyFill="1" applyBorder="1" applyAlignment="1">
      <alignment horizontal="left" vertical="center"/>
    </xf>
    <xf numFmtId="167" fontId="48" fillId="34" borderId="10" xfId="0" applyNumberFormat="1" applyFont="1" applyFill="1" applyBorder="1" applyAlignment="1">
      <alignment horizontal="left"/>
    </xf>
    <xf numFmtId="0" fontId="110" fillId="34" borderId="19" xfId="0" applyFont="1" applyFill="1" applyBorder="1" applyAlignment="1">
      <alignment vertical="center"/>
    </xf>
    <xf numFmtId="0" fontId="70" fillId="34" borderId="0" xfId="0" applyFont="1" applyFill="1" applyAlignment="1">
      <alignment vertical="center"/>
    </xf>
    <xf numFmtId="2" fontId="111" fillId="0" borderId="12" xfId="0" applyNumberFormat="1" applyFont="1" applyBorder="1" applyAlignment="1">
      <alignment horizontal="center" vertical="top"/>
    </xf>
    <xf numFmtId="0" fontId="109" fillId="34" borderId="19" xfId="0" applyFont="1" applyFill="1" applyBorder="1" applyAlignment="1">
      <alignment horizontal="left" vertical="center"/>
    </xf>
    <xf numFmtId="0" fontId="64" fillId="34" borderId="13" xfId="0" applyFont="1" applyFill="1" applyBorder="1" applyAlignment="1">
      <alignment horizontal="left"/>
    </xf>
    <xf numFmtId="167" fontId="54" fillId="0" borderId="12" xfId="0" applyNumberFormat="1" applyFont="1" applyBorder="1" applyAlignment="1">
      <alignment horizontal="center"/>
    </xf>
    <xf numFmtId="0" fontId="70" fillId="34" borderId="0" xfId="0" applyFont="1" applyFill="1" applyAlignment="1">
      <alignment horizontal="left"/>
    </xf>
    <xf numFmtId="167" fontId="94" fillId="52" borderId="36" xfId="0" applyNumberFormat="1" applyFont="1" applyFill="1" applyBorder="1" applyAlignment="1">
      <alignment horizontal="center" vertical="center"/>
    </xf>
    <xf numFmtId="167" fontId="94" fillId="52" borderId="37" xfId="0" applyNumberFormat="1" applyFont="1" applyFill="1" applyBorder="1" applyAlignment="1">
      <alignment horizontal="center" vertical="center"/>
    </xf>
    <xf numFmtId="2" fontId="94" fillId="52" borderId="36" xfId="0" applyNumberFormat="1" applyFont="1" applyFill="1" applyBorder="1" applyAlignment="1">
      <alignment horizontal="center" vertical="center" wrapText="1"/>
    </xf>
    <xf numFmtId="0" fontId="91" fillId="0" borderId="46" xfId="0" applyFont="1" applyBorder="1" applyAlignment="1">
      <alignment horizontal="center" vertical="center" wrapText="1"/>
    </xf>
    <xf numFmtId="0" fontId="91" fillId="0" borderId="47" xfId="0" applyFont="1" applyBorder="1" applyAlignment="1">
      <alignment horizontal="center" vertical="center" wrapText="1"/>
    </xf>
    <xf numFmtId="0" fontId="91" fillId="0" borderId="48" xfId="0" applyFont="1" applyBorder="1" applyAlignment="1">
      <alignment horizontal="center" vertical="center" wrapText="1"/>
    </xf>
    <xf numFmtId="0" fontId="112" fillId="0" borderId="48" xfId="0" applyFont="1" applyBorder="1" applyAlignment="1">
      <alignment horizontal="center" vertical="center" wrapText="1"/>
    </xf>
    <xf numFmtId="167" fontId="106" fillId="0" borderId="13" xfId="0" applyNumberFormat="1" applyFont="1" applyBorder="1" applyAlignment="1">
      <alignment horizontal="center"/>
    </xf>
    <xf numFmtId="0" fontId="72" fillId="0" borderId="12" xfId="0" applyFont="1" applyBorder="1" applyAlignment="1">
      <alignment horizontal="center" vertical="center"/>
    </xf>
    <xf numFmtId="0" fontId="37" fillId="0" borderId="13" xfId="24615" applyFont="1" applyBorder="1" applyAlignment="1">
      <alignment horizontal="left"/>
    </xf>
    <xf numFmtId="1" fontId="37" fillId="0" borderId="13" xfId="24615" applyNumberFormat="1" applyFont="1" applyBorder="1" applyAlignment="1">
      <alignment horizontal="center"/>
    </xf>
    <xf numFmtId="167" fontId="37" fillId="0" borderId="23" xfId="24615" applyNumberFormat="1" applyFont="1" applyBorder="1" applyAlignment="1">
      <alignment horizontal="center"/>
    </xf>
    <xf numFmtId="0" fontId="37" fillId="0" borderId="13" xfId="24615" applyFont="1" applyBorder="1" applyAlignment="1">
      <alignment horizontal="center" vertical="center"/>
    </xf>
    <xf numFmtId="167" fontId="37" fillId="0" borderId="23" xfId="24615" applyNumberFormat="1" applyFont="1" applyBorder="1" applyAlignment="1">
      <alignment horizontal="center" vertical="center"/>
    </xf>
    <xf numFmtId="9" fontId="37" fillId="0" borderId="23" xfId="24615" applyNumberFormat="1" applyFont="1" applyBorder="1" applyAlignment="1">
      <alignment horizontal="center"/>
    </xf>
    <xf numFmtId="0" fontId="91" fillId="0" borderId="49" xfId="0" applyFont="1" applyBorder="1" applyAlignment="1">
      <alignment horizontal="center" vertical="center" wrapText="1"/>
    </xf>
    <xf numFmtId="0" fontId="56" fillId="0" borderId="13" xfId="0" applyFont="1" applyBorder="1" applyAlignment="1">
      <alignment horizontal="left"/>
    </xf>
    <xf numFmtId="0" fontId="93" fillId="0" borderId="19" xfId="0" applyFont="1" applyBorder="1" applyAlignment="1">
      <alignment horizontal="left"/>
    </xf>
    <xf numFmtId="0" fontId="93" fillId="0" borderId="13" xfId="0" applyFont="1" applyBorder="1" applyAlignment="1">
      <alignment horizontal="center"/>
    </xf>
    <xf numFmtId="10" fontId="69" fillId="0" borderId="23" xfId="0" applyNumberFormat="1" applyFont="1" applyBorder="1" applyAlignment="1">
      <alignment horizontal="center"/>
    </xf>
    <xf numFmtId="167" fontId="69" fillId="0" borderId="23" xfId="0" applyNumberFormat="1" applyFont="1" applyBorder="1" applyAlignment="1">
      <alignment horizontal="center" vertical="top"/>
    </xf>
    <xf numFmtId="0" fontId="69" fillId="0" borderId="13" xfId="0" applyFont="1" applyBorder="1" applyAlignment="1">
      <alignment horizontal="center"/>
    </xf>
    <xf numFmtId="167" fontId="69" fillId="0" borderId="23" xfId="0" applyNumberFormat="1" applyFont="1" applyBorder="1" applyAlignment="1">
      <alignment horizontal="center"/>
    </xf>
    <xf numFmtId="0" fontId="69" fillId="0" borderId="23" xfId="0" applyFont="1" applyBorder="1" applyAlignment="1">
      <alignment horizontal="center"/>
    </xf>
    <xf numFmtId="167" fontId="38" fillId="53" borderId="0" xfId="0" applyNumberFormat="1" applyFont="1" applyFill="1" applyAlignment="1">
      <alignment horizontal="center"/>
    </xf>
    <xf numFmtId="167" fontId="58" fillId="0" borderId="23" xfId="0" applyNumberFormat="1" applyFont="1" applyBorder="1" applyAlignment="1">
      <alignment horizontal="center" vertical="top"/>
    </xf>
    <xf numFmtId="10" fontId="35" fillId="0" borderId="0" xfId="24613" applyNumberFormat="1" applyFont="1" applyAlignment="1">
      <alignment horizontal="center"/>
    </xf>
    <xf numFmtId="167" fontId="56" fillId="0" borderId="23" xfId="0" applyNumberFormat="1" applyFont="1" applyBorder="1" applyAlignment="1">
      <alignment horizontal="center" vertical="center"/>
    </xf>
    <xf numFmtId="0" fontId="115" fillId="51" borderId="19" xfId="0" applyFont="1" applyFill="1" applyBorder="1" applyAlignment="1">
      <alignment horizontal="left"/>
    </xf>
    <xf numFmtId="0" fontId="69" fillId="51" borderId="10" xfId="0" applyFont="1" applyFill="1" applyBorder="1" applyAlignment="1">
      <alignment horizontal="left"/>
    </xf>
    <xf numFmtId="0" fontId="91" fillId="0" borderId="50" xfId="0" applyFont="1" applyBorder="1" applyAlignment="1">
      <alignment horizontal="center" vertical="center" wrapText="1"/>
    </xf>
    <xf numFmtId="0" fontId="91" fillId="0" borderId="51" xfId="0" applyFont="1" applyBorder="1" applyAlignment="1">
      <alignment horizontal="center" vertical="center" wrapText="1"/>
    </xf>
    <xf numFmtId="0" fontId="91" fillId="0" borderId="54" xfId="0" applyFont="1" applyBorder="1" applyAlignment="1">
      <alignment horizontal="center" vertical="center" wrapText="1"/>
    </xf>
    <xf numFmtId="0" fontId="91" fillId="0" borderId="55" xfId="0" applyFont="1" applyBorder="1" applyAlignment="1">
      <alignment horizontal="center" vertical="center" wrapText="1"/>
    </xf>
    <xf numFmtId="0" fontId="91" fillId="0" borderId="58" xfId="0" applyFont="1" applyBorder="1" applyAlignment="1">
      <alignment horizontal="center" vertical="center" wrapText="1"/>
    </xf>
    <xf numFmtId="167" fontId="71" fillId="0" borderId="13" xfId="0" applyNumberFormat="1" applyFont="1" applyBorder="1" applyAlignment="1">
      <alignment horizontal="center" vertical="top"/>
    </xf>
    <xf numFmtId="167" fontId="58" fillId="0" borderId="13" xfId="0" applyNumberFormat="1" applyFont="1" applyBorder="1" applyAlignment="1">
      <alignment horizontal="center" vertical="top"/>
    </xf>
    <xf numFmtId="0" fontId="116" fillId="34" borderId="0" xfId="0" applyFont="1" applyFill="1" applyAlignment="1">
      <alignment vertical="center"/>
    </xf>
    <xf numFmtId="167" fontId="71" fillId="0" borderId="23" xfId="0" applyNumberFormat="1" applyFont="1" applyBorder="1" applyAlignment="1">
      <alignment horizontal="center" vertical="top"/>
    </xf>
    <xf numFmtId="0" fontId="70" fillId="0" borderId="10" xfId="0" applyFont="1" applyBorder="1" applyAlignment="1">
      <alignment horizontal="left"/>
    </xf>
    <xf numFmtId="0" fontId="106" fillId="0" borderId="19" xfId="0" applyFont="1" applyBorder="1" applyAlignment="1">
      <alignment horizontal="left"/>
    </xf>
    <xf numFmtId="2" fontId="85" fillId="0" borderId="12" xfId="0" applyNumberFormat="1" applyFont="1" applyBorder="1" applyAlignment="1">
      <alignment horizontal="center" vertical="center"/>
    </xf>
    <xf numFmtId="0" fontId="37" fillId="0" borderId="59" xfId="24615" applyFont="1" applyBorder="1" applyAlignment="1">
      <alignment horizontal="left"/>
    </xf>
    <xf numFmtId="0" fontId="37" fillId="0" borderId="12" xfId="0" applyFont="1" applyBorder="1" applyAlignment="1">
      <alignment horizontal="center" vertical="center"/>
    </xf>
    <xf numFmtId="168" fontId="70" fillId="0" borderId="23" xfId="0" applyNumberFormat="1" applyFont="1" applyBorder="1"/>
    <xf numFmtId="0" fontId="117" fillId="0" borderId="13" xfId="0" applyFont="1" applyBorder="1" applyAlignment="1">
      <alignment horizontal="left"/>
    </xf>
    <xf numFmtId="0" fontId="117" fillId="0" borderId="0" xfId="0" applyFont="1" applyAlignment="1">
      <alignment horizontal="center"/>
    </xf>
    <xf numFmtId="0" fontId="117" fillId="0" borderId="13" xfId="0" applyFont="1" applyBorder="1" applyAlignment="1">
      <alignment horizontal="center"/>
    </xf>
    <xf numFmtId="0" fontId="117" fillId="0" borderId="0" xfId="0" applyFont="1" applyAlignment="1">
      <alignment horizontal="left"/>
    </xf>
    <xf numFmtId="167" fontId="64" fillId="0" borderId="12" xfId="0" applyNumberFormat="1" applyFont="1" applyBorder="1"/>
    <xf numFmtId="167" fontId="69" fillId="0" borderId="23" xfId="0" applyNumberFormat="1" applyFont="1" applyBorder="1"/>
    <xf numFmtId="167" fontId="69" fillId="0" borderId="13" xfId="0" applyNumberFormat="1" applyFont="1" applyBorder="1"/>
    <xf numFmtId="0" fontId="87" fillId="0" borderId="22" xfId="0" applyFont="1" applyBorder="1" applyAlignment="1">
      <alignment horizontal="left" vertical="center" wrapText="1"/>
    </xf>
    <xf numFmtId="1" fontId="56" fillId="0" borderId="13" xfId="0" applyNumberFormat="1" applyFont="1" applyBorder="1" applyAlignment="1">
      <alignment horizontal="center"/>
    </xf>
    <xf numFmtId="0" fontId="56" fillId="0" borderId="13" xfId="0" applyFont="1" applyBorder="1" applyAlignment="1">
      <alignment horizontal="center"/>
    </xf>
    <xf numFmtId="167" fontId="56" fillId="0" borderId="23" xfId="0" applyNumberFormat="1" applyFont="1" applyBorder="1"/>
    <xf numFmtId="167" fontId="56" fillId="0" borderId="13" xfId="0" applyNumberFormat="1" applyFont="1" applyBorder="1"/>
    <xf numFmtId="167" fontId="93" fillId="0" borderId="10" xfId="0" applyNumberFormat="1" applyFont="1" applyBorder="1" applyAlignment="1">
      <alignment horizontal="left"/>
    </xf>
    <xf numFmtId="0" fontId="114" fillId="0" borderId="19" xfId="0" applyFont="1" applyBorder="1" applyAlignment="1">
      <alignment horizontal="left"/>
    </xf>
    <xf numFmtId="167" fontId="114" fillId="0" borderId="10" xfId="0" applyNumberFormat="1" applyFont="1" applyBorder="1" applyAlignment="1">
      <alignment horizontal="left"/>
    </xf>
    <xf numFmtId="0" fontId="48" fillId="0" borderId="59" xfId="0" applyFont="1" applyBorder="1" applyAlignment="1">
      <alignment horizontal="left"/>
    </xf>
    <xf numFmtId="167" fontId="56" fillId="0" borderId="23" xfId="0" applyNumberFormat="1" applyFont="1" applyBorder="1" applyAlignment="1">
      <alignment horizontal="center"/>
    </xf>
    <xf numFmtId="167" fontId="118" fillId="0" borderId="23" xfId="0" applyNumberFormat="1" applyFont="1" applyBorder="1" applyAlignment="1">
      <alignment horizontal="center" vertical="top"/>
    </xf>
    <xf numFmtId="0" fontId="55" fillId="0" borderId="0" xfId="0" applyFont="1"/>
    <xf numFmtId="167" fontId="55" fillId="0" borderId="23" xfId="0" applyNumberFormat="1" applyFont="1" applyBorder="1" applyAlignment="1">
      <alignment horizontal="center" vertical="top"/>
    </xf>
    <xf numFmtId="167" fontId="63" fillId="0" borderId="23" xfId="0" applyNumberFormat="1" applyFont="1" applyBorder="1" applyAlignment="1">
      <alignment horizontal="center" vertical="top"/>
    </xf>
    <xf numFmtId="167" fontId="119" fillId="0" borderId="23" xfId="0" applyNumberFormat="1" applyFont="1" applyBorder="1" applyAlignment="1">
      <alignment horizontal="center" vertical="center"/>
    </xf>
    <xf numFmtId="0" fontId="120" fillId="0" borderId="0" xfId="0" applyFont="1"/>
    <xf numFmtId="0" fontId="120" fillId="0" borderId="13" xfId="0" applyFont="1" applyBorder="1"/>
    <xf numFmtId="0" fontId="55" fillId="0" borderId="19" xfId="0" applyFont="1" applyBorder="1" applyAlignment="1">
      <alignment horizontal="left"/>
    </xf>
    <xf numFmtId="167" fontId="55" fillId="0" borderId="10" xfId="0" applyNumberFormat="1" applyFont="1" applyBorder="1" applyAlignment="1">
      <alignment horizontal="left"/>
    </xf>
    <xf numFmtId="0" fontId="55" fillId="0" borderId="23" xfId="0" applyFont="1" applyBorder="1" applyAlignment="1">
      <alignment horizontal="center"/>
    </xf>
    <xf numFmtId="9" fontId="55" fillId="0" borderId="23" xfId="0" applyNumberFormat="1" applyFont="1" applyBorder="1" applyAlignment="1">
      <alignment horizontal="center"/>
    </xf>
    <xf numFmtId="0" fontId="56" fillId="0" borderId="13" xfId="24615" applyFont="1" applyBorder="1" applyAlignment="1">
      <alignment horizontal="left"/>
    </xf>
    <xf numFmtId="9" fontId="56" fillId="0" borderId="23" xfId="24615" applyNumberFormat="1" applyFont="1" applyBorder="1" applyAlignment="1">
      <alignment horizontal="center"/>
    </xf>
    <xf numFmtId="2" fontId="56" fillId="0" borderId="13" xfId="0" applyNumberFormat="1" applyFont="1" applyBorder="1" applyAlignment="1">
      <alignment horizontal="center" vertical="top"/>
    </xf>
    <xf numFmtId="2" fontId="77" fillId="0" borderId="13" xfId="0" applyNumberFormat="1" applyFont="1" applyBorder="1" applyAlignment="1">
      <alignment horizontal="center" vertical="top"/>
    </xf>
    <xf numFmtId="167" fontId="77" fillId="0" borderId="13" xfId="0" applyNumberFormat="1" applyFont="1" applyBorder="1" applyAlignment="1">
      <alignment horizontal="center"/>
    </xf>
    <xf numFmtId="167" fontId="121" fillId="0" borderId="0" xfId="0" applyNumberFormat="1" applyFont="1" applyAlignment="1">
      <alignment horizontal="center"/>
    </xf>
    <xf numFmtId="0" fontId="70" fillId="0" borderId="0" xfId="0" applyFont="1" applyAlignment="1">
      <alignment horizontal="left"/>
    </xf>
    <xf numFmtId="0" fontId="38" fillId="38" borderId="0" xfId="50" applyFont="1" applyFill="1">
      <alignment horizontal="center"/>
    </xf>
    <xf numFmtId="167" fontId="48" fillId="0" borderId="0" xfId="0" applyNumberFormat="1" applyFont="1" applyAlignment="1">
      <alignment horizontal="left"/>
    </xf>
    <xf numFmtId="10" fontId="48" fillId="0" borderId="23" xfId="0" applyNumberFormat="1" applyFont="1" applyBorder="1" applyAlignment="1">
      <alignment horizontal="center" vertical="center"/>
    </xf>
    <xf numFmtId="2" fontId="37" fillId="0" borderId="0" xfId="0" applyNumberFormat="1" applyFont="1" applyAlignment="1">
      <alignment horizontal="center" vertical="center"/>
    </xf>
    <xf numFmtId="2" fontId="85" fillId="0" borderId="12" xfId="0" applyNumberFormat="1" applyFont="1" applyBorder="1" applyAlignment="1">
      <alignment horizontal="center" vertical="top"/>
    </xf>
    <xf numFmtId="167" fontId="53" fillId="0" borderId="0" xfId="24615" applyNumberFormat="1" applyFont="1" applyAlignment="1">
      <alignment horizontal="center" vertical="center" wrapText="1"/>
    </xf>
    <xf numFmtId="167" fontId="93" fillId="0" borderId="23" xfId="0" applyNumberFormat="1" applyFont="1" applyBorder="1" applyAlignment="1">
      <alignment horizontal="center" vertical="top"/>
    </xf>
    <xf numFmtId="167" fontId="121" fillId="0" borderId="10" xfId="0" applyNumberFormat="1" applyFont="1" applyBorder="1" applyAlignment="1">
      <alignment horizontal="left"/>
    </xf>
    <xf numFmtId="0" fontId="53" fillId="0" borderId="36" xfId="24615" applyFont="1" applyBorder="1" applyAlignment="1">
      <alignment horizontal="center" vertical="center"/>
    </xf>
    <xf numFmtId="0" fontId="53" fillId="0" borderId="13" xfId="24615" applyFont="1" applyBorder="1" applyAlignment="1">
      <alignment horizontal="center" vertical="center"/>
    </xf>
    <xf numFmtId="0" fontId="53" fillId="0" borderId="62" xfId="24615" applyFont="1" applyBorder="1" applyAlignment="1">
      <alignment horizontal="center" vertical="center"/>
    </xf>
    <xf numFmtId="167" fontId="88" fillId="0" borderId="22" xfId="24615" applyNumberFormat="1" applyFont="1" applyBorder="1" applyAlignment="1">
      <alignment horizontal="center" vertical="center"/>
    </xf>
    <xf numFmtId="0" fontId="62" fillId="0" borderId="22" xfId="24615" applyFont="1" applyBorder="1" applyAlignment="1">
      <alignment horizontal="center" vertical="center"/>
    </xf>
    <xf numFmtId="167" fontId="62" fillId="0" borderId="22" xfId="24615" applyNumberFormat="1" applyFont="1" applyBorder="1" applyAlignment="1">
      <alignment horizontal="center" vertical="center"/>
    </xf>
    <xf numFmtId="0" fontId="1" fillId="0" borderId="36" xfId="24615" applyFont="1" applyBorder="1" applyAlignment="1">
      <alignment horizontal="center" vertical="center"/>
    </xf>
    <xf numFmtId="167" fontId="20" fillId="0" borderId="22" xfId="24615" applyNumberFormat="1" applyFont="1" applyBorder="1" applyAlignment="1">
      <alignment horizontal="center" vertical="center"/>
    </xf>
    <xf numFmtId="0" fontId="1" fillId="0" borderId="13" xfId="24615" applyFont="1" applyBorder="1" applyAlignment="1">
      <alignment horizontal="center" vertical="center"/>
    </xf>
    <xf numFmtId="0" fontId="62" fillId="0" borderId="22" xfId="0" applyFont="1" applyBorder="1" applyAlignment="1">
      <alignment horizontal="center"/>
    </xf>
    <xf numFmtId="0" fontId="1" fillId="0" borderId="62" xfId="24615" applyFont="1" applyBorder="1" applyAlignment="1">
      <alignment horizontal="center" vertical="center"/>
    </xf>
    <xf numFmtId="0" fontId="22" fillId="0" borderId="22" xfId="24615" applyFont="1" applyBorder="1" applyAlignment="1">
      <alignment horizontal="center" vertical="center"/>
    </xf>
    <xf numFmtId="0" fontId="88" fillId="0" borderId="13" xfId="24615" applyFont="1" applyBorder="1" applyAlignment="1">
      <alignment horizontal="center" vertical="center"/>
    </xf>
    <xf numFmtId="0" fontId="88" fillId="0" borderId="62" xfId="24615" applyFont="1" applyBorder="1" applyAlignment="1">
      <alignment horizontal="center" vertical="center"/>
    </xf>
    <xf numFmtId="0" fontId="122" fillId="0" borderId="0" xfId="24615" applyFont="1" applyAlignment="1">
      <alignment horizontal="left" vertical="center"/>
    </xf>
    <xf numFmtId="0" fontId="122" fillId="0" borderId="67" xfId="24615" applyFont="1" applyBorder="1" applyAlignment="1">
      <alignment horizontal="left" vertical="center"/>
    </xf>
    <xf numFmtId="0" fontId="122" fillId="0" borderId="68" xfId="24615" applyFont="1" applyBorder="1" applyAlignment="1">
      <alignment horizontal="center" vertical="center"/>
    </xf>
    <xf numFmtId="0" fontId="122" fillId="0" borderId="69" xfId="24615" applyFont="1" applyBorder="1" applyAlignment="1">
      <alignment horizontal="center" vertical="center"/>
    </xf>
    <xf numFmtId="167" fontId="122" fillId="0" borderId="69" xfId="24615" applyNumberFormat="1" applyFont="1" applyBorder="1" applyAlignment="1">
      <alignment horizontal="center" vertical="center" wrapText="1"/>
    </xf>
    <xf numFmtId="0" fontId="126" fillId="0" borderId="71" xfId="0" applyFont="1" applyBorder="1" applyAlignment="1">
      <alignment horizontal="center" vertical="center" wrapText="1"/>
    </xf>
    <xf numFmtId="0" fontId="125" fillId="0" borderId="49" xfId="0" applyFont="1" applyBorder="1" applyAlignment="1">
      <alignment horizontal="center" vertical="center" wrapText="1"/>
    </xf>
    <xf numFmtId="0" fontId="127" fillId="0" borderId="71" xfId="0" applyFont="1" applyBorder="1" applyAlignment="1">
      <alignment horizontal="center" vertical="center" wrapText="1"/>
    </xf>
    <xf numFmtId="0" fontId="127" fillId="0" borderId="49" xfId="0" applyFont="1" applyBorder="1" applyAlignment="1">
      <alignment horizontal="center" vertical="center" wrapText="1"/>
    </xf>
    <xf numFmtId="167" fontId="37" fillId="0" borderId="0" xfId="24615" applyNumberFormat="1" applyFont="1" applyAlignment="1">
      <alignment horizontal="center"/>
    </xf>
    <xf numFmtId="2" fontId="64" fillId="0" borderId="13" xfId="24615" applyNumberFormat="1" applyFont="1" applyBorder="1" applyAlignment="1">
      <alignment horizontal="center" vertical="top"/>
    </xf>
    <xf numFmtId="2" fontId="64" fillId="0" borderId="0" xfId="24615" applyNumberFormat="1" applyFont="1" applyAlignment="1">
      <alignment horizontal="center" vertical="top"/>
    </xf>
    <xf numFmtId="167" fontId="52" fillId="0" borderId="13" xfId="24615" applyNumberFormat="1" applyFont="1" applyBorder="1" applyAlignment="1">
      <alignment horizontal="center" vertical="center"/>
    </xf>
    <xf numFmtId="167" fontId="79" fillId="0" borderId="0" xfId="24615" applyNumberFormat="1" applyFont="1"/>
    <xf numFmtId="2" fontId="54" fillId="0" borderId="12" xfId="24615" applyNumberFormat="1" applyFont="1" applyBorder="1" applyAlignment="1">
      <alignment horizontal="center" vertical="top"/>
    </xf>
    <xf numFmtId="167" fontId="70" fillId="0" borderId="13" xfId="24615" applyNumberFormat="1" applyFont="1" applyBorder="1" applyAlignment="1">
      <alignment horizontal="center" vertical="top"/>
    </xf>
    <xf numFmtId="167" fontId="78" fillId="0" borderId="13" xfId="24615" applyNumberFormat="1" applyFont="1" applyBorder="1" applyAlignment="1">
      <alignment horizontal="center" vertical="top"/>
    </xf>
    <xf numFmtId="167" fontId="84" fillId="0" borderId="23" xfId="24615" applyNumberFormat="1" applyFont="1" applyBorder="1" applyAlignment="1">
      <alignment horizontal="center" vertical="top"/>
    </xf>
    <xf numFmtId="167" fontId="56" fillId="0" borderId="0" xfId="24615" applyNumberFormat="1" applyFont="1" applyAlignment="1">
      <alignment horizontal="center"/>
    </xf>
    <xf numFmtId="2" fontId="54" fillId="0" borderId="13" xfId="24615" applyNumberFormat="1" applyFont="1" applyBorder="1" applyAlignment="1">
      <alignment horizontal="center" vertical="top"/>
    </xf>
    <xf numFmtId="2" fontId="37" fillId="0" borderId="13" xfId="24615" applyNumberFormat="1" applyFont="1" applyBorder="1" applyAlignment="1">
      <alignment horizontal="center" vertical="top"/>
    </xf>
    <xf numFmtId="167" fontId="70" fillId="0" borderId="13" xfId="24615" applyNumberFormat="1" applyFont="1" applyBorder="1" applyAlignment="1">
      <alignment horizontal="center"/>
    </xf>
    <xf numFmtId="0" fontId="70" fillId="0" borderId="12" xfId="24615" applyFont="1" applyBorder="1" applyAlignment="1">
      <alignment horizontal="center"/>
    </xf>
    <xf numFmtId="167" fontId="70" fillId="0" borderId="0" xfId="24615" applyNumberFormat="1" applyFont="1" applyAlignment="1">
      <alignment horizontal="center"/>
    </xf>
    <xf numFmtId="1" fontId="70" fillId="0" borderId="13" xfId="24615" applyNumberFormat="1" applyFont="1" applyBorder="1" applyAlignment="1">
      <alignment horizontal="center"/>
    </xf>
    <xf numFmtId="167" fontId="56" fillId="0" borderId="13" xfId="24615" applyNumberFormat="1" applyFont="1" applyBorder="1" applyAlignment="1">
      <alignment horizontal="center"/>
    </xf>
    <xf numFmtId="0" fontId="70" fillId="0" borderId="13" xfId="24615" applyFont="1" applyBorder="1" applyAlignment="1">
      <alignment horizontal="left"/>
    </xf>
    <xf numFmtId="0" fontId="70" fillId="0" borderId="19" xfId="24615" applyFont="1" applyBorder="1" applyAlignment="1">
      <alignment horizontal="left"/>
    </xf>
    <xf numFmtId="0" fontId="37" fillId="0" borderId="13" xfId="24615" applyFont="1" applyBorder="1" applyAlignment="1">
      <alignment horizontal="center"/>
    </xf>
    <xf numFmtId="0" fontId="93" fillId="0" borderId="19" xfId="24615" applyFont="1" applyBorder="1" applyAlignment="1">
      <alignment horizontal="left"/>
    </xf>
    <xf numFmtId="0" fontId="37" fillId="0" borderId="19" xfId="24615" applyFont="1" applyBorder="1" applyAlignment="1">
      <alignment horizontal="left"/>
    </xf>
    <xf numFmtId="167" fontId="70" fillId="0" borderId="23" xfId="24615" applyNumberFormat="1" applyFont="1" applyBorder="1" applyAlignment="1">
      <alignment horizontal="center"/>
    </xf>
    <xf numFmtId="0" fontId="70" fillId="0" borderId="13" xfId="24615" applyFont="1" applyBorder="1" applyAlignment="1">
      <alignment horizontal="center"/>
    </xf>
    <xf numFmtId="0" fontId="37" fillId="0" borderId="12" xfId="24615" applyFont="1" applyBorder="1" applyAlignment="1">
      <alignment horizontal="center"/>
    </xf>
    <xf numFmtId="0" fontId="93" fillId="0" borderId="13" xfId="24615" applyFont="1" applyBorder="1" applyAlignment="1">
      <alignment horizontal="center"/>
    </xf>
    <xf numFmtId="0" fontId="48" fillId="0" borderId="13" xfId="24615" applyFont="1" applyBorder="1" applyAlignment="1">
      <alignment horizontal="center"/>
    </xf>
    <xf numFmtId="0" fontId="48" fillId="0" borderId="19" xfId="24615" applyFont="1" applyBorder="1" applyAlignment="1">
      <alignment horizontal="left"/>
    </xf>
    <xf numFmtId="167" fontId="50" fillId="0" borderId="25" xfId="24615" applyNumberFormat="1" applyFont="1" applyBorder="1" applyAlignment="1">
      <alignment horizontal="center" vertical="top" wrapText="1"/>
    </xf>
    <xf numFmtId="2" fontId="48" fillId="0" borderId="22" xfId="24615" applyNumberFormat="1" applyFont="1" applyBorder="1" applyAlignment="1">
      <alignment horizontal="center" vertical="top" wrapText="1"/>
    </xf>
    <xf numFmtId="2" fontId="48" fillId="0" borderId="29" xfId="24615" applyNumberFormat="1" applyFont="1" applyBorder="1" applyAlignment="1">
      <alignment horizontal="center" vertical="top" wrapText="1"/>
    </xf>
    <xf numFmtId="168" fontId="48" fillId="0" borderId="29" xfId="24615" applyNumberFormat="1" applyFont="1" applyBorder="1" applyAlignment="1">
      <alignment horizontal="center" vertical="top" wrapText="1"/>
    </xf>
    <xf numFmtId="167" fontId="48" fillId="0" borderId="29" xfId="24615" applyNumberFormat="1" applyFont="1" applyBorder="1" applyAlignment="1">
      <alignment horizontal="center" vertical="top" wrapText="1"/>
    </xf>
    <xf numFmtId="167" fontId="48" fillId="0" borderId="26" xfId="24615" applyNumberFormat="1" applyFont="1" applyBorder="1" applyAlignment="1">
      <alignment horizontal="center" vertical="top" wrapText="1"/>
    </xf>
    <xf numFmtId="167" fontId="48" fillId="0" borderId="27" xfId="24615" applyNumberFormat="1" applyFont="1" applyBorder="1" applyAlignment="1">
      <alignment horizontal="left" vertical="top" wrapText="1"/>
    </xf>
    <xf numFmtId="0" fontId="48" fillId="0" borderId="18" xfId="24615" applyFont="1" applyBorder="1" applyAlignment="1">
      <alignment horizontal="left" vertical="top" wrapText="1"/>
    </xf>
    <xf numFmtId="167" fontId="47" fillId="0" borderId="22" xfId="24615" applyNumberFormat="1" applyFont="1" applyBorder="1" applyAlignment="1">
      <alignment horizontal="center"/>
    </xf>
    <xf numFmtId="2" fontId="45" fillId="0" borderId="31" xfId="24615" applyNumberFormat="1" applyFont="1" applyBorder="1" applyAlignment="1">
      <alignment horizontal="center"/>
    </xf>
    <xf numFmtId="167" fontId="37" fillId="0" borderId="25" xfId="24615" applyNumberFormat="1" applyFont="1" applyBorder="1"/>
    <xf numFmtId="167" fontId="37" fillId="0" borderId="28" xfId="24615" applyNumberFormat="1" applyFont="1" applyBorder="1"/>
    <xf numFmtId="168" fontId="37" fillId="0" borderId="28" xfId="24615" applyNumberFormat="1" applyFont="1" applyBorder="1"/>
    <xf numFmtId="167" fontId="43" fillId="0" borderId="28" xfId="24615" applyNumberFormat="1" applyFont="1" applyBorder="1"/>
    <xf numFmtId="167" fontId="43" fillId="0" borderId="28" xfId="24615" applyNumberFormat="1" applyFont="1" applyBorder="1" applyAlignment="1">
      <alignment horizontal="center"/>
    </xf>
    <xf numFmtId="167" fontId="42" fillId="0" borderId="25" xfId="24615" applyNumberFormat="1" applyFont="1" applyBorder="1" applyAlignment="1">
      <alignment horizontal="center"/>
    </xf>
    <xf numFmtId="0" fontId="41" fillId="0" borderId="20" xfId="24615" applyFont="1" applyBorder="1" applyAlignment="1">
      <alignment horizontal="center"/>
    </xf>
    <xf numFmtId="167" fontId="42" fillId="0" borderId="0" xfId="24615" applyNumberFormat="1" applyFont="1"/>
    <xf numFmtId="167" fontId="44" fillId="0" borderId="13" xfId="24615" applyNumberFormat="1" applyFont="1" applyBorder="1"/>
    <xf numFmtId="167" fontId="74" fillId="0" borderId="22" xfId="24615" applyNumberFormat="1" applyFont="1" applyBorder="1" applyAlignment="1">
      <alignment vertical="center" wrapText="1"/>
    </xf>
    <xf numFmtId="167" fontId="56" fillId="0" borderId="0" xfId="24615" applyNumberFormat="1" applyFont="1"/>
    <xf numFmtId="0" fontId="37" fillId="0" borderId="12" xfId="24615" applyFont="1" applyBorder="1" applyAlignment="1">
      <alignment horizontal="center" vertical="center"/>
    </xf>
    <xf numFmtId="2" fontId="48" fillId="0" borderId="24" xfId="24615" applyNumberFormat="1" applyFont="1" applyBorder="1" applyAlignment="1">
      <alignment horizontal="center" vertical="top" wrapText="1"/>
    </xf>
    <xf numFmtId="2" fontId="45" fillId="0" borderId="30" xfId="24615" applyNumberFormat="1" applyFont="1" applyBorder="1" applyAlignment="1">
      <alignment horizontal="center"/>
    </xf>
    <xf numFmtId="167" fontId="103" fillId="0" borderId="10" xfId="24615" applyNumberFormat="1" applyFont="1" applyBorder="1" applyAlignment="1">
      <alignment horizontal="left" indent="5"/>
    </xf>
    <xf numFmtId="0" fontId="117" fillId="0" borderId="0" xfId="24615" applyFont="1" applyAlignment="1">
      <alignment horizontal="left"/>
    </xf>
    <xf numFmtId="0" fontId="117" fillId="0" borderId="13" xfId="24615" applyFont="1" applyBorder="1" applyAlignment="1">
      <alignment horizontal="center"/>
    </xf>
    <xf numFmtId="0" fontId="117" fillId="0" borderId="0" xfId="24615" applyFont="1" applyAlignment="1">
      <alignment horizontal="center"/>
    </xf>
    <xf numFmtId="0" fontId="117" fillId="0" borderId="13" xfId="24615" applyFont="1" applyBorder="1" applyAlignment="1">
      <alignment horizontal="left"/>
    </xf>
    <xf numFmtId="168" fontId="70" fillId="0" borderId="23" xfId="24615" applyNumberFormat="1" applyFont="1" applyBorder="1"/>
    <xf numFmtId="0" fontId="48" fillId="0" borderId="13" xfId="24615" applyFont="1" applyBorder="1" applyAlignment="1">
      <alignment horizontal="left"/>
    </xf>
    <xf numFmtId="0" fontId="64" fillId="0" borderId="19" xfId="24615" applyFont="1" applyBorder="1" applyAlignment="1">
      <alignment horizontal="left"/>
    </xf>
    <xf numFmtId="0" fontId="93" fillId="0" borderId="13" xfId="24615" applyFont="1" applyBorder="1" applyAlignment="1">
      <alignment horizontal="center" vertical="center"/>
    </xf>
    <xf numFmtId="2" fontId="58" fillId="0" borderId="26" xfId="24615" applyNumberFormat="1" applyFont="1" applyBorder="1" applyAlignment="1">
      <alignment horizontal="center" vertical="top" wrapText="1"/>
    </xf>
    <xf numFmtId="2" fontId="49" fillId="0" borderId="26" xfId="24615" applyNumberFormat="1" applyFont="1" applyBorder="1" applyAlignment="1">
      <alignment horizontal="center" vertical="top" wrapText="1"/>
    </xf>
    <xf numFmtId="2" fontId="57" fillId="0" borderId="26" xfId="24615" applyNumberFormat="1" applyFont="1" applyBorder="1" applyAlignment="1">
      <alignment horizontal="center"/>
    </xf>
    <xf numFmtId="2" fontId="46" fillId="0" borderId="26" xfId="24615" applyNumberFormat="1" applyFont="1" applyBorder="1" applyAlignment="1">
      <alignment horizontal="center"/>
    </xf>
    <xf numFmtId="167" fontId="56" fillId="0" borderId="25" xfId="24615" applyNumberFormat="1" applyFont="1" applyBorder="1" applyAlignment="1">
      <alignment horizontal="center"/>
    </xf>
    <xf numFmtId="167" fontId="44" fillId="0" borderId="25" xfId="24615" applyNumberFormat="1" applyFont="1" applyBorder="1"/>
    <xf numFmtId="0" fontId="126" fillId="0" borderId="50" xfId="0" applyFont="1" applyBorder="1" applyAlignment="1">
      <alignment horizontal="center" vertical="center" wrapText="1"/>
    </xf>
    <xf numFmtId="0" fontId="128" fillId="0" borderId="72" xfId="0" applyFont="1" applyBorder="1" applyAlignment="1">
      <alignment horizontal="center" vertical="center" wrapText="1"/>
    </xf>
    <xf numFmtId="167" fontId="37" fillId="0" borderId="12" xfId="24615" applyNumberFormat="1" applyFont="1" applyBorder="1"/>
    <xf numFmtId="0" fontId="121" fillId="0" borderId="19" xfId="0" applyFont="1" applyBorder="1" applyAlignment="1">
      <alignment horizontal="left"/>
    </xf>
    <xf numFmtId="0" fontId="121" fillId="0" borderId="13" xfId="0" applyFont="1" applyBorder="1" applyAlignment="1">
      <alignment horizontal="center"/>
    </xf>
    <xf numFmtId="167" fontId="48" fillId="54" borderId="22" xfId="0" applyNumberFormat="1" applyFont="1" applyFill="1" applyBorder="1" applyAlignment="1">
      <alignment horizontal="center" vertical="center" wrapText="1"/>
    </xf>
    <xf numFmtId="170" fontId="37" fillId="0" borderId="22" xfId="24613" applyNumberFormat="1" applyFont="1" applyBorder="1" applyAlignment="1">
      <alignment horizontal="center" vertical="center"/>
    </xf>
    <xf numFmtId="171" fontId="37" fillId="0" borderId="22" xfId="24614" applyNumberFormat="1" applyFont="1" applyBorder="1" applyAlignment="1">
      <alignment horizontal="center" vertical="center"/>
    </xf>
    <xf numFmtId="167" fontId="37" fillId="0" borderId="12" xfId="0" applyNumberFormat="1" applyFont="1" applyBorder="1"/>
    <xf numFmtId="167" fontId="69" fillId="0" borderId="13" xfId="0" applyNumberFormat="1" applyFont="1" applyBorder="1" applyAlignment="1">
      <alignment horizontal="center"/>
    </xf>
    <xf numFmtId="167" fontId="129" fillId="0" borderId="13" xfId="0" applyNumberFormat="1" applyFont="1" applyBorder="1" applyAlignment="1">
      <alignment horizontal="center" vertical="top"/>
    </xf>
    <xf numFmtId="0" fontId="70" fillId="0" borderId="0" xfId="0" applyFont="1"/>
    <xf numFmtId="0" fontId="70" fillId="0" borderId="13" xfId="0" applyFont="1" applyBorder="1"/>
    <xf numFmtId="167" fontId="71" fillId="0" borderId="0" xfId="0" applyNumberFormat="1" applyFont="1" applyAlignment="1">
      <alignment horizontal="center"/>
    </xf>
    <xf numFmtId="0" fontId="71" fillId="0" borderId="19" xfId="0" applyFont="1" applyBorder="1" applyAlignment="1">
      <alignment horizontal="left"/>
    </xf>
    <xf numFmtId="167" fontId="71" fillId="0" borderId="10" xfId="0" applyNumberFormat="1" applyFont="1" applyBorder="1" applyAlignment="1">
      <alignment horizontal="left"/>
    </xf>
    <xf numFmtId="0" fontId="71" fillId="0" borderId="13" xfId="0" applyFont="1" applyBorder="1" applyAlignment="1">
      <alignment horizontal="center"/>
    </xf>
    <xf numFmtId="167" fontId="71" fillId="0" borderId="23" xfId="0" applyNumberFormat="1" applyFont="1" applyBorder="1" applyAlignment="1">
      <alignment horizontal="center"/>
    </xf>
    <xf numFmtId="9" fontId="71" fillId="0" borderId="23" xfId="0" applyNumberFormat="1" applyFont="1" applyBorder="1" applyAlignment="1">
      <alignment horizontal="center"/>
    </xf>
    <xf numFmtId="167" fontId="130" fillId="0" borderId="23" xfId="0" applyNumberFormat="1" applyFont="1" applyBorder="1" applyAlignment="1">
      <alignment horizontal="center" vertical="top"/>
    </xf>
    <xf numFmtId="167" fontId="131" fillId="0" borderId="23" xfId="0" applyNumberFormat="1" applyFont="1" applyBorder="1" applyAlignment="1">
      <alignment horizontal="center" vertical="top"/>
    </xf>
    <xf numFmtId="167" fontId="55" fillId="0" borderId="23" xfId="0" applyNumberFormat="1" applyFont="1" applyBorder="1" applyAlignment="1">
      <alignment horizontal="center" vertical="center"/>
    </xf>
    <xf numFmtId="0" fontId="55" fillId="0" borderId="13" xfId="0" applyFont="1" applyBorder="1"/>
    <xf numFmtId="0" fontId="70" fillId="51" borderId="10" xfId="0" applyFont="1" applyFill="1" applyBorder="1" applyAlignment="1">
      <alignment horizontal="left"/>
    </xf>
    <xf numFmtId="10" fontId="48" fillId="0" borderId="10" xfId="0" applyNumberFormat="1" applyFont="1" applyBorder="1" applyAlignment="1">
      <alignment horizontal="center"/>
    </xf>
    <xf numFmtId="167" fontId="37" fillId="0" borderId="60" xfId="0" applyNumberFormat="1" applyFont="1" applyBorder="1" applyAlignment="1">
      <alignment horizontal="left"/>
    </xf>
    <xf numFmtId="167" fontId="37" fillId="0" borderId="63" xfId="0" applyNumberFormat="1" applyFont="1" applyBorder="1" applyAlignment="1">
      <alignment horizontal="left"/>
    </xf>
    <xf numFmtId="167" fontId="37" fillId="0" borderId="32" xfId="0" applyNumberFormat="1" applyFont="1" applyBorder="1" applyAlignment="1">
      <alignment horizontal="left"/>
    </xf>
    <xf numFmtId="0" fontId="71" fillId="0" borderId="13" xfId="0" applyFont="1" applyBorder="1" applyAlignment="1">
      <alignment horizontal="center" vertical="center"/>
    </xf>
    <xf numFmtId="167" fontId="72" fillId="0" borderId="60" xfId="0" applyNumberFormat="1" applyFont="1" applyBorder="1" applyAlignment="1">
      <alignment horizontal="left"/>
    </xf>
    <xf numFmtId="1" fontId="72" fillId="0" borderId="10" xfId="0" applyNumberFormat="1" applyFont="1" applyBorder="1" applyAlignment="1">
      <alignment horizontal="center"/>
    </xf>
    <xf numFmtId="10" fontId="72" fillId="0" borderId="10" xfId="0" applyNumberFormat="1" applyFont="1" applyBorder="1" applyAlignment="1">
      <alignment horizontal="center"/>
    </xf>
    <xf numFmtId="167" fontId="106" fillId="0" borderId="13" xfId="0" applyNumberFormat="1" applyFont="1" applyBorder="1" applyAlignment="1">
      <alignment horizontal="center" vertical="center"/>
    </xf>
    <xf numFmtId="1" fontId="107" fillId="0" borderId="13" xfId="0" applyNumberFormat="1" applyFont="1" applyBorder="1" applyAlignment="1">
      <alignment horizontal="center"/>
    </xf>
    <xf numFmtId="167" fontId="73" fillId="0" borderId="0" xfId="0" applyNumberFormat="1" applyFont="1" applyAlignment="1">
      <alignment horizontal="center"/>
    </xf>
    <xf numFmtId="0" fontId="110" fillId="0" borderId="19" xfId="0" applyFont="1" applyBorder="1" applyAlignment="1">
      <alignment horizontal="left"/>
    </xf>
    <xf numFmtId="0" fontId="115" fillId="0" borderId="19" xfId="0" applyFont="1" applyBorder="1" applyAlignment="1">
      <alignment horizontal="left"/>
    </xf>
    <xf numFmtId="0" fontId="69" fillId="0" borderId="10" xfId="0" applyFont="1" applyBorder="1" applyAlignment="1">
      <alignment horizontal="left"/>
    </xf>
    <xf numFmtId="167" fontId="72" fillId="0" borderId="60" xfId="0" applyNumberFormat="1" applyFont="1" applyBorder="1" applyAlignment="1">
      <alignment horizontal="left" vertical="center"/>
    </xf>
    <xf numFmtId="2" fontId="85" fillId="0" borderId="13" xfId="0" applyNumberFormat="1" applyFont="1" applyBorder="1" applyAlignment="1">
      <alignment horizontal="center" vertical="center"/>
    </xf>
    <xf numFmtId="0" fontId="110" fillId="0" borderId="19" xfId="0" applyFont="1" applyBorder="1" applyAlignment="1">
      <alignment horizontal="left" vertical="center"/>
    </xf>
    <xf numFmtId="0" fontId="110" fillId="0" borderId="19" xfId="0" applyFont="1" applyBorder="1" applyAlignment="1">
      <alignment vertical="center"/>
    </xf>
    <xf numFmtId="0" fontId="70" fillId="0" borderId="0" xfId="0" applyFont="1" applyAlignment="1">
      <alignment vertical="center"/>
    </xf>
    <xf numFmtId="0" fontId="116" fillId="0" borderId="63" xfId="0" applyFont="1" applyBorder="1" applyAlignment="1">
      <alignment vertical="center"/>
    </xf>
    <xf numFmtId="0" fontId="116" fillId="0" borderId="0" xfId="0" applyFont="1" applyAlignment="1">
      <alignment vertical="center"/>
    </xf>
    <xf numFmtId="0" fontId="70" fillId="0" borderId="13" xfId="0" applyFont="1" applyBorder="1" applyAlignment="1">
      <alignment horizontal="center" vertical="center"/>
    </xf>
    <xf numFmtId="0" fontId="75" fillId="0" borderId="22" xfId="0" applyFont="1" applyBorder="1" applyAlignment="1">
      <alignment vertical="center" wrapText="1"/>
    </xf>
    <xf numFmtId="167" fontId="75" fillId="0" borderId="22" xfId="0" applyNumberFormat="1" applyFont="1" applyBorder="1" applyAlignment="1">
      <alignment vertical="center" wrapText="1"/>
    </xf>
    <xf numFmtId="0" fontId="37" fillId="0" borderId="61" xfId="0" applyFont="1" applyBorder="1" applyAlignment="1">
      <alignment horizontal="left"/>
    </xf>
    <xf numFmtId="0" fontId="75" fillId="0" borderId="22" xfId="0" applyFont="1" applyBorder="1" applyAlignment="1">
      <alignment horizontal="left" vertical="center" wrapText="1"/>
    </xf>
    <xf numFmtId="0" fontId="37" fillId="0" borderId="59" xfId="0" applyFont="1" applyBorder="1" applyAlignment="1">
      <alignment horizontal="left"/>
    </xf>
    <xf numFmtId="0" fontId="70" fillId="0" borderId="23" xfId="0" applyFont="1" applyBorder="1" applyAlignment="1">
      <alignment horizontal="left"/>
    </xf>
    <xf numFmtId="0" fontId="74" fillId="0" borderId="22" xfId="0" applyFont="1" applyBorder="1" applyAlignment="1">
      <alignment vertical="center" wrapText="1"/>
    </xf>
    <xf numFmtId="0" fontId="56" fillId="0" borderId="59" xfId="24615" applyFont="1" applyBorder="1" applyAlignment="1">
      <alignment horizontal="left"/>
    </xf>
    <xf numFmtId="1" fontId="56" fillId="0" borderId="13" xfId="24615" applyNumberFormat="1" applyFont="1" applyBorder="1" applyAlignment="1">
      <alignment horizontal="center"/>
    </xf>
    <xf numFmtId="167" fontId="56" fillId="0" borderId="23" xfId="24615" applyNumberFormat="1" applyFont="1" applyBorder="1" applyAlignment="1">
      <alignment horizontal="center"/>
    </xf>
    <xf numFmtId="0" fontId="56" fillId="0" borderId="13" xfId="24615" applyFont="1" applyBorder="1" applyAlignment="1">
      <alignment horizontal="center" vertical="center"/>
    </xf>
    <xf numFmtId="167" fontId="56" fillId="0" borderId="23" xfId="24615" applyNumberFormat="1" applyFont="1" applyBorder="1" applyAlignment="1">
      <alignment horizontal="center" vertical="center"/>
    </xf>
    <xf numFmtId="1" fontId="86" fillId="0" borderId="13" xfId="0" applyNumberFormat="1" applyFont="1" applyBorder="1" applyAlignment="1">
      <alignment horizontal="center"/>
    </xf>
    <xf numFmtId="9" fontId="86" fillId="0" borderId="23" xfId="0" applyNumberFormat="1" applyFont="1" applyBorder="1" applyAlignment="1">
      <alignment horizontal="center"/>
    </xf>
    <xf numFmtId="167" fontId="86" fillId="0" borderId="23" xfId="0" applyNumberFormat="1" applyFont="1" applyBorder="1"/>
    <xf numFmtId="167" fontId="86" fillId="0" borderId="13" xfId="0" applyNumberFormat="1" applyFont="1" applyBorder="1"/>
    <xf numFmtId="167" fontId="44" fillId="0" borderId="13" xfId="0" applyNumberFormat="1" applyFont="1" applyBorder="1" applyAlignment="1">
      <alignment vertical="center"/>
    </xf>
    <xf numFmtId="0" fontId="88" fillId="0" borderId="19" xfId="0" applyFont="1" applyFill="1" applyBorder="1" applyAlignment="1">
      <alignment horizontal="left" vertical="center" wrapText="1"/>
    </xf>
    <xf numFmtId="0" fontId="112" fillId="0" borderId="50" xfId="0" applyFont="1" applyBorder="1" applyAlignment="1">
      <alignment horizontal="center" vertical="center" wrapText="1"/>
    </xf>
    <xf numFmtId="0" fontId="58" fillId="0" borderId="19" xfId="24615" applyFont="1" applyBorder="1" applyAlignment="1">
      <alignment horizontal="left"/>
    </xf>
    <xf numFmtId="0" fontId="58" fillId="0" borderId="13" xfId="24615" applyFont="1" applyBorder="1" applyAlignment="1">
      <alignment horizontal="left"/>
    </xf>
    <xf numFmtId="0" fontId="58" fillId="0" borderId="13" xfId="24615" applyFont="1" applyBorder="1" applyAlignment="1">
      <alignment horizontal="center"/>
    </xf>
    <xf numFmtId="167" fontId="58" fillId="0" borderId="0" xfId="24615" applyNumberFormat="1" applyFont="1" applyAlignment="1">
      <alignment horizontal="center"/>
    </xf>
    <xf numFmtId="0" fontId="58" fillId="0" borderId="32" xfId="24615" applyFont="1" applyBorder="1" applyAlignment="1">
      <alignment horizontal="center" vertical="center"/>
    </xf>
    <xf numFmtId="167" fontId="58" fillId="0" borderId="23" xfId="24615" applyNumberFormat="1" applyFont="1" applyBorder="1" applyAlignment="1">
      <alignment horizontal="center" vertical="center"/>
    </xf>
    <xf numFmtId="10" fontId="58" fillId="0" borderId="23" xfId="24615" applyNumberFormat="1" applyFont="1" applyBorder="1" applyAlignment="1">
      <alignment horizontal="center"/>
    </xf>
    <xf numFmtId="167" fontId="58" fillId="0" borderId="23" xfId="24615" applyNumberFormat="1" applyFont="1" applyBorder="1" applyAlignment="1">
      <alignment horizontal="center" vertical="top"/>
    </xf>
    <xf numFmtId="0" fontId="108" fillId="0" borderId="19" xfId="24615" applyFont="1" applyBorder="1" applyAlignment="1">
      <alignment horizontal="left"/>
    </xf>
    <xf numFmtId="0" fontId="108" fillId="0" borderId="13" xfId="24615" applyFont="1" applyBorder="1" applyAlignment="1">
      <alignment horizontal="left"/>
    </xf>
    <xf numFmtId="0" fontId="108" fillId="0" borderId="13" xfId="24615" applyFont="1" applyBorder="1" applyAlignment="1">
      <alignment horizontal="center"/>
    </xf>
    <xf numFmtId="167" fontId="108" fillId="0" borderId="0" xfId="24615" applyNumberFormat="1" applyFont="1" applyAlignment="1">
      <alignment horizontal="center"/>
    </xf>
    <xf numFmtId="0" fontId="108" fillId="0" borderId="32" xfId="24615" applyFont="1" applyBorder="1" applyAlignment="1">
      <alignment horizontal="center" vertical="center"/>
    </xf>
    <xf numFmtId="167" fontId="108" fillId="0" borderId="23" xfId="24615" applyNumberFormat="1" applyFont="1" applyBorder="1" applyAlignment="1">
      <alignment horizontal="center" vertical="center"/>
    </xf>
    <xf numFmtId="10" fontId="108" fillId="0" borderId="23" xfId="24615" applyNumberFormat="1" applyFont="1" applyBorder="1" applyAlignment="1">
      <alignment horizontal="center"/>
    </xf>
    <xf numFmtId="167" fontId="108" fillId="0" borderId="23" xfId="24615" applyNumberFormat="1" applyFont="1" applyBorder="1" applyAlignment="1">
      <alignment horizontal="center" vertical="top"/>
    </xf>
    <xf numFmtId="10" fontId="58" fillId="0" borderId="0" xfId="24615" applyNumberFormat="1" applyFont="1" applyBorder="1" applyAlignment="1">
      <alignment horizontal="center"/>
    </xf>
    <xf numFmtId="167" fontId="58" fillId="0" borderId="13" xfId="24615" applyNumberFormat="1" applyFont="1" applyBorder="1" applyAlignment="1">
      <alignment horizontal="center" vertical="top"/>
    </xf>
    <xf numFmtId="167" fontId="52" fillId="0" borderId="0" xfId="24615" applyNumberFormat="1" applyFont="1" applyBorder="1" applyAlignment="1">
      <alignment horizontal="center" vertical="center"/>
    </xf>
    <xf numFmtId="2" fontId="64" fillId="0" borderId="23" xfId="24615" applyNumberFormat="1" applyFont="1" applyBorder="1" applyAlignment="1">
      <alignment horizontal="center" vertical="top"/>
    </xf>
    <xf numFmtId="0" fontId="72" fillId="0" borderId="12" xfId="0" applyFont="1" applyBorder="1" applyAlignment="1">
      <alignment horizontal="left"/>
    </xf>
    <xf numFmtId="0" fontId="58" fillId="0" borderId="12" xfId="24615" applyFont="1" applyBorder="1" applyAlignment="1">
      <alignment horizontal="left"/>
    </xf>
    <xf numFmtId="0" fontId="108" fillId="0" borderId="12" xfId="24615" applyFont="1" applyBorder="1" applyAlignment="1">
      <alignment horizontal="left"/>
    </xf>
    <xf numFmtId="1" fontId="58" fillId="0" borderId="0" xfId="24615" applyNumberFormat="1" applyFont="1" applyAlignment="1">
      <alignment horizontal="center"/>
    </xf>
    <xf numFmtId="167" fontId="58" fillId="0" borderId="12" xfId="24615" applyNumberFormat="1" applyFont="1" applyBorder="1" applyAlignment="1">
      <alignment horizontal="center"/>
    </xf>
    <xf numFmtId="167" fontId="58" fillId="0" borderId="13" xfId="24615" applyNumberFormat="1" applyFont="1" applyBorder="1" applyAlignment="1">
      <alignment horizontal="center" vertical="center"/>
    </xf>
    <xf numFmtId="10" fontId="58" fillId="0" borderId="13" xfId="24615" applyNumberFormat="1" applyFont="1" applyBorder="1" applyAlignment="1">
      <alignment horizontal="center"/>
    </xf>
    <xf numFmtId="168" fontId="58" fillId="0" borderId="13" xfId="24615" applyNumberFormat="1" applyFont="1" applyBorder="1" applyAlignment="1">
      <alignment horizontal="center" vertical="center"/>
    </xf>
    <xf numFmtId="167" fontId="37" fillId="0" borderId="0" xfId="0" applyNumberFormat="1" applyFont="1" applyBorder="1" applyAlignment="1">
      <alignment horizontal="center"/>
    </xf>
    <xf numFmtId="167" fontId="37" fillId="0" borderId="0" xfId="0" applyNumberFormat="1" applyFont="1" applyBorder="1"/>
    <xf numFmtId="168" fontId="37" fillId="0" borderId="0" xfId="0" applyNumberFormat="1" applyFont="1" applyBorder="1"/>
    <xf numFmtId="167" fontId="64" fillId="0" borderId="0" xfId="0" applyNumberFormat="1" applyFont="1" applyBorder="1"/>
    <xf numFmtId="167" fontId="112" fillId="0" borderId="41" xfId="0" applyNumberFormat="1" applyFont="1" applyBorder="1" applyAlignment="1">
      <alignment horizontal="center" vertical="center"/>
    </xf>
    <xf numFmtId="167" fontId="112" fillId="0" borderId="43" xfId="0" applyNumberFormat="1" applyFont="1" applyBorder="1" applyAlignment="1">
      <alignment horizontal="center" vertical="center"/>
    </xf>
    <xf numFmtId="0" fontId="3" fillId="0" borderId="44" xfId="0" applyFont="1" applyBorder="1" applyAlignment="1"/>
    <xf numFmtId="167" fontId="112" fillId="0" borderId="42" xfId="0" applyNumberFormat="1" applyFont="1" applyBorder="1" applyAlignment="1">
      <alignment horizontal="center" vertical="center"/>
    </xf>
    <xf numFmtId="167" fontId="112" fillId="0" borderId="13" xfId="0" applyNumberFormat="1" applyFont="1" applyBorder="1" applyAlignment="1">
      <alignment horizontal="center" vertical="center"/>
    </xf>
    <xf numFmtId="0" fontId="3" fillId="0" borderId="45" xfId="0" applyFont="1" applyBorder="1" applyAlignment="1"/>
    <xf numFmtId="0" fontId="3" fillId="0" borderId="43" xfId="0" applyFont="1" applyBorder="1" applyAlignment="1">
      <alignment horizontal="center" vertical="center"/>
    </xf>
    <xf numFmtId="0" fontId="0" fillId="0" borderId="43" xfId="0" applyBorder="1" applyAlignment="1">
      <alignment horizontal="center" vertical="center"/>
    </xf>
    <xf numFmtId="0" fontId="3" fillId="0" borderId="13" xfId="0" applyFont="1" applyBorder="1" applyAlignment="1">
      <alignment horizontal="center" vertical="center"/>
    </xf>
    <xf numFmtId="0" fontId="0" fillId="0" borderId="13" xfId="0" applyBorder="1" applyAlignment="1">
      <alignment horizontal="center" vertical="center"/>
    </xf>
    <xf numFmtId="0" fontId="0" fillId="0" borderId="0" xfId="0" applyAlignment="1">
      <alignment horizontal="center"/>
    </xf>
    <xf numFmtId="167" fontId="89" fillId="0" borderId="0" xfId="0" applyNumberFormat="1" applyFont="1" applyAlignment="1">
      <alignment horizontal="center"/>
    </xf>
    <xf numFmtId="0" fontId="92" fillId="0" borderId="0" xfId="0" applyFont="1" applyAlignment="1">
      <alignment horizontal="center" vertical="center"/>
    </xf>
    <xf numFmtId="167" fontId="112" fillId="0" borderId="52" xfId="0" applyNumberFormat="1" applyFont="1" applyBorder="1" applyAlignment="1">
      <alignment horizontal="center" vertical="center"/>
    </xf>
    <xf numFmtId="0" fontId="3" fillId="0" borderId="40" xfId="0" applyFont="1" applyBorder="1" applyAlignment="1">
      <alignment horizontal="center" vertical="center"/>
    </xf>
    <xf numFmtId="0" fontId="3" fillId="0" borderId="56" xfId="0" applyFont="1" applyBorder="1" applyAlignment="1">
      <alignment horizontal="center" vertical="center"/>
    </xf>
    <xf numFmtId="167" fontId="112" fillId="0" borderId="53" xfId="0" applyNumberFormat="1" applyFont="1" applyBorder="1" applyAlignment="1">
      <alignment horizontal="center" vertical="center"/>
    </xf>
    <xf numFmtId="0" fontId="3" fillId="0" borderId="57" xfId="0" applyFont="1" applyBorder="1" applyAlignment="1">
      <alignment horizontal="center" vertical="center"/>
    </xf>
    <xf numFmtId="0" fontId="3" fillId="0" borderId="44" xfId="0" applyFont="1" applyBorder="1" applyAlignment="1">
      <alignment horizontal="center" vertical="center"/>
    </xf>
    <xf numFmtId="0" fontId="3" fillId="0" borderId="45" xfId="0" applyFont="1" applyBorder="1" applyAlignment="1">
      <alignment horizontal="center" vertical="center"/>
    </xf>
    <xf numFmtId="167" fontId="112" fillId="0" borderId="64" xfId="0" applyNumberFormat="1" applyFont="1" applyBorder="1" applyAlignment="1">
      <alignment horizontal="center" vertical="center"/>
    </xf>
    <xf numFmtId="167" fontId="112" fillId="0" borderId="65" xfId="0" applyNumberFormat="1" applyFont="1" applyBorder="1" applyAlignment="1">
      <alignment horizontal="center" vertical="center"/>
    </xf>
    <xf numFmtId="167" fontId="112" fillId="0" borderId="75" xfId="0" applyNumberFormat="1" applyFont="1" applyBorder="1" applyAlignment="1">
      <alignment horizontal="center" vertical="center"/>
    </xf>
    <xf numFmtId="167" fontId="112" fillId="0" borderId="66" xfId="0" applyNumberFormat="1" applyFont="1" applyBorder="1" applyAlignment="1">
      <alignment horizontal="center" vertical="center"/>
    </xf>
    <xf numFmtId="167" fontId="112" fillId="0" borderId="74" xfId="0" applyNumberFormat="1" applyFont="1" applyBorder="1" applyAlignment="1">
      <alignment horizontal="center" vertical="center"/>
    </xf>
    <xf numFmtId="167" fontId="112" fillId="0" borderId="40" xfId="0" applyNumberFormat="1" applyFont="1" applyBorder="1" applyAlignment="1">
      <alignment horizontal="center" vertical="center"/>
    </xf>
    <xf numFmtId="167" fontId="112" fillId="0" borderId="73" xfId="0" applyNumberFormat="1" applyFont="1" applyBorder="1" applyAlignment="1">
      <alignment horizontal="center" vertical="center"/>
    </xf>
    <xf numFmtId="0" fontId="17" fillId="55" borderId="0" xfId="0" applyFont="1" applyFill="1" applyAlignment="1">
      <alignment horizontal="center" vertical="center" wrapText="1"/>
    </xf>
    <xf numFmtId="167" fontId="66" fillId="0" borderId="31" xfId="0" applyNumberFormat="1" applyFont="1" applyBorder="1" applyAlignment="1">
      <alignment horizontal="center" vertical="center" textRotation="90" wrapText="1"/>
    </xf>
    <xf numFmtId="167" fontId="67" fillId="0" borderId="25" xfId="0" applyNumberFormat="1" applyFont="1" applyBorder="1" applyAlignment="1">
      <alignment horizontal="center" vertical="center" textRotation="90" wrapText="1"/>
    </xf>
    <xf numFmtId="167" fontId="95" fillId="0" borderId="31" xfId="0" applyNumberFormat="1" applyFont="1" applyBorder="1" applyAlignment="1">
      <alignment horizontal="center" vertical="center" textRotation="90" wrapText="1"/>
    </xf>
    <xf numFmtId="167" fontId="96" fillId="0" borderId="25" xfId="0" applyNumberFormat="1" applyFont="1" applyBorder="1" applyAlignment="1">
      <alignment horizontal="center" vertical="center" textRotation="90" wrapText="1"/>
    </xf>
    <xf numFmtId="2" fontId="45" fillId="0" borderId="21" xfId="0" applyNumberFormat="1" applyFont="1" applyBorder="1" applyAlignment="1">
      <alignment horizontal="center"/>
    </xf>
    <xf numFmtId="2" fontId="45" fillId="0" borderId="11" xfId="0" applyNumberFormat="1" applyFont="1" applyBorder="1" applyAlignment="1">
      <alignment horizontal="center"/>
    </xf>
    <xf numFmtId="167" fontId="48" fillId="0" borderId="22" xfId="0" applyNumberFormat="1" applyFont="1" applyBorder="1" applyAlignment="1">
      <alignment horizontal="center"/>
    </xf>
    <xf numFmtId="167" fontId="51" fillId="0" borderId="22" xfId="0" applyNumberFormat="1" applyFont="1" applyBorder="1" applyAlignment="1">
      <alignment horizontal="center" vertical="center" textRotation="90" wrapText="1"/>
    </xf>
    <xf numFmtId="167" fontId="51" fillId="0" borderId="31" xfId="0" applyNumberFormat="1" applyFont="1" applyBorder="1" applyAlignment="1">
      <alignment horizontal="center" vertical="center" textRotation="90" wrapText="1"/>
    </xf>
    <xf numFmtId="167" fontId="22" fillId="0" borderId="25" xfId="0" applyNumberFormat="1" applyFont="1" applyBorder="1" applyAlignment="1">
      <alignment horizontal="center" vertical="center" textRotation="90" wrapText="1"/>
    </xf>
    <xf numFmtId="0" fontId="62" fillId="0" borderId="70" xfId="24615" applyFont="1" applyBorder="1" applyAlignment="1">
      <alignment horizontal="left" vertical="center" wrapText="1"/>
    </xf>
    <xf numFmtId="0" fontId="62" fillId="0" borderId="72" xfId="24615" applyFont="1" applyBorder="1" applyAlignment="1">
      <alignment horizontal="left" vertical="center" wrapText="1"/>
    </xf>
    <xf numFmtId="0" fontId="88" fillId="47" borderId="34" xfId="24615" applyFont="1" applyFill="1" applyBorder="1" applyAlignment="1">
      <alignment horizontal="center" vertical="center"/>
    </xf>
    <xf numFmtId="0" fontId="88" fillId="47" borderId="35" xfId="24615" applyFont="1" applyFill="1" applyBorder="1" applyAlignment="1">
      <alignment horizontal="center" vertical="center"/>
    </xf>
    <xf numFmtId="0" fontId="88" fillId="47" borderId="24" xfId="24615" applyFont="1" applyFill="1" applyBorder="1" applyAlignment="1">
      <alignment horizontal="center" vertical="center"/>
    </xf>
    <xf numFmtId="0" fontId="88" fillId="48" borderId="34" xfId="24615" applyFont="1" applyFill="1" applyBorder="1" applyAlignment="1">
      <alignment horizontal="center" vertical="center"/>
    </xf>
    <xf numFmtId="0" fontId="88" fillId="48" borderId="35" xfId="24615" applyFont="1" applyFill="1" applyBorder="1" applyAlignment="1">
      <alignment horizontal="center" vertical="center"/>
    </xf>
    <xf numFmtId="0" fontId="88" fillId="48" borderId="24" xfId="24615" applyFont="1" applyFill="1" applyBorder="1" applyAlignment="1">
      <alignment horizontal="center" vertical="center"/>
    </xf>
    <xf numFmtId="0" fontId="90" fillId="0" borderId="0" xfId="24615" applyFont="1" applyAlignment="1">
      <alignment horizontal="center" vertical="center"/>
    </xf>
    <xf numFmtId="0" fontId="3" fillId="0" borderId="0" xfId="24615" applyAlignment="1">
      <alignment horizontal="center" vertical="center"/>
    </xf>
    <xf numFmtId="167" fontId="103" fillId="0" borderId="10" xfId="24615" applyNumberFormat="1" applyFont="1" applyBorder="1" applyAlignment="1">
      <alignment horizontal="center"/>
    </xf>
    <xf numFmtId="167" fontId="103" fillId="0" borderId="0" xfId="24615" applyNumberFormat="1" applyFont="1" applyAlignment="1">
      <alignment horizontal="center"/>
    </xf>
    <xf numFmtId="2" fontId="45" fillId="0" borderId="21" xfId="24615" applyNumberFormat="1" applyFont="1" applyBorder="1" applyAlignment="1">
      <alignment horizontal="center"/>
    </xf>
    <xf numFmtId="2" fontId="45" fillId="0" borderId="11" xfId="24615" applyNumberFormat="1" applyFont="1" applyBorder="1" applyAlignment="1">
      <alignment horizontal="center"/>
    </xf>
    <xf numFmtId="167" fontId="66" fillId="0" borderId="31" xfId="24615" applyNumberFormat="1" applyFont="1" applyBorder="1" applyAlignment="1">
      <alignment horizontal="center" vertical="center" textRotation="90" wrapText="1"/>
    </xf>
    <xf numFmtId="167" fontId="66" fillId="0" borderId="25" xfId="24615" applyNumberFormat="1" applyFont="1" applyBorder="1" applyAlignment="1">
      <alignment horizontal="center" vertical="center" textRotation="90" wrapText="1"/>
    </xf>
    <xf numFmtId="167" fontId="51" fillId="0" borderId="31" xfId="24615" applyNumberFormat="1" applyFont="1" applyBorder="1" applyAlignment="1">
      <alignment horizontal="center" vertical="center" textRotation="90" wrapText="1"/>
    </xf>
    <xf numFmtId="167" fontId="51" fillId="0" borderId="25" xfId="24615" applyNumberFormat="1" applyFont="1" applyBorder="1" applyAlignment="1">
      <alignment horizontal="center" vertical="center" textRotation="90" wrapText="1"/>
    </xf>
    <xf numFmtId="167" fontId="51" fillId="0" borderId="76" xfId="24615" applyNumberFormat="1" applyFont="1" applyBorder="1" applyAlignment="1">
      <alignment horizontal="center" vertical="center" textRotation="90" wrapText="1"/>
    </xf>
    <xf numFmtId="167" fontId="51" fillId="0" borderId="77" xfId="24615" applyNumberFormat="1" applyFont="1" applyBorder="1" applyAlignment="1">
      <alignment horizontal="center" vertical="center" textRotation="90" wrapText="1"/>
    </xf>
  </cellXfs>
  <cellStyles count="24616">
    <cellStyle name="20 % - Accent1" xfId="26" builtinId="30" hidden="1"/>
    <cellStyle name="20 % - Accent2" xfId="30" builtinId="34" hidden="1"/>
    <cellStyle name="20 % - Accent3" xfId="34" builtinId="38" hidden="1"/>
    <cellStyle name="20 % - Accent4" xfId="38" builtinId="42" hidden="1"/>
    <cellStyle name="20 % - Accent5" xfId="42" builtinId="46" hidden="1"/>
    <cellStyle name="20 % - Accent6" xfId="46" builtinId="50" hidden="1"/>
    <cellStyle name="40 % - Accent1" xfId="27" builtinId="31" hidden="1"/>
    <cellStyle name="40 % - Accent2" xfId="31" builtinId="35" hidden="1"/>
    <cellStyle name="40 % - Accent3" xfId="35" builtinId="39" hidden="1"/>
    <cellStyle name="40 % - Accent4" xfId="39" builtinId="43" hidden="1"/>
    <cellStyle name="40 % - Accent5" xfId="43" builtinId="47" hidden="1"/>
    <cellStyle name="40 % - Accent6" xfId="47" builtinId="51" hidden="1"/>
    <cellStyle name="60 % - Accent1" xfId="28" builtinId="32" hidden="1"/>
    <cellStyle name="60 % - Accent2" xfId="32" builtinId="36" hidden="1"/>
    <cellStyle name="60 % - Accent3" xfId="36" builtinId="40" hidden="1"/>
    <cellStyle name="60 % - Accent4" xfId="40" builtinId="44" hidden="1"/>
    <cellStyle name="60 % - Accent5" xfId="44" builtinId="48" hidden="1"/>
    <cellStyle name="60 % - Accent6" xfId="48" builtinId="52" hidden="1"/>
    <cellStyle name="Accent1" xfId="25" builtinId="29" hidden="1"/>
    <cellStyle name="Accent2" xfId="29" builtinId="33" hidden="1"/>
    <cellStyle name="Accent3" xfId="33" builtinId="37" hidden="1"/>
    <cellStyle name="Accent4" xfId="37" builtinId="41" hidden="1"/>
    <cellStyle name="Accent5" xfId="41" builtinId="45" hidden="1"/>
    <cellStyle name="Accent6" xfId="45" builtinId="49" hidden="1"/>
    <cellStyle name="Avertissement" xfId="21" builtinId="11" hidden="1"/>
    <cellStyle name="Calcul" xfId="18" builtinId="22" hidden="1"/>
    <cellStyle name="Cellule liée" xfId="19" builtinId="24" hidden="1"/>
    <cellStyle name="Entrée" xfId="16" builtinId="20" hidden="1"/>
    <cellStyle name="Insatisfaisant" xfId="14" builtinId="27" hidden="1"/>
    <cellStyle name="Int_%_Marge" xfId="3664"/>
    <cellStyle name="Int_Remise" xfId="50"/>
    <cellStyle name="Lien hypertexte" xfId="16854" builtinId="8" hidden="1"/>
    <cellStyle name="Lien hypertexte" xfId="16894" builtinId="8" hidden="1"/>
    <cellStyle name="Lien hypertexte" xfId="16932" builtinId="8" hidden="1"/>
    <cellStyle name="Lien hypertexte" xfId="16970" builtinId="8" hidden="1"/>
    <cellStyle name="Lien hypertexte" xfId="17012" builtinId="8" hidden="1"/>
    <cellStyle name="Lien hypertexte" xfId="17050" builtinId="8" hidden="1"/>
    <cellStyle name="Lien hypertexte" xfId="17088" builtinId="8" hidden="1"/>
    <cellStyle name="Lien hypertexte" xfId="17126" builtinId="8" hidden="1"/>
    <cellStyle name="Lien hypertexte" xfId="17166" builtinId="8" hidden="1"/>
    <cellStyle name="Lien hypertexte" xfId="17206" builtinId="8" hidden="1"/>
    <cellStyle name="Lien hypertexte" xfId="17244" builtinId="8" hidden="1"/>
    <cellStyle name="Lien hypertexte" xfId="17284" builtinId="8" hidden="1"/>
    <cellStyle name="Lien hypertexte" xfId="17322" builtinId="8" hidden="1"/>
    <cellStyle name="Lien hypertexte" xfId="17362" builtinId="8" hidden="1"/>
    <cellStyle name="Lien hypertexte" xfId="17400" builtinId="8" hidden="1"/>
    <cellStyle name="Lien hypertexte" xfId="17440" builtinId="8" hidden="1"/>
    <cellStyle name="Lien hypertexte" xfId="17478" builtinId="8" hidden="1"/>
    <cellStyle name="Lien hypertexte" xfId="17516" builtinId="8" hidden="1"/>
    <cellStyle name="Lien hypertexte" xfId="17558" builtinId="8" hidden="1"/>
    <cellStyle name="Lien hypertexte" xfId="17596" builtinId="8" hidden="1"/>
    <cellStyle name="Lien hypertexte" xfId="17634" builtinId="8" hidden="1"/>
    <cellStyle name="Lien hypertexte" xfId="17672" builtinId="8" hidden="1"/>
    <cellStyle name="Lien hypertexte" xfId="17714" builtinId="8" hidden="1"/>
    <cellStyle name="Lien hypertexte" xfId="17752" builtinId="8" hidden="1"/>
    <cellStyle name="Lien hypertexte" xfId="17790" builtinId="8" hidden="1"/>
    <cellStyle name="Lien hypertexte" xfId="17830" builtinId="8" hidden="1"/>
    <cellStyle name="Lien hypertexte" xfId="17868" builtinId="8" hidden="1"/>
    <cellStyle name="Lien hypertexte" xfId="17908" builtinId="8" hidden="1"/>
    <cellStyle name="Lien hypertexte" xfId="17946" builtinId="8" hidden="1"/>
    <cellStyle name="Lien hypertexte" xfId="17986" builtinId="8" hidden="1"/>
    <cellStyle name="Lien hypertexte" xfId="18024" builtinId="8" hidden="1"/>
    <cellStyle name="Lien hypertexte" xfId="18062" builtinId="8" hidden="1"/>
    <cellStyle name="Lien hypertexte" xfId="18104" builtinId="8" hidden="1"/>
    <cellStyle name="Lien hypertexte" xfId="18142" builtinId="8" hidden="1"/>
    <cellStyle name="Lien hypertexte" xfId="18180" builtinId="8" hidden="1"/>
    <cellStyle name="Lien hypertexte" xfId="18218" builtinId="8" hidden="1"/>
    <cellStyle name="Lien hypertexte" xfId="18260" builtinId="8" hidden="1"/>
    <cellStyle name="Lien hypertexte" xfId="18298" builtinId="8" hidden="1"/>
    <cellStyle name="Lien hypertexte" xfId="18353" builtinId="8" hidden="1"/>
    <cellStyle name="Lien hypertexte" xfId="18393" builtinId="8" hidden="1"/>
    <cellStyle name="Lien hypertexte" xfId="18431" builtinId="8" hidden="1"/>
    <cellStyle name="Lien hypertexte" xfId="18471" builtinId="8" hidden="1"/>
    <cellStyle name="Lien hypertexte" xfId="18509" builtinId="8" hidden="1"/>
    <cellStyle name="Lien hypertexte" xfId="18549" builtinId="8" hidden="1"/>
    <cellStyle name="Lien hypertexte" xfId="18587" builtinId="8" hidden="1"/>
    <cellStyle name="Lien hypertexte" xfId="18627" builtinId="8" hidden="1"/>
    <cellStyle name="Lien hypertexte" xfId="18667" builtinId="8" hidden="1"/>
    <cellStyle name="Lien hypertexte" xfId="18705" builtinId="8" hidden="1"/>
    <cellStyle name="Lien hypertexte" xfId="18743" builtinId="8" hidden="1"/>
    <cellStyle name="Lien hypertexte" xfId="18781" builtinId="8" hidden="1"/>
    <cellStyle name="Lien hypertexte" xfId="18823" builtinId="8" hidden="1"/>
    <cellStyle name="Lien hypertexte" xfId="18625" builtinId="8" hidden="1"/>
    <cellStyle name="Lien hypertexte" xfId="18032" builtinId="8" hidden="1"/>
    <cellStyle name="Lien hypertexte" xfId="17424" builtinId="8" hidden="1"/>
    <cellStyle name="Lien hypertexte" xfId="16848" builtinId="8" hidden="1"/>
    <cellStyle name="Lien hypertexte" xfId="16272" builtinId="8" hidden="1"/>
    <cellStyle name="Lien hypertexte" xfId="14644" builtinId="8" hidden="1"/>
    <cellStyle name="Lien hypertexte" xfId="14682" builtinId="8" hidden="1"/>
    <cellStyle name="Lien hypertexte" xfId="14720" builtinId="8" hidden="1"/>
    <cellStyle name="Lien hypertexte" xfId="14756" builtinId="8" hidden="1"/>
    <cellStyle name="Lien hypertexte" xfId="14796" builtinId="8" hidden="1"/>
    <cellStyle name="Lien hypertexte" xfId="14834" builtinId="8" hidden="1"/>
    <cellStyle name="Lien hypertexte" xfId="14870" builtinId="8" hidden="1"/>
    <cellStyle name="Lien hypertexte" xfId="14908" builtinId="8" hidden="1"/>
    <cellStyle name="Lien hypertexte" xfId="14946" builtinId="8" hidden="1"/>
    <cellStyle name="Lien hypertexte" xfId="14984" builtinId="8" hidden="1"/>
    <cellStyle name="Lien hypertexte" xfId="15020" builtinId="8" hidden="1"/>
    <cellStyle name="Lien hypertexte" xfId="15060" builtinId="8" hidden="1"/>
    <cellStyle name="Lien hypertexte" xfId="15098" builtinId="8" hidden="1"/>
    <cellStyle name="Lien hypertexte" xfId="15134" builtinId="8" hidden="1"/>
    <cellStyle name="Lien hypertexte" xfId="15172" builtinId="8" hidden="1"/>
    <cellStyle name="Lien hypertexte" xfId="15210" builtinId="8" hidden="1"/>
    <cellStyle name="Lien hypertexte" xfId="15248" builtinId="8" hidden="1"/>
    <cellStyle name="Lien hypertexte" xfId="15286" builtinId="8" hidden="1"/>
    <cellStyle name="Lien hypertexte" xfId="15324" builtinId="8" hidden="1"/>
    <cellStyle name="Lien hypertexte" xfId="15362" builtinId="8" hidden="1"/>
    <cellStyle name="Lien hypertexte" xfId="15398" builtinId="8" hidden="1"/>
    <cellStyle name="Lien hypertexte" xfId="15436" builtinId="8" hidden="1"/>
    <cellStyle name="Lien hypertexte" xfId="15476" builtinId="8" hidden="1"/>
    <cellStyle name="Lien hypertexte" xfId="15512" builtinId="8" hidden="1"/>
    <cellStyle name="Lien hypertexte" xfId="15550" builtinId="8" hidden="1"/>
    <cellStyle name="Lien hypertexte" xfId="15588" builtinId="8" hidden="1"/>
    <cellStyle name="Lien hypertexte" xfId="15626" builtinId="8" hidden="1"/>
    <cellStyle name="Lien hypertexte" xfId="15662" builtinId="8" hidden="1"/>
    <cellStyle name="Lien hypertexte" xfId="15700" builtinId="8" hidden="1"/>
    <cellStyle name="Lien hypertexte" xfId="15740" builtinId="8" hidden="1"/>
    <cellStyle name="Lien hypertexte" xfId="15776" builtinId="8" hidden="1"/>
    <cellStyle name="Lien hypertexte" xfId="15814" builtinId="8" hidden="1"/>
    <cellStyle name="Lien hypertexte" xfId="15852" builtinId="8" hidden="1"/>
    <cellStyle name="Lien hypertexte" xfId="15890" builtinId="8" hidden="1"/>
    <cellStyle name="Lien hypertexte" xfId="15928" builtinId="8" hidden="1"/>
    <cellStyle name="Lien hypertexte" xfId="15024" builtinId="8" hidden="1"/>
    <cellStyle name="Lien hypertexte" xfId="676" builtinId="8" hidden="1"/>
    <cellStyle name="Lien hypertexte" xfId="714" builtinId="8" hidden="1"/>
    <cellStyle name="Lien hypertexte" xfId="750" builtinId="8" hidden="1"/>
    <cellStyle name="Lien hypertexte" xfId="788" builtinId="8" hidden="1"/>
    <cellStyle name="Lien hypertexte" xfId="824" builtinId="8" hidden="1"/>
    <cellStyle name="Lien hypertexte" xfId="862" builtinId="8" hidden="1"/>
    <cellStyle name="Lien hypertexte" xfId="898" builtinId="8" hidden="1"/>
    <cellStyle name="Lien hypertexte" xfId="936" builtinId="8" hidden="1"/>
    <cellStyle name="Lien hypertexte" xfId="974" builtinId="8" hidden="1"/>
    <cellStyle name="Lien hypertexte" xfId="1010" builtinId="8" hidden="1"/>
    <cellStyle name="Lien hypertexte" xfId="1048" builtinId="8" hidden="1"/>
    <cellStyle name="Lien hypertexte" xfId="1084" builtinId="8" hidden="1"/>
    <cellStyle name="Lien hypertexte" xfId="1122" builtinId="8" hidden="1"/>
    <cellStyle name="Lien hypertexte" xfId="3661" builtinId="8" hidden="1"/>
    <cellStyle name="Lien hypertexte" xfId="14550" builtinId="8" hidden="1"/>
    <cellStyle name="Lien hypertexte" xfId="14588" builtinId="8" hidden="1"/>
    <cellStyle name="Lien hypertexte" xfId="14624" builtinId="8" hidden="1"/>
    <cellStyle name="Lien hypertexte" xfId="372" builtinId="8" hidden="1"/>
    <cellStyle name="Lien hypertexte" xfId="408" builtinId="8" hidden="1"/>
    <cellStyle name="Lien hypertexte" xfId="444" builtinId="8" hidden="1"/>
    <cellStyle name="Lien hypertexte" xfId="482" builtinId="8" hidden="1"/>
    <cellStyle name="Lien hypertexte" xfId="520" builtinId="8" hidden="1"/>
    <cellStyle name="Lien hypertexte" xfId="556" builtinId="8" hidden="1"/>
    <cellStyle name="Lien hypertexte" xfId="592" builtinId="8" hidden="1"/>
    <cellStyle name="Lien hypertexte" xfId="630" builtinId="8" hidden="1"/>
    <cellStyle name="Lien hypertexte" xfId="210" builtinId="8" hidden="1"/>
    <cellStyle name="Lien hypertexte" xfId="246" builtinId="8" hidden="1"/>
    <cellStyle name="Lien hypertexte" xfId="282" builtinId="8" hidden="1"/>
    <cellStyle name="Lien hypertexte" xfId="320" builtinId="8" hidden="1"/>
    <cellStyle name="Lien hypertexte" xfId="132" builtinId="8" hidden="1"/>
    <cellStyle name="Lien hypertexte" xfId="168" builtinId="8" hidden="1"/>
    <cellStyle name="Lien hypertexte" xfId="94" builtinId="8" hidden="1"/>
    <cellStyle name="Lien hypertexte" xfId="74" builtinId="8" hidden="1"/>
    <cellStyle name="Lien hypertexte" xfId="108" builtinId="8" hidden="1"/>
    <cellStyle name="Lien hypertexte" xfId="644" builtinId="8" hidden="1"/>
    <cellStyle name="Lien hypertexte" xfId="386" builtinId="8" hidden="1"/>
    <cellStyle name="Lien hypertexte" xfId="1062" builtinId="8" hidden="1"/>
    <cellStyle name="Lien hypertexte" xfId="802" builtinId="8" hidden="1"/>
    <cellStyle name="Lien hypertexte" xfId="15868" builtinId="8" hidden="1"/>
    <cellStyle name="Lien hypertexte" xfId="15604" builtinId="8" hidden="1"/>
    <cellStyle name="Lien hypertexte" xfId="15338" builtinId="8" hidden="1"/>
    <cellStyle name="Lien hypertexte" xfId="15074" builtinId="8" hidden="1"/>
    <cellStyle name="Lien hypertexte" xfId="14810" builtinId="8" hidden="1"/>
    <cellStyle name="Lien hypertexte" xfId="17200" builtinId="8" hidden="1"/>
    <cellStyle name="Lien hypertexte" xfId="18681" builtinId="8" hidden="1"/>
    <cellStyle name="Lien hypertexte" xfId="18409" builtinId="8" hidden="1"/>
    <cellStyle name="Lien hypertexte" xfId="18118" builtinId="8" hidden="1"/>
    <cellStyle name="Lien hypertexte" xfId="17846" builtinId="8" hidden="1"/>
    <cellStyle name="Lien hypertexte" xfId="17572" builtinId="8" hidden="1"/>
    <cellStyle name="Lien hypertexte" xfId="17300" builtinId="8" hidden="1"/>
    <cellStyle name="Lien hypertexte" xfId="17026" builtinId="8" hidden="1"/>
    <cellStyle name="Lien hypertexte" xfId="16754" builtinId="8" hidden="1"/>
    <cellStyle name="Lien hypertexte" xfId="16480" builtinId="8" hidden="1"/>
    <cellStyle name="Lien hypertexte" xfId="16206" builtinId="8" hidden="1"/>
    <cellStyle name="Lien hypertexte" xfId="18849" builtinId="8" hidden="1"/>
    <cellStyle name="Lien hypertexte" xfId="20897" builtinId="8" hidden="1"/>
    <cellStyle name="Lien hypertexte" xfId="21767" builtinId="8" hidden="1"/>
    <cellStyle name="Lien hypertexte" xfId="21805" builtinId="8" hidden="1"/>
    <cellStyle name="Lien hypertexte" xfId="21845" builtinId="8" hidden="1"/>
    <cellStyle name="Lien hypertexte" xfId="21883" builtinId="8" hidden="1"/>
    <cellStyle name="Lien hypertexte" xfId="21923" builtinId="8" hidden="1"/>
    <cellStyle name="Lien hypertexte" xfId="21961" builtinId="8" hidden="1"/>
    <cellStyle name="Lien hypertexte" xfId="21999" builtinId="8" hidden="1"/>
    <cellStyle name="Lien hypertexte" xfId="22039" builtinId="8" hidden="1"/>
    <cellStyle name="Lien hypertexte" xfId="22077" builtinId="8" hidden="1"/>
    <cellStyle name="Lien hypertexte" xfId="22117" builtinId="8" hidden="1"/>
    <cellStyle name="Lien hypertexte" xfId="22155" builtinId="8" hidden="1"/>
    <cellStyle name="Lien hypertexte" xfId="22195" builtinId="8" hidden="1"/>
    <cellStyle name="Lien hypertexte" xfId="22233" builtinId="8" hidden="1"/>
    <cellStyle name="Lien hypertexte" xfId="22275" builtinId="8" hidden="1"/>
    <cellStyle name="Lien hypertexte" xfId="22313" builtinId="8" hidden="1"/>
    <cellStyle name="Lien hypertexte" xfId="22351" builtinId="8" hidden="1"/>
    <cellStyle name="Lien hypertexte" xfId="22391" builtinId="8" hidden="1"/>
    <cellStyle name="Lien hypertexte" xfId="22429" builtinId="8" hidden="1"/>
    <cellStyle name="Lien hypertexte" xfId="22469" builtinId="8" hidden="1"/>
    <cellStyle name="Lien hypertexte" xfId="22507" builtinId="8" hidden="1"/>
    <cellStyle name="Lien hypertexte" xfId="22547" builtinId="8" hidden="1"/>
    <cellStyle name="Lien hypertexte" xfId="22585" builtinId="8" hidden="1"/>
    <cellStyle name="Lien hypertexte" xfId="22623" builtinId="8" hidden="1"/>
    <cellStyle name="Lien hypertexte" xfId="22663" builtinId="8" hidden="1"/>
    <cellStyle name="Lien hypertexte" xfId="22701" builtinId="8" hidden="1"/>
    <cellStyle name="Lien hypertexte" xfId="22741" builtinId="8" hidden="1"/>
    <cellStyle name="Lien hypertexte" xfId="22779" builtinId="8" hidden="1"/>
    <cellStyle name="Lien hypertexte" xfId="22819" builtinId="8" hidden="1"/>
    <cellStyle name="Lien hypertexte" xfId="22859" builtinId="8" hidden="1"/>
    <cellStyle name="Lien hypertexte" xfId="22899" builtinId="8" hidden="1"/>
    <cellStyle name="Lien hypertexte" xfId="22937" builtinId="8" hidden="1"/>
    <cellStyle name="Lien hypertexte" xfId="22975" builtinId="8" hidden="1"/>
    <cellStyle name="Lien hypertexte" xfId="23015" builtinId="8" hidden="1"/>
    <cellStyle name="Lien hypertexte" xfId="23053" builtinId="8" hidden="1"/>
    <cellStyle name="Lien hypertexte" xfId="23093" builtinId="8" hidden="1"/>
    <cellStyle name="Lien hypertexte" xfId="23131" builtinId="8" hidden="1"/>
    <cellStyle name="Lien hypertexte" xfId="23171" builtinId="8" hidden="1"/>
    <cellStyle name="Lien hypertexte" xfId="23209" builtinId="8" hidden="1"/>
    <cellStyle name="Lien hypertexte" xfId="23247" builtinId="8" hidden="1"/>
    <cellStyle name="Lien hypertexte" xfId="23287" builtinId="8" hidden="1"/>
    <cellStyle name="Lien hypertexte" xfId="23325" builtinId="8" hidden="1"/>
    <cellStyle name="Lien hypertexte" xfId="23365" builtinId="8" hidden="1"/>
    <cellStyle name="Lien hypertexte" xfId="23403" builtinId="8" hidden="1"/>
    <cellStyle name="Lien hypertexte" xfId="23445" builtinId="8" hidden="1"/>
    <cellStyle name="Lien hypertexte" xfId="23483" builtinId="8" hidden="1"/>
    <cellStyle name="Lien hypertexte" xfId="23523" builtinId="8" hidden="1"/>
    <cellStyle name="Lien hypertexte" xfId="23561" builtinId="8" hidden="1"/>
    <cellStyle name="Lien hypertexte" xfId="23599" builtinId="8" hidden="1"/>
    <cellStyle name="Lien hypertexte" xfId="23639" builtinId="8" hidden="1"/>
    <cellStyle name="Lien hypertexte" xfId="23677" builtinId="8" hidden="1"/>
    <cellStyle name="Lien hypertexte" xfId="23717" builtinId="8" hidden="1"/>
    <cellStyle name="Lien hypertexte" xfId="23755" builtinId="8" hidden="1"/>
    <cellStyle name="Lien hypertexte" xfId="23795" builtinId="8" hidden="1"/>
    <cellStyle name="Lien hypertexte" xfId="23833" builtinId="8" hidden="1"/>
    <cellStyle name="Lien hypertexte" xfId="23871" builtinId="8" hidden="1"/>
    <cellStyle name="Lien hypertexte" xfId="23911" builtinId="8" hidden="1"/>
    <cellStyle name="Lien hypertexte" xfId="23949" builtinId="8" hidden="1"/>
    <cellStyle name="Lien hypertexte" xfId="23989" builtinId="8" hidden="1"/>
    <cellStyle name="Lien hypertexte" xfId="24029" builtinId="8" hidden="1"/>
    <cellStyle name="Lien hypertexte" xfId="24069" builtinId="8" hidden="1"/>
    <cellStyle name="Lien hypertexte" xfId="24107" builtinId="8" hidden="1"/>
    <cellStyle name="Lien hypertexte" xfId="24147" builtinId="8" hidden="1"/>
    <cellStyle name="Lien hypertexte" xfId="24185" builtinId="8" hidden="1"/>
    <cellStyle name="Lien hypertexte" xfId="24223" builtinId="8" hidden="1"/>
    <cellStyle name="Lien hypertexte" xfId="24263" builtinId="8" hidden="1"/>
    <cellStyle name="Lien hypertexte" xfId="24301" builtinId="8" hidden="1"/>
    <cellStyle name="Lien hypertexte" xfId="24341" builtinId="8" hidden="1"/>
    <cellStyle name="Lien hypertexte" xfId="24379" builtinId="8" hidden="1"/>
    <cellStyle name="Lien hypertexte" xfId="24419" builtinId="8" hidden="1"/>
    <cellStyle name="Lien hypertexte" xfId="24457" builtinId="8" hidden="1"/>
    <cellStyle name="Lien hypertexte" xfId="24495" builtinId="8" hidden="1"/>
    <cellStyle name="Lien hypertexte" xfId="24535" builtinId="8" hidden="1"/>
    <cellStyle name="Lien hypertexte" xfId="24573" builtinId="8" hidden="1"/>
    <cellStyle name="Lien hypertexte" xfId="24593" builtinId="8" hidden="1"/>
    <cellStyle name="Lien hypertexte" xfId="24321" builtinId="8" hidden="1"/>
    <cellStyle name="Lien hypertexte" xfId="24049" builtinId="8" hidden="1"/>
    <cellStyle name="Lien hypertexte" xfId="23777" builtinId="8" hidden="1"/>
    <cellStyle name="Lien hypertexte" xfId="23505" builtinId="8" hidden="1"/>
    <cellStyle name="Lien hypertexte" xfId="23233" builtinId="8" hidden="1"/>
    <cellStyle name="Lien hypertexte" xfId="22961" builtinId="8" hidden="1"/>
    <cellStyle name="Lien hypertexte" xfId="22689" builtinId="8" hidden="1"/>
    <cellStyle name="Lien hypertexte" xfId="22417" builtinId="8" hidden="1"/>
    <cellStyle name="Lien hypertexte" xfId="22145" builtinId="8" hidden="1"/>
    <cellStyle name="Lien hypertexte" xfId="21873" builtinId="8" hidden="1"/>
    <cellStyle name="Lien hypertexte" xfId="21601" builtinId="8" hidden="1"/>
    <cellStyle name="Lien hypertexte" xfId="24539" builtinId="8" hidden="1"/>
    <cellStyle name="Lien hypertexte" xfId="23955" builtinId="8" hidden="1"/>
    <cellStyle name="Lien hypertexte" xfId="23369" builtinId="8" hidden="1"/>
    <cellStyle name="Lien hypertexte" xfId="22783" builtinId="8" hidden="1"/>
    <cellStyle name="Lien hypertexte" xfId="22199" builtinId="8" hidden="1"/>
    <cellStyle name="Lien hypertexte" xfId="20253" builtinId="8" hidden="1"/>
    <cellStyle name="Lien hypertexte" xfId="20293" builtinId="8" hidden="1"/>
    <cellStyle name="Lien hypertexte" xfId="20329" builtinId="8" hidden="1"/>
    <cellStyle name="Lien hypertexte" xfId="20367" builtinId="8" hidden="1"/>
    <cellStyle name="Lien hypertexte" xfId="20405" builtinId="8" hidden="1"/>
    <cellStyle name="Lien hypertexte" xfId="20443" builtinId="8" hidden="1"/>
    <cellStyle name="Lien hypertexte" xfId="20483" builtinId="8" hidden="1"/>
    <cellStyle name="Lien hypertexte" xfId="20519" builtinId="8" hidden="1"/>
    <cellStyle name="Lien hypertexte" xfId="20557" builtinId="8" hidden="1"/>
    <cellStyle name="Lien hypertexte" xfId="20595" builtinId="8" hidden="1"/>
    <cellStyle name="Lien hypertexte" xfId="20633" builtinId="8" hidden="1"/>
    <cellStyle name="Lien hypertexte" xfId="20669" builtinId="8" hidden="1"/>
    <cellStyle name="Lien hypertexte" xfId="20709" builtinId="8" hidden="1"/>
    <cellStyle name="Lien hypertexte" xfId="20745" builtinId="8" hidden="1"/>
    <cellStyle name="Lien hypertexte" xfId="20783" builtinId="8" hidden="1"/>
    <cellStyle name="Lien hypertexte" xfId="20821" builtinId="8" hidden="1"/>
    <cellStyle name="Lien hypertexte" xfId="20859" builtinId="8" hidden="1"/>
    <cellStyle name="Lien hypertexte" xfId="20895" builtinId="8" hidden="1"/>
    <cellStyle name="Lien hypertexte" xfId="20935" builtinId="8" hidden="1"/>
    <cellStyle name="Lien hypertexte" xfId="20971" builtinId="8" hidden="1"/>
    <cellStyle name="Lien hypertexte" xfId="21011" builtinId="8" hidden="1"/>
    <cellStyle name="Lien hypertexte" xfId="21047" builtinId="8" hidden="1"/>
    <cellStyle name="Lien hypertexte" xfId="21085" builtinId="8" hidden="1"/>
    <cellStyle name="Lien hypertexte" xfId="21123" builtinId="8" hidden="1"/>
    <cellStyle name="Lien hypertexte" xfId="21161" builtinId="8" hidden="1"/>
    <cellStyle name="Lien hypertexte" xfId="21197" builtinId="8" hidden="1"/>
    <cellStyle name="Lien hypertexte" xfId="21237" builtinId="8" hidden="1"/>
    <cellStyle name="Lien hypertexte" xfId="21273" builtinId="8" hidden="1"/>
    <cellStyle name="Lien hypertexte" xfId="21311" builtinId="8" hidden="1"/>
    <cellStyle name="Lien hypertexte" xfId="21349" builtinId="8" hidden="1"/>
    <cellStyle name="Lien hypertexte" xfId="21387" builtinId="8" hidden="1"/>
    <cellStyle name="Lien hypertexte" xfId="21423" builtinId="8" hidden="1"/>
    <cellStyle name="Lien hypertexte" xfId="21463" builtinId="8" hidden="1"/>
    <cellStyle name="Lien hypertexte" xfId="21499" builtinId="8" hidden="1"/>
    <cellStyle name="Lien hypertexte" xfId="21539" builtinId="8" hidden="1"/>
    <cellStyle name="Lien hypertexte" xfId="21575" builtinId="8" hidden="1"/>
    <cellStyle name="Lien hypertexte" xfId="21613" builtinId="8" hidden="1"/>
    <cellStyle name="Lien hypertexte" xfId="21653" builtinId="8" hidden="1"/>
    <cellStyle name="Lien hypertexte" xfId="21689" builtinId="8" hidden="1"/>
    <cellStyle name="Lien hypertexte" xfId="21727" builtinId="8" hidden="1"/>
    <cellStyle name="Lien hypertexte" xfId="20991" builtinId="8" hidden="1"/>
    <cellStyle name="Lien hypertexte" xfId="19547" builtinId="8" hidden="1"/>
    <cellStyle name="Lien hypertexte" xfId="19583" builtinId="8" hidden="1"/>
    <cellStyle name="Lien hypertexte" xfId="19623" builtinId="8" hidden="1"/>
    <cellStyle name="Lien hypertexte" xfId="19659" builtinId="8" hidden="1"/>
    <cellStyle name="Lien hypertexte" xfId="19695" builtinId="8" hidden="1"/>
    <cellStyle name="Lien hypertexte" xfId="19733" builtinId="8" hidden="1"/>
    <cellStyle name="Lien hypertexte" xfId="19771" builtinId="8" hidden="1"/>
    <cellStyle name="Lien hypertexte" xfId="19807" builtinId="8" hidden="1"/>
    <cellStyle name="Lien hypertexte" xfId="19845" builtinId="8" hidden="1"/>
    <cellStyle name="Lien hypertexte" xfId="19881" builtinId="8" hidden="1"/>
    <cellStyle name="Lien hypertexte" xfId="19919" builtinId="8" hidden="1"/>
    <cellStyle name="Lien hypertexte" xfId="19957" builtinId="8" hidden="1"/>
    <cellStyle name="Lien hypertexte" xfId="19993" builtinId="8" hidden="1"/>
    <cellStyle name="Lien hypertexte" xfId="20029" builtinId="8" hidden="1"/>
    <cellStyle name="Lien hypertexte" xfId="20069" builtinId="8" hidden="1"/>
    <cellStyle name="Lien hypertexte" xfId="20105" builtinId="8" hidden="1"/>
    <cellStyle name="Lien hypertexte" xfId="20141" builtinId="8" hidden="1"/>
    <cellStyle name="Lien hypertexte" xfId="20179" builtinId="8" hidden="1"/>
    <cellStyle name="Lien hypertexte" xfId="20217" builtinId="8" hidden="1"/>
    <cellStyle name="Lien hypertexte" xfId="19749" builtinId="8" hidden="1"/>
    <cellStyle name="Lien hypertexte" xfId="19221" builtinId="8" hidden="1"/>
    <cellStyle name="Lien hypertexte" xfId="19257" builtinId="8" hidden="1"/>
    <cellStyle name="Lien hypertexte" xfId="19293" builtinId="8" hidden="1"/>
    <cellStyle name="Lien hypertexte" xfId="19333" builtinId="8" hidden="1"/>
    <cellStyle name="Lien hypertexte" xfId="19369" builtinId="8" hidden="1"/>
    <cellStyle name="Lien hypertexte" xfId="19405" builtinId="8" hidden="1"/>
    <cellStyle name="Lien hypertexte" xfId="19443" builtinId="8" hidden="1"/>
    <cellStyle name="Lien hypertexte" xfId="19479" builtinId="8" hidden="1"/>
    <cellStyle name="Lien hypertexte" xfId="19515" builtinId="8" hidden="1"/>
    <cellStyle name="Lien hypertexte" xfId="19031" builtinId="8" hidden="1"/>
    <cellStyle name="Lien hypertexte" xfId="19067" builtinId="8" hidden="1"/>
    <cellStyle name="Lien hypertexte" xfId="19103" builtinId="8" hidden="1"/>
    <cellStyle name="Lien hypertexte" xfId="19141" builtinId="8" hidden="1"/>
    <cellStyle name="Lien hypertexte" xfId="19177" builtinId="8" hidden="1"/>
    <cellStyle name="Lien hypertexte" xfId="18957" builtinId="8" hidden="1"/>
    <cellStyle name="Lien hypertexte" xfId="18995" builtinId="8" hidden="1"/>
    <cellStyle name="Lien hypertexte" xfId="18903" builtinId="8" hidden="1"/>
    <cellStyle name="Lien hypertexte" xfId="18875" builtinId="8" hidden="1"/>
    <cellStyle name="Lien hypertexte" xfId="18851" builtinId="8" hidden="1"/>
    <cellStyle name="Lien hypertexte" xfId="18869" builtinId="8" hidden="1"/>
    <cellStyle name="Lien hypertexte" xfId="18895" builtinId="8" hidden="1"/>
    <cellStyle name="Lien hypertexte" xfId="18987" builtinId="8" hidden="1"/>
    <cellStyle name="Lien hypertexte" xfId="18951" builtinId="8" hidden="1"/>
    <cellStyle name="Lien hypertexte" xfId="19171" builtinId="8" hidden="1"/>
    <cellStyle name="Lien hypertexte" xfId="19133" builtinId="8" hidden="1"/>
    <cellStyle name="Lien hypertexte" xfId="19097" builtinId="8" hidden="1"/>
    <cellStyle name="Lien hypertexte" xfId="19061" builtinId="8" hidden="1"/>
    <cellStyle name="Lien hypertexte" xfId="19023" builtinId="8" hidden="1"/>
    <cellStyle name="Lien hypertexte" xfId="19509" builtinId="8" hidden="1"/>
    <cellStyle name="Lien hypertexte" xfId="19471" builtinId="8" hidden="1"/>
    <cellStyle name="Lien hypertexte" xfId="19435" builtinId="8" hidden="1"/>
    <cellStyle name="Lien hypertexte" xfId="19399" builtinId="8" hidden="1"/>
    <cellStyle name="Lien hypertexte" xfId="19363" builtinId="8" hidden="1"/>
    <cellStyle name="Lien hypertexte" xfId="19325" builtinId="8" hidden="1"/>
    <cellStyle name="Lien hypertexte" xfId="19287" builtinId="8" hidden="1"/>
    <cellStyle name="Lien hypertexte" xfId="19251" builtinId="8" hidden="1"/>
    <cellStyle name="Lien hypertexte" xfId="19213" builtinId="8" hidden="1"/>
    <cellStyle name="Lien hypertexte" xfId="20187" builtinId="8" hidden="1"/>
    <cellStyle name="Lien hypertexte" xfId="20211" builtinId="8" hidden="1"/>
    <cellStyle name="Lien hypertexte" xfId="20171" builtinId="8" hidden="1"/>
    <cellStyle name="Lien hypertexte" xfId="20135" builtinId="8" hidden="1"/>
    <cellStyle name="Lien hypertexte" xfId="20099" builtinId="8" hidden="1"/>
    <cellStyle name="Lien hypertexte" xfId="20061" builtinId="8" hidden="1"/>
    <cellStyle name="Lien hypertexte" xfId="20023" builtinId="8" hidden="1"/>
    <cellStyle name="Lien hypertexte" xfId="19987" builtinId="8" hidden="1"/>
    <cellStyle name="Lien hypertexte" xfId="19949" builtinId="8" hidden="1"/>
    <cellStyle name="Lien hypertexte" xfId="19913" builtinId="8" hidden="1"/>
    <cellStyle name="Lien hypertexte" xfId="19875" builtinId="8" hidden="1"/>
    <cellStyle name="Lien hypertexte" xfId="19837" builtinId="8" hidden="1"/>
    <cellStyle name="Lien hypertexte" xfId="19801" builtinId="8" hidden="1"/>
    <cellStyle name="Lien hypertexte" xfId="19765" builtinId="8" hidden="1"/>
    <cellStyle name="Lien hypertexte" xfId="19725" builtinId="8" hidden="1"/>
    <cellStyle name="Lien hypertexte" xfId="19689" builtinId="8" hidden="1"/>
    <cellStyle name="Lien hypertexte" xfId="19653" builtinId="8" hidden="1"/>
    <cellStyle name="Lien hypertexte" xfId="19615" builtinId="8" hidden="1"/>
    <cellStyle name="Lien hypertexte" xfId="19577" builtinId="8" hidden="1"/>
    <cellStyle name="Lien hypertexte" xfId="19541" builtinId="8" hidden="1"/>
    <cellStyle name="Lien hypertexte" xfId="21211" builtinId="8" hidden="1"/>
    <cellStyle name="Lien hypertexte" xfId="21719" builtinId="8" hidden="1"/>
    <cellStyle name="Lien hypertexte" xfId="21683" builtinId="8" hidden="1"/>
    <cellStyle name="Lien hypertexte" xfId="21643" builtinId="8" hidden="1"/>
    <cellStyle name="Lien hypertexte" xfId="21607" builtinId="8" hidden="1"/>
    <cellStyle name="Lien hypertexte" xfId="21567" builtinId="8" hidden="1"/>
    <cellStyle name="Lien hypertexte" xfId="21531" builtinId="8" hidden="1"/>
    <cellStyle name="Lien hypertexte" xfId="21493" builtinId="8" hidden="1"/>
    <cellStyle name="Lien hypertexte" xfId="21455" builtinId="8" hidden="1"/>
    <cellStyle name="Lien hypertexte" xfId="21417" builtinId="8" hidden="1"/>
    <cellStyle name="Lien hypertexte" xfId="21381" builtinId="8" hidden="1"/>
    <cellStyle name="Lien hypertexte" xfId="21341" builtinId="8" hidden="1"/>
    <cellStyle name="Lien hypertexte" xfId="21305" builtinId="8" hidden="1"/>
    <cellStyle name="Lien hypertexte" xfId="21267" builtinId="8" hidden="1"/>
    <cellStyle name="Lien hypertexte" xfId="21229" builtinId="8" hidden="1"/>
    <cellStyle name="Lien hypertexte" xfId="21191" builtinId="8" hidden="1"/>
    <cellStyle name="Lien hypertexte" xfId="21155" builtinId="8" hidden="1"/>
    <cellStyle name="Lien hypertexte" xfId="21115" builtinId="8" hidden="1"/>
    <cellStyle name="Lien hypertexte" xfId="21079" builtinId="8" hidden="1"/>
    <cellStyle name="Lien hypertexte" xfId="21039" builtinId="8" hidden="1"/>
    <cellStyle name="Lien hypertexte" xfId="21003" builtinId="8" hidden="1"/>
    <cellStyle name="Lien hypertexte" xfId="20965" builtinId="8" hidden="1"/>
    <cellStyle name="Lien hypertexte" xfId="20927" builtinId="8" hidden="1"/>
    <cellStyle name="Lien hypertexte" xfId="20889" builtinId="8" hidden="1"/>
    <cellStyle name="Lien hypertexte" xfId="20853" builtinId="8" hidden="1"/>
    <cellStyle name="Lien hypertexte" xfId="20813" builtinId="8" hidden="1"/>
    <cellStyle name="Lien hypertexte" xfId="20777" builtinId="8" hidden="1"/>
    <cellStyle name="Lien hypertexte" xfId="20739" builtinId="8" hidden="1"/>
    <cellStyle name="Lien hypertexte" xfId="20701" builtinId="8" hidden="1"/>
    <cellStyle name="Lien hypertexte" xfId="20663" builtinId="8" hidden="1"/>
    <cellStyle name="Lien hypertexte" xfId="20623" builtinId="8" hidden="1"/>
    <cellStyle name="Lien hypertexte" xfId="20587" builtinId="8" hidden="1"/>
    <cellStyle name="Lien hypertexte" xfId="20549" builtinId="8" hidden="1"/>
    <cellStyle name="Lien hypertexte" xfId="20511" builtinId="8" hidden="1"/>
    <cellStyle name="Lien hypertexte" xfId="20473" builtinId="8" hidden="1"/>
    <cellStyle name="Lien hypertexte" xfId="20437" builtinId="8" hidden="1"/>
    <cellStyle name="Lien hypertexte" xfId="20397" builtinId="8" hidden="1"/>
    <cellStyle name="Lien hypertexte" xfId="20361" builtinId="8" hidden="1"/>
    <cellStyle name="Lien hypertexte" xfId="20323" builtinId="8" hidden="1"/>
    <cellStyle name="Lien hypertexte" xfId="20285" builtinId="8" hidden="1"/>
    <cellStyle name="Lien hypertexte" xfId="20247" builtinId="8" hidden="1"/>
    <cellStyle name="Lien hypertexte" xfId="22309" builtinId="8" hidden="1"/>
    <cellStyle name="Lien hypertexte" xfId="22893" builtinId="8" hidden="1"/>
    <cellStyle name="Lien hypertexte" xfId="23479" builtinId="8" hidden="1"/>
    <cellStyle name="Lien hypertexte" xfId="24063" builtinId="8" hidden="1"/>
    <cellStyle name="Lien hypertexte" xfId="24353" builtinId="8" hidden="1"/>
    <cellStyle name="Lien hypertexte" xfId="21649" builtinId="8" hidden="1"/>
    <cellStyle name="Lien hypertexte" xfId="21921" builtinId="8" hidden="1"/>
    <cellStyle name="Lien hypertexte" xfId="22193" builtinId="8" hidden="1"/>
    <cellStyle name="Lien hypertexte" xfId="22465" builtinId="8" hidden="1"/>
    <cellStyle name="Lien hypertexte" xfId="22737" builtinId="8" hidden="1"/>
    <cellStyle name="Lien hypertexte" xfId="23009" builtinId="8" hidden="1"/>
    <cellStyle name="Lien hypertexte" xfId="23281" builtinId="8" hidden="1"/>
    <cellStyle name="Lien hypertexte" xfId="23553" builtinId="8" hidden="1"/>
    <cellStyle name="Lien hypertexte" xfId="23825" builtinId="8" hidden="1"/>
    <cellStyle name="Lien hypertexte" xfId="24113" builtinId="8" hidden="1"/>
    <cellStyle name="Lien hypertexte" xfId="24385" builtinId="8" hidden="1"/>
    <cellStyle name="Lien hypertexte" xfId="24605" builtinId="8" hidden="1"/>
    <cellStyle name="Lien hypertexte" xfId="24567" builtinId="8" hidden="1"/>
    <cellStyle name="Lien hypertexte" xfId="24527" builtinId="8" hidden="1"/>
    <cellStyle name="Lien hypertexte" xfId="24489" builtinId="8" hidden="1"/>
    <cellStyle name="Lien hypertexte" xfId="24451" builtinId="8" hidden="1"/>
    <cellStyle name="Lien hypertexte" xfId="24411" builtinId="8" hidden="1"/>
    <cellStyle name="Lien hypertexte" xfId="24373" builtinId="8" hidden="1"/>
    <cellStyle name="Lien hypertexte" xfId="24333" builtinId="8" hidden="1"/>
    <cellStyle name="Lien hypertexte" xfId="24295" builtinId="8" hidden="1"/>
    <cellStyle name="Lien hypertexte" xfId="24255" builtinId="8" hidden="1"/>
    <cellStyle name="Lien hypertexte" xfId="24217" builtinId="8" hidden="1"/>
    <cellStyle name="Lien hypertexte" xfId="24179" builtinId="8" hidden="1"/>
    <cellStyle name="Lien hypertexte" xfId="24139" builtinId="8" hidden="1"/>
    <cellStyle name="Lien hypertexte" xfId="24099" builtinId="8" hidden="1"/>
    <cellStyle name="Lien hypertexte" xfId="24059" builtinId="8" hidden="1"/>
    <cellStyle name="Lien hypertexte" xfId="24021" builtinId="8" hidden="1"/>
    <cellStyle name="Lien hypertexte" xfId="23981" builtinId="8" hidden="1"/>
    <cellStyle name="Lien hypertexte" xfId="23943" builtinId="8" hidden="1"/>
    <cellStyle name="Lien hypertexte" xfId="23903" builtinId="8" hidden="1"/>
    <cellStyle name="Lien hypertexte" xfId="23865" builtinId="8" hidden="1"/>
    <cellStyle name="Lien hypertexte" xfId="23827" builtinId="8" hidden="1"/>
    <cellStyle name="Lien hypertexte" xfId="23787" builtinId="8" hidden="1"/>
    <cellStyle name="Lien hypertexte" xfId="23749" builtinId="8" hidden="1"/>
    <cellStyle name="Lien hypertexte" xfId="23709" builtinId="8" hidden="1"/>
    <cellStyle name="Lien hypertexte" xfId="23671" builtinId="8" hidden="1"/>
    <cellStyle name="Lien hypertexte" xfId="23631" builtinId="8" hidden="1"/>
    <cellStyle name="Lien hypertexte" xfId="23593" builtinId="8" hidden="1"/>
    <cellStyle name="Lien hypertexte" xfId="23555" builtinId="8" hidden="1"/>
    <cellStyle name="Lien hypertexte" xfId="23513" builtinId="8" hidden="1"/>
    <cellStyle name="Lien hypertexte" xfId="23475" builtinId="8" hidden="1"/>
    <cellStyle name="Lien hypertexte" xfId="23435" builtinId="8" hidden="1"/>
    <cellStyle name="Lien hypertexte" xfId="23397" builtinId="8" hidden="1"/>
    <cellStyle name="Lien hypertexte" xfId="23357" builtinId="8" hidden="1"/>
    <cellStyle name="Lien hypertexte" xfId="23319" builtinId="8" hidden="1"/>
    <cellStyle name="Lien hypertexte" xfId="23279" builtinId="8" hidden="1"/>
    <cellStyle name="Lien hypertexte" xfId="23241" builtinId="8" hidden="1"/>
    <cellStyle name="Lien hypertexte" xfId="23203" builtinId="8" hidden="1"/>
    <cellStyle name="Lien hypertexte" xfId="23163" builtinId="8" hidden="1"/>
    <cellStyle name="Lien hypertexte" xfId="23125" builtinId="8" hidden="1"/>
    <cellStyle name="Lien hypertexte" xfId="23085" builtinId="8" hidden="1"/>
    <cellStyle name="Lien hypertexte" xfId="23047" builtinId="8" hidden="1"/>
    <cellStyle name="Lien hypertexte" xfId="23007" builtinId="8" hidden="1"/>
    <cellStyle name="Lien hypertexte" xfId="22969" builtinId="8" hidden="1"/>
    <cellStyle name="Lien hypertexte" xfId="22927" builtinId="8" hidden="1"/>
    <cellStyle name="Lien hypertexte" xfId="22889" builtinId="8" hidden="1"/>
    <cellStyle name="Lien hypertexte" xfId="22851" builtinId="8" hidden="1"/>
    <cellStyle name="Lien hypertexte" xfId="22811" builtinId="8" hidden="1"/>
    <cellStyle name="Lien hypertexte" xfId="22773" builtinId="8" hidden="1"/>
    <cellStyle name="Lien hypertexte" xfId="22733" builtinId="8" hidden="1"/>
    <cellStyle name="Lien hypertexte" xfId="22695" builtinId="8" hidden="1"/>
    <cellStyle name="Lien hypertexte" xfId="22655" builtinId="8" hidden="1"/>
    <cellStyle name="Lien hypertexte" xfId="22617" builtinId="8" hidden="1"/>
    <cellStyle name="Lien hypertexte" xfId="22579" builtinId="8" hidden="1"/>
    <cellStyle name="Lien hypertexte" xfId="22539" builtinId="8" hidden="1"/>
    <cellStyle name="Lien hypertexte" xfId="22501" builtinId="8" hidden="1"/>
    <cellStyle name="Lien hypertexte" xfId="22461" builtinId="8" hidden="1"/>
    <cellStyle name="Lien hypertexte" xfId="22423" builtinId="8" hidden="1"/>
    <cellStyle name="Lien hypertexte" xfId="22383" builtinId="8" hidden="1"/>
    <cellStyle name="Lien hypertexte" xfId="22343" builtinId="8" hidden="1"/>
    <cellStyle name="Lien hypertexte" xfId="22303" builtinId="8" hidden="1"/>
    <cellStyle name="Lien hypertexte" xfId="22265" builtinId="8" hidden="1"/>
    <cellStyle name="Lien hypertexte" xfId="22227" builtinId="8" hidden="1"/>
    <cellStyle name="Lien hypertexte" xfId="22187" builtinId="8" hidden="1"/>
    <cellStyle name="Lien hypertexte" xfId="22149" builtinId="8" hidden="1"/>
    <cellStyle name="Lien hypertexte" xfId="22109" builtinId="8" hidden="1"/>
    <cellStyle name="Lien hypertexte" xfId="22071" builtinId="8" hidden="1"/>
    <cellStyle name="Lien hypertexte" xfId="22031" builtinId="8" hidden="1"/>
    <cellStyle name="Lien hypertexte" xfId="21993" builtinId="8" hidden="1"/>
    <cellStyle name="Lien hypertexte" xfId="21955" builtinId="8" hidden="1"/>
    <cellStyle name="Lien hypertexte" xfId="21915" builtinId="8" hidden="1"/>
    <cellStyle name="Lien hypertexte" xfId="21877" builtinId="8" hidden="1"/>
    <cellStyle name="Lien hypertexte" xfId="21837" builtinId="8" hidden="1"/>
    <cellStyle name="Lien hypertexte" xfId="21799" builtinId="8" hidden="1"/>
    <cellStyle name="Lien hypertexte" xfId="21757" builtinId="8" hidden="1"/>
    <cellStyle name="Lien hypertexte" xfId="20513" builtinId="8" hidden="1"/>
    <cellStyle name="Lien hypertexte" xfId="15986" builtinId="8" hidden="1"/>
    <cellStyle name="Lien hypertexte" xfId="16258" builtinId="8" hidden="1"/>
    <cellStyle name="Lien hypertexte" xfId="16532" builtinId="8" hidden="1"/>
    <cellStyle name="Lien hypertexte" xfId="16804" builtinId="8" hidden="1"/>
    <cellStyle name="Lien hypertexte" xfId="17078" builtinId="8" hidden="1"/>
    <cellStyle name="Lien hypertexte" xfId="17350" builtinId="8" hidden="1"/>
    <cellStyle name="Lien hypertexte" xfId="17624" builtinId="8" hidden="1"/>
    <cellStyle name="Lien hypertexte" xfId="17896" builtinId="8" hidden="1"/>
    <cellStyle name="Lien hypertexte" xfId="18170" builtinId="8" hidden="1"/>
    <cellStyle name="Lien hypertexte" xfId="18459" builtinId="8" hidden="1"/>
    <cellStyle name="Lien hypertexte" xfId="18733" builtinId="8" hidden="1"/>
    <cellStyle name="Lien hypertexte" xfId="16432" builtinId="8" hidden="1"/>
    <cellStyle name="Lien hypertexte" xfId="14860" builtinId="8" hidden="1"/>
    <cellStyle name="Lien hypertexte" xfId="15124" builtinId="8" hidden="1"/>
    <cellStyle name="Lien hypertexte" xfId="15388" builtinId="8" hidden="1"/>
    <cellStyle name="Lien hypertexte" xfId="15652" builtinId="8" hidden="1"/>
    <cellStyle name="Lien hypertexte" xfId="15916" builtinId="8" hidden="1"/>
    <cellStyle name="Lien hypertexte" xfId="852" builtinId="8" hidden="1"/>
    <cellStyle name="Lien hypertexte" xfId="1112" builtinId="8" hidden="1"/>
    <cellStyle name="Lien hypertexte" xfId="434" builtinId="8" hidden="1"/>
    <cellStyle name="Lien hypertexte" xfId="236" builtinId="8" hidden="1"/>
    <cellStyle name="Lien hypertexte" xfId="52" builtinId="8" hidden="1"/>
    <cellStyle name="Lien hypertexte" xfId="122" builtinId="8" hidden="1"/>
    <cellStyle name="Lien hypertexte" xfId="86" builtinId="8" hidden="1"/>
    <cellStyle name="Lien hypertexte" xfId="162" builtinId="8" hidden="1"/>
    <cellStyle name="Lien hypertexte" xfId="126" builtinId="8" hidden="1"/>
    <cellStyle name="Lien hypertexte" xfId="312" builtinId="8" hidden="1"/>
    <cellStyle name="Lien hypertexte" xfId="276" builtinId="8" hidden="1"/>
    <cellStyle name="Lien hypertexte" xfId="240" builtinId="8" hidden="1"/>
    <cellStyle name="Lien hypertexte" xfId="202" builtinId="8" hidden="1"/>
    <cellStyle name="Lien hypertexte" xfId="622" builtinId="8" hidden="1"/>
    <cellStyle name="Lien hypertexte" xfId="586" builtinId="8" hidden="1"/>
    <cellStyle name="Lien hypertexte" xfId="550" builtinId="8" hidden="1"/>
    <cellStyle name="Lien hypertexte" xfId="512" builtinId="8" hidden="1"/>
    <cellStyle name="Lien hypertexte" xfId="476" builtinId="8" hidden="1"/>
    <cellStyle name="Lien hypertexte" xfId="438" builtinId="8" hidden="1"/>
    <cellStyle name="Lien hypertexte" xfId="400" builtinId="8" hidden="1"/>
    <cellStyle name="Lien hypertexte" xfId="364" builtinId="8" hidden="1"/>
    <cellStyle name="Lien hypertexte" xfId="14618" builtinId="8" hidden="1"/>
    <cellStyle name="Lien hypertexte" xfId="14582" builtinId="8" hidden="1"/>
    <cellStyle name="Lien hypertexte" xfId="14542" builtinId="8" hidden="1"/>
    <cellStyle name="Lien hypertexte" xfId="51" builtinId="8" hidden="1"/>
    <cellStyle name="Lien hypertexte" xfId="1116" builtinId="8" hidden="1"/>
    <cellStyle name="Lien hypertexte" xfId="1076" builtinId="8" hidden="1"/>
    <cellStyle name="Lien hypertexte" xfId="1040" builtinId="8" hidden="1"/>
    <cellStyle name="Lien hypertexte" xfId="1004" builtinId="8" hidden="1"/>
    <cellStyle name="Lien hypertexte" xfId="968" builtinId="8" hidden="1"/>
    <cellStyle name="Lien hypertexte" xfId="928" builtinId="8" hidden="1"/>
    <cellStyle name="Lien hypertexte" xfId="892" builtinId="8" hidden="1"/>
    <cellStyle name="Lien hypertexte" xfId="856" builtinId="8" hidden="1"/>
    <cellStyle name="Lien hypertexte" xfId="816" builtinId="8" hidden="1"/>
    <cellStyle name="Lien hypertexte" xfId="780" builtinId="8" hidden="1"/>
    <cellStyle name="Lien hypertexte" xfId="744" builtinId="8" hidden="1"/>
    <cellStyle name="Lien hypertexte" xfId="706" builtinId="8" hidden="1"/>
    <cellStyle name="Lien hypertexte" xfId="668" builtinId="8" hidden="1"/>
    <cellStyle name="Lien hypertexte" xfId="15216" builtinId="8" hidden="1"/>
    <cellStyle name="Lien hypertexte" xfId="15922" builtinId="8" hidden="1"/>
    <cellStyle name="Lien hypertexte" xfId="15882" builtinId="8" hidden="1"/>
    <cellStyle name="Lien hypertexte" xfId="15844" builtinId="8" hidden="1"/>
    <cellStyle name="Lien hypertexte" xfId="15808" builtinId="8" hidden="1"/>
    <cellStyle name="Lien hypertexte" xfId="15770" builtinId="8" hidden="1"/>
    <cellStyle name="Lien hypertexte" xfId="15732" builtinId="8" hidden="1"/>
    <cellStyle name="Lien hypertexte" xfId="15694" builtinId="8" hidden="1"/>
    <cellStyle name="Lien hypertexte" xfId="15656" builtinId="8" hidden="1"/>
    <cellStyle name="Lien hypertexte" xfId="15618" builtinId="8" hidden="1"/>
    <cellStyle name="Lien hypertexte" xfId="15580" builtinId="8" hidden="1"/>
    <cellStyle name="Lien hypertexte" xfId="15544" builtinId="8" hidden="1"/>
    <cellStyle name="Lien hypertexte" xfId="15506" builtinId="8" hidden="1"/>
    <cellStyle name="Lien hypertexte" xfId="15466" builtinId="8" hidden="1"/>
    <cellStyle name="Lien hypertexte" xfId="15430" builtinId="8" hidden="1"/>
    <cellStyle name="Lien hypertexte" xfId="15392" builtinId="8" hidden="1"/>
    <cellStyle name="Lien hypertexte" xfId="15354" builtinId="8" hidden="1"/>
    <cellStyle name="Lien hypertexte" xfId="15316" builtinId="8" hidden="1"/>
    <cellStyle name="Lien hypertexte" xfId="15278" builtinId="8" hidden="1"/>
    <cellStyle name="Lien hypertexte" xfId="15242" builtinId="8" hidden="1"/>
    <cellStyle name="Lien hypertexte" xfId="15202" builtinId="8" hidden="1"/>
    <cellStyle name="Lien hypertexte" xfId="15166" builtinId="8" hidden="1"/>
    <cellStyle name="Lien hypertexte" xfId="15128" builtinId="8" hidden="1"/>
    <cellStyle name="Lien hypertexte" xfId="15090" builtinId="8" hidden="1"/>
    <cellStyle name="Lien hypertexte" xfId="15052" builtinId="8" hidden="1"/>
    <cellStyle name="Lien hypertexte" xfId="15014" builtinId="8" hidden="1"/>
    <cellStyle name="Lien hypertexte" xfId="14978" builtinId="8" hidden="1"/>
    <cellStyle name="Lien hypertexte" xfId="14938" builtinId="8" hidden="1"/>
    <cellStyle name="Lien hypertexte" xfId="14902" builtinId="8" hidden="1"/>
    <cellStyle name="Lien hypertexte" xfId="14864" builtinId="8" hidden="1"/>
    <cellStyle name="Lien hypertexte" xfId="14824" builtinId="8" hidden="1"/>
    <cellStyle name="Lien hypertexte" xfId="14788" builtinId="8" hidden="1"/>
    <cellStyle name="Lien hypertexte" xfId="14750" builtinId="8" hidden="1"/>
    <cellStyle name="Lien hypertexte" xfId="14714" builtinId="8" hidden="1"/>
    <cellStyle name="Lien hypertexte" xfId="14674" builtinId="8" hidden="1"/>
    <cellStyle name="Lien hypertexte" xfId="14636" builtinId="8" hidden="1"/>
    <cellStyle name="Lien hypertexte" xfId="16368" builtinId="8" hidden="1"/>
    <cellStyle name="Lien hypertexte" xfId="16976" builtinId="8" hidden="1"/>
    <cellStyle name="Lien hypertexte" xfId="17552" builtinId="8" hidden="1"/>
    <cellStyle name="Lien hypertexte" xfId="18128" builtinId="8" hidden="1"/>
    <cellStyle name="Lien hypertexte" xfId="18721" builtinId="8" hidden="1"/>
    <cellStyle name="Lien hypertexte" xfId="18813" builtinId="8" hidden="1"/>
    <cellStyle name="Lien hypertexte" xfId="18775" builtinId="8" hidden="1"/>
    <cellStyle name="Lien hypertexte" xfId="18737" builtinId="8" hidden="1"/>
    <cellStyle name="Lien hypertexte" xfId="18697" builtinId="8" hidden="1"/>
    <cellStyle name="Lien hypertexte" xfId="18659" builtinId="8" hidden="1"/>
    <cellStyle name="Lien hypertexte" xfId="18619" builtinId="8" hidden="1"/>
    <cellStyle name="Lien hypertexte" xfId="18581" builtinId="8" hidden="1"/>
    <cellStyle name="Lien hypertexte" xfId="18541" builtinId="8" hidden="1"/>
    <cellStyle name="Lien hypertexte" xfId="18503" builtinId="8" hidden="1"/>
    <cellStyle name="Lien hypertexte" xfId="18463" builtinId="8" hidden="1"/>
    <cellStyle name="Lien hypertexte" xfId="18423" builtinId="8" hidden="1"/>
    <cellStyle name="Lien hypertexte" xfId="18385" builtinId="8" hidden="1"/>
    <cellStyle name="Lien hypertexte" xfId="18347" builtinId="8" hidden="1"/>
    <cellStyle name="Lien hypertexte" xfId="18292" builtinId="8" hidden="1"/>
    <cellStyle name="Lien hypertexte" xfId="18250" builtinId="8" hidden="1"/>
    <cellStyle name="Lien hypertexte" xfId="18212" builtinId="8" hidden="1"/>
    <cellStyle name="Lien hypertexte" xfId="18174" builtinId="8" hidden="1"/>
    <cellStyle name="Lien hypertexte" xfId="18134" builtinId="8" hidden="1"/>
    <cellStyle name="Lien hypertexte" xfId="18094" builtinId="8" hidden="1"/>
    <cellStyle name="Lien hypertexte" xfId="18056" builtinId="8" hidden="1"/>
    <cellStyle name="Lien hypertexte" xfId="18018" builtinId="8" hidden="1"/>
    <cellStyle name="Lien hypertexte" xfId="17978" builtinId="8" hidden="1"/>
    <cellStyle name="Lien hypertexte" xfId="17940" builtinId="8" hidden="1"/>
    <cellStyle name="Lien hypertexte" xfId="17900" builtinId="8" hidden="1"/>
    <cellStyle name="Lien hypertexte" xfId="17860" builtinId="8" hidden="1"/>
    <cellStyle name="Lien hypertexte" xfId="17822" builtinId="8" hidden="1"/>
    <cellStyle name="Lien hypertexte" xfId="17784" builtinId="8" hidden="1"/>
    <cellStyle name="Lien hypertexte" xfId="17746" builtinId="8" hidden="1"/>
    <cellStyle name="Lien hypertexte" xfId="17704" builtinId="8" hidden="1"/>
    <cellStyle name="Lien hypertexte" xfId="17666" builtinId="8" hidden="1"/>
    <cellStyle name="Lien hypertexte" xfId="17628" builtinId="8" hidden="1"/>
    <cellStyle name="Lien hypertexte" xfId="17588" builtinId="8" hidden="1"/>
    <cellStyle name="Lien hypertexte" xfId="17548" builtinId="8" hidden="1"/>
    <cellStyle name="Lien hypertexte" xfId="17510" builtinId="8" hidden="1"/>
    <cellStyle name="Lien hypertexte" xfId="17472" builtinId="8" hidden="1"/>
    <cellStyle name="Lien hypertexte" xfId="17432" builtinId="8" hidden="1"/>
    <cellStyle name="Lien hypertexte" xfId="17394" builtinId="8" hidden="1"/>
    <cellStyle name="Lien hypertexte" xfId="17354" builtinId="8" hidden="1"/>
    <cellStyle name="Lien hypertexte" xfId="17314" builtinId="8" hidden="1"/>
    <cellStyle name="Lien hypertexte" xfId="17276" builtinId="8" hidden="1"/>
    <cellStyle name="Lien hypertexte" xfId="17238" builtinId="8" hidden="1"/>
    <cellStyle name="Lien hypertexte" xfId="17198" builtinId="8" hidden="1"/>
    <cellStyle name="Lien hypertexte" xfId="17158" builtinId="8" hidden="1"/>
    <cellStyle name="Lien hypertexte" xfId="17120" builtinId="8" hidden="1"/>
    <cellStyle name="Lien hypertexte" xfId="17082" builtinId="8" hidden="1"/>
    <cellStyle name="Lien hypertexte" xfId="17042" builtinId="8" hidden="1"/>
    <cellStyle name="Lien hypertexte" xfId="17002" builtinId="8" hidden="1"/>
    <cellStyle name="Lien hypertexte" xfId="16964" builtinId="8" hidden="1"/>
    <cellStyle name="Lien hypertexte" xfId="16926" builtinId="8" hidden="1"/>
    <cellStyle name="Lien hypertexte" xfId="16886" builtinId="8" hidden="1"/>
    <cellStyle name="Lien hypertexte" xfId="16846" builtinId="8" hidden="1"/>
    <cellStyle name="Lien hypertexte" xfId="16808" builtinId="8" hidden="1"/>
    <cellStyle name="Lien hypertexte" xfId="16768" builtinId="8" hidden="1"/>
    <cellStyle name="Lien hypertexte" xfId="16730" builtinId="8" hidden="1"/>
    <cellStyle name="Lien hypertexte" xfId="16692" builtinId="8" hidden="1"/>
    <cellStyle name="Lien hypertexte" xfId="16652" builtinId="8" hidden="1"/>
    <cellStyle name="Lien hypertexte" xfId="16612" builtinId="8" hidden="1"/>
    <cellStyle name="Lien hypertexte" xfId="16574" builtinId="8" hidden="1"/>
    <cellStyle name="Lien hypertexte" xfId="16536" builtinId="8" hidden="1"/>
    <cellStyle name="Lien hypertexte" xfId="16494" builtinId="8" hidden="1"/>
    <cellStyle name="Lien hypertexte" xfId="16456" builtinId="8" hidden="1"/>
    <cellStyle name="Lien hypertexte" xfId="16418" builtinId="8" hidden="1"/>
    <cellStyle name="Lien hypertexte" xfId="16380" builtinId="8" hidden="1"/>
    <cellStyle name="Lien hypertexte" xfId="16340" builtinId="8" hidden="1"/>
    <cellStyle name="Lien hypertexte" xfId="16300" builtinId="8" hidden="1"/>
    <cellStyle name="Lien hypertexte" xfId="16262" builtinId="8" hidden="1"/>
    <cellStyle name="Lien hypertexte" xfId="16222" builtinId="8" hidden="1"/>
    <cellStyle name="Lien hypertexte" xfId="16184" builtinId="8" hidden="1"/>
    <cellStyle name="Lien hypertexte" xfId="16146" builtinId="8" hidden="1"/>
    <cellStyle name="Lien hypertexte" xfId="16106" builtinId="8" hidden="1"/>
    <cellStyle name="Lien hypertexte" xfId="16066" builtinId="8" hidden="1"/>
    <cellStyle name="Lien hypertexte" xfId="16028" builtinId="8" hidden="1"/>
    <cellStyle name="Lien hypertexte" xfId="15990" builtinId="8" hidden="1"/>
    <cellStyle name="Lien hypertexte" xfId="15948" builtinId="8" hidden="1"/>
    <cellStyle name="Lien hypertexte" xfId="19025" builtinId="8" hidden="1"/>
    <cellStyle name="Lien hypertexte" xfId="19313" builtinId="8" hidden="1"/>
    <cellStyle name="Lien hypertexte" xfId="19601" builtinId="8" hidden="1"/>
    <cellStyle name="Lien hypertexte" xfId="19905" builtinId="8" hidden="1"/>
    <cellStyle name="Lien hypertexte" xfId="20193" builtinId="8" hidden="1"/>
    <cellStyle name="Lien hypertexte" xfId="20481" builtinId="8" hidden="1"/>
    <cellStyle name="Lien hypertexte" xfId="20785" builtinId="8" hidden="1"/>
    <cellStyle name="Lien hypertexte" xfId="21265" builtinId="8" hidden="1"/>
    <cellStyle name="Lien hypertexte" xfId="21073" builtinId="8" hidden="1"/>
    <cellStyle name="Lien hypertexte" xfId="21105" builtinId="8" hidden="1"/>
    <cellStyle name="Lien hypertexte" xfId="21377" builtinId="8" hidden="1"/>
    <cellStyle name="Lien hypertexte" xfId="21521" builtinId="8" hidden="1"/>
    <cellStyle name="Lien hypertexte" xfId="21441" builtinId="8" hidden="1"/>
    <cellStyle name="Lien hypertexte" xfId="20945" builtinId="8" hidden="1"/>
    <cellStyle name="Lien hypertexte" xfId="21137" builtinId="8" hidden="1"/>
    <cellStyle name="Lien hypertexte" xfId="21345" builtinId="8" hidden="1"/>
    <cellStyle name="Lien hypertexte" xfId="20673" builtinId="8" hidden="1"/>
    <cellStyle name="Lien hypertexte" xfId="20369" builtinId="8" hidden="1"/>
    <cellStyle name="Lien hypertexte" xfId="20081" builtinId="8" hidden="1"/>
    <cellStyle name="Lien hypertexte" xfId="19793" builtinId="8" hidden="1"/>
    <cellStyle name="Lien hypertexte" xfId="19505" builtinId="8" hidden="1"/>
    <cellStyle name="Lien hypertexte" xfId="19201" builtinId="8" hidden="1"/>
    <cellStyle name="Lien hypertexte" xfId="18913" builtinId="8" hidden="1"/>
    <cellStyle name="Lien hypertexte" xfId="15964" builtinId="8" hidden="1"/>
    <cellStyle name="Lien hypertexte" xfId="16004" builtinId="8" hidden="1"/>
    <cellStyle name="Lien hypertexte" xfId="16042" builtinId="8" hidden="1"/>
    <cellStyle name="Lien hypertexte" xfId="16082" builtinId="8" hidden="1"/>
    <cellStyle name="Lien hypertexte" xfId="16120" builtinId="8" hidden="1"/>
    <cellStyle name="Lien hypertexte" xfId="16160" builtinId="8" hidden="1"/>
    <cellStyle name="Lien hypertexte" xfId="16198" builtinId="8" hidden="1"/>
    <cellStyle name="Lien hypertexte" xfId="16236" builtinId="8" hidden="1"/>
    <cellStyle name="Lien hypertexte" xfId="16278" builtinId="8" hidden="1"/>
    <cellStyle name="Lien hypertexte" xfId="16316" builtinId="8" hidden="1"/>
    <cellStyle name="Lien hypertexte" xfId="16354" builtinId="8" hidden="1"/>
    <cellStyle name="Lien hypertexte" xfId="16392" builtinId="8" hidden="1"/>
    <cellStyle name="Lien hypertexte" xfId="16434" builtinId="8" hidden="1"/>
    <cellStyle name="Lien hypertexte" xfId="16472" builtinId="8" hidden="1"/>
    <cellStyle name="Lien hypertexte" xfId="16510" builtinId="8" hidden="1"/>
    <cellStyle name="Lien hypertexte" xfId="16550" builtinId="8" hidden="1"/>
    <cellStyle name="Lien hypertexte" xfId="16588" builtinId="8" hidden="1"/>
    <cellStyle name="Lien hypertexte" xfId="16628" builtinId="8" hidden="1"/>
    <cellStyle name="Lien hypertexte" xfId="16666" builtinId="8" hidden="1"/>
    <cellStyle name="Lien hypertexte" xfId="16706" builtinId="8" hidden="1"/>
    <cellStyle name="Lien hypertexte" xfId="16744" builtinId="8" hidden="1"/>
    <cellStyle name="Lien hypertexte" xfId="16782" builtinId="8" hidden="1"/>
    <cellStyle name="Lien hypertexte" xfId="16824" builtinId="8" hidden="1"/>
    <cellStyle name="Lien hypertexte" xfId="16862" builtinId="8" hidden="1"/>
    <cellStyle name="Lien hypertexte" xfId="16900" builtinId="8" hidden="1"/>
    <cellStyle name="Lien hypertexte" xfId="16938" builtinId="8" hidden="1"/>
    <cellStyle name="Lien hypertexte" xfId="16980" builtinId="8" hidden="1"/>
    <cellStyle name="Lien hypertexte" xfId="17018" builtinId="8" hidden="1"/>
    <cellStyle name="Lien hypertexte" xfId="17056" builtinId="8" hidden="1"/>
    <cellStyle name="Lien hypertexte" xfId="17096" builtinId="8" hidden="1"/>
    <cellStyle name="Lien hypertexte" xfId="17134" builtinId="8" hidden="1"/>
    <cellStyle name="Lien hypertexte" xfId="17174" builtinId="8" hidden="1"/>
    <cellStyle name="Lien hypertexte" xfId="17212" builtinId="8" hidden="1"/>
    <cellStyle name="Lien hypertexte" xfId="17252" builtinId="8" hidden="1"/>
    <cellStyle name="Lien hypertexte" xfId="17290" builtinId="8" hidden="1"/>
    <cellStyle name="Lien hypertexte" xfId="17330" builtinId="8" hidden="1"/>
    <cellStyle name="Lien hypertexte" xfId="17370" builtinId="8" hidden="1"/>
    <cellStyle name="Lien hypertexte" xfId="17408" builtinId="8" hidden="1"/>
    <cellStyle name="Lien hypertexte" xfId="17446" builtinId="8" hidden="1"/>
    <cellStyle name="Lien hypertexte" xfId="17484" builtinId="8" hidden="1"/>
    <cellStyle name="Lien hypertexte" xfId="17526" builtinId="8" hidden="1"/>
    <cellStyle name="Lien hypertexte" xfId="17564" builtinId="8" hidden="1"/>
    <cellStyle name="Lien hypertexte" xfId="17602" builtinId="8" hidden="1"/>
    <cellStyle name="Lien hypertexte" xfId="17642" builtinId="8" hidden="1"/>
    <cellStyle name="Lien hypertexte" xfId="17682" builtinId="8" hidden="1"/>
    <cellStyle name="Lien hypertexte" xfId="17720" builtinId="8" hidden="1"/>
    <cellStyle name="Lien hypertexte" xfId="17758" builtinId="8" hidden="1"/>
    <cellStyle name="Lien hypertexte" xfId="17798" builtinId="8" hidden="1"/>
    <cellStyle name="Lien hypertexte" xfId="17836" builtinId="8" hidden="1"/>
    <cellStyle name="Lien hypertexte" xfId="17876" builtinId="8" hidden="1"/>
    <cellStyle name="Lien hypertexte" xfId="17916" builtinId="8" hidden="1"/>
    <cellStyle name="Lien hypertexte" xfId="17954" builtinId="8" hidden="1"/>
    <cellStyle name="Lien hypertexte" xfId="17992" builtinId="8" hidden="1"/>
    <cellStyle name="Lien hypertexte" xfId="18030" builtinId="8" hidden="1"/>
    <cellStyle name="Lien hypertexte" xfId="18072" builtinId="8" hidden="1"/>
    <cellStyle name="Lien hypertexte" xfId="18110" builtinId="8" hidden="1"/>
    <cellStyle name="Lien hypertexte" xfId="18148" builtinId="8" hidden="1"/>
    <cellStyle name="Lien hypertexte" xfId="18188" builtinId="8" hidden="1"/>
    <cellStyle name="Lien hypertexte" xfId="18228" builtinId="8" hidden="1"/>
    <cellStyle name="Lien hypertexte" xfId="18266" builtinId="8" hidden="1"/>
    <cellStyle name="Lien hypertexte" xfId="18304" builtinId="8" hidden="1"/>
    <cellStyle name="Lien hypertexte" xfId="18361" builtinId="8" hidden="1"/>
    <cellStyle name="Lien hypertexte" xfId="18399" builtinId="8" hidden="1"/>
    <cellStyle name="Lien hypertexte" xfId="18439" builtinId="8" hidden="1"/>
    <cellStyle name="Lien hypertexte" xfId="18479" builtinId="8" hidden="1"/>
    <cellStyle name="Lien hypertexte" xfId="18517" builtinId="8" hidden="1"/>
    <cellStyle name="Lien hypertexte" xfId="18555" builtinId="8" hidden="1"/>
    <cellStyle name="Lien hypertexte" xfId="18595" builtinId="8" hidden="1"/>
    <cellStyle name="Lien hypertexte" xfId="18635" builtinId="8" hidden="1"/>
    <cellStyle name="Lien hypertexte" xfId="18673" builtinId="8" hidden="1"/>
    <cellStyle name="Lien hypertexte" xfId="18711" builtinId="8" hidden="1"/>
    <cellStyle name="Lien hypertexte" xfId="18751" builtinId="8" hidden="1"/>
    <cellStyle name="Lien hypertexte" xfId="18791" builtinId="8" hidden="1"/>
    <cellStyle name="Lien hypertexte" xfId="18829" builtinId="8" hidden="1"/>
    <cellStyle name="Lien hypertexte" xfId="18529" builtinId="8" hidden="1"/>
    <cellStyle name="Lien hypertexte" xfId="17904" builtinId="8" hidden="1"/>
    <cellStyle name="Lien hypertexte" xfId="17328" builtinId="8" hidden="1"/>
    <cellStyle name="Lien hypertexte" xfId="16752" builtinId="8" hidden="1"/>
    <cellStyle name="Lien hypertexte" xfId="16144" builtinId="8" hidden="1"/>
    <cellStyle name="Lien hypertexte" xfId="14652" builtinId="8" hidden="1"/>
    <cellStyle name="Lien hypertexte" xfId="14688" builtinId="8" hidden="1"/>
    <cellStyle name="Lien hypertexte" xfId="14726" builtinId="8" hidden="1"/>
    <cellStyle name="Lien hypertexte" xfId="14764" builtinId="8" hidden="1"/>
    <cellStyle name="Lien hypertexte" xfId="14802" builtinId="8" hidden="1"/>
    <cellStyle name="Lien hypertexte" xfId="14840" builtinId="8" hidden="1"/>
    <cellStyle name="Lien hypertexte" xfId="14878" builtinId="8" hidden="1"/>
    <cellStyle name="Lien hypertexte" xfId="14916" builtinId="8" hidden="1"/>
    <cellStyle name="Lien hypertexte" xfId="14952" builtinId="8" hidden="1"/>
    <cellStyle name="Lien hypertexte" xfId="14990" builtinId="8" hidden="1"/>
    <cellStyle name="Lien hypertexte" xfId="15030" builtinId="8" hidden="1"/>
    <cellStyle name="Lien hypertexte" xfId="15066" builtinId="8" hidden="1"/>
    <cellStyle name="Lien hypertexte" xfId="15104" builtinId="8" hidden="1"/>
    <cellStyle name="Lien hypertexte" xfId="15142" builtinId="8" hidden="1"/>
    <cellStyle name="Lien hypertexte" xfId="15180" builtinId="8" hidden="1"/>
    <cellStyle name="Lien hypertexte" xfId="15218" builtinId="8" hidden="1"/>
    <cellStyle name="Lien hypertexte" xfId="15254" builtinId="8" hidden="1"/>
    <cellStyle name="Lien hypertexte" xfId="15294" builtinId="8" hidden="1"/>
    <cellStyle name="Lien hypertexte" xfId="15330" builtinId="8" hidden="1"/>
    <cellStyle name="Lien hypertexte" xfId="15368" builtinId="8" hidden="1"/>
    <cellStyle name="Lien hypertexte" xfId="15406" builtinId="8" hidden="1"/>
    <cellStyle name="Lien hypertexte" xfId="15444" builtinId="8" hidden="1"/>
    <cellStyle name="Lien hypertexte" xfId="15482" builtinId="8" hidden="1"/>
    <cellStyle name="Lien hypertexte" xfId="15518" builtinId="8" hidden="1"/>
    <cellStyle name="Lien hypertexte" xfId="15558" builtinId="8" hidden="1"/>
    <cellStyle name="Lien hypertexte" xfId="15594" builtinId="8" hidden="1"/>
    <cellStyle name="Lien hypertexte" xfId="15632" builtinId="8" hidden="1"/>
    <cellStyle name="Lien hypertexte" xfId="15672" builtinId="8" hidden="1"/>
    <cellStyle name="Lien hypertexte" xfId="15708" builtinId="8" hidden="1"/>
    <cellStyle name="Lien hypertexte" xfId="15746" builtinId="8" hidden="1"/>
    <cellStyle name="Lien hypertexte" xfId="15782" builtinId="8" hidden="1"/>
    <cellStyle name="Lien hypertexte" xfId="15822" builtinId="8" hidden="1"/>
    <cellStyle name="Lien hypertexte" xfId="15860" builtinId="8" hidden="1"/>
    <cellStyle name="Lien hypertexte" xfId="15896" builtinId="8" hidden="1"/>
    <cellStyle name="Lien hypertexte" xfId="15920" builtinId="8" hidden="1"/>
    <cellStyle name="Lien hypertexte" xfId="14768" builtinId="8" hidden="1"/>
    <cellStyle name="Lien hypertexte" xfId="682" builtinId="8" hidden="1"/>
    <cellStyle name="Lien hypertexte" xfId="720" builtinId="8" hidden="1"/>
    <cellStyle name="Lien hypertexte" xfId="758" builtinId="8" hidden="1"/>
    <cellStyle name="Lien hypertexte" xfId="794" builtinId="8" hidden="1"/>
    <cellStyle name="Lien hypertexte" xfId="830" builtinId="8" hidden="1"/>
    <cellStyle name="Lien hypertexte" xfId="870" builtinId="8" hidden="1"/>
    <cellStyle name="Lien hypertexte" xfId="906" builtinId="8" hidden="1"/>
    <cellStyle name="Lien hypertexte" xfId="942" builtinId="8" hidden="1"/>
    <cellStyle name="Lien hypertexte" xfId="980" builtinId="8" hidden="1"/>
    <cellStyle name="Lien hypertexte" xfId="1018" builtinId="8" hidden="1"/>
    <cellStyle name="Lien hypertexte" xfId="1054" builtinId="8" hidden="1"/>
    <cellStyle name="Lien hypertexte" xfId="1090" builtinId="8" hidden="1"/>
    <cellStyle name="Lien hypertexte" xfId="1130" builtinId="8" hidden="1"/>
    <cellStyle name="Lien hypertexte" xfId="14520" builtinId="8" hidden="1"/>
    <cellStyle name="Lien hypertexte" xfId="14556" builtinId="8" hidden="1"/>
    <cellStyle name="Lien hypertexte" xfId="14594" builtinId="8" hidden="1"/>
    <cellStyle name="Lien hypertexte" xfId="966" builtinId="8" hidden="1"/>
    <cellStyle name="Lien hypertexte" xfId="378" builtinId="8" hidden="1"/>
    <cellStyle name="Lien hypertexte" xfId="414" builtinId="8" hidden="1"/>
    <cellStyle name="Lien hypertexte" xfId="452" builtinId="8" hidden="1"/>
    <cellStyle name="Lien hypertexte" xfId="490" builtinId="8" hidden="1"/>
    <cellStyle name="Lien hypertexte" xfId="526" builtinId="8" hidden="1"/>
    <cellStyle name="Lien hypertexte" xfId="562" builtinId="8" hidden="1"/>
    <cellStyle name="Lien hypertexte" xfId="600" builtinId="8" hidden="1"/>
    <cellStyle name="Lien hypertexte" xfId="636" builtinId="8" hidden="1"/>
    <cellStyle name="Lien hypertexte" xfId="216" builtinId="8" hidden="1"/>
    <cellStyle name="Lien hypertexte" xfId="254" builtinId="8" hidden="1"/>
    <cellStyle name="Lien hypertexte" xfId="290" builtinId="8" hidden="1"/>
    <cellStyle name="Lien hypertexte" xfId="326" builtinId="8" hidden="1"/>
    <cellStyle name="Lien hypertexte" xfId="138" builtinId="8" hidden="1"/>
    <cellStyle name="Lien hypertexte" xfId="176" builtinId="8" hidden="1"/>
    <cellStyle name="Lien hypertexte" xfId="100" builtinId="8" hidden="1"/>
    <cellStyle name="Lien hypertexte" xfId="80" builtinId="8" hidden="1"/>
    <cellStyle name="Lien hypertexte" xfId="172" builtinId="8" hidden="1"/>
    <cellStyle name="Lien hypertexte" xfId="596" builtinId="8" hidden="1"/>
    <cellStyle name="Lien hypertexte" xfId="14576" builtinId="8" hidden="1"/>
    <cellStyle name="Lien hypertexte" xfId="1014" builtinId="8" hidden="1"/>
    <cellStyle name="Lien hypertexte" xfId="754" builtinId="8" hidden="1"/>
    <cellStyle name="Lien hypertexte" xfId="15818" builtinId="8" hidden="1"/>
    <cellStyle name="Lien hypertexte" xfId="15554" builtinId="8" hidden="1"/>
    <cellStyle name="Lien hypertexte" xfId="15290" builtinId="8" hidden="1"/>
    <cellStyle name="Lien hypertexte" xfId="15026" builtinId="8" hidden="1"/>
    <cellStyle name="Lien hypertexte" xfId="14760" builtinId="8" hidden="1"/>
    <cellStyle name="Lien hypertexte" xfId="17968" builtinId="8" hidden="1"/>
    <cellStyle name="Lien hypertexte" xfId="18631" builtinId="8" hidden="1"/>
    <cellStyle name="Lien hypertexte" xfId="18357" builtinId="8" hidden="1"/>
    <cellStyle name="Lien hypertexte" xfId="18068" builtinId="8" hidden="1"/>
    <cellStyle name="Lien hypertexte" xfId="17794" builtinId="8" hidden="1"/>
    <cellStyle name="Lien hypertexte" xfId="17522" builtinId="8" hidden="1"/>
    <cellStyle name="Lien hypertexte" xfId="17248" builtinId="8" hidden="1"/>
    <cellStyle name="Lien hypertexte" xfId="16974" builtinId="8" hidden="1"/>
    <cellStyle name="Lien hypertexte" xfId="16702" builtinId="8" hidden="1"/>
    <cellStyle name="Lien hypertexte" xfId="16428" builtinId="8" hidden="1"/>
    <cellStyle name="Lien hypertexte" xfId="16156" builtinId="8" hidden="1"/>
    <cellStyle name="Lien hypertexte" xfId="19233" builtinId="8" hidden="1"/>
    <cellStyle name="Lien hypertexte" xfId="21281" builtinId="8" hidden="1"/>
    <cellStyle name="Lien hypertexte" xfId="21773" builtinId="8" hidden="1"/>
    <cellStyle name="Lien hypertexte" xfId="21813" builtinId="8" hidden="1"/>
    <cellStyle name="Lien hypertexte" xfId="21851" builtinId="8" hidden="1"/>
    <cellStyle name="Lien hypertexte" xfId="21891" builtinId="8" hidden="1"/>
    <cellStyle name="Lien hypertexte" xfId="21929" builtinId="8" hidden="1"/>
    <cellStyle name="Lien hypertexte" xfId="21967" builtinId="8" hidden="1"/>
    <cellStyle name="Lien hypertexte" xfId="22007" builtinId="8" hidden="1"/>
    <cellStyle name="Lien hypertexte" xfId="22045" builtinId="8" hidden="1"/>
    <cellStyle name="Lien hypertexte" xfId="22085" builtinId="8" hidden="1"/>
    <cellStyle name="Lien hypertexte" xfId="22123" builtinId="8" hidden="1"/>
    <cellStyle name="Lien hypertexte" xfId="22165" builtinId="8" hidden="1"/>
    <cellStyle name="Lien hypertexte" xfId="22203" builtinId="8" hidden="1"/>
    <cellStyle name="Lien hypertexte" xfId="22243" builtinId="8" hidden="1"/>
    <cellStyle name="Lien hypertexte" xfId="22281" builtinId="8" hidden="1"/>
    <cellStyle name="Lien hypertexte" xfId="22319" builtinId="8" hidden="1"/>
    <cellStyle name="Lien hypertexte" xfId="22359" builtinId="8" hidden="1"/>
    <cellStyle name="Lien hypertexte" xfId="22397" builtinId="8" hidden="1"/>
    <cellStyle name="Lien hypertexte" xfId="22437" builtinId="8" hidden="1"/>
    <cellStyle name="Lien hypertexte" xfId="22475" builtinId="8" hidden="1"/>
    <cellStyle name="Lien hypertexte" xfId="22515" builtinId="8" hidden="1"/>
    <cellStyle name="Lien hypertexte" xfId="22553" builtinId="8" hidden="1"/>
    <cellStyle name="Lien hypertexte" xfId="22591" builtinId="8" hidden="1"/>
    <cellStyle name="Lien hypertexte" xfId="22631" builtinId="8" hidden="1"/>
    <cellStyle name="Lien hypertexte" xfId="22669" builtinId="8" hidden="1"/>
    <cellStyle name="Lien hypertexte" xfId="22709" builtinId="8" hidden="1"/>
    <cellStyle name="Lien hypertexte" xfId="22749" builtinId="8" hidden="1"/>
    <cellStyle name="Lien hypertexte" xfId="22789" builtinId="8" hidden="1"/>
    <cellStyle name="Lien hypertexte" xfId="22827" builtinId="8" hidden="1"/>
    <cellStyle name="Lien hypertexte" xfId="22867" builtinId="8" hidden="1"/>
    <cellStyle name="Lien hypertexte" xfId="22905" builtinId="8" hidden="1"/>
    <cellStyle name="Lien hypertexte" xfId="22943" builtinId="8" hidden="1"/>
    <cellStyle name="Lien hypertexte" xfId="22983" builtinId="8" hidden="1"/>
    <cellStyle name="Lien hypertexte" xfId="23021" builtinId="8" hidden="1"/>
    <cellStyle name="Lien hypertexte" xfId="23061" builtinId="8" hidden="1"/>
    <cellStyle name="Lien hypertexte" xfId="23099" builtinId="8" hidden="1"/>
    <cellStyle name="Lien hypertexte" xfId="23139" builtinId="8" hidden="1"/>
    <cellStyle name="Lien hypertexte" xfId="23177" builtinId="8" hidden="1"/>
    <cellStyle name="Lien hypertexte" xfId="23215" builtinId="8" hidden="1"/>
    <cellStyle name="Lien hypertexte" xfId="23255" builtinId="8" hidden="1"/>
    <cellStyle name="Lien hypertexte" xfId="23293" builtinId="8" hidden="1"/>
    <cellStyle name="Lien hypertexte" xfId="23335" builtinId="8" hidden="1"/>
    <cellStyle name="Lien hypertexte" xfId="23373" builtinId="8" hidden="1"/>
    <cellStyle name="Lien hypertexte" xfId="23413" builtinId="8" hidden="1"/>
    <cellStyle name="Lien hypertexte" xfId="23451" builtinId="8" hidden="1"/>
    <cellStyle name="Lien hypertexte" xfId="23491" builtinId="8" hidden="1"/>
    <cellStyle name="Lien hypertexte" xfId="23529" builtinId="8" hidden="1"/>
    <cellStyle name="Lien hypertexte" xfId="23567" builtinId="8" hidden="1"/>
    <cellStyle name="Lien hypertexte" xfId="23607" builtinId="8" hidden="1"/>
    <cellStyle name="Lien hypertexte" xfId="23645" builtinId="8" hidden="1"/>
    <cellStyle name="Lien hypertexte" xfId="23685" builtinId="8" hidden="1"/>
    <cellStyle name="Lien hypertexte" xfId="23723" builtinId="8" hidden="1"/>
    <cellStyle name="Lien hypertexte" xfId="23763" builtinId="8" hidden="1"/>
    <cellStyle name="Lien hypertexte" xfId="23801" builtinId="8" hidden="1"/>
    <cellStyle name="Lien hypertexte" xfId="23839" builtinId="8" hidden="1"/>
    <cellStyle name="Lien hypertexte" xfId="23879" builtinId="8" hidden="1"/>
    <cellStyle name="Lien hypertexte" xfId="23919" builtinId="8" hidden="1"/>
    <cellStyle name="Lien hypertexte" xfId="23959" builtinId="8" hidden="1"/>
    <cellStyle name="Lien hypertexte" xfId="23997" builtinId="8" hidden="1"/>
    <cellStyle name="Lien hypertexte" xfId="24037" builtinId="8" hidden="1"/>
    <cellStyle name="Lien hypertexte" xfId="24075" builtinId="8" hidden="1"/>
    <cellStyle name="Lien hypertexte" xfId="24115" builtinId="8" hidden="1"/>
    <cellStyle name="Lien hypertexte" xfId="24153" builtinId="8" hidden="1"/>
    <cellStyle name="Lien hypertexte" xfId="24191" builtinId="8" hidden="1"/>
    <cellStyle name="Lien hypertexte" xfId="24231" builtinId="8" hidden="1"/>
    <cellStyle name="Lien hypertexte" xfId="24269" builtinId="8" hidden="1"/>
    <cellStyle name="Lien hypertexte" xfId="24309" builtinId="8" hidden="1"/>
    <cellStyle name="Lien hypertexte" xfId="24347" builtinId="8" hidden="1"/>
    <cellStyle name="Lien hypertexte" xfId="24387" builtinId="8" hidden="1"/>
    <cellStyle name="Lien hypertexte" xfId="24425" builtinId="8" hidden="1"/>
    <cellStyle name="Lien hypertexte" xfId="24463" builtinId="8" hidden="1"/>
    <cellStyle name="Lien hypertexte" xfId="24505" builtinId="8" hidden="1"/>
    <cellStyle name="Lien hypertexte" xfId="24543" builtinId="8" hidden="1"/>
    <cellStyle name="Lien hypertexte" xfId="24583" builtinId="8" hidden="1"/>
    <cellStyle name="Lien hypertexte" xfId="24545" builtinId="8" hidden="1"/>
    <cellStyle name="Lien hypertexte" xfId="24273" builtinId="8" hidden="1"/>
    <cellStyle name="Lien hypertexte" xfId="24001" builtinId="8" hidden="1"/>
    <cellStyle name="Lien hypertexte" xfId="23729" builtinId="8" hidden="1"/>
    <cellStyle name="Lien hypertexte" xfId="23457" builtinId="8" hidden="1"/>
    <cellStyle name="Lien hypertexte" xfId="23185" builtinId="8" hidden="1"/>
    <cellStyle name="Lien hypertexte" xfId="22913" builtinId="8" hidden="1"/>
    <cellStyle name="Lien hypertexte" xfId="22641" builtinId="8" hidden="1"/>
    <cellStyle name="Lien hypertexte" xfId="22369" builtinId="8" hidden="1"/>
    <cellStyle name="Lien hypertexte" xfId="22097" builtinId="8" hidden="1"/>
    <cellStyle name="Lien hypertexte" xfId="21825" builtinId="8" hidden="1"/>
    <cellStyle name="Lien hypertexte" xfId="21793" builtinId="8" hidden="1"/>
    <cellStyle name="Lien hypertexte" xfId="24429" builtinId="8" hidden="1"/>
    <cellStyle name="Lien hypertexte" xfId="23845" builtinId="8" hidden="1"/>
    <cellStyle name="Lien hypertexte" xfId="23259" builtinId="8" hidden="1"/>
    <cellStyle name="Lien hypertexte" xfId="22675" builtinId="8" hidden="1"/>
    <cellStyle name="Lien hypertexte" xfId="22089" builtinId="8" hidden="1"/>
    <cellStyle name="Lien hypertexte" xfId="20263" builtinId="8" hidden="1"/>
    <cellStyle name="Lien hypertexte" xfId="20299" builtinId="8" hidden="1"/>
    <cellStyle name="Lien hypertexte" xfId="20339" builtinId="8" hidden="1"/>
    <cellStyle name="Lien hypertexte" xfId="20375" builtinId="8" hidden="1"/>
    <cellStyle name="Lien hypertexte" xfId="20413" builtinId="8" hidden="1"/>
    <cellStyle name="Lien hypertexte" xfId="20451" builtinId="8" hidden="1"/>
    <cellStyle name="Lien hypertexte" xfId="20489" builtinId="8" hidden="1"/>
    <cellStyle name="Lien hypertexte" xfId="20525" builtinId="8" hidden="1"/>
    <cellStyle name="Lien hypertexte" xfId="20565" builtinId="8" hidden="1"/>
    <cellStyle name="Lien hypertexte" xfId="20601" builtinId="8" hidden="1"/>
    <cellStyle name="Lien hypertexte" xfId="20639" builtinId="8" hidden="1"/>
    <cellStyle name="Lien hypertexte" xfId="20677" builtinId="8" hidden="1"/>
    <cellStyle name="Lien hypertexte" xfId="20715" builtinId="8" hidden="1"/>
    <cellStyle name="Lien hypertexte" xfId="20751" builtinId="8" hidden="1"/>
    <cellStyle name="Lien hypertexte" xfId="20791" builtinId="8" hidden="1"/>
    <cellStyle name="Lien hypertexte" xfId="20827" builtinId="8" hidden="1"/>
    <cellStyle name="Lien hypertexte" xfId="20867" builtinId="8" hidden="1"/>
    <cellStyle name="Lien hypertexte" xfId="20903" builtinId="8" hidden="1"/>
    <cellStyle name="Lien hypertexte" xfId="20941" builtinId="8" hidden="1"/>
    <cellStyle name="Lien hypertexte" xfId="20979" builtinId="8" hidden="1"/>
    <cellStyle name="Lien hypertexte" xfId="21017" builtinId="8" hidden="1"/>
    <cellStyle name="Lien hypertexte" xfId="21053" builtinId="8" hidden="1"/>
    <cellStyle name="Lien hypertexte" xfId="21093" builtinId="8" hidden="1"/>
    <cellStyle name="Lien hypertexte" xfId="21129" builtinId="8" hidden="1"/>
    <cellStyle name="Lien hypertexte" xfId="21167" builtinId="8" hidden="1"/>
    <cellStyle name="Lien hypertexte" xfId="21205" builtinId="8" hidden="1"/>
    <cellStyle name="Lien hypertexte" xfId="21243" builtinId="8" hidden="1"/>
    <cellStyle name="Lien hypertexte" xfId="21279" builtinId="8" hidden="1"/>
    <cellStyle name="Lien hypertexte" xfId="21319" builtinId="8" hidden="1"/>
    <cellStyle name="Lien hypertexte" xfId="21355" builtinId="8" hidden="1"/>
    <cellStyle name="Lien hypertexte" xfId="21395" builtinId="8" hidden="1"/>
    <cellStyle name="Lien hypertexte" xfId="21433" builtinId="8" hidden="1"/>
    <cellStyle name="Lien hypertexte" xfId="21469" builtinId="8" hidden="1"/>
    <cellStyle name="Lien hypertexte" xfId="21509" builtinId="8" hidden="1"/>
    <cellStyle name="Lien hypertexte" xfId="21545" builtinId="8" hidden="1"/>
    <cellStyle name="Lien hypertexte" xfId="21583" builtinId="8" hidden="1"/>
    <cellStyle name="Lien hypertexte" xfId="21621" builtinId="8" hidden="1"/>
    <cellStyle name="Lien hypertexte" xfId="21659" builtinId="8" hidden="1"/>
    <cellStyle name="Lien hypertexte" xfId="21695" builtinId="8" hidden="1"/>
    <cellStyle name="Lien hypertexte" xfId="21735" builtinId="8" hidden="1"/>
    <cellStyle name="Lien hypertexte" xfId="20773" builtinId="8" hidden="1"/>
    <cellStyle name="Lien hypertexte" xfId="19555" builtinId="8" hidden="1"/>
    <cellStyle name="Lien hypertexte" xfId="19591" builtinId="8" hidden="1"/>
    <cellStyle name="Lien hypertexte" xfId="19629" builtinId="8" hidden="1"/>
    <cellStyle name="Lien hypertexte" xfId="19667" builtinId="8" hidden="1"/>
    <cellStyle name="Lien hypertexte" xfId="19703" builtinId="8" hidden="1"/>
    <cellStyle name="Lien hypertexte" xfId="19739" builtinId="8" hidden="1"/>
    <cellStyle name="Lien hypertexte" xfId="19779" builtinId="8" hidden="1"/>
    <cellStyle name="Lien hypertexte" xfId="19815" builtinId="8" hidden="1"/>
    <cellStyle name="Lien hypertexte" xfId="19851" builtinId="8" hidden="1"/>
    <cellStyle name="Lien hypertexte" xfId="19887" builtinId="8" hidden="1"/>
    <cellStyle name="Lien hypertexte" xfId="19927" builtinId="8" hidden="1"/>
    <cellStyle name="Lien hypertexte" xfId="19963" builtinId="8" hidden="1"/>
    <cellStyle name="Lien hypertexte" xfId="19999" builtinId="8" hidden="1"/>
    <cellStyle name="Lien hypertexte" xfId="20037" builtinId="8" hidden="1"/>
    <cellStyle name="Lien hypertexte" xfId="20075" builtinId="8" hidden="1"/>
    <cellStyle name="Lien hypertexte" xfId="20111" builtinId="8" hidden="1"/>
    <cellStyle name="Lien hypertexte" xfId="20149" builtinId="8" hidden="1"/>
    <cellStyle name="Lien hypertexte" xfId="20185" builtinId="8" hidden="1"/>
    <cellStyle name="Lien hypertexte" xfId="20223" builtinId="8" hidden="1"/>
    <cellStyle name="Lien hypertexte" xfId="19191" builtinId="8" hidden="1"/>
    <cellStyle name="Lien hypertexte" xfId="19227" builtinId="8" hidden="1"/>
    <cellStyle name="Lien hypertexte" xfId="19263" builtinId="8" hidden="1"/>
    <cellStyle name="Lien hypertexte" xfId="19301" builtinId="8" hidden="1"/>
    <cellStyle name="Lien hypertexte" xfId="19339" builtinId="8" hidden="1"/>
    <cellStyle name="Lien hypertexte" xfId="19375" builtinId="8" hidden="1"/>
    <cellStyle name="Lien hypertexte" xfId="19413" builtinId="8" hidden="1"/>
    <cellStyle name="Lien hypertexte" xfId="19449" builtinId="8" hidden="1"/>
    <cellStyle name="Lien hypertexte" xfId="19485" builtinId="8" hidden="1"/>
    <cellStyle name="Lien hypertexte" xfId="19523" builtinId="8" hidden="1"/>
    <cellStyle name="Lien hypertexte" xfId="19037" builtinId="8" hidden="1"/>
    <cellStyle name="Lien hypertexte" xfId="19075" builtinId="8" hidden="1"/>
    <cellStyle name="Lien hypertexte" xfId="19111" builtinId="8" hidden="1"/>
    <cellStyle name="Lien hypertexte" xfId="19147" builtinId="8" hidden="1"/>
    <cellStyle name="Lien hypertexte" xfId="19183" builtinId="8" hidden="1"/>
    <cellStyle name="Lien hypertexte" xfId="18965" builtinId="8" hidden="1"/>
    <cellStyle name="Lien hypertexte" xfId="19001" builtinId="8" hidden="1"/>
    <cellStyle name="Lien hypertexte" xfId="18909" builtinId="8" hidden="1"/>
    <cellStyle name="Lien hypertexte" xfId="18883" builtinId="8" hidden="1"/>
    <cellStyle name="Lien hypertexte" xfId="18867" builtinId="8" hidden="1"/>
    <cellStyle name="Lien hypertexte" xfId="18925" builtinId="8" hidden="1"/>
    <cellStyle name="Lien hypertexte" xfId="18889" builtinId="8" hidden="1"/>
    <cellStyle name="Lien hypertexte" xfId="18981" builtinId="8" hidden="1"/>
    <cellStyle name="Lien hypertexte" xfId="18943" builtinId="8" hidden="1"/>
    <cellStyle name="Lien hypertexte" xfId="19163" builtinId="8" hidden="1"/>
    <cellStyle name="Lien hypertexte" xfId="19127" builtinId="8" hidden="1"/>
    <cellStyle name="Lien hypertexte" xfId="19091" builtinId="8" hidden="1"/>
    <cellStyle name="Lien hypertexte" xfId="19053" builtinId="8" hidden="1"/>
    <cellStyle name="Lien hypertexte" xfId="19017" builtinId="8" hidden="1"/>
    <cellStyle name="Lien hypertexte" xfId="19501" builtinId="8" hidden="1"/>
    <cellStyle name="Lien hypertexte" xfId="19465" builtinId="8" hidden="1"/>
    <cellStyle name="Lien hypertexte" xfId="19429" builtinId="8" hidden="1"/>
    <cellStyle name="Lien hypertexte" xfId="19391" builtinId="8" hidden="1"/>
    <cellStyle name="Lien hypertexte" xfId="19355" builtinId="8" hidden="1"/>
    <cellStyle name="Lien hypertexte" xfId="19319" builtinId="8" hidden="1"/>
    <cellStyle name="Lien hypertexte" xfId="19279" builtinId="8" hidden="1"/>
    <cellStyle name="Lien hypertexte" xfId="19243" builtinId="8" hidden="1"/>
    <cellStyle name="Lien hypertexte" xfId="19207" builtinId="8" hidden="1"/>
    <cellStyle name="Lien hypertexte" xfId="20239" builtinId="8" hidden="1"/>
    <cellStyle name="Lien hypertexte" xfId="20203" builtinId="8" hidden="1"/>
    <cellStyle name="Lien hypertexte" xfId="20165" builtinId="8" hidden="1"/>
    <cellStyle name="Lien hypertexte" xfId="20127" builtinId="8" hidden="1"/>
    <cellStyle name="Lien hypertexte" xfId="20091" builtinId="8" hidden="1"/>
    <cellStyle name="Lien hypertexte" xfId="20055" builtinId="8" hidden="1"/>
    <cellStyle name="Lien hypertexte" xfId="20015" builtinId="8" hidden="1"/>
    <cellStyle name="Lien hypertexte" xfId="19979" builtinId="8" hidden="1"/>
    <cellStyle name="Lien hypertexte" xfId="19943" builtinId="8" hidden="1"/>
    <cellStyle name="Lien hypertexte" xfId="19907" builtinId="8" hidden="1"/>
    <cellStyle name="Lien hypertexte" xfId="19867" builtinId="8" hidden="1"/>
    <cellStyle name="Lien hypertexte" xfId="19831" builtinId="8" hidden="1"/>
    <cellStyle name="Lien hypertexte" xfId="19795" builtinId="8" hidden="1"/>
    <cellStyle name="Lien hypertexte" xfId="19757" builtinId="8" hidden="1"/>
    <cellStyle name="Lien hypertexte" xfId="19719" builtinId="8" hidden="1"/>
    <cellStyle name="Lien hypertexte" xfId="19683" builtinId="8" hidden="1"/>
    <cellStyle name="Lien hypertexte" xfId="19645" builtinId="8" hidden="1"/>
    <cellStyle name="Lien hypertexte" xfId="19609" builtinId="8" hidden="1"/>
    <cellStyle name="Lien hypertexte" xfId="19571" builtinId="8" hidden="1"/>
    <cellStyle name="Lien hypertexte" xfId="20261" builtinId="8" hidden="1"/>
    <cellStyle name="Lien hypertexte" xfId="21431" builtinId="8" hidden="1"/>
    <cellStyle name="Lien hypertexte" xfId="21711" builtinId="8" hidden="1"/>
    <cellStyle name="Lien hypertexte" xfId="21675" builtinId="8" hidden="1"/>
    <cellStyle name="Lien hypertexte" xfId="21637" builtinId="8" hidden="1"/>
    <cellStyle name="Lien hypertexte" xfId="21599" builtinId="8" hidden="1"/>
    <cellStyle name="Lien hypertexte" xfId="21561" builtinId="8" hidden="1"/>
    <cellStyle name="Lien hypertexte" xfId="21525" builtinId="8" hidden="1"/>
    <cellStyle name="Lien hypertexte" xfId="21485" builtinId="8" hidden="1"/>
    <cellStyle name="Lien hypertexte" xfId="21449" builtinId="8" hidden="1"/>
    <cellStyle name="Lien hypertexte" xfId="21411" builtinId="8" hidden="1"/>
    <cellStyle name="Lien hypertexte" xfId="21373" builtinId="8" hidden="1"/>
    <cellStyle name="Lien hypertexte" xfId="21335" builtinId="8" hidden="1"/>
    <cellStyle name="Lien hypertexte" xfId="21299" builtinId="8" hidden="1"/>
    <cellStyle name="Lien hypertexte" xfId="21259" builtinId="8" hidden="1"/>
    <cellStyle name="Lien hypertexte" xfId="21223" builtinId="8" hidden="1"/>
    <cellStyle name="Lien hypertexte" xfId="21183" builtinId="8" hidden="1"/>
    <cellStyle name="Lien hypertexte" xfId="21147" builtinId="8" hidden="1"/>
    <cellStyle name="Lien hypertexte" xfId="21109" builtinId="8" hidden="1"/>
    <cellStyle name="Lien hypertexte" xfId="21071" builtinId="8" hidden="1"/>
    <cellStyle name="Lien hypertexte" xfId="21033" builtinId="8" hidden="1"/>
    <cellStyle name="Lien hypertexte" xfId="20997" builtinId="8" hidden="1"/>
    <cellStyle name="Lien hypertexte" xfId="20957" builtinId="8" hidden="1"/>
    <cellStyle name="Lien hypertexte" xfId="20921" builtinId="8" hidden="1"/>
    <cellStyle name="Lien hypertexte" xfId="20883" builtinId="8" hidden="1"/>
    <cellStyle name="Lien hypertexte" xfId="20843" builtinId="8" hidden="1"/>
    <cellStyle name="Lien hypertexte" xfId="20807" builtinId="8" hidden="1"/>
    <cellStyle name="Lien hypertexte" xfId="20767" builtinId="8" hidden="1"/>
    <cellStyle name="Lien hypertexte" xfId="20731" builtinId="8" hidden="1"/>
    <cellStyle name="Lien hypertexte" xfId="20693" builtinId="8" hidden="1"/>
    <cellStyle name="Lien hypertexte" xfId="20655" builtinId="8" hidden="1"/>
    <cellStyle name="Lien hypertexte" xfId="20617" builtinId="8" hidden="1"/>
    <cellStyle name="Lien hypertexte" xfId="20581" builtinId="8" hidden="1"/>
    <cellStyle name="Lien hypertexte" xfId="20541" builtinId="8" hidden="1"/>
    <cellStyle name="Lien hypertexte" xfId="20505" builtinId="8" hidden="1"/>
    <cellStyle name="Lien hypertexte" xfId="20467" builtinId="8" hidden="1"/>
    <cellStyle name="Lien hypertexte" xfId="20429" builtinId="8" hidden="1"/>
    <cellStyle name="Lien hypertexte" xfId="20391" builtinId="8" hidden="1"/>
    <cellStyle name="Lien hypertexte" xfId="20355" builtinId="8" hidden="1"/>
    <cellStyle name="Lien hypertexte" xfId="20315" builtinId="8" hidden="1"/>
    <cellStyle name="Lien hypertexte" xfId="20279" builtinId="8" hidden="1"/>
    <cellStyle name="Lien hypertexte" xfId="21833" builtinId="8" hidden="1"/>
    <cellStyle name="Lien hypertexte" xfId="22419" builtinId="8" hidden="1"/>
    <cellStyle name="Lien hypertexte" xfId="23003" builtinId="8" hidden="1"/>
    <cellStyle name="Lien hypertexte" xfId="23589" builtinId="8" hidden="1"/>
    <cellStyle name="Lien hypertexte" xfId="24173" builtinId="8" hidden="1"/>
    <cellStyle name="Lien hypertexte" xfId="23585" builtinId="8" hidden="1"/>
    <cellStyle name="Lien hypertexte" xfId="21697" builtinId="8" hidden="1"/>
    <cellStyle name="Lien hypertexte" xfId="21969" builtinId="8" hidden="1"/>
    <cellStyle name="Lien hypertexte" xfId="22241" builtinId="8" hidden="1"/>
    <cellStyle name="Lien hypertexte" xfId="22513" builtinId="8" hidden="1"/>
    <cellStyle name="Lien hypertexte" xfId="22785" builtinId="8" hidden="1"/>
    <cellStyle name="Lien hypertexte" xfId="23057" builtinId="8" hidden="1"/>
    <cellStyle name="Lien hypertexte" xfId="23345" builtinId="8" hidden="1"/>
    <cellStyle name="Lien hypertexte" xfId="23617" builtinId="8" hidden="1"/>
    <cellStyle name="Lien hypertexte" xfId="23889" builtinId="8" hidden="1"/>
    <cellStyle name="Lien hypertexte" xfId="24161" builtinId="8" hidden="1"/>
    <cellStyle name="Lien hypertexte" xfId="24433" builtinId="8" hidden="1"/>
    <cellStyle name="Lien hypertexte" xfId="24599" builtinId="8" hidden="1"/>
    <cellStyle name="Lien hypertexte" xfId="24559" builtinId="8" hidden="1"/>
    <cellStyle name="Lien hypertexte" xfId="24521" builtinId="8" hidden="1"/>
    <cellStyle name="Lien hypertexte" xfId="24483" builtinId="8" hidden="1"/>
    <cellStyle name="Lien hypertexte" xfId="24443" builtinId="8" hidden="1"/>
    <cellStyle name="Lien hypertexte" xfId="24405" builtinId="8" hidden="1"/>
    <cellStyle name="Lien hypertexte" xfId="24365" builtinId="8" hidden="1"/>
    <cellStyle name="Lien hypertexte" xfId="24327" builtinId="8" hidden="1"/>
    <cellStyle name="Lien hypertexte" xfId="24287" builtinId="8" hidden="1"/>
    <cellStyle name="Lien hypertexte" xfId="24249" builtinId="8" hidden="1"/>
    <cellStyle name="Lien hypertexte" xfId="24207" builtinId="8" hidden="1"/>
    <cellStyle name="Lien hypertexte" xfId="24169" builtinId="8" hidden="1"/>
    <cellStyle name="Lien hypertexte" xfId="24131" builtinId="8" hidden="1"/>
    <cellStyle name="Lien hypertexte" xfId="24091" builtinId="8" hidden="1"/>
    <cellStyle name="Lien hypertexte" xfId="24053" builtinId="8" hidden="1"/>
    <cellStyle name="Lien hypertexte" xfId="24013" builtinId="8" hidden="1"/>
    <cellStyle name="Lien hypertexte" xfId="23975" builtinId="8" hidden="1"/>
    <cellStyle name="Lien hypertexte" xfId="23935" builtinId="8" hidden="1"/>
    <cellStyle name="Lien hypertexte" xfId="23897" builtinId="8" hidden="1"/>
    <cellStyle name="Lien hypertexte" xfId="23859" builtinId="8" hidden="1"/>
    <cellStyle name="Lien hypertexte" xfId="23819" builtinId="8" hidden="1"/>
    <cellStyle name="Lien hypertexte" xfId="23781" builtinId="8" hidden="1"/>
    <cellStyle name="Lien hypertexte" xfId="23741" builtinId="8" hidden="1"/>
    <cellStyle name="Lien hypertexte" xfId="23703" builtinId="8" hidden="1"/>
    <cellStyle name="Lien hypertexte" xfId="23663" builtinId="8" hidden="1"/>
    <cellStyle name="Lien hypertexte" xfId="23623" builtinId="8" hidden="1"/>
    <cellStyle name="Lien hypertexte" xfId="23583" builtinId="8" hidden="1"/>
    <cellStyle name="Lien hypertexte" xfId="23545" builtinId="8" hidden="1"/>
    <cellStyle name="Lien hypertexte" xfId="23507" builtinId="8" hidden="1"/>
    <cellStyle name="Lien hypertexte" xfId="23467" builtinId="8" hidden="1"/>
    <cellStyle name="Lien hypertexte" xfId="23429" builtinId="8" hidden="1"/>
    <cellStyle name="Lien hypertexte" xfId="23389" builtinId="8" hidden="1"/>
    <cellStyle name="Lien hypertexte" xfId="23351" builtinId="8" hidden="1"/>
    <cellStyle name="Lien hypertexte" xfId="23311" builtinId="8" hidden="1"/>
    <cellStyle name="Lien hypertexte" xfId="23273" builtinId="8" hidden="1"/>
    <cellStyle name="Lien hypertexte" xfId="23235" builtinId="8" hidden="1"/>
    <cellStyle name="Lien hypertexte" xfId="23195" builtinId="8" hidden="1"/>
    <cellStyle name="Lien hypertexte" xfId="23157" builtinId="8" hidden="1"/>
    <cellStyle name="Lien hypertexte" xfId="23117" builtinId="8" hidden="1"/>
    <cellStyle name="Lien hypertexte" xfId="23079" builtinId="8" hidden="1"/>
    <cellStyle name="Lien hypertexte" xfId="23037" builtinId="8" hidden="1"/>
    <cellStyle name="Lien hypertexte" xfId="22999" builtinId="8" hidden="1"/>
    <cellStyle name="Lien hypertexte" xfId="22959" builtinId="8" hidden="1"/>
    <cellStyle name="Lien hypertexte" xfId="22921" builtinId="8" hidden="1"/>
    <cellStyle name="Lien hypertexte" xfId="22883" builtinId="8" hidden="1"/>
    <cellStyle name="Lien hypertexte" xfId="22843" builtinId="8" hidden="1"/>
    <cellStyle name="Lien hypertexte" xfId="22805" builtinId="8" hidden="1"/>
    <cellStyle name="Lien hypertexte" xfId="22765" builtinId="8" hidden="1"/>
    <cellStyle name="Lien hypertexte" xfId="22727" builtinId="8" hidden="1"/>
    <cellStyle name="Lien hypertexte" xfId="22687" builtinId="8" hidden="1"/>
    <cellStyle name="Lien hypertexte" xfId="22649" builtinId="8" hidden="1"/>
    <cellStyle name="Lien hypertexte" xfId="22611" builtinId="8" hidden="1"/>
    <cellStyle name="Lien hypertexte" xfId="22571" builtinId="8" hidden="1"/>
    <cellStyle name="Lien hypertexte" xfId="22533" builtinId="8" hidden="1"/>
    <cellStyle name="Lien hypertexte" xfId="22493" builtinId="8" hidden="1"/>
    <cellStyle name="Lien hypertexte" xfId="22453" builtinId="8" hidden="1"/>
    <cellStyle name="Lien hypertexte" xfId="22413" builtinId="8" hidden="1"/>
    <cellStyle name="Lien hypertexte" xfId="22375" builtinId="8" hidden="1"/>
    <cellStyle name="Lien hypertexte" xfId="22335" builtinId="8" hidden="1"/>
    <cellStyle name="Lien hypertexte" xfId="22297" builtinId="8" hidden="1"/>
    <cellStyle name="Lien hypertexte" xfId="22259" builtinId="8" hidden="1"/>
    <cellStyle name="Lien hypertexte" xfId="22219" builtinId="8" hidden="1"/>
    <cellStyle name="Lien hypertexte" xfId="22181" builtinId="8" hidden="1"/>
    <cellStyle name="Lien hypertexte" xfId="22141" builtinId="8" hidden="1"/>
    <cellStyle name="Lien hypertexte" xfId="22103" builtinId="8" hidden="1"/>
    <cellStyle name="Lien hypertexte" xfId="22063" builtinId="8" hidden="1"/>
    <cellStyle name="Lien hypertexte" xfId="22025" builtinId="8" hidden="1"/>
    <cellStyle name="Lien hypertexte" xfId="21987" builtinId="8" hidden="1"/>
    <cellStyle name="Lien hypertexte" xfId="21947" builtinId="8" hidden="1"/>
    <cellStyle name="Lien hypertexte" xfId="21909" builtinId="8" hidden="1"/>
    <cellStyle name="Lien hypertexte" xfId="21867" builtinId="8" hidden="1"/>
    <cellStyle name="Lien hypertexte" xfId="21829" builtinId="8" hidden="1"/>
    <cellStyle name="Lien hypertexte" xfId="21789" builtinId="8" hidden="1"/>
    <cellStyle name="Lien hypertexte" xfId="21751" builtinId="8" hidden="1"/>
    <cellStyle name="Lien hypertexte" xfId="20129" builtinId="8" hidden="1"/>
    <cellStyle name="Lien hypertexte" xfId="16036" builtinId="8" hidden="1"/>
    <cellStyle name="Lien hypertexte" xfId="16310" builtinId="8" hidden="1"/>
    <cellStyle name="Lien hypertexte" xfId="16582" builtinId="8" hidden="1"/>
    <cellStyle name="Lien hypertexte" xfId="16856" builtinId="8" hidden="1"/>
    <cellStyle name="Lien hypertexte" xfId="17128" builtinId="8" hidden="1"/>
    <cellStyle name="Lien hypertexte" xfId="17402" builtinId="8" hidden="1"/>
    <cellStyle name="Lien hypertexte" xfId="17674" builtinId="8" hidden="1"/>
    <cellStyle name="Lien hypertexte" xfId="17948" builtinId="8" hidden="1"/>
    <cellStyle name="Lien hypertexte" xfId="18220" builtinId="8" hidden="1"/>
    <cellStyle name="Lien hypertexte" xfId="18511" builtinId="8" hidden="1"/>
    <cellStyle name="Lien hypertexte" xfId="18783" builtinId="8" hidden="1"/>
    <cellStyle name="Lien hypertexte" xfId="14646" builtinId="8" hidden="1"/>
    <cellStyle name="Lien hypertexte" xfId="14910" builtinId="8" hidden="1"/>
    <cellStyle name="Lien hypertexte" xfId="15174" builtinId="8" hidden="1"/>
    <cellStyle name="Lien hypertexte" xfId="15438" builtinId="8" hidden="1"/>
    <cellStyle name="Lien hypertexte" xfId="15702" builtinId="8" hidden="1"/>
    <cellStyle name="Lien hypertexte" xfId="14960" builtinId="8" hidden="1"/>
    <cellStyle name="Lien hypertexte" xfId="900" builtinId="8" hidden="1"/>
    <cellStyle name="Lien hypertexte" xfId="3695" builtinId="8" hidden="1"/>
    <cellStyle name="Lien hypertexte" xfId="484" builtinId="8" hidden="1"/>
    <cellStyle name="Lien hypertexte" xfId="284" builtinId="8" hidden="1"/>
    <cellStyle name="Lien hypertexte" xfId="54" builtinId="8" hidden="1"/>
    <cellStyle name="Lien hypertexte" xfId="116" builtinId="8" hidden="1"/>
    <cellStyle name="Lien hypertexte" xfId="192" builtinId="8" hidden="1"/>
    <cellStyle name="Lien hypertexte" xfId="154" builtinId="8" hidden="1"/>
    <cellStyle name="Lien hypertexte" xfId="342" builtinId="8" hidden="1"/>
    <cellStyle name="Lien hypertexte" xfId="306" builtinId="8" hidden="1"/>
    <cellStyle name="Lien hypertexte" xfId="270" builtinId="8" hidden="1"/>
    <cellStyle name="Lien hypertexte" xfId="232" builtinId="8" hidden="1"/>
    <cellStyle name="Lien hypertexte" xfId="454" builtinId="8" hidden="1"/>
    <cellStyle name="Lien hypertexte" xfId="616" builtinId="8" hidden="1"/>
    <cellStyle name="Lien hypertexte" xfId="578" builtinId="8" hidden="1"/>
    <cellStyle name="Lien hypertexte" xfId="542" builtinId="8" hidden="1"/>
    <cellStyle name="Lien hypertexte" xfId="506" builtinId="8" hidden="1"/>
    <cellStyle name="Lien hypertexte" xfId="470" builtinId="8" hidden="1"/>
    <cellStyle name="Lien hypertexte" xfId="430" builtinId="8" hidden="1"/>
    <cellStyle name="Lien hypertexte" xfId="394" builtinId="8" hidden="1"/>
    <cellStyle name="Lien hypertexte" xfId="358" builtinId="8" hidden="1"/>
    <cellStyle name="Lien hypertexte" xfId="14610" builtinId="8" hidden="1"/>
    <cellStyle name="Lien hypertexte" xfId="14572" builtinId="8" hidden="1"/>
    <cellStyle name="Lien hypertexte" xfId="14536" builtinId="8" hidden="1"/>
    <cellStyle name="Lien hypertexte" xfId="1146" builtinId="8" hidden="1"/>
    <cellStyle name="Lien hypertexte" xfId="1108" builtinId="8" hidden="1"/>
    <cellStyle name="Lien hypertexte" xfId="1070" builtinId="8" hidden="1"/>
    <cellStyle name="Lien hypertexte" xfId="1034" builtinId="8" hidden="1"/>
    <cellStyle name="Lien hypertexte" xfId="996" builtinId="8" hidden="1"/>
    <cellStyle name="Lien hypertexte" xfId="958" builtinId="8" hidden="1"/>
    <cellStyle name="Lien hypertexte" xfId="922" builtinId="8" hidden="1"/>
    <cellStyle name="Lien hypertexte" xfId="886" builtinId="8" hidden="1"/>
    <cellStyle name="Lien hypertexte" xfId="848" builtinId="8" hidden="1"/>
    <cellStyle name="Lien hypertexte" xfId="810" builtinId="8" hidden="1"/>
    <cellStyle name="Lien hypertexte" xfId="774" builtinId="8" hidden="1"/>
    <cellStyle name="Lien hypertexte" xfId="736" builtinId="8" hidden="1"/>
    <cellStyle name="Lien hypertexte" xfId="698" builtinId="8" hidden="1"/>
    <cellStyle name="Lien hypertexte" xfId="662" builtinId="8" hidden="1"/>
    <cellStyle name="Lien hypertexte" xfId="15408" builtinId="8" hidden="1"/>
    <cellStyle name="Lien hypertexte" xfId="15912" builtinId="8" hidden="1"/>
    <cellStyle name="Lien hypertexte" xfId="15876" builtinId="8" hidden="1"/>
    <cellStyle name="Lien hypertexte" xfId="15838" builtinId="8" hidden="1"/>
    <cellStyle name="Lien hypertexte" xfId="15800" builtinId="8" hidden="1"/>
    <cellStyle name="Lien hypertexte" xfId="15762" builtinId="8" hidden="1"/>
    <cellStyle name="Lien hypertexte" xfId="15724" builtinId="8" hidden="1"/>
    <cellStyle name="Lien hypertexte" xfId="15688" builtinId="8" hidden="1"/>
    <cellStyle name="Lien hypertexte" xfId="15648" builtinId="8" hidden="1"/>
    <cellStyle name="Lien hypertexte" xfId="15612" builtinId="8" hidden="1"/>
    <cellStyle name="Lien hypertexte" xfId="15574" builtinId="8" hidden="1"/>
    <cellStyle name="Lien hypertexte" xfId="15534" builtinId="8" hidden="1"/>
    <cellStyle name="Lien hypertexte" xfId="15498" builtinId="8" hidden="1"/>
    <cellStyle name="Lien hypertexte" xfId="15460" builtinId="8" hidden="1"/>
    <cellStyle name="Lien hypertexte" xfId="15424" builtinId="8" hidden="1"/>
    <cellStyle name="Lien hypertexte" xfId="15384" builtinId="8" hidden="1"/>
    <cellStyle name="Lien hypertexte" xfId="15348" builtinId="8" hidden="1"/>
    <cellStyle name="Lien hypertexte" xfId="15310" builtinId="8" hidden="1"/>
    <cellStyle name="Lien hypertexte" xfId="15270" builtinId="8" hidden="1"/>
    <cellStyle name="Lien hypertexte" xfId="15234" builtinId="8" hidden="1"/>
    <cellStyle name="Lien hypertexte" xfId="15196" builtinId="8" hidden="1"/>
    <cellStyle name="Lien hypertexte" xfId="15160" builtinId="8" hidden="1"/>
    <cellStyle name="Lien hypertexte" xfId="15120" builtinId="8" hidden="1"/>
    <cellStyle name="Lien hypertexte" xfId="15082" builtinId="8" hidden="1"/>
    <cellStyle name="Lien hypertexte" xfId="15046" builtinId="8" hidden="1"/>
    <cellStyle name="Lien hypertexte" xfId="15006" builtinId="8" hidden="1"/>
    <cellStyle name="Lien hypertexte" xfId="14970" builtinId="8" hidden="1"/>
    <cellStyle name="Lien hypertexte" xfId="14932" builtinId="8" hidden="1"/>
    <cellStyle name="Lien hypertexte" xfId="14894" builtinId="8" hidden="1"/>
    <cellStyle name="Lien hypertexte" xfId="14856" builtinId="8" hidden="1"/>
    <cellStyle name="Lien hypertexte" xfId="14818" builtinId="8" hidden="1"/>
    <cellStyle name="Lien hypertexte" xfId="14782" builtinId="8" hidden="1"/>
    <cellStyle name="Lien hypertexte" xfId="14742" builtinId="8" hidden="1"/>
    <cellStyle name="Lien hypertexte" xfId="14706" builtinId="8" hidden="1"/>
    <cellStyle name="Lien hypertexte" xfId="14668" builtinId="8" hidden="1"/>
    <cellStyle name="Lien hypertexte" xfId="14630" builtinId="8" hidden="1"/>
    <cellStyle name="Lien hypertexte" xfId="16496" builtinId="8" hidden="1"/>
    <cellStyle name="Lien hypertexte" xfId="17072" builtinId="8" hidden="1"/>
    <cellStyle name="Lien hypertexte" xfId="17648" builtinId="8" hidden="1"/>
    <cellStyle name="Lien hypertexte" xfId="18256" builtinId="8" hidden="1"/>
    <cellStyle name="Lien hypertexte" xfId="18845" builtinId="8" hidden="1"/>
    <cellStyle name="Lien hypertexte" xfId="18807" builtinId="8" hidden="1"/>
    <cellStyle name="Lien hypertexte" xfId="18769" builtinId="8" hidden="1"/>
    <cellStyle name="Lien hypertexte" xfId="18729" builtinId="8" hidden="1"/>
    <cellStyle name="Lien hypertexte" xfId="18691" builtinId="8" hidden="1"/>
    <cellStyle name="Lien hypertexte" xfId="18651" builtinId="8" hidden="1"/>
    <cellStyle name="Lien hypertexte" xfId="18611" builtinId="8" hidden="1"/>
    <cellStyle name="Lien hypertexte" xfId="18573" builtinId="8" hidden="1"/>
    <cellStyle name="Lien hypertexte" xfId="18535" builtinId="8" hidden="1"/>
    <cellStyle name="Lien hypertexte" xfId="18495" builtinId="8" hidden="1"/>
    <cellStyle name="Lien hypertexte" xfId="18455" builtinId="8" hidden="1"/>
    <cellStyle name="Lien hypertexte" xfId="18417" builtinId="8" hidden="1"/>
    <cellStyle name="Lien hypertexte" xfId="18379" builtinId="8" hidden="1"/>
    <cellStyle name="Lien hypertexte" xfId="18339" builtinId="8" hidden="1"/>
    <cellStyle name="Lien hypertexte" xfId="18282" builtinId="8" hidden="1"/>
    <cellStyle name="Lien hypertexte" xfId="18244" builtinId="8" hidden="1"/>
    <cellStyle name="Lien hypertexte" xfId="18206" builtinId="8" hidden="1"/>
    <cellStyle name="Lien hypertexte" xfId="18166" builtinId="8" hidden="1"/>
    <cellStyle name="Lien hypertexte" xfId="18126" builtinId="8" hidden="1"/>
    <cellStyle name="Lien hypertexte" xfId="18088" builtinId="8" hidden="1"/>
    <cellStyle name="Lien hypertexte" xfId="18048" builtinId="8" hidden="1"/>
    <cellStyle name="Lien hypertexte" xfId="18010" builtinId="8" hidden="1"/>
    <cellStyle name="Lien hypertexte" xfId="17972" builtinId="8" hidden="1"/>
    <cellStyle name="Lien hypertexte" xfId="17932" builtinId="8" hidden="1"/>
    <cellStyle name="Lien hypertexte" xfId="17892" builtinId="8" hidden="1"/>
    <cellStyle name="Lien hypertexte" xfId="17854" builtinId="8" hidden="1"/>
    <cellStyle name="Lien hypertexte" xfId="17816" builtinId="8" hidden="1"/>
    <cellStyle name="Lien hypertexte" xfId="17774" builtinId="8" hidden="1"/>
    <cellStyle name="Lien hypertexte" xfId="17736" builtinId="8" hidden="1"/>
    <cellStyle name="Lien hypertexte" xfId="17698" builtinId="8" hidden="1"/>
    <cellStyle name="Lien hypertexte" xfId="17660" builtinId="8" hidden="1"/>
    <cellStyle name="Lien hypertexte" xfId="17620" builtinId="8" hidden="1"/>
    <cellStyle name="Lien hypertexte" xfId="17580" builtinId="8" hidden="1"/>
    <cellStyle name="Lien hypertexte" xfId="17542" builtinId="8" hidden="1"/>
    <cellStyle name="Lien hypertexte" xfId="17502" builtinId="8" hidden="1"/>
    <cellStyle name="Lien hypertexte" xfId="17464" builtinId="8" hidden="1"/>
    <cellStyle name="Lien hypertexte" xfId="17426" builtinId="8" hidden="1"/>
    <cellStyle name="Lien hypertexte" xfId="17386" builtinId="8" hidden="1"/>
    <cellStyle name="Lien hypertexte" xfId="17346" builtinId="8" hidden="1"/>
    <cellStyle name="Lien hypertexte" xfId="17308" builtinId="8" hidden="1"/>
    <cellStyle name="Lien hypertexte" xfId="17270" builtinId="8" hidden="1"/>
    <cellStyle name="Lien hypertexte" xfId="17228" builtinId="8" hidden="1"/>
    <cellStyle name="Lien hypertexte" xfId="17190" builtinId="8" hidden="1"/>
    <cellStyle name="Lien hypertexte" xfId="17152" builtinId="8" hidden="1"/>
    <cellStyle name="Lien hypertexte" xfId="17114" builtinId="8" hidden="1"/>
    <cellStyle name="Lien hypertexte" xfId="17074" builtinId="8" hidden="1"/>
    <cellStyle name="Lien hypertexte" xfId="17034" builtinId="8" hidden="1"/>
    <cellStyle name="Lien hypertexte" xfId="16996" builtinId="8" hidden="1"/>
    <cellStyle name="Lien hypertexte" xfId="16956" builtinId="8" hidden="1"/>
    <cellStyle name="Lien hypertexte" xfId="16918" builtinId="8" hidden="1"/>
    <cellStyle name="Lien hypertexte" xfId="16878" builtinId="8" hidden="1"/>
    <cellStyle name="Lien hypertexte" xfId="16840" builtinId="8" hidden="1"/>
    <cellStyle name="Lien hypertexte" xfId="16800" builtinId="8" hidden="1"/>
    <cellStyle name="Lien hypertexte" xfId="16762" builtinId="8" hidden="1"/>
    <cellStyle name="Lien hypertexte" xfId="16724" builtinId="8" hidden="1"/>
    <cellStyle name="Lien hypertexte" xfId="16682" builtinId="8" hidden="1"/>
    <cellStyle name="Lien hypertexte" xfId="16644" builtinId="8" hidden="1"/>
    <cellStyle name="Lien hypertexte" xfId="16606" builtinId="8" hidden="1"/>
    <cellStyle name="Lien hypertexte" xfId="16568" builtinId="8" hidden="1"/>
    <cellStyle name="Lien hypertexte" xfId="16526" builtinId="8" hidden="1"/>
    <cellStyle name="Lien hypertexte" xfId="16488" builtinId="8" hidden="1"/>
    <cellStyle name="Lien hypertexte" xfId="16450" builtinId="8" hidden="1"/>
    <cellStyle name="Lien hypertexte" xfId="16410" builtinId="8" hidden="1"/>
    <cellStyle name="Lien hypertexte" xfId="16372" builtinId="8" hidden="1"/>
    <cellStyle name="Lien hypertexte" xfId="16332" builtinId="8" hidden="1"/>
    <cellStyle name="Lien hypertexte" xfId="16294" builtinId="8" hidden="1"/>
    <cellStyle name="Lien hypertexte" xfId="16254" builtinId="8" hidden="1"/>
    <cellStyle name="Lien hypertexte" xfId="16216" builtinId="8" hidden="1"/>
    <cellStyle name="Lien hypertexte" xfId="16178" builtinId="8" hidden="1"/>
    <cellStyle name="Lien hypertexte" xfId="16136" builtinId="8" hidden="1"/>
    <cellStyle name="Lien hypertexte" xfId="16098" builtinId="8" hidden="1"/>
    <cellStyle name="Lien hypertexte" xfId="16060" builtinId="8" hidden="1"/>
    <cellStyle name="Lien hypertexte" xfId="16022" builtinId="8" hidden="1"/>
    <cellStyle name="Lien hypertexte" xfId="15980" builtinId="8" hidden="1"/>
    <cellStyle name="Lien hypertexte" xfId="15942" builtinId="8" hidden="1"/>
    <cellStyle name="Lien hypertexte" xfId="19073" builtinId="8" hidden="1"/>
    <cellStyle name="Lien hypertexte" xfId="19377" builtinId="8" hidden="1"/>
    <cellStyle name="Lien hypertexte" xfId="19665" builtinId="8" hidden="1"/>
    <cellStyle name="Lien hypertexte" xfId="20353" builtinId="8" hidden="1"/>
    <cellStyle name="Lien hypertexte" xfId="20145" builtinId="8" hidden="1"/>
    <cellStyle name="Lien hypertexte" xfId="19953" builtinId="8" hidden="1"/>
    <cellStyle name="Lien hypertexte" xfId="19777" builtinId="8" hidden="1"/>
    <cellStyle name="Lien hypertexte" xfId="20033" builtinId="8" hidden="1"/>
    <cellStyle name="Lien hypertexte" xfId="20721" builtinId="8" hidden="1"/>
    <cellStyle name="Lien hypertexte" xfId="20577" builtinId="8" hidden="1"/>
    <cellStyle name="Lien hypertexte" xfId="20801" builtinId="8" hidden="1"/>
    <cellStyle name="Lien hypertexte" xfId="20865" builtinId="8" hidden="1"/>
    <cellStyle name="Lien hypertexte" xfId="20545" builtinId="8" hidden="1"/>
    <cellStyle name="Lien hypertexte" xfId="20689" builtinId="8" hidden="1"/>
    <cellStyle name="Lien hypertexte" xfId="20177" builtinId="8" hidden="1"/>
    <cellStyle name="Lien hypertexte" xfId="19697" builtinId="8" hidden="1"/>
    <cellStyle name="Lien hypertexte" xfId="19921" builtinId="8" hidden="1"/>
    <cellStyle name="Lien hypertexte" xfId="20097" builtinId="8" hidden="1"/>
    <cellStyle name="Lien hypertexte" xfId="20289" builtinId="8" hidden="1"/>
    <cellStyle name="Lien hypertexte" xfId="20497" builtinId="8" hidden="1"/>
    <cellStyle name="Lien hypertexte" xfId="19441" builtinId="8" hidden="1"/>
    <cellStyle name="Lien hypertexte" xfId="19153" builtinId="8" hidden="1"/>
    <cellStyle name="Lien hypertexte" xfId="18865" builtinId="8" hidden="1"/>
    <cellStyle name="Lien hypertexte" xfId="15972" builtinId="8" hidden="1"/>
    <cellStyle name="Lien hypertexte" xfId="16010" builtinId="8" hidden="1"/>
    <cellStyle name="Lien hypertexte" xfId="16050" builtinId="8" hidden="1"/>
    <cellStyle name="Lien hypertexte" xfId="16090" builtinId="8" hidden="1"/>
    <cellStyle name="Lien hypertexte" xfId="16128" builtinId="8" hidden="1"/>
    <cellStyle name="Lien hypertexte" xfId="16166" builtinId="8" hidden="1"/>
    <cellStyle name="Lien hypertexte" xfId="16204" builtinId="8" hidden="1"/>
    <cellStyle name="Lien hypertexte" xfId="16246" builtinId="8" hidden="1"/>
    <cellStyle name="Lien hypertexte" xfId="16284" builtinId="8" hidden="1"/>
    <cellStyle name="Lien hypertexte" xfId="16322" builtinId="8" hidden="1"/>
    <cellStyle name="Lien hypertexte" xfId="16362" builtinId="8" hidden="1"/>
    <cellStyle name="Lien hypertexte" xfId="16402" builtinId="8" hidden="1"/>
    <cellStyle name="Lien hypertexte" xfId="16440" builtinId="8" hidden="1"/>
    <cellStyle name="Lien hypertexte" xfId="16478" builtinId="8" hidden="1"/>
    <cellStyle name="Lien hypertexte" xfId="16518" builtinId="8" hidden="1"/>
    <cellStyle name="Lien hypertexte" xfId="16556" builtinId="8" hidden="1"/>
    <cellStyle name="Lien hypertexte" xfId="16596" builtinId="8" hidden="1"/>
    <cellStyle name="Lien hypertexte" xfId="16636" builtinId="8" hidden="1"/>
    <cellStyle name="Lien hypertexte" xfId="16674" builtinId="8" hidden="1"/>
    <cellStyle name="Lien hypertexte" xfId="16712" builtinId="8" hidden="1"/>
    <cellStyle name="Lien hypertexte" xfId="16750" builtinId="8" hidden="1"/>
    <cellStyle name="Lien hypertexte" xfId="16792" builtinId="8" hidden="1"/>
    <cellStyle name="Lien hypertexte" xfId="16830" builtinId="8" hidden="1"/>
    <cellStyle name="Lien hypertexte" xfId="16868" builtinId="8" hidden="1"/>
    <cellStyle name="Lien hypertexte" xfId="16908" builtinId="8" hidden="1"/>
    <cellStyle name="Lien hypertexte" xfId="16948" builtinId="8" hidden="1"/>
    <cellStyle name="Lien hypertexte" xfId="16986" builtinId="8" hidden="1"/>
    <cellStyle name="Lien hypertexte" xfId="17024" builtinId="8" hidden="1"/>
    <cellStyle name="Lien hypertexte" xfId="17064" builtinId="8" hidden="1"/>
    <cellStyle name="Lien hypertexte" xfId="17102" builtinId="8" hidden="1"/>
    <cellStyle name="Lien hypertexte" xfId="17142" builtinId="8" hidden="1"/>
    <cellStyle name="Lien hypertexte" xfId="17182" builtinId="8" hidden="1"/>
    <cellStyle name="Lien hypertexte" xfId="17220" builtinId="8" hidden="1"/>
    <cellStyle name="Lien hypertexte" xfId="17258" builtinId="8" hidden="1"/>
    <cellStyle name="Lien hypertexte" xfId="17298" builtinId="8" hidden="1"/>
    <cellStyle name="Lien hypertexte" xfId="17338" builtinId="8" hidden="1"/>
    <cellStyle name="Lien hypertexte" xfId="17376" builtinId="8" hidden="1"/>
    <cellStyle name="Lien hypertexte" xfId="17414" builtinId="8" hidden="1"/>
    <cellStyle name="Lien hypertexte" xfId="17454" builtinId="8" hidden="1"/>
    <cellStyle name="Lien hypertexte" xfId="17494" builtinId="8" hidden="1"/>
    <cellStyle name="Lien hypertexte" xfId="17532" builtinId="8" hidden="1"/>
    <cellStyle name="Lien hypertexte" xfId="17570" builtinId="8" hidden="1"/>
    <cellStyle name="Lien hypertexte" xfId="17610" builtinId="8" hidden="1"/>
    <cellStyle name="Lien hypertexte" xfId="17650" builtinId="8" hidden="1"/>
    <cellStyle name="Lien hypertexte" xfId="17688" builtinId="8" hidden="1"/>
    <cellStyle name="Lien hypertexte" xfId="17728" builtinId="8" hidden="1"/>
    <cellStyle name="Lien hypertexte" xfId="17766" builtinId="8" hidden="1"/>
    <cellStyle name="Lien hypertexte" xfId="17804" builtinId="8" hidden="1"/>
    <cellStyle name="Lien hypertexte" xfId="17844" builtinId="8" hidden="1"/>
    <cellStyle name="Lien hypertexte" xfId="17884" builtinId="8" hidden="1"/>
    <cellStyle name="Lien hypertexte" xfId="17922" builtinId="8" hidden="1"/>
    <cellStyle name="Lien hypertexte" xfId="17960" builtinId="8" hidden="1"/>
    <cellStyle name="Lien hypertexte" xfId="18002" builtinId="8" hidden="1"/>
    <cellStyle name="Lien hypertexte" xfId="18040" builtinId="8" hidden="1"/>
    <cellStyle name="Lien hypertexte" xfId="18078" builtinId="8" hidden="1"/>
    <cellStyle name="Lien hypertexte" xfId="18116" builtinId="8" hidden="1"/>
    <cellStyle name="Lien hypertexte" xfId="18156" builtinId="8" hidden="1"/>
    <cellStyle name="Lien hypertexte" xfId="18196" builtinId="8" hidden="1"/>
    <cellStyle name="Lien hypertexte" xfId="18234" builtinId="8" hidden="1"/>
    <cellStyle name="Lien hypertexte" xfId="18274" builtinId="8" hidden="1"/>
    <cellStyle name="Lien hypertexte" xfId="18329" builtinId="8" hidden="1"/>
    <cellStyle name="Lien hypertexte" xfId="18367" builtinId="8" hidden="1"/>
    <cellStyle name="Lien hypertexte" xfId="18407" builtinId="8" hidden="1"/>
    <cellStyle name="Lien hypertexte" xfId="18447" builtinId="8" hidden="1"/>
    <cellStyle name="Lien hypertexte" xfId="18485" builtinId="8" hidden="1"/>
    <cellStyle name="Lien hypertexte" xfId="18523" builtinId="8" hidden="1"/>
    <cellStyle name="Lien hypertexte" xfId="18565" builtinId="8" hidden="1"/>
    <cellStyle name="Lien hypertexte" xfId="18603" builtinId="8" hidden="1"/>
    <cellStyle name="Lien hypertexte" xfId="18641" builtinId="8" hidden="1"/>
    <cellStyle name="Lien hypertexte" xfId="18679" builtinId="8" hidden="1"/>
    <cellStyle name="Lien hypertexte" xfId="18719" builtinId="8" hidden="1"/>
    <cellStyle name="Lien hypertexte" xfId="18759" builtinId="8" hidden="1"/>
    <cellStyle name="Lien hypertexte" xfId="18797" builtinId="8" hidden="1"/>
    <cellStyle name="Lien hypertexte" xfId="18837" builtinId="8" hidden="1"/>
    <cellStyle name="Lien hypertexte" xfId="18401" builtinId="8" hidden="1"/>
    <cellStyle name="Lien hypertexte" xfId="17808" builtinId="8" hidden="1"/>
    <cellStyle name="Lien hypertexte" xfId="17232" builtinId="8" hidden="1"/>
    <cellStyle name="Lien hypertexte" xfId="16624" builtinId="8" hidden="1"/>
    <cellStyle name="Lien hypertexte" xfId="16048" builtinId="8" hidden="1"/>
    <cellStyle name="Lien hypertexte" xfId="14658" builtinId="8" hidden="1"/>
    <cellStyle name="Lien hypertexte" xfId="14696" builtinId="8" hidden="1"/>
    <cellStyle name="Lien hypertexte" xfId="14734" builtinId="8" hidden="1"/>
    <cellStyle name="Lien hypertexte" xfId="14772" builtinId="8" hidden="1"/>
    <cellStyle name="Lien hypertexte" xfId="14808" builtinId="8" hidden="1"/>
    <cellStyle name="Lien hypertexte" xfId="14848" builtinId="8" hidden="1"/>
    <cellStyle name="Lien hypertexte" xfId="14884" builtinId="8" hidden="1"/>
    <cellStyle name="Lien hypertexte" xfId="14922" builtinId="8" hidden="1"/>
    <cellStyle name="Lien hypertexte" xfId="14962" builtinId="8" hidden="1"/>
    <cellStyle name="Lien hypertexte" xfId="14998" builtinId="8" hidden="1"/>
    <cellStyle name="Lien hypertexte" xfId="15036" builtinId="8" hidden="1"/>
    <cellStyle name="Lien hypertexte" xfId="15072" builtinId="8" hidden="1"/>
    <cellStyle name="Lien hypertexte" xfId="15112" builtinId="8" hidden="1"/>
    <cellStyle name="Lien hypertexte" xfId="15148" builtinId="8" hidden="1"/>
    <cellStyle name="Lien hypertexte" xfId="15186" builtinId="8" hidden="1"/>
    <cellStyle name="Lien hypertexte" xfId="15226" builtinId="8" hidden="1"/>
    <cellStyle name="Lien hypertexte" xfId="15262" builtinId="8" hidden="1"/>
    <cellStyle name="Lien hypertexte" xfId="15300" builtinId="8" hidden="1"/>
    <cellStyle name="Lien hypertexte" xfId="15336" builtinId="8" hidden="1"/>
    <cellStyle name="Lien hypertexte" xfId="15376" builtinId="8" hidden="1"/>
    <cellStyle name="Lien hypertexte" xfId="15414" builtinId="8" hidden="1"/>
    <cellStyle name="Lien hypertexte" xfId="15450" builtinId="8" hidden="1"/>
    <cellStyle name="Lien hypertexte" xfId="15490" builtinId="8" hidden="1"/>
    <cellStyle name="Lien hypertexte" xfId="15526" builtinId="8" hidden="1"/>
    <cellStyle name="Lien hypertexte" xfId="15564" builtinId="8" hidden="1"/>
    <cellStyle name="Lien hypertexte" xfId="15602" builtinId="8" hidden="1"/>
    <cellStyle name="Lien hypertexte" xfId="15640" builtinId="8" hidden="1"/>
    <cellStyle name="Lien hypertexte" xfId="15678" builtinId="8" hidden="1"/>
    <cellStyle name="Lien hypertexte" xfId="15714" builtinId="8" hidden="1"/>
    <cellStyle name="Lien hypertexte" xfId="15754" builtinId="8" hidden="1"/>
    <cellStyle name="Lien hypertexte" xfId="15790" builtinId="8" hidden="1"/>
    <cellStyle name="Lien hypertexte" xfId="15828" builtinId="8" hidden="1"/>
    <cellStyle name="Lien hypertexte" xfId="15866" builtinId="8" hidden="1"/>
    <cellStyle name="Lien hypertexte" xfId="15904" builtinId="8" hidden="1"/>
    <cellStyle name="Lien hypertexte" xfId="15728" builtinId="8" hidden="1"/>
    <cellStyle name="Lien hypertexte" xfId="652" builtinId="8" hidden="1"/>
    <cellStyle name="Lien hypertexte" xfId="690" builtinId="8" hidden="1"/>
    <cellStyle name="Lien hypertexte" xfId="728" builtinId="8" hidden="1"/>
    <cellStyle name="Lien hypertexte" xfId="764" builtinId="8" hidden="1"/>
    <cellStyle name="Lien hypertexte" xfId="800" builtinId="8" hidden="1"/>
    <cellStyle name="Lien hypertexte" xfId="840" builtinId="8" hidden="1"/>
    <cellStyle name="Lien hypertexte" xfId="876" builtinId="8" hidden="1"/>
    <cellStyle name="Lien hypertexte" xfId="912" builtinId="8" hidden="1"/>
    <cellStyle name="Lien hypertexte" xfId="950" builtinId="8" hidden="1"/>
    <cellStyle name="Lien hypertexte" xfId="988" builtinId="8" hidden="1"/>
    <cellStyle name="Lien hypertexte" xfId="1024" builtinId="8" hidden="1"/>
    <cellStyle name="Lien hypertexte" xfId="1060" builtinId="8" hidden="1"/>
    <cellStyle name="Lien hypertexte" xfId="1100" builtinId="8" hidden="1"/>
    <cellStyle name="Lien hypertexte" xfId="1136" builtinId="8" hidden="1"/>
    <cellStyle name="Lien hypertexte" xfId="14526" builtinId="8" hidden="1"/>
    <cellStyle name="Lien hypertexte" xfId="14564" builtinId="8" hidden="1"/>
    <cellStyle name="Lien hypertexte" xfId="14602" builtinId="8" hidden="1"/>
    <cellStyle name="Lien hypertexte" xfId="348" builtinId="8" hidden="1"/>
    <cellStyle name="Lien hypertexte" xfId="384" builtinId="8" hidden="1"/>
    <cellStyle name="Lien hypertexte" xfId="422" builtinId="8" hidden="1"/>
    <cellStyle name="Lien hypertexte" xfId="460" builtinId="8" hidden="1"/>
    <cellStyle name="Lien hypertexte" xfId="496" builtinId="8" hidden="1"/>
    <cellStyle name="Lien hypertexte" xfId="534" builtinId="8" hidden="1"/>
    <cellStyle name="Lien hypertexte" xfId="570" builtinId="8" hidden="1"/>
    <cellStyle name="Lien hypertexte" xfId="606" builtinId="8" hidden="1"/>
    <cellStyle name="Lien hypertexte" xfId="642" builtinId="8" hidden="1"/>
    <cellStyle name="Lien hypertexte" xfId="224" builtinId="8" hidden="1"/>
    <cellStyle name="Lien hypertexte" xfId="260" builtinId="8" hidden="1"/>
    <cellStyle name="Lien hypertexte" xfId="296" builtinId="8" hidden="1"/>
    <cellStyle name="Lien hypertexte" xfId="334" builtinId="8" hidden="1"/>
    <cellStyle name="Lien hypertexte" xfId="146" builtinId="8" hidden="1"/>
    <cellStyle name="Lien hypertexte" xfId="182" builtinId="8" hidden="1"/>
    <cellStyle name="Lien hypertexte" xfId="106" builtinId="8" hidden="1"/>
    <cellStyle name="Lien hypertexte" xfId="60" builtinId="8" hidden="1"/>
    <cellStyle name="Lien hypertexte" xfId="124" builtinId="8" hidden="1"/>
    <cellStyle name="Lien hypertexte" xfId="548" builtinId="8" hidden="1"/>
    <cellStyle name="Lien hypertexte" xfId="14580" builtinId="8" hidden="1"/>
    <cellStyle name="Lien hypertexte" xfId="964" builtinId="8" hidden="1"/>
    <cellStyle name="Lien hypertexte" xfId="704" builtinId="8" hidden="1"/>
    <cellStyle name="Lien hypertexte" xfId="15768" builtinId="8" hidden="1"/>
    <cellStyle name="Lien hypertexte" xfId="15504" builtinId="8" hidden="1"/>
    <cellStyle name="Lien hypertexte" xfId="15240" builtinId="8" hidden="1"/>
    <cellStyle name="Lien hypertexte" xfId="14976" builtinId="8" hidden="1"/>
    <cellStyle name="Lien hypertexte" xfId="14712" builtinId="8" hidden="1"/>
    <cellStyle name="Lien hypertexte" xfId="18753" builtinId="8" hidden="1"/>
    <cellStyle name="Lien hypertexte" xfId="18579" builtinId="8" hidden="1"/>
    <cellStyle name="Lien hypertexte" xfId="18290" builtinId="8" hidden="1"/>
    <cellStyle name="Lien hypertexte" xfId="18016" builtinId="8" hidden="1"/>
    <cellStyle name="Lien hypertexte" xfId="17742" builtinId="8" hidden="1"/>
    <cellStyle name="Lien hypertexte" xfId="17470" builtinId="8" hidden="1"/>
    <cellStyle name="Lien hypertexte" xfId="17196" builtinId="8" hidden="1"/>
    <cellStyle name="Lien hypertexte" xfId="16924" builtinId="8" hidden="1"/>
    <cellStyle name="Lien hypertexte" xfId="16650" builtinId="8" hidden="1"/>
    <cellStyle name="Lien hypertexte" xfId="16378" builtinId="8" hidden="1"/>
    <cellStyle name="Lien hypertexte" xfId="16104" builtinId="8" hidden="1"/>
    <cellStyle name="Lien hypertexte" xfId="19617" builtinId="8" hidden="1"/>
    <cellStyle name="Lien hypertexte" xfId="21741" builtinId="8" hidden="1"/>
    <cellStyle name="Lien hypertexte" xfId="21781" builtinId="8" hidden="1"/>
    <cellStyle name="Lien hypertexte" xfId="21819" builtinId="8" hidden="1"/>
    <cellStyle name="Lien hypertexte" xfId="21859" builtinId="8" hidden="1"/>
    <cellStyle name="Lien hypertexte" xfId="21897" builtinId="8" hidden="1"/>
    <cellStyle name="Lien hypertexte" xfId="21935" builtinId="8" hidden="1"/>
    <cellStyle name="Lien hypertexte" xfId="21975" builtinId="8" hidden="1"/>
    <cellStyle name="Lien hypertexte" xfId="22013" builtinId="8" hidden="1"/>
    <cellStyle name="Lien hypertexte" xfId="22055" builtinId="8" hidden="1"/>
    <cellStyle name="Lien hypertexte" xfId="22093" builtinId="8" hidden="1"/>
    <cellStyle name="Lien hypertexte" xfId="22133" builtinId="8" hidden="1"/>
    <cellStyle name="Lien hypertexte" xfId="22171" builtinId="8" hidden="1"/>
    <cellStyle name="Lien hypertexte" xfId="22211" builtinId="8" hidden="1"/>
    <cellStyle name="Lien hypertexte" xfId="22249" builtinId="8" hidden="1"/>
    <cellStyle name="Lien hypertexte" xfId="22287" builtinId="8" hidden="1"/>
    <cellStyle name="Lien hypertexte" xfId="22327" builtinId="8" hidden="1"/>
    <cellStyle name="Lien hypertexte" xfId="22365" builtinId="8" hidden="1"/>
    <cellStyle name="Lien hypertexte" xfId="22405" builtinId="8" hidden="1"/>
    <cellStyle name="Lien hypertexte" xfId="22443" builtinId="8" hidden="1"/>
    <cellStyle name="Lien hypertexte" xfId="22483" builtinId="8" hidden="1"/>
    <cellStyle name="Lien hypertexte" xfId="22521" builtinId="8" hidden="1"/>
    <cellStyle name="Lien hypertexte" xfId="22559" builtinId="8" hidden="1"/>
    <cellStyle name="Lien hypertexte" xfId="22599" builtinId="8" hidden="1"/>
    <cellStyle name="Lien hypertexte" xfId="22639" builtinId="8" hidden="1"/>
    <cellStyle name="Lien hypertexte" xfId="22679" builtinId="8" hidden="1"/>
    <cellStyle name="Lien hypertexte" xfId="22717" builtinId="8" hidden="1"/>
    <cellStyle name="Lien hypertexte" xfId="22757" builtinId="8" hidden="1"/>
    <cellStyle name="Lien hypertexte" xfId="22795" builtinId="8" hidden="1"/>
    <cellStyle name="Lien hypertexte" xfId="22835" builtinId="8" hidden="1"/>
    <cellStyle name="Lien hypertexte" xfId="22873" builtinId="8" hidden="1"/>
    <cellStyle name="Lien hypertexte" xfId="22911" builtinId="8" hidden="1"/>
    <cellStyle name="Lien hypertexte" xfId="22951" builtinId="8" hidden="1"/>
    <cellStyle name="Lien hypertexte" xfId="22989" builtinId="8" hidden="1"/>
    <cellStyle name="Lien hypertexte" xfId="23029" builtinId="8" hidden="1"/>
    <cellStyle name="Lien hypertexte" xfId="23067" builtinId="8" hidden="1"/>
    <cellStyle name="Lien hypertexte" xfId="23107" builtinId="8" hidden="1"/>
    <cellStyle name="Lien hypertexte" xfId="23145" builtinId="8" hidden="1"/>
    <cellStyle name="Lien hypertexte" xfId="23183" builtinId="8" hidden="1"/>
    <cellStyle name="Lien hypertexte" xfId="23225" builtinId="8" hidden="1"/>
    <cellStyle name="Lien hypertexte" xfId="23263" builtinId="8" hidden="1"/>
    <cellStyle name="Lien hypertexte" xfId="23303" builtinId="8" hidden="1"/>
    <cellStyle name="Lien hypertexte" xfId="23341" builtinId="8" hidden="1"/>
    <cellStyle name="Lien hypertexte" xfId="23381" builtinId="8" hidden="1"/>
    <cellStyle name="Lien hypertexte" xfId="23419" builtinId="8" hidden="1"/>
    <cellStyle name="Lien hypertexte" xfId="23459" builtinId="8" hidden="1"/>
    <cellStyle name="Lien hypertexte" xfId="23497" builtinId="8" hidden="1"/>
    <cellStyle name="Lien hypertexte" xfId="23535" builtinId="8" hidden="1"/>
    <cellStyle name="Lien hypertexte" xfId="23575" builtinId="8" hidden="1"/>
    <cellStyle name="Lien hypertexte" xfId="23613" builtinId="8" hidden="1"/>
    <cellStyle name="Lien hypertexte" xfId="23653" builtinId="8" hidden="1"/>
    <cellStyle name="Lien hypertexte" xfId="23691" builtinId="8" hidden="1"/>
    <cellStyle name="Lien hypertexte" xfId="23731" builtinId="8" hidden="1"/>
    <cellStyle name="Lien hypertexte" xfId="23769" builtinId="8" hidden="1"/>
    <cellStyle name="Lien hypertexte" xfId="23811" builtinId="8" hidden="1"/>
    <cellStyle name="Lien hypertexte" xfId="23849" builtinId="8" hidden="1"/>
    <cellStyle name="Lien hypertexte" xfId="23887" builtinId="8" hidden="1"/>
    <cellStyle name="Lien hypertexte" xfId="23927" builtinId="8" hidden="1"/>
    <cellStyle name="Lien hypertexte" xfId="23965" builtinId="8" hidden="1"/>
    <cellStyle name="Lien hypertexte" xfId="24005" builtinId="8" hidden="1"/>
    <cellStyle name="Lien hypertexte" xfId="24043" builtinId="8" hidden="1"/>
    <cellStyle name="Lien hypertexte" xfId="24083" builtinId="8" hidden="1"/>
    <cellStyle name="Lien hypertexte" xfId="24121" builtinId="8" hidden="1"/>
    <cellStyle name="Lien hypertexte" xfId="24159" builtinId="8" hidden="1"/>
    <cellStyle name="Lien hypertexte" xfId="24199" builtinId="8" hidden="1"/>
    <cellStyle name="Lien hypertexte" xfId="24237" builtinId="8" hidden="1"/>
    <cellStyle name="Lien hypertexte" xfId="24277" builtinId="8" hidden="1"/>
    <cellStyle name="Lien hypertexte" xfId="24315" builtinId="8" hidden="1"/>
    <cellStyle name="Lien hypertexte" xfId="24355" builtinId="8" hidden="1"/>
    <cellStyle name="Lien hypertexte" xfId="24395" builtinId="8" hidden="1"/>
    <cellStyle name="Lien hypertexte" xfId="24435" builtinId="8" hidden="1"/>
    <cellStyle name="Lien hypertexte" xfId="24473" builtinId="8" hidden="1"/>
    <cellStyle name="Lien hypertexte" xfId="24511" builtinId="8" hidden="1"/>
    <cellStyle name="Lien hypertexte" xfId="24551" builtinId="8" hidden="1"/>
    <cellStyle name="Lien hypertexte" xfId="24589" builtinId="8" hidden="1"/>
    <cellStyle name="Lien hypertexte" xfId="24497" builtinId="8" hidden="1"/>
    <cellStyle name="Lien hypertexte" xfId="24225" builtinId="8" hidden="1"/>
    <cellStyle name="Lien hypertexte" xfId="23953" builtinId="8" hidden="1"/>
    <cellStyle name="Lien hypertexte" xfId="23681" builtinId="8" hidden="1"/>
    <cellStyle name="Lien hypertexte" xfId="23409" builtinId="8" hidden="1"/>
    <cellStyle name="Lien hypertexte" xfId="23137" builtinId="8" hidden="1"/>
    <cellStyle name="Lien hypertexte" xfId="22865" builtinId="8" hidden="1"/>
    <cellStyle name="Lien hypertexte" xfId="22593" builtinId="8" hidden="1"/>
    <cellStyle name="Lien hypertexte" xfId="22321" builtinId="8" hidden="1"/>
    <cellStyle name="Lien hypertexte" xfId="22033" builtinId="8" hidden="1"/>
    <cellStyle name="Lien hypertexte" xfId="21761" builtinId="8" hidden="1"/>
    <cellStyle name="Lien hypertexte" xfId="22561" builtinId="8" hidden="1"/>
    <cellStyle name="Lien hypertexte" xfId="24319" builtinId="8" hidden="1"/>
    <cellStyle name="Lien hypertexte" xfId="23735" builtinId="8" hidden="1"/>
    <cellStyle name="Lien hypertexte" xfId="23149" builtinId="8" hidden="1"/>
    <cellStyle name="Lien hypertexte" xfId="22565" builtinId="8" hidden="1"/>
    <cellStyle name="Lien hypertexte" xfId="21979" builtinId="8" hidden="1"/>
    <cellStyle name="Lien hypertexte" xfId="20269" builtinId="8" hidden="1"/>
    <cellStyle name="Lien hypertexte" xfId="20307" builtinId="8" hidden="1"/>
    <cellStyle name="Lien hypertexte" xfId="20345" builtinId="8" hidden="1"/>
    <cellStyle name="Lien hypertexte" xfId="20381" builtinId="8" hidden="1"/>
    <cellStyle name="Lien hypertexte" xfId="20421" builtinId="8" hidden="1"/>
    <cellStyle name="Lien hypertexte" xfId="20457" builtinId="8" hidden="1"/>
    <cellStyle name="Lien hypertexte" xfId="20495" builtinId="8" hidden="1"/>
    <cellStyle name="Lien hypertexte" xfId="20533" builtinId="8" hidden="1"/>
    <cellStyle name="Lien hypertexte" xfId="20571" builtinId="8" hidden="1"/>
    <cellStyle name="Lien hypertexte" xfId="20607" builtinId="8" hidden="1"/>
    <cellStyle name="Lien hypertexte" xfId="20647" builtinId="8" hidden="1"/>
    <cellStyle name="Lien hypertexte" xfId="20683" builtinId="8" hidden="1"/>
    <cellStyle name="Lien hypertexte" xfId="20723" builtinId="8" hidden="1"/>
    <cellStyle name="Lien hypertexte" xfId="20759" builtinId="8" hidden="1"/>
    <cellStyle name="Lien hypertexte" xfId="20797" builtinId="8" hidden="1"/>
    <cellStyle name="Lien hypertexte" xfId="20835" builtinId="8" hidden="1"/>
    <cellStyle name="Lien hypertexte" xfId="20873" builtinId="8" hidden="1"/>
    <cellStyle name="Lien hypertexte" xfId="20909" builtinId="8" hidden="1"/>
    <cellStyle name="Lien hypertexte" xfId="20949" builtinId="8" hidden="1"/>
    <cellStyle name="Lien hypertexte" xfId="20985" builtinId="8" hidden="1"/>
    <cellStyle name="Lien hypertexte" xfId="21023" builtinId="8" hidden="1"/>
    <cellStyle name="Lien hypertexte" xfId="21061" builtinId="8" hidden="1"/>
    <cellStyle name="Lien hypertexte" xfId="21099" builtinId="8" hidden="1"/>
    <cellStyle name="Lien hypertexte" xfId="21135" builtinId="8" hidden="1"/>
    <cellStyle name="Lien hypertexte" xfId="21175" builtinId="8" hidden="1"/>
    <cellStyle name="Lien hypertexte" xfId="21213" builtinId="8" hidden="1"/>
    <cellStyle name="Lien hypertexte" xfId="21251" builtinId="8" hidden="1"/>
    <cellStyle name="Lien hypertexte" xfId="21289" builtinId="8" hidden="1"/>
    <cellStyle name="Lien hypertexte" xfId="21325" builtinId="8" hidden="1"/>
    <cellStyle name="Lien hypertexte" xfId="21365" builtinId="8" hidden="1"/>
    <cellStyle name="Lien hypertexte" xfId="21401" builtinId="8" hidden="1"/>
    <cellStyle name="Lien hypertexte" xfId="21439" builtinId="8" hidden="1"/>
    <cellStyle name="Lien hypertexte" xfId="21477" builtinId="8" hidden="1"/>
    <cellStyle name="Lien hypertexte" xfId="21515" builtinId="8" hidden="1"/>
    <cellStyle name="Lien hypertexte" xfId="21551" builtinId="8" hidden="1"/>
    <cellStyle name="Lien hypertexte" xfId="21591" builtinId="8" hidden="1"/>
    <cellStyle name="Lien hypertexte" xfId="21627" builtinId="8" hidden="1"/>
    <cellStyle name="Lien hypertexte" xfId="21667" builtinId="8" hidden="1"/>
    <cellStyle name="Lien hypertexte" xfId="21703" builtinId="8" hidden="1"/>
    <cellStyle name="Lien hypertexte" xfId="21723" builtinId="8" hidden="1"/>
    <cellStyle name="Lien hypertexte" xfId="20553" builtinId="8" hidden="1"/>
    <cellStyle name="Lien hypertexte" xfId="19561" builtinId="8" hidden="1"/>
    <cellStyle name="Lien hypertexte" xfId="19597" builtinId="8" hidden="1"/>
    <cellStyle name="Lien hypertexte" xfId="19637" builtinId="8" hidden="1"/>
    <cellStyle name="Lien hypertexte" xfId="19673" builtinId="8" hidden="1"/>
    <cellStyle name="Lien hypertexte" xfId="19709" builtinId="8" hidden="1"/>
    <cellStyle name="Lien hypertexte" xfId="19747" builtinId="8" hidden="1"/>
    <cellStyle name="Lien hypertexte" xfId="19785" builtinId="8" hidden="1"/>
    <cellStyle name="Lien hypertexte" xfId="19821" builtinId="8" hidden="1"/>
    <cellStyle name="Lien hypertexte" xfId="19859" builtinId="8" hidden="1"/>
    <cellStyle name="Lien hypertexte" xfId="19897" builtinId="8" hidden="1"/>
    <cellStyle name="Lien hypertexte" xfId="19933" builtinId="8" hidden="1"/>
    <cellStyle name="Lien hypertexte" xfId="19971" builtinId="8" hidden="1"/>
    <cellStyle name="Lien hypertexte" xfId="20007" builtinId="8" hidden="1"/>
    <cellStyle name="Lien hypertexte" xfId="20045" builtinId="8" hidden="1"/>
    <cellStyle name="Lien hypertexte" xfId="20083" builtinId="8" hidden="1"/>
    <cellStyle name="Lien hypertexte" xfId="20119" builtinId="8" hidden="1"/>
    <cellStyle name="Lien hypertexte" xfId="20155" builtinId="8" hidden="1"/>
    <cellStyle name="Lien hypertexte" xfId="20195" builtinId="8" hidden="1"/>
    <cellStyle name="Lien hypertexte" xfId="20231" builtinId="8" hidden="1"/>
    <cellStyle name="Lien hypertexte" xfId="19197" builtinId="8" hidden="1"/>
    <cellStyle name="Lien hypertexte" xfId="19235" builtinId="8" hidden="1"/>
    <cellStyle name="Lien hypertexte" xfId="19271" builtinId="8" hidden="1"/>
    <cellStyle name="Lien hypertexte" xfId="19307" builtinId="8" hidden="1"/>
    <cellStyle name="Lien hypertexte" xfId="19347" builtinId="8" hidden="1"/>
    <cellStyle name="Lien hypertexte" xfId="19383" builtinId="8" hidden="1"/>
    <cellStyle name="Lien hypertexte" xfId="19419" builtinId="8" hidden="1"/>
    <cellStyle name="Lien hypertexte" xfId="19455" builtinId="8" hidden="1"/>
    <cellStyle name="Lien hypertexte" xfId="19493" builtinId="8" hidden="1"/>
    <cellStyle name="Lien hypertexte" xfId="19529" builtinId="8" hidden="1"/>
    <cellStyle name="Lien hypertexte" xfId="19045" builtinId="8" hidden="1"/>
    <cellStyle name="Lien hypertexte" xfId="19081" builtinId="8" hidden="1"/>
    <cellStyle name="Lien hypertexte" xfId="19117" builtinId="8" hidden="1"/>
    <cellStyle name="Lien hypertexte" xfId="19155" builtinId="8" hidden="1"/>
    <cellStyle name="Lien hypertexte" xfId="18935" builtinId="8" hidden="1"/>
    <cellStyle name="Lien hypertexte" xfId="18971" builtinId="8" hidden="1"/>
    <cellStyle name="Lien hypertexte" xfId="19007" builtinId="8" hidden="1"/>
    <cellStyle name="Lien hypertexte" xfId="18917" builtinId="8" hidden="1"/>
    <cellStyle name="Lien hypertexte" xfId="18857" builtinId="8" hidden="1"/>
    <cellStyle name="Lien hypertexte" xfId="18859" builtinId="8" hidden="1"/>
    <cellStyle name="Lien hypertexte" xfId="18919" builtinId="8" hidden="1"/>
    <cellStyle name="Lien hypertexte" xfId="19011" builtinId="8" hidden="1"/>
    <cellStyle name="Lien hypertexte" xfId="18973" builtinId="8" hidden="1"/>
    <cellStyle name="Lien hypertexte" xfId="18937" builtinId="8" hidden="1"/>
    <cellStyle name="Lien hypertexte" xfId="19157" builtinId="8" hidden="1"/>
    <cellStyle name="Lien hypertexte" xfId="19119" builtinId="8" hidden="1"/>
    <cellStyle name="Lien hypertexte" xfId="19083" builtinId="8" hidden="1"/>
    <cellStyle name="Lien hypertexte" xfId="19047" builtinId="8" hidden="1"/>
    <cellStyle name="Lien hypertexte" xfId="19531" builtinId="8" hidden="1"/>
    <cellStyle name="Lien hypertexte" xfId="19495" builtinId="8" hidden="1"/>
    <cellStyle name="Lien hypertexte" xfId="19459" builtinId="8" hidden="1"/>
    <cellStyle name="Lien hypertexte" xfId="19421" builtinId="8" hidden="1"/>
    <cellStyle name="Lien hypertexte" xfId="19385" builtinId="8" hidden="1"/>
    <cellStyle name="Lien hypertexte" xfId="19349" builtinId="8" hidden="1"/>
    <cellStyle name="Lien hypertexte" xfId="19311" builtinId="8" hidden="1"/>
    <cellStyle name="Lien hypertexte" xfId="19273" builtinId="8" hidden="1"/>
    <cellStyle name="Lien hypertexte" xfId="19237" builtinId="8" hidden="1"/>
    <cellStyle name="Lien hypertexte" xfId="19199" builtinId="8" hidden="1"/>
    <cellStyle name="Lien hypertexte" xfId="20233" builtinId="8" hidden="1"/>
    <cellStyle name="Lien hypertexte" xfId="20197" builtinId="8" hidden="1"/>
    <cellStyle name="Lien hypertexte" xfId="20157" builtinId="8" hidden="1"/>
    <cellStyle name="Lien hypertexte" xfId="20121" builtinId="8" hidden="1"/>
    <cellStyle name="Lien hypertexte" xfId="20085" builtinId="8" hidden="1"/>
    <cellStyle name="Lien hypertexte" xfId="20047" builtinId="8" hidden="1"/>
    <cellStyle name="Lien hypertexte" xfId="20009" builtinId="8" hidden="1"/>
    <cellStyle name="Lien hypertexte" xfId="19973" builtinId="8" hidden="1"/>
    <cellStyle name="Lien hypertexte" xfId="19935" builtinId="8" hidden="1"/>
    <cellStyle name="Lien hypertexte" xfId="19899" builtinId="8" hidden="1"/>
    <cellStyle name="Lien hypertexte" xfId="19861" builtinId="8" hidden="1"/>
    <cellStyle name="Lien hypertexte" xfId="19823" builtinId="8" hidden="1"/>
    <cellStyle name="Lien hypertexte" xfId="19787" builtinId="8" hidden="1"/>
    <cellStyle name="Lien hypertexte" xfId="19751" builtinId="8" hidden="1"/>
    <cellStyle name="Lien hypertexte" xfId="19711" builtinId="8" hidden="1"/>
    <cellStyle name="Lien hypertexte" xfId="19675" builtinId="8" hidden="1"/>
    <cellStyle name="Lien hypertexte" xfId="19639" builtinId="8" hidden="1"/>
    <cellStyle name="Lien hypertexte" xfId="19599" builtinId="8" hidden="1"/>
    <cellStyle name="Lien hypertexte" xfId="19563" builtinId="8" hidden="1"/>
    <cellStyle name="Lien hypertexte" xfId="20479" builtinId="8" hidden="1"/>
    <cellStyle name="Lien hypertexte" xfId="21651" builtinId="8" hidden="1"/>
    <cellStyle name="Lien hypertexte" xfId="21705" builtinId="8" hidden="1"/>
    <cellStyle name="Lien hypertexte" xfId="21669" builtinId="8" hidden="1"/>
    <cellStyle name="Lien hypertexte" xfId="21629" builtinId="8" hidden="1"/>
    <cellStyle name="Lien hypertexte" xfId="21593" builtinId="8" hidden="1"/>
    <cellStyle name="Lien hypertexte" xfId="21555" builtinId="8" hidden="1"/>
    <cellStyle name="Lien hypertexte" xfId="21517" builtinId="8" hidden="1"/>
    <cellStyle name="Lien hypertexte" xfId="21479" builtinId="8" hidden="1"/>
    <cellStyle name="Lien hypertexte" xfId="21443" builtinId="8" hidden="1"/>
    <cellStyle name="Lien hypertexte" xfId="21403" builtinId="8" hidden="1"/>
    <cellStyle name="Lien hypertexte" xfId="21367" builtinId="8" hidden="1"/>
    <cellStyle name="Lien hypertexte" xfId="21327" builtinId="8" hidden="1"/>
    <cellStyle name="Lien hypertexte" xfId="21291" builtinId="8" hidden="1"/>
    <cellStyle name="Lien hypertexte" xfId="21253" builtinId="8" hidden="1"/>
    <cellStyle name="Lien hypertexte" xfId="21215" builtinId="8" hidden="1"/>
    <cellStyle name="Lien hypertexte" xfId="21177" builtinId="8" hidden="1"/>
    <cellStyle name="Lien hypertexte" xfId="21141" builtinId="8" hidden="1"/>
    <cellStyle name="Lien hypertexte" xfId="21101" builtinId="8" hidden="1"/>
    <cellStyle name="Lien hypertexte" xfId="21063" builtinId="8" hidden="1"/>
    <cellStyle name="Lien hypertexte" xfId="21027" builtinId="8" hidden="1"/>
    <cellStyle name="Lien hypertexte" xfId="20987" builtinId="8" hidden="1"/>
    <cellStyle name="Lien hypertexte" xfId="20951" builtinId="8" hidden="1"/>
    <cellStyle name="Lien hypertexte" xfId="20911" builtinId="8" hidden="1"/>
    <cellStyle name="Lien hypertexte" xfId="20875" builtinId="8" hidden="1"/>
    <cellStyle name="Lien hypertexte" xfId="20837" builtinId="8" hidden="1"/>
    <cellStyle name="Lien hypertexte" xfId="20799" builtinId="8" hidden="1"/>
    <cellStyle name="Lien hypertexte" xfId="20761" builtinId="8" hidden="1"/>
    <cellStyle name="Lien hypertexte" xfId="20725" builtinId="8" hidden="1"/>
    <cellStyle name="Lien hypertexte" xfId="20685" builtinId="8" hidden="1"/>
    <cellStyle name="Lien hypertexte" xfId="20649" builtinId="8" hidden="1"/>
    <cellStyle name="Lien hypertexte" xfId="20611" builtinId="8" hidden="1"/>
    <cellStyle name="Lien hypertexte" xfId="20573" builtinId="8" hidden="1"/>
    <cellStyle name="Lien hypertexte" xfId="20535" builtinId="8" hidden="1"/>
    <cellStyle name="Lien hypertexte" xfId="20499" builtinId="8" hidden="1"/>
    <cellStyle name="Lien hypertexte" xfId="20459" builtinId="8" hidden="1"/>
    <cellStyle name="Lien hypertexte" xfId="20423" builtinId="8" hidden="1"/>
    <cellStyle name="Lien hypertexte" xfId="20383" builtinId="8" hidden="1"/>
    <cellStyle name="Lien hypertexte" xfId="20347" builtinId="8" hidden="1"/>
    <cellStyle name="Lien hypertexte" xfId="20309" builtinId="8" hidden="1"/>
    <cellStyle name="Lien hypertexte" xfId="20271" builtinId="8" hidden="1"/>
    <cellStyle name="Lien hypertexte" xfId="21943" builtinId="8" hidden="1"/>
    <cellStyle name="Lien hypertexte" xfId="22527" builtinId="8" hidden="1"/>
    <cellStyle name="Lien hypertexte" xfId="23113" builtinId="8" hidden="1"/>
    <cellStyle name="Lien hypertexte" xfId="23699" builtinId="8" hidden="1"/>
    <cellStyle name="Lien hypertexte" xfId="24283" builtinId="8" hidden="1"/>
    <cellStyle name="Lien hypertexte" xfId="22817" builtinId="8" hidden="1"/>
    <cellStyle name="Lien hypertexte" xfId="21745" builtinId="8" hidden="1"/>
    <cellStyle name="Lien hypertexte" xfId="22017" builtinId="8" hidden="1"/>
    <cellStyle name="Lien hypertexte" xfId="22289" builtinId="8" hidden="1"/>
    <cellStyle name="Lien hypertexte" xfId="22577" builtinId="8" hidden="1"/>
    <cellStyle name="Lien hypertexte" xfId="22849" builtinId="8" hidden="1"/>
    <cellStyle name="Lien hypertexte" xfId="23121" builtinId="8" hidden="1"/>
    <cellStyle name="Lien hypertexte" xfId="23393" builtinId="8" hidden="1"/>
    <cellStyle name="Lien hypertexte" xfId="23665" builtinId="8" hidden="1"/>
    <cellStyle name="Lien hypertexte" xfId="23937" builtinId="8" hidden="1"/>
    <cellStyle name="Lien hypertexte" xfId="24209" builtinId="8" hidden="1"/>
    <cellStyle name="Lien hypertexte" xfId="24481" builtinId="8" hidden="1"/>
    <cellStyle name="Lien hypertexte" xfId="24591" builtinId="8" hidden="1"/>
    <cellStyle name="Lien hypertexte" xfId="24553" builtinId="8" hidden="1"/>
    <cellStyle name="Lien hypertexte" xfId="24515" builtinId="8" hidden="1"/>
    <cellStyle name="Lien hypertexte" xfId="24475" builtinId="8" hidden="1"/>
    <cellStyle name="Lien hypertexte" xfId="24437" builtinId="8" hidden="1"/>
    <cellStyle name="Lien hypertexte" xfId="24397" builtinId="8" hidden="1"/>
    <cellStyle name="Lien hypertexte" xfId="24359" builtinId="8" hidden="1"/>
    <cellStyle name="Lien hypertexte" xfId="24317" builtinId="8" hidden="1"/>
    <cellStyle name="Lien hypertexte" xfId="24279" builtinId="8" hidden="1"/>
    <cellStyle name="Lien hypertexte" xfId="24239" builtinId="8" hidden="1"/>
    <cellStyle name="Lien hypertexte" xfId="24201" builtinId="8" hidden="1"/>
    <cellStyle name="Lien hypertexte" xfId="24163" builtinId="8" hidden="1"/>
    <cellStyle name="Lien hypertexte" xfId="24123" builtinId="8" hidden="1"/>
    <cellStyle name="Lien hypertexte" xfId="24085" builtinId="8" hidden="1"/>
    <cellStyle name="Lien hypertexte" xfId="24045" builtinId="8" hidden="1"/>
    <cellStyle name="Lien hypertexte" xfId="24007" builtinId="8" hidden="1"/>
    <cellStyle name="Lien hypertexte" xfId="23967" builtinId="8" hidden="1"/>
    <cellStyle name="Lien hypertexte" xfId="23929" builtinId="8" hidden="1"/>
    <cellStyle name="Lien hypertexte" xfId="23891" builtinId="8" hidden="1"/>
    <cellStyle name="Lien hypertexte" xfId="23851" builtinId="8" hidden="1"/>
    <cellStyle name="Lien hypertexte" xfId="23813" builtinId="8" hidden="1"/>
    <cellStyle name="Lien hypertexte" xfId="23773" builtinId="8" hidden="1"/>
    <cellStyle name="Lien hypertexte" xfId="23733" builtinId="8" hidden="1"/>
    <cellStyle name="Lien hypertexte" xfId="23693" builtinId="8" hidden="1"/>
    <cellStyle name="Lien hypertexte" xfId="23655" builtinId="8" hidden="1"/>
    <cellStyle name="Lien hypertexte" xfId="23615" builtinId="8" hidden="1"/>
    <cellStyle name="Lien hypertexte" xfId="23577" builtinId="8" hidden="1"/>
    <cellStyle name="Lien hypertexte" xfId="23539" builtinId="8" hidden="1"/>
    <cellStyle name="Lien hypertexte" xfId="23499" builtinId="8" hidden="1"/>
    <cellStyle name="Lien hypertexte" xfId="23461" builtinId="8" hidden="1"/>
    <cellStyle name="Lien hypertexte" xfId="23421" builtinId="8" hidden="1"/>
    <cellStyle name="Lien hypertexte" xfId="23383" builtinId="8" hidden="1"/>
    <cellStyle name="Lien hypertexte" xfId="23343" builtinId="8" hidden="1"/>
    <cellStyle name="Lien hypertexte" xfId="23305" builtinId="8" hidden="1"/>
    <cellStyle name="Lien hypertexte" xfId="23267" builtinId="8" hidden="1"/>
    <cellStyle name="Lien hypertexte" xfId="23227" builtinId="8" hidden="1"/>
    <cellStyle name="Lien hypertexte" xfId="23189" builtinId="8" hidden="1"/>
    <cellStyle name="Lien hypertexte" xfId="23147" builtinId="8" hidden="1"/>
    <cellStyle name="Lien hypertexte" xfId="23109" builtinId="8" hidden="1"/>
    <cellStyle name="Lien hypertexte" xfId="23069" builtinId="8" hidden="1"/>
    <cellStyle name="Lien hypertexte" xfId="23031" builtinId="8" hidden="1"/>
    <cellStyle name="Lien hypertexte" xfId="22991" builtinId="8" hidden="1"/>
    <cellStyle name="Lien hypertexte" xfId="22953" builtinId="8" hidden="1"/>
    <cellStyle name="Lien hypertexte" xfId="22915" builtinId="8" hidden="1"/>
    <cellStyle name="Lien hypertexte" xfId="22875" builtinId="8" hidden="1"/>
    <cellStyle name="Lien hypertexte" xfId="22837" builtinId="8" hidden="1"/>
    <cellStyle name="Lien hypertexte" xfId="22797" builtinId="8" hidden="1"/>
    <cellStyle name="Lien hypertexte" xfId="22759" builtinId="8" hidden="1"/>
    <cellStyle name="Lien hypertexte" xfId="22719" builtinId="8" hidden="1"/>
    <cellStyle name="Lien hypertexte" xfId="22681" builtinId="8" hidden="1"/>
    <cellStyle name="Lien hypertexte" xfId="22643" builtinId="8" hidden="1"/>
    <cellStyle name="Lien hypertexte" xfId="22603" builtinId="8" hidden="1"/>
    <cellStyle name="Lien hypertexte" xfId="22563" builtinId="8" hidden="1"/>
    <cellStyle name="Lien hypertexte" xfId="22523" builtinId="8" hidden="1"/>
    <cellStyle name="Lien hypertexte" xfId="22485" builtinId="8" hidden="1"/>
    <cellStyle name="Lien hypertexte" xfId="22445" builtinId="8" hidden="1"/>
    <cellStyle name="Lien hypertexte" xfId="22407" builtinId="8" hidden="1"/>
    <cellStyle name="Lien hypertexte" xfId="22367" builtinId="8" hidden="1"/>
    <cellStyle name="Lien hypertexte" xfId="22329" builtinId="8" hidden="1"/>
    <cellStyle name="Lien hypertexte" xfId="22291" builtinId="8" hidden="1"/>
    <cellStyle name="Lien hypertexte" xfId="22251" builtinId="8" hidden="1"/>
    <cellStyle name="Lien hypertexte" xfId="22213" builtinId="8" hidden="1"/>
    <cellStyle name="Lien hypertexte" xfId="22173" builtinId="8" hidden="1"/>
    <cellStyle name="Lien hypertexte" xfId="22135" builtinId="8" hidden="1"/>
    <cellStyle name="Lien hypertexte" xfId="22095" builtinId="8" hidden="1"/>
    <cellStyle name="Lien hypertexte" xfId="22057" builtinId="8" hidden="1"/>
    <cellStyle name="Lien hypertexte" xfId="22019" builtinId="8" hidden="1"/>
    <cellStyle name="Lien hypertexte" xfId="21977" builtinId="8" hidden="1"/>
    <cellStyle name="Lien hypertexte" xfId="21939" builtinId="8" hidden="1"/>
    <cellStyle name="Lien hypertexte" xfId="21899" builtinId="8" hidden="1"/>
    <cellStyle name="Lien hypertexte" xfId="21861" builtinId="8" hidden="1"/>
    <cellStyle name="Lien hypertexte" xfId="21821" builtinId="8" hidden="1"/>
    <cellStyle name="Lien hypertexte" xfId="21783" builtinId="8" hidden="1"/>
    <cellStyle name="Lien hypertexte" xfId="21743" builtinId="8" hidden="1"/>
    <cellStyle name="Lien hypertexte" xfId="19745" builtinId="8" hidden="1"/>
    <cellStyle name="Lien hypertexte" xfId="16088" builtinId="8" hidden="1"/>
    <cellStyle name="Lien hypertexte" xfId="16360" builtinId="8" hidden="1"/>
    <cellStyle name="Lien hypertexte" xfId="16634" builtinId="8" hidden="1"/>
    <cellStyle name="Lien hypertexte" xfId="16906" builtinId="8" hidden="1"/>
    <cellStyle name="Lien hypertexte" xfId="17180" builtinId="8" hidden="1"/>
    <cellStyle name="Lien hypertexte" xfId="17452" builtinId="8" hidden="1"/>
    <cellStyle name="Lien hypertexte" xfId="17726" builtinId="8" hidden="1"/>
    <cellStyle name="Lien hypertexte" xfId="17998" builtinId="8" hidden="1"/>
    <cellStyle name="Lien hypertexte" xfId="18272" builtinId="8" hidden="1"/>
    <cellStyle name="Lien hypertexte" xfId="18563" builtinId="8" hidden="1"/>
    <cellStyle name="Lien hypertexte" xfId="18835" builtinId="8" hidden="1"/>
    <cellStyle name="Lien hypertexte" xfId="14694" builtinId="8" hidden="1"/>
    <cellStyle name="Lien hypertexte" xfId="14958" builtinId="8" hidden="1"/>
    <cellStyle name="Lien hypertexte" xfId="15224" builtinId="8" hidden="1"/>
    <cellStyle name="Lien hypertexte" xfId="15488" builtinId="8" hidden="1"/>
    <cellStyle name="Lien hypertexte" xfId="15752" builtinId="8" hidden="1"/>
    <cellStyle name="Lien hypertexte" xfId="688" builtinId="8" hidden="1"/>
    <cellStyle name="Lien hypertexte" xfId="948" builtinId="8" hidden="1"/>
    <cellStyle name="Lien hypertexte" xfId="14562" builtinId="8" hidden="1"/>
    <cellStyle name="Lien hypertexte" xfId="532" builtinId="8" hidden="1"/>
    <cellStyle name="Lien hypertexte" xfId="332" builtinId="8" hidden="1"/>
    <cellStyle name="Lien hypertexte" xfId="62" builtinId="8" hidden="1"/>
    <cellStyle name="Lien hypertexte" xfId="110" builtinId="8" hidden="1"/>
    <cellStyle name="Lien hypertexte" xfId="184" builtinId="8" hidden="1"/>
    <cellStyle name="Lien hypertexte" xfId="148" builtinId="8" hidden="1"/>
    <cellStyle name="Lien hypertexte" xfId="336" builtinId="8" hidden="1"/>
    <cellStyle name="Lien hypertexte" xfId="298" builtinId="8" hidden="1"/>
    <cellStyle name="Lien hypertexte" xfId="262" builtinId="8" hidden="1"/>
    <cellStyle name="Lien hypertexte" xfId="226" builtinId="8" hidden="1"/>
    <cellStyle name="Lien hypertexte" xfId="646" builtinId="8" hidden="1"/>
    <cellStyle name="Lien hypertexte" xfId="608" builtinId="8" hidden="1"/>
    <cellStyle name="Lien hypertexte" xfId="572" builtinId="8" hidden="1"/>
    <cellStyle name="Lien hypertexte" xfId="536" builtinId="8" hidden="1"/>
    <cellStyle name="Lien hypertexte" xfId="498" builtinId="8" hidden="1"/>
    <cellStyle name="Lien hypertexte" xfId="462" builtinId="8" hidden="1"/>
    <cellStyle name="Lien hypertexte" xfId="424" builtinId="8" hidden="1"/>
    <cellStyle name="Lien hypertexte" xfId="388" builtinId="8" hidden="1"/>
    <cellStyle name="Lien hypertexte" xfId="350" builtinId="8" hidden="1"/>
    <cellStyle name="Lien hypertexte" xfId="14604" builtinId="8" hidden="1"/>
    <cellStyle name="Lien hypertexte" xfId="14566" builtinId="8" hidden="1"/>
    <cellStyle name="Lien hypertexte" xfId="14528" builtinId="8" hidden="1"/>
    <cellStyle name="Lien hypertexte" xfId="1138" builtinId="8" hidden="1"/>
    <cellStyle name="Lien hypertexte" xfId="1102" builtinId="8" hidden="1"/>
    <cellStyle name="Lien hypertexte" xfId="1064" builtinId="8" hidden="1"/>
    <cellStyle name="Lien hypertexte" xfId="1026" builtinId="8" hidden="1"/>
    <cellStyle name="Lien hypertexte" xfId="990" builtinId="8" hidden="1"/>
    <cellStyle name="Lien hypertexte" xfId="952" builtinId="8" hidden="1"/>
    <cellStyle name="Lien hypertexte" xfId="914" builtinId="8" hidden="1"/>
    <cellStyle name="Lien hypertexte" xfId="878" builtinId="8" hidden="1"/>
    <cellStyle name="Lien hypertexte" xfId="842" builtinId="8" hidden="1"/>
    <cellStyle name="Lien hypertexte" xfId="804" builtinId="8" hidden="1"/>
    <cellStyle name="Lien hypertexte" xfId="766" builtinId="8" hidden="1"/>
    <cellStyle name="Lien hypertexte" xfId="730" builtinId="8" hidden="1"/>
    <cellStyle name="Lien hypertexte" xfId="692" builtinId="8" hidden="1"/>
    <cellStyle name="Lien hypertexte" xfId="654" builtinId="8" hidden="1"/>
    <cellStyle name="Lien hypertexte" xfId="15664" builtinId="8" hidden="1"/>
    <cellStyle name="Lien hypertexte" xfId="15906" builtinId="8" hidden="1"/>
    <cellStyle name="Lien hypertexte" xfId="15870" builtinId="8" hidden="1"/>
    <cellStyle name="Lien hypertexte" xfId="15830" builtinId="8" hidden="1"/>
    <cellStyle name="Lien hypertexte" xfId="15794" builtinId="8" hidden="1"/>
    <cellStyle name="Lien hypertexte" xfId="15756" builtinId="8" hidden="1"/>
    <cellStyle name="Lien hypertexte" xfId="15716" builtinId="8" hidden="1"/>
    <cellStyle name="Lien hypertexte" xfId="15680" builtinId="8" hidden="1"/>
    <cellStyle name="Lien hypertexte" xfId="15642" builtinId="8" hidden="1"/>
    <cellStyle name="Lien hypertexte" xfId="15606" builtinId="8" hidden="1"/>
    <cellStyle name="Lien hypertexte" xfId="15566" builtinId="8" hidden="1"/>
    <cellStyle name="Lien hypertexte" xfId="15528" builtinId="8" hidden="1"/>
    <cellStyle name="Lien hypertexte" xfId="15492" builtinId="8" hidden="1"/>
    <cellStyle name="Lien hypertexte" xfId="15452" builtinId="8" hidden="1"/>
    <cellStyle name="Lien hypertexte" xfId="15416" builtinId="8" hidden="1"/>
    <cellStyle name="Lien hypertexte" xfId="15378" builtinId="8" hidden="1"/>
    <cellStyle name="Lien hypertexte" xfId="15340" builtinId="8" hidden="1"/>
    <cellStyle name="Lien hypertexte" xfId="15302" builtinId="8" hidden="1"/>
    <cellStyle name="Lien hypertexte" xfId="15264" builtinId="8" hidden="1"/>
    <cellStyle name="Lien hypertexte" xfId="15228" builtinId="8" hidden="1"/>
    <cellStyle name="Lien hypertexte" xfId="15188" builtinId="8" hidden="1"/>
    <cellStyle name="Lien hypertexte" xfId="15150" builtinId="8" hidden="1"/>
    <cellStyle name="Lien hypertexte" xfId="15114" builtinId="8" hidden="1"/>
    <cellStyle name="Lien hypertexte" xfId="15076" builtinId="8" hidden="1"/>
    <cellStyle name="Lien hypertexte" xfId="15038" builtinId="8" hidden="1"/>
    <cellStyle name="Lien hypertexte" xfId="15000" builtinId="8" hidden="1"/>
    <cellStyle name="Lien hypertexte" xfId="14964" builtinId="8" hidden="1"/>
    <cellStyle name="Lien hypertexte" xfId="14924" builtinId="8" hidden="1"/>
    <cellStyle name="Lien hypertexte" xfId="14886" builtinId="8" hidden="1"/>
    <cellStyle name="Lien hypertexte" xfId="14850" builtinId="8" hidden="1"/>
    <cellStyle name="Lien hypertexte" xfId="14812" builtinId="8" hidden="1"/>
    <cellStyle name="Lien hypertexte" xfId="14774" builtinId="8" hidden="1"/>
    <cellStyle name="Lien hypertexte" xfId="14736" builtinId="8" hidden="1"/>
    <cellStyle name="Lien hypertexte" xfId="14698" builtinId="8" hidden="1"/>
    <cellStyle name="Lien hypertexte" xfId="14660" builtinId="8" hidden="1"/>
    <cellStyle name="Lien hypertexte" xfId="16016" builtinId="8" hidden="1"/>
    <cellStyle name="Lien hypertexte" xfId="16592" builtinId="8" hidden="1"/>
    <cellStyle name="Lien hypertexte" xfId="17168" builtinId="8" hidden="1"/>
    <cellStyle name="Lien hypertexte" xfId="17776" builtinId="8" hidden="1"/>
    <cellStyle name="Lien hypertexte" xfId="18369" builtinId="8" hidden="1"/>
    <cellStyle name="Lien hypertexte" xfId="18839" builtinId="8" hidden="1"/>
    <cellStyle name="Lien hypertexte" xfId="18799" builtinId="8" hidden="1"/>
    <cellStyle name="Lien hypertexte" xfId="18761" builtinId="8" hidden="1"/>
    <cellStyle name="Lien hypertexte" xfId="18723" builtinId="8" hidden="1"/>
    <cellStyle name="Lien hypertexte" xfId="18683" builtinId="8" hidden="1"/>
    <cellStyle name="Lien hypertexte" xfId="18643" builtinId="8" hidden="1"/>
    <cellStyle name="Lien hypertexte" xfId="18605" builtinId="8" hidden="1"/>
    <cellStyle name="Lien hypertexte" xfId="18567" builtinId="8" hidden="1"/>
    <cellStyle name="Lien hypertexte" xfId="18525" builtinId="8" hidden="1"/>
    <cellStyle name="Lien hypertexte" xfId="18487" builtinId="8" hidden="1"/>
    <cellStyle name="Lien hypertexte" xfId="18449" builtinId="8" hidden="1"/>
    <cellStyle name="Lien hypertexte" xfId="18411" builtinId="8" hidden="1"/>
    <cellStyle name="Lien hypertexte" xfId="18371" builtinId="8" hidden="1"/>
    <cellStyle name="Lien hypertexte" xfId="18331" builtinId="8" hidden="1"/>
    <cellStyle name="Lien hypertexte" xfId="18276" builtinId="8" hidden="1"/>
    <cellStyle name="Lien hypertexte" xfId="18236" builtinId="8" hidden="1"/>
    <cellStyle name="Lien hypertexte" xfId="18198" builtinId="8" hidden="1"/>
    <cellStyle name="Lien hypertexte" xfId="18158" builtinId="8" hidden="1"/>
    <cellStyle name="Lien hypertexte" xfId="18120" builtinId="8" hidden="1"/>
    <cellStyle name="Lien hypertexte" xfId="18080" builtinId="8" hidden="1"/>
    <cellStyle name="Lien hypertexte" xfId="18042" builtinId="8" hidden="1"/>
    <cellStyle name="Lien hypertexte" xfId="18004" builtinId="8" hidden="1"/>
    <cellStyle name="Lien hypertexte" xfId="17962" builtinId="8" hidden="1"/>
    <cellStyle name="Lien hypertexte" xfId="17924" builtinId="8" hidden="1"/>
    <cellStyle name="Lien hypertexte" xfId="17886" builtinId="8" hidden="1"/>
    <cellStyle name="Lien hypertexte" xfId="17848" builtinId="8" hidden="1"/>
    <cellStyle name="Lien hypertexte" xfId="17806" builtinId="8" hidden="1"/>
    <cellStyle name="Lien hypertexte" xfId="17768" builtinId="8" hidden="1"/>
    <cellStyle name="Lien hypertexte" xfId="17730" builtinId="8" hidden="1"/>
    <cellStyle name="Lien hypertexte" xfId="17690" builtinId="8" hidden="1"/>
    <cellStyle name="Lien hypertexte" xfId="17652" builtinId="8" hidden="1"/>
    <cellStyle name="Lien hypertexte" xfId="17612" builtinId="8" hidden="1"/>
    <cellStyle name="Lien hypertexte" xfId="17574" builtinId="8" hidden="1"/>
    <cellStyle name="Lien hypertexte" xfId="17534" builtinId="8" hidden="1"/>
    <cellStyle name="Lien hypertexte" xfId="17496" builtinId="8" hidden="1"/>
    <cellStyle name="Lien hypertexte" xfId="17458" builtinId="8" hidden="1"/>
    <cellStyle name="Lien hypertexte" xfId="17416" builtinId="8" hidden="1"/>
    <cellStyle name="Lien hypertexte" xfId="17378" builtinId="8" hidden="1"/>
    <cellStyle name="Lien hypertexte" xfId="17340" builtinId="8" hidden="1"/>
    <cellStyle name="Lien hypertexte" xfId="17302" builtinId="8" hidden="1"/>
    <cellStyle name="Lien hypertexte" xfId="17260" builtinId="8" hidden="1"/>
    <cellStyle name="Lien hypertexte" xfId="17222" builtinId="8" hidden="1"/>
    <cellStyle name="Lien hypertexte" xfId="17184" builtinId="8" hidden="1"/>
    <cellStyle name="Lien hypertexte" xfId="17144" builtinId="8" hidden="1"/>
    <cellStyle name="Lien hypertexte" xfId="17106" builtinId="8" hidden="1"/>
    <cellStyle name="Lien hypertexte" xfId="17066" builtinId="8" hidden="1"/>
    <cellStyle name="Lien hypertexte" xfId="17028" builtinId="8" hidden="1"/>
    <cellStyle name="Lien hypertexte" xfId="16988" builtinId="8" hidden="1"/>
    <cellStyle name="Lien hypertexte" xfId="16950" builtinId="8" hidden="1"/>
    <cellStyle name="Lien hypertexte" xfId="16910" builtinId="8" hidden="1"/>
    <cellStyle name="Lien hypertexte" xfId="16870" builtinId="8" hidden="1"/>
    <cellStyle name="Lien hypertexte" xfId="16832" builtinId="8" hidden="1"/>
    <cellStyle name="Lien hypertexte" xfId="16794" builtinId="8" hidden="1"/>
    <cellStyle name="Lien hypertexte" xfId="16756" builtinId="8" hidden="1"/>
    <cellStyle name="Lien hypertexte" xfId="16714" builtinId="8" hidden="1"/>
    <cellStyle name="Lien hypertexte" xfId="16676" builtinId="8" hidden="1"/>
    <cellStyle name="Lien hypertexte" xfId="16638" builtinId="8" hidden="1"/>
    <cellStyle name="Lien hypertexte" xfId="16598" builtinId="8" hidden="1"/>
    <cellStyle name="Lien hypertexte" xfId="16558" builtinId="8" hidden="1"/>
    <cellStyle name="Lien hypertexte" xfId="16520" builtinId="8" hidden="1"/>
    <cellStyle name="Lien hypertexte" xfId="16482" builtinId="8" hidden="1"/>
    <cellStyle name="Lien hypertexte" xfId="16442" builtinId="8" hidden="1"/>
    <cellStyle name="Lien hypertexte" xfId="16404" builtinId="8" hidden="1"/>
    <cellStyle name="Lien hypertexte" xfId="16364" builtinId="8" hidden="1"/>
    <cellStyle name="Lien hypertexte" xfId="16324" builtinId="8" hidden="1"/>
    <cellStyle name="Lien hypertexte" xfId="16286" builtinId="8" hidden="1"/>
    <cellStyle name="Lien hypertexte" xfId="16248" builtinId="8" hidden="1"/>
    <cellStyle name="Lien hypertexte" xfId="16210" builtinId="8" hidden="1"/>
    <cellStyle name="Lien hypertexte" xfId="16168" builtinId="8" hidden="1"/>
    <cellStyle name="Lien hypertexte" xfId="16130" builtinId="8" hidden="1"/>
    <cellStyle name="Lien hypertexte" xfId="16092" builtinId="8" hidden="1"/>
    <cellStyle name="Lien hypertexte" xfId="16052" builtinId="8" hidden="1"/>
    <cellStyle name="Lien hypertexte" xfId="16012" builtinId="8" hidden="1"/>
    <cellStyle name="Lien hypertexte" xfId="15974" builtinId="8" hidden="1"/>
    <cellStyle name="Lien hypertexte" xfId="15936" builtinId="8" hidden="1"/>
    <cellStyle name="Lien hypertexte" xfId="19137" builtinId="8" hidden="1"/>
    <cellStyle name="Lien hypertexte" xfId="19425" builtinId="8" hidden="1"/>
    <cellStyle name="Lien hypertexte" xfId="19713" builtinId="8" hidden="1"/>
    <cellStyle name="Lien hypertexte" xfId="20017" builtinId="8" hidden="1"/>
    <cellStyle name="Lien hypertexte" xfId="20305" builtinId="8" hidden="1"/>
    <cellStyle name="Lien hypertexte" xfId="20593" builtinId="8" hidden="1"/>
    <cellStyle name="Lien hypertexte" xfId="20881" builtinId="8" hidden="1"/>
    <cellStyle name="Lien hypertexte" xfId="21201" builtinId="8" hidden="1"/>
    <cellStyle name="Lien hypertexte" xfId="20993" builtinId="8" hidden="1"/>
    <cellStyle name="Lien hypertexte" xfId="21329" builtinId="8" hidden="1"/>
    <cellStyle name="Lien hypertexte" xfId="21505" builtinId="8" hidden="1"/>
    <cellStyle name="Lien hypertexte" xfId="21473" builtinId="8" hidden="1"/>
    <cellStyle name="Lien hypertexte" xfId="21249" builtinId="8" hidden="1"/>
    <cellStyle name="Lien hypertexte" xfId="21009" builtinId="8" hidden="1"/>
    <cellStyle name="Lien hypertexte" xfId="21217" builtinId="8" hidden="1"/>
    <cellStyle name="Lien hypertexte" xfId="20849" builtinId="8" hidden="1"/>
    <cellStyle name="Lien hypertexte" xfId="20561" builtinId="8" hidden="1"/>
    <cellStyle name="Lien hypertexte" xfId="20273" builtinId="8" hidden="1"/>
    <cellStyle name="Lien hypertexte" xfId="19969" builtinId="8" hidden="1"/>
    <cellStyle name="Lien hypertexte" xfId="19681" builtinId="8" hidden="1"/>
    <cellStyle name="Lien hypertexte" xfId="19393" builtinId="8" hidden="1"/>
    <cellStyle name="Lien hypertexte" xfId="19089" builtinId="8" hidden="1"/>
    <cellStyle name="Lien hypertexte" xfId="15940" builtinId="8" hidden="1"/>
    <cellStyle name="Lien hypertexte" xfId="15978" builtinId="8" hidden="1"/>
    <cellStyle name="Lien hypertexte" xfId="16018" builtinId="8" hidden="1"/>
    <cellStyle name="Lien hypertexte" xfId="16058" builtinId="8" hidden="1"/>
    <cellStyle name="Lien hypertexte" xfId="16096" builtinId="8" hidden="1"/>
    <cellStyle name="Lien hypertexte" xfId="16134" builtinId="8" hidden="1"/>
    <cellStyle name="Lien hypertexte" xfId="16174" builtinId="8" hidden="1"/>
    <cellStyle name="Lien hypertexte" xfId="16214" builtinId="8" hidden="1"/>
    <cellStyle name="Lien hypertexte" xfId="16252" builtinId="8" hidden="1"/>
    <cellStyle name="Lien hypertexte" xfId="16290" builtinId="8" hidden="1"/>
    <cellStyle name="Lien hypertexte" xfId="16330" builtinId="8" hidden="1"/>
    <cellStyle name="Lien hypertexte" xfId="16370" builtinId="8" hidden="1"/>
    <cellStyle name="Lien hypertexte" xfId="16408" builtinId="8" hidden="1"/>
    <cellStyle name="Lien hypertexte" xfId="16448" builtinId="8" hidden="1"/>
    <cellStyle name="Lien hypertexte" xfId="16486" builtinId="8" hidden="1"/>
    <cellStyle name="Lien hypertexte" xfId="16524" builtinId="8" hidden="1"/>
    <cellStyle name="Lien hypertexte" xfId="16564" builtinId="8" hidden="1"/>
    <cellStyle name="Lien hypertexte" xfId="16604" builtinId="8" hidden="1"/>
    <cellStyle name="Lien hypertexte" xfId="16642" builtinId="8" hidden="1"/>
    <cellStyle name="Lien hypertexte" xfId="16680" builtinId="8" hidden="1"/>
    <cellStyle name="Lien hypertexte" xfId="16722" builtinId="8" hidden="1"/>
    <cellStyle name="Lien hypertexte" xfId="16760" builtinId="8" hidden="1"/>
    <cellStyle name="Lien hypertexte" xfId="16798" builtinId="8" hidden="1"/>
    <cellStyle name="Lien hypertexte" xfId="16836" builtinId="8" hidden="1"/>
    <cellStyle name="Lien hypertexte" xfId="16876" builtinId="8" hidden="1"/>
    <cellStyle name="Lien hypertexte" xfId="16916" builtinId="8" hidden="1"/>
    <cellStyle name="Lien hypertexte" xfId="16954" builtinId="8" hidden="1"/>
    <cellStyle name="Lien hypertexte" xfId="16994" builtinId="8" hidden="1"/>
    <cellStyle name="Lien hypertexte" xfId="17032" builtinId="8" hidden="1"/>
    <cellStyle name="Lien hypertexte" xfId="17070" builtinId="8" hidden="1"/>
    <cellStyle name="Lien hypertexte" xfId="17110" builtinId="8" hidden="1"/>
    <cellStyle name="Lien hypertexte" xfId="17150" builtinId="8" hidden="1"/>
    <cellStyle name="Lien hypertexte" xfId="17188" builtinId="8" hidden="1"/>
    <cellStyle name="Lien hypertexte" xfId="17226" builtinId="8" hidden="1"/>
    <cellStyle name="Lien hypertexte" xfId="17268" builtinId="8" hidden="1"/>
    <cellStyle name="Lien hypertexte" xfId="17306" builtinId="8" hidden="1"/>
    <cellStyle name="Lien hypertexte" xfId="17344" builtinId="8" hidden="1"/>
    <cellStyle name="Lien hypertexte" xfId="17382" builtinId="8" hidden="1"/>
    <cellStyle name="Lien hypertexte" xfId="17422" builtinId="8" hidden="1"/>
    <cellStyle name="Lien hypertexte" xfId="17462" builtinId="8" hidden="1"/>
    <cellStyle name="Lien hypertexte" xfId="17500" builtinId="8" hidden="1"/>
    <cellStyle name="Lien hypertexte" xfId="17540" builtinId="8" hidden="1"/>
    <cellStyle name="Lien hypertexte" xfId="17578" builtinId="8" hidden="1"/>
    <cellStyle name="Lien hypertexte" xfId="17618" builtinId="8" hidden="1"/>
    <cellStyle name="Lien hypertexte" xfId="17656" builtinId="8" hidden="1"/>
    <cellStyle name="Lien hypertexte" xfId="17696" builtinId="8" hidden="1"/>
    <cellStyle name="Lien hypertexte" xfId="17734" builtinId="8" hidden="1"/>
    <cellStyle name="Lien hypertexte" xfId="17772" builtinId="8" hidden="1"/>
    <cellStyle name="Lien hypertexte" xfId="17814" builtinId="8" hidden="1"/>
    <cellStyle name="Lien hypertexte" xfId="17852" builtinId="8" hidden="1"/>
    <cellStyle name="Lien hypertexte" xfId="17890" builtinId="8" hidden="1"/>
    <cellStyle name="Lien hypertexte" xfId="17928" builtinId="8" hidden="1"/>
    <cellStyle name="Lien hypertexte" xfId="17970" builtinId="8" hidden="1"/>
    <cellStyle name="Lien hypertexte" xfId="18008" builtinId="8" hidden="1"/>
    <cellStyle name="Lien hypertexte" xfId="18046" builtinId="8" hidden="1"/>
    <cellStyle name="Lien hypertexte" xfId="18086" builtinId="8" hidden="1"/>
    <cellStyle name="Lien hypertexte" xfId="18124" builtinId="8" hidden="1"/>
    <cellStyle name="Lien hypertexte" xfId="18164" builtinId="8" hidden="1"/>
    <cellStyle name="Lien hypertexte" xfId="18202" builtinId="8" hidden="1"/>
    <cellStyle name="Lien hypertexte" xfId="18242" builtinId="8" hidden="1"/>
    <cellStyle name="Lien hypertexte" xfId="18280" builtinId="8" hidden="1"/>
    <cellStyle name="Lien hypertexte" xfId="18335" builtinId="8" hidden="1"/>
    <cellStyle name="Lien hypertexte" xfId="18377" builtinId="8" hidden="1"/>
    <cellStyle name="Lien hypertexte" xfId="18415" builtinId="8" hidden="1"/>
    <cellStyle name="Lien hypertexte" xfId="18453" builtinId="8" hidden="1"/>
    <cellStyle name="Lien hypertexte" xfId="18491" builtinId="8" hidden="1"/>
    <cellStyle name="Lien hypertexte" xfId="18533" builtinId="8" hidden="1"/>
    <cellStyle name="Lien hypertexte" xfId="18571" builtinId="8" hidden="1"/>
    <cellStyle name="Lien hypertexte" xfId="18609" builtinId="8" hidden="1"/>
    <cellStyle name="Lien hypertexte" xfId="18649" builtinId="8" hidden="1"/>
    <cellStyle name="Lien hypertexte" xfId="18687" builtinId="8" hidden="1"/>
    <cellStyle name="Lien hypertexte" xfId="18727" builtinId="8" hidden="1"/>
    <cellStyle name="Lien hypertexte" xfId="18765" builtinId="8" hidden="1"/>
    <cellStyle name="Lien hypertexte" xfId="18805" builtinId="8" hidden="1"/>
    <cellStyle name="Lien hypertexte" xfId="18843" builtinId="8" hidden="1"/>
    <cellStyle name="Lien hypertexte" xfId="18288" builtinId="8" hidden="1"/>
    <cellStyle name="Lien hypertexte" xfId="17680" builtinId="8" hidden="1"/>
    <cellStyle name="Lien hypertexte" xfId="17104" builtinId="8" hidden="1"/>
    <cellStyle name="Lien hypertexte" xfId="16528" builtinId="8" hidden="1"/>
    <cellStyle name="Lien hypertexte" xfId="15952" builtinId="8" hidden="1"/>
    <cellStyle name="Lien hypertexte" xfId="14666" builtinId="8" hidden="1"/>
    <cellStyle name="Lien hypertexte" xfId="14702" builtinId="8" hidden="1"/>
    <cellStyle name="Lien hypertexte" xfId="14740" builtinId="8" hidden="1"/>
    <cellStyle name="Lien hypertexte" xfId="14780" builtinId="8" hidden="1"/>
    <cellStyle name="Lien hypertexte" xfId="14816" builtinId="8" hidden="1"/>
    <cellStyle name="Lien hypertexte" xfId="14854" builtinId="8" hidden="1"/>
    <cellStyle name="Lien hypertexte" xfId="14890" builtinId="8" hidden="1"/>
    <cellStyle name="Lien hypertexte" xfId="14930" builtinId="8" hidden="1"/>
    <cellStyle name="Lien hypertexte" xfId="14968" builtinId="8" hidden="1"/>
    <cellStyle name="Lien hypertexte" xfId="15004" builtinId="8" hidden="1"/>
    <cellStyle name="Lien hypertexte" xfId="15044" builtinId="8" hidden="1"/>
    <cellStyle name="Lien hypertexte" xfId="15080" builtinId="8" hidden="1"/>
    <cellStyle name="Lien hypertexte" xfId="15118" builtinId="8" hidden="1"/>
    <cellStyle name="Lien hypertexte" xfId="15156" builtinId="8" hidden="1"/>
    <cellStyle name="Lien hypertexte" xfId="15194" builtinId="8" hidden="1"/>
    <cellStyle name="Lien hypertexte" xfId="15232" builtinId="8" hidden="1"/>
    <cellStyle name="Lien hypertexte" xfId="15268" builtinId="8" hidden="1"/>
    <cellStyle name="Lien hypertexte" xfId="15308" builtinId="8" hidden="1"/>
    <cellStyle name="Lien hypertexte" xfId="15346" builtinId="8" hidden="1"/>
    <cellStyle name="Lien hypertexte" xfId="15382" builtinId="8" hidden="1"/>
    <cellStyle name="Lien hypertexte" xfId="15420" builtinId="8" hidden="1"/>
    <cellStyle name="Lien hypertexte" xfId="15458" builtinId="8" hidden="1"/>
    <cellStyle name="Lien hypertexte" xfId="15496" builtinId="8" hidden="1"/>
    <cellStyle name="Lien hypertexte" xfId="15532" builtinId="8" hidden="1"/>
    <cellStyle name="Lien hypertexte" xfId="15572" builtinId="8" hidden="1"/>
    <cellStyle name="Lien hypertexte" xfId="15610" builtinId="8" hidden="1"/>
    <cellStyle name="Lien hypertexte" xfId="15646" builtinId="8" hidden="1"/>
    <cellStyle name="Lien hypertexte" xfId="15684" builtinId="8" hidden="1"/>
    <cellStyle name="Lien hypertexte" xfId="15722" builtinId="8" hidden="1"/>
    <cellStyle name="Lien hypertexte" xfId="15760" builtinId="8" hidden="1"/>
    <cellStyle name="Lien hypertexte" xfId="15798" builtinId="8" hidden="1"/>
    <cellStyle name="Lien hypertexte" xfId="15836" builtinId="8" hidden="1"/>
    <cellStyle name="Lien hypertexte" xfId="15874" builtinId="8" hidden="1"/>
    <cellStyle name="Lien hypertexte" xfId="15910" builtinId="8" hidden="1"/>
    <cellStyle name="Lien hypertexte" xfId="15536" builtinId="8" hidden="1"/>
    <cellStyle name="Lien hypertexte" xfId="660" builtinId="8" hidden="1"/>
    <cellStyle name="Lien hypertexte" xfId="696" builtinId="8" hidden="1"/>
    <cellStyle name="Lien hypertexte" xfId="734" builtinId="8" hidden="1"/>
    <cellStyle name="Lien hypertexte" xfId="772" builtinId="8" hidden="1"/>
    <cellStyle name="Lien hypertexte" xfId="808" builtinId="8" hidden="1"/>
    <cellStyle name="Lien hypertexte" xfId="846" builtinId="8" hidden="1"/>
    <cellStyle name="Lien hypertexte" xfId="882" builtinId="8" hidden="1"/>
    <cellStyle name="Lien hypertexte" xfId="920" builtinId="8" hidden="1"/>
    <cellStyle name="Lien hypertexte" xfId="956" builtinId="8" hidden="1"/>
    <cellStyle name="Lien hypertexte" xfId="994" builtinId="8" hidden="1"/>
    <cellStyle name="Lien hypertexte" xfId="1032" builtinId="8" hidden="1"/>
    <cellStyle name="Lien hypertexte" xfId="1068" builtinId="8" hidden="1"/>
    <cellStyle name="Lien hypertexte" xfId="1106" builtinId="8" hidden="1"/>
    <cellStyle name="Lien hypertexte" xfId="1142" builtinId="8" hidden="1"/>
    <cellStyle name="Lien hypertexte" xfId="14534" builtinId="8" hidden="1"/>
    <cellStyle name="Lien hypertexte" xfId="14570" builtinId="8" hidden="1"/>
    <cellStyle name="Lien hypertexte" xfId="14608" builtinId="8" hidden="1"/>
    <cellStyle name="Lien hypertexte" xfId="356" builtinId="8" hidden="1"/>
    <cellStyle name="Lien hypertexte" xfId="392" builtinId="8" hidden="1"/>
    <cellStyle name="Lien hypertexte" xfId="428" builtinId="8" hidden="1"/>
    <cellStyle name="Lien hypertexte" xfId="466" builtinId="8" hidden="1"/>
    <cellStyle name="Lien hypertexte" xfId="504" builtinId="8" hidden="1"/>
    <cellStyle name="Lien hypertexte" xfId="540" builtinId="8" hidden="1"/>
    <cellStyle name="Lien hypertexte" xfId="576" builtinId="8" hidden="1"/>
    <cellStyle name="Lien hypertexte" xfId="614" builtinId="8" hidden="1"/>
    <cellStyle name="Lien hypertexte" xfId="650" builtinId="8" hidden="1"/>
    <cellStyle name="Lien hypertexte" xfId="230" builtinId="8" hidden="1"/>
    <cellStyle name="Lien hypertexte" xfId="266" builtinId="8" hidden="1"/>
    <cellStyle name="Lien hypertexte" xfId="304" builtinId="8" hidden="1"/>
    <cellStyle name="Lien hypertexte" xfId="340" builtinId="8" hidden="1"/>
    <cellStyle name="Lien hypertexte" xfId="152" builtinId="8" hidden="1"/>
    <cellStyle name="Lien hypertexte" xfId="190" builtinId="8" hidden="1"/>
    <cellStyle name="Lien hypertexte" xfId="114" builtinId="8" hidden="1"/>
    <cellStyle name="Lien hypertexte" xfId="66" builtinId="8" hidden="1"/>
    <cellStyle name="Lien hypertexte" xfId="300" builtinId="8" hidden="1"/>
    <cellStyle name="Lien hypertexte" xfId="500" builtinId="8" hidden="1"/>
    <cellStyle name="Lien hypertexte" xfId="14530" builtinId="8" hidden="1"/>
    <cellStyle name="Lien hypertexte" xfId="916" builtinId="8" hidden="1"/>
    <cellStyle name="Lien hypertexte" xfId="656" builtinId="8" hidden="1"/>
    <cellStyle name="Lien hypertexte" xfId="15718" builtinId="8" hidden="1"/>
    <cellStyle name="Lien hypertexte" xfId="15454" builtinId="8" hidden="1"/>
    <cellStyle name="Lien hypertexte" xfId="15190" builtinId="8" hidden="1"/>
    <cellStyle name="Lien hypertexte" xfId="14926" builtinId="8" hidden="1"/>
    <cellStyle name="Lien hypertexte" xfId="14662" builtinId="8" hidden="1"/>
    <cellStyle name="Lien hypertexte" xfId="18801" builtinId="8" hidden="1"/>
    <cellStyle name="Lien hypertexte" xfId="18527" builtinId="8" hidden="1"/>
    <cellStyle name="Lien hypertexte" xfId="18238" builtinId="8" hidden="1"/>
    <cellStyle name="Lien hypertexte" xfId="17964" builtinId="8" hidden="1"/>
    <cellStyle name="Lien hypertexte" xfId="17692" builtinId="8" hidden="1"/>
    <cellStyle name="Lien hypertexte" xfId="17418" builtinId="8" hidden="1"/>
    <cellStyle name="Lien hypertexte" xfId="17146" builtinId="8" hidden="1"/>
    <cellStyle name="Lien hypertexte" xfId="16872" builtinId="8" hidden="1"/>
    <cellStyle name="Lien hypertexte" xfId="16600" builtinId="8" hidden="1"/>
    <cellStyle name="Lien hypertexte" xfId="16326" builtinId="8" hidden="1"/>
    <cellStyle name="Lien hypertexte" xfId="16054" builtinId="8" hidden="1"/>
    <cellStyle name="Lien hypertexte" xfId="20001" builtinId="8" hidden="1"/>
    <cellStyle name="Lien hypertexte" xfId="21749" builtinId="8" hidden="1"/>
    <cellStyle name="Lien hypertexte" xfId="21787" builtinId="8" hidden="1"/>
    <cellStyle name="Lien hypertexte" xfId="21827" builtinId="8" hidden="1"/>
    <cellStyle name="Lien hypertexte" xfId="21865" builtinId="8" hidden="1"/>
    <cellStyle name="Lien hypertexte" xfId="21903" builtinId="8" hidden="1"/>
    <cellStyle name="Lien hypertexte" xfId="21945" builtinId="8" hidden="1"/>
    <cellStyle name="Lien hypertexte" xfId="21983" builtinId="8" hidden="1"/>
    <cellStyle name="Lien hypertexte" xfId="22023" builtinId="8" hidden="1"/>
    <cellStyle name="Lien hypertexte" xfId="22061" builtinId="8" hidden="1"/>
    <cellStyle name="Lien hypertexte" xfId="22101" builtinId="8" hidden="1"/>
    <cellStyle name="Lien hypertexte" xfId="22139" builtinId="8" hidden="1"/>
    <cellStyle name="Lien hypertexte" xfId="22179" builtinId="8" hidden="1"/>
    <cellStyle name="Lien hypertexte" xfId="22217" builtinId="8" hidden="1"/>
    <cellStyle name="Lien hypertexte" xfId="22255" builtinId="8" hidden="1"/>
    <cellStyle name="Lien hypertexte" xfId="22295" builtinId="8" hidden="1"/>
    <cellStyle name="Lien hypertexte" xfId="22333" builtinId="8" hidden="1"/>
    <cellStyle name="Lien hypertexte" xfId="22373" builtinId="8" hidden="1"/>
    <cellStyle name="Lien hypertexte" xfId="22411" builtinId="8" hidden="1"/>
    <cellStyle name="Lien hypertexte" xfId="22451" builtinId="8" hidden="1"/>
    <cellStyle name="Lien hypertexte" xfId="22489" builtinId="8" hidden="1"/>
    <cellStyle name="Lien hypertexte" xfId="22531" builtinId="8" hidden="1"/>
    <cellStyle name="Lien hypertexte" xfId="22569" builtinId="8" hidden="1"/>
    <cellStyle name="Lien hypertexte" xfId="22607" builtinId="8" hidden="1"/>
    <cellStyle name="Lien hypertexte" xfId="22647" builtinId="8" hidden="1"/>
    <cellStyle name="Lien hypertexte" xfId="22685" builtinId="8" hidden="1"/>
    <cellStyle name="Lien hypertexte" xfId="22725" builtinId="8" hidden="1"/>
    <cellStyle name="Lien hypertexte" xfId="22763" builtinId="8" hidden="1"/>
    <cellStyle name="Lien hypertexte" xfId="22803" builtinId="8" hidden="1"/>
    <cellStyle name="Lien hypertexte" xfId="22841" builtinId="8" hidden="1"/>
    <cellStyle name="Lien hypertexte" xfId="22879" builtinId="8" hidden="1"/>
    <cellStyle name="Lien hypertexte" xfId="22919" builtinId="8" hidden="1"/>
    <cellStyle name="Lien hypertexte" xfId="22957" builtinId="8" hidden="1"/>
    <cellStyle name="Lien hypertexte" xfId="22997" builtinId="8" hidden="1"/>
    <cellStyle name="Lien hypertexte" xfId="23035" builtinId="8" hidden="1"/>
    <cellStyle name="Lien hypertexte" xfId="23075" builtinId="8" hidden="1"/>
    <cellStyle name="Lien hypertexte" xfId="23115" builtinId="8" hidden="1"/>
    <cellStyle name="Lien hypertexte" xfId="23155" builtinId="8" hidden="1"/>
    <cellStyle name="Lien hypertexte" xfId="23193" builtinId="8" hidden="1"/>
    <cellStyle name="Lien hypertexte" xfId="23231" builtinId="8" hidden="1"/>
    <cellStyle name="Lien hypertexte" xfId="23271" builtinId="8" hidden="1"/>
    <cellStyle name="Lien hypertexte" xfId="23309" builtinId="8" hidden="1"/>
    <cellStyle name="Lien hypertexte" xfId="23349" builtinId="8" hidden="1"/>
    <cellStyle name="Lien hypertexte" xfId="23387" builtinId="8" hidden="1"/>
    <cellStyle name="Lien hypertexte" xfId="23427" builtinId="8" hidden="1"/>
    <cellStyle name="Lien hypertexte" xfId="23465" builtinId="8" hidden="1"/>
    <cellStyle name="Lien hypertexte" xfId="23503" builtinId="8" hidden="1"/>
    <cellStyle name="Lien hypertexte" xfId="23543" builtinId="8" hidden="1"/>
    <cellStyle name="Lien hypertexte" xfId="23581" builtinId="8" hidden="1"/>
    <cellStyle name="Lien hypertexte" xfId="23621" builtinId="8" hidden="1"/>
    <cellStyle name="Lien hypertexte" xfId="23659" builtinId="8" hidden="1"/>
    <cellStyle name="Lien hypertexte" xfId="23701" builtinId="8" hidden="1"/>
    <cellStyle name="Lien hypertexte" xfId="23739" builtinId="8" hidden="1"/>
    <cellStyle name="Lien hypertexte" xfId="23779" builtinId="8" hidden="1"/>
    <cellStyle name="Lien hypertexte" xfId="23817" builtinId="8" hidden="1"/>
    <cellStyle name="Lien hypertexte" xfId="23855" builtinId="8" hidden="1"/>
    <cellStyle name="Lien hypertexte" xfId="23895" builtinId="8" hidden="1"/>
    <cellStyle name="Lien hypertexte" xfId="23933" builtinId="8" hidden="1"/>
    <cellStyle name="Lien hypertexte" xfId="23973" builtinId="8" hidden="1"/>
    <cellStyle name="Lien hypertexte" xfId="24011" builtinId="8" hidden="1"/>
    <cellStyle name="Lien hypertexte" xfId="24051" builtinId="8" hidden="1"/>
    <cellStyle name="Lien hypertexte" xfId="24089" builtinId="8" hidden="1"/>
    <cellStyle name="Lien hypertexte" xfId="24127" builtinId="8" hidden="1"/>
    <cellStyle name="Lien hypertexte" xfId="24167" builtinId="8" hidden="1"/>
    <cellStyle name="Lien hypertexte" xfId="24205" builtinId="8" hidden="1"/>
    <cellStyle name="Lien hypertexte" xfId="24245" builtinId="8" hidden="1"/>
    <cellStyle name="Lien hypertexte" xfId="24285" builtinId="8" hidden="1"/>
    <cellStyle name="Lien hypertexte" xfId="24325" builtinId="8" hidden="1"/>
    <cellStyle name="Lien hypertexte" xfId="24363" builtinId="8" hidden="1"/>
    <cellStyle name="Lien hypertexte" xfId="24403" builtinId="8" hidden="1"/>
    <cellStyle name="Lien hypertexte" xfId="24441" builtinId="8" hidden="1"/>
    <cellStyle name="Lien hypertexte" xfId="24479" builtinId="8" hidden="1"/>
    <cellStyle name="Lien hypertexte" xfId="24519" builtinId="8" hidden="1"/>
    <cellStyle name="Lien hypertexte" xfId="24557" builtinId="8" hidden="1"/>
    <cellStyle name="Lien hypertexte" xfId="24597" builtinId="8" hidden="1"/>
    <cellStyle name="Lien hypertexte" xfId="24449" builtinId="8" hidden="1"/>
    <cellStyle name="Lien hypertexte" xfId="24177" builtinId="8" hidden="1"/>
    <cellStyle name="Lien hypertexte" xfId="23905" builtinId="8" hidden="1"/>
    <cellStyle name="Lien hypertexte" xfId="23633" builtinId="8" hidden="1"/>
    <cellStyle name="Lien hypertexte" xfId="23361" builtinId="8" hidden="1"/>
    <cellStyle name="Lien hypertexte" xfId="23089" builtinId="8" hidden="1"/>
    <cellStyle name="Lien hypertexte" xfId="22801" builtinId="8" hidden="1"/>
    <cellStyle name="Lien hypertexte" xfId="22529" builtinId="8" hidden="1"/>
    <cellStyle name="Lien hypertexte" xfId="22257" builtinId="8" hidden="1"/>
    <cellStyle name="Lien hypertexte" xfId="21985" builtinId="8" hidden="1"/>
    <cellStyle name="Lien hypertexte" xfId="21713" builtinId="8" hidden="1"/>
    <cellStyle name="Lien hypertexte" xfId="23329" builtinId="8" hidden="1"/>
    <cellStyle name="Lien hypertexte" xfId="24211" builtinId="8" hidden="1"/>
    <cellStyle name="Lien hypertexte" xfId="23625" builtinId="8" hidden="1"/>
    <cellStyle name="Lien hypertexte" xfId="23039" builtinId="8" hidden="1"/>
    <cellStyle name="Lien hypertexte" xfId="22455" builtinId="8" hidden="1"/>
    <cellStyle name="Lien hypertexte" xfId="21869" builtinId="8" hidden="1"/>
    <cellStyle name="Lien hypertexte" xfId="20277" builtinId="8" hidden="1"/>
    <cellStyle name="Lien hypertexte" xfId="20313" builtinId="8" hidden="1"/>
    <cellStyle name="Lien hypertexte" xfId="20351" builtinId="8" hidden="1"/>
    <cellStyle name="Lien hypertexte" xfId="20389" builtinId="8" hidden="1"/>
    <cellStyle name="Lien hypertexte" xfId="20427" builtinId="8" hidden="1"/>
    <cellStyle name="Lien hypertexte" xfId="20463" builtinId="8" hidden="1"/>
    <cellStyle name="Lien hypertexte" xfId="20503" builtinId="8" hidden="1"/>
    <cellStyle name="Lien hypertexte" xfId="20539" builtinId="8" hidden="1"/>
    <cellStyle name="Lien hypertexte" xfId="20579" builtinId="8" hidden="1"/>
    <cellStyle name="Lien hypertexte" xfId="20615" builtinId="8" hidden="1"/>
    <cellStyle name="Lien hypertexte" xfId="20653" builtinId="8" hidden="1"/>
    <cellStyle name="Lien hypertexte" xfId="20691" builtinId="8" hidden="1"/>
    <cellStyle name="Lien hypertexte" xfId="20729" builtinId="8" hidden="1"/>
    <cellStyle name="Lien hypertexte" xfId="20765" builtinId="8" hidden="1"/>
    <cellStyle name="Lien hypertexte" xfId="20805" builtinId="8" hidden="1"/>
    <cellStyle name="Lien hypertexte" xfId="20841" builtinId="8" hidden="1"/>
    <cellStyle name="Lien hypertexte" xfId="20879" builtinId="8" hidden="1"/>
    <cellStyle name="Lien hypertexte" xfId="20917" builtinId="8" hidden="1"/>
    <cellStyle name="Lien hypertexte" xfId="20955" builtinId="8" hidden="1"/>
    <cellStyle name="Lien hypertexte" xfId="20995" builtinId="8" hidden="1"/>
    <cellStyle name="Lien hypertexte" xfId="21031" builtinId="8" hidden="1"/>
    <cellStyle name="Lien hypertexte" xfId="21069" builtinId="8" hidden="1"/>
    <cellStyle name="Lien hypertexte" xfId="21107" builtinId="8" hidden="1"/>
    <cellStyle name="Lien hypertexte" xfId="21145" builtinId="8" hidden="1"/>
    <cellStyle name="Lien hypertexte" xfId="21181" builtinId="8" hidden="1"/>
    <cellStyle name="Lien hypertexte" xfId="21221" builtinId="8" hidden="1"/>
    <cellStyle name="Lien hypertexte" xfId="21257" builtinId="8" hidden="1"/>
    <cellStyle name="Lien hypertexte" xfId="21295" builtinId="8" hidden="1"/>
    <cellStyle name="Lien hypertexte" xfId="21333" builtinId="8" hidden="1"/>
    <cellStyle name="Lien hypertexte" xfId="21371" builtinId="8" hidden="1"/>
    <cellStyle name="Lien hypertexte" xfId="21407" builtinId="8" hidden="1"/>
    <cellStyle name="Lien hypertexte" xfId="21447" builtinId="8" hidden="1"/>
    <cellStyle name="Lien hypertexte" xfId="21483" builtinId="8" hidden="1"/>
    <cellStyle name="Lien hypertexte" xfId="21523" builtinId="8" hidden="1"/>
    <cellStyle name="Lien hypertexte" xfId="21559" builtinId="8" hidden="1"/>
    <cellStyle name="Lien hypertexte" xfId="21597" builtinId="8" hidden="1"/>
    <cellStyle name="Lien hypertexte" xfId="21635" builtinId="8" hidden="1"/>
    <cellStyle name="Lien hypertexte" xfId="21673" builtinId="8" hidden="1"/>
    <cellStyle name="Lien hypertexte" xfId="21709" builtinId="8" hidden="1"/>
    <cellStyle name="Lien hypertexte" xfId="21503" builtinId="8" hidden="1"/>
    <cellStyle name="Lien hypertexte" xfId="20333" builtinId="8" hidden="1"/>
    <cellStyle name="Lien hypertexte" xfId="19567" builtinId="8" hidden="1"/>
    <cellStyle name="Lien hypertexte" xfId="19607" builtinId="8" hidden="1"/>
    <cellStyle name="Lien hypertexte" xfId="19643" builtinId="8" hidden="1"/>
    <cellStyle name="Lien hypertexte" xfId="19679" builtinId="8" hidden="1"/>
    <cellStyle name="Lien hypertexte" xfId="19717" builtinId="8" hidden="1"/>
    <cellStyle name="Lien hypertexte" xfId="19755" builtinId="8" hidden="1"/>
    <cellStyle name="Lien hypertexte" xfId="19791" builtinId="8" hidden="1"/>
    <cellStyle name="Lien hypertexte" xfId="19829" builtinId="8" hidden="1"/>
    <cellStyle name="Lien hypertexte" xfId="19865" builtinId="8" hidden="1"/>
    <cellStyle name="Lien hypertexte" xfId="19903" builtinId="8" hidden="1"/>
    <cellStyle name="Lien hypertexte" xfId="19941" builtinId="8" hidden="1"/>
    <cellStyle name="Lien hypertexte" xfId="19977" builtinId="8" hidden="1"/>
    <cellStyle name="Lien hypertexte" xfId="20013" builtinId="8" hidden="1"/>
    <cellStyle name="Lien hypertexte" xfId="20053" builtinId="8" hidden="1"/>
    <cellStyle name="Lien hypertexte" xfId="20089" builtinId="8" hidden="1"/>
    <cellStyle name="Lien hypertexte" xfId="20125" builtinId="8" hidden="1"/>
    <cellStyle name="Lien hypertexte" xfId="20163" builtinId="8" hidden="1"/>
    <cellStyle name="Lien hypertexte" xfId="20201" builtinId="8" hidden="1"/>
    <cellStyle name="Lien hypertexte" xfId="20237" builtinId="8" hidden="1"/>
    <cellStyle name="Lien hypertexte" xfId="19205" builtinId="8" hidden="1"/>
    <cellStyle name="Lien hypertexte" xfId="19241" builtinId="8" hidden="1"/>
    <cellStyle name="Lien hypertexte" xfId="19277" builtinId="8" hidden="1"/>
    <cellStyle name="Lien hypertexte" xfId="19317" builtinId="8" hidden="1"/>
    <cellStyle name="Lien hypertexte" xfId="19353" builtinId="8" hidden="1"/>
    <cellStyle name="Lien hypertexte" xfId="19389" builtinId="8" hidden="1"/>
    <cellStyle name="Lien hypertexte" xfId="19427" builtinId="8" hidden="1"/>
    <cellStyle name="Lien hypertexte" xfId="19463" builtinId="8" hidden="1"/>
    <cellStyle name="Lien hypertexte" xfId="19499" builtinId="8" hidden="1"/>
    <cellStyle name="Lien hypertexte" xfId="19309" builtinId="8" hidden="1"/>
    <cellStyle name="Lien hypertexte" xfId="19051" builtinId="8" hidden="1"/>
    <cellStyle name="Lien hypertexte" xfId="19087" builtinId="8" hidden="1"/>
    <cellStyle name="Lien hypertexte" xfId="19125" builtinId="8" hidden="1"/>
    <cellStyle name="Lien hypertexte" xfId="19161" builtinId="8" hidden="1"/>
    <cellStyle name="Lien hypertexte" xfId="18941" builtinId="8" hidden="1"/>
    <cellStyle name="Lien hypertexte" xfId="18979" builtinId="8" hidden="1"/>
    <cellStyle name="Lien hypertexte" xfId="19015" builtinId="8" hidden="1"/>
    <cellStyle name="Lien hypertexte" xfId="18923" builtinId="8" hidden="1"/>
    <cellStyle name="Lien hypertexte" xfId="18863" builtinId="8" hidden="1"/>
    <cellStyle name="Lien hypertexte" xfId="18885" builtinId="8" hidden="1"/>
    <cellStyle name="Lien hypertexte" xfId="18911" builtinId="8" hidden="1"/>
    <cellStyle name="Lien hypertexte" xfId="19003" builtinId="8" hidden="1"/>
    <cellStyle name="Lien hypertexte" xfId="18967" builtinId="8" hidden="1"/>
    <cellStyle name="Lien hypertexte" xfId="19187" builtinId="8" hidden="1"/>
    <cellStyle name="Lien hypertexte" xfId="19149" builtinId="8" hidden="1"/>
    <cellStyle name="Lien hypertexte" xfId="19113" builtinId="8" hidden="1"/>
    <cellStyle name="Lien hypertexte" xfId="19077" builtinId="8" hidden="1"/>
    <cellStyle name="Lien hypertexte" xfId="19039" builtinId="8" hidden="1"/>
    <cellStyle name="Lien hypertexte" xfId="19525" builtinId="8" hidden="1"/>
    <cellStyle name="Lien hypertexte" xfId="19487" builtinId="8" hidden="1"/>
    <cellStyle name="Lien hypertexte" xfId="19451" builtinId="8" hidden="1"/>
    <cellStyle name="Lien hypertexte" xfId="19415" builtinId="8" hidden="1"/>
    <cellStyle name="Lien hypertexte" xfId="19379" builtinId="8" hidden="1"/>
    <cellStyle name="Lien hypertexte" xfId="19341" builtinId="8" hidden="1"/>
    <cellStyle name="Lien hypertexte" xfId="19303" builtinId="8" hidden="1"/>
    <cellStyle name="Lien hypertexte" xfId="19267" builtinId="8" hidden="1"/>
    <cellStyle name="Lien hypertexte" xfId="19229" builtinId="8" hidden="1"/>
    <cellStyle name="Lien hypertexte" xfId="19193" builtinId="8" hidden="1"/>
    <cellStyle name="Lien hypertexte" xfId="20227" builtinId="8" hidden="1"/>
    <cellStyle name="Lien hypertexte" xfId="20189" builtinId="8" hidden="1"/>
    <cellStyle name="Lien hypertexte" xfId="20151" builtinId="8" hidden="1"/>
    <cellStyle name="Lien hypertexte" xfId="20115" builtinId="8" hidden="1"/>
    <cellStyle name="Lien hypertexte" xfId="20077" builtinId="8" hidden="1"/>
    <cellStyle name="Lien hypertexte" xfId="20039" builtinId="8" hidden="1"/>
    <cellStyle name="Lien hypertexte" xfId="20003" builtinId="8" hidden="1"/>
    <cellStyle name="Lien hypertexte" xfId="19965" builtinId="8" hidden="1"/>
    <cellStyle name="Lien hypertexte" xfId="19929" builtinId="8" hidden="1"/>
    <cellStyle name="Lien hypertexte" xfId="19891" builtinId="8" hidden="1"/>
    <cellStyle name="Lien hypertexte" xfId="19853" builtinId="8" hidden="1"/>
    <cellStyle name="Lien hypertexte" xfId="19817" builtinId="8" hidden="1"/>
    <cellStyle name="Lien hypertexte" xfId="19781" builtinId="8" hidden="1"/>
    <cellStyle name="Lien hypertexte" xfId="19741" builtinId="8" hidden="1"/>
    <cellStyle name="Lien hypertexte" xfId="19705" builtinId="8" hidden="1"/>
    <cellStyle name="Lien hypertexte" xfId="19669" builtinId="8" hidden="1"/>
    <cellStyle name="Lien hypertexte" xfId="19631" builtinId="8" hidden="1"/>
    <cellStyle name="Lien hypertexte" xfId="19593" builtinId="8" hidden="1"/>
    <cellStyle name="Lien hypertexte" xfId="19557" builtinId="8" hidden="1"/>
    <cellStyle name="Lien hypertexte" xfId="20699" builtinId="8" hidden="1"/>
    <cellStyle name="Lien hypertexte" xfId="21737" builtinId="8" hidden="1"/>
    <cellStyle name="Lien hypertexte" xfId="21699" builtinId="8" hidden="1"/>
    <cellStyle name="Lien hypertexte" xfId="21661" builtinId="8" hidden="1"/>
    <cellStyle name="Lien hypertexte" xfId="21623" builtinId="8" hidden="1"/>
    <cellStyle name="Lien hypertexte" xfId="21587" builtinId="8" hidden="1"/>
    <cellStyle name="Lien hypertexte" xfId="21547" builtinId="8" hidden="1"/>
    <cellStyle name="Lien hypertexte" xfId="21511" builtinId="8" hidden="1"/>
    <cellStyle name="Lien hypertexte" xfId="21471" builtinId="8" hidden="1"/>
    <cellStyle name="Lien hypertexte" xfId="21435" builtinId="8" hidden="1"/>
    <cellStyle name="Lien hypertexte" xfId="21397" builtinId="8" hidden="1"/>
    <cellStyle name="Lien hypertexte" xfId="21359" builtinId="8" hidden="1"/>
    <cellStyle name="Lien hypertexte" xfId="21321" builtinId="8" hidden="1"/>
    <cellStyle name="Lien hypertexte" xfId="21283" builtinId="8" hidden="1"/>
    <cellStyle name="Lien hypertexte" xfId="21245" builtinId="8" hidden="1"/>
    <cellStyle name="Lien hypertexte" xfId="21207" builtinId="8" hidden="1"/>
    <cellStyle name="Lien hypertexte" xfId="21171" builtinId="8" hidden="1"/>
    <cellStyle name="Lien hypertexte" xfId="21131" builtinId="8" hidden="1"/>
    <cellStyle name="Lien hypertexte" xfId="21095" builtinId="8" hidden="1"/>
    <cellStyle name="Lien hypertexte" xfId="21055" builtinId="8" hidden="1"/>
    <cellStyle name="Lien hypertexte" xfId="21019" builtinId="8" hidden="1"/>
    <cellStyle name="Lien hypertexte" xfId="20981" builtinId="8" hidden="1"/>
    <cellStyle name="Lien hypertexte" xfId="20943" builtinId="8" hidden="1"/>
    <cellStyle name="Lien hypertexte" xfId="20905" builtinId="8" hidden="1"/>
    <cellStyle name="Lien hypertexte" xfId="20869" builtinId="8" hidden="1"/>
    <cellStyle name="Lien hypertexte" xfId="20829" builtinId="8" hidden="1"/>
    <cellStyle name="Lien hypertexte" xfId="20793" builtinId="8" hidden="1"/>
    <cellStyle name="Lien hypertexte" xfId="20755" builtinId="8" hidden="1"/>
    <cellStyle name="Lien hypertexte" xfId="20717" builtinId="8" hidden="1"/>
    <cellStyle name="Lien hypertexte" xfId="20679" builtinId="8" hidden="1"/>
    <cellStyle name="Lien hypertexte" xfId="20643" builtinId="8" hidden="1"/>
    <cellStyle name="Lien hypertexte" xfId="20603" builtinId="8" hidden="1"/>
    <cellStyle name="Lien hypertexte" xfId="20567" builtinId="8" hidden="1"/>
    <cellStyle name="Lien hypertexte" xfId="20527" builtinId="8" hidden="1"/>
    <cellStyle name="Lien hypertexte" xfId="20491" builtinId="8" hidden="1"/>
    <cellStyle name="Lien hypertexte" xfId="20453" builtinId="8" hidden="1"/>
    <cellStyle name="Lien hypertexte" xfId="20415" builtinId="8" hidden="1"/>
    <cellStyle name="Lien hypertexte" xfId="20377" builtinId="8" hidden="1"/>
    <cellStyle name="Lien hypertexte" xfId="20341" builtinId="8" hidden="1"/>
    <cellStyle name="Lien hypertexte" xfId="20301" builtinId="8" hidden="1"/>
    <cellStyle name="Lien hypertexte" xfId="20265" builtinId="8" hidden="1"/>
    <cellStyle name="Lien hypertexte" xfId="22053" builtinId="8" hidden="1"/>
    <cellStyle name="Lien hypertexte" xfId="22637" builtinId="8" hidden="1"/>
    <cellStyle name="Lien hypertexte" xfId="23223" builtinId="8" hidden="1"/>
    <cellStyle name="Lien hypertexte" xfId="23807" builtinId="8" hidden="1"/>
    <cellStyle name="Lien hypertexte" xfId="24393" builtinId="8" hidden="1"/>
    <cellStyle name="Lien hypertexte" xfId="22049" builtinId="8" hidden="1"/>
    <cellStyle name="Lien hypertexte" xfId="21809" builtinId="8" hidden="1"/>
    <cellStyle name="Lien hypertexte" xfId="22081" builtinId="8" hidden="1"/>
    <cellStyle name="Lien hypertexte" xfId="22353" builtinId="8" hidden="1"/>
    <cellStyle name="Lien hypertexte" xfId="22625" builtinId="8" hidden="1"/>
    <cellStyle name="Lien hypertexte" xfId="22897" builtinId="8" hidden="1"/>
    <cellStyle name="Lien hypertexte" xfId="23169" builtinId="8" hidden="1"/>
    <cellStyle name="Lien hypertexte" xfId="23441" builtinId="8" hidden="1"/>
    <cellStyle name="Lien hypertexte" xfId="23713" builtinId="8" hidden="1"/>
    <cellStyle name="Lien hypertexte" xfId="23985" builtinId="8" hidden="1"/>
    <cellStyle name="Lien hypertexte" xfId="24257" builtinId="8" hidden="1"/>
    <cellStyle name="Lien hypertexte" xfId="24529" builtinId="8" hidden="1"/>
    <cellStyle name="Lien hypertexte" xfId="24585" builtinId="8" hidden="1"/>
    <cellStyle name="Lien hypertexte" xfId="24547" builtinId="8" hidden="1"/>
    <cellStyle name="Lien hypertexte" xfId="24507" builtinId="8" hidden="1"/>
    <cellStyle name="Lien hypertexte" xfId="24469" builtinId="8" hidden="1"/>
    <cellStyle name="Lien hypertexte" xfId="24427" builtinId="8" hidden="1"/>
    <cellStyle name="Lien hypertexte" xfId="24389" builtinId="8" hidden="1"/>
    <cellStyle name="Lien hypertexte" xfId="24349" builtinId="8" hidden="1"/>
    <cellStyle name="Lien hypertexte" xfId="24311" builtinId="8" hidden="1"/>
    <cellStyle name="Lien hypertexte" xfId="24271" builtinId="8" hidden="1"/>
    <cellStyle name="Lien hypertexte" xfId="24233" builtinId="8" hidden="1"/>
    <cellStyle name="Lien hypertexte" xfId="24195" builtinId="8" hidden="1"/>
    <cellStyle name="Lien hypertexte" xfId="24155" builtinId="8" hidden="1"/>
    <cellStyle name="Lien hypertexte" xfId="24117" builtinId="8" hidden="1"/>
    <cellStyle name="Lien hypertexte" xfId="24077" builtinId="8" hidden="1"/>
    <cellStyle name="Lien hypertexte" xfId="24039" builtinId="8" hidden="1"/>
    <cellStyle name="Lien hypertexte" xfId="23999" builtinId="8" hidden="1"/>
    <cellStyle name="Lien hypertexte" xfId="23961" builtinId="8" hidden="1"/>
    <cellStyle name="Lien hypertexte" xfId="23923" builtinId="8" hidden="1"/>
    <cellStyle name="Lien hypertexte" xfId="23883" builtinId="8" hidden="1"/>
    <cellStyle name="Lien hypertexte" xfId="23843" builtinId="8" hidden="1"/>
    <cellStyle name="Lien hypertexte" xfId="23803" builtinId="8" hidden="1"/>
    <cellStyle name="Lien hypertexte" xfId="23765" builtinId="8" hidden="1"/>
    <cellStyle name="Lien hypertexte" xfId="23725" builtinId="8" hidden="1"/>
    <cellStyle name="Lien hypertexte" xfId="23687" builtinId="8" hidden="1"/>
    <cellStyle name="Lien hypertexte" xfId="23647" builtinId="8" hidden="1"/>
    <cellStyle name="Lien hypertexte" xfId="23609" builtinId="8" hidden="1"/>
    <cellStyle name="Lien hypertexte" xfId="23571" builtinId="8" hidden="1"/>
    <cellStyle name="Lien hypertexte" xfId="23531" builtinId="8" hidden="1"/>
    <cellStyle name="Lien hypertexte" xfId="23493" builtinId="8" hidden="1"/>
    <cellStyle name="Lien hypertexte" xfId="23453" builtinId="8" hidden="1"/>
    <cellStyle name="Lien hypertexte" xfId="23415" builtinId="8" hidden="1"/>
    <cellStyle name="Lien hypertexte" xfId="23375" builtinId="8" hidden="1"/>
    <cellStyle name="Lien hypertexte" xfId="23337" builtinId="8" hidden="1"/>
    <cellStyle name="Lien hypertexte" xfId="23299" builtinId="8" hidden="1"/>
    <cellStyle name="Lien hypertexte" xfId="23257" builtinId="8" hidden="1"/>
    <cellStyle name="Lien hypertexte" xfId="23219" builtinId="8" hidden="1"/>
    <cellStyle name="Lien hypertexte" xfId="23179" builtinId="8" hidden="1"/>
    <cellStyle name="Lien hypertexte" xfId="23141" builtinId="8" hidden="1"/>
    <cellStyle name="Lien hypertexte" xfId="23101" builtinId="8" hidden="1"/>
    <cellStyle name="Lien hypertexte" xfId="23063" builtinId="8" hidden="1"/>
    <cellStyle name="Lien hypertexte" xfId="23023" builtinId="8" hidden="1"/>
    <cellStyle name="Lien hypertexte" xfId="22985" builtinId="8" hidden="1"/>
    <cellStyle name="Lien hypertexte" xfId="22947" builtinId="8" hidden="1"/>
    <cellStyle name="Lien hypertexte" xfId="22907" builtinId="8" hidden="1"/>
    <cellStyle name="Lien hypertexte" xfId="22869" builtinId="8" hidden="1"/>
    <cellStyle name="Lien hypertexte" xfId="22829" builtinId="8" hidden="1"/>
    <cellStyle name="Lien hypertexte" xfId="22791" builtinId="8" hidden="1"/>
    <cellStyle name="Lien hypertexte" xfId="22751" builtinId="8" hidden="1"/>
    <cellStyle name="Lien hypertexte" xfId="22713" builtinId="8" hidden="1"/>
    <cellStyle name="Lien hypertexte" xfId="22671" builtinId="8" hidden="1"/>
    <cellStyle name="Lien hypertexte" xfId="22633" builtinId="8" hidden="1"/>
    <cellStyle name="Lien hypertexte" xfId="22595" builtinId="8" hidden="1"/>
    <cellStyle name="Lien hypertexte" xfId="22555" builtinId="8" hidden="1"/>
    <cellStyle name="Lien hypertexte" xfId="22517" builtinId="8" hidden="1"/>
    <cellStyle name="Lien hypertexte" xfId="22477" builtinId="8" hidden="1"/>
    <cellStyle name="Lien hypertexte" xfId="22439" builtinId="8" hidden="1"/>
    <cellStyle name="Lien hypertexte" xfId="22399" builtinId="8" hidden="1"/>
    <cellStyle name="Lien hypertexte" xfId="22361" builtinId="8" hidden="1"/>
    <cellStyle name="Lien hypertexte" xfId="22323" builtinId="8" hidden="1"/>
    <cellStyle name="Lien hypertexte" xfId="22283" builtinId="8" hidden="1"/>
    <cellStyle name="Lien hypertexte" xfId="22245" builtinId="8" hidden="1"/>
    <cellStyle name="Lien hypertexte" xfId="22205" builtinId="8" hidden="1"/>
    <cellStyle name="Lien hypertexte" xfId="22167" builtinId="8" hidden="1"/>
    <cellStyle name="Lien hypertexte" xfId="22127" builtinId="8" hidden="1"/>
    <cellStyle name="Lien hypertexte" xfId="22087" builtinId="8" hidden="1"/>
    <cellStyle name="Lien hypertexte" xfId="22047" builtinId="8" hidden="1"/>
    <cellStyle name="Lien hypertexte" xfId="22009" builtinId="8" hidden="1"/>
    <cellStyle name="Lien hypertexte" xfId="21971" builtinId="8" hidden="1"/>
    <cellStyle name="Lien hypertexte" xfId="21931" builtinId="8" hidden="1"/>
    <cellStyle name="Lien hypertexte" xfId="21893" builtinId="8" hidden="1"/>
    <cellStyle name="Lien hypertexte" xfId="21853" builtinId="8" hidden="1"/>
    <cellStyle name="Lien hypertexte" xfId="21815" builtinId="8" hidden="1"/>
    <cellStyle name="Lien hypertexte" xfId="21775" builtinId="8" hidden="1"/>
    <cellStyle name="Lien hypertexte" xfId="21409" builtinId="8" hidden="1"/>
    <cellStyle name="Lien hypertexte" xfId="19361" builtinId="8" hidden="1"/>
    <cellStyle name="Lien hypertexte" xfId="16138" builtinId="8" hidden="1"/>
    <cellStyle name="Lien hypertexte" xfId="16412" builtinId="8" hidden="1"/>
    <cellStyle name="Lien hypertexte" xfId="16684" builtinId="8" hidden="1"/>
    <cellStyle name="Lien hypertexte" xfId="16958" builtinId="8" hidden="1"/>
    <cellStyle name="Lien hypertexte" xfId="17230" builtinId="8" hidden="1"/>
    <cellStyle name="Lien hypertexte" xfId="17504" builtinId="8" hidden="1"/>
    <cellStyle name="Lien hypertexte" xfId="17778" builtinId="8" hidden="1"/>
    <cellStyle name="Lien hypertexte" xfId="18050" builtinId="8" hidden="1"/>
    <cellStyle name="Lien hypertexte" xfId="18341" builtinId="8" hidden="1"/>
    <cellStyle name="Lien hypertexte" xfId="18613" builtinId="8" hidden="1"/>
    <cellStyle name="Lien hypertexte" xfId="18224" builtinId="8" hidden="1"/>
    <cellStyle name="Lien hypertexte" xfId="14744" builtinId="8" hidden="1"/>
    <cellStyle name="Lien hypertexte" xfId="15008" builtinId="8" hidden="1"/>
    <cellStyle name="Lien hypertexte" xfId="15272" builtinId="8" hidden="1"/>
    <cellStyle name="Lien hypertexte" xfId="15538" builtinId="8" hidden="1"/>
    <cellStyle name="Lien hypertexte" xfId="15802" builtinId="8" hidden="1"/>
    <cellStyle name="Lien hypertexte" xfId="738" builtinId="8" hidden="1"/>
    <cellStyle name="Lien hypertexte" xfId="998" builtinId="8" hidden="1"/>
    <cellStyle name="Lien hypertexte" xfId="14612" builtinId="8" hidden="1"/>
    <cellStyle name="Lien hypertexte" xfId="580" builtinId="8" hidden="1"/>
    <cellStyle name="Lien hypertexte" xfId="156" builtinId="8" hidden="1"/>
    <cellStyle name="Lien hypertexte" xfId="82" builtinId="8" hidden="1"/>
    <cellStyle name="Lien hypertexte" xfId="102" builtinId="8" hidden="1"/>
    <cellStyle name="Lien hypertexte" xfId="178" builtinId="8" hidden="1"/>
    <cellStyle name="Lien hypertexte" xfId="142" builtinId="8" hidden="1"/>
    <cellStyle name="Lien hypertexte" xfId="328" builtinId="8" hidden="1"/>
    <cellStyle name="Lien hypertexte" xfId="292" builtinId="8" hidden="1"/>
    <cellStyle name="Lien hypertexte" xfId="256" builtinId="8" hidden="1"/>
    <cellStyle name="Lien hypertexte" xfId="218" builtinId="8" hidden="1"/>
    <cellStyle name="Lien hypertexte" xfId="638" builtinId="8" hidden="1"/>
    <cellStyle name="Lien hypertexte" xfId="602" builtinId="8" hidden="1"/>
    <cellStyle name="Lien hypertexte" xfId="566" builtinId="8" hidden="1"/>
    <cellStyle name="Lien hypertexte" xfId="528" builtinId="8" hidden="1"/>
    <cellStyle name="Lien hypertexte" xfId="492" builtinId="8" hidden="1"/>
    <cellStyle name="Lien hypertexte" xfId="456" builtinId="8" hidden="1"/>
    <cellStyle name="Lien hypertexte" xfId="416" builtinId="8" hidden="1"/>
    <cellStyle name="Lien hypertexte" xfId="380" builtinId="8" hidden="1"/>
    <cellStyle name="Lien hypertexte" xfId="838" builtinId="8" hidden="1"/>
    <cellStyle name="Lien hypertexte" xfId="14598" builtinId="8" hidden="1"/>
    <cellStyle name="Lien hypertexte" xfId="14558" builtinId="8" hidden="1"/>
    <cellStyle name="Lien hypertexte" xfId="14522" builtinId="8" hidden="1"/>
    <cellStyle name="Lien hypertexte" xfId="1132" builtinId="8" hidden="1"/>
    <cellStyle name="Lien hypertexte" xfId="1092" builtinId="8" hidden="1"/>
    <cellStyle name="Lien hypertexte" xfId="1056" builtinId="8" hidden="1"/>
    <cellStyle name="Lien hypertexte" xfId="1020" builtinId="8" hidden="1"/>
    <cellStyle name="Lien hypertexte" xfId="984" builtinId="8" hidden="1"/>
    <cellStyle name="Lien hypertexte" xfId="944" builtinId="8" hidden="1"/>
    <cellStyle name="Lien hypertexte" xfId="908" builtinId="8" hidden="1"/>
    <cellStyle name="Lien hypertexte" xfId="872" builtinId="8" hidden="1"/>
    <cellStyle name="Lien hypertexte" xfId="832" builtinId="8" hidden="1"/>
    <cellStyle name="Lien hypertexte" xfId="796" builtinId="8" hidden="1"/>
    <cellStyle name="Lien hypertexte" xfId="760" builtinId="8" hidden="1"/>
    <cellStyle name="Lien hypertexte" xfId="724" builtinId="8" hidden="1"/>
    <cellStyle name="Lien hypertexte" xfId="684" builtinId="8" hidden="1"/>
    <cellStyle name="Lien hypertexte" xfId="14704" builtinId="8" hidden="1"/>
    <cellStyle name="Lien hypertexte" xfId="15856" builtinId="8" hidden="1"/>
    <cellStyle name="Lien hypertexte" xfId="15898" builtinId="8" hidden="1"/>
    <cellStyle name="Lien hypertexte" xfId="15862" builtinId="8" hidden="1"/>
    <cellStyle name="Lien hypertexte" xfId="15824" builtinId="8" hidden="1"/>
    <cellStyle name="Lien hypertexte" xfId="15786" builtinId="8" hidden="1"/>
    <cellStyle name="Lien hypertexte" xfId="15748" builtinId="8" hidden="1"/>
    <cellStyle name="Lien hypertexte" xfId="15710" builtinId="8" hidden="1"/>
    <cellStyle name="Lien hypertexte" xfId="15674" builtinId="8" hidden="1"/>
    <cellStyle name="Lien hypertexte" xfId="15634" builtinId="8" hidden="1"/>
    <cellStyle name="Lien hypertexte" xfId="15596" builtinId="8" hidden="1"/>
    <cellStyle name="Lien hypertexte" xfId="15560" builtinId="8" hidden="1"/>
    <cellStyle name="Lien hypertexte" xfId="15522" builtinId="8" hidden="1"/>
    <cellStyle name="Lien hypertexte" xfId="15484" builtinId="8" hidden="1"/>
    <cellStyle name="Lien hypertexte" xfId="15446" builtinId="8" hidden="1"/>
    <cellStyle name="Lien hypertexte" xfId="15410" builtinId="8" hidden="1"/>
    <cellStyle name="Lien hypertexte" xfId="15370" builtinId="8" hidden="1"/>
    <cellStyle name="Lien hypertexte" xfId="15332" builtinId="8" hidden="1"/>
    <cellStyle name="Lien hypertexte" xfId="15296" builtinId="8" hidden="1"/>
    <cellStyle name="Lien hypertexte" xfId="15258" builtinId="8" hidden="1"/>
    <cellStyle name="Lien hypertexte" xfId="15220" builtinId="8" hidden="1"/>
    <cellStyle name="Lien hypertexte" xfId="15182" builtinId="8" hidden="1"/>
    <cellStyle name="Lien hypertexte" xfId="15144" builtinId="8" hidden="1"/>
    <cellStyle name="Lien hypertexte" xfId="15106" builtinId="8" hidden="1"/>
    <cellStyle name="Lien hypertexte" xfId="15068" builtinId="8" hidden="1"/>
    <cellStyle name="Lien hypertexte" xfId="15032" builtinId="8" hidden="1"/>
    <cellStyle name="Lien hypertexte" xfId="14994" builtinId="8" hidden="1"/>
    <cellStyle name="Lien hypertexte" xfId="14954" builtinId="8" hidden="1"/>
    <cellStyle name="Lien hypertexte" xfId="14918" builtinId="8" hidden="1"/>
    <cellStyle name="Lien hypertexte" xfId="14880" builtinId="8" hidden="1"/>
    <cellStyle name="Lien hypertexte" xfId="14842" builtinId="8" hidden="1"/>
    <cellStyle name="Lien hypertexte" xfId="14804" builtinId="8" hidden="1"/>
    <cellStyle name="Lien hypertexte" xfId="14766" builtinId="8" hidden="1"/>
    <cellStyle name="Lien hypertexte" xfId="14730" builtinId="8" hidden="1"/>
    <cellStyle name="Lien hypertexte" xfId="14690" builtinId="8" hidden="1"/>
    <cellStyle name="Lien hypertexte" xfId="14654" builtinId="8" hidden="1"/>
    <cellStyle name="Lien hypertexte" xfId="16112" builtinId="8" hidden="1"/>
    <cellStyle name="Lien hypertexte" xfId="16720" builtinId="8" hidden="1"/>
    <cellStyle name="Lien hypertexte" xfId="17296" builtinId="8" hidden="1"/>
    <cellStyle name="Lien hypertexte" xfId="17872" builtinId="8" hidden="1"/>
    <cellStyle name="Lien hypertexte" xfId="18465" builtinId="8" hidden="1"/>
    <cellStyle name="Lien hypertexte" xfId="18831" builtinId="8" hidden="1"/>
    <cellStyle name="Lien hypertexte" xfId="18793" builtinId="8" hidden="1"/>
    <cellStyle name="Lien hypertexte" xfId="18755" builtinId="8" hidden="1"/>
    <cellStyle name="Lien hypertexte" xfId="18713" builtinId="8" hidden="1"/>
    <cellStyle name="Lien hypertexte" xfId="18675" builtinId="8" hidden="1"/>
    <cellStyle name="Lien hypertexte" xfId="18637" builtinId="8" hidden="1"/>
    <cellStyle name="Lien hypertexte" xfId="18599" builtinId="8" hidden="1"/>
    <cellStyle name="Lien hypertexte" xfId="18557" builtinId="8" hidden="1"/>
    <cellStyle name="Lien hypertexte" xfId="18519" builtinId="8" hidden="1"/>
    <cellStyle name="Lien hypertexte" xfId="18481" builtinId="8" hidden="1"/>
    <cellStyle name="Lien hypertexte" xfId="18441" builtinId="8" hidden="1"/>
    <cellStyle name="Lien hypertexte" xfId="18403" builtinId="8" hidden="1"/>
    <cellStyle name="Lien hypertexte" xfId="18363" builtinId="8" hidden="1"/>
    <cellStyle name="Lien hypertexte" xfId="18308" builtinId="8" hidden="1"/>
    <cellStyle name="Lien hypertexte" xfId="18268" builtinId="8" hidden="1"/>
    <cellStyle name="Lien hypertexte" xfId="18230" builtinId="8" hidden="1"/>
    <cellStyle name="Lien hypertexte" xfId="18190" builtinId="8" hidden="1"/>
    <cellStyle name="Lien hypertexte" xfId="18150" builtinId="8" hidden="1"/>
    <cellStyle name="Lien hypertexte" xfId="18112" builtinId="8" hidden="1"/>
    <cellStyle name="Lien hypertexte" xfId="18074" builtinId="8" hidden="1"/>
    <cellStyle name="Lien hypertexte" xfId="18036" builtinId="8" hidden="1"/>
    <cellStyle name="Lien hypertexte" xfId="17994" builtinId="8" hidden="1"/>
    <cellStyle name="Lien hypertexte" xfId="17956" builtinId="8" hidden="1"/>
    <cellStyle name="Lien hypertexte" xfId="17918" builtinId="8" hidden="1"/>
    <cellStyle name="Lien hypertexte" xfId="17878" builtinId="8" hidden="1"/>
    <cellStyle name="Lien hypertexte" xfId="17838" builtinId="8" hidden="1"/>
    <cellStyle name="Lien hypertexte" xfId="17800" builtinId="8" hidden="1"/>
    <cellStyle name="Lien hypertexte" xfId="17762" builtinId="8" hidden="1"/>
    <cellStyle name="Lien hypertexte" xfId="17722" builtinId="8" hidden="1"/>
    <cellStyle name="Lien hypertexte" xfId="17684" builtinId="8" hidden="1"/>
    <cellStyle name="Lien hypertexte" xfId="17644" builtinId="8" hidden="1"/>
    <cellStyle name="Lien hypertexte" xfId="17604" builtinId="8" hidden="1"/>
    <cellStyle name="Lien hypertexte" xfId="17566" builtinId="8" hidden="1"/>
    <cellStyle name="Lien hypertexte" xfId="17528" builtinId="8" hidden="1"/>
    <cellStyle name="Lien hypertexte" xfId="17490" builtinId="8" hidden="1"/>
    <cellStyle name="Lien hypertexte" xfId="17448" builtinId="8" hidden="1"/>
    <cellStyle name="Lien hypertexte" xfId="17410" builtinId="8" hidden="1"/>
    <cellStyle name="Lien hypertexte" xfId="17372" builtinId="8" hidden="1"/>
    <cellStyle name="Lien hypertexte" xfId="17332" builtinId="8" hidden="1"/>
    <cellStyle name="Lien hypertexte" xfId="17292" builtinId="8" hidden="1"/>
    <cellStyle name="Lien hypertexte" xfId="17254" builtinId="8" hidden="1"/>
    <cellStyle name="Lien hypertexte" xfId="17216" builtinId="8" hidden="1"/>
    <cellStyle name="Lien hypertexte" xfId="17176" builtinId="8" hidden="1"/>
    <cellStyle name="Lien hypertexte" xfId="17138" builtinId="8" hidden="1"/>
    <cellStyle name="Lien hypertexte" xfId="17098" builtinId="8" hidden="1"/>
    <cellStyle name="Lien hypertexte" xfId="17058" builtinId="8" hidden="1"/>
    <cellStyle name="Lien hypertexte" xfId="17020" builtinId="8" hidden="1"/>
    <cellStyle name="Lien hypertexte" xfId="16982" builtinId="8" hidden="1"/>
    <cellStyle name="Lien hypertexte" xfId="16942" builtinId="8" hidden="1"/>
    <cellStyle name="Lien hypertexte" xfId="16902" builtinId="8" hidden="1"/>
    <cellStyle name="Lien hypertexte" xfId="16864" builtinId="8" hidden="1"/>
    <cellStyle name="Lien hypertexte" xfId="16826" builtinId="8" hidden="1"/>
    <cellStyle name="Lien hypertexte" xfId="16786" builtinId="8" hidden="1"/>
    <cellStyle name="Lien hypertexte" xfId="16746" builtinId="8" hidden="1"/>
    <cellStyle name="Lien hypertexte" xfId="16708" builtinId="8" hidden="1"/>
    <cellStyle name="Lien hypertexte" xfId="16670" builtinId="8" hidden="1"/>
    <cellStyle name="Lien hypertexte" xfId="16630" builtinId="8" hidden="1"/>
    <cellStyle name="Lien hypertexte" xfId="16590" builtinId="8" hidden="1"/>
    <cellStyle name="Lien hypertexte" xfId="16552" builtinId="8" hidden="1"/>
    <cellStyle name="Lien hypertexte" xfId="16512" builtinId="8" hidden="1"/>
    <cellStyle name="Lien hypertexte" xfId="16474" builtinId="8" hidden="1"/>
    <cellStyle name="Lien hypertexte" xfId="16436" builtinId="8" hidden="1"/>
    <cellStyle name="Lien hypertexte" xfId="16396" builtinId="8" hidden="1"/>
    <cellStyle name="Lien hypertexte" xfId="16356" builtinId="8" hidden="1"/>
    <cellStyle name="Lien hypertexte" xfId="16318" builtinId="8" hidden="1"/>
    <cellStyle name="Lien hypertexte" xfId="16280" builtinId="8" hidden="1"/>
    <cellStyle name="Lien hypertexte" xfId="16238" builtinId="8" hidden="1"/>
    <cellStyle name="Lien hypertexte" xfId="16200" builtinId="8" hidden="1"/>
    <cellStyle name="Lien hypertexte" xfId="16162" builtinId="8" hidden="1"/>
    <cellStyle name="Lien hypertexte" xfId="15958" builtinId="8" hidden="1"/>
    <cellStyle name="Lien hypertexte" xfId="15976" builtinId="8" hidden="1"/>
    <cellStyle name="Lien hypertexte" xfId="16006" builtinId="8" hidden="1"/>
    <cellStyle name="Lien hypertexte" xfId="16034" builtinId="8" hidden="1"/>
    <cellStyle name="Lien hypertexte" xfId="16056" builtinId="8" hidden="1"/>
    <cellStyle name="Lien hypertexte" xfId="16084" builtinId="8" hidden="1"/>
    <cellStyle name="Lien hypertexte" xfId="16114" builtinId="8" hidden="1"/>
    <cellStyle name="Lien hypertexte" xfId="16132" builtinId="8" hidden="1"/>
    <cellStyle name="Lien hypertexte" xfId="16142" builtinId="8" hidden="1"/>
    <cellStyle name="Lien hypertexte" xfId="16064" builtinId="8" hidden="1"/>
    <cellStyle name="Lien hypertexte" xfId="15988" builtinId="8" hidden="1"/>
    <cellStyle name="Lien hypertexte" xfId="19265" builtinId="8" hidden="1"/>
    <cellStyle name="Lien hypertexte" xfId="19121" builtinId="8" hidden="1"/>
    <cellStyle name="Lien hypertexte" xfId="18961" builtinId="8" hidden="1"/>
    <cellStyle name="Lien hypertexte" xfId="19329" builtinId="8" hidden="1"/>
    <cellStyle name="Lien hypertexte" xfId="19409" builtinId="8" hidden="1"/>
    <cellStyle name="Lien hypertexte" xfId="19633" builtinId="8" hidden="1"/>
    <cellStyle name="Lien hypertexte" xfId="19553" builtinId="8" hidden="1"/>
    <cellStyle name="Lien hypertexte" xfId="19473" builtinId="8" hidden="1"/>
    <cellStyle name="Lien hypertexte" xfId="18897" builtinId="8" hidden="1"/>
    <cellStyle name="Lien hypertexte" xfId="19041" builtinId="8" hidden="1"/>
    <cellStyle name="Lien hypertexte" xfId="19185" builtinId="8" hidden="1"/>
    <cellStyle name="Lien hypertexte" xfId="15946" builtinId="8" hidden="1"/>
    <cellStyle name="Lien hypertexte" xfId="16026" builtinId="8" hidden="1"/>
    <cellStyle name="Lien hypertexte" xfId="16102" builtinId="8" hidden="1"/>
    <cellStyle name="Lien hypertexte" xfId="16152" builtinId="8" hidden="1"/>
    <cellStyle name="Lien hypertexte" xfId="16124" builtinId="8" hidden="1"/>
    <cellStyle name="Lien hypertexte" xfId="16094" builtinId="8" hidden="1"/>
    <cellStyle name="Lien hypertexte" xfId="16074" builtinId="8" hidden="1"/>
    <cellStyle name="Lien hypertexte" xfId="16044" builtinId="8" hidden="1"/>
    <cellStyle name="Lien hypertexte" xfId="16014" builtinId="8" hidden="1"/>
    <cellStyle name="Lien hypertexte" xfId="15996" builtinId="8" hidden="1"/>
    <cellStyle name="Lien hypertexte" xfId="15966" builtinId="8" hidden="1"/>
    <cellStyle name="Lien hypertexte" xfId="15938" builtinId="8" hidden="1"/>
    <cellStyle name="Lien hypertexte" xfId="16182" builtinId="8" hidden="1"/>
    <cellStyle name="Lien hypertexte" xfId="16220" builtinId="8" hidden="1"/>
    <cellStyle name="Lien hypertexte" xfId="16260" builtinId="8" hidden="1"/>
    <cellStyle name="Lien hypertexte" xfId="16298" builtinId="8" hidden="1"/>
    <cellStyle name="Lien hypertexte" xfId="16338" builtinId="8" hidden="1"/>
    <cellStyle name="Lien hypertexte" xfId="16376" builtinId="8" hidden="1"/>
    <cellStyle name="Lien hypertexte" xfId="16416" builtinId="8" hidden="1"/>
    <cellStyle name="Lien hypertexte" xfId="16454" builtinId="8" hidden="1"/>
    <cellStyle name="Lien hypertexte" xfId="16492" builtinId="8" hidden="1"/>
    <cellStyle name="Lien hypertexte" xfId="16534" builtinId="8" hidden="1"/>
    <cellStyle name="Lien hypertexte" xfId="16572" builtinId="8" hidden="1"/>
    <cellStyle name="Lien hypertexte" xfId="16610" builtinId="8" hidden="1"/>
    <cellStyle name="Lien hypertexte" xfId="16648" builtinId="8" hidden="1"/>
    <cellStyle name="Lien hypertexte" xfId="16690" builtinId="8" hidden="1"/>
    <cellStyle name="Lien hypertexte" xfId="16728" builtinId="8" hidden="1"/>
    <cellStyle name="Lien hypertexte" xfId="16766" builtinId="8" hidden="1"/>
    <cellStyle name="Lien hypertexte" xfId="16806" builtinId="8" hidden="1"/>
    <cellStyle name="Lien hypertexte" xfId="16844" builtinId="8" hidden="1"/>
    <cellStyle name="Lien hypertexte" xfId="16884" builtinId="8" hidden="1"/>
    <cellStyle name="Lien hypertexte" xfId="16922" builtinId="8" hidden="1"/>
    <cellStyle name="Lien hypertexte" xfId="16962" builtinId="8" hidden="1"/>
    <cellStyle name="Lien hypertexte" xfId="17000" builtinId="8" hidden="1"/>
    <cellStyle name="Lien hypertexte" xfId="17038" builtinId="8" hidden="1"/>
    <cellStyle name="Lien hypertexte" xfId="17080" builtinId="8" hidden="1"/>
    <cellStyle name="Lien hypertexte" xfId="17118" builtinId="8" hidden="1"/>
    <cellStyle name="Lien hypertexte" xfId="17156" builtinId="8" hidden="1"/>
    <cellStyle name="Lien hypertexte" xfId="17194" builtinId="8" hidden="1"/>
    <cellStyle name="Lien hypertexte" xfId="17236" builtinId="8" hidden="1"/>
    <cellStyle name="Lien hypertexte" xfId="17274" builtinId="8" hidden="1"/>
    <cellStyle name="Lien hypertexte" xfId="17312" builtinId="8" hidden="1"/>
    <cellStyle name="Lien hypertexte" xfId="17352" builtinId="8" hidden="1"/>
    <cellStyle name="Lien hypertexte" xfId="17390" builtinId="8" hidden="1"/>
    <cellStyle name="Lien hypertexte" xfId="17430" builtinId="8" hidden="1"/>
    <cellStyle name="Lien hypertexte" xfId="17468" builtinId="8" hidden="1"/>
    <cellStyle name="Lien hypertexte" xfId="17508" builtinId="8" hidden="1"/>
    <cellStyle name="Lien hypertexte" xfId="17546" builtinId="8" hidden="1"/>
    <cellStyle name="Lien hypertexte" xfId="17586" builtinId="8" hidden="1"/>
    <cellStyle name="Lien hypertexte" xfId="17626" builtinId="8" hidden="1"/>
    <cellStyle name="Lien hypertexte" xfId="17664" builtinId="8" hidden="1"/>
    <cellStyle name="Lien hypertexte" xfId="17702" builtinId="8" hidden="1"/>
    <cellStyle name="Lien hypertexte" xfId="17740" builtinId="8" hidden="1"/>
    <cellStyle name="Lien hypertexte" xfId="17782" builtinId="8" hidden="1"/>
    <cellStyle name="Lien hypertexte" xfId="17820" builtinId="8" hidden="1"/>
    <cellStyle name="Lien hypertexte" xfId="17858" builtinId="8" hidden="1"/>
    <cellStyle name="Lien hypertexte" xfId="17898" builtinId="8" hidden="1"/>
    <cellStyle name="Lien hypertexte" xfId="17938" builtinId="8" hidden="1"/>
    <cellStyle name="Lien hypertexte" xfId="17976" builtinId="8" hidden="1"/>
    <cellStyle name="Lien hypertexte" xfId="18014" builtinId="8" hidden="1"/>
    <cellStyle name="Lien hypertexte" xfId="18054" builtinId="8" hidden="1"/>
    <cellStyle name="Lien hypertexte" xfId="18092" builtinId="8" hidden="1"/>
    <cellStyle name="Lien hypertexte" xfId="18132" builtinId="8" hidden="1"/>
    <cellStyle name="Lien hypertexte" xfId="18172" builtinId="8" hidden="1"/>
    <cellStyle name="Lien hypertexte" xfId="18210" builtinId="8" hidden="1"/>
    <cellStyle name="Lien hypertexte" xfId="18248" builtinId="8" hidden="1"/>
    <cellStyle name="Lien hypertexte" xfId="18286" builtinId="8" hidden="1"/>
    <cellStyle name="Lien hypertexte" xfId="18345" builtinId="8" hidden="1"/>
    <cellStyle name="Lien hypertexte" xfId="18383" builtinId="8" hidden="1"/>
    <cellStyle name="Lien hypertexte" xfId="18421" builtinId="8" hidden="1"/>
    <cellStyle name="Lien hypertexte" xfId="18461" builtinId="8" hidden="1"/>
    <cellStyle name="Lien hypertexte" xfId="18501" builtinId="8" hidden="1"/>
    <cellStyle name="Lien hypertexte" xfId="18539" builtinId="8" hidden="1"/>
    <cellStyle name="Lien hypertexte" xfId="18577" builtinId="8" hidden="1"/>
    <cellStyle name="Lien hypertexte" xfId="18617" builtinId="8" hidden="1"/>
    <cellStyle name="Lien hypertexte" xfId="18655" builtinId="8" hidden="1"/>
    <cellStyle name="Lien hypertexte" xfId="18695" builtinId="8" hidden="1"/>
    <cellStyle name="Lien hypertexte" xfId="18735" builtinId="8" hidden="1"/>
    <cellStyle name="Lien hypertexte" xfId="18773" builtinId="8" hidden="1"/>
    <cellStyle name="Lien hypertexte" xfId="18811" builtinId="8" hidden="1"/>
    <cellStyle name="Lien hypertexte" xfId="18785" builtinId="8" hidden="1"/>
    <cellStyle name="Lien hypertexte" xfId="18160" builtinId="8" hidden="1"/>
    <cellStyle name="Lien hypertexte" xfId="17584" builtinId="8" hidden="1"/>
    <cellStyle name="Lien hypertexte" xfId="17008" builtinId="8" hidden="1"/>
    <cellStyle name="Lien hypertexte" xfId="16400" builtinId="8" hidden="1"/>
    <cellStyle name="Lien hypertexte" xfId="14634" builtinId="8" hidden="1"/>
    <cellStyle name="Lien hypertexte" xfId="14672" builtinId="8" hidden="1"/>
    <cellStyle name="Lien hypertexte" xfId="14710" builtinId="8" hidden="1"/>
    <cellStyle name="Lien hypertexte" xfId="14748" builtinId="8" hidden="1"/>
    <cellStyle name="Lien hypertexte" xfId="14786" builtinId="8" hidden="1"/>
    <cellStyle name="Lien hypertexte" xfId="14822" builtinId="8" hidden="1"/>
    <cellStyle name="Lien hypertexte" xfId="14862" builtinId="8" hidden="1"/>
    <cellStyle name="Lien hypertexte" xfId="14900" builtinId="8" hidden="1"/>
    <cellStyle name="Lien hypertexte" xfId="14936" builtinId="8" hidden="1"/>
    <cellStyle name="Lien hypertexte" xfId="14974" builtinId="8" hidden="1"/>
    <cellStyle name="Lien hypertexte" xfId="15012" builtinId="8" hidden="1"/>
    <cellStyle name="Lien hypertexte" xfId="15050" builtinId="8" hidden="1"/>
    <cellStyle name="Lien hypertexte" xfId="15086" builtinId="8" hidden="1"/>
    <cellStyle name="Lien hypertexte" xfId="15126" builtinId="8" hidden="1"/>
    <cellStyle name="Lien hypertexte" xfId="15164" builtinId="8" hidden="1"/>
    <cellStyle name="Lien hypertexte" xfId="15200" builtinId="8" hidden="1"/>
    <cellStyle name="Lien hypertexte" xfId="15238" builtinId="8" hidden="1"/>
    <cellStyle name="Lien hypertexte" xfId="15276" builtinId="8" hidden="1"/>
    <cellStyle name="Lien hypertexte" xfId="15314" builtinId="8" hidden="1"/>
    <cellStyle name="Lien hypertexte" xfId="15352" builtinId="8" hidden="1"/>
    <cellStyle name="Lien hypertexte" xfId="15390" builtinId="8" hidden="1"/>
    <cellStyle name="Lien hypertexte" xfId="15428" builtinId="8" hidden="1"/>
    <cellStyle name="Lien hypertexte" xfId="15464" builtinId="8" hidden="1"/>
    <cellStyle name="Lien hypertexte" xfId="15502" builtinId="8" hidden="1"/>
    <cellStyle name="Lien hypertexte" xfId="15542" builtinId="8" hidden="1"/>
    <cellStyle name="Lien hypertexte" xfId="15578" builtinId="8" hidden="1"/>
    <cellStyle name="Lien hypertexte" xfId="15616" builtinId="8" hidden="1"/>
    <cellStyle name="Lien hypertexte" xfId="15654" builtinId="8" hidden="1"/>
    <cellStyle name="Lien hypertexte" xfId="15692" builtinId="8" hidden="1"/>
    <cellStyle name="Lien hypertexte" xfId="15730" builtinId="8" hidden="1"/>
    <cellStyle name="Lien hypertexte" xfId="15766" builtinId="8" hidden="1"/>
    <cellStyle name="Lien hypertexte" xfId="15806" builtinId="8" hidden="1"/>
    <cellStyle name="Lien hypertexte" xfId="15842" builtinId="8" hidden="1"/>
    <cellStyle name="Lien hypertexte" xfId="15880" builtinId="8" hidden="1"/>
    <cellStyle name="Lien hypertexte" xfId="15918" builtinId="8" hidden="1"/>
    <cellStyle name="Lien hypertexte" xfId="15280" builtinId="8" hidden="1"/>
    <cellStyle name="Lien hypertexte" xfId="666" builtinId="8" hidden="1"/>
    <cellStyle name="Lien hypertexte" xfId="702" builtinId="8" hidden="1"/>
    <cellStyle name="Lien hypertexte" xfId="742" builtinId="8" hidden="1"/>
    <cellStyle name="Lien hypertexte" xfId="778" builtinId="8" hidden="1"/>
    <cellStyle name="Lien hypertexte" xfId="814" builtinId="8" hidden="1"/>
    <cellStyle name="Lien hypertexte" xfId="854" builtinId="8" hidden="1"/>
    <cellStyle name="Lien hypertexte" xfId="890" builtinId="8" hidden="1"/>
    <cellStyle name="Lien hypertexte" xfId="926" builtinId="8" hidden="1"/>
    <cellStyle name="Lien hypertexte" xfId="962" builtinId="8" hidden="1"/>
    <cellStyle name="Lien hypertexte" xfId="1002" builtinId="8" hidden="1"/>
    <cellStyle name="Lien hypertexte" xfId="1038" builtinId="8" hidden="1"/>
    <cellStyle name="Lien hypertexte" xfId="1074" builtinId="8" hidden="1"/>
    <cellStyle name="Lien hypertexte" xfId="1114" builtinId="8" hidden="1"/>
    <cellStyle name="Lien hypertexte" xfId="1150" builtinId="8" hidden="1" customBuiltin="1"/>
    <cellStyle name="Lien hypertexte" xfId="14540" builtinId="8" hidden="1"/>
    <cellStyle name="Lien hypertexte" xfId="14578" builtinId="8" hidden="1"/>
    <cellStyle name="Lien hypertexte" xfId="14616" builtinId="8" hidden="1"/>
    <cellStyle name="Lien hypertexte" xfId="362" builtinId="8" hidden="1"/>
    <cellStyle name="Lien hypertexte" xfId="398" builtinId="8" hidden="1"/>
    <cellStyle name="Lien hypertexte" xfId="436" builtinId="8" hidden="1"/>
    <cellStyle name="Lien hypertexte" xfId="474" builtinId="8" hidden="1"/>
    <cellStyle name="Lien hypertexte" xfId="510" builtinId="8" hidden="1"/>
    <cellStyle name="Lien hypertexte" xfId="546" builtinId="8" hidden="1"/>
    <cellStyle name="Lien hypertexte" xfId="584" builtinId="8" hidden="1"/>
    <cellStyle name="Lien hypertexte" xfId="620" builtinId="8" hidden="1"/>
    <cellStyle name="Lien hypertexte" xfId="200" builtinId="8" hidden="1"/>
    <cellStyle name="Lien hypertexte" xfId="238" builtinId="8" hidden="1"/>
    <cellStyle name="Lien hypertexte" xfId="274" builtinId="8" hidden="1"/>
    <cellStyle name="Lien hypertexte" xfId="310" builtinId="8" hidden="1"/>
    <cellStyle name="Lien hypertexte" xfId="346" builtinId="8" hidden="1"/>
    <cellStyle name="Lien hypertexte" xfId="160" builtinId="8" hidden="1"/>
    <cellStyle name="Lien hypertexte" xfId="196" builtinId="8" hidden="1"/>
    <cellStyle name="Lien hypertexte" xfId="120" builtinId="8" hidden="1"/>
    <cellStyle name="Lien hypertexte" xfId="3" builtinId="8" hidden="1"/>
    <cellStyle name="Lien hypertexte" xfId="252" builtinId="8" hidden="1"/>
    <cellStyle name="Lien hypertexte" xfId="450" builtinId="8" hidden="1"/>
    <cellStyle name="Lien hypertexte" xfId="1128" builtinId="8" hidden="1"/>
    <cellStyle name="Lien hypertexte" xfId="868" builtinId="8" hidden="1"/>
    <cellStyle name="Lien hypertexte" xfId="15934" builtinId="8" hidden="1"/>
    <cellStyle name="Lien hypertexte" xfId="15670" builtinId="8" hidden="1"/>
    <cellStyle name="Lien hypertexte" xfId="15404" builtinId="8" hidden="1"/>
    <cellStyle name="Lien hypertexte" xfId="15140" builtinId="8" hidden="1"/>
    <cellStyle name="Lien hypertexte" xfId="14876" builtinId="8" hidden="1"/>
    <cellStyle name="Lien hypertexte" xfId="16176" builtinId="8" hidden="1"/>
    <cellStyle name="Lien hypertexte" xfId="18749" builtinId="8" hidden="1"/>
    <cellStyle name="Lien hypertexte" xfId="18477" builtinId="8" hidden="1"/>
    <cellStyle name="Lien hypertexte" xfId="18186" builtinId="8" hidden="1"/>
    <cellStyle name="Lien hypertexte" xfId="17914" builtinId="8" hidden="1"/>
    <cellStyle name="Lien hypertexte" xfId="17640" builtinId="8" hidden="1"/>
    <cellStyle name="Lien hypertexte" xfId="17368" builtinId="8" hidden="1"/>
    <cellStyle name="Lien hypertexte" xfId="17094" builtinId="8" hidden="1"/>
    <cellStyle name="Lien hypertexte" xfId="16822" builtinId="8" hidden="1"/>
    <cellStyle name="Lien hypertexte" xfId="16548" builtinId="8" hidden="1"/>
    <cellStyle name="Lien hypertexte" xfId="16276" builtinId="8" hidden="1"/>
    <cellStyle name="Lien hypertexte" xfId="16002" builtinId="8" hidden="1"/>
    <cellStyle name="Lien hypertexte" xfId="20385" builtinId="8" hidden="1"/>
    <cellStyle name="Lien hypertexte" xfId="21755" builtinId="8" hidden="1"/>
    <cellStyle name="Lien hypertexte" xfId="21795" builtinId="8" hidden="1"/>
    <cellStyle name="Lien hypertexte" xfId="21835" builtinId="8" hidden="1"/>
    <cellStyle name="Lien hypertexte" xfId="21875" builtinId="8" hidden="1"/>
    <cellStyle name="Lien hypertexte" xfId="21913" builtinId="8" hidden="1"/>
    <cellStyle name="Lien hypertexte" xfId="21951" builtinId="8" hidden="1"/>
    <cellStyle name="Lien hypertexte" xfId="21991" builtinId="8" hidden="1"/>
    <cellStyle name="Lien hypertexte" xfId="22029" builtinId="8" hidden="1"/>
    <cellStyle name="Lien hypertexte" xfId="22069" builtinId="8" hidden="1"/>
    <cellStyle name="Lien hypertexte" xfId="22107" builtinId="8" hidden="1"/>
    <cellStyle name="Lien hypertexte" xfId="22147" builtinId="8" hidden="1"/>
    <cellStyle name="Lien hypertexte" xfId="22185" builtinId="8" hidden="1"/>
    <cellStyle name="Lien hypertexte" xfId="22223" builtinId="8" hidden="1"/>
    <cellStyle name="Lien hypertexte" xfId="22263" builtinId="8" hidden="1"/>
    <cellStyle name="Lien hypertexte" xfId="22301" builtinId="8" hidden="1"/>
    <cellStyle name="Lien hypertexte" xfId="22341" builtinId="8" hidden="1"/>
    <cellStyle name="Lien hypertexte" xfId="22379" builtinId="8" hidden="1"/>
    <cellStyle name="Lien hypertexte" xfId="22421" builtinId="8" hidden="1"/>
    <cellStyle name="Lien hypertexte" xfId="22459" builtinId="8" hidden="1"/>
    <cellStyle name="Lien hypertexte" xfId="22499" builtinId="8" hidden="1"/>
    <cellStyle name="Lien hypertexte" xfId="22537" builtinId="8" hidden="1"/>
    <cellStyle name="Lien hypertexte" xfId="22575" builtinId="8" hidden="1"/>
    <cellStyle name="Lien hypertexte" xfId="22615" builtinId="8" hidden="1"/>
    <cellStyle name="Lien hypertexte" xfId="22653" builtinId="8" hidden="1"/>
    <cellStyle name="Lien hypertexte" xfId="22693" builtinId="8" hidden="1"/>
    <cellStyle name="Lien hypertexte" xfId="22731" builtinId="8" hidden="1"/>
    <cellStyle name="Lien hypertexte" xfId="22771" builtinId="8" hidden="1"/>
    <cellStyle name="Lien hypertexte" xfId="22809" builtinId="8" hidden="1"/>
    <cellStyle name="Lien hypertexte" xfId="22847" builtinId="8" hidden="1"/>
    <cellStyle name="Lien hypertexte" xfId="22887" builtinId="8" hidden="1"/>
    <cellStyle name="Lien hypertexte" xfId="22925" builtinId="8" hidden="1"/>
    <cellStyle name="Lien hypertexte" xfId="22965" builtinId="8" hidden="1"/>
    <cellStyle name="Lien hypertexte" xfId="23005" builtinId="8" hidden="1"/>
    <cellStyle name="Lien hypertexte" xfId="23045" builtinId="8" hidden="1"/>
    <cellStyle name="Lien hypertexte" xfId="23083" builtinId="8" hidden="1"/>
    <cellStyle name="Lien hypertexte" xfId="23123" builtinId="8" hidden="1"/>
    <cellStyle name="Lien hypertexte" xfId="23161" builtinId="8" hidden="1"/>
    <cellStyle name="Lien hypertexte" xfId="23199" builtinId="8" hidden="1"/>
    <cellStyle name="Lien hypertexte" xfId="23239" builtinId="8" hidden="1"/>
    <cellStyle name="Lien hypertexte" xfId="23277" builtinId="8" hidden="1"/>
    <cellStyle name="Lien hypertexte" xfId="23317" builtinId="8" hidden="1"/>
    <cellStyle name="Lien hypertexte" xfId="23355" builtinId="8" hidden="1"/>
    <cellStyle name="Lien hypertexte" xfId="23395" builtinId="8" hidden="1"/>
    <cellStyle name="Lien hypertexte" xfId="23433" builtinId="8" hidden="1"/>
    <cellStyle name="Lien hypertexte" xfId="23471" builtinId="8" hidden="1"/>
    <cellStyle name="Lien hypertexte" xfId="23511" builtinId="8" hidden="1"/>
    <cellStyle name="Lien hypertexte" xfId="23549" builtinId="8" hidden="1"/>
    <cellStyle name="Lien hypertexte" xfId="23591" builtinId="8" hidden="1"/>
    <cellStyle name="Lien hypertexte" xfId="23629" builtinId="8" hidden="1"/>
    <cellStyle name="Lien hypertexte" xfId="23669" builtinId="8" hidden="1"/>
    <cellStyle name="Lien hypertexte" xfId="23707" builtinId="8" hidden="1"/>
    <cellStyle name="Lien hypertexte" xfId="23747" builtinId="8" hidden="1"/>
    <cellStyle name="Lien hypertexte" xfId="23785" builtinId="8" hidden="1"/>
    <cellStyle name="Lien hypertexte" xfId="23823" builtinId="8" hidden="1"/>
    <cellStyle name="Lien hypertexte" xfId="23863" builtinId="8" hidden="1"/>
    <cellStyle name="Lien hypertexte" xfId="23901" builtinId="8" hidden="1"/>
    <cellStyle name="Lien hypertexte" xfId="23941" builtinId="8" hidden="1"/>
    <cellStyle name="Lien hypertexte" xfId="23979" builtinId="8" hidden="1"/>
    <cellStyle name="Lien hypertexte" xfId="24019" builtinId="8" hidden="1"/>
    <cellStyle name="Lien hypertexte" xfId="24057" builtinId="8" hidden="1"/>
    <cellStyle name="Lien hypertexte" xfId="24095" builtinId="8" hidden="1"/>
    <cellStyle name="Lien hypertexte" xfId="24135" builtinId="8" hidden="1"/>
    <cellStyle name="Lien hypertexte" xfId="24175" builtinId="8" hidden="1"/>
    <cellStyle name="Lien hypertexte" xfId="24215" builtinId="8" hidden="1"/>
    <cellStyle name="Lien hypertexte" xfId="24253" builtinId="8" hidden="1"/>
    <cellStyle name="Lien hypertexte" xfId="24293" builtinId="8" hidden="1"/>
    <cellStyle name="Lien hypertexte" xfId="24331" builtinId="8" hidden="1"/>
    <cellStyle name="Lien hypertexte" xfId="24371" builtinId="8" hidden="1"/>
    <cellStyle name="Lien hypertexte" xfId="24409" builtinId="8" hidden="1"/>
    <cellStyle name="Lien hypertexte" xfId="24447" builtinId="8" hidden="1"/>
    <cellStyle name="Lien hypertexte" xfId="24487" builtinId="8" hidden="1"/>
    <cellStyle name="Lien hypertexte" xfId="24525" builtinId="8" hidden="1"/>
    <cellStyle name="Lien hypertexte" xfId="24565" builtinId="8" hidden="1"/>
    <cellStyle name="Lien hypertexte" xfId="24603" builtinId="8" hidden="1"/>
    <cellStyle name="Lien hypertexte" xfId="24401" builtinId="8" hidden="1"/>
    <cellStyle name="Lien hypertexte" xfId="24129" builtinId="8" hidden="1"/>
    <cellStyle name="Lien hypertexte" xfId="23857" builtinId="8" hidden="1"/>
    <cellStyle name="Lien hypertexte" xfId="23569" builtinId="8" hidden="1"/>
    <cellStyle name="Lien hypertexte" xfId="23297" builtinId="8" hidden="1"/>
    <cellStyle name="Lien hypertexte" xfId="23025" builtinId="8" hidden="1"/>
    <cellStyle name="Lien hypertexte" xfId="22753" builtinId="8" hidden="1"/>
    <cellStyle name="Lien hypertexte" xfId="22481" builtinId="8" hidden="1"/>
    <cellStyle name="Lien hypertexte" xfId="22209" builtinId="8" hidden="1"/>
    <cellStyle name="Lien hypertexte" xfId="21937" builtinId="8" hidden="1"/>
    <cellStyle name="Lien hypertexte" xfId="21665" builtinId="8" hidden="1"/>
    <cellStyle name="Lien hypertexte" xfId="24097" builtinId="8" hidden="1"/>
    <cellStyle name="Lien hypertexte" xfId="24101" builtinId="8" hidden="1"/>
    <cellStyle name="Lien hypertexte" xfId="23515" builtinId="8" hidden="1"/>
    <cellStyle name="Lien hypertexte" xfId="22931" builtinId="8" hidden="1"/>
    <cellStyle name="Lien hypertexte" xfId="22345" builtinId="8" hidden="1"/>
    <cellStyle name="Lien hypertexte" xfId="21759" builtinId="8" hidden="1"/>
    <cellStyle name="Lien hypertexte" xfId="20283" builtinId="8" hidden="1"/>
    <cellStyle name="Lien hypertexte" xfId="20319" builtinId="8" hidden="1"/>
    <cellStyle name="Lien hypertexte" xfId="20359" builtinId="8" hidden="1"/>
    <cellStyle name="Lien hypertexte" xfId="20395" builtinId="8" hidden="1"/>
    <cellStyle name="Lien hypertexte" xfId="20435" builtinId="8" hidden="1"/>
    <cellStyle name="Lien hypertexte" xfId="20471" builtinId="8" hidden="1"/>
    <cellStyle name="Lien hypertexte" xfId="20509" builtinId="8" hidden="1"/>
    <cellStyle name="Lien hypertexte" xfId="20547" builtinId="8" hidden="1"/>
    <cellStyle name="Lien hypertexte" xfId="20585" builtinId="8" hidden="1"/>
    <cellStyle name="Lien hypertexte" xfId="20621" builtinId="8" hidden="1"/>
    <cellStyle name="Lien hypertexte" xfId="20661" builtinId="8" hidden="1"/>
    <cellStyle name="Lien hypertexte" xfId="20697" builtinId="8" hidden="1"/>
    <cellStyle name="Lien hypertexte" xfId="20735" builtinId="8" hidden="1"/>
    <cellStyle name="Lien hypertexte" xfId="20775" builtinId="8" hidden="1"/>
    <cellStyle name="Lien hypertexte" xfId="20811" builtinId="8" hidden="1"/>
    <cellStyle name="Lien hypertexte" xfId="20851" builtinId="8" hidden="1"/>
    <cellStyle name="Lien hypertexte" xfId="20887" builtinId="8" hidden="1"/>
    <cellStyle name="Lien hypertexte" xfId="20925" builtinId="8" hidden="1"/>
    <cellStyle name="Lien hypertexte" xfId="20963" builtinId="8" hidden="1"/>
    <cellStyle name="Lien hypertexte" xfId="21001" builtinId="8" hidden="1"/>
    <cellStyle name="Lien hypertexte" xfId="21037" builtinId="8" hidden="1"/>
    <cellStyle name="Lien hypertexte" xfId="21077" builtinId="8" hidden="1"/>
    <cellStyle name="Lien hypertexte" xfId="21113" builtinId="8" hidden="1"/>
    <cellStyle name="Lien hypertexte" xfId="21151" builtinId="8" hidden="1"/>
    <cellStyle name="Lien hypertexte" xfId="21189" builtinId="8" hidden="1"/>
    <cellStyle name="Lien hypertexte" xfId="21227" builtinId="8" hidden="1"/>
    <cellStyle name="Lien hypertexte" xfId="21263" builtinId="8" hidden="1"/>
    <cellStyle name="Lien hypertexte" xfId="21303" builtinId="8" hidden="1"/>
    <cellStyle name="Lien hypertexte" xfId="21339" builtinId="8" hidden="1"/>
    <cellStyle name="Lien hypertexte" xfId="21379" builtinId="8" hidden="1"/>
    <cellStyle name="Lien hypertexte" xfId="21415" builtinId="8" hidden="1"/>
    <cellStyle name="Lien hypertexte" xfId="21453" builtinId="8" hidden="1"/>
    <cellStyle name="Lien hypertexte" xfId="21491" builtinId="8" hidden="1"/>
    <cellStyle name="Lien hypertexte" xfId="21529" builtinId="8" hidden="1"/>
    <cellStyle name="Lien hypertexte" xfId="21565" builtinId="8" hidden="1"/>
    <cellStyle name="Lien hypertexte" xfId="21605" builtinId="8" hidden="1"/>
    <cellStyle name="Lien hypertexte" xfId="21641" builtinId="8" hidden="1"/>
    <cellStyle name="Lien hypertexte" xfId="21679" builtinId="8" hidden="1"/>
    <cellStyle name="Lien hypertexte" xfId="21717" builtinId="8" hidden="1"/>
    <cellStyle name="Lien hypertexte" xfId="21285" builtinId="8" hidden="1"/>
    <cellStyle name="Lien hypertexte" xfId="19539" builtinId="8" hidden="1"/>
    <cellStyle name="Lien hypertexte" xfId="19575" builtinId="8" hidden="1"/>
    <cellStyle name="Lien hypertexte" xfId="19613" builtinId="8" hidden="1"/>
    <cellStyle name="Lien hypertexte" xfId="19651" builtinId="8" hidden="1"/>
    <cellStyle name="Lien hypertexte" xfId="19687" builtinId="8" hidden="1"/>
    <cellStyle name="Lien hypertexte" xfId="19723" builtinId="8" hidden="1"/>
    <cellStyle name="Lien hypertexte" xfId="19763" builtinId="8" hidden="1"/>
    <cellStyle name="Lien hypertexte" xfId="19799" builtinId="8" hidden="1"/>
    <cellStyle name="Lien hypertexte" xfId="19835" builtinId="8" hidden="1"/>
    <cellStyle name="Lien hypertexte" xfId="19871" builtinId="8" hidden="1"/>
    <cellStyle name="Lien hypertexte" xfId="19911" builtinId="8" hidden="1"/>
    <cellStyle name="Lien hypertexte" xfId="19947" builtinId="8" hidden="1"/>
    <cellStyle name="Lien hypertexte" xfId="19983" builtinId="8" hidden="1"/>
    <cellStyle name="Lien hypertexte" xfId="20021" builtinId="8" hidden="1"/>
    <cellStyle name="Lien hypertexte" xfId="20059" builtinId="8" hidden="1"/>
    <cellStyle name="Lien hypertexte" xfId="20095" builtinId="8" hidden="1"/>
    <cellStyle name="Lien hypertexte" xfId="20133" builtinId="8" hidden="1"/>
    <cellStyle name="Lien hypertexte" xfId="20169" builtinId="8" hidden="1"/>
    <cellStyle name="Lien hypertexte" xfId="20207" builtinId="8" hidden="1"/>
    <cellStyle name="Lien hypertexte" xfId="20245" builtinId="8" hidden="1"/>
    <cellStyle name="Lien hypertexte" xfId="19211" builtinId="8" hidden="1"/>
    <cellStyle name="Lien hypertexte" xfId="19247" builtinId="8" hidden="1"/>
    <cellStyle name="Lien hypertexte" xfId="19285" builtinId="8" hidden="1"/>
    <cellStyle name="Lien hypertexte" xfId="19323" builtinId="8" hidden="1"/>
    <cellStyle name="Lien hypertexte" xfId="19359" builtinId="8" hidden="1"/>
    <cellStyle name="Lien hypertexte" xfId="19397" builtinId="8" hidden="1"/>
    <cellStyle name="Lien hypertexte" xfId="19433" builtinId="8" hidden="1"/>
    <cellStyle name="Lien hypertexte" xfId="19469" builtinId="8" hidden="1"/>
    <cellStyle name="Lien hypertexte" xfId="19507" builtinId="8" hidden="1"/>
    <cellStyle name="Lien hypertexte" xfId="19021" builtinId="8" hidden="1"/>
    <cellStyle name="Lien hypertexte" xfId="19059" builtinId="8" hidden="1"/>
    <cellStyle name="Lien hypertexte" xfId="19095" builtinId="8" hidden="1"/>
    <cellStyle name="Lien hypertexte" xfId="19131" builtinId="8" hidden="1"/>
    <cellStyle name="Lien hypertexte" xfId="19167" builtinId="8" hidden="1"/>
    <cellStyle name="Lien hypertexte" xfId="18949" builtinId="8" hidden="1"/>
    <cellStyle name="Lien hypertexte" xfId="18985" builtinId="8" hidden="1"/>
    <cellStyle name="Lien hypertexte" xfId="18893" builtinId="8" hidden="1"/>
    <cellStyle name="Lien hypertexte" xfId="18931" builtinId="8" hidden="1"/>
    <cellStyle name="Lien hypertexte" xfId="18855" builtinId="8" hidden="1"/>
    <cellStyle name="Lien hypertexte" xfId="18877" builtinId="8" hidden="1"/>
    <cellStyle name="Lien hypertexte" xfId="18905" builtinId="8" hidden="1"/>
    <cellStyle name="Lien hypertexte" xfId="18997" builtinId="8" hidden="1"/>
    <cellStyle name="Lien hypertexte" xfId="18959" builtinId="8" hidden="1"/>
    <cellStyle name="Lien hypertexte" xfId="19179" builtinId="8" hidden="1"/>
    <cellStyle name="Lien hypertexte" xfId="19143" builtinId="8" hidden="1"/>
    <cellStyle name="Lien hypertexte" xfId="19107" builtinId="8" hidden="1"/>
    <cellStyle name="Lien hypertexte" xfId="19069" builtinId="8" hidden="1"/>
    <cellStyle name="Lien hypertexte" xfId="19033" builtinId="8" hidden="1"/>
    <cellStyle name="Lien hypertexte" xfId="19517" builtinId="8" hidden="1"/>
    <cellStyle name="Lien hypertexte" xfId="19481" builtinId="8" hidden="1"/>
    <cellStyle name="Lien hypertexte" xfId="19445" builtinId="8" hidden="1"/>
    <cellStyle name="Lien hypertexte" xfId="19407" builtinId="8" hidden="1"/>
    <cellStyle name="Lien hypertexte" xfId="19371" builtinId="8" hidden="1"/>
    <cellStyle name="Lien hypertexte" xfId="19335" builtinId="8" hidden="1"/>
    <cellStyle name="Lien hypertexte" xfId="19295" builtinId="8" hidden="1"/>
    <cellStyle name="Lien hypertexte" xfId="19259" builtinId="8" hidden="1"/>
    <cellStyle name="Lien hypertexte" xfId="19223" builtinId="8" hidden="1"/>
    <cellStyle name="Lien hypertexte" xfId="19603" builtinId="8" hidden="1"/>
    <cellStyle name="Lien hypertexte" xfId="20219" builtinId="8" hidden="1"/>
    <cellStyle name="Lien hypertexte" xfId="20181" builtinId="8" hidden="1"/>
    <cellStyle name="Lien hypertexte" xfId="20143" builtinId="8" hidden="1"/>
    <cellStyle name="Lien hypertexte" xfId="20107" builtinId="8" hidden="1"/>
    <cellStyle name="Lien hypertexte" xfId="20071" builtinId="8" hidden="1"/>
    <cellStyle name="Lien hypertexte" xfId="20031" builtinId="8" hidden="1"/>
    <cellStyle name="Lien hypertexte" xfId="19995" builtinId="8" hidden="1"/>
    <cellStyle name="Lien hypertexte" xfId="19959" builtinId="8" hidden="1"/>
    <cellStyle name="Lien hypertexte" xfId="19923" builtinId="8" hidden="1"/>
    <cellStyle name="Lien hypertexte" xfId="19883" builtinId="8" hidden="1"/>
    <cellStyle name="Lien hypertexte" xfId="19847" builtinId="8" hidden="1"/>
    <cellStyle name="Lien hypertexte" xfId="19811" builtinId="8" hidden="1"/>
    <cellStyle name="Lien hypertexte" xfId="19773" builtinId="8" hidden="1"/>
    <cellStyle name="Lien hypertexte" xfId="19735" builtinId="8" hidden="1"/>
    <cellStyle name="Lien hypertexte" xfId="19699" builtinId="8" hidden="1"/>
    <cellStyle name="Lien hypertexte" xfId="19661" builtinId="8" hidden="1"/>
    <cellStyle name="Lien hypertexte" xfId="19625" builtinId="8" hidden="1"/>
    <cellStyle name="Lien hypertexte" xfId="19587" builtinId="8" hidden="1"/>
    <cellStyle name="Lien hypertexte" xfId="19549" builtinId="8" hidden="1"/>
    <cellStyle name="Lien hypertexte" xfId="20919" builtinId="8" hidden="1"/>
    <cellStyle name="Lien hypertexte" xfId="21731" builtinId="8" hidden="1"/>
    <cellStyle name="Lien hypertexte" xfId="21691" builtinId="8" hidden="1"/>
    <cellStyle name="Lien hypertexte" xfId="21655" builtinId="8" hidden="1"/>
    <cellStyle name="Lien hypertexte" xfId="21615" builtinId="8" hidden="1"/>
    <cellStyle name="Lien hypertexte" xfId="21579" builtinId="8" hidden="1"/>
    <cellStyle name="Lien hypertexte" xfId="21541" builtinId="8" hidden="1"/>
    <cellStyle name="Lien hypertexte" xfId="21501" builtinId="8" hidden="1"/>
    <cellStyle name="Lien hypertexte" xfId="21465" builtinId="8" hidden="1"/>
    <cellStyle name="Lien hypertexte" xfId="21427" builtinId="8" hidden="1"/>
    <cellStyle name="Lien hypertexte" xfId="21389" builtinId="8" hidden="1"/>
    <cellStyle name="Lien hypertexte" xfId="21351" builtinId="8" hidden="1"/>
    <cellStyle name="Lien hypertexte" xfId="21315" builtinId="8" hidden="1"/>
    <cellStyle name="Lien hypertexte" xfId="21275" builtinId="8" hidden="1"/>
    <cellStyle name="Lien hypertexte" xfId="21239" builtinId="8" hidden="1"/>
    <cellStyle name="Lien hypertexte" xfId="21199" builtinId="8" hidden="1"/>
    <cellStyle name="Lien hypertexte" xfId="21163" builtinId="8" hidden="1"/>
    <cellStyle name="Lien hypertexte" xfId="21125" builtinId="8" hidden="1"/>
    <cellStyle name="Lien hypertexte" xfId="21087" builtinId="8" hidden="1"/>
    <cellStyle name="Lien hypertexte" xfId="21049" builtinId="8" hidden="1"/>
    <cellStyle name="Lien hypertexte" xfId="21013" builtinId="8" hidden="1"/>
    <cellStyle name="Lien hypertexte" xfId="20973" builtinId="8" hidden="1"/>
    <cellStyle name="Lien hypertexte" xfId="20937" builtinId="8" hidden="1"/>
    <cellStyle name="Lien hypertexte" xfId="20899" builtinId="8" hidden="1"/>
    <cellStyle name="Lien hypertexte" xfId="20861" builtinId="8" hidden="1"/>
    <cellStyle name="Lien hypertexte" xfId="20823" builtinId="8" hidden="1"/>
    <cellStyle name="Lien hypertexte" xfId="20787" builtinId="8" hidden="1"/>
    <cellStyle name="Lien hypertexte" xfId="20747" builtinId="8" hidden="1"/>
    <cellStyle name="Lien hypertexte" xfId="20711" builtinId="8" hidden="1"/>
    <cellStyle name="Lien hypertexte" xfId="20671" builtinId="8" hidden="1"/>
    <cellStyle name="Lien hypertexte" xfId="20635" builtinId="8" hidden="1"/>
    <cellStyle name="Lien hypertexte" xfId="20597" builtinId="8" hidden="1"/>
    <cellStyle name="Lien hypertexte" xfId="20559" builtinId="8" hidden="1"/>
    <cellStyle name="Lien hypertexte" xfId="20521" builtinId="8" hidden="1"/>
    <cellStyle name="Lien hypertexte" xfId="20485" builtinId="8" hidden="1"/>
    <cellStyle name="Lien hypertexte" xfId="20445" builtinId="8" hidden="1"/>
    <cellStyle name="Lien hypertexte" xfId="20409" builtinId="8" hidden="1"/>
    <cellStyle name="Lien hypertexte" xfId="20371" builtinId="8" hidden="1"/>
    <cellStyle name="Lien hypertexte" xfId="20331" builtinId="8" hidden="1"/>
    <cellStyle name="Lien hypertexte" xfId="20295" builtinId="8" hidden="1"/>
    <cellStyle name="Lien hypertexte" xfId="20255" builtinId="8" hidden="1"/>
    <cellStyle name="Lien hypertexte" xfId="22163" builtinId="8" hidden="1"/>
    <cellStyle name="Lien hypertexte" xfId="22747" builtinId="8" hidden="1"/>
    <cellStyle name="Lien hypertexte" xfId="23333" builtinId="8" hidden="1"/>
    <cellStyle name="Lien hypertexte" xfId="23917" builtinId="8" hidden="1"/>
    <cellStyle name="Lien hypertexte" xfId="24503" builtinId="8" hidden="1"/>
    <cellStyle name="Lien hypertexte" xfId="21585" builtinId="8" hidden="1"/>
    <cellStyle name="Lien hypertexte" xfId="21857" builtinId="8" hidden="1"/>
    <cellStyle name="Lien hypertexte" xfId="22129" builtinId="8" hidden="1"/>
    <cellStyle name="Lien hypertexte" xfId="22401" builtinId="8" hidden="1"/>
    <cellStyle name="Lien hypertexte" xfId="22673" builtinId="8" hidden="1"/>
    <cellStyle name="Lien hypertexte" xfId="22945" builtinId="8" hidden="1"/>
    <cellStyle name="Lien hypertexte" xfId="23217" builtinId="8" hidden="1"/>
    <cellStyle name="Lien hypertexte" xfId="23489" builtinId="8" hidden="1"/>
    <cellStyle name="Lien hypertexte" xfId="23761" builtinId="8" hidden="1"/>
    <cellStyle name="Lien hypertexte" xfId="24033" builtinId="8" hidden="1"/>
    <cellStyle name="Lien hypertexte" xfId="24305" builtinId="8" hidden="1"/>
    <cellStyle name="Lien hypertexte" xfId="24577" builtinId="8" hidden="1"/>
    <cellStyle name="Lien hypertexte" xfId="24579" builtinId="8" hidden="1"/>
    <cellStyle name="Lien hypertexte" xfId="24537" builtinId="8" hidden="1"/>
    <cellStyle name="Lien hypertexte" xfId="24499" builtinId="8" hidden="1"/>
    <cellStyle name="Lien hypertexte" xfId="24459" builtinId="8" hidden="1"/>
    <cellStyle name="Lien hypertexte" xfId="24421" builtinId="8" hidden="1"/>
    <cellStyle name="Lien hypertexte" xfId="24381" builtinId="8" hidden="1"/>
    <cellStyle name="Lien hypertexte" xfId="24343" builtinId="8" hidden="1"/>
    <cellStyle name="Lien hypertexte" xfId="24303" builtinId="8" hidden="1"/>
    <cellStyle name="Lien hypertexte" xfId="24265" builtinId="8" hidden="1"/>
    <cellStyle name="Lien hypertexte" xfId="24227" builtinId="8" hidden="1"/>
    <cellStyle name="Lien hypertexte" xfId="24187" builtinId="8" hidden="1"/>
    <cellStyle name="Lien hypertexte" xfId="24149" builtinId="8" hidden="1"/>
    <cellStyle name="Lien hypertexte" xfId="24109" builtinId="8" hidden="1"/>
    <cellStyle name="Lien hypertexte" xfId="24071" builtinId="8" hidden="1"/>
    <cellStyle name="Lien hypertexte" xfId="24031" builtinId="8" hidden="1"/>
    <cellStyle name="Lien hypertexte" xfId="23993" builtinId="8" hidden="1"/>
    <cellStyle name="Lien hypertexte" xfId="23951" builtinId="8" hidden="1"/>
    <cellStyle name="Lien hypertexte" xfId="23913" builtinId="8" hidden="1"/>
    <cellStyle name="Lien hypertexte" xfId="23875" builtinId="8" hidden="1"/>
    <cellStyle name="Lien hypertexte" xfId="23835" builtinId="8" hidden="1"/>
    <cellStyle name="Lien hypertexte" xfId="23797" builtinId="8" hidden="1"/>
    <cellStyle name="Lien hypertexte" xfId="23757" builtinId="8" hidden="1"/>
    <cellStyle name="Lien hypertexte" xfId="23719" builtinId="8" hidden="1"/>
    <cellStyle name="Lien hypertexte" xfId="23679" builtinId="8" hidden="1"/>
    <cellStyle name="Lien hypertexte" xfId="23641" builtinId="8" hidden="1"/>
    <cellStyle name="Lien hypertexte" xfId="23603" builtinId="8" hidden="1"/>
    <cellStyle name="Lien hypertexte" xfId="23563" builtinId="8" hidden="1"/>
    <cellStyle name="Lien hypertexte" xfId="23525" builtinId="8" hidden="1"/>
    <cellStyle name="Lien hypertexte" xfId="23485" builtinId="8" hidden="1"/>
    <cellStyle name="Lien hypertexte" xfId="23447" builtinId="8" hidden="1"/>
    <cellStyle name="Lien hypertexte" xfId="23407" builtinId="8" hidden="1"/>
    <cellStyle name="Lien hypertexte" xfId="23367" builtinId="8" hidden="1"/>
    <cellStyle name="Lien hypertexte" xfId="23327" builtinId="8" hidden="1"/>
    <cellStyle name="Lien hypertexte" xfId="23289" builtinId="8" hidden="1"/>
    <cellStyle name="Lien hypertexte" xfId="23251" builtinId="8" hidden="1"/>
    <cellStyle name="Lien hypertexte" xfId="23211" builtinId="8" hidden="1"/>
    <cellStyle name="Lien hypertexte" xfId="23173" builtinId="8" hidden="1"/>
    <cellStyle name="Lien hypertexte" xfId="23133" builtinId="8" hidden="1"/>
    <cellStyle name="Lien hypertexte" xfId="23095" builtinId="8" hidden="1"/>
    <cellStyle name="Lien hypertexte" xfId="23055" builtinId="8" hidden="1"/>
    <cellStyle name="Lien hypertexte" xfId="23017" builtinId="8" hidden="1"/>
    <cellStyle name="Lien hypertexte" xfId="22979" builtinId="8" hidden="1"/>
    <cellStyle name="Lien hypertexte" xfId="22939" builtinId="8" hidden="1"/>
    <cellStyle name="Lien hypertexte" xfId="22901" builtinId="8" hidden="1"/>
    <cellStyle name="Lien hypertexte" xfId="22861" builtinId="8" hidden="1"/>
    <cellStyle name="Lien hypertexte" xfId="22823" builtinId="8" hidden="1"/>
    <cellStyle name="Lien hypertexte" xfId="22781" builtinId="8" hidden="1"/>
    <cellStyle name="Lien hypertexte" xfId="22743" builtinId="8" hidden="1"/>
    <cellStyle name="Lien hypertexte" xfId="22703" builtinId="8" hidden="1"/>
    <cellStyle name="Lien hypertexte" xfId="22665" builtinId="8" hidden="1"/>
    <cellStyle name="Lien hypertexte" xfId="22627" builtinId="8" hidden="1"/>
    <cellStyle name="Lien hypertexte" xfId="22587" builtinId="8" hidden="1"/>
    <cellStyle name="Lien hypertexte" xfId="22549" builtinId="8" hidden="1"/>
    <cellStyle name="Lien hypertexte" xfId="22509" builtinId="8" hidden="1"/>
    <cellStyle name="Lien hypertexte" xfId="22471" builtinId="8" hidden="1"/>
    <cellStyle name="Lien hypertexte" xfId="22431" builtinId="8" hidden="1"/>
    <cellStyle name="Lien hypertexte" xfId="22393" builtinId="8" hidden="1"/>
    <cellStyle name="Lien hypertexte" xfId="22355" builtinId="8" hidden="1"/>
    <cellStyle name="Lien hypertexte" xfId="22315" builtinId="8" hidden="1"/>
    <cellStyle name="Lien hypertexte" xfId="22277" builtinId="8" hidden="1"/>
    <cellStyle name="Lien hypertexte" xfId="22237" builtinId="8" hidden="1"/>
    <cellStyle name="Lien hypertexte" xfId="22197" builtinId="8" hidden="1"/>
    <cellStyle name="Lien hypertexte" xfId="22157" builtinId="8" hidden="1"/>
    <cellStyle name="Lien hypertexte" xfId="22119" builtinId="8" hidden="1"/>
    <cellStyle name="Lien hypertexte" xfId="22079" builtinId="8" hidden="1"/>
    <cellStyle name="Lien hypertexte" xfId="22041" builtinId="8" hidden="1"/>
    <cellStyle name="Lien hypertexte" xfId="22003" builtinId="8" hidden="1"/>
    <cellStyle name="Lien hypertexte" xfId="21963" builtinId="8" hidden="1"/>
    <cellStyle name="Lien hypertexte" xfId="21925" builtinId="8" hidden="1"/>
    <cellStyle name="Lien hypertexte" xfId="21885" builtinId="8" hidden="1"/>
    <cellStyle name="Lien hypertexte" xfId="21847" builtinId="8" hidden="1"/>
    <cellStyle name="Lien hypertexte" xfId="21807" builtinId="8" hidden="1"/>
    <cellStyle name="Lien hypertexte" xfId="21769" builtinId="8" hidden="1"/>
    <cellStyle name="Lien hypertexte" xfId="21025" builtinId="8" hidden="1"/>
    <cellStyle name="Lien hypertexte" xfId="18977" builtinId="8" hidden="1"/>
    <cellStyle name="Lien hypertexte" xfId="16190" builtinId="8" hidden="1"/>
    <cellStyle name="Lien hypertexte" xfId="16462" builtinId="8" hidden="1"/>
    <cellStyle name="Lien hypertexte" xfId="16736" builtinId="8" hidden="1"/>
    <cellStyle name="Lien hypertexte" xfId="17010" builtinId="8" hidden="1"/>
    <cellStyle name="Lien hypertexte" xfId="17282" builtinId="8" hidden="1"/>
    <cellStyle name="Lien hypertexte" xfId="17556" builtinId="8" hidden="1"/>
    <cellStyle name="Lien hypertexte" xfId="17828" builtinId="8" hidden="1"/>
    <cellStyle name="Lien hypertexte" xfId="18102" builtinId="8" hidden="1"/>
    <cellStyle name="Lien hypertexte" xfId="18391" builtinId="8" hidden="1"/>
    <cellStyle name="Lien hypertexte" xfId="18665" builtinId="8" hidden="1"/>
    <cellStyle name="Lien hypertexte" xfId="17456" builtinId="8" hidden="1"/>
    <cellStyle name="Lien hypertexte" xfId="14794" builtinId="8" hidden="1"/>
    <cellStyle name="Lien hypertexte" xfId="15058" builtinId="8" hidden="1"/>
    <cellStyle name="Lien hypertexte" xfId="15322" builtinId="8" hidden="1"/>
    <cellStyle name="Lien hypertexte" xfId="15586" builtinId="8" hidden="1"/>
    <cellStyle name="Lien hypertexte" xfId="15850" builtinId="8" hidden="1"/>
    <cellStyle name="Lien hypertexte" xfId="786" builtinId="8" hidden="1"/>
    <cellStyle name="Lien hypertexte" xfId="1046" builtinId="8" hidden="1"/>
    <cellStyle name="Lien hypertexte" xfId="370" builtinId="8" hidden="1"/>
    <cellStyle name="Lien hypertexte" xfId="628" builtinId="8" hidden="1"/>
    <cellStyle name="Lien hypertexte" xfId="92" builtinId="8" hidden="1"/>
    <cellStyle name="Lien hypertexte" xfId="76" builtinId="8" hidden="1"/>
    <cellStyle name="Lien hypertexte" xfId="96" builtinId="8" hidden="1"/>
    <cellStyle name="Lien hypertexte" xfId="170" builtinId="8" hidden="1"/>
    <cellStyle name="Lien hypertexte" xfId="134" builtinId="8" hidden="1"/>
    <cellStyle name="Lien hypertexte" xfId="322" builtinId="8" hidden="1"/>
    <cellStyle name="Lien hypertexte" xfId="286" builtinId="8" hidden="1"/>
    <cellStyle name="Lien hypertexte" xfId="248" builtinId="8" hidden="1"/>
    <cellStyle name="Lien hypertexte" xfId="212" builtinId="8" hidden="1"/>
    <cellStyle name="Lien hypertexte" xfId="632" builtinId="8" hidden="1"/>
    <cellStyle name="Lien hypertexte" xfId="594" builtinId="8" hidden="1"/>
    <cellStyle name="Lien hypertexte" xfId="558" builtinId="8" hidden="1"/>
    <cellStyle name="Lien hypertexte" xfId="522" builtinId="8" hidden="1"/>
    <cellStyle name="Lien hypertexte" xfId="486" builtinId="8" hidden="1"/>
    <cellStyle name="Lien hypertexte" xfId="446" builtinId="8" hidden="1"/>
    <cellStyle name="Lien hypertexte" xfId="410" builtinId="8" hidden="1"/>
    <cellStyle name="Lien hypertexte" xfId="374" builtinId="8" hidden="1"/>
    <cellStyle name="Lien hypertexte" xfId="14626" builtinId="8" hidden="1"/>
    <cellStyle name="Lien hypertexte" xfId="14590" builtinId="8" hidden="1"/>
    <cellStyle name="Lien hypertexte" xfId="14552" builtinId="8" hidden="1"/>
    <cellStyle name="Lien hypertexte" xfId="14516" builtinId="8" hidden="1"/>
    <cellStyle name="Lien hypertexte" xfId="1124" builtinId="8" hidden="1"/>
    <cellStyle name="Lien hypertexte" xfId="1086" builtinId="8" hidden="1"/>
    <cellStyle name="Lien hypertexte" xfId="1050" builtinId="8" hidden="1"/>
    <cellStyle name="Lien hypertexte" xfId="1012" builtinId="8" hidden="1"/>
    <cellStyle name="Lien hypertexte" xfId="976" builtinId="8" hidden="1"/>
    <cellStyle name="Lien hypertexte" xfId="938" builtinId="8" hidden="1"/>
    <cellStyle name="Lien hypertexte" xfId="902" builtinId="8" hidden="1"/>
    <cellStyle name="Lien hypertexte" xfId="864" builtinId="8" hidden="1"/>
    <cellStyle name="Lien hypertexte" xfId="826" builtinId="8" hidden="1"/>
    <cellStyle name="Lien hypertexte" xfId="790" builtinId="8" hidden="1"/>
    <cellStyle name="Lien hypertexte" xfId="752" builtinId="8" hidden="1"/>
    <cellStyle name="Lien hypertexte" xfId="716" builtinId="8" hidden="1"/>
    <cellStyle name="Lien hypertexte" xfId="678" builtinId="8" hidden="1"/>
    <cellStyle name="Lien hypertexte" xfId="14896" builtinId="8" hidden="1"/>
    <cellStyle name="Lien hypertexte" xfId="15930" builtinId="8" hidden="1"/>
    <cellStyle name="Lien hypertexte" xfId="15892" builtinId="8" hidden="1"/>
    <cellStyle name="Lien hypertexte" xfId="15854" builtinId="8" hidden="1"/>
    <cellStyle name="Lien hypertexte" xfId="15816" builtinId="8" hidden="1"/>
    <cellStyle name="Lien hypertexte" xfId="15778" builtinId="8" hidden="1"/>
    <cellStyle name="Lien hypertexte" xfId="15742" builtinId="8" hidden="1"/>
    <cellStyle name="Lien hypertexte" xfId="15704" builtinId="8" hidden="1"/>
    <cellStyle name="Lien hypertexte" xfId="15666" builtinId="8" hidden="1"/>
    <cellStyle name="Lien hypertexte" xfId="15628" builtinId="8" hidden="1"/>
    <cellStyle name="Lien hypertexte" xfId="15590" builtinId="8" hidden="1"/>
    <cellStyle name="Lien hypertexte" xfId="15552" builtinId="8" hidden="1"/>
    <cellStyle name="Lien hypertexte" xfId="15514" builtinId="8" hidden="1"/>
    <cellStyle name="Lien hypertexte" xfId="15478" builtinId="8" hidden="1"/>
    <cellStyle name="Lien hypertexte" xfId="15440" builtinId="8" hidden="1"/>
    <cellStyle name="Lien hypertexte" xfId="15400" builtinId="8" hidden="1"/>
    <cellStyle name="Lien hypertexte" xfId="15364" builtinId="8" hidden="1"/>
    <cellStyle name="Lien hypertexte" xfId="15326" builtinId="8" hidden="1"/>
    <cellStyle name="Lien hypertexte" xfId="15288" builtinId="8" hidden="1"/>
    <cellStyle name="Lien hypertexte" xfId="15250" builtinId="8" hidden="1"/>
    <cellStyle name="Lien hypertexte" xfId="15212" builtinId="8" hidden="1"/>
    <cellStyle name="Lien hypertexte" xfId="15176" builtinId="8" hidden="1"/>
    <cellStyle name="Lien hypertexte" xfId="15136" builtinId="8" hidden="1"/>
    <cellStyle name="Lien hypertexte" xfId="15100" builtinId="8" hidden="1"/>
    <cellStyle name="Lien hypertexte" xfId="15062" builtinId="8" hidden="1"/>
    <cellStyle name="Lien hypertexte" xfId="15022" builtinId="8" hidden="1"/>
    <cellStyle name="Lien hypertexte" xfId="14986" builtinId="8" hidden="1"/>
    <cellStyle name="Lien hypertexte" xfId="14948" builtinId="8" hidden="1"/>
    <cellStyle name="Lien hypertexte" xfId="14912" builtinId="8" hidden="1"/>
    <cellStyle name="Lien hypertexte" xfId="14872" builtinId="8" hidden="1"/>
    <cellStyle name="Lien hypertexte" xfId="14836" builtinId="8" hidden="1"/>
    <cellStyle name="Lien hypertexte" xfId="14798" builtinId="8" hidden="1"/>
    <cellStyle name="Lien hypertexte" xfId="14758" builtinId="8" hidden="1"/>
    <cellStyle name="Lien hypertexte" xfId="14722" builtinId="8" hidden="1"/>
    <cellStyle name="Lien hypertexte" xfId="14684" builtinId="8" hidden="1"/>
    <cellStyle name="Lien hypertexte" xfId="14648" builtinId="8" hidden="1"/>
    <cellStyle name="Lien hypertexte" xfId="16240" builtinId="8" hidden="1"/>
    <cellStyle name="Lien hypertexte" xfId="16816" builtinId="8" hidden="1"/>
    <cellStyle name="Lien hypertexte" xfId="17392" builtinId="8" hidden="1"/>
    <cellStyle name="Lien hypertexte" xfId="18000" builtinId="8" hidden="1"/>
    <cellStyle name="Lien hypertexte" xfId="18593" builtinId="8" hidden="1"/>
    <cellStyle name="Lien hypertexte" xfId="18825" builtinId="8" hidden="1"/>
    <cellStyle name="Lien hypertexte" xfId="18787" builtinId="8" hidden="1"/>
    <cellStyle name="Lien hypertexte" xfId="18745" builtinId="8" hidden="1"/>
    <cellStyle name="Lien hypertexte" xfId="18707" builtinId="8" hidden="1"/>
    <cellStyle name="Lien hypertexte" xfId="18669" builtinId="8" hidden="1"/>
    <cellStyle name="Lien hypertexte" xfId="18629" builtinId="8" hidden="1"/>
    <cellStyle name="Lien hypertexte" xfId="18589" builtinId="8" hidden="1"/>
    <cellStyle name="Lien hypertexte" xfId="18551" builtinId="8" hidden="1"/>
    <cellStyle name="Lien hypertexte" xfId="18513" builtinId="8" hidden="1"/>
    <cellStyle name="Lien hypertexte" xfId="18473" builtinId="8" hidden="1"/>
    <cellStyle name="Lien hypertexte" xfId="18435" builtinId="8" hidden="1"/>
    <cellStyle name="Lien hypertexte" xfId="18395" builtinId="8" hidden="1"/>
    <cellStyle name="Lien hypertexte" xfId="18355" builtinId="8" hidden="1"/>
    <cellStyle name="Lien hypertexte" xfId="18300" builtinId="8" hidden="1"/>
    <cellStyle name="Lien hypertexte" xfId="18262" builtinId="8" hidden="1"/>
    <cellStyle name="Lien hypertexte" xfId="18222" builtinId="8" hidden="1"/>
    <cellStyle name="Lien hypertexte" xfId="18182" builtinId="8" hidden="1"/>
    <cellStyle name="Lien hypertexte" xfId="18144" builtinId="8" hidden="1"/>
    <cellStyle name="Lien hypertexte" xfId="18106" builtinId="8" hidden="1"/>
    <cellStyle name="Lien hypertexte" xfId="18066" builtinId="8" hidden="1"/>
    <cellStyle name="Lien hypertexte" xfId="18026" builtinId="8" hidden="1"/>
    <cellStyle name="Lien hypertexte" xfId="17988" builtinId="8" hidden="1"/>
    <cellStyle name="Lien hypertexte" xfId="17950" builtinId="8" hidden="1"/>
    <cellStyle name="Lien hypertexte" xfId="17910" builtinId="8" hidden="1"/>
    <cellStyle name="Lien hypertexte" xfId="17870" builtinId="8" hidden="1"/>
    <cellStyle name="Lien hypertexte" xfId="17832" builtinId="8" hidden="1"/>
    <cellStyle name="Lien hypertexte" xfId="17792" builtinId="8" hidden="1"/>
    <cellStyle name="Lien hypertexte" xfId="17754" builtinId="8" hidden="1"/>
    <cellStyle name="Lien hypertexte" xfId="17716" builtinId="8" hidden="1"/>
    <cellStyle name="Lien hypertexte" xfId="17676" builtinId="8" hidden="1"/>
    <cellStyle name="Lien hypertexte" xfId="17636" builtinId="8" hidden="1"/>
    <cellStyle name="Lien hypertexte" xfId="17598" builtinId="8" hidden="1"/>
    <cellStyle name="Lien hypertexte" xfId="17560" builtinId="8" hidden="1"/>
    <cellStyle name="Lien hypertexte" xfId="17518" builtinId="8" hidden="1"/>
    <cellStyle name="Lien hypertexte" xfId="17480" builtinId="8" hidden="1"/>
    <cellStyle name="Lien hypertexte" xfId="17442" builtinId="8" hidden="1"/>
    <cellStyle name="Lien hypertexte" xfId="17404" builtinId="8" hidden="1"/>
    <cellStyle name="Lien hypertexte" xfId="17364" builtinId="8" hidden="1"/>
    <cellStyle name="Lien hypertexte" xfId="17324" builtinId="8" hidden="1"/>
    <cellStyle name="Lien hypertexte" xfId="17286" builtinId="8" hidden="1"/>
    <cellStyle name="Lien hypertexte" xfId="17246" builtinId="8" hidden="1"/>
    <cellStyle name="Lien hypertexte" xfId="17208" builtinId="8" hidden="1"/>
    <cellStyle name="Lien hypertexte" xfId="17170" builtinId="8" hidden="1"/>
    <cellStyle name="Lien hypertexte" xfId="17130" builtinId="8" hidden="1"/>
    <cellStyle name="Lien hypertexte" xfId="17090" builtinId="8" hidden="1"/>
    <cellStyle name="Lien hypertexte" xfId="17052" builtinId="8" hidden="1"/>
    <cellStyle name="Lien hypertexte" xfId="17014" builtinId="8" hidden="1"/>
    <cellStyle name="Lien hypertexte" xfId="16972" builtinId="8" hidden="1"/>
    <cellStyle name="Lien hypertexte" xfId="16934" builtinId="8" hidden="1"/>
    <cellStyle name="Lien hypertexte" xfId="16896" builtinId="8" hidden="1"/>
    <cellStyle name="Lien hypertexte" xfId="16858" builtinId="8" hidden="1"/>
    <cellStyle name="Lien hypertexte" xfId="16818" builtinId="8" hidden="1"/>
    <cellStyle name="Lien hypertexte" xfId="16778" builtinId="8" hidden="1"/>
    <cellStyle name="Lien hypertexte" xfId="16740" builtinId="8" hidden="1"/>
    <cellStyle name="Lien hypertexte" xfId="16700" builtinId="8" hidden="1"/>
    <cellStyle name="Lien hypertexte" xfId="16662" builtinId="8" hidden="1"/>
    <cellStyle name="Lien hypertexte" xfId="16622" builtinId="8" hidden="1"/>
    <cellStyle name="Lien hypertexte" xfId="16584" builtinId="8" hidden="1"/>
    <cellStyle name="Lien hypertexte" xfId="16544" builtinId="8" hidden="1"/>
    <cellStyle name="Lien hypertexte" xfId="16506" builtinId="8" hidden="1"/>
    <cellStyle name="Lien hypertexte" xfId="16468" builtinId="8" hidden="1"/>
    <cellStyle name="Lien hypertexte" xfId="16426" builtinId="8" hidden="1"/>
    <cellStyle name="Lien hypertexte" xfId="16388" builtinId="8" hidden="1"/>
    <cellStyle name="Lien hypertexte" xfId="16350" builtinId="8" hidden="1"/>
    <cellStyle name="Lien hypertexte" xfId="16312" builtinId="8" hidden="1"/>
    <cellStyle name="Lien hypertexte" xfId="16270" builtinId="8" hidden="1"/>
    <cellStyle name="Lien hypertexte" xfId="16232" builtinId="8" hidden="1"/>
    <cellStyle name="Lien hypertexte" xfId="16194" builtinId="8" hidden="1"/>
    <cellStyle name="Lien hypertexte" xfId="16154" builtinId="8" hidden="1"/>
    <cellStyle name="Lien hypertexte" xfId="16116" builtinId="8" hidden="1"/>
    <cellStyle name="Lien hypertexte" xfId="16076" builtinId="8" hidden="1"/>
    <cellStyle name="Lien hypertexte" xfId="16038" builtinId="8" hidden="1"/>
    <cellStyle name="Lien hypertexte" xfId="15998" builtinId="8" hidden="1"/>
    <cellStyle name="Lien hypertexte" xfId="15960" builtinId="8" hidden="1"/>
    <cellStyle name="Lien hypertexte" xfId="18945" builtinId="8" hidden="1"/>
    <cellStyle name="Lien hypertexte" xfId="19249" builtinId="8" hidden="1"/>
    <cellStyle name="Lien hypertexte" xfId="19537" builtinId="8" hidden="1"/>
    <cellStyle name="Lien hypertexte" xfId="19825" builtinId="8" hidden="1"/>
    <cellStyle name="Lien hypertexte" xfId="20113" builtinId="8" hidden="1"/>
    <cellStyle name="Lien hypertexte" xfId="20417" builtinId="8" hidden="1"/>
    <cellStyle name="Lien hypertexte" xfId="20705" builtinId="8" hidden="1"/>
    <cellStyle name="Lien hypertexte" xfId="21313" builtinId="8" hidden="1"/>
    <cellStyle name="Lien hypertexte" xfId="21121" builtinId="8" hidden="1"/>
    <cellStyle name="Lien hypertexte" xfId="20961" builtinId="8" hidden="1"/>
    <cellStyle name="Lien hypertexte" xfId="21425" builtinId="8" hidden="1"/>
    <cellStyle name="Lien hypertexte" xfId="21553" builtinId="8" hidden="1"/>
    <cellStyle name="Lien hypertexte" xfId="21393" builtinId="8" hidden="1"/>
    <cellStyle name="Lien hypertexte" xfId="21041" builtinId="8" hidden="1"/>
    <cellStyle name="Lien hypertexte" xfId="21089" builtinId="8" hidden="1"/>
    <cellStyle name="Lien hypertexte" xfId="21297" builtinId="8" hidden="1"/>
    <cellStyle name="Lien hypertexte" xfId="20737" builtinId="8" hidden="1"/>
    <cellStyle name="Lien hypertexte" xfId="20449" builtinId="8" hidden="1"/>
    <cellStyle name="Lien hypertexte" xfId="20161" builtinId="8" hidden="1"/>
    <cellStyle name="Lien hypertexte" xfId="19857" builtinId="8" hidden="1"/>
    <cellStyle name="Lien hypertexte" xfId="19569" builtinId="8" hidden="1"/>
    <cellStyle name="Lien hypertexte" xfId="19281" builtinId="8" hidden="1"/>
    <cellStyle name="Lien hypertexte" xfId="18993" builtinId="8" hidden="1"/>
    <cellStyle name="Lien hypertexte" xfId="15956" builtinId="8" hidden="1"/>
    <cellStyle name="Lien hypertexte" xfId="15994" builtinId="8" hidden="1"/>
    <cellStyle name="Lien hypertexte" xfId="16032" builtinId="8" hidden="1"/>
    <cellStyle name="Lien hypertexte" xfId="16072" builtinId="8" hidden="1"/>
    <cellStyle name="Lien hypertexte" xfId="16110" builtinId="8" hidden="1"/>
    <cellStyle name="Lien hypertexte" xfId="16150" builtinId="8" hidden="1"/>
    <cellStyle name="Lien hypertexte" xfId="16188" builtinId="8" hidden="1"/>
    <cellStyle name="Lien hypertexte" xfId="16228" builtinId="8" hidden="1"/>
    <cellStyle name="Lien hypertexte" xfId="16266" builtinId="8" hidden="1"/>
    <cellStyle name="Lien hypertexte" xfId="16306" builtinId="8" hidden="1"/>
    <cellStyle name="Lien hypertexte" xfId="16346" builtinId="8" hidden="1"/>
    <cellStyle name="Lien hypertexte" xfId="16384" builtinId="8" hidden="1"/>
    <cellStyle name="Lien hypertexte" xfId="16422" builtinId="8" hidden="1"/>
    <cellStyle name="Lien hypertexte" xfId="16460" builtinId="8" hidden="1"/>
    <cellStyle name="Lien hypertexte" xfId="16502" builtinId="8" hidden="1"/>
    <cellStyle name="Lien hypertexte" xfId="16540" builtinId="8" hidden="1"/>
    <cellStyle name="Lien hypertexte" xfId="16578" builtinId="8" hidden="1"/>
    <cellStyle name="Lien hypertexte" xfId="16618" builtinId="8" hidden="1"/>
    <cellStyle name="Lien hypertexte" xfId="16658" builtinId="8" hidden="1"/>
    <cellStyle name="Lien hypertexte" xfId="16696" builtinId="8" hidden="1"/>
    <cellStyle name="Lien hypertexte" xfId="16734" builtinId="8" hidden="1"/>
    <cellStyle name="Lien hypertexte" xfId="16774" builtinId="8" hidden="1"/>
    <cellStyle name="Lien hypertexte" xfId="16812" builtinId="8" hidden="1"/>
    <cellStyle name="Lien hypertexte" xfId="16852" builtinId="8" hidden="1"/>
    <cellStyle name="Lien hypertexte" xfId="16892" builtinId="8" hidden="1"/>
    <cellStyle name="Lien hypertexte" xfId="16930" builtinId="8" hidden="1"/>
    <cellStyle name="Lien hypertexte" xfId="16968" builtinId="8" hidden="1"/>
    <cellStyle name="Lien hypertexte" xfId="17006" builtinId="8" hidden="1"/>
    <cellStyle name="Lien hypertexte" xfId="17048" builtinId="8" hidden="1"/>
    <cellStyle name="Lien hypertexte" xfId="17086" builtinId="8" hidden="1"/>
    <cellStyle name="Lien hypertexte" xfId="17124" builtinId="8" hidden="1"/>
    <cellStyle name="Lien hypertexte" xfId="17164" builtinId="8" hidden="1"/>
    <cellStyle name="Lien hypertexte" xfId="17204" builtinId="8" hidden="1"/>
    <cellStyle name="Lien hypertexte" xfId="17242" builtinId="8" hidden="1"/>
    <cellStyle name="Lien hypertexte" xfId="17280" builtinId="8" hidden="1"/>
    <cellStyle name="Lien hypertexte" xfId="17320" builtinId="8" hidden="1"/>
    <cellStyle name="Lien hypertexte" xfId="17358" builtinId="8" hidden="1"/>
    <cellStyle name="Lien hypertexte" xfId="17398" builtinId="8" hidden="1"/>
    <cellStyle name="Lien hypertexte" xfId="17438" builtinId="8" hidden="1"/>
    <cellStyle name="Lien hypertexte" xfId="17476" builtinId="8" hidden="1"/>
    <cellStyle name="Lien hypertexte" xfId="17514" builtinId="8" hidden="1"/>
    <cellStyle name="Lien hypertexte" xfId="17554" builtinId="8" hidden="1"/>
    <cellStyle name="Lien hypertexte" xfId="17594" builtinId="8" hidden="1"/>
    <cellStyle name="Lien hypertexte" xfId="17632" builtinId="8" hidden="1"/>
    <cellStyle name="Lien hypertexte" xfId="17670" builtinId="8" hidden="1"/>
    <cellStyle name="Lien hypertexte" xfId="17710" builtinId="8" hidden="1"/>
    <cellStyle name="Lien hypertexte" xfId="17750" builtinId="8" hidden="1"/>
    <cellStyle name="Lien hypertexte" xfId="17788" builtinId="8" hidden="1"/>
    <cellStyle name="Lien hypertexte" xfId="17826" builtinId="8" hidden="1"/>
    <cellStyle name="Lien hypertexte" xfId="17866" builtinId="8" hidden="1"/>
    <cellStyle name="Lien hypertexte" xfId="17906" builtinId="8" hidden="1"/>
    <cellStyle name="Lien hypertexte" xfId="17944" builtinId="8" hidden="1"/>
    <cellStyle name="Lien hypertexte" xfId="17984" builtinId="8" hidden="1"/>
    <cellStyle name="Lien hypertexte" xfId="18022" builtinId="8" hidden="1"/>
    <cellStyle name="Lien hypertexte" xfId="18060" builtinId="8" hidden="1"/>
    <cellStyle name="Lien hypertexte" xfId="18100" builtinId="8" hidden="1"/>
    <cellStyle name="Lien hypertexte" xfId="18140" builtinId="8" hidden="1"/>
    <cellStyle name="Lien hypertexte" xfId="18178" builtinId="8" hidden="1"/>
    <cellStyle name="Lien hypertexte" xfId="18216" builtinId="8" hidden="1"/>
    <cellStyle name="Lien hypertexte" xfId="18258" builtinId="8" hidden="1"/>
    <cellStyle name="Lien hypertexte" xfId="18296" builtinId="8" hidden="1"/>
    <cellStyle name="Lien hypertexte" xfId="18351" builtinId="8" hidden="1"/>
    <cellStyle name="Lien hypertexte" xfId="18389" builtinId="8" hidden="1"/>
    <cellStyle name="Lien hypertexte" xfId="18429" builtinId="8" hidden="1"/>
    <cellStyle name="Lien hypertexte" xfId="18469" builtinId="8" hidden="1"/>
    <cellStyle name="Lien hypertexte" xfId="18507" builtinId="8" hidden="1"/>
    <cellStyle name="Lien hypertexte" xfId="18547" builtinId="8" hidden="1"/>
    <cellStyle name="Lien hypertexte" xfId="18585" builtinId="8" hidden="1"/>
    <cellStyle name="Lien hypertexte" xfId="18623" builtinId="8" hidden="1"/>
    <cellStyle name="Lien hypertexte" xfId="18663" builtinId="8" hidden="1"/>
    <cellStyle name="Lien hypertexte" xfId="18703" builtinId="8" hidden="1"/>
    <cellStyle name="Lien hypertexte" xfId="18741" builtinId="8" hidden="1"/>
    <cellStyle name="Lien hypertexte" xfId="18779" builtinId="8" hidden="1"/>
    <cellStyle name="Lien hypertexte" xfId="18821" builtinId="8" hidden="1"/>
    <cellStyle name="Lien hypertexte" xfId="18657" builtinId="8" hidden="1"/>
    <cellStyle name="Lien hypertexte" xfId="18064" builtinId="8" hidden="1"/>
    <cellStyle name="Lien hypertexte" xfId="17488" builtinId="8" hidden="1"/>
    <cellStyle name="Lien hypertexte" xfId="16880" builtinId="8" hidden="1"/>
    <cellStyle name="Lien hypertexte" xfId="16304" builtinId="8" hidden="1"/>
    <cellStyle name="Lien hypertexte" xfId="14642" builtinId="8" hidden="1"/>
    <cellStyle name="Lien hypertexte" xfId="14680" builtinId="8" hidden="1"/>
    <cellStyle name="Lien hypertexte" xfId="14718" builtinId="8" hidden="1"/>
    <cellStyle name="Lien hypertexte" xfId="14754" builtinId="8" hidden="1"/>
    <cellStyle name="Lien hypertexte" xfId="14792" builtinId="8" hidden="1"/>
    <cellStyle name="Lien hypertexte" xfId="14830" builtinId="8" hidden="1"/>
    <cellStyle name="Lien hypertexte" xfId="14868" builtinId="8" hidden="1"/>
    <cellStyle name="Lien hypertexte" xfId="14906" builtinId="8" hidden="1"/>
    <cellStyle name="Lien hypertexte" xfId="14944" builtinId="8" hidden="1"/>
    <cellStyle name="Lien hypertexte" xfId="14982" builtinId="8" hidden="1"/>
    <cellStyle name="Lien hypertexte" xfId="15018" builtinId="8" hidden="1"/>
    <cellStyle name="Lien hypertexte" xfId="15056" builtinId="8" hidden="1"/>
    <cellStyle name="Lien hypertexte" xfId="15096" builtinId="8" hidden="1"/>
    <cellStyle name="Lien hypertexte" xfId="15132" builtinId="8" hidden="1"/>
    <cellStyle name="Lien hypertexte" xfId="15170" builtinId="8" hidden="1"/>
    <cellStyle name="Lien hypertexte" xfId="15208" builtinId="8" hidden="1"/>
    <cellStyle name="Lien hypertexte" xfId="15246" builtinId="8" hidden="1"/>
    <cellStyle name="Lien hypertexte" xfId="15284" builtinId="8" hidden="1"/>
    <cellStyle name="Lien hypertexte" xfId="15320" builtinId="8" hidden="1"/>
    <cellStyle name="Lien hypertexte" xfId="15360" builtinId="8" hidden="1"/>
    <cellStyle name="Lien hypertexte" xfId="15396" builtinId="8" hidden="1"/>
    <cellStyle name="Lien hypertexte" xfId="15434" builtinId="8" hidden="1"/>
    <cellStyle name="Lien hypertexte" xfId="15474" builtinId="8" hidden="1"/>
    <cellStyle name="Lien hypertexte" xfId="15510" builtinId="8" hidden="1"/>
    <cellStyle name="Lien hypertexte" xfId="15548" builtinId="8" hidden="1"/>
    <cellStyle name="Lien hypertexte" xfId="15584" builtinId="8" hidden="1"/>
    <cellStyle name="Lien hypertexte" xfId="15624" builtinId="8" hidden="1"/>
    <cellStyle name="Lien hypertexte" xfId="15660" builtinId="8" hidden="1"/>
    <cellStyle name="Lien hypertexte" xfId="15698" builtinId="8" hidden="1"/>
    <cellStyle name="Lien hypertexte" xfId="15738" builtinId="8" hidden="1"/>
    <cellStyle name="Lien hypertexte" xfId="15774" builtinId="8" hidden="1"/>
    <cellStyle name="Lien hypertexte" xfId="15812" builtinId="8" hidden="1"/>
    <cellStyle name="Lien hypertexte" xfId="15848" builtinId="8" hidden="1"/>
    <cellStyle name="Lien hypertexte" xfId="15888" builtinId="8" hidden="1"/>
    <cellStyle name="Lien hypertexte" xfId="15926" builtinId="8" hidden="1"/>
    <cellStyle name="Lien hypertexte" xfId="15088" builtinId="8" hidden="1"/>
    <cellStyle name="Lien hypertexte" xfId="674" builtinId="8" hidden="1"/>
    <cellStyle name="Lien hypertexte" xfId="712" builtinId="8" hidden="1"/>
    <cellStyle name="Lien hypertexte" xfId="748" builtinId="8" hidden="1"/>
    <cellStyle name="Lien hypertexte" xfId="784" builtinId="8" hidden="1"/>
    <cellStyle name="Lien hypertexte" xfId="822" builtinId="8" hidden="1"/>
    <cellStyle name="Lien hypertexte" xfId="860" builtinId="8" hidden="1"/>
    <cellStyle name="Lien hypertexte" xfId="896" builtinId="8" hidden="1"/>
    <cellStyle name="Lien hypertexte" xfId="934" builtinId="8" hidden="1"/>
    <cellStyle name="Lien hypertexte" xfId="972" builtinId="8" hidden="1"/>
    <cellStyle name="Lien hypertexte" xfId="1008" builtinId="8" hidden="1"/>
    <cellStyle name="Lien hypertexte" xfId="1044" builtinId="8" hidden="1"/>
    <cellStyle name="Lien hypertexte" xfId="1082" builtinId="8" hidden="1"/>
    <cellStyle name="Lien hypertexte" xfId="1120" builtinId="8" hidden="1"/>
    <cellStyle name="Lien hypertexte" xfId="3655" builtinId="8" hidden="1"/>
    <cellStyle name="Lien hypertexte" xfId="14548" builtinId="8" hidden="1"/>
    <cellStyle name="Lien hypertexte" xfId="14586" builtinId="8" hidden="1"/>
    <cellStyle name="Lien hypertexte" xfId="14622" builtinId="8" hidden="1"/>
    <cellStyle name="Lien hypertexte" xfId="368" builtinId="8" hidden="1"/>
    <cellStyle name="Lien hypertexte" xfId="406" builtinId="8" hidden="1"/>
    <cellStyle name="Lien hypertexte" xfId="442" builtinId="8" hidden="1"/>
    <cellStyle name="Lien hypertexte" xfId="480" builtinId="8" hidden="1"/>
    <cellStyle name="Lien hypertexte" xfId="518" builtinId="8" hidden="1"/>
    <cellStyle name="Lien hypertexte" xfId="554" builtinId="8" hidden="1"/>
    <cellStyle name="Lien hypertexte" xfId="590" builtinId="8" hidden="1"/>
    <cellStyle name="Lien hypertexte" xfId="626" builtinId="8" hidden="1"/>
    <cellStyle name="Lien hypertexte" xfId="208" builtinId="8" hidden="1"/>
    <cellStyle name="Lien hypertexte" xfId="244" builtinId="8" hidden="1"/>
    <cellStyle name="Lien hypertexte" xfId="280" builtinId="8" hidden="1"/>
    <cellStyle name="Lien hypertexte" xfId="318" builtinId="8" hidden="1"/>
    <cellStyle name="Lien hypertexte" xfId="130" builtinId="8" hidden="1"/>
    <cellStyle name="Lien hypertexte" xfId="166" builtinId="8" hidden="1"/>
    <cellStyle name="Lien hypertexte" xfId="90" builtinId="8" hidden="1"/>
    <cellStyle name="Lien hypertexte" xfId="72" builtinId="8" hidden="1"/>
    <cellStyle name="Lien hypertexte" xfId="68" builtinId="8" hidden="1"/>
    <cellStyle name="Lien hypertexte" xfId="204" builtinId="8" hidden="1"/>
    <cellStyle name="Lien hypertexte" xfId="402" builtinId="8" hidden="1"/>
    <cellStyle name="Lien hypertexte" xfId="1078" builtinId="8" hidden="1"/>
    <cellStyle name="Lien hypertexte" xfId="818" builtinId="8" hidden="1"/>
    <cellStyle name="Lien hypertexte" xfId="15884" builtinId="8" hidden="1"/>
    <cellStyle name="Lien hypertexte" xfId="15620" builtinId="8" hidden="1"/>
    <cellStyle name="Lien hypertexte" xfId="15356" builtinId="8" hidden="1"/>
    <cellStyle name="Lien hypertexte" xfId="15092" builtinId="8" hidden="1"/>
    <cellStyle name="Lien hypertexte" xfId="14826" builtinId="8" hidden="1"/>
    <cellStyle name="Lien hypertexte" xfId="16944" builtinId="8" hidden="1"/>
    <cellStyle name="Lien hypertexte" xfId="18699" builtinId="8" hidden="1"/>
    <cellStyle name="Lien hypertexte" xfId="18425" builtinId="8" hidden="1"/>
    <cellStyle name="Lien hypertexte" xfId="18136" builtinId="8" hidden="1"/>
    <cellStyle name="Lien hypertexte" xfId="17862" builtinId="8" hidden="1"/>
    <cellStyle name="Lien hypertexte" xfId="17590" builtinId="8" hidden="1"/>
    <cellStyle name="Lien hypertexte" xfId="17316" builtinId="8" hidden="1"/>
    <cellStyle name="Lien hypertexte" xfId="17044" builtinId="8" hidden="1"/>
    <cellStyle name="Lien hypertexte" xfId="16770" builtinId="8" hidden="1"/>
    <cellStyle name="Lien hypertexte" xfId="16498" builtinId="8" hidden="1"/>
    <cellStyle name="Lien hypertexte" xfId="16224" builtinId="8" hidden="1"/>
    <cellStyle name="Lien hypertexte" xfId="15950" builtinId="8" hidden="1"/>
    <cellStyle name="Lien hypertexte" xfId="20769" builtinId="8" hidden="1"/>
    <cellStyle name="Lien hypertexte" xfId="21765" builtinId="8" hidden="1"/>
    <cellStyle name="Lien hypertexte" xfId="21803" builtinId="8" hidden="1"/>
    <cellStyle name="Lien hypertexte" xfId="21843" builtinId="8" hidden="1"/>
    <cellStyle name="Lien hypertexte" xfId="21881" builtinId="8" hidden="1"/>
    <cellStyle name="Lien hypertexte" xfId="21919" builtinId="8" hidden="1"/>
    <cellStyle name="Lien hypertexte" xfId="21959" builtinId="8" hidden="1"/>
    <cellStyle name="Lien hypertexte" xfId="21997" builtinId="8" hidden="1"/>
    <cellStyle name="Lien hypertexte" xfId="22037" builtinId="8" hidden="1"/>
    <cellStyle name="Lien hypertexte" xfId="22075" builtinId="8" hidden="1"/>
    <cellStyle name="Lien hypertexte" xfId="22115" builtinId="8" hidden="1"/>
    <cellStyle name="Lien hypertexte" xfId="22153" builtinId="8" hidden="1"/>
    <cellStyle name="Lien hypertexte" xfId="22191" builtinId="8" hidden="1"/>
    <cellStyle name="Lien hypertexte" xfId="22231" builtinId="8" hidden="1"/>
    <cellStyle name="Lien hypertexte" xfId="22269" builtinId="8" hidden="1"/>
    <cellStyle name="Lien hypertexte" xfId="22311" builtinId="8" hidden="1"/>
    <cellStyle name="Lien hypertexte" xfId="22349" builtinId="8" hidden="1"/>
    <cellStyle name="Lien hypertexte" xfId="22389" builtinId="8" hidden="1"/>
    <cellStyle name="Lien hypertexte" xfId="22427" builtinId="8" hidden="1"/>
    <cellStyle name="Lien hypertexte" xfId="22467" builtinId="8" hidden="1"/>
    <cellStyle name="Lien hypertexte" xfId="22505" builtinId="8" hidden="1"/>
    <cellStyle name="Lien hypertexte" xfId="22543" builtinId="8" hidden="1"/>
    <cellStyle name="Lien hypertexte" xfId="22583" builtinId="8" hidden="1"/>
    <cellStyle name="Lien hypertexte" xfId="22621" builtinId="8" hidden="1"/>
    <cellStyle name="Lien hypertexte" xfId="22661" builtinId="8" hidden="1"/>
    <cellStyle name="Lien hypertexte" xfId="22699" builtinId="8" hidden="1"/>
    <cellStyle name="Lien hypertexte" xfId="22739" builtinId="8" hidden="1"/>
    <cellStyle name="Lien hypertexte" xfId="22777" builtinId="8" hidden="1"/>
    <cellStyle name="Lien hypertexte" xfId="22815" builtinId="8" hidden="1"/>
    <cellStyle name="Lien hypertexte" xfId="22855" builtinId="8" hidden="1"/>
    <cellStyle name="Lien hypertexte" xfId="22895" builtinId="8" hidden="1"/>
    <cellStyle name="Lien hypertexte" xfId="22935" builtinId="8" hidden="1"/>
    <cellStyle name="Lien hypertexte" xfId="22973" builtinId="8" hidden="1"/>
    <cellStyle name="Lien hypertexte" xfId="23013" builtinId="8" hidden="1"/>
    <cellStyle name="Lien hypertexte" xfId="23051" builtinId="8" hidden="1"/>
    <cellStyle name="Lien hypertexte" xfId="23091" builtinId="8" hidden="1"/>
    <cellStyle name="Lien hypertexte" xfId="23129" builtinId="8" hidden="1"/>
    <cellStyle name="Lien hypertexte" xfId="23167" builtinId="8" hidden="1"/>
    <cellStyle name="Lien hypertexte" xfId="23207" builtinId="8" hidden="1"/>
    <cellStyle name="Lien hypertexte" xfId="23245" builtinId="8" hidden="1"/>
    <cellStyle name="Lien hypertexte" xfId="23285" builtinId="8" hidden="1"/>
    <cellStyle name="Lien hypertexte" xfId="23323" builtinId="8" hidden="1"/>
    <cellStyle name="Lien hypertexte" xfId="23363" builtinId="8" hidden="1"/>
    <cellStyle name="Lien hypertexte" xfId="23401" builtinId="8" hidden="1"/>
    <cellStyle name="Lien hypertexte" xfId="23439" builtinId="8" hidden="1"/>
    <cellStyle name="Lien hypertexte" xfId="23481" builtinId="8" hidden="1"/>
    <cellStyle name="Lien hypertexte" xfId="23519" builtinId="8" hidden="1"/>
    <cellStyle name="Lien hypertexte" xfId="23559" builtinId="8" hidden="1"/>
    <cellStyle name="Lien hypertexte" xfId="23597" builtinId="8" hidden="1"/>
    <cellStyle name="Lien hypertexte" xfId="23637" builtinId="8" hidden="1"/>
    <cellStyle name="Lien hypertexte" xfId="23675" builtinId="8" hidden="1"/>
    <cellStyle name="Lien hypertexte" xfId="23715" builtinId="8" hidden="1"/>
    <cellStyle name="Lien hypertexte" xfId="23753" builtinId="8" hidden="1"/>
    <cellStyle name="Lien hypertexte" xfId="23791" builtinId="8" hidden="1"/>
    <cellStyle name="Lien hypertexte" xfId="23831" builtinId="8" hidden="1"/>
    <cellStyle name="Lien hypertexte" xfId="23869" builtinId="8" hidden="1"/>
    <cellStyle name="Lien hypertexte" xfId="23909" builtinId="8" hidden="1"/>
    <cellStyle name="Lien hypertexte" xfId="23947" builtinId="8" hidden="1"/>
    <cellStyle name="Lien hypertexte" xfId="23987" builtinId="8" hidden="1"/>
    <cellStyle name="Lien hypertexte" xfId="24025" builtinId="8" hidden="1"/>
    <cellStyle name="Lien hypertexte" xfId="24067" builtinId="8" hidden="1"/>
    <cellStyle name="Lien hypertexte" xfId="24105" builtinId="8" hidden="1"/>
    <cellStyle name="Lien hypertexte" xfId="24143" builtinId="8" hidden="1"/>
    <cellStyle name="Lien hypertexte" xfId="24183" builtinId="8" hidden="1"/>
    <cellStyle name="Lien hypertexte" xfId="24221" builtinId="8" hidden="1"/>
    <cellStyle name="Lien hypertexte" xfId="24261" builtinId="8" hidden="1"/>
    <cellStyle name="Lien hypertexte" xfId="24299" builtinId="8" hidden="1"/>
    <cellStyle name="Lien hypertexte" xfId="24339" builtinId="8" hidden="1"/>
    <cellStyle name="Lien hypertexte" xfId="24377" builtinId="8" hidden="1"/>
    <cellStyle name="Lien hypertexte" xfId="24415" builtinId="8" hidden="1"/>
    <cellStyle name="Lien hypertexte" xfId="24455" builtinId="8" hidden="1"/>
    <cellStyle name="Lien hypertexte" xfId="24493" builtinId="8" hidden="1"/>
    <cellStyle name="Lien hypertexte" xfId="24533" builtinId="8" hidden="1"/>
    <cellStyle name="Lien hypertexte" xfId="24571" builtinId="8" hidden="1"/>
    <cellStyle name="Lien hypertexte" xfId="24611" builtinId="8" hidden="1"/>
    <cellStyle name="Lien hypertexte" xfId="24337" builtinId="8" hidden="1"/>
    <cellStyle name="Lien hypertexte" xfId="24065" builtinId="8" hidden="1"/>
    <cellStyle name="Lien hypertexte" xfId="23793" builtinId="8" hidden="1"/>
    <cellStyle name="Lien hypertexte" xfId="23521" builtinId="8" hidden="1"/>
    <cellStyle name="Lien hypertexte" xfId="23249" builtinId="8" hidden="1"/>
    <cellStyle name="Lien hypertexte" xfId="22977" builtinId="8" hidden="1"/>
    <cellStyle name="Lien hypertexte" xfId="22705" builtinId="8" hidden="1"/>
    <cellStyle name="Lien hypertexte" xfId="22433" builtinId="8" hidden="1"/>
    <cellStyle name="Lien hypertexte" xfId="22161" builtinId="8" hidden="1"/>
    <cellStyle name="Lien hypertexte" xfId="21889" builtinId="8" hidden="1"/>
    <cellStyle name="Lien hypertexte" xfId="21617" builtinId="8" hidden="1"/>
    <cellStyle name="Lien hypertexte" xfId="24575" builtinId="8" hidden="1"/>
    <cellStyle name="Lien hypertexte" xfId="23991" builtinId="8" hidden="1"/>
    <cellStyle name="Lien hypertexte" xfId="23405" builtinId="8" hidden="1"/>
    <cellStyle name="Lien hypertexte" xfId="22821" builtinId="8" hidden="1"/>
    <cellStyle name="Lien hypertexte" xfId="22235" builtinId="8" hidden="1"/>
    <cellStyle name="Lien hypertexte" xfId="20251" builtinId="8" hidden="1"/>
    <cellStyle name="Lien hypertexte" xfId="20291" builtinId="8" hidden="1"/>
    <cellStyle name="Lien hypertexte" xfId="20327" builtinId="8" hidden="1"/>
    <cellStyle name="Lien hypertexte" xfId="20365" builtinId="8" hidden="1"/>
    <cellStyle name="Lien hypertexte" xfId="20403" builtinId="8" hidden="1"/>
    <cellStyle name="Lien hypertexte" xfId="20441" builtinId="8" hidden="1"/>
    <cellStyle name="Lien hypertexte" xfId="20477" builtinId="8" hidden="1"/>
    <cellStyle name="Lien hypertexte" xfId="20517" builtinId="8" hidden="1"/>
    <cellStyle name="Lien hypertexte" xfId="20555" builtinId="8" hidden="1"/>
    <cellStyle name="Lien hypertexte" xfId="20591" builtinId="8" hidden="1"/>
    <cellStyle name="Lien hypertexte" xfId="20631" builtinId="8" hidden="1"/>
    <cellStyle name="Lien hypertexte" xfId="20667" builtinId="8" hidden="1"/>
    <cellStyle name="Lien hypertexte" xfId="20707" builtinId="8" hidden="1"/>
    <cellStyle name="Lien hypertexte" xfId="20743" builtinId="8" hidden="1"/>
    <cellStyle name="Lien hypertexte" xfId="20781" builtinId="8" hidden="1"/>
    <cellStyle name="Lien hypertexte" xfId="20819" builtinId="8" hidden="1"/>
    <cellStyle name="Lien hypertexte" xfId="20857" builtinId="8" hidden="1"/>
    <cellStyle name="Lien hypertexte" xfId="20893" builtinId="8" hidden="1"/>
    <cellStyle name="Lien hypertexte" xfId="20933" builtinId="8" hidden="1"/>
    <cellStyle name="Lien hypertexte" xfId="20969" builtinId="8" hidden="1"/>
    <cellStyle name="Lien hypertexte" xfId="21007" builtinId="8" hidden="1"/>
    <cellStyle name="Lien hypertexte" xfId="21045" builtinId="8" hidden="1"/>
    <cellStyle name="Lien hypertexte" xfId="21083" builtinId="8" hidden="1"/>
    <cellStyle name="Lien hypertexte" xfId="21119" builtinId="8" hidden="1"/>
    <cellStyle name="Lien hypertexte" xfId="21159" builtinId="8" hidden="1"/>
    <cellStyle name="Lien hypertexte" xfId="21195" builtinId="8" hidden="1"/>
    <cellStyle name="Lien hypertexte" xfId="21235" builtinId="8" hidden="1"/>
    <cellStyle name="Lien hypertexte" xfId="21271" builtinId="8" hidden="1"/>
    <cellStyle name="Lien hypertexte" xfId="21309" builtinId="8" hidden="1"/>
    <cellStyle name="Lien hypertexte" xfId="21347" builtinId="8" hidden="1"/>
    <cellStyle name="Lien hypertexte" xfId="21385" builtinId="8" hidden="1"/>
    <cellStyle name="Lien hypertexte" xfId="21421" builtinId="8" hidden="1"/>
    <cellStyle name="Lien hypertexte" xfId="21461" builtinId="8" hidden="1"/>
    <cellStyle name="Lien hypertexte" xfId="21497" builtinId="8" hidden="1"/>
    <cellStyle name="Lien hypertexte" xfId="21535" builtinId="8" hidden="1"/>
    <cellStyle name="Lien hypertexte" xfId="21573" builtinId="8" hidden="1"/>
    <cellStyle name="Lien hypertexte" xfId="21611" builtinId="8" hidden="1"/>
    <cellStyle name="Lien hypertexte" xfId="21647" builtinId="8" hidden="1"/>
    <cellStyle name="Lien hypertexte" xfId="21687" builtinId="8" hidden="1"/>
    <cellStyle name="Lien hypertexte" xfId="21725" builtinId="8" hidden="1"/>
    <cellStyle name="Lien hypertexte" xfId="21065" builtinId="8" hidden="1"/>
    <cellStyle name="Lien hypertexte" xfId="19545" builtinId="8" hidden="1"/>
    <cellStyle name="Lien hypertexte" xfId="19581" builtinId="8" hidden="1"/>
    <cellStyle name="Lien hypertexte" xfId="19621" builtinId="8" hidden="1"/>
    <cellStyle name="Lien hypertexte" xfId="19657" builtinId="8" hidden="1"/>
    <cellStyle name="Lien hypertexte" xfId="19693" builtinId="8" hidden="1"/>
    <cellStyle name="Lien hypertexte" xfId="19731" builtinId="8" hidden="1"/>
    <cellStyle name="Lien hypertexte" xfId="19769" builtinId="8" hidden="1"/>
    <cellStyle name="Lien hypertexte" xfId="19805" builtinId="8" hidden="1"/>
    <cellStyle name="Lien hypertexte" xfId="19843" builtinId="8" hidden="1"/>
    <cellStyle name="Lien hypertexte" xfId="19879" builtinId="8" hidden="1"/>
    <cellStyle name="Lien hypertexte" xfId="19917" builtinId="8" hidden="1"/>
    <cellStyle name="Lien hypertexte" xfId="19955" builtinId="8" hidden="1"/>
    <cellStyle name="Lien hypertexte" xfId="19991" builtinId="8" hidden="1"/>
    <cellStyle name="Lien hypertexte" xfId="20027" builtinId="8" hidden="1"/>
    <cellStyle name="Lien hypertexte" xfId="20067" builtinId="8" hidden="1"/>
    <cellStyle name="Lien hypertexte" xfId="20103" builtinId="8" hidden="1"/>
    <cellStyle name="Lien hypertexte" xfId="20139" builtinId="8" hidden="1"/>
    <cellStyle name="Lien hypertexte" xfId="20175" builtinId="8" hidden="1"/>
    <cellStyle name="Lien hypertexte" xfId="20215" builtinId="8" hidden="1"/>
    <cellStyle name="Lien hypertexte" xfId="19895" builtinId="8" hidden="1"/>
    <cellStyle name="Lien hypertexte" xfId="19219" builtinId="8" hidden="1"/>
    <cellStyle name="Lien hypertexte" xfId="19255" builtinId="8" hidden="1"/>
    <cellStyle name="Lien hypertexte" xfId="19291" builtinId="8" hidden="1"/>
    <cellStyle name="Lien hypertexte" xfId="19331" builtinId="8" hidden="1"/>
    <cellStyle name="Lien hypertexte" xfId="19367" builtinId="8" hidden="1"/>
    <cellStyle name="Lien hypertexte" xfId="19403" builtinId="8" hidden="1"/>
    <cellStyle name="Lien hypertexte" xfId="19439" builtinId="8" hidden="1"/>
    <cellStyle name="Lien hypertexte" xfId="19477" builtinId="8" hidden="1"/>
    <cellStyle name="Lien hypertexte" xfId="19513" builtinId="8" hidden="1"/>
    <cellStyle name="Lien hypertexte" xfId="19029" builtinId="8" hidden="1"/>
    <cellStyle name="Lien hypertexte" xfId="19065" builtinId="8" hidden="1"/>
    <cellStyle name="Lien hypertexte" xfId="19101" builtinId="8" hidden="1"/>
    <cellStyle name="Lien hypertexte" xfId="19139" builtinId="8" hidden="1"/>
    <cellStyle name="Lien hypertexte" xfId="19175" builtinId="8" hidden="1"/>
    <cellStyle name="Lien hypertexte" xfId="18955" builtinId="8" hidden="1"/>
    <cellStyle name="Lien hypertexte" xfId="18991" builtinId="8" hidden="1"/>
    <cellStyle name="Lien hypertexte" xfId="18901" builtinId="8" hidden="1"/>
    <cellStyle name="Lien hypertexte" xfId="18873" builtinId="8" hidden="1"/>
    <cellStyle name="Lien hypertexte" xfId="18847" builtinId="8" hidden="1"/>
    <cellStyle name="Lien hypertexte" xfId="18871" builtinId="8" hidden="1"/>
    <cellStyle name="Lien hypertexte" xfId="18899" builtinId="8" hidden="1"/>
    <cellStyle name="Lien hypertexte" xfId="18989" builtinId="8" hidden="1"/>
    <cellStyle name="Lien hypertexte" xfId="18953" builtinId="8" hidden="1"/>
    <cellStyle name="Lien hypertexte" xfId="19173" builtinId="8" hidden="1"/>
    <cellStyle name="Lien hypertexte" xfId="19135" builtinId="8" hidden="1"/>
    <cellStyle name="Lien hypertexte" xfId="19099" builtinId="8" hidden="1"/>
    <cellStyle name="Lien hypertexte" xfId="19063" builtinId="8" hidden="1"/>
    <cellStyle name="Lien hypertexte" xfId="19027" builtinId="8" hidden="1"/>
    <cellStyle name="Lien hypertexte" xfId="19511" builtinId="8" hidden="1"/>
    <cellStyle name="Lien hypertexte" xfId="19475" builtinId="8" hidden="1"/>
    <cellStyle name="Lien hypertexte" xfId="19437" builtinId="8" hidden="1"/>
    <cellStyle name="Lien hypertexte" xfId="19401" builtinId="8" hidden="1"/>
    <cellStyle name="Lien hypertexte" xfId="19365" builtinId="8" hidden="1"/>
    <cellStyle name="Lien hypertexte" xfId="19327" builtinId="8" hidden="1"/>
    <cellStyle name="Lien hypertexte" xfId="19289" builtinId="8" hidden="1"/>
    <cellStyle name="Lien hypertexte" xfId="19253" builtinId="8" hidden="1"/>
    <cellStyle name="Lien hypertexte" xfId="19215" builtinId="8" hidden="1"/>
    <cellStyle name="Lien hypertexte" xfId="20041" builtinId="8" hidden="1"/>
    <cellStyle name="Lien hypertexte" xfId="20213" builtinId="8" hidden="1"/>
    <cellStyle name="Lien hypertexte" xfId="20173" builtinId="8" hidden="1"/>
    <cellStyle name="Lien hypertexte" xfId="20137" builtinId="8" hidden="1"/>
    <cellStyle name="Lien hypertexte" xfId="20101" builtinId="8" hidden="1"/>
    <cellStyle name="Lien hypertexte" xfId="20063" builtinId="8" hidden="1"/>
    <cellStyle name="Lien hypertexte" xfId="20025" builtinId="8" hidden="1"/>
    <cellStyle name="Lien hypertexte" xfId="19989" builtinId="8" hidden="1"/>
    <cellStyle name="Lien hypertexte" xfId="19951" builtinId="8" hidden="1"/>
    <cellStyle name="Lien hypertexte" xfId="19915" builtinId="8" hidden="1"/>
    <cellStyle name="Lien hypertexte" xfId="19877" builtinId="8" hidden="1"/>
    <cellStyle name="Lien hypertexte" xfId="19839" builtinId="8" hidden="1"/>
    <cellStyle name="Lien hypertexte" xfId="19803" builtinId="8" hidden="1"/>
    <cellStyle name="Lien hypertexte" xfId="19767" builtinId="8" hidden="1"/>
    <cellStyle name="Lien hypertexte" xfId="19727" builtinId="8" hidden="1"/>
    <cellStyle name="Lien hypertexte" xfId="19691" builtinId="8" hidden="1"/>
    <cellStyle name="Lien hypertexte" xfId="19655" builtinId="8" hidden="1"/>
    <cellStyle name="Lien hypertexte" xfId="19619" builtinId="8" hidden="1"/>
    <cellStyle name="Lien hypertexte" xfId="19579" builtinId="8" hidden="1"/>
    <cellStyle name="Lien hypertexte" xfId="19543" builtinId="8" hidden="1"/>
    <cellStyle name="Lien hypertexte" xfId="21139" builtinId="8" hidden="1"/>
    <cellStyle name="Lien hypertexte" xfId="21721" builtinId="8" hidden="1"/>
    <cellStyle name="Lien hypertexte" xfId="21685" builtinId="8" hidden="1"/>
    <cellStyle name="Lien hypertexte" xfId="21645" builtinId="8" hidden="1"/>
    <cellStyle name="Lien hypertexte" xfId="21609" builtinId="8" hidden="1"/>
    <cellStyle name="Lien hypertexte" xfId="21571" builtinId="8" hidden="1"/>
    <cellStyle name="Lien hypertexte" xfId="21533" builtinId="8" hidden="1"/>
    <cellStyle name="Lien hypertexte" xfId="21495" builtinId="8" hidden="1"/>
    <cellStyle name="Lien hypertexte" xfId="21459" builtinId="8" hidden="1"/>
    <cellStyle name="Lien hypertexte" xfId="21419" builtinId="8" hidden="1"/>
    <cellStyle name="Lien hypertexte" xfId="21383" builtinId="8" hidden="1"/>
    <cellStyle name="Lien hypertexte" xfId="21343" builtinId="8" hidden="1"/>
    <cellStyle name="Lien hypertexte" xfId="21307" builtinId="8" hidden="1"/>
    <cellStyle name="Lien hypertexte" xfId="21269" builtinId="8" hidden="1"/>
    <cellStyle name="Lien hypertexte" xfId="21231" builtinId="8" hidden="1"/>
    <cellStyle name="Lien hypertexte" xfId="21193" builtinId="8" hidden="1"/>
    <cellStyle name="Lien hypertexte" xfId="21157" builtinId="8" hidden="1"/>
    <cellStyle name="Lien hypertexte" xfId="21117" builtinId="8" hidden="1"/>
    <cellStyle name="Lien hypertexte" xfId="21081" builtinId="8" hidden="1"/>
    <cellStyle name="Lien hypertexte" xfId="21043" builtinId="8" hidden="1"/>
    <cellStyle name="Lien hypertexte" xfId="21005" builtinId="8" hidden="1"/>
    <cellStyle name="Lien hypertexte" xfId="20967" builtinId="8" hidden="1"/>
    <cellStyle name="Lien hypertexte" xfId="20931" builtinId="8" hidden="1"/>
    <cellStyle name="Lien hypertexte" xfId="20891" builtinId="8" hidden="1"/>
    <cellStyle name="Lien hypertexte" xfId="20855" builtinId="8" hidden="1"/>
    <cellStyle name="Lien hypertexte" xfId="20815" builtinId="8" hidden="1"/>
    <cellStyle name="Lien hypertexte" xfId="20779" builtinId="8" hidden="1"/>
    <cellStyle name="Lien hypertexte" xfId="20741" builtinId="8" hidden="1"/>
    <cellStyle name="Lien hypertexte" xfId="20703" builtinId="8" hidden="1"/>
    <cellStyle name="Lien hypertexte" xfId="20665" builtinId="8" hidden="1"/>
    <cellStyle name="Lien hypertexte" xfId="20629" builtinId="8" hidden="1"/>
    <cellStyle name="Lien hypertexte" xfId="20589" builtinId="8" hidden="1"/>
    <cellStyle name="Lien hypertexte" xfId="20551" builtinId="8" hidden="1"/>
    <cellStyle name="Lien hypertexte" xfId="20515" builtinId="8" hidden="1"/>
    <cellStyle name="Lien hypertexte" xfId="20475" builtinId="8" hidden="1"/>
    <cellStyle name="Lien hypertexte" xfId="20439" builtinId="8" hidden="1"/>
    <cellStyle name="Lien hypertexte" xfId="20399" builtinId="8" hidden="1"/>
    <cellStyle name="Lien hypertexte" xfId="20363" builtinId="8" hidden="1"/>
    <cellStyle name="Lien hypertexte" xfId="20325" builtinId="8" hidden="1"/>
    <cellStyle name="Lien hypertexte" xfId="20287" builtinId="8" hidden="1"/>
    <cellStyle name="Lien hypertexte" xfId="20249" builtinId="8" hidden="1"/>
    <cellStyle name="Lien hypertexte" xfId="22271" builtinId="8" hidden="1"/>
    <cellStyle name="Lien hypertexte" xfId="22857" builtinId="8" hidden="1"/>
    <cellStyle name="Lien hypertexte" xfId="23443" builtinId="8" hidden="1"/>
    <cellStyle name="Lien hypertexte" xfId="24027" builtinId="8" hidden="1"/>
    <cellStyle name="Lien hypertexte" xfId="24609" builtinId="8" hidden="1"/>
    <cellStyle name="Lien hypertexte" xfId="21633" builtinId="8" hidden="1"/>
    <cellStyle name="Lien hypertexte" xfId="21905" builtinId="8" hidden="1"/>
    <cellStyle name="Lien hypertexte" xfId="22177" builtinId="8" hidden="1"/>
    <cellStyle name="Lien hypertexte" xfId="22449" builtinId="8" hidden="1"/>
    <cellStyle name="Lien hypertexte" xfId="22721" builtinId="8" hidden="1"/>
    <cellStyle name="Lien hypertexte" xfId="22993" builtinId="8" hidden="1"/>
    <cellStyle name="Lien hypertexte" xfId="23265" builtinId="8" hidden="1"/>
    <cellStyle name="Lien hypertexte" xfId="23537" builtinId="8" hidden="1"/>
    <cellStyle name="Lien hypertexte" xfId="23809" builtinId="8" hidden="1"/>
    <cellStyle name="Lien hypertexte" xfId="24081" builtinId="8" hidden="1"/>
    <cellStyle name="Lien hypertexte" xfId="24369" builtinId="8" hidden="1"/>
    <cellStyle name="Lien hypertexte" xfId="24607" builtinId="8" hidden="1"/>
    <cellStyle name="Lien hypertexte" xfId="24569" builtinId="8" hidden="1"/>
    <cellStyle name="Lien hypertexte" xfId="24531" builtinId="8" hidden="1"/>
    <cellStyle name="Lien hypertexte" xfId="24491" builtinId="8" hidden="1"/>
    <cellStyle name="Lien hypertexte" xfId="24453" builtinId="8" hidden="1"/>
    <cellStyle name="Lien hypertexte" xfId="24413" builtinId="8" hidden="1"/>
    <cellStyle name="Lien hypertexte" xfId="24375" builtinId="8" hidden="1"/>
    <cellStyle name="Lien hypertexte" xfId="24335" builtinId="8" hidden="1"/>
    <cellStyle name="Lien hypertexte" xfId="24297" builtinId="8" hidden="1"/>
    <cellStyle name="Lien hypertexte" xfId="24259" builtinId="8" hidden="1"/>
    <cellStyle name="Lien hypertexte" xfId="24219" builtinId="8" hidden="1"/>
    <cellStyle name="Lien hypertexte" xfId="24181" builtinId="8" hidden="1"/>
    <cellStyle name="Lien hypertexte" xfId="24141" builtinId="8" hidden="1"/>
    <cellStyle name="Lien hypertexte" xfId="24103" builtinId="8" hidden="1"/>
    <cellStyle name="Lien hypertexte" xfId="24061" builtinId="8" hidden="1"/>
    <cellStyle name="Lien hypertexte" xfId="24023" builtinId="8" hidden="1"/>
    <cellStyle name="Lien hypertexte" xfId="23983" builtinId="8" hidden="1"/>
    <cellStyle name="Lien hypertexte" xfId="23945" builtinId="8" hidden="1"/>
    <cellStyle name="Lien hypertexte" xfId="23907" builtinId="8" hidden="1"/>
    <cellStyle name="Lien hypertexte" xfId="23867" builtinId="8" hidden="1"/>
    <cellStyle name="Lien hypertexte" xfId="23829" builtinId="8" hidden="1"/>
    <cellStyle name="Lien hypertexte" xfId="23789" builtinId="8" hidden="1"/>
    <cellStyle name="Lien hypertexte" xfId="23751" builtinId="8" hidden="1"/>
    <cellStyle name="Lien hypertexte" xfId="23711" builtinId="8" hidden="1"/>
    <cellStyle name="Lien hypertexte" xfId="23673" builtinId="8" hidden="1"/>
    <cellStyle name="Lien hypertexte" xfId="23635" builtinId="8" hidden="1"/>
    <cellStyle name="Lien hypertexte" xfId="23595" builtinId="8" hidden="1"/>
    <cellStyle name="Lien hypertexte" xfId="23557" builtinId="8" hidden="1"/>
    <cellStyle name="Lien hypertexte" xfId="23517" builtinId="8" hidden="1"/>
    <cellStyle name="Lien hypertexte" xfId="23477" builtinId="8" hidden="1"/>
    <cellStyle name="Lien hypertexte" xfId="23437" builtinId="8" hidden="1"/>
    <cellStyle name="Lien hypertexte" xfId="23399" builtinId="8" hidden="1"/>
    <cellStyle name="Lien hypertexte" xfId="23359" builtinId="8" hidden="1"/>
    <cellStyle name="Lien hypertexte" xfId="23321" builtinId="8" hidden="1"/>
    <cellStyle name="Lien hypertexte" xfId="23283" builtinId="8" hidden="1"/>
    <cellStyle name="Lien hypertexte" xfId="23243" builtinId="8" hidden="1"/>
    <cellStyle name="Lien hypertexte" xfId="23205" builtinId="8" hidden="1"/>
    <cellStyle name="Lien hypertexte" xfId="23165" builtinId="8" hidden="1"/>
    <cellStyle name="Lien hypertexte" xfId="23127" builtinId="8" hidden="1"/>
    <cellStyle name="Lien hypertexte" xfId="23087" builtinId="8" hidden="1"/>
    <cellStyle name="Lien hypertexte" xfId="23049" builtinId="8" hidden="1"/>
    <cellStyle name="Lien hypertexte" xfId="23011" builtinId="8" hidden="1"/>
    <cellStyle name="Lien hypertexte" xfId="22971" builtinId="8" hidden="1"/>
    <cellStyle name="Lien hypertexte" xfId="22933" builtinId="8" hidden="1"/>
    <cellStyle name="Lien hypertexte" xfId="22891" builtinId="8" hidden="1"/>
    <cellStyle name="Lien hypertexte" xfId="22853" builtinId="8" hidden="1"/>
    <cellStyle name="Lien hypertexte" xfId="22813" builtinId="8" hidden="1"/>
    <cellStyle name="Lien hypertexte" xfId="22775" builtinId="8" hidden="1"/>
    <cellStyle name="Lien hypertexte" xfId="22735" builtinId="8" hidden="1"/>
    <cellStyle name="Lien hypertexte" xfId="22697" builtinId="8" hidden="1"/>
    <cellStyle name="Lien hypertexte" xfId="22659" builtinId="8" hidden="1"/>
    <cellStyle name="Lien hypertexte" xfId="22619" builtinId="8" hidden="1"/>
    <cellStyle name="Lien hypertexte" xfId="22581" builtinId="8" hidden="1"/>
    <cellStyle name="Lien hypertexte" xfId="22541" builtinId="8" hidden="1"/>
    <cellStyle name="Lien hypertexte" xfId="22503" builtinId="8" hidden="1"/>
    <cellStyle name="Lien hypertexte" xfId="22463" builtinId="8" hidden="1"/>
    <cellStyle name="Lien hypertexte" xfId="22425" builtinId="8" hidden="1"/>
    <cellStyle name="Lien hypertexte" xfId="22387" builtinId="8" hidden="1"/>
    <cellStyle name="Lien hypertexte" xfId="22347" builtinId="8" hidden="1"/>
    <cellStyle name="Lien hypertexte" xfId="22307" builtinId="8" hidden="1"/>
    <cellStyle name="Lien hypertexte" xfId="22267" builtinId="8" hidden="1"/>
    <cellStyle name="Lien hypertexte" xfId="22229" builtinId="8" hidden="1"/>
    <cellStyle name="Lien hypertexte" xfId="22189" builtinId="8" hidden="1"/>
    <cellStyle name="Lien hypertexte" xfId="22151" builtinId="8" hidden="1"/>
    <cellStyle name="Lien hypertexte" xfId="22111" builtinId="8" hidden="1"/>
    <cellStyle name="Lien hypertexte" xfId="22073" builtinId="8" hidden="1"/>
    <cellStyle name="Lien hypertexte" xfId="22035" builtinId="8" hidden="1"/>
    <cellStyle name="Lien hypertexte" xfId="21995" builtinId="8" hidden="1"/>
    <cellStyle name="Lien hypertexte" xfId="21957" builtinId="8" hidden="1"/>
    <cellStyle name="Lien hypertexte" xfId="21917" builtinId="8" hidden="1"/>
    <cellStyle name="Lien hypertexte" xfId="21879" builtinId="8" hidden="1"/>
    <cellStyle name="Lien hypertexte" xfId="21839" builtinId="8" hidden="1"/>
    <cellStyle name="Lien hypertexte" xfId="21801" builtinId="8" hidden="1"/>
    <cellStyle name="Lien hypertexte" xfId="21763" builtinId="8" hidden="1"/>
    <cellStyle name="Lien hypertexte" xfId="20641" builtinId="8" hidden="1"/>
    <cellStyle name="Lien hypertexte" xfId="15968" builtinId="8" hidden="1"/>
    <cellStyle name="Lien hypertexte" xfId="16242" builtinId="8" hidden="1"/>
    <cellStyle name="Lien hypertexte" xfId="16514" builtinId="8" hidden="1"/>
    <cellStyle name="Lien hypertexte" xfId="16788" builtinId="8" hidden="1"/>
    <cellStyle name="Lien hypertexte" xfId="17060" builtinId="8" hidden="1"/>
    <cellStyle name="Lien hypertexte" xfId="17334" builtinId="8" hidden="1"/>
    <cellStyle name="Lien hypertexte" xfId="17606" builtinId="8" hidden="1"/>
    <cellStyle name="Lien hypertexte" xfId="17880" builtinId="8" hidden="1"/>
    <cellStyle name="Lien hypertexte" xfId="18152" builtinId="8" hidden="1"/>
    <cellStyle name="Lien hypertexte" xfId="18443" builtinId="8" hidden="1"/>
    <cellStyle name="Lien hypertexte" xfId="18715" builtinId="8" hidden="1"/>
    <cellStyle name="Lien hypertexte" xfId="16688" builtinId="8" hidden="1"/>
    <cellStyle name="Lien hypertexte" xfId="14844" builtinId="8" hidden="1"/>
    <cellStyle name="Lien hypertexte" xfId="15108" builtinId="8" hidden="1"/>
    <cellStyle name="Lien hypertexte" xfId="15372" builtinId="8" hidden="1"/>
    <cellStyle name="Lien hypertexte" xfId="15636" builtinId="8" hidden="1"/>
    <cellStyle name="Lien hypertexte" xfId="15900" builtinId="8" hidden="1"/>
    <cellStyle name="Lien hypertexte" xfId="834" builtinId="8" hidden="1"/>
    <cellStyle name="Lien hypertexte" xfId="1096" builtinId="8" hidden="1"/>
    <cellStyle name="Lien hypertexte" xfId="418" builtinId="8" hidden="1"/>
    <cellStyle name="Lien hypertexte" xfId="220" builtinId="8" hidden="1"/>
    <cellStyle name="Lien hypertexte" xfId="84" builtinId="8" hidden="1"/>
    <cellStyle name="Lien hypertexte" xfId="70" builtinId="8" hidden="1"/>
    <cellStyle name="Lien hypertexte" xfId="88" builtinId="8" hidden="1"/>
    <cellStyle name="Lien hypertexte" xfId="164" builtinId="8" hidden="1"/>
    <cellStyle name="Lien hypertexte" xfId="128" builtinId="8" hidden="1"/>
    <cellStyle name="Lien hypertexte" xfId="314" builtinId="8" hidden="1"/>
    <cellStyle name="Lien hypertexte" xfId="278" builtinId="8" hidden="1"/>
    <cellStyle name="Lien hypertexte" xfId="242" builtinId="8" hidden="1"/>
    <cellStyle name="Lien hypertexte" xfId="206" builtinId="8" hidden="1"/>
    <cellStyle name="Lien hypertexte" xfId="624" builtinId="8" hidden="1"/>
    <cellStyle name="Lien hypertexte" xfId="588" builtinId="8" hidden="1"/>
    <cellStyle name="Lien hypertexte" xfId="552" builtinId="8" hidden="1"/>
    <cellStyle name="Lien hypertexte" xfId="514" builtinId="8" hidden="1"/>
    <cellStyle name="Lien hypertexte" xfId="478" builtinId="8" hidden="1"/>
    <cellStyle name="Lien hypertexte" xfId="440" builtinId="8" hidden="1"/>
    <cellStyle name="Lien hypertexte" xfId="404" builtinId="8" hidden="1"/>
    <cellStyle name="Lien hypertexte" xfId="366" builtinId="8" hidden="1"/>
    <cellStyle name="Lien hypertexte" xfId="14620" builtinId="8" hidden="1"/>
    <cellStyle name="Lien hypertexte" xfId="14584" builtinId="8" hidden="1"/>
    <cellStyle name="Lien hypertexte" xfId="14544" builtinId="8" hidden="1"/>
    <cellStyle name="Lien hypertexte" xfId="2201" builtinId="8" hidden="1"/>
    <cellStyle name="Lien hypertexte" xfId="1118" builtinId="8" hidden="1"/>
    <cellStyle name="Lien hypertexte" xfId="1080" builtinId="8" hidden="1"/>
    <cellStyle name="Lien hypertexte" xfId="1042" builtinId="8" hidden="1"/>
    <cellStyle name="Lien hypertexte" xfId="1006" builtinId="8" hidden="1"/>
    <cellStyle name="Lien hypertexte" xfId="970" builtinId="8" hidden="1"/>
    <cellStyle name="Lien hypertexte" xfId="930" builtinId="8" hidden="1"/>
    <cellStyle name="Lien hypertexte" xfId="894" builtinId="8" hidden="1"/>
    <cellStyle name="Lien hypertexte" xfId="858" builtinId="8" hidden="1"/>
    <cellStyle name="Lien hypertexte" xfId="820" builtinId="8" hidden="1"/>
    <cellStyle name="Lien hypertexte" xfId="782" builtinId="8" hidden="1"/>
    <cellStyle name="Lien hypertexte" xfId="746" builtinId="8" hidden="1"/>
    <cellStyle name="Lien hypertexte" xfId="708" builtinId="8" hidden="1"/>
    <cellStyle name="Lien hypertexte" xfId="670" builtinId="8" hidden="1"/>
    <cellStyle name="Lien hypertexte" xfId="15152" builtinId="8" hidden="1"/>
    <cellStyle name="Lien hypertexte" xfId="15924" builtinId="8" hidden="1"/>
    <cellStyle name="Lien hypertexte" xfId="15886" builtinId="8" hidden="1"/>
    <cellStyle name="Lien hypertexte" xfId="15846" builtinId="8" hidden="1"/>
    <cellStyle name="Lien hypertexte" xfId="15810" builtinId="8" hidden="1"/>
    <cellStyle name="Lien hypertexte" xfId="15772" builtinId="8" hidden="1"/>
    <cellStyle name="Lien hypertexte" xfId="15734" builtinId="8" hidden="1"/>
    <cellStyle name="Lien hypertexte" xfId="15696" builtinId="8" hidden="1"/>
    <cellStyle name="Lien hypertexte" xfId="15658" builtinId="8" hidden="1"/>
    <cellStyle name="Lien hypertexte" xfId="15622" builtinId="8" hidden="1"/>
    <cellStyle name="Lien hypertexte" xfId="15582" builtinId="8" hidden="1"/>
    <cellStyle name="Lien hypertexte" xfId="15546" builtinId="8" hidden="1"/>
    <cellStyle name="Lien hypertexte" xfId="15508" builtinId="8" hidden="1"/>
    <cellStyle name="Lien hypertexte" xfId="15468" builtinId="8" hidden="1"/>
    <cellStyle name="Lien hypertexte" xfId="15432" builtinId="8" hidden="1"/>
    <cellStyle name="Lien hypertexte" xfId="15394" builtinId="8" hidden="1"/>
    <cellStyle name="Lien hypertexte" xfId="15358" builtinId="8" hidden="1"/>
    <cellStyle name="Lien hypertexte" xfId="15318" builtinId="8" hidden="1"/>
    <cellStyle name="Lien hypertexte" xfId="15282" builtinId="8" hidden="1"/>
    <cellStyle name="Lien hypertexte" xfId="15244" builtinId="8" hidden="1"/>
    <cellStyle name="Lien hypertexte" xfId="15204" builtinId="8" hidden="1"/>
    <cellStyle name="Lien hypertexte" xfId="15168" builtinId="8" hidden="1"/>
    <cellStyle name="Lien hypertexte" xfId="15130" builtinId="8" hidden="1"/>
    <cellStyle name="Lien hypertexte" xfId="15094" builtinId="8" hidden="1"/>
    <cellStyle name="Lien hypertexte" xfId="15054" builtinId="8" hidden="1"/>
    <cellStyle name="Lien hypertexte" xfId="15016" builtinId="8" hidden="1"/>
    <cellStyle name="Lien hypertexte" xfId="14980" builtinId="8" hidden="1"/>
    <cellStyle name="Lien hypertexte" xfId="14940" builtinId="8" hidden="1"/>
    <cellStyle name="Lien hypertexte" xfId="14904" builtinId="8" hidden="1"/>
    <cellStyle name="Lien hypertexte" xfId="14866" builtinId="8" hidden="1"/>
    <cellStyle name="Lien hypertexte" xfId="14828" builtinId="8" hidden="1"/>
    <cellStyle name="Lien hypertexte" xfId="14790" builtinId="8" hidden="1"/>
    <cellStyle name="Lien hypertexte" xfId="14752" builtinId="8" hidden="1"/>
    <cellStyle name="Lien hypertexte" xfId="14716" builtinId="8" hidden="1"/>
    <cellStyle name="Lien hypertexte" xfId="14676" builtinId="8" hidden="1"/>
    <cellStyle name="Lien hypertexte" xfId="14638" builtinId="8" hidden="1"/>
    <cellStyle name="Lien hypertexte" xfId="16336" builtinId="8" hidden="1"/>
    <cellStyle name="Lien hypertexte" xfId="16912" builtinId="8" hidden="1"/>
    <cellStyle name="Lien hypertexte" xfId="17520" builtinId="8" hidden="1"/>
    <cellStyle name="Lien hypertexte" xfId="18096" builtinId="8" hidden="1"/>
    <cellStyle name="Lien hypertexte" xfId="18689" builtinId="8" hidden="1"/>
    <cellStyle name="Lien hypertexte" xfId="18815" builtinId="8" hidden="1"/>
    <cellStyle name="Lien hypertexte" xfId="18777" builtinId="8" hidden="1"/>
    <cellStyle name="Lien hypertexte" xfId="18739" builtinId="8" hidden="1"/>
    <cellStyle name="Lien hypertexte" xfId="18701" builtinId="8" hidden="1"/>
    <cellStyle name="Lien hypertexte" xfId="18661" builtinId="8" hidden="1"/>
    <cellStyle name="Lien hypertexte" xfId="18621" builtinId="8" hidden="1"/>
    <cellStyle name="Lien hypertexte" xfId="18583" builtinId="8" hidden="1"/>
    <cellStyle name="Lien hypertexte" xfId="18543" builtinId="8" hidden="1"/>
    <cellStyle name="Lien hypertexte" xfId="18505" builtinId="8" hidden="1"/>
    <cellStyle name="Lien hypertexte" xfId="18467" builtinId="8" hidden="1"/>
    <cellStyle name="Lien hypertexte" xfId="18427" builtinId="8" hidden="1"/>
    <cellStyle name="Lien hypertexte" xfId="18387" builtinId="8" hidden="1"/>
    <cellStyle name="Lien hypertexte" xfId="18349" builtinId="8" hidden="1"/>
    <cellStyle name="Lien hypertexte" xfId="18294" builtinId="8" hidden="1"/>
    <cellStyle name="Lien hypertexte" xfId="18252" builtinId="8" hidden="1"/>
    <cellStyle name="Lien hypertexte" xfId="18214" builtinId="8" hidden="1"/>
    <cellStyle name="Lien hypertexte" xfId="18176" builtinId="8" hidden="1"/>
    <cellStyle name="Lien hypertexte" xfId="18138" builtinId="8" hidden="1"/>
    <cellStyle name="Lien hypertexte" xfId="18098" builtinId="8" hidden="1"/>
    <cellStyle name="Lien hypertexte" xfId="18058" builtinId="8" hidden="1"/>
    <cellStyle name="Lien hypertexte" xfId="18020" builtinId="8" hidden="1"/>
    <cellStyle name="Lien hypertexte" xfId="17980" builtinId="8" hidden="1"/>
    <cellStyle name="Lien hypertexte" xfId="17942" builtinId="8" hidden="1"/>
    <cellStyle name="Lien hypertexte" xfId="17902" builtinId="8" hidden="1"/>
    <cellStyle name="Lien hypertexte" xfId="17864" builtinId="8" hidden="1"/>
    <cellStyle name="Lien hypertexte" xfId="17824" builtinId="8" hidden="1"/>
    <cellStyle name="Lien hypertexte" xfId="17786" builtinId="8" hidden="1"/>
    <cellStyle name="Lien hypertexte" xfId="17748" builtinId="8" hidden="1"/>
    <cellStyle name="Lien hypertexte" xfId="17706" builtinId="8" hidden="1"/>
    <cellStyle name="Lien hypertexte" xfId="17668" builtinId="8" hidden="1"/>
    <cellStyle name="Lien hypertexte" xfId="17630" builtinId="8" hidden="1"/>
    <cellStyle name="Lien hypertexte" xfId="17592" builtinId="8" hidden="1"/>
    <cellStyle name="Lien hypertexte" xfId="17550" builtinId="8" hidden="1"/>
    <cellStyle name="Lien hypertexte" xfId="17512" builtinId="8" hidden="1"/>
    <cellStyle name="Lien hypertexte" xfId="17474" builtinId="8" hidden="1"/>
    <cellStyle name="Lien hypertexte" xfId="17434" builtinId="8" hidden="1"/>
    <cellStyle name="Lien hypertexte" xfId="17396" builtinId="8" hidden="1"/>
    <cellStyle name="Lien hypertexte" xfId="17356" builtinId="8" hidden="1"/>
    <cellStyle name="Lien hypertexte" xfId="17318" builtinId="8" hidden="1"/>
    <cellStyle name="Lien hypertexte" xfId="17278" builtinId="8" hidden="1"/>
    <cellStyle name="Lien hypertexte" xfId="17240" builtinId="8" hidden="1"/>
    <cellStyle name="Lien hypertexte" xfId="17202" builtinId="8" hidden="1"/>
    <cellStyle name="Lien hypertexte" xfId="17160" builtinId="8" hidden="1"/>
    <cellStyle name="Lien hypertexte" xfId="17122" builtinId="8" hidden="1"/>
    <cellStyle name="Lien hypertexte" xfId="17084" builtinId="8" hidden="1"/>
    <cellStyle name="Lien hypertexte" xfId="17046" builtinId="8" hidden="1"/>
    <cellStyle name="Lien hypertexte" xfId="17004" builtinId="8" hidden="1"/>
    <cellStyle name="Lien hypertexte" xfId="16966" builtinId="8" hidden="1"/>
    <cellStyle name="Lien hypertexte" xfId="16928" builtinId="8" hidden="1"/>
    <cellStyle name="Lien hypertexte" xfId="16888" builtinId="8" hidden="1"/>
    <cellStyle name="Lien hypertexte" xfId="16850" builtinId="8" hidden="1"/>
    <cellStyle name="Lien hypertexte" xfId="16810" builtinId="8" hidden="1"/>
    <cellStyle name="Lien hypertexte" xfId="16772" builtinId="8" hidden="1"/>
    <cellStyle name="Lien hypertexte" xfId="16732" builtinId="8" hidden="1"/>
    <cellStyle name="Lien hypertexte" xfId="16694" builtinId="8" hidden="1"/>
    <cellStyle name="Lien hypertexte" xfId="16654" builtinId="8" hidden="1"/>
    <cellStyle name="Lien hypertexte" xfId="16614" builtinId="8" hidden="1"/>
    <cellStyle name="Lien hypertexte" xfId="16576" builtinId="8" hidden="1"/>
    <cellStyle name="Lien hypertexte" xfId="16538" builtinId="8" hidden="1"/>
    <cellStyle name="Lien hypertexte" xfId="16500" builtinId="8" hidden="1"/>
    <cellStyle name="Lien hypertexte" xfId="16458" builtinId="8" hidden="1"/>
    <cellStyle name="Lien hypertexte" xfId="16420" builtinId="8" hidden="1"/>
    <cellStyle name="Lien hypertexte" xfId="16382" builtinId="8" hidden="1"/>
    <cellStyle name="Lien hypertexte" xfId="16342" builtinId="8" hidden="1"/>
    <cellStyle name="Lien hypertexte" xfId="16302" builtinId="8" hidden="1"/>
    <cellStyle name="Lien hypertexte" xfId="16264" builtinId="8" hidden="1"/>
    <cellStyle name="Lien hypertexte" xfId="16226" builtinId="8" hidden="1"/>
    <cellStyle name="Lien hypertexte" xfId="16186" builtinId="8" hidden="1"/>
    <cellStyle name="Lien hypertexte" xfId="16148" builtinId="8" hidden="1"/>
    <cellStyle name="Lien hypertexte" xfId="16108" builtinId="8" hidden="1"/>
    <cellStyle name="Lien hypertexte" xfId="16068" builtinId="8" hidden="1"/>
    <cellStyle name="Lien hypertexte" xfId="16030" builtinId="8" hidden="1"/>
    <cellStyle name="Lien hypertexte" xfId="15992" builtinId="8" hidden="1"/>
    <cellStyle name="Lien hypertexte" xfId="15954" builtinId="8" hidden="1"/>
    <cellStyle name="Lien hypertexte" xfId="19009" builtinId="8" hidden="1"/>
    <cellStyle name="Lien hypertexte" xfId="19297" builtinId="8" hidden="1"/>
    <cellStyle name="Lien hypertexte" xfId="19585" builtinId="8" hidden="1"/>
    <cellStyle name="Lien hypertexte" xfId="20401" builtinId="8" hidden="1"/>
    <cellStyle name="Lien hypertexte" xfId="20209" builtinId="8" hidden="1"/>
    <cellStyle name="Lien hypertexte" xfId="19985" builtinId="8" hidden="1"/>
    <cellStyle name="Lien hypertexte" xfId="19809" builtinId="8" hidden="1"/>
    <cellStyle name="Lien hypertexte" xfId="19889" builtinId="8" hidden="1"/>
    <cellStyle name="Lien hypertexte" xfId="20465" builtinId="8" hidden="1"/>
    <cellStyle name="Lien hypertexte" xfId="20609" builtinId="8" hidden="1"/>
    <cellStyle name="Lien hypertexte" xfId="20833" builtinId="8" hidden="1"/>
    <cellStyle name="Lien hypertexte" xfId="20913" builtinId="8" hidden="1"/>
    <cellStyle name="Lien hypertexte" xfId="20753" builtinId="8" hidden="1"/>
    <cellStyle name="Lien hypertexte" xfId="20657" builtinId="8" hidden="1"/>
    <cellStyle name="Lien hypertexte" xfId="20321" builtinId="8" hidden="1"/>
    <cellStyle name="Lien hypertexte" xfId="19729" builtinId="8" hidden="1"/>
    <cellStyle name="Lien hypertexte" xfId="19841" builtinId="8" hidden="1"/>
    <cellStyle name="Lien hypertexte" xfId="20065" builtinId="8" hidden="1"/>
    <cellStyle name="Lien hypertexte" xfId="20241" builtinId="8" hidden="1"/>
    <cellStyle name="Lien hypertexte" xfId="20433" builtinId="8" hidden="1"/>
    <cellStyle name="Lien hypertexte" xfId="19521" builtinId="8" hidden="1"/>
    <cellStyle name="Lien hypertexte" xfId="19217" builtinId="8" hidden="1"/>
    <cellStyle name="Lien hypertexte" xfId="18929" builtinId="8" hidden="1"/>
    <cellStyle name="Lien hypertexte" xfId="15962" builtinId="8" hidden="1"/>
    <cellStyle name="Lien hypertexte" xfId="16000" builtinId="8" hidden="1"/>
    <cellStyle name="Lien hypertexte" xfId="16040" builtinId="8" hidden="1"/>
    <cellStyle name="Lien hypertexte" xfId="16078" builtinId="8" hidden="1"/>
    <cellStyle name="Lien hypertexte" xfId="16118" builtinId="8" hidden="1"/>
    <cellStyle name="Lien hypertexte" xfId="16158" builtinId="8" hidden="1"/>
    <cellStyle name="Lien hypertexte" xfId="16196" builtinId="8" hidden="1"/>
    <cellStyle name="Lien hypertexte" xfId="16234" builtinId="8" hidden="1"/>
    <cellStyle name="Lien hypertexte" xfId="16274" builtinId="8" hidden="1"/>
    <cellStyle name="Lien hypertexte" xfId="16314" builtinId="8" hidden="1"/>
    <cellStyle name="Lien hypertexte" xfId="16352" builtinId="8" hidden="1"/>
    <cellStyle name="Lien hypertexte" xfId="16390" builtinId="8" hidden="1"/>
    <cellStyle name="Lien hypertexte" xfId="16430" builtinId="8" hidden="1"/>
    <cellStyle name="Lien hypertexte" xfId="16470" builtinId="8" hidden="1"/>
    <cellStyle name="Lien hypertexte" xfId="16508" builtinId="8" hidden="1"/>
    <cellStyle name="Lien hypertexte" xfId="16546" builtinId="8" hidden="1"/>
    <cellStyle name="Lien hypertexte" xfId="16586" builtinId="8" hidden="1"/>
    <cellStyle name="Lien hypertexte" xfId="16626" builtinId="8" hidden="1"/>
    <cellStyle name="Lien hypertexte" xfId="16664" builtinId="8" hidden="1"/>
    <cellStyle name="Lien hypertexte" xfId="16704" builtinId="8" hidden="1"/>
    <cellStyle name="Lien hypertexte" xfId="16742" builtinId="8" hidden="1"/>
    <cellStyle name="Lien hypertexte" xfId="16780" builtinId="8" hidden="1"/>
    <cellStyle name="Lien hypertexte" xfId="16820" builtinId="8" hidden="1"/>
    <cellStyle name="Lien hypertexte" xfId="16860" builtinId="8" hidden="1"/>
    <cellStyle name="Lien hypertexte" xfId="16898" builtinId="8" hidden="1"/>
    <cellStyle name="Lien hypertexte" xfId="16936" builtinId="8" hidden="1"/>
    <cellStyle name="Lien hypertexte" xfId="16978" builtinId="8" hidden="1"/>
    <cellStyle name="Lien hypertexte" xfId="17016" builtinId="8" hidden="1"/>
    <cellStyle name="Lien hypertexte" xfId="17054" builtinId="8" hidden="1"/>
    <cellStyle name="Lien hypertexte" xfId="17092" builtinId="8" hidden="1"/>
    <cellStyle name="Lien hypertexte" xfId="17132" builtinId="8" hidden="1"/>
    <cellStyle name="Lien hypertexte" xfId="17172" builtinId="8" hidden="1"/>
    <cellStyle name="Lien hypertexte" xfId="17210" builtinId="8" hidden="1"/>
    <cellStyle name="Lien hypertexte" xfId="17250" builtinId="8" hidden="1"/>
    <cellStyle name="Lien hypertexte" xfId="17288" builtinId="8" hidden="1"/>
    <cellStyle name="Lien hypertexte" xfId="17326" builtinId="8" hidden="1"/>
    <cellStyle name="Lien hypertexte" xfId="17366" builtinId="8" hidden="1"/>
    <cellStyle name="Lien hypertexte" xfId="17406" builtinId="8" hidden="1"/>
    <cellStyle name="Lien hypertexte" xfId="17444" builtinId="8" hidden="1"/>
    <cellStyle name="Lien hypertexte" xfId="17482" builtinId="8" hidden="1"/>
    <cellStyle name="Lien hypertexte" xfId="17524" builtinId="8" hidden="1"/>
    <cellStyle name="Lien hypertexte" xfId="17562" builtinId="8" hidden="1"/>
    <cellStyle name="Lien hypertexte" xfId="17600" builtinId="8" hidden="1"/>
    <cellStyle name="Lien hypertexte" xfId="17638" builtinId="8" hidden="1"/>
    <cellStyle name="Lien hypertexte" xfId="17678" builtinId="8" hidden="1"/>
    <cellStyle name="Lien hypertexte" xfId="17718" builtinId="8" hidden="1"/>
    <cellStyle name="Lien hypertexte" xfId="17756" builtinId="8" hidden="1"/>
    <cellStyle name="Lien hypertexte" xfId="17796" builtinId="8" hidden="1"/>
    <cellStyle name="Lien hypertexte" xfId="17834" builtinId="8" hidden="1"/>
    <cellStyle name="Lien hypertexte" xfId="17874" builtinId="8" hidden="1"/>
    <cellStyle name="Lien hypertexte" xfId="17912" builtinId="8" hidden="1"/>
    <cellStyle name="Lien hypertexte" xfId="17952" builtinId="8" hidden="1"/>
    <cellStyle name="Lien hypertexte" xfId="17990" builtinId="8" hidden="1"/>
    <cellStyle name="Lien hypertexte" xfId="18028" builtinId="8" hidden="1"/>
    <cellStyle name="Lien hypertexte" xfId="18070" builtinId="8" hidden="1"/>
    <cellStyle name="Lien hypertexte" xfId="18108" builtinId="8" hidden="1"/>
    <cellStyle name="Lien hypertexte" xfId="18146" builtinId="8" hidden="1"/>
    <cellStyle name="Lien hypertexte" xfId="18184" builtinId="8" hidden="1"/>
    <cellStyle name="Lien hypertexte" xfId="18226" builtinId="8" hidden="1"/>
    <cellStyle name="Lien hypertexte" xfId="18264" builtinId="8" hidden="1"/>
    <cellStyle name="Lien hypertexte" xfId="18302" builtinId="8" hidden="1"/>
    <cellStyle name="Lien hypertexte" xfId="18359" builtinId="8" hidden="1"/>
    <cellStyle name="Lien hypertexte" xfId="18397" builtinId="8" hidden="1"/>
    <cellStyle name="Lien hypertexte" xfId="18437" builtinId="8" hidden="1"/>
    <cellStyle name="Lien hypertexte" xfId="18475" builtinId="8" hidden="1"/>
    <cellStyle name="Lien hypertexte" xfId="18515" builtinId="8" hidden="1"/>
    <cellStyle name="Lien hypertexte" xfId="18553" builtinId="8" hidden="1"/>
    <cellStyle name="Lien hypertexte" xfId="18591" builtinId="8" hidden="1"/>
    <cellStyle name="Lien hypertexte" xfId="18633" builtinId="8" hidden="1"/>
    <cellStyle name="Lien hypertexte" xfId="18671" builtinId="8" hidden="1"/>
    <cellStyle name="Lien hypertexte" xfId="18709" builtinId="8" hidden="1"/>
    <cellStyle name="Lien hypertexte" xfId="18747" builtinId="8" hidden="1"/>
    <cellStyle name="Lien hypertexte" xfId="18789" builtinId="8" hidden="1"/>
    <cellStyle name="Lien hypertexte" xfId="18827" builtinId="8" hidden="1"/>
    <cellStyle name="Lien hypertexte" xfId="18561" builtinId="8" hidden="1"/>
    <cellStyle name="Lien hypertexte" xfId="17936" builtinId="8" hidden="1"/>
    <cellStyle name="Lien hypertexte" xfId="17360" builtinId="8" hidden="1"/>
    <cellStyle name="Lien hypertexte" xfId="16784" builtinId="8" hidden="1"/>
    <cellStyle name="Lien hypertexte" xfId="16208" builtinId="8" hidden="1"/>
    <cellStyle name="Lien hypertexte" xfId="14650" builtinId="8" hidden="1"/>
    <cellStyle name="Lien hypertexte" xfId="14686" builtinId="8" hidden="1"/>
    <cellStyle name="Lien hypertexte" xfId="14724" builtinId="8" hidden="1"/>
    <cellStyle name="Lien hypertexte" xfId="14762" builtinId="8" hidden="1"/>
    <cellStyle name="Lien hypertexte" xfId="14800" builtinId="8" hidden="1"/>
    <cellStyle name="Lien hypertexte" xfId="14838" builtinId="8" hidden="1"/>
    <cellStyle name="Lien hypertexte" xfId="14874" builtinId="8" hidden="1"/>
    <cellStyle name="Lien hypertexte" xfId="14914" builtinId="8" hidden="1"/>
    <cellStyle name="Lien hypertexte" xfId="14950" builtinId="8" hidden="1"/>
    <cellStyle name="Lien hypertexte" xfId="14988" builtinId="8" hidden="1"/>
    <cellStyle name="Lien hypertexte" xfId="15028" builtinId="8" hidden="1"/>
    <cellStyle name="Lien hypertexte" xfId="15064" builtinId="8" hidden="1"/>
    <cellStyle name="Lien hypertexte" xfId="15102" builtinId="8" hidden="1"/>
    <cellStyle name="Lien hypertexte" xfId="15138" builtinId="8" hidden="1"/>
    <cellStyle name="Lien hypertexte" xfId="15178" builtinId="8" hidden="1"/>
    <cellStyle name="Lien hypertexte" xfId="15214" builtinId="8" hidden="1"/>
    <cellStyle name="Lien hypertexte" xfId="15252" builtinId="8" hidden="1"/>
    <cellStyle name="Lien hypertexte" xfId="15292" builtinId="8" hidden="1"/>
    <cellStyle name="Lien hypertexte" xfId="15328" builtinId="8" hidden="1"/>
    <cellStyle name="Lien hypertexte" xfId="15366" builtinId="8" hidden="1"/>
    <cellStyle name="Lien hypertexte" xfId="15402" builtinId="8" hidden="1"/>
    <cellStyle name="Lien hypertexte" xfId="15442" builtinId="8" hidden="1"/>
    <cellStyle name="Lien hypertexte" xfId="15480" builtinId="8" hidden="1"/>
    <cellStyle name="Lien hypertexte" xfId="15516" builtinId="8" hidden="1"/>
    <cellStyle name="Lien hypertexte" xfId="15556" builtinId="8" hidden="1"/>
    <cellStyle name="Lien hypertexte" xfId="15592" builtinId="8" hidden="1"/>
    <cellStyle name="Lien hypertexte" xfId="15630" builtinId="8" hidden="1"/>
    <cellStyle name="Lien hypertexte" xfId="15668" builtinId="8" hidden="1"/>
    <cellStyle name="Lien hypertexte" xfId="15706" builtinId="8" hidden="1"/>
    <cellStyle name="Lien hypertexte" xfId="15744" builtinId="8" hidden="1"/>
    <cellStyle name="Lien hypertexte" xfId="15780" builtinId="8" hidden="1"/>
    <cellStyle name="Lien hypertexte" xfId="15820" builtinId="8" hidden="1"/>
    <cellStyle name="Lien hypertexte" xfId="15858" builtinId="8" hidden="1"/>
    <cellStyle name="Lien hypertexte" xfId="15894" builtinId="8" hidden="1"/>
    <cellStyle name="Lien hypertexte" xfId="15932" builtinId="8" hidden="1"/>
    <cellStyle name="Lien hypertexte" xfId="14832" builtinId="8" hidden="1"/>
    <cellStyle name="Lien hypertexte" xfId="680" builtinId="8" hidden="1"/>
    <cellStyle name="Lien hypertexte" xfId="718" builtinId="8" hidden="1"/>
    <cellStyle name="Lien hypertexte" xfId="756" builtinId="8" hidden="1"/>
    <cellStyle name="Lien hypertexte" xfId="792" builtinId="8" hidden="1"/>
    <cellStyle name="Lien hypertexte" xfId="828" builtinId="8" hidden="1"/>
    <cellStyle name="Lien hypertexte" xfId="866" builtinId="8" hidden="1"/>
    <cellStyle name="Lien hypertexte" xfId="904" builtinId="8" hidden="1"/>
    <cellStyle name="Lien hypertexte" xfId="940" builtinId="8" hidden="1"/>
    <cellStyle name="Lien hypertexte" xfId="978" builtinId="8" hidden="1"/>
    <cellStyle name="Lien hypertexte" xfId="1016" builtinId="8" hidden="1"/>
    <cellStyle name="Lien hypertexte" xfId="1052" builtinId="8" hidden="1"/>
    <cellStyle name="Lien hypertexte" xfId="1088" builtinId="8" hidden="1"/>
    <cellStyle name="Lien hypertexte" xfId="1126" builtinId="8" hidden="1"/>
    <cellStyle name="Lien hypertexte" xfId="14518" builtinId="8" hidden="1"/>
    <cellStyle name="Lien hypertexte" xfId="14554" builtinId="8" hidden="1"/>
    <cellStyle name="Lien hypertexte" xfId="14592" builtinId="8" hidden="1"/>
    <cellStyle name="Lien hypertexte" xfId="1094" builtinId="8" hidden="1"/>
    <cellStyle name="Lien hypertexte" xfId="376" builtinId="8" hidden="1"/>
    <cellStyle name="Lien hypertexte" xfId="412" builtinId="8" hidden="1"/>
    <cellStyle name="Lien hypertexte" xfId="448" builtinId="8" hidden="1"/>
    <cellStyle name="Lien hypertexte" xfId="488" builtinId="8" hidden="1"/>
    <cellStyle name="Lien hypertexte" xfId="524" builtinId="8" hidden="1"/>
    <cellStyle name="Lien hypertexte" xfId="560" builtinId="8" hidden="1"/>
    <cellStyle name="Lien hypertexte" xfId="598" builtinId="8" hidden="1"/>
    <cellStyle name="Lien hypertexte" xfId="634" builtinId="8" hidden="1"/>
    <cellStyle name="Lien hypertexte" xfId="214" builtinId="8" hidden="1"/>
    <cellStyle name="Lien hypertexte" xfId="250" builtinId="8" hidden="1"/>
    <cellStyle name="Lien hypertexte" xfId="288" builtinId="8" hidden="1"/>
    <cellStyle name="Lien hypertexte" xfId="324" builtinId="8" hidden="1"/>
    <cellStyle name="Lien hypertexte" xfId="136" builtinId="8" hidden="1"/>
    <cellStyle name="Lien hypertexte" xfId="174" builtinId="8" hidden="1"/>
    <cellStyle name="Lien hypertexte" xfId="98" builtinId="8" hidden="1"/>
    <cellStyle name="Lien hypertexte" xfId="78" builtinId="8" hidden="1"/>
    <cellStyle name="Lien hypertexte" xfId="188" builtinId="8" hidden="1"/>
    <cellStyle name="Lien hypertexte" xfId="612" builtinId="8" hidden="1"/>
    <cellStyle name="Lien hypertexte" xfId="354" builtinId="8" hidden="1"/>
    <cellStyle name="Lien hypertexte" xfId="1030" builtinId="8" hidden="1"/>
    <cellStyle name="Lien hypertexte" xfId="770" builtinId="8" hidden="1"/>
    <cellStyle name="Lien hypertexte" xfId="15834" builtinId="8" hidden="1"/>
    <cellStyle name="Lien hypertexte" xfId="15570" builtinId="8" hidden="1"/>
    <cellStyle name="Lien hypertexte" xfId="15306" builtinId="8" hidden="1"/>
    <cellStyle name="Lien hypertexte" xfId="15042" builtinId="8" hidden="1"/>
    <cellStyle name="Lien hypertexte" xfId="14778" builtinId="8" hidden="1"/>
    <cellStyle name="Lien hypertexte" xfId="17712" builtinId="8" hidden="1"/>
    <cellStyle name="Lien hypertexte" xfId="18647" builtinId="8" hidden="1"/>
    <cellStyle name="Lien hypertexte" xfId="18375" builtinId="8" hidden="1"/>
    <cellStyle name="Lien hypertexte" xfId="18084" builtinId="8" hidden="1"/>
    <cellStyle name="Lien hypertexte" xfId="17812" builtinId="8" hidden="1"/>
    <cellStyle name="Lien hypertexte" xfId="17538" builtinId="8" hidden="1"/>
    <cellStyle name="Lien hypertexte" xfId="17266" builtinId="8" hidden="1"/>
    <cellStyle name="Lien hypertexte" xfId="16992" builtinId="8" hidden="1"/>
    <cellStyle name="Lien hypertexte" xfId="16718" builtinId="8" hidden="1"/>
    <cellStyle name="Lien hypertexte" xfId="16446" builtinId="8" hidden="1"/>
    <cellStyle name="Lien hypertexte" xfId="16172" builtinId="8" hidden="1"/>
    <cellStyle name="Lien hypertexte" xfId="19105" builtinId="8" hidden="1"/>
    <cellStyle name="Lien hypertexte" xfId="21153" builtinId="8" hidden="1"/>
    <cellStyle name="Lien hypertexte" xfId="21771" builtinId="8" hidden="1"/>
    <cellStyle name="Lien hypertexte" xfId="21811" builtinId="8" hidden="1"/>
    <cellStyle name="Lien hypertexte" xfId="21849" builtinId="8" hidden="1"/>
    <cellStyle name="Lien hypertexte" xfId="21887" builtinId="8" hidden="1"/>
    <cellStyle name="Lien hypertexte" xfId="21927" builtinId="8" hidden="1"/>
    <cellStyle name="Lien hypertexte" xfId="21965" builtinId="8" hidden="1"/>
    <cellStyle name="Lien hypertexte" xfId="22005" builtinId="8" hidden="1"/>
    <cellStyle name="Lien hypertexte" xfId="22043" builtinId="8" hidden="1"/>
    <cellStyle name="Lien hypertexte" xfId="22083" builtinId="8" hidden="1"/>
    <cellStyle name="Lien hypertexte" xfId="22121" builtinId="8" hidden="1"/>
    <cellStyle name="Lien hypertexte" xfId="22159" builtinId="8" hidden="1"/>
    <cellStyle name="Lien hypertexte" xfId="22201" builtinId="8" hidden="1"/>
    <cellStyle name="Lien hypertexte" xfId="22239" builtinId="8" hidden="1"/>
    <cellStyle name="Lien hypertexte" xfId="22279" builtinId="8" hidden="1"/>
    <cellStyle name="Lien hypertexte" xfId="22317" builtinId="8" hidden="1"/>
    <cellStyle name="Lien hypertexte" xfId="22357" builtinId="8" hidden="1"/>
    <cellStyle name="Lien hypertexte" xfId="22395" builtinId="8" hidden="1"/>
    <cellStyle name="Lien hypertexte" xfId="22435" builtinId="8" hidden="1"/>
    <cellStyle name="Lien hypertexte" xfId="22473" builtinId="8" hidden="1"/>
    <cellStyle name="Lien hypertexte" xfId="22511" builtinId="8" hidden="1"/>
    <cellStyle name="Lien hypertexte" xfId="22551" builtinId="8" hidden="1"/>
    <cellStyle name="Lien hypertexte" xfId="22589" builtinId="8" hidden="1"/>
    <cellStyle name="Lien hypertexte" xfId="22629" builtinId="8" hidden="1"/>
    <cellStyle name="Lien hypertexte" xfId="22667" builtinId="8" hidden="1"/>
    <cellStyle name="Lien hypertexte" xfId="22707" builtinId="8" hidden="1"/>
    <cellStyle name="Lien hypertexte" xfId="22745" builtinId="8" hidden="1"/>
    <cellStyle name="Lien hypertexte" xfId="22787" builtinId="8" hidden="1"/>
    <cellStyle name="Lien hypertexte" xfId="22825" builtinId="8" hidden="1"/>
    <cellStyle name="Lien hypertexte" xfId="22863" builtinId="8" hidden="1"/>
    <cellStyle name="Lien hypertexte" xfId="22903" builtinId="8" hidden="1"/>
    <cellStyle name="Lien hypertexte" xfId="22941" builtinId="8" hidden="1"/>
    <cellStyle name="Lien hypertexte" xfId="22981" builtinId="8" hidden="1"/>
    <cellStyle name="Lien hypertexte" xfId="23019" builtinId="8" hidden="1"/>
    <cellStyle name="Lien hypertexte" xfId="23059" builtinId="8" hidden="1"/>
    <cellStyle name="Lien hypertexte" xfId="23097" builtinId="8" hidden="1"/>
    <cellStyle name="Lien hypertexte" xfId="23135" builtinId="8" hidden="1"/>
    <cellStyle name="Lien hypertexte" xfId="23175" builtinId="8" hidden="1"/>
    <cellStyle name="Lien hypertexte" xfId="23213" builtinId="8" hidden="1"/>
    <cellStyle name="Lien hypertexte" xfId="23253" builtinId="8" hidden="1"/>
    <cellStyle name="Lien hypertexte" xfId="23291" builtinId="8" hidden="1"/>
    <cellStyle name="Lien hypertexte" xfId="23331" builtinId="8" hidden="1"/>
    <cellStyle name="Lien hypertexte" xfId="23371" builtinId="8" hidden="1"/>
    <cellStyle name="Lien hypertexte" xfId="23411" builtinId="8" hidden="1"/>
    <cellStyle name="Lien hypertexte" xfId="23449" builtinId="8" hidden="1"/>
    <cellStyle name="Lien hypertexte" xfId="23487" builtinId="8" hidden="1"/>
    <cellStyle name="Lien hypertexte" xfId="23527" builtinId="8" hidden="1"/>
    <cellStyle name="Lien hypertexte" xfId="23565" builtinId="8" hidden="1"/>
    <cellStyle name="Lien hypertexte" xfId="23605" builtinId="8" hidden="1"/>
    <cellStyle name="Lien hypertexte" xfId="23643" builtinId="8" hidden="1"/>
    <cellStyle name="Lien hypertexte" xfId="23683" builtinId="8" hidden="1"/>
    <cellStyle name="Lien hypertexte" xfId="23721" builtinId="8" hidden="1"/>
    <cellStyle name="Lien hypertexte" xfId="23759" builtinId="8" hidden="1"/>
    <cellStyle name="Lien hypertexte" xfId="23799" builtinId="8" hidden="1"/>
    <cellStyle name="Lien hypertexte" xfId="23837" builtinId="8" hidden="1"/>
    <cellStyle name="Lien hypertexte" xfId="23877" builtinId="8" hidden="1"/>
    <cellStyle name="Lien hypertexte" xfId="23915" builtinId="8" hidden="1"/>
    <cellStyle name="Lien hypertexte" xfId="23957" builtinId="8" hidden="1"/>
    <cellStyle name="Lien hypertexte" xfId="23995" builtinId="8" hidden="1"/>
    <cellStyle name="Lien hypertexte" xfId="24035" builtinId="8" hidden="1"/>
    <cellStyle name="Lien hypertexte" xfId="24073" builtinId="8" hidden="1"/>
    <cellStyle name="Lien hypertexte" xfId="24111" builtinId="8" hidden="1"/>
    <cellStyle name="Lien hypertexte" xfId="24151" builtinId="8" hidden="1"/>
    <cellStyle name="Lien hypertexte" xfId="24189" builtinId="8" hidden="1"/>
    <cellStyle name="Lien hypertexte" xfId="24229" builtinId="8" hidden="1"/>
    <cellStyle name="Lien hypertexte" xfId="24267" builtinId="8" hidden="1"/>
    <cellStyle name="Lien hypertexte" xfId="24307" builtinId="8" hidden="1"/>
    <cellStyle name="Lien hypertexte" xfId="24345" builtinId="8" hidden="1"/>
    <cellStyle name="Lien hypertexte" xfId="24383" builtinId="8" hidden="1"/>
    <cellStyle name="Lien hypertexte" xfId="24423" builtinId="8" hidden="1"/>
    <cellStyle name="Lien hypertexte" xfId="24461" builtinId="8" hidden="1"/>
    <cellStyle name="Lien hypertexte" xfId="24501" builtinId="8" hidden="1"/>
    <cellStyle name="Lien hypertexte" xfId="24541" builtinId="8" hidden="1"/>
    <cellStyle name="Lien hypertexte" xfId="24581" builtinId="8" hidden="1"/>
    <cellStyle name="Lien hypertexte" xfId="24561" builtinId="8" hidden="1"/>
    <cellStyle name="Lien hypertexte" xfId="24289" builtinId="8" hidden="1"/>
    <cellStyle name="Lien hypertexte" xfId="24017" builtinId="8" hidden="1"/>
    <cellStyle name="Lien hypertexte" xfId="23745" builtinId="8" hidden="1"/>
    <cellStyle name="Lien hypertexte" xfId="23473" builtinId="8" hidden="1"/>
    <cellStyle name="Lien hypertexte" xfId="23201" builtinId="8" hidden="1"/>
    <cellStyle name="Lien hypertexte" xfId="22929" builtinId="8" hidden="1"/>
    <cellStyle name="Lien hypertexte" xfId="22657" builtinId="8" hidden="1"/>
    <cellStyle name="Lien hypertexte" xfId="22385" builtinId="8" hidden="1"/>
    <cellStyle name="Lien hypertexte" xfId="22113" builtinId="8" hidden="1"/>
    <cellStyle name="Lien hypertexte" xfId="21841" builtinId="8" hidden="1"/>
    <cellStyle name="Lien hypertexte" xfId="21569" builtinId="8" hidden="1"/>
    <cellStyle name="Lien hypertexte" xfId="24467" builtinId="8" hidden="1"/>
    <cellStyle name="Lien hypertexte" xfId="23881" builtinId="8" hidden="1"/>
    <cellStyle name="Lien hypertexte" xfId="23295" builtinId="8" hidden="1"/>
    <cellStyle name="Lien hypertexte" xfId="22711" builtinId="8" hidden="1"/>
    <cellStyle name="Lien hypertexte" xfId="22125" builtinId="8" hidden="1"/>
    <cellStyle name="Lien hypertexte" xfId="20259" builtinId="8" hidden="1"/>
    <cellStyle name="Lien hypertexte" xfId="20297" builtinId="8" hidden="1"/>
    <cellStyle name="Lien hypertexte" xfId="20335" builtinId="8" hidden="1"/>
    <cellStyle name="Lien hypertexte" xfId="20373" builtinId="8" hidden="1"/>
    <cellStyle name="Lien hypertexte" xfId="20411" builtinId="8" hidden="1"/>
    <cellStyle name="Lien hypertexte" xfId="20447" builtinId="8" hidden="1"/>
    <cellStyle name="Lien hypertexte" xfId="20487" builtinId="8" hidden="1"/>
    <cellStyle name="Lien hypertexte" xfId="20523" builtinId="8" hidden="1"/>
    <cellStyle name="Lien hypertexte" xfId="20563" builtinId="8" hidden="1"/>
    <cellStyle name="Lien hypertexte" xfId="20599" builtinId="8" hidden="1"/>
    <cellStyle name="Lien hypertexte" xfId="20637" builtinId="8" hidden="1"/>
    <cellStyle name="Lien hypertexte" xfId="20675" builtinId="8" hidden="1"/>
    <cellStyle name="Lien hypertexte" xfId="20713" builtinId="8" hidden="1"/>
    <cellStyle name="Lien hypertexte" xfId="20749" builtinId="8" hidden="1"/>
    <cellStyle name="Lien hypertexte" xfId="20789" builtinId="8" hidden="1"/>
    <cellStyle name="Lien hypertexte" xfId="20825" builtinId="8" hidden="1"/>
    <cellStyle name="Lien hypertexte" xfId="20863" builtinId="8" hidden="1"/>
    <cellStyle name="Lien hypertexte" xfId="20901" builtinId="8" hidden="1"/>
    <cellStyle name="Lien hypertexte" xfId="20939" builtinId="8" hidden="1"/>
    <cellStyle name="Lien hypertexte" xfId="20975" builtinId="8" hidden="1"/>
    <cellStyle name="Lien hypertexte" xfId="21015" builtinId="8" hidden="1"/>
    <cellStyle name="Lien hypertexte" xfId="21051" builtinId="8" hidden="1"/>
    <cellStyle name="Lien hypertexte" xfId="21091" builtinId="8" hidden="1"/>
    <cellStyle name="Lien hypertexte" xfId="21127" builtinId="8" hidden="1"/>
    <cellStyle name="Lien hypertexte" xfId="21165" builtinId="8" hidden="1"/>
    <cellStyle name="Lien hypertexte" xfId="21203" builtinId="8" hidden="1"/>
    <cellStyle name="Lien hypertexte" xfId="21241" builtinId="8" hidden="1"/>
    <cellStyle name="Lien hypertexte" xfId="21277" builtinId="8" hidden="1"/>
    <cellStyle name="Lien hypertexte" xfId="21317" builtinId="8" hidden="1"/>
    <cellStyle name="Lien hypertexte" xfId="21353" builtinId="8" hidden="1"/>
    <cellStyle name="Lien hypertexte" xfId="21391" builtinId="8" hidden="1"/>
    <cellStyle name="Lien hypertexte" xfId="21429" builtinId="8" hidden="1"/>
    <cellStyle name="Lien hypertexte" xfId="21467" builtinId="8" hidden="1"/>
    <cellStyle name="Lien hypertexte" xfId="21507" builtinId="8" hidden="1"/>
    <cellStyle name="Lien hypertexte" xfId="21543" builtinId="8" hidden="1"/>
    <cellStyle name="Lien hypertexte" xfId="21581" builtinId="8" hidden="1"/>
    <cellStyle name="Lien hypertexte" xfId="21619" builtinId="8" hidden="1"/>
    <cellStyle name="Lien hypertexte" xfId="21657" builtinId="8" hidden="1"/>
    <cellStyle name="Lien hypertexte" xfId="21693" builtinId="8" hidden="1"/>
    <cellStyle name="Lien hypertexte" xfId="21733" builtinId="8" hidden="1"/>
    <cellStyle name="Lien hypertexte" xfId="20845" builtinId="8" hidden="1"/>
    <cellStyle name="Lien hypertexte" xfId="19551" builtinId="8" hidden="1"/>
    <cellStyle name="Lien hypertexte" xfId="19589" builtinId="8" hidden="1"/>
    <cellStyle name="Lien hypertexte" xfId="19627" builtinId="8" hidden="1"/>
    <cellStyle name="Lien hypertexte" xfId="19663" builtinId="8" hidden="1"/>
    <cellStyle name="Lien hypertexte" xfId="19701" builtinId="8" hidden="1"/>
    <cellStyle name="Lien hypertexte" xfId="19737" builtinId="8" hidden="1"/>
    <cellStyle name="Lien hypertexte" xfId="19775" builtinId="8" hidden="1"/>
    <cellStyle name="Lien hypertexte" xfId="19813" builtinId="8" hidden="1"/>
    <cellStyle name="Lien hypertexte" xfId="19849" builtinId="8" hidden="1"/>
    <cellStyle name="Lien hypertexte" xfId="19885" builtinId="8" hidden="1"/>
    <cellStyle name="Lien hypertexte" xfId="19925" builtinId="8" hidden="1"/>
    <cellStyle name="Lien hypertexte" xfId="19961" builtinId="8" hidden="1"/>
    <cellStyle name="Lien hypertexte" xfId="19997" builtinId="8" hidden="1"/>
    <cellStyle name="Lien hypertexte" xfId="20035" builtinId="8" hidden="1"/>
    <cellStyle name="Lien hypertexte" xfId="20073" builtinId="8" hidden="1"/>
    <cellStyle name="Lien hypertexte" xfId="20109" builtinId="8" hidden="1"/>
    <cellStyle name="Lien hypertexte" xfId="20147" builtinId="8" hidden="1"/>
    <cellStyle name="Lien hypertexte" xfId="20183" builtinId="8" hidden="1"/>
    <cellStyle name="Lien hypertexte" xfId="20221" builtinId="8" hidden="1"/>
    <cellStyle name="Lien hypertexte" xfId="19189" builtinId="8" hidden="1"/>
    <cellStyle name="Lien hypertexte" xfId="19225" builtinId="8" hidden="1"/>
    <cellStyle name="Lien hypertexte" xfId="19261" builtinId="8" hidden="1"/>
    <cellStyle name="Lien hypertexte" xfId="19299" builtinId="8" hidden="1"/>
    <cellStyle name="Lien hypertexte" xfId="19337" builtinId="8" hidden="1"/>
    <cellStyle name="Lien hypertexte" xfId="19373" builtinId="8" hidden="1"/>
    <cellStyle name="Lien hypertexte" xfId="19411" builtinId="8" hidden="1"/>
    <cellStyle name="Lien hypertexte" xfId="19447" builtinId="8" hidden="1"/>
    <cellStyle name="Lien hypertexte" xfId="19483" builtinId="8" hidden="1"/>
    <cellStyle name="Lien hypertexte" xfId="19519" builtinId="8" hidden="1"/>
    <cellStyle name="Lien hypertexte" xfId="19035" builtinId="8" hidden="1"/>
    <cellStyle name="Lien hypertexte" xfId="19071" builtinId="8" hidden="1"/>
    <cellStyle name="Lien hypertexte" xfId="19109" builtinId="8" hidden="1"/>
    <cellStyle name="Lien hypertexte" xfId="19145" builtinId="8" hidden="1"/>
    <cellStyle name="Lien hypertexte" xfId="19181" builtinId="8" hidden="1"/>
    <cellStyle name="Lien hypertexte" xfId="18963" builtinId="8" hidden="1"/>
    <cellStyle name="Lien hypertexte" xfId="18999" builtinId="8" hidden="1"/>
    <cellStyle name="Lien hypertexte" xfId="18907" builtinId="8" hidden="1"/>
    <cellStyle name="Lien hypertexte" xfId="18879" builtinId="8" hidden="1"/>
    <cellStyle name="Lien hypertexte" xfId="18853" builtinId="8" hidden="1"/>
    <cellStyle name="Lien hypertexte" xfId="18927" builtinId="8" hidden="1"/>
    <cellStyle name="Lien hypertexte" xfId="18891" builtinId="8" hidden="1"/>
    <cellStyle name="Lien hypertexte" xfId="18983" builtinId="8" hidden="1"/>
    <cellStyle name="Lien hypertexte" xfId="18947" builtinId="8" hidden="1"/>
    <cellStyle name="Lien hypertexte" xfId="19165" builtinId="8" hidden="1"/>
    <cellStyle name="Lien hypertexte" xfId="19129" builtinId="8" hidden="1"/>
    <cellStyle name="Lien hypertexte" xfId="19093" builtinId="8" hidden="1"/>
    <cellStyle name="Lien hypertexte" xfId="19055" builtinId="8" hidden="1"/>
    <cellStyle name="Lien hypertexte" xfId="19019" builtinId="8" hidden="1"/>
    <cellStyle name="Lien hypertexte" xfId="19503" builtinId="8" hidden="1"/>
    <cellStyle name="Lien hypertexte" xfId="19467" builtinId="8" hidden="1"/>
    <cellStyle name="Lien hypertexte" xfId="19431" builtinId="8" hidden="1"/>
    <cellStyle name="Lien hypertexte" xfId="19395" builtinId="8" hidden="1"/>
    <cellStyle name="Lien hypertexte" xfId="19357" builtinId="8" hidden="1"/>
    <cellStyle name="Lien hypertexte" xfId="19321" builtinId="8" hidden="1"/>
    <cellStyle name="Lien hypertexte" xfId="19283" builtinId="8" hidden="1"/>
    <cellStyle name="Lien hypertexte" xfId="19245" builtinId="8" hidden="1"/>
    <cellStyle name="Lien hypertexte" xfId="19209" builtinId="8" hidden="1"/>
    <cellStyle name="Lien hypertexte" xfId="20243" builtinId="8" hidden="1"/>
    <cellStyle name="Lien hypertexte" xfId="20205" builtinId="8" hidden="1"/>
    <cellStyle name="Lien hypertexte" xfId="20167" builtinId="8" hidden="1"/>
    <cellStyle name="Lien hypertexte" xfId="20131" builtinId="8" hidden="1"/>
    <cellStyle name="Lien hypertexte" xfId="20093" builtinId="8" hidden="1"/>
    <cellStyle name="Lien hypertexte" xfId="20057" builtinId="8" hidden="1"/>
    <cellStyle name="Lien hypertexte" xfId="20019" builtinId="8" hidden="1"/>
    <cellStyle name="Lien hypertexte" xfId="19981" builtinId="8" hidden="1"/>
    <cellStyle name="Lien hypertexte" xfId="19945" builtinId="8" hidden="1"/>
    <cellStyle name="Lien hypertexte" xfId="19909" builtinId="8" hidden="1"/>
    <cellStyle name="Lien hypertexte" xfId="19869" builtinId="8" hidden="1"/>
    <cellStyle name="Lien hypertexte" xfId="19833" builtinId="8" hidden="1"/>
    <cellStyle name="Lien hypertexte" xfId="19797" builtinId="8" hidden="1"/>
    <cellStyle name="Lien hypertexte" xfId="19759" builtinId="8" hidden="1"/>
    <cellStyle name="Lien hypertexte" xfId="19721" builtinId="8" hidden="1"/>
    <cellStyle name="Lien hypertexte" xfId="19685" builtinId="8" hidden="1"/>
    <cellStyle name="Lien hypertexte" xfId="19647" builtinId="8" hidden="1"/>
    <cellStyle name="Lien hypertexte" xfId="19611" builtinId="8" hidden="1"/>
    <cellStyle name="Lien hypertexte" xfId="19573" builtinId="8" hidden="1"/>
    <cellStyle name="Lien hypertexte" xfId="19535" builtinId="8" hidden="1"/>
    <cellStyle name="Lien hypertexte" xfId="21357" builtinId="8" hidden="1"/>
    <cellStyle name="Lien hypertexte" xfId="21715" builtinId="8" hidden="1"/>
    <cellStyle name="Lien hypertexte" xfId="21677" builtinId="8" hidden="1"/>
    <cellStyle name="Lien hypertexte" xfId="21639" builtinId="8" hidden="1"/>
    <cellStyle name="Lien hypertexte" xfId="21603" builtinId="8" hidden="1"/>
    <cellStyle name="Lien hypertexte" xfId="21563" builtinId="8" hidden="1"/>
    <cellStyle name="Lien hypertexte" xfId="21527" builtinId="8" hidden="1"/>
    <cellStyle name="Lien hypertexte" xfId="21487" builtinId="8" hidden="1"/>
    <cellStyle name="Lien hypertexte" xfId="21451" builtinId="8" hidden="1"/>
    <cellStyle name="Lien hypertexte" xfId="21413" builtinId="8" hidden="1"/>
    <cellStyle name="Lien hypertexte" xfId="21375" builtinId="8" hidden="1"/>
    <cellStyle name="Lien hypertexte" xfId="21337" builtinId="8" hidden="1"/>
    <cellStyle name="Lien hypertexte" xfId="21301" builtinId="8" hidden="1"/>
    <cellStyle name="Lien hypertexte" xfId="21261" builtinId="8" hidden="1"/>
    <cellStyle name="Lien hypertexte" xfId="21225" builtinId="8" hidden="1"/>
    <cellStyle name="Lien hypertexte" xfId="21187" builtinId="8" hidden="1"/>
    <cellStyle name="Lien hypertexte" xfId="21149" builtinId="8" hidden="1"/>
    <cellStyle name="Lien hypertexte" xfId="21111" builtinId="8" hidden="1"/>
    <cellStyle name="Lien hypertexte" xfId="21075" builtinId="8" hidden="1"/>
    <cellStyle name="Lien hypertexte" xfId="21035" builtinId="8" hidden="1"/>
    <cellStyle name="Lien hypertexte" xfId="20999" builtinId="8" hidden="1"/>
    <cellStyle name="Lien hypertexte" xfId="20959" builtinId="8" hidden="1"/>
    <cellStyle name="Lien hypertexte" xfId="20923" builtinId="8" hidden="1"/>
    <cellStyle name="Lien hypertexte" xfId="20885" builtinId="8" hidden="1"/>
    <cellStyle name="Lien hypertexte" xfId="20847" builtinId="8" hidden="1"/>
    <cellStyle name="Lien hypertexte" xfId="20809" builtinId="8" hidden="1"/>
    <cellStyle name="Lien hypertexte" xfId="20771" builtinId="8" hidden="1"/>
    <cellStyle name="Lien hypertexte" xfId="20733" builtinId="8" hidden="1"/>
    <cellStyle name="Lien hypertexte" xfId="20695" builtinId="8" hidden="1"/>
    <cellStyle name="Lien hypertexte" xfId="20659" builtinId="8" hidden="1"/>
    <cellStyle name="Lien hypertexte" xfId="20619" builtinId="8" hidden="1"/>
    <cellStyle name="Lien hypertexte" xfId="20583" builtinId="8" hidden="1"/>
    <cellStyle name="Lien hypertexte" xfId="20543" builtinId="8" hidden="1"/>
    <cellStyle name="Lien hypertexte" xfId="20507" builtinId="8" hidden="1"/>
    <cellStyle name="Lien hypertexte" xfId="20469" builtinId="8" hidden="1"/>
    <cellStyle name="Lien hypertexte" xfId="20431" builtinId="8" hidden="1"/>
    <cellStyle name="Lien hypertexte" xfId="20393" builtinId="8" hidden="1"/>
    <cellStyle name="Lien hypertexte" xfId="20357" builtinId="8" hidden="1"/>
    <cellStyle name="Lien hypertexte" xfId="20317" builtinId="8" hidden="1"/>
    <cellStyle name="Lien hypertexte" xfId="20281" builtinId="8" hidden="1"/>
    <cellStyle name="Lien hypertexte" xfId="21797" builtinId="8" hidden="1"/>
    <cellStyle name="Lien hypertexte" xfId="22381" builtinId="8" hidden="1"/>
    <cellStyle name="Lien hypertexte" xfId="22967" builtinId="8" hidden="1"/>
    <cellStyle name="Lien hypertexte" xfId="23551" builtinId="8" hidden="1"/>
    <cellStyle name="Lien hypertexte" xfId="24137" builtinId="8" hidden="1"/>
    <cellStyle name="Lien hypertexte" xfId="23841" builtinId="8" hidden="1"/>
    <cellStyle name="Lien hypertexte" xfId="21681" builtinId="8" hidden="1"/>
    <cellStyle name="Lien hypertexte" xfId="21953" builtinId="8" hidden="1"/>
    <cellStyle name="Lien hypertexte" xfId="22225" builtinId="8" hidden="1"/>
    <cellStyle name="Lien hypertexte" xfId="22497" builtinId="8" hidden="1"/>
    <cellStyle name="Lien hypertexte" xfId="22769" builtinId="8" hidden="1"/>
    <cellStyle name="Lien hypertexte" xfId="23041" builtinId="8" hidden="1"/>
    <cellStyle name="Lien hypertexte" xfId="23313" builtinId="8" hidden="1"/>
    <cellStyle name="Lien hypertexte" xfId="23601" builtinId="8" hidden="1"/>
    <cellStyle name="Lien hypertexte" xfId="23873" builtinId="8" hidden="1"/>
    <cellStyle name="Lien hypertexte" xfId="24145" builtinId="8" hidden="1"/>
    <cellStyle name="Lien hypertexte" xfId="24417" builtinId="8" hidden="1"/>
    <cellStyle name="Lien hypertexte" xfId="24601" builtinId="8" hidden="1"/>
    <cellStyle name="Lien hypertexte" xfId="24563" builtinId="8" hidden="1"/>
    <cellStyle name="Lien hypertexte" xfId="24523" builtinId="8" hidden="1"/>
    <cellStyle name="Lien hypertexte" xfId="24485" builtinId="8" hidden="1"/>
    <cellStyle name="Lien hypertexte" xfId="24445" builtinId="8" hidden="1"/>
    <cellStyle name="Lien hypertexte" xfId="24407" builtinId="8" hidden="1"/>
    <cellStyle name="Lien hypertexte" xfId="24367" builtinId="8" hidden="1"/>
    <cellStyle name="Lien hypertexte" xfId="24329" builtinId="8" hidden="1"/>
    <cellStyle name="Lien hypertexte" xfId="24291" builtinId="8" hidden="1"/>
    <cellStyle name="Lien hypertexte" xfId="24251" builtinId="8" hidden="1"/>
    <cellStyle name="Lien hypertexte" xfId="24213" builtinId="8" hidden="1"/>
    <cellStyle name="Lien hypertexte" xfId="24171" builtinId="8" hidden="1"/>
    <cellStyle name="Lien hypertexte" xfId="24133" builtinId="8" hidden="1"/>
    <cellStyle name="Lien hypertexte" xfId="24093" builtinId="8" hidden="1"/>
    <cellStyle name="Lien hypertexte" xfId="24055" builtinId="8" hidden="1"/>
    <cellStyle name="Lien hypertexte" xfId="24015" builtinId="8" hidden="1"/>
    <cellStyle name="Lien hypertexte" xfId="23977" builtinId="8" hidden="1"/>
    <cellStyle name="Lien hypertexte" xfId="23939" builtinId="8" hidden="1"/>
    <cellStyle name="Lien hypertexte" xfId="23899" builtinId="8" hidden="1"/>
    <cellStyle name="Lien hypertexte" xfId="23861" builtinId="8" hidden="1"/>
    <cellStyle name="Lien hypertexte" xfId="23821" builtinId="8" hidden="1"/>
    <cellStyle name="Lien hypertexte" xfId="23783" builtinId="8" hidden="1"/>
    <cellStyle name="Lien hypertexte" xfId="23743" builtinId="8" hidden="1"/>
    <cellStyle name="Lien hypertexte" xfId="23705" builtinId="8" hidden="1"/>
    <cellStyle name="Lien hypertexte" xfId="23667" builtinId="8" hidden="1"/>
    <cellStyle name="Lien hypertexte" xfId="23627" builtinId="8" hidden="1"/>
    <cellStyle name="Lien hypertexte" xfId="23587" builtinId="8" hidden="1"/>
    <cellStyle name="Lien hypertexte" xfId="23547" builtinId="8" hidden="1"/>
    <cellStyle name="Lien hypertexte" xfId="23509" builtinId="8" hidden="1"/>
    <cellStyle name="Lien hypertexte" xfId="23469" builtinId="8" hidden="1"/>
    <cellStyle name="Lien hypertexte" xfId="23431" builtinId="8" hidden="1"/>
    <cellStyle name="Lien hypertexte" xfId="23391" builtinId="8" hidden="1"/>
    <cellStyle name="Lien hypertexte" xfId="23353" builtinId="8" hidden="1"/>
    <cellStyle name="Lien hypertexte" xfId="23315" builtinId="8" hidden="1"/>
    <cellStyle name="Lien hypertexte" xfId="23275" builtinId="8" hidden="1"/>
    <cellStyle name="Lien hypertexte" xfId="23237" builtinId="8" hidden="1"/>
    <cellStyle name="Lien hypertexte" xfId="23197" builtinId="8" hidden="1"/>
    <cellStyle name="Lien hypertexte" xfId="23159" builtinId="8" hidden="1"/>
    <cellStyle name="Lien hypertexte" xfId="23119" builtinId="8" hidden="1"/>
    <cellStyle name="Lien hypertexte" xfId="23081" builtinId="8" hidden="1"/>
    <cellStyle name="Lien hypertexte" xfId="23043" builtinId="8" hidden="1"/>
    <cellStyle name="Lien hypertexte" xfId="23001" builtinId="8" hidden="1"/>
    <cellStyle name="Lien hypertexte" xfId="22963" builtinId="8" hidden="1"/>
    <cellStyle name="Lien hypertexte" xfId="22923" builtinId="8" hidden="1"/>
    <cellStyle name="Lien hypertexte" xfId="22885" builtinId="8" hidden="1"/>
    <cellStyle name="Lien hypertexte" xfId="22845" builtinId="8" hidden="1"/>
    <cellStyle name="Lien hypertexte" xfId="22807" builtinId="8" hidden="1"/>
    <cellStyle name="Lien hypertexte" xfId="22767" builtinId="8" hidden="1"/>
    <cellStyle name="Lien hypertexte" xfId="22729" builtinId="8" hidden="1"/>
    <cellStyle name="Lien hypertexte" xfId="22691" builtinId="8" hidden="1"/>
    <cellStyle name="Lien hypertexte" xfId="22651" builtinId="8" hidden="1"/>
    <cellStyle name="Lien hypertexte" xfId="22613" builtinId="8" hidden="1"/>
    <cellStyle name="Lien hypertexte" xfId="22573" builtinId="8" hidden="1"/>
    <cellStyle name="Lien hypertexte" xfId="22535" builtinId="8" hidden="1"/>
    <cellStyle name="Lien hypertexte" xfId="22495" builtinId="8" hidden="1"/>
    <cellStyle name="Lien hypertexte" xfId="22457" builtinId="8" hidden="1"/>
    <cellStyle name="Lien hypertexte" xfId="22415" builtinId="8" hidden="1"/>
    <cellStyle name="Lien hypertexte" xfId="22377" builtinId="8" hidden="1"/>
    <cellStyle name="Lien hypertexte" xfId="22339" builtinId="8" hidden="1"/>
    <cellStyle name="Lien hypertexte" xfId="22299" builtinId="8" hidden="1"/>
    <cellStyle name="Lien hypertexte" xfId="22261" builtinId="8" hidden="1"/>
    <cellStyle name="Lien hypertexte" xfId="22221" builtinId="8" hidden="1"/>
    <cellStyle name="Lien hypertexte" xfId="22183" builtinId="8" hidden="1"/>
    <cellStyle name="Lien hypertexte" xfId="22143" builtinId="8" hidden="1"/>
    <cellStyle name="Lien hypertexte" xfId="22105" builtinId="8" hidden="1"/>
    <cellStyle name="Lien hypertexte" xfId="22067" builtinId="8" hidden="1"/>
    <cellStyle name="Lien hypertexte" xfId="22027" builtinId="8" hidden="1"/>
    <cellStyle name="Lien hypertexte" xfId="21989" builtinId="8" hidden="1"/>
    <cellStyle name="Lien hypertexte" xfId="21949" builtinId="8" hidden="1"/>
    <cellStyle name="Lien hypertexte" xfId="21911" builtinId="8" hidden="1"/>
    <cellStyle name="Lien hypertexte" xfId="21871" builtinId="8" hidden="1"/>
    <cellStyle name="Lien hypertexte" xfId="21831" builtinId="8" hidden="1"/>
    <cellStyle name="Lien hypertexte" xfId="21791" builtinId="8" hidden="1"/>
    <cellStyle name="Lien hypertexte" xfId="21753" builtinId="8" hidden="1"/>
    <cellStyle name="Lien hypertexte" xfId="20257" builtinId="8" hidden="1"/>
    <cellStyle name="Lien hypertexte" xfId="16020" builtinId="8" hidden="1"/>
    <cellStyle name="Lien hypertexte" xfId="16292" builtinId="8" hidden="1"/>
    <cellStyle name="Lien hypertexte" xfId="16566" builtinId="8" hidden="1"/>
    <cellStyle name="Lien hypertexte" xfId="16838" builtinId="8" hidden="1"/>
    <cellStyle name="Lien hypertexte" xfId="17112" builtinId="8" hidden="1"/>
    <cellStyle name="Lien hypertexte" xfId="17384" builtinId="8" hidden="1"/>
    <cellStyle name="Lien hypertexte" xfId="17658" builtinId="8" hidden="1"/>
    <cellStyle name="Lien hypertexte" xfId="17930" builtinId="8" hidden="1"/>
    <cellStyle name="Lien hypertexte" xfId="18204" builtinId="8" hidden="1"/>
    <cellStyle name="Lien hypertexte" xfId="18493" builtinId="8" hidden="1"/>
    <cellStyle name="Lien hypertexte" xfId="18767" builtinId="8" hidden="1"/>
    <cellStyle name="Lien hypertexte" xfId="14628" builtinId="8" hidden="1"/>
    <cellStyle name="Lien hypertexte" xfId="14892" builtinId="8" hidden="1"/>
    <cellStyle name="Lien hypertexte" xfId="15158" builtinId="8" hidden="1"/>
    <cellStyle name="Lien hypertexte" xfId="15422" builtinId="8" hidden="1"/>
    <cellStyle name="Lien hypertexte" xfId="15686" builtinId="8" hidden="1"/>
    <cellStyle name="Lien hypertexte" xfId="15472" builtinId="8" hidden="1"/>
    <cellStyle name="Lien hypertexte" xfId="884" builtinId="8" hidden="1"/>
    <cellStyle name="Lien hypertexte" xfId="1144" builtinId="8" hidden="1"/>
    <cellStyle name="Lien hypertexte" xfId="468" builtinId="8" hidden="1"/>
    <cellStyle name="Lien hypertexte" xfId="268" builtinId="8" hidden="1"/>
    <cellStyle name="Lien hypertexte" xfId="56" builtinId="8" hidden="1"/>
    <cellStyle name="Lien hypertexte" xfId="118" builtinId="8" hidden="1"/>
    <cellStyle name="Lien hypertexte" xfId="194" builtinId="8" hidden="1"/>
    <cellStyle name="Lien hypertexte" xfId="158" builtinId="8" hidden="1"/>
    <cellStyle name="Lien hypertexte" xfId="344" builtinId="8" hidden="1"/>
    <cellStyle name="Lien hypertexte" xfId="308" builtinId="8" hidden="1"/>
    <cellStyle name="Lien hypertexte" xfId="272" builtinId="8" hidden="1"/>
    <cellStyle name="Lien hypertexte" xfId="234" builtinId="8" hidden="1"/>
    <cellStyle name="Lien hypertexte" xfId="198" builtinId="8" hidden="1"/>
    <cellStyle name="Lien hypertexte" xfId="618" builtinId="8" hidden="1"/>
    <cellStyle name="Lien hypertexte" xfId="582" builtinId="8" hidden="1"/>
    <cellStyle name="Lien hypertexte" xfId="544" builtinId="8" hidden="1"/>
    <cellStyle name="Lien hypertexte" xfId="508" builtinId="8" hidden="1"/>
    <cellStyle name="Lien hypertexte" xfId="472" builtinId="8" hidden="1"/>
    <cellStyle name="Lien hypertexte" xfId="432" builtinId="8" hidden="1"/>
    <cellStyle name="Lien hypertexte" xfId="396" builtinId="8" hidden="1"/>
    <cellStyle name="Lien hypertexte" xfId="360" builtinId="8" hidden="1"/>
    <cellStyle name="Lien hypertexte" xfId="14614" builtinId="8" hidden="1"/>
    <cellStyle name="Lien hypertexte" xfId="14574" builtinId="8" hidden="1"/>
    <cellStyle name="Lien hypertexte" xfId="14538" builtinId="8" hidden="1"/>
    <cellStyle name="Lien hypertexte" xfId="1148" builtinId="8" hidden="1"/>
    <cellStyle name="Lien hypertexte" xfId="1110" builtinId="8" hidden="1"/>
    <cellStyle name="Lien hypertexte" xfId="1072" builtinId="8" hidden="1"/>
    <cellStyle name="Lien hypertexte" xfId="1036" builtinId="8" hidden="1"/>
    <cellStyle name="Lien hypertexte" xfId="1000" builtinId="8" hidden="1"/>
    <cellStyle name="Lien hypertexte" xfId="960" builtinId="8" hidden="1"/>
    <cellStyle name="Lien hypertexte" xfId="924" builtinId="8" hidden="1"/>
    <cellStyle name="Lien hypertexte" xfId="888" builtinId="8" hidden="1"/>
    <cellStyle name="Lien hypertexte" xfId="850" builtinId="8" hidden="1"/>
    <cellStyle name="Lien hypertexte" xfId="812" builtinId="8" hidden="1"/>
    <cellStyle name="Lien hypertexte" xfId="776" builtinId="8" hidden="1"/>
    <cellStyle name="Lien hypertexte" xfId="740" builtinId="8" hidden="1"/>
    <cellStyle name="Lien hypertexte" xfId="700" builtinId="8" hidden="1"/>
    <cellStyle name="Lien hypertexte" xfId="664" builtinId="8" hidden="1"/>
    <cellStyle name="Lien hypertexte" xfId="15344" builtinId="8" hidden="1"/>
    <cellStyle name="Lien hypertexte" xfId="15914" builtinId="8" hidden="1"/>
    <cellStyle name="Lien hypertexte" xfId="15878" builtinId="8" hidden="1"/>
    <cellStyle name="Lien hypertexte" xfId="15840" builtinId="8" hidden="1"/>
    <cellStyle name="Lien hypertexte" xfId="15804" builtinId="8" hidden="1"/>
    <cellStyle name="Lien hypertexte" xfId="15764" builtinId="8" hidden="1"/>
    <cellStyle name="Lien hypertexte" xfId="15726" builtinId="8" hidden="1"/>
    <cellStyle name="Lien hypertexte" xfId="15690" builtinId="8" hidden="1"/>
    <cellStyle name="Lien hypertexte" xfId="15650" builtinId="8" hidden="1"/>
    <cellStyle name="Lien hypertexte" xfId="15614" builtinId="8" hidden="1"/>
    <cellStyle name="Lien hypertexte" xfId="15576" builtinId="8" hidden="1"/>
    <cellStyle name="Lien hypertexte" xfId="15540" builtinId="8" hidden="1"/>
    <cellStyle name="Lien hypertexte" xfId="15500" builtinId="8" hidden="1"/>
    <cellStyle name="Lien hypertexte" xfId="15462" builtinId="8" hidden="1"/>
    <cellStyle name="Lien hypertexte" xfId="15426" builtinId="8" hidden="1"/>
    <cellStyle name="Lien hypertexte" xfId="15386" builtinId="8" hidden="1"/>
    <cellStyle name="Lien hypertexte" xfId="15350" builtinId="8" hidden="1"/>
    <cellStyle name="Lien hypertexte" xfId="15312" builtinId="8" hidden="1"/>
    <cellStyle name="Lien hypertexte" xfId="15274" builtinId="8" hidden="1"/>
    <cellStyle name="Lien hypertexte" xfId="15236" builtinId="8" hidden="1"/>
    <cellStyle name="Lien hypertexte" xfId="15198" builtinId="8" hidden="1"/>
    <cellStyle name="Lien hypertexte" xfId="15162" builtinId="8" hidden="1"/>
    <cellStyle name="Lien hypertexte" xfId="15122" builtinId="8" hidden="1"/>
    <cellStyle name="Lien hypertexte" xfId="15084" builtinId="8" hidden="1"/>
    <cellStyle name="Lien hypertexte" xfId="15048" builtinId="8" hidden="1"/>
    <cellStyle name="Lien hypertexte" xfId="15010" builtinId="8" hidden="1"/>
    <cellStyle name="Lien hypertexte" xfId="14972" builtinId="8" hidden="1"/>
    <cellStyle name="Lien hypertexte" xfId="14934" builtinId="8" hidden="1"/>
    <cellStyle name="Lien hypertexte" xfId="14898" builtinId="8" hidden="1"/>
    <cellStyle name="Lien hypertexte" xfId="14858" builtinId="8" hidden="1"/>
    <cellStyle name="Lien hypertexte" xfId="14820" builtinId="8" hidden="1"/>
    <cellStyle name="Lien hypertexte" xfId="14784" builtinId="8" hidden="1"/>
    <cellStyle name="Lien hypertexte" xfId="14746" builtinId="8" hidden="1"/>
    <cellStyle name="Lien hypertexte" xfId="14708" builtinId="8" hidden="1"/>
    <cellStyle name="Lien hypertexte" xfId="14670" builtinId="8" hidden="1"/>
    <cellStyle name="Lien hypertexte" xfId="14632" builtinId="8" hidden="1"/>
    <cellStyle name="Lien hypertexte" xfId="16464" builtinId="8" hidden="1"/>
    <cellStyle name="Lien hypertexte" xfId="17040" builtinId="8" hidden="1"/>
    <cellStyle name="Lien hypertexte" xfId="17616" builtinId="8" hidden="1"/>
    <cellStyle name="Lien hypertexte" xfId="18192" builtinId="8" hidden="1"/>
    <cellStyle name="Lien hypertexte" xfId="18817" builtinId="8" hidden="1"/>
    <cellStyle name="Lien hypertexte" xfId="18809" builtinId="8" hidden="1"/>
    <cellStyle name="Lien hypertexte" xfId="18771" builtinId="8" hidden="1"/>
    <cellStyle name="Lien hypertexte" xfId="18731" builtinId="8" hidden="1"/>
    <cellStyle name="Lien hypertexte" xfId="18693" builtinId="8" hidden="1"/>
    <cellStyle name="Lien hypertexte" xfId="18653" builtinId="8" hidden="1"/>
    <cellStyle name="Lien hypertexte" xfId="18615" builtinId="8" hidden="1"/>
    <cellStyle name="Lien hypertexte" xfId="18575" builtinId="8" hidden="1"/>
    <cellStyle name="Lien hypertexte" xfId="18537" builtinId="8" hidden="1"/>
    <cellStyle name="Lien hypertexte" xfId="18499" builtinId="8" hidden="1"/>
    <cellStyle name="Lien hypertexte" xfId="18457" builtinId="8" hidden="1"/>
    <cellStyle name="Lien hypertexte" xfId="18419" builtinId="8" hidden="1"/>
    <cellStyle name="Lien hypertexte" xfId="18381" builtinId="8" hidden="1"/>
    <cellStyle name="Lien hypertexte" xfId="18343" builtinId="8" hidden="1"/>
    <cellStyle name="Lien hypertexte" xfId="18284" builtinId="8" hidden="1"/>
    <cellStyle name="Lien hypertexte" xfId="18246" builtinId="8" hidden="1"/>
    <cellStyle name="Lien hypertexte" xfId="18208" builtinId="8" hidden="1"/>
    <cellStyle name="Lien hypertexte" xfId="18168" builtinId="8" hidden="1"/>
    <cellStyle name="Lien hypertexte" xfId="18130" builtinId="8" hidden="1"/>
    <cellStyle name="Lien hypertexte" xfId="18090" builtinId="8" hidden="1"/>
    <cellStyle name="Lien hypertexte" xfId="18052" builtinId="8" hidden="1"/>
    <cellStyle name="Lien hypertexte" xfId="18012" builtinId="8" hidden="1"/>
    <cellStyle name="Lien hypertexte" xfId="17974" builtinId="8" hidden="1"/>
    <cellStyle name="Lien hypertexte" xfId="17934" builtinId="8" hidden="1"/>
    <cellStyle name="Lien hypertexte" xfId="17894" builtinId="8" hidden="1"/>
    <cellStyle name="Lien hypertexte" xfId="17856" builtinId="8" hidden="1"/>
    <cellStyle name="Lien hypertexte" xfId="17818" builtinId="8" hidden="1"/>
    <cellStyle name="Lien hypertexte" xfId="17780" builtinId="8" hidden="1"/>
    <cellStyle name="Lien hypertexte" xfId="17738" builtinId="8" hidden="1"/>
    <cellStyle name="Lien hypertexte" xfId="17700" builtinId="8" hidden="1"/>
    <cellStyle name="Lien hypertexte" xfId="17662" builtinId="8" hidden="1"/>
    <cellStyle name="Lien hypertexte" xfId="17622" builtinId="8" hidden="1"/>
    <cellStyle name="Lien hypertexte" xfId="17582" builtinId="8" hidden="1"/>
    <cellStyle name="Lien hypertexte" xfId="17544" builtinId="8" hidden="1"/>
    <cellStyle name="Lien hypertexte" xfId="17506" builtinId="8" hidden="1"/>
    <cellStyle name="Lien hypertexte" xfId="17466" builtinId="8" hidden="1"/>
    <cellStyle name="Lien hypertexte" xfId="17428" builtinId="8" hidden="1"/>
    <cellStyle name="Lien hypertexte" xfId="17388" builtinId="8" hidden="1"/>
    <cellStyle name="Lien hypertexte" xfId="17348" builtinId="8" hidden="1"/>
    <cellStyle name="Lien hypertexte" xfId="17310" builtinId="8" hidden="1"/>
    <cellStyle name="Lien hypertexte" xfId="17272" builtinId="8" hidden="1"/>
    <cellStyle name="Lien hypertexte" xfId="17234" builtinId="8" hidden="1"/>
    <cellStyle name="Lien hypertexte" xfId="17192" builtinId="8" hidden="1"/>
    <cellStyle name="Lien hypertexte" xfId="17154" builtinId="8" hidden="1"/>
    <cellStyle name="Lien hypertexte" xfId="17116" builtinId="8" hidden="1"/>
    <cellStyle name="Lien hypertexte" xfId="17076" builtinId="8" hidden="1"/>
    <cellStyle name="Lien hypertexte" xfId="17036" builtinId="8" hidden="1"/>
    <cellStyle name="Lien hypertexte" xfId="16998" builtinId="8" hidden="1"/>
    <cellStyle name="Lien hypertexte" xfId="16960" builtinId="8" hidden="1"/>
    <cellStyle name="Lien hypertexte" xfId="16920" builtinId="8" hidden="1"/>
    <cellStyle name="Lien hypertexte" xfId="16882" builtinId="8" hidden="1"/>
    <cellStyle name="Lien hypertexte" xfId="16842" builtinId="8" hidden="1"/>
    <cellStyle name="Lien hypertexte" xfId="16802" builtinId="8" hidden="1"/>
    <cellStyle name="Lien hypertexte" xfId="16764" builtinId="8" hidden="1"/>
    <cellStyle name="Lien hypertexte" xfId="16726" builtinId="8" hidden="1"/>
    <cellStyle name="Lien hypertexte" xfId="16686" builtinId="8" hidden="1"/>
    <cellStyle name="Lien hypertexte" xfId="16646" builtinId="8" hidden="1"/>
    <cellStyle name="Lien hypertexte" xfId="16608" builtinId="8" hidden="1"/>
    <cellStyle name="Lien hypertexte" xfId="16570" builtinId="8" hidden="1"/>
    <cellStyle name="Lien hypertexte" xfId="16530" builtinId="8" hidden="1"/>
    <cellStyle name="Lien hypertexte" xfId="16490" builtinId="8" hidden="1"/>
    <cellStyle name="Lien hypertexte" xfId="16452" builtinId="8" hidden="1"/>
    <cellStyle name="Lien hypertexte" xfId="16414" builtinId="8" hidden="1"/>
    <cellStyle name="Lien hypertexte" xfId="16374" builtinId="8" hidden="1"/>
    <cellStyle name="Lien hypertexte" xfId="16334" builtinId="8" hidden="1"/>
    <cellStyle name="Lien hypertexte" xfId="16296" builtinId="8" hidden="1"/>
    <cellStyle name="Lien hypertexte" xfId="16256" builtinId="8" hidden="1"/>
    <cellStyle name="Lien hypertexte" xfId="16218" builtinId="8" hidden="1"/>
    <cellStyle name="Lien hypertexte" xfId="16180" builtinId="8" hidden="1"/>
    <cellStyle name="Lien hypertexte" xfId="16140" builtinId="8" hidden="1"/>
    <cellStyle name="Lien hypertexte" xfId="16100" builtinId="8" hidden="1"/>
    <cellStyle name="Lien hypertexte" xfId="16062" builtinId="8" hidden="1"/>
    <cellStyle name="Lien hypertexte" xfId="16024" builtinId="8" hidden="1"/>
    <cellStyle name="Lien hypertexte" xfId="15982" builtinId="8" hidden="1"/>
    <cellStyle name="Lien hypertexte" xfId="15944" builtinId="8" hidden="1"/>
    <cellStyle name="Lien hypertexte" xfId="19057" builtinId="8" hidden="1"/>
    <cellStyle name="Lien hypertexte" xfId="19345" builtinId="8" hidden="1"/>
    <cellStyle name="Lien hypertexte" xfId="19649" builtinId="8" hidden="1"/>
    <cellStyle name="Lien hypertexte" xfId="19937" builtinId="8" hidden="1"/>
    <cellStyle name="Lien hypertexte" xfId="20225" builtinId="8" hidden="1"/>
    <cellStyle name="Lien hypertexte" xfId="20529" builtinId="8" hidden="1"/>
    <cellStyle name="Lien hypertexte" xfId="20817" builtinId="8" hidden="1"/>
    <cellStyle name="Lien hypertexte" xfId="21233" builtinId="8" hidden="1"/>
    <cellStyle name="Lien hypertexte" xfId="21057" builtinId="8" hidden="1"/>
    <cellStyle name="Lien hypertexte" xfId="21185" builtinId="8" hidden="1"/>
    <cellStyle name="Lien hypertexte" xfId="21361" builtinId="8" hidden="1"/>
    <cellStyle name="Lien hypertexte" xfId="21489" builtinId="8" hidden="1"/>
    <cellStyle name="Lien hypertexte" xfId="21457" builtinId="8" hidden="1"/>
    <cellStyle name="Lien hypertexte" xfId="20977" builtinId="8" hidden="1"/>
    <cellStyle name="Lien hypertexte" xfId="21169" builtinId="8" hidden="1"/>
    <cellStyle name="Lien hypertexte" xfId="20929" builtinId="8" hidden="1"/>
    <cellStyle name="Lien hypertexte" xfId="20625" builtinId="8" hidden="1"/>
    <cellStyle name="Lien hypertexte" xfId="20337" builtinId="8" hidden="1"/>
    <cellStyle name="Lien hypertexte" xfId="20049" builtinId="8" hidden="1"/>
    <cellStyle name="Lien hypertexte" xfId="19761" builtinId="8" hidden="1"/>
    <cellStyle name="Lien hypertexte" xfId="19457" builtinId="8" hidden="1"/>
    <cellStyle name="Lien hypertexte" xfId="19169" builtinId="8" hidden="1"/>
    <cellStyle name="Lien hypertexte" xfId="18881" builtinId="8" hidden="1"/>
    <cellStyle name="Lien hypertexte" xfId="15970" builtinId="8" hidden="1"/>
    <cellStyle name="Lien hypertexte" xfId="16008" builtinId="8" hidden="1"/>
    <cellStyle name="Lien hypertexte" xfId="16046" builtinId="8" hidden="1"/>
    <cellStyle name="Lien hypertexte" xfId="16086" builtinId="8" hidden="1"/>
    <cellStyle name="Lien hypertexte" xfId="16126" builtinId="8" hidden="1"/>
    <cellStyle name="Lien hypertexte" xfId="16164" builtinId="8" hidden="1"/>
    <cellStyle name="Lien hypertexte" xfId="16202" builtinId="8" hidden="1"/>
    <cellStyle name="Lien hypertexte" xfId="16244" builtinId="8" hidden="1"/>
    <cellStyle name="Lien hypertexte" xfId="16282" builtinId="8" hidden="1"/>
    <cellStyle name="Lien hypertexte" xfId="16320" builtinId="8" hidden="1"/>
    <cellStyle name="Lien hypertexte" xfId="16358" builtinId="8" hidden="1"/>
    <cellStyle name="Lien hypertexte" xfId="16398" builtinId="8" hidden="1"/>
    <cellStyle name="Lien hypertexte" xfId="16438" builtinId="8" hidden="1"/>
    <cellStyle name="Lien hypertexte" xfId="16476" builtinId="8" hidden="1"/>
    <cellStyle name="Lien hypertexte" xfId="16516" builtinId="8" hidden="1"/>
    <cellStyle name="Lien hypertexte" xfId="16554" builtinId="8" hidden="1"/>
    <cellStyle name="Lien hypertexte" xfId="16594" builtinId="8" hidden="1"/>
    <cellStyle name="Lien hypertexte" xfId="16632" builtinId="8" hidden="1"/>
    <cellStyle name="Lien hypertexte" xfId="16672" builtinId="8" hidden="1"/>
    <cellStyle name="Lien hypertexte" xfId="16710" builtinId="8" hidden="1"/>
    <cellStyle name="Lien hypertexte" xfId="16748" builtinId="8" hidden="1"/>
    <cellStyle name="Lien hypertexte" xfId="16790" builtinId="8" hidden="1"/>
    <cellStyle name="Lien hypertexte" xfId="16828" builtinId="8" hidden="1"/>
    <cellStyle name="Lien hypertexte" xfId="16866" builtinId="8" hidden="1"/>
    <cellStyle name="Lien hypertexte" xfId="16904" builtinId="8" hidden="1"/>
    <cellStyle name="Lien hypertexte" xfId="16946" builtinId="8" hidden="1"/>
    <cellStyle name="Lien hypertexte" xfId="16984" builtinId="8" hidden="1"/>
    <cellStyle name="Lien hypertexte" xfId="17022" builtinId="8" hidden="1"/>
    <cellStyle name="Lien hypertexte" xfId="17062" builtinId="8" hidden="1"/>
    <cellStyle name="Lien hypertexte" xfId="17100" builtinId="8" hidden="1"/>
    <cellStyle name="Lien hypertexte" xfId="17140" builtinId="8" hidden="1"/>
    <cellStyle name="Lien hypertexte" xfId="17178" builtinId="8" hidden="1"/>
    <cellStyle name="Lien hypertexte" xfId="17218" builtinId="8" hidden="1"/>
    <cellStyle name="Lien hypertexte" xfId="17256" builtinId="8" hidden="1"/>
    <cellStyle name="Lien hypertexte" xfId="17294" builtinId="8" hidden="1"/>
    <cellStyle name="Lien hypertexte" xfId="17336" builtinId="8" hidden="1"/>
    <cellStyle name="Lien hypertexte" xfId="17374" builtinId="8" hidden="1"/>
    <cellStyle name="Lien hypertexte" xfId="17412" builtinId="8" hidden="1"/>
    <cellStyle name="Lien hypertexte" xfId="17450" builtinId="8" hidden="1"/>
    <cellStyle name="Lien hypertexte" xfId="17492" builtinId="8" hidden="1"/>
    <cellStyle name="Lien hypertexte" xfId="17530" builtinId="8" hidden="1"/>
    <cellStyle name="Lien hypertexte" xfId="17568" builtinId="8" hidden="1"/>
    <cellStyle name="Lien hypertexte" xfId="17608" builtinId="8" hidden="1"/>
    <cellStyle name="Lien hypertexte" xfId="17646" builtinId="8" hidden="1"/>
    <cellStyle name="Lien hypertexte" xfId="17686" builtinId="8" hidden="1"/>
    <cellStyle name="Lien hypertexte" xfId="17724" builtinId="8" hidden="1"/>
    <cellStyle name="Lien hypertexte" xfId="17764" builtinId="8" hidden="1"/>
    <cellStyle name="Lien hypertexte" xfId="17802" builtinId="8" hidden="1"/>
    <cellStyle name="Lien hypertexte" xfId="17842" builtinId="8" hidden="1"/>
    <cellStyle name="Lien hypertexte" xfId="17882" builtinId="8" hidden="1"/>
    <cellStyle name="Lien hypertexte" xfId="17920" builtinId="8" hidden="1"/>
    <cellStyle name="Lien hypertexte" xfId="17958" builtinId="8" hidden="1"/>
    <cellStyle name="Lien hypertexte" xfId="17996" builtinId="8" hidden="1"/>
    <cellStyle name="Lien hypertexte" xfId="18038" builtinId="8" hidden="1"/>
    <cellStyle name="Lien hypertexte" xfId="18076" builtinId="8" hidden="1"/>
    <cellStyle name="Lien hypertexte" xfId="18114" builtinId="8" hidden="1"/>
    <cellStyle name="Lien hypertexte" xfId="18154" builtinId="8" hidden="1"/>
    <cellStyle name="Lien hypertexte" xfId="18194" builtinId="8" hidden="1"/>
    <cellStyle name="Lien hypertexte" xfId="18232" builtinId="8" hidden="1"/>
    <cellStyle name="Lien hypertexte" xfId="18270" builtinId="8" hidden="1"/>
    <cellStyle name="Lien hypertexte" xfId="18327" builtinId="8" hidden="1"/>
    <cellStyle name="Lien hypertexte" xfId="18365" builtinId="8" hidden="1"/>
    <cellStyle name="Lien hypertexte" xfId="18405" builtinId="8" hidden="1"/>
    <cellStyle name="Lien hypertexte" xfId="18445" builtinId="8" hidden="1"/>
    <cellStyle name="Lien hypertexte" xfId="18483" builtinId="8" hidden="1"/>
    <cellStyle name="Lien hypertexte" xfId="18521" builtinId="8" hidden="1"/>
    <cellStyle name="Lien hypertexte" xfId="18559" builtinId="8" hidden="1"/>
    <cellStyle name="Lien hypertexte" xfId="18601" builtinId="8" hidden="1"/>
    <cellStyle name="Lien hypertexte" xfId="18639" builtinId="8" hidden="1"/>
    <cellStyle name="Lien hypertexte" xfId="18677" builtinId="8" hidden="1"/>
    <cellStyle name="Lien hypertexte" xfId="18717" builtinId="8" hidden="1"/>
    <cellStyle name="Lien hypertexte" xfId="18757" builtinId="8" hidden="1"/>
    <cellStyle name="Lien hypertexte" xfId="18795" builtinId="8" hidden="1"/>
    <cellStyle name="Lien hypertexte" xfId="18833" builtinId="8" hidden="1"/>
    <cellStyle name="Lien hypertexte" xfId="18433" builtinId="8" hidden="1"/>
    <cellStyle name="Lien hypertexte" xfId="17840" builtinId="8" hidden="1"/>
    <cellStyle name="Lien hypertexte" xfId="17264" builtinId="8" hidden="1"/>
    <cellStyle name="Lien hypertexte" xfId="16656" builtinId="8" hidden="1"/>
    <cellStyle name="Lien hypertexte" xfId="16080" builtinId="8" hidden="1"/>
    <cellStyle name="Lien hypertexte" xfId="14656" builtinId="8" hidden="1"/>
    <cellStyle name="Lien hypertexte" xfId="14692" builtinId="8" hidden="1"/>
    <cellStyle name="Lien hypertexte" xfId="14732" builtinId="8" hidden="1"/>
    <cellStyle name="Lien hypertexte" xfId="14770" builtinId="8" hidden="1"/>
    <cellStyle name="Lien hypertexte" xfId="14806" builtinId="8" hidden="1"/>
    <cellStyle name="Lien hypertexte" xfId="14846" builtinId="8" hidden="1"/>
    <cellStyle name="Lien hypertexte" xfId="14882" builtinId="8" hidden="1"/>
    <cellStyle name="Lien hypertexte" xfId="14920" builtinId="8" hidden="1"/>
    <cellStyle name="Lien hypertexte" xfId="14956" builtinId="8" hidden="1"/>
    <cellStyle name="Lien hypertexte" xfId="14996" builtinId="8" hidden="1"/>
    <cellStyle name="Lien hypertexte" xfId="15034" builtinId="8" hidden="1"/>
    <cellStyle name="Lien hypertexte" xfId="15070" builtinId="8" hidden="1"/>
    <cellStyle name="Lien hypertexte" xfId="15110" builtinId="8" hidden="1"/>
    <cellStyle name="Lien hypertexte" xfId="15146" builtinId="8" hidden="1"/>
    <cellStyle name="Lien hypertexte" xfId="15184" builtinId="8" hidden="1"/>
    <cellStyle name="Lien hypertexte" xfId="15222" builtinId="8" hidden="1"/>
    <cellStyle name="Lien hypertexte" xfId="15260" builtinId="8" hidden="1"/>
    <cellStyle name="Lien hypertexte" xfId="15298" builtinId="8" hidden="1"/>
    <cellStyle name="Lien hypertexte" xfId="15334" builtinId="8" hidden="1"/>
    <cellStyle name="Lien hypertexte" xfId="15374" builtinId="8" hidden="1"/>
    <cellStyle name="Lien hypertexte" xfId="15412" builtinId="8" hidden="1"/>
    <cellStyle name="Lien hypertexte" xfId="15448" builtinId="8" hidden="1"/>
    <cellStyle name="Lien hypertexte" xfId="15486" builtinId="8" hidden="1"/>
    <cellStyle name="Lien hypertexte" xfId="15524" builtinId="8" hidden="1"/>
    <cellStyle name="Lien hypertexte" xfId="15562" builtinId="8" hidden="1"/>
    <cellStyle name="Lien hypertexte" xfId="15598" builtinId="8" hidden="1"/>
    <cellStyle name="Lien hypertexte" xfId="15638" builtinId="8" hidden="1"/>
    <cellStyle name="Lien hypertexte" xfId="15676" builtinId="8" hidden="1"/>
    <cellStyle name="Lien hypertexte" xfId="15712" builtinId="8" hidden="1"/>
    <cellStyle name="Lien hypertexte" xfId="15750" builtinId="8" hidden="1"/>
    <cellStyle name="Lien hypertexte" xfId="15788" builtinId="8" hidden="1"/>
    <cellStyle name="Lien hypertexte" xfId="15826" builtinId="8" hidden="1"/>
    <cellStyle name="Lien hypertexte" xfId="15864" builtinId="8" hidden="1"/>
    <cellStyle name="Lien hypertexte" xfId="15902" builtinId="8" hidden="1"/>
    <cellStyle name="Lien hypertexte" xfId="15792" builtinId="8" hidden="1"/>
    <cellStyle name="Lien hypertexte" xfId="14640" builtinId="8" hidden="1"/>
    <cellStyle name="Lien hypertexte" xfId="686" builtinId="8" hidden="1"/>
    <cellStyle name="Lien hypertexte" xfId="726" builtinId="8" hidden="1"/>
    <cellStyle name="Lien hypertexte" xfId="762" builtinId="8" hidden="1"/>
    <cellStyle name="Lien hypertexte" xfId="798" builtinId="8" hidden="1"/>
    <cellStyle name="Lien hypertexte" xfId="836" builtinId="8" hidden="1"/>
    <cellStyle name="Lien hypertexte" xfId="874" builtinId="8" hidden="1"/>
    <cellStyle name="Lien hypertexte" xfId="910" builtinId="8" hidden="1"/>
    <cellStyle name="Lien hypertexte" xfId="946" builtinId="8" hidden="1"/>
    <cellStyle name="Lien hypertexte" xfId="986" builtinId="8" hidden="1"/>
    <cellStyle name="Lien hypertexte" xfId="1022" builtinId="8" hidden="1"/>
    <cellStyle name="Lien hypertexte" xfId="1058" builtinId="8" hidden="1"/>
    <cellStyle name="Lien hypertexte" xfId="1098" builtinId="8" hidden="1"/>
    <cellStyle name="Lien hypertexte" xfId="1134" builtinId="8" hidden="1"/>
    <cellStyle name="Lien hypertexte" xfId="14524" builtinId="8" hidden="1"/>
    <cellStyle name="Lien hypertexte" xfId="14560" builtinId="8" hidden="1"/>
    <cellStyle name="Lien hypertexte" xfId="14600" builtinId="8" hidden="1"/>
    <cellStyle name="Lien hypertexte" xfId="710" builtinId="8" hidden="1"/>
    <cellStyle name="Lien hypertexte" xfId="382" builtinId="8" hidden="1"/>
    <cellStyle name="Lien hypertexte" xfId="420" builtinId="8" hidden="1"/>
    <cellStyle name="Lien hypertexte" xfId="458" builtinId="8" hidden="1"/>
    <cellStyle name="Lien hypertexte" xfId="494" builtinId="8" hidden="1"/>
    <cellStyle name="Lien hypertexte" xfId="530" builtinId="8" hidden="1"/>
    <cellStyle name="Lien hypertexte" xfId="568" builtinId="8" hidden="1"/>
    <cellStyle name="Lien hypertexte" xfId="604" builtinId="8" hidden="1"/>
    <cellStyle name="Lien hypertexte" xfId="640" builtinId="8" hidden="1"/>
    <cellStyle name="Lien hypertexte" xfId="222" builtinId="8" hidden="1"/>
    <cellStyle name="Lien hypertexte" xfId="258" builtinId="8" hidden="1"/>
    <cellStyle name="Lien hypertexte" xfId="294" builtinId="8" hidden="1"/>
    <cellStyle name="Lien hypertexte" xfId="330" builtinId="8" hidden="1"/>
    <cellStyle name="Lien hypertexte" xfId="144" builtinId="8" hidden="1"/>
    <cellStyle name="Lien hypertexte" xfId="180" builtinId="8" hidden="1"/>
    <cellStyle name="Lien hypertexte" xfId="104" builtinId="8" hidden="1"/>
    <cellStyle name="Lien hypertexte" xfId="58" builtinId="8" hidden="1"/>
    <cellStyle name="Lien hypertexte" xfId="140" builtinId="8" hidden="1"/>
    <cellStyle name="Lien hypertexte" xfId="564" builtinId="8" hidden="1"/>
    <cellStyle name="Lien hypertexte" xfId="14596" builtinId="8" hidden="1"/>
    <cellStyle name="Lien hypertexte" xfId="982" builtinId="8" hidden="1"/>
    <cellStyle name="Lien hypertexte" xfId="722" builtinId="8" hidden="1"/>
    <cellStyle name="Lien hypertexte" xfId="15784" builtinId="8" hidden="1"/>
    <cellStyle name="Lien hypertexte" xfId="15520" builtinId="8" hidden="1"/>
    <cellStyle name="Lien hypertexte" xfId="15256" builtinId="8" hidden="1"/>
    <cellStyle name="Lien hypertexte" xfId="14992" builtinId="8" hidden="1"/>
    <cellStyle name="Lien hypertexte" xfId="14728" builtinId="8" hidden="1"/>
    <cellStyle name="Lien hypertexte" xfId="18497" builtinId="8" hidden="1"/>
    <cellStyle name="Lien hypertexte" xfId="18597" builtinId="8" hidden="1"/>
    <cellStyle name="Lien hypertexte" xfId="18306" builtinId="8" hidden="1"/>
    <cellStyle name="Lien hypertexte" xfId="18034" builtinId="8" hidden="1"/>
    <cellStyle name="Lien hypertexte" xfId="17760" builtinId="8" hidden="1"/>
    <cellStyle name="Lien hypertexte" xfId="17486" builtinId="8" hidden="1"/>
    <cellStyle name="Lien hypertexte" xfId="17214" builtinId="8" hidden="1"/>
    <cellStyle name="Lien hypertexte" xfId="16940" builtinId="8" hidden="1"/>
    <cellStyle name="Lien hypertexte" xfId="16668" builtinId="8" hidden="1"/>
    <cellStyle name="Lien hypertexte" xfId="16394" builtinId="8" hidden="1"/>
    <cellStyle name="Lien hypertexte" xfId="16122" builtinId="8" hidden="1"/>
    <cellStyle name="Lien hypertexte" xfId="19489" builtinId="8" hidden="1"/>
    <cellStyle name="Lien hypertexte" xfId="21537" builtinId="8" hidden="1"/>
    <cellStyle name="Lien hypertexte" xfId="21779" builtinId="8" hidden="1"/>
    <cellStyle name="Lien hypertexte" xfId="21817" builtinId="8" hidden="1"/>
    <cellStyle name="Lien hypertexte" xfId="21855" builtinId="8" hidden="1"/>
    <cellStyle name="Lien hypertexte" xfId="21895" builtinId="8" hidden="1"/>
    <cellStyle name="Lien hypertexte" xfId="21933" builtinId="8" hidden="1"/>
    <cellStyle name="Lien hypertexte" xfId="21973" builtinId="8" hidden="1"/>
    <cellStyle name="Lien hypertexte" xfId="22011" builtinId="8" hidden="1"/>
    <cellStyle name="Lien hypertexte" xfId="22051" builtinId="8" hidden="1"/>
    <cellStyle name="Lien hypertexte" xfId="22091" builtinId="8" hidden="1"/>
    <cellStyle name="Lien hypertexte" xfId="22131" builtinId="8" hidden="1"/>
    <cellStyle name="Lien hypertexte" xfId="22169" builtinId="8" hidden="1"/>
    <cellStyle name="Lien hypertexte" xfId="22207" builtinId="8" hidden="1"/>
    <cellStyle name="Lien hypertexte" xfId="22247" builtinId="8" hidden="1"/>
    <cellStyle name="Lien hypertexte" xfId="22285" builtinId="8" hidden="1"/>
    <cellStyle name="Lien hypertexte" xfId="22325" builtinId="8" hidden="1"/>
    <cellStyle name="Lien hypertexte" xfId="22363" builtinId="8" hidden="1"/>
    <cellStyle name="Lien hypertexte" xfId="22403" builtinId="8" hidden="1"/>
    <cellStyle name="Lien hypertexte" xfId="22441" builtinId="8" hidden="1"/>
    <cellStyle name="Lien hypertexte" xfId="22479" builtinId="8" hidden="1"/>
    <cellStyle name="Lien hypertexte" xfId="22519" builtinId="8" hidden="1"/>
    <cellStyle name="Lien hypertexte" xfId="22557" builtinId="8" hidden="1"/>
    <cellStyle name="Lien hypertexte" xfId="22597" builtinId="8" hidden="1"/>
    <cellStyle name="Lien hypertexte" xfId="22635" builtinId="8" hidden="1"/>
    <cellStyle name="Lien hypertexte" xfId="22677" builtinId="8" hidden="1"/>
    <cellStyle name="Lien hypertexte" xfId="22715" builtinId="8" hidden="1"/>
    <cellStyle name="Lien hypertexte" xfId="22755" builtinId="8" hidden="1"/>
    <cellStyle name="Lien hypertexte" xfId="22793" builtinId="8" hidden="1"/>
    <cellStyle name="Lien hypertexte" xfId="22831" builtinId="8" hidden="1"/>
    <cellStyle name="Lien hypertexte" xfId="22871" builtinId="8" hidden="1"/>
    <cellStyle name="Lien hypertexte" xfId="22909" builtinId="8" hidden="1"/>
    <cellStyle name="Lien hypertexte" xfId="22949" builtinId="8" hidden="1"/>
    <cellStyle name="Lien hypertexte" xfId="22987" builtinId="8" hidden="1"/>
    <cellStyle name="Lien hypertexte" xfId="23027" builtinId="8" hidden="1"/>
    <cellStyle name="Lien hypertexte" xfId="23065" builtinId="8" hidden="1"/>
    <cellStyle name="Lien hypertexte" xfId="23103" builtinId="8" hidden="1"/>
    <cellStyle name="Lien hypertexte" xfId="23143" builtinId="8" hidden="1"/>
    <cellStyle name="Lien hypertexte" xfId="23181" builtinId="8" hidden="1"/>
    <cellStyle name="Lien hypertexte" xfId="23221" builtinId="8" hidden="1"/>
    <cellStyle name="Lien hypertexte" xfId="23261" builtinId="8" hidden="1"/>
    <cellStyle name="Lien hypertexte" xfId="23301" builtinId="8" hidden="1"/>
    <cellStyle name="Lien hypertexte" xfId="23339" builtinId="8" hidden="1"/>
    <cellStyle name="Lien hypertexte" xfId="23379" builtinId="8" hidden="1"/>
    <cellStyle name="Lien hypertexte" xfId="23417" builtinId="8" hidden="1"/>
    <cellStyle name="Lien hypertexte" xfId="23455" builtinId="8" hidden="1"/>
    <cellStyle name="Lien hypertexte" xfId="23495" builtinId="8" hidden="1"/>
    <cellStyle name="Lien hypertexte" xfId="23533" builtinId="8" hidden="1"/>
    <cellStyle name="Lien hypertexte" xfId="23573" builtinId="8" hidden="1"/>
    <cellStyle name="Lien hypertexte" xfId="23611" builtinId="8" hidden="1"/>
    <cellStyle name="Lien hypertexte" xfId="23651" builtinId="8" hidden="1"/>
    <cellStyle name="Lien hypertexte" xfId="23689" builtinId="8" hidden="1"/>
    <cellStyle name="Lien hypertexte" xfId="23727" builtinId="8" hidden="1"/>
    <cellStyle name="Lien hypertexte" xfId="23767" builtinId="8" hidden="1"/>
    <cellStyle name="Lien hypertexte" xfId="23805" builtinId="8" hidden="1"/>
    <cellStyle name="Lien hypertexte" xfId="23847" builtinId="8" hidden="1"/>
    <cellStyle name="Lien hypertexte" xfId="23885" builtinId="8" hidden="1"/>
    <cellStyle name="Lien hypertexte" xfId="23925" builtinId="8" hidden="1"/>
    <cellStyle name="Lien hypertexte" xfId="23963" builtinId="8" hidden="1"/>
    <cellStyle name="Lien hypertexte" xfId="24003" builtinId="8" hidden="1"/>
    <cellStyle name="Lien hypertexte" xfId="24041" builtinId="8" hidden="1"/>
    <cellStyle name="Lien hypertexte" xfId="24079" builtinId="8" hidden="1"/>
    <cellStyle name="Lien hypertexte" xfId="24119" builtinId="8" hidden="1"/>
    <cellStyle name="Lien hypertexte" xfId="24157" builtinId="8" hidden="1"/>
    <cellStyle name="Lien hypertexte" xfId="24197" builtinId="8" hidden="1"/>
    <cellStyle name="Lien hypertexte" xfId="24235" builtinId="8" hidden="1"/>
    <cellStyle name="Lien hypertexte" xfId="24275" builtinId="8" hidden="1"/>
    <cellStyle name="Lien hypertexte" xfId="24313" builtinId="8" hidden="1"/>
    <cellStyle name="Lien hypertexte" xfId="24351" builtinId="8" hidden="1"/>
    <cellStyle name="Lien hypertexte" xfId="24391" builtinId="8" hidden="1"/>
    <cellStyle name="Lien hypertexte" xfId="24431" builtinId="8" hidden="1"/>
    <cellStyle name="Lien hypertexte" xfId="24471" builtinId="8" hidden="1"/>
    <cellStyle name="Lien hypertexte" xfId="24509" builtinId="8" hidden="1"/>
    <cellStyle name="Lien hypertexte" xfId="24549" builtinId="8" hidden="1"/>
    <cellStyle name="Lien hypertexte" xfId="24587" builtinId="8" hidden="1"/>
    <cellStyle name="Lien hypertexte" xfId="24513" builtinId="8" hidden="1"/>
    <cellStyle name="Lien hypertexte" xfId="24241" builtinId="8" hidden="1"/>
    <cellStyle name="Lien hypertexte" xfId="23969" builtinId="8" hidden="1"/>
    <cellStyle name="Lien hypertexte" xfId="23697" builtinId="8" hidden="1"/>
    <cellStyle name="Lien hypertexte" xfId="23425" builtinId="8" hidden="1"/>
    <cellStyle name="Lien hypertexte" xfId="23153" builtinId="8" hidden="1"/>
    <cellStyle name="Lien hypertexte" xfId="22881" builtinId="8" hidden="1"/>
    <cellStyle name="Lien hypertexte" xfId="22609" builtinId="8" hidden="1"/>
    <cellStyle name="Lien hypertexte" xfId="22337" builtinId="8" hidden="1"/>
    <cellStyle name="Lien hypertexte" xfId="22065" builtinId="8" hidden="1"/>
    <cellStyle name="Lien hypertexte" xfId="21777" builtinId="8" hidden="1"/>
    <cellStyle name="Lien hypertexte" xfId="22305" builtinId="8" hidden="1"/>
    <cellStyle name="Lien hypertexte" xfId="24357" builtinId="8" hidden="1"/>
    <cellStyle name="Lien hypertexte" xfId="23771" builtinId="8" hidden="1"/>
    <cellStyle name="Lien hypertexte" xfId="23187" builtinId="8" hidden="1"/>
    <cellStyle name="Lien hypertexte" xfId="22601" builtinId="8" hidden="1"/>
    <cellStyle name="Lien hypertexte" xfId="22015" builtinId="8" hidden="1"/>
    <cellStyle name="Lien hypertexte" xfId="20267" builtinId="8" hidden="1"/>
    <cellStyle name="Lien hypertexte" xfId="20303" builtinId="8" hidden="1"/>
    <cellStyle name="Lien hypertexte" xfId="20343" builtinId="8" hidden="1"/>
    <cellStyle name="Lien hypertexte" xfId="20379" builtinId="8" hidden="1"/>
    <cellStyle name="Lien hypertexte" xfId="20419" builtinId="8" hidden="1"/>
    <cellStyle name="Lien hypertexte" xfId="20455" builtinId="8" hidden="1"/>
    <cellStyle name="Lien hypertexte" xfId="20493" builtinId="8" hidden="1"/>
    <cellStyle name="Lien hypertexte" xfId="20531" builtinId="8" hidden="1"/>
    <cellStyle name="Lien hypertexte" xfId="20569" builtinId="8" hidden="1"/>
    <cellStyle name="Lien hypertexte" xfId="20605" builtinId="8" hidden="1"/>
    <cellStyle name="Lien hypertexte" xfId="20645" builtinId="8" hidden="1"/>
    <cellStyle name="Lien hypertexte" xfId="20681" builtinId="8" hidden="1"/>
    <cellStyle name="Lien hypertexte" xfId="20719" builtinId="8" hidden="1"/>
    <cellStyle name="Lien hypertexte" xfId="20757" builtinId="8" hidden="1"/>
    <cellStyle name="Lien hypertexte" xfId="20795" builtinId="8" hidden="1"/>
    <cellStyle name="Lien hypertexte" xfId="20831" builtinId="8" hidden="1"/>
    <cellStyle name="Lien hypertexte" xfId="20871" builtinId="8" hidden="1"/>
    <cellStyle name="Lien hypertexte" xfId="20907" builtinId="8" hidden="1"/>
    <cellStyle name="Lien hypertexte" xfId="20947" builtinId="8" hidden="1"/>
    <cellStyle name="Lien hypertexte" xfId="20983" builtinId="8" hidden="1"/>
    <cellStyle name="Lien hypertexte" xfId="21021" builtinId="8" hidden="1"/>
    <cellStyle name="Lien hypertexte" xfId="21059" builtinId="8" hidden="1"/>
    <cellStyle name="Lien hypertexte" xfId="21097" builtinId="8" hidden="1"/>
    <cellStyle name="Lien hypertexte" xfId="21133" builtinId="8" hidden="1"/>
    <cellStyle name="Lien hypertexte" xfId="21173" builtinId="8" hidden="1"/>
    <cellStyle name="Lien hypertexte" xfId="21209" builtinId="8" hidden="1"/>
    <cellStyle name="Lien hypertexte" xfId="21247" builtinId="8" hidden="1"/>
    <cellStyle name="Lien hypertexte" xfId="21287" builtinId="8" hidden="1"/>
    <cellStyle name="Lien hypertexte" xfId="21323" builtinId="8" hidden="1"/>
    <cellStyle name="Lien hypertexte" xfId="21363" builtinId="8" hidden="1"/>
    <cellStyle name="Lien hypertexte" xfId="21399" builtinId="8" hidden="1"/>
    <cellStyle name="Lien hypertexte" xfId="21437" builtinId="8" hidden="1"/>
    <cellStyle name="Lien hypertexte" xfId="21475" builtinId="8" hidden="1"/>
    <cellStyle name="Lien hypertexte" xfId="21513" builtinId="8" hidden="1"/>
    <cellStyle name="Lien hypertexte" xfId="21549" builtinId="8" hidden="1"/>
    <cellStyle name="Lien hypertexte" xfId="21589" builtinId="8" hidden="1"/>
    <cellStyle name="Lien hypertexte" xfId="21625" builtinId="8" hidden="1"/>
    <cellStyle name="Lien hypertexte" xfId="21663" builtinId="8" hidden="1"/>
    <cellStyle name="Lien hypertexte" xfId="21701" builtinId="8" hidden="1"/>
    <cellStyle name="Lien hypertexte" xfId="21739" builtinId="8" hidden="1"/>
    <cellStyle name="Lien hypertexte" xfId="20627" builtinId="8" hidden="1"/>
    <cellStyle name="Lien hypertexte" xfId="19559" builtinId="8" hidden="1"/>
    <cellStyle name="Lien hypertexte" xfId="19595" builtinId="8" hidden="1"/>
    <cellStyle name="Lien hypertexte" xfId="19635" builtinId="8" hidden="1"/>
    <cellStyle name="Lien hypertexte" xfId="19671" builtinId="8" hidden="1"/>
    <cellStyle name="Lien hypertexte" xfId="19707" builtinId="8" hidden="1"/>
    <cellStyle name="Lien hypertexte" xfId="19743" builtinId="8" hidden="1"/>
    <cellStyle name="Lien hypertexte" xfId="19783" builtinId="8" hidden="1"/>
    <cellStyle name="Lien hypertexte" xfId="19819" builtinId="8" hidden="1"/>
    <cellStyle name="Lien hypertexte" xfId="19855" builtinId="8" hidden="1"/>
    <cellStyle name="Lien hypertexte" xfId="19893" builtinId="8" hidden="1"/>
    <cellStyle name="Lien hypertexte" xfId="19931" builtinId="8" hidden="1"/>
    <cellStyle name="Lien hypertexte" xfId="19967" builtinId="8" hidden="1"/>
    <cellStyle name="Lien hypertexte" xfId="20005" builtinId="8" hidden="1"/>
    <cellStyle name="Lien hypertexte" xfId="20043" builtinId="8" hidden="1"/>
    <cellStyle name="Lien hypertexte" xfId="20079" builtinId="8" hidden="1"/>
    <cellStyle name="Lien hypertexte" xfId="20117" builtinId="8" hidden="1"/>
    <cellStyle name="Lien hypertexte" xfId="20153" builtinId="8" hidden="1"/>
    <cellStyle name="Lien hypertexte" xfId="20191" builtinId="8" hidden="1"/>
    <cellStyle name="Lien hypertexte" xfId="20229" builtinId="8" hidden="1"/>
    <cellStyle name="Lien hypertexte" xfId="19195" builtinId="8" hidden="1"/>
    <cellStyle name="Lien hypertexte" xfId="19231" builtinId="8" hidden="1"/>
    <cellStyle name="Lien hypertexte" xfId="19269" builtinId="8" hidden="1"/>
    <cellStyle name="Lien hypertexte" xfId="19305" builtinId="8" hidden="1"/>
    <cellStyle name="Lien hypertexte" xfId="19343" builtinId="8" hidden="1"/>
    <cellStyle name="Lien hypertexte" xfId="19381" builtinId="8" hidden="1"/>
    <cellStyle name="Lien hypertexte" xfId="19417" builtinId="8" hidden="1"/>
    <cellStyle name="Lien hypertexte" xfId="19453" builtinId="8" hidden="1"/>
    <cellStyle name="Lien hypertexte" xfId="19491" builtinId="8" hidden="1"/>
    <cellStyle name="Lien hypertexte" xfId="19527" builtinId="8" hidden="1"/>
    <cellStyle name="Lien hypertexte" xfId="19043" builtinId="8" hidden="1"/>
    <cellStyle name="Lien hypertexte" xfId="19079" builtinId="8" hidden="1"/>
    <cellStyle name="Lien hypertexte" xfId="19115" builtinId="8" hidden="1"/>
    <cellStyle name="Lien hypertexte" xfId="19151" builtinId="8" hidden="1"/>
    <cellStyle name="Lien hypertexte" xfId="18933" builtinId="8" hidden="1"/>
    <cellStyle name="Lien hypertexte" xfId="18969" builtinId="8" hidden="1"/>
    <cellStyle name="Lien hypertexte" xfId="19005" builtinId="8" hidden="1"/>
    <cellStyle name="Lien hypertexte" xfId="18915" builtinId="8" hidden="1"/>
    <cellStyle name="Lien hypertexte" xfId="18887" builtinId="8" hidden="1"/>
    <cellStyle name="Lien hypertexte" xfId="18861" builtinId="8" hidden="1"/>
    <cellStyle name="Lien hypertexte" xfId="18921" builtinId="8" hidden="1"/>
    <cellStyle name="Lien hypertexte" xfId="19013" builtinId="8" hidden="1"/>
    <cellStyle name="Lien hypertexte" xfId="18975" builtinId="8" hidden="1"/>
    <cellStyle name="Lien hypertexte" xfId="18939" builtinId="8" hidden="1"/>
    <cellStyle name="Lien hypertexte" xfId="19159" builtinId="8" hidden="1"/>
    <cellStyle name="Lien hypertexte" xfId="19123" builtinId="8" hidden="1"/>
    <cellStyle name="Lien hypertexte" xfId="19085" builtinId="8" hidden="1"/>
    <cellStyle name="Lien hypertexte" xfId="19049" builtinId="8" hidden="1"/>
    <cellStyle name="Lien hypertexte" xfId="19533" builtinId="8" hidden="1"/>
    <cellStyle name="Lien hypertexte" xfId="19497" builtinId="8" hidden="1"/>
    <cellStyle name="Lien hypertexte" xfId="19461" builtinId="8" hidden="1"/>
    <cellStyle name="Lien hypertexte" xfId="19423" builtinId="8" hidden="1"/>
    <cellStyle name="Lien hypertexte" xfId="19387" builtinId="8" hidden="1"/>
    <cellStyle name="Lien hypertexte" xfId="19351" builtinId="8" hidden="1"/>
    <cellStyle name="Lien hypertexte" xfId="19315" builtinId="8" hidden="1"/>
    <cellStyle name="Lien hypertexte" xfId="19275" builtinId="8" hidden="1"/>
    <cellStyle name="Lien hypertexte" xfId="19239" builtinId="8" hidden="1"/>
    <cellStyle name="Lien hypertexte" xfId="19203" builtinId="8" hidden="1"/>
    <cellStyle name="Lien hypertexte" xfId="20235" builtinId="8" hidden="1"/>
    <cellStyle name="Lien hypertexte" xfId="20199" builtinId="8" hidden="1"/>
    <cellStyle name="Lien hypertexte" xfId="20159" builtinId="8" hidden="1"/>
    <cellStyle name="Lien hypertexte" xfId="20123" builtinId="8" hidden="1"/>
    <cellStyle name="Lien hypertexte" xfId="20087" builtinId="8" hidden="1"/>
    <cellStyle name="Lien hypertexte" xfId="20051" builtinId="8" hidden="1"/>
    <cellStyle name="Lien hypertexte" xfId="20011" builtinId="8" hidden="1"/>
    <cellStyle name="Lien hypertexte" xfId="19975" builtinId="8" hidden="1"/>
    <cellStyle name="Lien hypertexte" xfId="19939" builtinId="8" hidden="1"/>
    <cellStyle name="Lien hypertexte" xfId="19901" builtinId="8" hidden="1"/>
    <cellStyle name="Lien hypertexte" xfId="19863" builtinId="8" hidden="1"/>
    <cellStyle name="Lien hypertexte" xfId="19827" builtinId="8" hidden="1"/>
    <cellStyle name="Lien hypertexte" xfId="19789" builtinId="8" hidden="1"/>
    <cellStyle name="Lien hypertexte" xfId="19753" builtinId="8" hidden="1"/>
    <cellStyle name="Lien hypertexte" xfId="19715" builtinId="8" hidden="1"/>
    <cellStyle name="Lien hypertexte" xfId="19677" builtinId="8" hidden="1"/>
    <cellStyle name="Lien hypertexte" xfId="19641" builtinId="8" hidden="1"/>
    <cellStyle name="Lien hypertexte" xfId="19605" builtinId="8" hidden="1"/>
    <cellStyle name="Lien hypertexte" xfId="19565" builtinId="8" hidden="1"/>
    <cellStyle name="Lien hypertexte" xfId="20407" builtinId="8" hidden="1"/>
    <cellStyle name="Lien hypertexte" xfId="21577" builtinId="8" hidden="1"/>
    <cellStyle name="Lien hypertexte" xfId="21707" builtinId="8" hidden="1"/>
    <cellStyle name="Lien hypertexte" xfId="21671" builtinId="8" hidden="1"/>
    <cellStyle name="Lien hypertexte" xfId="21631" builtinId="8" hidden="1"/>
    <cellStyle name="Lien hypertexte" xfId="21595" builtinId="8" hidden="1"/>
    <cellStyle name="Lien hypertexte" xfId="21557" builtinId="8" hidden="1"/>
    <cellStyle name="Lien hypertexte" xfId="21519" builtinId="8" hidden="1"/>
    <cellStyle name="Lien hypertexte" xfId="21481" builtinId="8" hidden="1"/>
    <cellStyle name="Lien hypertexte" xfId="21445" builtinId="8" hidden="1"/>
    <cellStyle name="Lien hypertexte" xfId="21405" builtinId="8" hidden="1"/>
    <cellStyle name="Lien hypertexte" xfId="21369" builtinId="8" hidden="1"/>
    <cellStyle name="Lien hypertexte" xfId="21331" builtinId="8" hidden="1"/>
    <cellStyle name="Lien hypertexte" xfId="21293" builtinId="8" hidden="1"/>
    <cellStyle name="Lien hypertexte" xfId="21255" builtinId="8" hidden="1"/>
    <cellStyle name="Lien hypertexte" xfId="21219" builtinId="8" hidden="1"/>
    <cellStyle name="Lien hypertexte" xfId="21179" builtinId="8" hidden="1"/>
    <cellStyle name="Lien hypertexte" xfId="21143" builtinId="8" hidden="1"/>
    <cellStyle name="Lien hypertexte" xfId="21103" builtinId="8" hidden="1"/>
    <cellStyle name="Lien hypertexte" xfId="21067" builtinId="8" hidden="1"/>
    <cellStyle name="Lien hypertexte" xfId="21029" builtinId="8" hidden="1"/>
    <cellStyle name="Lien hypertexte" xfId="20989" builtinId="8" hidden="1"/>
    <cellStyle name="Lien hypertexte" xfId="20953" builtinId="8" hidden="1"/>
    <cellStyle name="Lien hypertexte" xfId="20915" builtinId="8" hidden="1"/>
    <cellStyle name="Lien hypertexte" xfId="20877" builtinId="8" hidden="1"/>
    <cellStyle name="Lien hypertexte" xfId="20839" builtinId="8" hidden="1"/>
    <cellStyle name="Lien hypertexte" xfId="20803" builtinId="8" hidden="1"/>
    <cellStyle name="Lien hypertexte" xfId="20763" builtinId="8" hidden="1"/>
    <cellStyle name="Lien hypertexte" xfId="20727" builtinId="8" hidden="1"/>
    <cellStyle name="Lien hypertexte" xfId="20687" builtinId="8" hidden="1"/>
    <cellStyle name="Lien hypertexte" xfId="20651" builtinId="8" hidden="1"/>
    <cellStyle name="Lien hypertexte" xfId="20613" builtinId="8" hidden="1"/>
    <cellStyle name="Lien hypertexte" xfId="20575" builtinId="8" hidden="1"/>
    <cellStyle name="Lien hypertexte" xfId="20537" builtinId="8" hidden="1"/>
    <cellStyle name="Lien hypertexte" xfId="20501" builtinId="8" hidden="1"/>
    <cellStyle name="Lien hypertexte" xfId="20461" builtinId="8" hidden="1"/>
    <cellStyle name="Lien hypertexte" xfId="20425" builtinId="8" hidden="1"/>
    <cellStyle name="Lien hypertexte" xfId="20387" builtinId="8" hidden="1"/>
    <cellStyle name="Lien hypertexte" xfId="20349" builtinId="8" hidden="1"/>
    <cellStyle name="Lien hypertexte" xfId="20311" builtinId="8" hidden="1"/>
    <cellStyle name="Lien hypertexte" xfId="20275" builtinId="8" hidden="1"/>
    <cellStyle name="Lien hypertexte" xfId="21907" builtinId="8" hidden="1"/>
    <cellStyle name="Lien hypertexte" xfId="22491" builtinId="8" hidden="1"/>
    <cellStyle name="Lien hypertexte" xfId="23077" builtinId="8" hidden="1"/>
    <cellStyle name="Lien hypertexte" xfId="23661" builtinId="8" hidden="1"/>
    <cellStyle name="Lien hypertexte" xfId="24247" builtinId="8" hidden="1"/>
    <cellStyle name="Lien hypertexte" xfId="23073" builtinId="8" hidden="1"/>
    <cellStyle name="Lien hypertexte" xfId="21729" builtinId="8" hidden="1"/>
    <cellStyle name="Lien hypertexte" xfId="22001" builtinId="8" hidden="1"/>
    <cellStyle name="Lien hypertexte" xfId="22273" builtinId="8" hidden="1"/>
    <cellStyle name="Lien hypertexte" xfId="22545" builtinId="8" hidden="1"/>
    <cellStyle name="Lien hypertexte" xfId="22833" builtinId="8" hidden="1"/>
    <cellStyle name="Lien hypertexte" xfId="23105" builtinId="8" hidden="1"/>
    <cellStyle name="Lien hypertexte" xfId="23377" builtinId="8" hidden="1"/>
    <cellStyle name="Lien hypertexte" xfId="23649" builtinId="8" hidden="1"/>
    <cellStyle name="Lien hypertexte" xfId="23921" builtinId="8" hidden="1"/>
    <cellStyle name="Lien hypertexte" xfId="24193" builtinId="8" hidden="1"/>
    <cellStyle name="Lien hypertexte" xfId="24465" builtinId="8" hidden="1"/>
    <cellStyle name="Lien hypertexte" xfId="24595" builtinId="8" hidden="1"/>
    <cellStyle name="Lien hypertexte" xfId="24555" builtinId="8" hidden="1"/>
    <cellStyle name="Lien hypertexte" xfId="24517" builtinId="8" hidden="1"/>
    <cellStyle name="Lien hypertexte" xfId="24477" builtinId="8" hidden="1"/>
    <cellStyle name="Lien hypertexte" xfId="24439" builtinId="8" hidden="1"/>
    <cellStyle name="Lien hypertexte" xfId="24399" builtinId="8" hidden="1"/>
    <cellStyle name="Lien hypertexte" xfId="24361" builtinId="8" hidden="1"/>
    <cellStyle name="Lien hypertexte" xfId="24323" builtinId="8" hidden="1"/>
    <cellStyle name="Lien hypertexte" xfId="24281" builtinId="8" hidden="1"/>
    <cellStyle name="Lien hypertexte" xfId="24243" builtinId="8" hidden="1"/>
    <cellStyle name="Lien hypertexte" xfId="24203" builtinId="8" hidden="1"/>
    <cellStyle name="Lien hypertexte" xfId="24165" builtinId="8" hidden="1"/>
    <cellStyle name="Lien hypertexte" xfId="24125" builtinId="8" hidden="1"/>
    <cellStyle name="Lien hypertexte" xfId="24087" builtinId="8" hidden="1"/>
    <cellStyle name="Lien hypertexte" xfId="24047" builtinId="8" hidden="1"/>
    <cellStyle name="Lien hypertexte" xfId="24009" builtinId="8" hidden="1"/>
    <cellStyle name="Lien hypertexte" xfId="23971" builtinId="8" hidden="1"/>
    <cellStyle name="Lien hypertexte" xfId="23931" builtinId="8" hidden="1"/>
    <cellStyle name="Lien hypertexte" xfId="23893" builtinId="8" hidden="1"/>
    <cellStyle name="Lien hypertexte" xfId="23853" builtinId="8" hidden="1"/>
    <cellStyle name="Lien hypertexte" xfId="23815" builtinId="8" hidden="1"/>
    <cellStyle name="Lien hypertexte" xfId="23775" builtinId="8" hidden="1"/>
    <cellStyle name="Lien hypertexte" xfId="23737" builtinId="8" hidden="1"/>
    <cellStyle name="Lien hypertexte" xfId="23695" builtinId="8" hidden="1"/>
    <cellStyle name="Lien hypertexte" xfId="23657" builtinId="8" hidden="1"/>
    <cellStyle name="Lien hypertexte" xfId="23619" builtinId="8" hidden="1"/>
    <cellStyle name="Lien hypertexte" xfId="23579" builtinId="8" hidden="1"/>
    <cellStyle name="Lien hypertexte" xfId="23541" builtinId="8" hidden="1"/>
    <cellStyle name="Lien hypertexte" xfId="23501" builtinId="8" hidden="1"/>
    <cellStyle name="Lien hypertexte" xfId="23463" builtinId="8" hidden="1"/>
    <cellStyle name="Lien hypertexte" xfId="23423" builtinId="8" hidden="1"/>
    <cellStyle name="Lien hypertexte" xfId="23385" builtinId="8" hidden="1"/>
    <cellStyle name="Lien hypertexte" xfId="23347" builtinId="8" hidden="1"/>
    <cellStyle name="Lien hypertexte" xfId="23307" builtinId="8" hidden="1"/>
    <cellStyle name="Lien hypertexte" xfId="23269" builtinId="8" hidden="1"/>
    <cellStyle name="Lien hypertexte" xfId="23229" builtinId="8" hidden="1"/>
    <cellStyle name="Lien hypertexte" xfId="23191" builtinId="8" hidden="1"/>
    <cellStyle name="Lien hypertexte" xfId="23151" builtinId="8" hidden="1"/>
    <cellStyle name="Lien hypertexte" xfId="23111" builtinId="8" hidden="1"/>
    <cellStyle name="Lien hypertexte" xfId="23071" builtinId="8" hidden="1"/>
    <cellStyle name="Lien hypertexte" xfId="23033" builtinId="8" hidden="1"/>
    <cellStyle name="Lien hypertexte" xfId="22995" builtinId="8" hidden="1"/>
    <cellStyle name="Lien hypertexte" xfId="22955" builtinId="8" hidden="1"/>
    <cellStyle name="Lien hypertexte" xfId="22917" builtinId="8" hidden="1"/>
    <cellStyle name="Lien hypertexte" xfId="22877" builtinId="8" hidden="1"/>
    <cellStyle name="Lien hypertexte" xfId="22839" builtinId="8" hidden="1"/>
    <cellStyle name="Lien hypertexte" xfId="22799" builtinId="8" hidden="1"/>
    <cellStyle name="Lien hypertexte" xfId="22761" builtinId="8" hidden="1"/>
    <cellStyle name="Lien hypertexte" xfId="22723" builtinId="8" hidden="1"/>
    <cellStyle name="Lien hypertexte" xfId="22683" builtinId="8" hidden="1"/>
    <cellStyle name="Lien hypertexte" xfId="22645" builtinId="8" hidden="1"/>
    <cellStyle name="Lien hypertexte" xfId="22605" builtinId="8" hidden="1"/>
    <cellStyle name="Lien hypertexte" xfId="22567" builtinId="8" hidden="1"/>
    <cellStyle name="Lien hypertexte" xfId="22525" builtinId="8" hidden="1"/>
    <cellStyle name="Lien hypertexte" xfId="22487" builtinId="8" hidden="1"/>
    <cellStyle name="Lien hypertexte" xfId="22447" builtinId="8" hidden="1"/>
    <cellStyle name="Lien hypertexte" xfId="22409" builtinId="8" hidden="1"/>
    <cellStyle name="Lien hypertexte" xfId="22371" builtinId="8" hidden="1"/>
    <cellStyle name="Lien hypertexte" xfId="22331" builtinId="8" hidden="1"/>
    <cellStyle name="Lien hypertexte" xfId="22293" builtinId="8" hidden="1"/>
    <cellStyle name="Lien hypertexte" xfId="22253" builtinId="8" hidden="1"/>
    <cellStyle name="Lien hypertexte" xfId="22215" builtinId="8" hidden="1"/>
    <cellStyle name="Lien hypertexte" xfId="22175" builtinId="8" hidden="1"/>
    <cellStyle name="Lien hypertexte" xfId="22137" builtinId="8" hidden="1"/>
    <cellStyle name="Lien hypertexte" xfId="22099" builtinId="8" hidden="1"/>
    <cellStyle name="Lien hypertexte" xfId="22059" builtinId="8" hidden="1"/>
    <cellStyle name="Lien hypertexte" xfId="22021" builtinId="8" hidden="1"/>
    <cellStyle name="Lien hypertexte" xfId="21981" builtinId="8" hidden="1"/>
    <cellStyle name="Lien hypertexte" xfId="21941" builtinId="8" hidden="1"/>
    <cellStyle name="Lien hypertexte" xfId="21901" builtinId="8" hidden="1"/>
    <cellStyle name="Lien hypertexte" xfId="21863" builtinId="8" hidden="1"/>
    <cellStyle name="Lien hypertexte" xfId="21823" builtinId="8" hidden="1"/>
    <cellStyle name="Lien hypertexte" xfId="21785" builtinId="8" hidden="1"/>
    <cellStyle name="Lien hypertexte" xfId="21747" builtinId="8" hidden="1"/>
    <cellStyle name="Lien hypertexte" xfId="19873" builtinId="8" hidden="1"/>
    <cellStyle name="Lien hypertexte" xfId="16070" builtinId="8" hidden="1"/>
    <cellStyle name="Lien hypertexte" xfId="16344" builtinId="8" hidden="1"/>
    <cellStyle name="Lien hypertexte" xfId="16616" builtinId="8" hidden="1"/>
    <cellStyle name="Lien hypertexte" xfId="16890" builtinId="8" hidden="1"/>
    <cellStyle name="Lien hypertexte" xfId="17162" builtinId="8" hidden="1"/>
    <cellStyle name="Lien hypertexte" xfId="17436" builtinId="8" hidden="1"/>
    <cellStyle name="Lien hypertexte" xfId="17708" builtinId="8" hidden="1"/>
    <cellStyle name="Lien hypertexte" xfId="17982" builtinId="8" hidden="1"/>
    <cellStyle name="Lien hypertexte" xfId="18254" builtinId="8" hidden="1"/>
    <cellStyle name="Lien hypertexte" xfId="18545" builtinId="8" hidden="1"/>
    <cellStyle name="Lien hypertexte" xfId="18819" builtinId="8" hidden="1"/>
    <cellStyle name="Lien hypertexte" xfId="14678" builtinId="8" hidden="1"/>
    <cellStyle name="Lien hypertexte" xfId="14942" builtinId="8" hidden="1"/>
    <cellStyle name="Lien hypertexte" xfId="15206" builtinId="8" hidden="1"/>
    <cellStyle name="Lien hypertexte" xfId="15470" builtinId="8" hidden="1"/>
    <cellStyle name="Lien hypertexte" xfId="15736" builtinId="8" hidden="1"/>
    <cellStyle name="Lien hypertexte" xfId="672" builtinId="8" hidden="1"/>
    <cellStyle name="Lien hypertexte" xfId="932" builtinId="8" hidden="1"/>
    <cellStyle name="Lien hypertexte" xfId="14546" builtinId="8" hidden="1"/>
    <cellStyle name="Lien hypertexte" xfId="516" builtinId="8" hidden="1"/>
    <cellStyle name="Lien hypertexte" xfId="316" builtinId="8" hidden="1"/>
    <cellStyle name="Lien hypertexte" xfId="64" builtinId="8" hidden="1"/>
    <cellStyle name="Lien hypertexte" xfId="112" builtinId="8" hidden="1"/>
    <cellStyle name="Lien hypertexte" xfId="186" builtinId="8" hidden="1"/>
    <cellStyle name="Lien hypertexte" xfId="150" builtinId="8" hidden="1"/>
    <cellStyle name="Lien hypertexte" xfId="338" builtinId="8" hidden="1"/>
    <cellStyle name="Lien hypertexte" xfId="302" builtinId="8" hidden="1"/>
    <cellStyle name="Lien hypertexte" xfId="264" builtinId="8" hidden="1"/>
    <cellStyle name="Lien hypertexte" xfId="228" builtinId="8" hidden="1"/>
    <cellStyle name="Lien hypertexte" xfId="648" builtinId="8" hidden="1"/>
    <cellStyle name="Lien hypertexte" xfId="610" builtinId="8" hidden="1"/>
    <cellStyle name="Lien hypertexte" xfId="574" builtinId="8" hidden="1"/>
    <cellStyle name="Lien hypertexte" xfId="538" builtinId="8" hidden="1"/>
    <cellStyle name="Lien hypertexte" xfId="502" builtinId="8" hidden="1"/>
    <cellStyle name="Lien hypertexte" xfId="464" builtinId="8" hidden="1"/>
    <cellStyle name="Lien hypertexte" xfId="426" builtinId="8" hidden="1"/>
    <cellStyle name="Lien hypertexte" xfId="390" builtinId="8" hidden="1"/>
    <cellStyle name="Lien hypertexte" xfId="352" builtinId="8" hidden="1"/>
    <cellStyle name="Lien hypertexte" xfId="14606" builtinId="8" hidden="1"/>
    <cellStyle name="Lien hypertexte" xfId="14568" builtinId="8" hidden="1"/>
    <cellStyle name="Lien hypertexte" xfId="14532" builtinId="8" hidden="1"/>
    <cellStyle name="Lien hypertexte" xfId="1140" builtinId="8" hidden="1"/>
    <cellStyle name="Lien hypertexte" xfId="1104" builtinId="8" hidden="1"/>
    <cellStyle name="Lien hypertexte" xfId="1066" builtinId="8" hidden="1"/>
    <cellStyle name="Lien hypertexte" xfId="1028" builtinId="8" hidden="1"/>
    <cellStyle name="Lien hypertexte" xfId="992" builtinId="8" hidden="1"/>
    <cellStyle name="Lien hypertexte" xfId="954" builtinId="8" hidden="1"/>
    <cellStyle name="Lien hypertexte" xfId="918" builtinId="8" hidden="1"/>
    <cellStyle name="Lien hypertexte" xfId="880" builtinId="8" hidden="1"/>
    <cellStyle name="Lien hypertexte" xfId="844" builtinId="8" hidden="1"/>
    <cellStyle name="Lien hypertexte" xfId="806" builtinId="8" hidden="1"/>
    <cellStyle name="Lien hypertexte" xfId="768" builtinId="8" hidden="1"/>
    <cellStyle name="Lien hypertexte" xfId="732" builtinId="8" hidden="1"/>
    <cellStyle name="Lien hypertexte" xfId="694" builtinId="8" hidden="1"/>
    <cellStyle name="Lien hypertexte" xfId="658" builtinId="8" hidden="1"/>
    <cellStyle name="Lien hypertexte" xfId="15600" builtinId="8" hidden="1"/>
    <cellStyle name="Lien hypertexte" xfId="15908" builtinId="8" hidden="1"/>
    <cellStyle name="Lien hypertexte" xfId="15872" builtinId="8" hidden="1"/>
    <cellStyle name="Lien hypertexte" xfId="15832" builtinId="8" hidden="1"/>
    <cellStyle name="Lien hypertexte" xfId="15796" builtinId="8" hidden="1"/>
    <cellStyle name="Lien hypertexte" xfId="15758" builtinId="8" hidden="1"/>
    <cellStyle name="Lien hypertexte" xfId="15720" builtinId="8" hidden="1"/>
    <cellStyle name="Lien hypertexte" xfId="15682" builtinId="8" hidden="1"/>
    <cellStyle name="Lien hypertexte" xfId="15644" builtinId="8" hidden="1"/>
    <cellStyle name="Lien hypertexte" xfId="15608" builtinId="8" hidden="1"/>
    <cellStyle name="Lien hypertexte" xfId="15568" builtinId="8" hidden="1"/>
    <cellStyle name="Lien hypertexte" xfId="15530" builtinId="8" hidden="1"/>
    <cellStyle name="Lien hypertexte" xfId="15494" builtinId="8" hidden="1"/>
    <cellStyle name="Lien hypertexte" xfId="15456" builtinId="8" hidden="1"/>
    <cellStyle name="Lien hypertexte" xfId="15418" builtinId="8" hidden="1"/>
    <cellStyle name="Lien hypertexte" xfId="15380" builtinId="8" hidden="1"/>
    <cellStyle name="Lien hypertexte" xfId="15342" builtinId="8" hidden="1"/>
    <cellStyle name="Lien hypertexte" xfId="15304" builtinId="8" hidden="1"/>
    <cellStyle name="Lien hypertexte" xfId="15266" builtinId="8" hidden="1"/>
    <cellStyle name="Lien hypertexte" xfId="15230" builtinId="8" hidden="1"/>
    <cellStyle name="Lien hypertexte" xfId="15192" builtinId="8" hidden="1"/>
    <cellStyle name="Lien hypertexte" xfId="15154" builtinId="8" hidden="1"/>
    <cellStyle name="Lien hypertexte" xfId="15116" builtinId="8" hidden="1"/>
    <cellStyle name="Lien hypertexte" xfId="15078" builtinId="8" hidden="1"/>
    <cellStyle name="Lien hypertexte" xfId="15040" builtinId="8" hidden="1"/>
    <cellStyle name="Lien hypertexte" xfId="15002" builtinId="8" hidden="1"/>
    <cellStyle name="Lien hypertexte" xfId="14966" builtinId="8" hidden="1"/>
    <cellStyle name="Lien hypertexte" xfId="14928" builtinId="8" hidden="1"/>
    <cellStyle name="Lien hypertexte" xfId="14888" builtinId="8" hidden="1"/>
    <cellStyle name="Lien hypertexte" xfId="14852" builtinId="8" hidden="1"/>
    <cellStyle name="Lien hypertexte" xfId="14814" builtinId="8" hidden="1"/>
    <cellStyle name="Lien hypertexte" xfId="14776" builtinId="8" hidden="1"/>
    <cellStyle name="Lien hypertexte" xfId="14738" builtinId="8" hidden="1"/>
    <cellStyle name="Lien hypertexte" xfId="14700" builtinId="8" hidden="1"/>
    <cellStyle name="Lien hypertexte" xfId="14664" builtinId="8" hidden="1"/>
    <cellStyle name="Lien hypertexte" xfId="15984" builtinId="8" hidden="1"/>
    <cellStyle name="Lien hypertexte" xfId="16560" builtinId="8" hidden="1"/>
    <cellStyle name="Lien hypertexte" xfId="17136" builtinId="8" hidden="1"/>
    <cellStyle name="Lien hypertexte" xfId="17744" builtinId="8" hidden="1"/>
    <cellStyle name="Lien hypertexte" xfId="18337" builtinId="8" hidden="1"/>
    <cellStyle name="Lien hypertexte" xfId="18841" builtinId="8" hidden="1"/>
    <cellStyle name="Lien hypertexte" xfId="18803" builtinId="8" hidden="1"/>
    <cellStyle name="Lien hypertexte" xfId="18763" builtinId="8" hidden="1"/>
    <cellStyle name="Lien hypertexte" xfId="18725" builtinId="8" hidden="1"/>
    <cellStyle name="Lien hypertexte" xfId="18685" builtinId="8" hidden="1"/>
    <cellStyle name="Lien hypertexte" xfId="18645" builtinId="8" hidden="1"/>
    <cellStyle name="Lien hypertexte" xfId="18607" builtinId="8" hidden="1"/>
    <cellStyle name="Lien hypertexte" xfId="18569" builtinId="8" hidden="1"/>
    <cellStyle name="Lien hypertexte" xfId="18531" builtinId="8" hidden="1"/>
    <cellStyle name="Lien hypertexte" xfId="18489" builtinId="8" hidden="1"/>
    <cellStyle name="Lien hypertexte" xfId="18451" builtinId="8" hidden="1"/>
    <cellStyle name="Lien hypertexte" xfId="18413" builtinId="8" hidden="1"/>
    <cellStyle name="Lien hypertexte" xfId="18373" builtinId="8" hidden="1"/>
    <cellStyle name="Lien hypertexte" xfId="18333" builtinId="8" hidden="1"/>
    <cellStyle name="Lien hypertexte" xfId="18278" builtinId="8" hidden="1"/>
    <cellStyle name="Lien hypertexte" xfId="18240" builtinId="8" hidden="1"/>
    <cellStyle name="Lien hypertexte" xfId="18200" builtinId="8" hidden="1"/>
    <cellStyle name="Lien hypertexte" xfId="18162" builtinId="8" hidden="1"/>
    <cellStyle name="Lien hypertexte" xfId="18122" builtinId="8" hidden="1"/>
    <cellStyle name="Lien hypertexte" xfId="18082" builtinId="8" hidden="1"/>
    <cellStyle name="Lien hypertexte" xfId="18044" builtinId="8" hidden="1"/>
    <cellStyle name="Lien hypertexte" xfId="18006" builtinId="8" hidden="1"/>
    <cellStyle name="Lien hypertexte" xfId="17966" builtinId="8" hidden="1"/>
    <cellStyle name="Lien hypertexte" xfId="17926" builtinId="8" hidden="1"/>
    <cellStyle name="Lien hypertexte" xfId="17888" builtinId="8" hidden="1"/>
    <cellStyle name="Lien hypertexte" xfId="17850" builtinId="8" hidden="1"/>
    <cellStyle name="Lien hypertexte" xfId="17810" builtinId="8" hidden="1"/>
    <cellStyle name="Lien hypertexte" xfId="17770" builtinId="8" hidden="1"/>
    <cellStyle name="Lien hypertexte" xfId="17732" builtinId="8" hidden="1"/>
    <cellStyle name="Lien hypertexte" xfId="17694" builtinId="8" hidden="1"/>
    <cellStyle name="Lien hypertexte" xfId="17654" builtinId="8" hidden="1"/>
    <cellStyle name="Lien hypertexte" xfId="17614" builtinId="8" hidden="1"/>
    <cellStyle name="Lien hypertexte" xfId="17576" builtinId="8" hidden="1"/>
    <cellStyle name="Lien hypertexte" xfId="17536" builtinId="8" hidden="1"/>
    <cellStyle name="Lien hypertexte" xfId="17498" builtinId="8" hidden="1"/>
    <cellStyle name="Lien hypertexte" xfId="17460" builtinId="8" hidden="1"/>
    <cellStyle name="Lien hypertexte" xfId="17420" builtinId="8" hidden="1"/>
    <cellStyle name="Lien hypertexte" xfId="17380" builtinId="8" hidden="1"/>
    <cellStyle name="Lien hypertexte" xfId="17342" builtinId="8" hidden="1"/>
    <cellStyle name="Lien hypertexte" xfId="17304" builtinId="8" hidden="1"/>
    <cellStyle name="Lien hypertexte" xfId="17262" builtinId="8" hidden="1"/>
    <cellStyle name="Lien hypertexte" xfId="17224" builtinId="8" hidden="1"/>
    <cellStyle name="Lien hypertexte" xfId="17186" builtinId="8" hidden="1"/>
    <cellStyle name="Lien hypertexte" xfId="17148" builtinId="8" hidden="1"/>
    <cellStyle name="Lien hypertexte" xfId="17108" builtinId="8" hidden="1"/>
    <cellStyle name="Lien hypertexte" xfId="17068" builtinId="8" hidden="1"/>
    <cellStyle name="Lien hypertexte" xfId="17030" builtinId="8" hidden="1"/>
    <cellStyle name="Lien hypertexte" xfId="16990" builtinId="8" hidden="1"/>
    <cellStyle name="Lien hypertexte" xfId="16952" builtinId="8" hidden="1"/>
    <cellStyle name="Lien hypertexte" xfId="16914" builtinId="8" hidden="1"/>
    <cellStyle name="Lien hypertexte" xfId="16874" builtinId="8" hidden="1"/>
    <cellStyle name="Lien hypertexte" xfId="16834" builtinId="8" hidden="1"/>
    <cellStyle name="Lien hypertexte" xfId="16386" builtinId="8" hidden="1"/>
    <cellStyle name="Lien hypertexte" xfId="16424" builtinId="8" hidden="1"/>
    <cellStyle name="Lien hypertexte" xfId="16444" builtinId="8" hidden="1"/>
    <cellStyle name="Lien hypertexte" xfId="16466" builtinId="8" hidden="1"/>
    <cellStyle name="Lien hypertexte" xfId="16504" builtinId="8" hidden="1"/>
    <cellStyle name="Lien hypertexte" xfId="16522" builtinId="8" hidden="1"/>
    <cellStyle name="Lien hypertexte" xfId="16542" builtinId="8" hidden="1"/>
    <cellStyle name="Lien hypertexte" xfId="16580" builtinId="8" hidden="1"/>
    <cellStyle name="Lien hypertexte" xfId="16602" builtinId="8" hidden="1"/>
    <cellStyle name="Lien hypertexte" xfId="16620" builtinId="8" hidden="1"/>
    <cellStyle name="Lien hypertexte" xfId="16660" builtinId="8" hidden="1"/>
    <cellStyle name="Lien hypertexte" xfId="16678" builtinId="8" hidden="1"/>
    <cellStyle name="Lien hypertexte" xfId="16698" builtinId="8" hidden="1"/>
    <cellStyle name="Lien hypertexte" xfId="16738" builtinId="8" hidden="1"/>
    <cellStyle name="Lien hypertexte" xfId="16758" builtinId="8" hidden="1"/>
    <cellStyle name="Lien hypertexte" xfId="16776" builtinId="8" hidden="1"/>
    <cellStyle name="Lien hypertexte" xfId="16814" builtinId="8" hidden="1"/>
    <cellStyle name="Lien hypertexte" xfId="16796" builtinId="8" hidden="1"/>
    <cellStyle name="Lien hypertexte" xfId="16716" builtinId="8" hidden="1"/>
    <cellStyle name="Lien hypertexte" xfId="16640" builtinId="8" hidden="1"/>
    <cellStyle name="Lien hypertexte" xfId="16562" builtinId="8" hidden="1"/>
    <cellStyle name="Lien hypertexte" xfId="16484" builtinId="8" hidden="1"/>
    <cellStyle name="Lien hypertexte" xfId="16406" builtinId="8" hidden="1"/>
    <cellStyle name="Lien hypertexte" xfId="16268" builtinId="8" hidden="1"/>
    <cellStyle name="Lien hypertexte" xfId="16288" builtinId="8" hidden="1"/>
    <cellStyle name="Lien hypertexte" xfId="16308" builtinId="8" hidden="1"/>
    <cellStyle name="Lien hypertexte" xfId="16328" builtinId="8" hidden="1"/>
    <cellStyle name="Lien hypertexte" xfId="16348" builtinId="8" hidden="1"/>
    <cellStyle name="Lien hypertexte" xfId="16366" builtinId="8" hidden="1"/>
    <cellStyle name="Lien hypertexte" xfId="16250" builtinId="8" hidden="1"/>
    <cellStyle name="Lien hypertexte" xfId="16212" builtinId="8" hidden="1"/>
    <cellStyle name="Lien hypertexte" xfId="16230" builtinId="8" hidden="1"/>
    <cellStyle name="Lien hypertexte" xfId="16192" builtinId="8" hidden="1"/>
    <cellStyle name="Lien hypertexte" xfId="16170" builtinId="8" hidden="1"/>
    <cellStyle name="Lien hypertexte visité" xfId="6280" builtinId="9" hidden="1"/>
    <cellStyle name="Lien hypertexte visité" xfId="6152" builtinId="9" hidden="1"/>
    <cellStyle name="Lien hypertexte visité" xfId="6024" builtinId="9" hidden="1"/>
    <cellStyle name="Lien hypertexte visité" xfId="5896" builtinId="9" hidden="1"/>
    <cellStyle name="Lien hypertexte visité" xfId="5768" builtinId="9" hidden="1"/>
    <cellStyle name="Lien hypertexte visité" xfId="5640" builtinId="9" hidden="1"/>
    <cellStyle name="Lien hypertexte visité" xfId="5512" builtinId="9" hidden="1"/>
    <cellStyle name="Lien hypertexte visité" xfId="5384" builtinId="9" hidden="1"/>
    <cellStyle name="Lien hypertexte visité" xfId="5256" builtinId="9" hidden="1"/>
    <cellStyle name="Lien hypertexte visité" xfId="5128" builtinId="9" hidden="1"/>
    <cellStyle name="Lien hypertexte visité" xfId="5000" builtinId="9" hidden="1"/>
    <cellStyle name="Lien hypertexte visité" xfId="4872" builtinId="9" hidden="1"/>
    <cellStyle name="Lien hypertexte visité" xfId="4744" builtinId="9" hidden="1"/>
    <cellStyle name="Lien hypertexte visité" xfId="4616" builtinId="9" hidden="1"/>
    <cellStyle name="Lien hypertexte visité" xfId="4488" builtinId="9" hidden="1"/>
    <cellStyle name="Lien hypertexte visité" xfId="4360" builtinId="9" hidden="1"/>
    <cellStyle name="Lien hypertexte visité" xfId="4232" builtinId="9" hidden="1"/>
    <cellStyle name="Lien hypertexte visité" xfId="4104" builtinId="9" hidden="1"/>
    <cellStyle name="Lien hypertexte visité" xfId="3976" builtinId="9" hidden="1"/>
    <cellStyle name="Lien hypertexte visité" xfId="3851" builtinId="9" hidden="1"/>
    <cellStyle name="Lien hypertexte visité" xfId="3723" builtinId="9" hidden="1"/>
    <cellStyle name="Lien hypertexte visité" xfId="3587" builtinId="9" hidden="1"/>
    <cellStyle name="Lien hypertexte visité" xfId="3458" builtinId="9" hidden="1"/>
    <cellStyle name="Lien hypertexte visité" xfId="3330" builtinId="9" hidden="1"/>
    <cellStyle name="Lien hypertexte visité" xfId="3202" builtinId="9" hidden="1"/>
    <cellStyle name="Lien hypertexte visité" xfId="3074" builtinId="9" hidden="1"/>
    <cellStyle name="Lien hypertexte visité" xfId="2946" builtinId="9" hidden="1"/>
    <cellStyle name="Lien hypertexte visité" xfId="2818" builtinId="9" hidden="1"/>
    <cellStyle name="Lien hypertexte visité" xfId="2690" builtinId="9" hidden="1"/>
    <cellStyle name="Lien hypertexte visité" xfId="2562" builtinId="9" hidden="1"/>
    <cellStyle name="Lien hypertexte visité" xfId="2434" builtinId="9" hidden="1"/>
    <cellStyle name="Lien hypertexte visité" xfId="2306" builtinId="9" hidden="1"/>
    <cellStyle name="Lien hypertexte visité" xfId="2178" builtinId="9" hidden="1"/>
    <cellStyle name="Lien hypertexte visité" xfId="2050" builtinId="9" hidden="1"/>
    <cellStyle name="Lien hypertexte visité" xfId="1922" builtinId="9" hidden="1"/>
    <cellStyle name="Lien hypertexte visité" xfId="1794" builtinId="9" hidden="1"/>
    <cellStyle name="Lien hypertexte visité" xfId="1666" builtinId="9" hidden="1"/>
    <cellStyle name="Lien hypertexte visité" xfId="1538" builtinId="9" hidden="1"/>
    <cellStyle name="Lien hypertexte visité" xfId="1409" builtinId="9" hidden="1"/>
    <cellStyle name="Lien hypertexte visité" xfId="1281" builtinId="9" hidden="1"/>
    <cellStyle name="Lien hypertexte visité" xfId="1143" builtinId="9" hidden="1"/>
    <cellStyle name="Lien hypertexte visité" xfId="887" builtinId="9" hidden="1"/>
    <cellStyle name="Lien hypertexte visité" xfId="631" builtinId="9" hidden="1"/>
    <cellStyle name="Lien hypertexte visité" xfId="375" builtinId="9" hidden="1"/>
    <cellStyle name="Lien hypertexte visité" xfId="119" builtinId="9" hidden="1"/>
    <cellStyle name="Lien hypertexte visité" xfId="75" builtinId="9" hidden="1"/>
    <cellStyle name="Lien hypertexte visité" xfId="363" builtinId="9" hidden="1"/>
    <cellStyle name="Lien hypertexte visité" xfId="619" builtinId="9" hidden="1"/>
    <cellStyle name="Lien hypertexte visité" xfId="9451" builtinId="9" hidden="1"/>
    <cellStyle name="Lien hypertexte visité" xfId="9411" builtinId="9" hidden="1"/>
    <cellStyle name="Lien hypertexte visité" xfId="9371" builtinId="9" hidden="1"/>
    <cellStyle name="Lien hypertexte visité" xfId="9339" builtinId="9" hidden="1"/>
    <cellStyle name="Lien hypertexte visité" xfId="9299" builtinId="9" hidden="1"/>
    <cellStyle name="Lien hypertexte visité" xfId="9267" builtinId="9" hidden="1"/>
    <cellStyle name="Lien hypertexte visité" xfId="9227" builtinId="9" hidden="1"/>
    <cellStyle name="Lien hypertexte visité" xfId="9195" builtinId="9" hidden="1"/>
    <cellStyle name="Lien hypertexte visité" xfId="9155" builtinId="9" hidden="1"/>
    <cellStyle name="Lien hypertexte visité" xfId="9115" builtinId="9" hidden="1"/>
    <cellStyle name="Lien hypertexte visité" xfId="9083" builtinId="9" hidden="1"/>
    <cellStyle name="Lien hypertexte visité" xfId="9043" builtinId="9" hidden="1"/>
    <cellStyle name="Lien hypertexte visité" xfId="9011" builtinId="9" hidden="1"/>
    <cellStyle name="Lien hypertexte visité" xfId="8971" builtinId="9" hidden="1"/>
    <cellStyle name="Lien hypertexte visité" xfId="8939" builtinId="9" hidden="1"/>
    <cellStyle name="Lien hypertexte visité" xfId="8899" builtinId="9" hidden="1"/>
    <cellStyle name="Lien hypertexte visité" xfId="8859" builtinId="9" hidden="1"/>
    <cellStyle name="Lien hypertexte visité" xfId="8827" builtinId="9" hidden="1"/>
    <cellStyle name="Lien hypertexte visité" xfId="8787" builtinId="9" hidden="1"/>
    <cellStyle name="Lien hypertexte visité" xfId="8755" builtinId="9" hidden="1"/>
    <cellStyle name="Lien hypertexte visité" xfId="8715" builtinId="9" hidden="1"/>
    <cellStyle name="Lien hypertexte visité" xfId="8683" builtinId="9" hidden="1"/>
    <cellStyle name="Lien hypertexte visité" xfId="8643" builtinId="9" hidden="1"/>
    <cellStyle name="Lien hypertexte visité" xfId="8603" builtinId="9" hidden="1"/>
    <cellStyle name="Lien hypertexte visité" xfId="8571" builtinId="9" hidden="1"/>
    <cellStyle name="Lien hypertexte visité" xfId="8531" builtinId="9" hidden="1"/>
    <cellStyle name="Lien hypertexte visité" xfId="8499" builtinId="9" hidden="1"/>
    <cellStyle name="Lien hypertexte visité" xfId="8459" builtinId="9" hidden="1"/>
    <cellStyle name="Lien hypertexte visité" xfId="8427" builtinId="9" hidden="1"/>
    <cellStyle name="Lien hypertexte visité" xfId="8387" builtinId="9" hidden="1"/>
    <cellStyle name="Lien hypertexte visité" xfId="8347" builtinId="9" hidden="1"/>
    <cellStyle name="Lien hypertexte visité" xfId="8315" builtinId="9" hidden="1"/>
    <cellStyle name="Lien hypertexte visité" xfId="8275" builtinId="9" hidden="1"/>
    <cellStyle name="Lien hypertexte visité" xfId="8243" builtinId="9" hidden="1"/>
    <cellStyle name="Lien hypertexte visité" xfId="8203" builtinId="9" hidden="1"/>
    <cellStyle name="Lien hypertexte visité" xfId="8171" builtinId="9" hidden="1"/>
    <cellStyle name="Lien hypertexte visité" xfId="8131" builtinId="9" hidden="1"/>
    <cellStyle name="Lien hypertexte visité" xfId="8091" builtinId="9" hidden="1"/>
    <cellStyle name="Lien hypertexte visité" xfId="8059" builtinId="9" hidden="1"/>
    <cellStyle name="Lien hypertexte visité" xfId="8019" builtinId="9" hidden="1"/>
    <cellStyle name="Lien hypertexte visité" xfId="7987" builtinId="9" hidden="1"/>
    <cellStyle name="Lien hypertexte visité" xfId="7947" builtinId="9" hidden="1"/>
    <cellStyle name="Lien hypertexte visité" xfId="7915" builtinId="9" hidden="1"/>
    <cellStyle name="Lien hypertexte visité" xfId="7875" builtinId="9" hidden="1"/>
    <cellStyle name="Lien hypertexte visité" xfId="7835" builtinId="9" hidden="1"/>
    <cellStyle name="Lien hypertexte visité" xfId="7802" builtinId="9" hidden="1"/>
    <cellStyle name="Lien hypertexte visité" xfId="7762" builtinId="9" hidden="1"/>
    <cellStyle name="Lien hypertexte visité" xfId="7730" builtinId="9" hidden="1"/>
    <cellStyle name="Lien hypertexte visité" xfId="7690" builtinId="9" hidden="1"/>
    <cellStyle name="Lien hypertexte visité" xfId="7658" builtinId="9" hidden="1"/>
    <cellStyle name="Lien hypertexte visité" xfId="7618" builtinId="9" hidden="1"/>
    <cellStyle name="Lien hypertexte visité" xfId="7578" builtinId="9" hidden="1"/>
    <cellStyle name="Lien hypertexte visité" xfId="7546" builtinId="9" hidden="1"/>
    <cellStyle name="Lien hypertexte visité" xfId="7506" builtinId="9" hidden="1"/>
    <cellStyle name="Lien hypertexte visité" xfId="7474" builtinId="9" hidden="1"/>
    <cellStyle name="Lien hypertexte visité" xfId="7434" builtinId="9" hidden="1"/>
    <cellStyle name="Lien hypertexte visité" xfId="7402" builtinId="9" hidden="1"/>
    <cellStyle name="Lien hypertexte visité" xfId="7362" builtinId="9" hidden="1"/>
    <cellStyle name="Lien hypertexte visité" xfId="7322" builtinId="9" hidden="1"/>
    <cellStyle name="Lien hypertexte visité" xfId="7290" builtinId="9" hidden="1"/>
    <cellStyle name="Lien hypertexte visité" xfId="7250" builtinId="9" hidden="1"/>
    <cellStyle name="Lien hypertexte visité" xfId="7218" builtinId="9" hidden="1"/>
    <cellStyle name="Lien hypertexte visité" xfId="7178" builtinId="9" hidden="1"/>
    <cellStyle name="Lien hypertexte visité" xfId="7146" builtinId="9" hidden="1"/>
    <cellStyle name="Lien hypertexte visité" xfId="7106" builtinId="9" hidden="1"/>
    <cellStyle name="Lien hypertexte visité" xfId="7066" builtinId="9" hidden="1"/>
    <cellStyle name="Lien hypertexte visité" xfId="7034" builtinId="9" hidden="1"/>
    <cellStyle name="Lien hypertexte visité" xfId="6994" builtinId="9" hidden="1"/>
    <cellStyle name="Lien hypertexte visité" xfId="6962" builtinId="9" hidden="1"/>
    <cellStyle name="Lien hypertexte visité" xfId="6922" builtinId="9" hidden="1"/>
    <cellStyle name="Lien hypertexte visité" xfId="6890" builtinId="9" hidden="1"/>
    <cellStyle name="Lien hypertexte visité" xfId="6850" builtinId="9" hidden="1"/>
    <cellStyle name="Lien hypertexte visité" xfId="6810" builtinId="9" hidden="1"/>
    <cellStyle name="Lien hypertexte visité" xfId="6778" builtinId="9" hidden="1"/>
    <cellStyle name="Lien hypertexte visité" xfId="6738" builtinId="9" hidden="1"/>
    <cellStyle name="Lien hypertexte visité" xfId="6706" builtinId="9" hidden="1"/>
    <cellStyle name="Lien hypertexte visité" xfId="6666" builtinId="9" hidden="1"/>
    <cellStyle name="Lien hypertexte visité" xfId="6634" builtinId="9" hidden="1"/>
    <cellStyle name="Lien hypertexte visité" xfId="6594" builtinId="9" hidden="1"/>
    <cellStyle name="Lien hypertexte visité" xfId="6554" builtinId="9" hidden="1"/>
    <cellStyle name="Lien hypertexte visité" xfId="6522" builtinId="9" hidden="1"/>
    <cellStyle name="Lien hypertexte visité" xfId="6482" builtinId="9" hidden="1"/>
    <cellStyle name="Lien hypertexte visité" xfId="6450" builtinId="9" hidden="1"/>
    <cellStyle name="Lien hypertexte visité" xfId="6410" builtinId="9" hidden="1"/>
    <cellStyle name="Lien hypertexte visité" xfId="6378" builtinId="9" hidden="1"/>
    <cellStyle name="Lien hypertexte visité" xfId="6338" builtinId="9" hidden="1"/>
    <cellStyle name="Lien hypertexte visité" xfId="6298" builtinId="9" hidden="1"/>
    <cellStyle name="Lien hypertexte visité" xfId="6266" builtinId="9" hidden="1"/>
    <cellStyle name="Lien hypertexte visité" xfId="6226" builtinId="9" hidden="1"/>
    <cellStyle name="Lien hypertexte visité" xfId="6194" builtinId="9" hidden="1"/>
    <cellStyle name="Lien hypertexte visité" xfId="6154" builtinId="9" hidden="1"/>
    <cellStyle name="Lien hypertexte visité" xfId="6122" builtinId="9" hidden="1"/>
    <cellStyle name="Lien hypertexte visité" xfId="6082" builtinId="9" hidden="1"/>
    <cellStyle name="Lien hypertexte visité" xfId="6042" builtinId="9" hidden="1"/>
    <cellStyle name="Lien hypertexte visité" xfId="6010" builtinId="9" hidden="1"/>
    <cellStyle name="Lien hypertexte visité" xfId="5970" builtinId="9" hidden="1"/>
    <cellStyle name="Lien hypertexte visité" xfId="5938" builtinId="9" hidden="1"/>
    <cellStyle name="Lien hypertexte visité" xfId="5898" builtinId="9" hidden="1"/>
    <cellStyle name="Lien hypertexte visité" xfId="5866" builtinId="9" hidden="1"/>
    <cellStyle name="Lien hypertexte visité" xfId="5826" builtinId="9" hidden="1"/>
    <cellStyle name="Lien hypertexte visité" xfId="5786" builtinId="9" hidden="1"/>
    <cellStyle name="Lien hypertexte visité" xfId="5754" builtinId="9" hidden="1"/>
    <cellStyle name="Lien hypertexte visité" xfId="5714" builtinId="9" hidden="1"/>
    <cellStyle name="Lien hypertexte visité" xfId="5682" builtinId="9" hidden="1"/>
    <cellStyle name="Lien hypertexte visité" xfId="5642" builtinId="9" hidden="1"/>
    <cellStyle name="Lien hypertexte visité" xfId="5610" builtinId="9" hidden="1"/>
    <cellStyle name="Lien hypertexte visité" xfId="5570" builtinId="9" hidden="1"/>
    <cellStyle name="Lien hypertexte visité" xfId="5530" builtinId="9" hidden="1"/>
    <cellStyle name="Lien hypertexte visité" xfId="5498" builtinId="9" hidden="1"/>
    <cellStyle name="Lien hypertexte visité" xfId="5458" builtinId="9" hidden="1"/>
    <cellStyle name="Lien hypertexte visité" xfId="5426" builtinId="9" hidden="1"/>
    <cellStyle name="Lien hypertexte visité" xfId="5386" builtinId="9" hidden="1"/>
    <cellStyle name="Lien hypertexte visité" xfId="5354" builtinId="9" hidden="1"/>
    <cellStyle name="Lien hypertexte visité" xfId="5314" builtinId="9" hidden="1"/>
    <cellStyle name="Lien hypertexte visité" xfId="5274" builtinId="9" hidden="1"/>
    <cellStyle name="Lien hypertexte visité" xfId="5242" builtinId="9" hidden="1"/>
    <cellStyle name="Lien hypertexte visité" xfId="5202" builtinId="9" hidden="1"/>
    <cellStyle name="Lien hypertexte visité" xfId="5170" builtinId="9" hidden="1"/>
    <cellStyle name="Lien hypertexte visité" xfId="5130" builtinId="9" hidden="1"/>
    <cellStyle name="Lien hypertexte visité" xfId="5098" builtinId="9" hidden="1"/>
    <cellStyle name="Lien hypertexte visité" xfId="5058" builtinId="9" hidden="1"/>
    <cellStyle name="Lien hypertexte visité" xfId="5018" builtinId="9" hidden="1"/>
    <cellStyle name="Lien hypertexte visité" xfId="4986" builtinId="9" hidden="1"/>
    <cellStyle name="Lien hypertexte visité" xfId="4946" builtinId="9" hidden="1"/>
    <cellStyle name="Lien hypertexte visité" xfId="4914" builtinId="9" hidden="1"/>
    <cellStyle name="Lien hypertexte visité" xfId="4874" builtinId="9" hidden="1"/>
    <cellStyle name="Lien hypertexte visité" xfId="4842" builtinId="9" hidden="1"/>
    <cellStyle name="Lien hypertexte visité" xfId="4802" builtinId="9" hidden="1"/>
    <cellStyle name="Lien hypertexte visité" xfId="4762" builtinId="9" hidden="1"/>
    <cellStyle name="Lien hypertexte visité" xfId="4730" builtinId="9" hidden="1"/>
    <cellStyle name="Lien hypertexte visité" xfId="4690" builtinId="9" hidden="1"/>
    <cellStyle name="Lien hypertexte visité" xfId="4658" builtinId="9" hidden="1"/>
    <cellStyle name="Lien hypertexte visité" xfId="4618" builtinId="9" hidden="1"/>
    <cellStyle name="Lien hypertexte visité" xfId="4586" builtinId="9" hidden="1"/>
    <cellStyle name="Lien hypertexte visité" xfId="4546" builtinId="9" hidden="1"/>
    <cellStyle name="Lien hypertexte visité" xfId="4506" builtinId="9" hidden="1"/>
    <cellStyle name="Lien hypertexte visité" xfId="4474" builtinId="9" hidden="1"/>
    <cellStyle name="Lien hypertexte visité" xfId="4434" builtinId="9" hidden="1"/>
    <cellStyle name="Lien hypertexte visité" xfId="4402" builtinId="9" hidden="1"/>
    <cellStyle name="Lien hypertexte visité" xfId="4362" builtinId="9" hidden="1"/>
    <cellStyle name="Lien hypertexte visité" xfId="4330" builtinId="9" hidden="1"/>
    <cellStyle name="Lien hypertexte visité" xfId="4290" builtinId="9" hidden="1"/>
    <cellStyle name="Lien hypertexte visité" xfId="4250" builtinId="9" hidden="1"/>
    <cellStyle name="Lien hypertexte visité" xfId="4218" builtinId="9" hidden="1"/>
    <cellStyle name="Lien hypertexte visité" xfId="4178" builtinId="9" hidden="1"/>
    <cellStyle name="Lien hypertexte visité" xfId="4146" builtinId="9" hidden="1"/>
    <cellStyle name="Lien hypertexte visité" xfId="4106" builtinId="9" hidden="1"/>
    <cellStyle name="Lien hypertexte visité" xfId="4074" builtinId="9" hidden="1"/>
    <cellStyle name="Lien hypertexte visité" xfId="4034" builtinId="9" hidden="1"/>
    <cellStyle name="Lien hypertexte visité" xfId="3994" builtinId="9" hidden="1"/>
    <cellStyle name="Lien hypertexte visité" xfId="3962" builtinId="9" hidden="1"/>
    <cellStyle name="Lien hypertexte visité" xfId="1157" builtinId="9" hidden="1"/>
    <cellStyle name="Lien hypertexte visité" xfId="3894" builtinId="9" hidden="1"/>
    <cellStyle name="Lien hypertexte visité" xfId="3853" builtinId="9" hidden="1"/>
    <cellStyle name="Lien hypertexte visité" xfId="3821" builtinId="9" hidden="1"/>
    <cellStyle name="Lien hypertexte visité" xfId="3781" builtinId="9" hidden="1"/>
    <cellStyle name="Lien hypertexte visité" xfId="3741" builtinId="9" hidden="1"/>
    <cellStyle name="Lien hypertexte visité" xfId="3709" builtinId="9" hidden="1"/>
    <cellStyle name="Lien hypertexte visité" xfId="3666" builtinId="9" hidden="1"/>
    <cellStyle name="Lien hypertexte visité" xfId="3629" builtinId="9" hidden="1"/>
    <cellStyle name="Lien hypertexte visité" xfId="3589" builtinId="9" hidden="1"/>
    <cellStyle name="Lien hypertexte visité" xfId="3556" builtinId="9" hidden="1"/>
    <cellStyle name="Lien hypertexte visité" xfId="3516" builtinId="9" hidden="1"/>
    <cellStyle name="Lien hypertexte visité" xfId="3476" builtinId="9" hidden="1"/>
    <cellStyle name="Lien hypertexte visité" xfId="3444" builtinId="9" hidden="1"/>
    <cellStyle name="Lien hypertexte visité" xfId="3404" builtinId="9" hidden="1"/>
    <cellStyle name="Lien hypertexte visité" xfId="3372" builtinId="9" hidden="1"/>
    <cellStyle name="Lien hypertexte visité" xfId="3332" builtinId="9" hidden="1"/>
    <cellStyle name="Lien hypertexte visité" xfId="3300" builtinId="9" hidden="1"/>
    <cellStyle name="Lien hypertexte visité" xfId="3260" builtinId="9" hidden="1"/>
    <cellStyle name="Lien hypertexte visité" xfId="3220" builtinId="9" hidden="1"/>
    <cellStyle name="Lien hypertexte visité" xfId="3188" builtinId="9" hidden="1"/>
    <cellStyle name="Lien hypertexte visité" xfId="3148" builtinId="9" hidden="1"/>
    <cellStyle name="Lien hypertexte visité" xfId="3116" builtinId="9" hidden="1"/>
    <cellStyle name="Lien hypertexte visité" xfId="3076" builtinId="9" hidden="1"/>
    <cellStyle name="Lien hypertexte visité" xfId="3044" builtinId="9" hidden="1"/>
    <cellStyle name="Lien hypertexte visité" xfId="3004" builtinId="9" hidden="1"/>
    <cellStyle name="Lien hypertexte visité" xfId="2964" builtinId="9" hidden="1"/>
    <cellStyle name="Lien hypertexte visité" xfId="2932" builtinId="9" hidden="1"/>
    <cellStyle name="Lien hypertexte visité" xfId="2892" builtinId="9" hidden="1"/>
    <cellStyle name="Lien hypertexte visité" xfId="2860" builtinId="9" hidden="1"/>
    <cellStyle name="Lien hypertexte visité" xfId="2820" builtinId="9" hidden="1"/>
    <cellStyle name="Lien hypertexte visité" xfId="2788" builtinId="9" hidden="1"/>
    <cellStyle name="Lien hypertexte visité" xfId="2748" builtinId="9" hidden="1"/>
    <cellStyle name="Lien hypertexte visité" xfId="2708" builtinId="9" hidden="1"/>
    <cellStyle name="Lien hypertexte visité" xfId="2676" builtinId="9" hidden="1"/>
    <cellStyle name="Lien hypertexte visité" xfId="2636" builtinId="9" hidden="1"/>
    <cellStyle name="Lien hypertexte visité" xfId="2604" builtinId="9" hidden="1"/>
    <cellStyle name="Lien hypertexte visité" xfId="2564" builtinId="9" hidden="1"/>
    <cellStyle name="Lien hypertexte visité" xfId="2532" builtinId="9" hidden="1"/>
    <cellStyle name="Lien hypertexte visité" xfId="2492" builtinId="9" hidden="1"/>
    <cellStyle name="Lien hypertexte visité" xfId="2452" builtinId="9" hidden="1"/>
    <cellStyle name="Lien hypertexte visité" xfId="2420" builtinId="9" hidden="1"/>
    <cellStyle name="Lien hypertexte visité" xfId="2380" builtinId="9" hidden="1"/>
    <cellStyle name="Lien hypertexte visité" xfId="2348" builtinId="9" hidden="1"/>
    <cellStyle name="Lien hypertexte visité" xfId="2308" builtinId="9" hidden="1"/>
    <cellStyle name="Lien hypertexte visité" xfId="2276" builtinId="9" hidden="1"/>
    <cellStyle name="Lien hypertexte visité" xfId="2236" builtinId="9" hidden="1"/>
    <cellStyle name="Lien hypertexte visité" xfId="2196" builtinId="9" hidden="1"/>
    <cellStyle name="Lien hypertexte visité" xfId="2164" builtinId="9" hidden="1"/>
    <cellStyle name="Lien hypertexte visité" xfId="2124" builtinId="9" hidden="1"/>
    <cellStyle name="Lien hypertexte visité" xfId="2092" builtinId="9" hidden="1"/>
    <cellStyle name="Lien hypertexte visité" xfId="2052" builtinId="9" hidden="1"/>
    <cellStyle name="Lien hypertexte visité" xfId="2020" builtinId="9" hidden="1"/>
    <cellStyle name="Lien hypertexte visité" xfId="1980" builtinId="9" hidden="1"/>
    <cellStyle name="Lien hypertexte visité" xfId="1940" builtinId="9" hidden="1"/>
    <cellStyle name="Lien hypertexte visité" xfId="1908" builtinId="9" hidden="1"/>
    <cellStyle name="Lien hypertexte visité" xfId="1868" builtinId="9" hidden="1"/>
    <cellStyle name="Lien hypertexte visité" xfId="1836" builtinId="9" hidden="1"/>
    <cellStyle name="Lien hypertexte visité" xfId="1796" builtinId="9" hidden="1"/>
    <cellStyle name="Lien hypertexte visité" xfId="1764" builtinId="9" hidden="1"/>
    <cellStyle name="Lien hypertexte visité" xfId="1724" builtinId="9" hidden="1"/>
    <cellStyle name="Lien hypertexte visité" xfId="1684" builtinId="9" hidden="1"/>
    <cellStyle name="Lien hypertexte visité" xfId="1652" builtinId="9" hidden="1"/>
    <cellStyle name="Lien hypertexte visité" xfId="1612" builtinId="9" hidden="1"/>
    <cellStyle name="Lien hypertexte visité" xfId="1580" builtinId="9" hidden="1"/>
    <cellStyle name="Lien hypertexte visité" xfId="1540" builtinId="9" hidden="1"/>
    <cellStyle name="Lien hypertexte visité" xfId="1508" builtinId="9" hidden="1"/>
    <cellStyle name="Lien hypertexte visité" xfId="1467" builtinId="9" hidden="1"/>
    <cellStyle name="Lien hypertexte visité" xfId="1427" builtinId="9" hidden="1"/>
    <cellStyle name="Lien hypertexte visité" xfId="1395" builtinId="9" hidden="1"/>
    <cellStyle name="Lien hypertexte visité" xfId="1355" builtinId="9" hidden="1"/>
    <cellStyle name="Lien hypertexte visité" xfId="1323" builtinId="9" hidden="1"/>
    <cellStyle name="Lien hypertexte visité" xfId="1283" builtinId="9" hidden="1"/>
    <cellStyle name="Lien hypertexte visité" xfId="1251" builtinId="9" hidden="1"/>
    <cellStyle name="Lien hypertexte visité" xfId="1211" builtinId="9" hidden="1"/>
    <cellStyle name="Lien hypertexte visité" xfId="1171" builtinId="9" hidden="1"/>
    <cellStyle name="Lien hypertexte visité" xfId="1115" builtinId="9" hidden="1"/>
    <cellStyle name="Lien hypertexte visité" xfId="1035" builtinId="9" hidden="1"/>
    <cellStyle name="Lien hypertexte visité" xfId="971" builtinId="9" hidden="1"/>
    <cellStyle name="Lien hypertexte visité" xfId="891" builtinId="9" hidden="1"/>
    <cellStyle name="Lien hypertexte visité" xfId="827" builtinId="9" hidden="1"/>
    <cellStyle name="Lien hypertexte visité" xfId="747" builtinId="9" hidden="1"/>
    <cellStyle name="Lien hypertexte visité" xfId="667" builtinId="9" hidden="1"/>
    <cellStyle name="Lien hypertexte visité" xfId="811" builtinId="9" hidden="1"/>
    <cellStyle name="Lien hypertexte visité" xfId="1243" builtinId="9" hidden="1"/>
    <cellStyle name="Lien hypertexte visité" xfId="1500" builtinId="9" hidden="1"/>
    <cellStyle name="Lien hypertexte visité" xfId="1756" builtinId="9" hidden="1"/>
    <cellStyle name="Lien hypertexte visité" xfId="2012" builtinId="9" hidden="1"/>
    <cellStyle name="Lien hypertexte visité" xfId="2268" builtinId="9" hidden="1"/>
    <cellStyle name="Lien hypertexte visité" xfId="2524" builtinId="9" hidden="1"/>
    <cellStyle name="Lien hypertexte visité" xfId="2780" builtinId="9" hidden="1"/>
    <cellStyle name="Lien hypertexte visité" xfId="3036" builtinId="9" hidden="1"/>
    <cellStyle name="Lien hypertexte visité" xfId="3292" builtinId="9" hidden="1"/>
    <cellStyle name="Lien hypertexte visité" xfId="3548" builtinId="9" hidden="1"/>
    <cellStyle name="Lien hypertexte visité" xfId="3813" builtinId="9" hidden="1"/>
    <cellStyle name="Lien hypertexte visité" xfId="4066" builtinId="9" hidden="1"/>
    <cellStyle name="Lien hypertexte visité" xfId="4322" builtinId="9" hidden="1"/>
    <cellStyle name="Lien hypertexte visité" xfId="4578" builtinId="9" hidden="1"/>
    <cellStyle name="Lien hypertexte visité" xfId="4834" builtinId="9" hidden="1"/>
    <cellStyle name="Lien hypertexte visité" xfId="5090" builtinId="9" hidden="1"/>
    <cellStyle name="Lien hypertexte visité" xfId="5346" builtinId="9" hidden="1"/>
    <cellStyle name="Lien hypertexte visité" xfId="5602" builtinId="9" hidden="1"/>
    <cellStyle name="Lien hypertexte visité" xfId="5858" builtinId="9" hidden="1"/>
    <cellStyle name="Lien hypertexte visité" xfId="6114" builtinId="9" hidden="1"/>
    <cellStyle name="Lien hypertexte visité" xfId="6370" builtinId="9" hidden="1"/>
    <cellStyle name="Lien hypertexte visité" xfId="6626" builtinId="9" hidden="1"/>
    <cellStyle name="Lien hypertexte visité" xfId="6882" builtinId="9" hidden="1"/>
    <cellStyle name="Lien hypertexte visité" xfId="7138" builtinId="9" hidden="1"/>
    <cellStyle name="Lien hypertexte visité" xfId="7394" builtinId="9" hidden="1"/>
    <cellStyle name="Lien hypertexte visité" xfId="7650" builtinId="9" hidden="1"/>
    <cellStyle name="Lien hypertexte visité" xfId="7907" builtinId="9" hidden="1"/>
    <cellStyle name="Lien hypertexte visité" xfId="8163" builtinId="9" hidden="1"/>
    <cellStyle name="Lien hypertexte visité" xfId="8419" builtinId="9" hidden="1"/>
    <cellStyle name="Lien hypertexte visité" xfId="8675" builtinId="9" hidden="1"/>
    <cellStyle name="Lien hypertexte visité" xfId="8931" builtinId="9" hidden="1"/>
    <cellStyle name="Lien hypertexte visité" xfId="9187" builtinId="9" hidden="1"/>
    <cellStyle name="Lien hypertexte visité" xfId="9443" builtinId="9" hidden="1"/>
    <cellStyle name="Lien hypertexte visité" xfId="12883" builtinId="9" hidden="1"/>
    <cellStyle name="Lien hypertexte visité" xfId="12851" builtinId="9" hidden="1"/>
    <cellStyle name="Lien hypertexte visité" xfId="12811" builtinId="9" hidden="1"/>
    <cellStyle name="Lien hypertexte visité" xfId="12779" builtinId="9" hidden="1"/>
    <cellStyle name="Lien hypertexte visité" xfId="12747" builtinId="9" hidden="1"/>
    <cellStyle name="Lien hypertexte visité" xfId="12715" builtinId="9" hidden="1"/>
    <cellStyle name="Lien hypertexte visité" xfId="12675" builtinId="9" hidden="1"/>
    <cellStyle name="Lien hypertexte visité" xfId="12643" builtinId="9" hidden="1"/>
    <cellStyle name="Lien hypertexte visité" xfId="12611" builtinId="9" hidden="1"/>
    <cellStyle name="Lien hypertexte visité" xfId="12571" builtinId="9" hidden="1"/>
    <cellStyle name="Lien hypertexte visité" xfId="12539" builtinId="9" hidden="1"/>
    <cellStyle name="Lien hypertexte visité" xfId="12507" builtinId="9" hidden="1"/>
    <cellStyle name="Lien hypertexte visité" xfId="12475" builtinId="9" hidden="1"/>
    <cellStyle name="Lien hypertexte visité" xfId="12435" builtinId="9" hidden="1"/>
    <cellStyle name="Lien hypertexte visité" xfId="12403" builtinId="9" hidden="1"/>
    <cellStyle name="Lien hypertexte visité" xfId="12371" builtinId="9" hidden="1"/>
    <cellStyle name="Lien hypertexte visité" xfId="12339" builtinId="9" hidden="1"/>
    <cellStyle name="Lien hypertexte visité" xfId="12299" builtinId="9" hidden="1"/>
    <cellStyle name="Lien hypertexte visité" xfId="12267" builtinId="9" hidden="1"/>
    <cellStyle name="Lien hypertexte visité" xfId="12235" builtinId="9" hidden="1"/>
    <cellStyle name="Lien hypertexte visité" xfId="12203" builtinId="9" hidden="1"/>
    <cellStyle name="Lien hypertexte visité" xfId="12163" builtinId="9" hidden="1"/>
    <cellStyle name="Lien hypertexte visité" xfId="12131" builtinId="9" hidden="1"/>
    <cellStyle name="Lien hypertexte visité" xfId="12099" builtinId="9" hidden="1"/>
    <cellStyle name="Lien hypertexte visité" xfId="12059" builtinId="9" hidden="1"/>
    <cellStyle name="Lien hypertexte visité" xfId="12027" builtinId="9" hidden="1"/>
    <cellStyle name="Lien hypertexte visité" xfId="11995" builtinId="9" hidden="1"/>
    <cellStyle name="Lien hypertexte visité" xfId="11963" builtinId="9" hidden="1"/>
    <cellStyle name="Lien hypertexte visité" xfId="11923" builtinId="9" hidden="1"/>
    <cellStyle name="Lien hypertexte visité" xfId="11891" builtinId="9" hidden="1"/>
    <cellStyle name="Lien hypertexte visité" xfId="11859" builtinId="9" hidden="1"/>
    <cellStyle name="Lien hypertexte visité" xfId="11827" builtinId="9" hidden="1"/>
    <cellStyle name="Lien hypertexte visité" xfId="11787" builtinId="9" hidden="1"/>
    <cellStyle name="Lien hypertexte visité" xfId="11755" builtinId="9" hidden="1"/>
    <cellStyle name="Lien hypertexte visité" xfId="11723" builtinId="9" hidden="1"/>
    <cellStyle name="Lien hypertexte visité" xfId="11691" builtinId="9" hidden="1"/>
    <cellStyle name="Lien hypertexte visité" xfId="11651" builtinId="9" hidden="1"/>
    <cellStyle name="Lien hypertexte visité" xfId="11619" builtinId="9" hidden="1"/>
    <cellStyle name="Lien hypertexte visité" xfId="11587" builtinId="9" hidden="1"/>
    <cellStyle name="Lien hypertexte visité" xfId="11547" builtinId="9" hidden="1"/>
    <cellStyle name="Lien hypertexte visité" xfId="11515" builtinId="9" hidden="1"/>
    <cellStyle name="Lien hypertexte visité" xfId="11483" builtinId="9" hidden="1"/>
    <cellStyle name="Lien hypertexte visité" xfId="11451" builtinId="9" hidden="1"/>
    <cellStyle name="Lien hypertexte visité" xfId="11411" builtinId="9" hidden="1"/>
    <cellStyle name="Lien hypertexte visité" xfId="11379" builtinId="9" hidden="1"/>
    <cellStyle name="Lien hypertexte visité" xfId="11347" builtinId="9" hidden="1"/>
    <cellStyle name="Lien hypertexte visité" xfId="11315" builtinId="9" hidden="1"/>
    <cellStyle name="Lien hypertexte visité" xfId="11275" builtinId="9" hidden="1"/>
    <cellStyle name="Lien hypertexte visité" xfId="11243" builtinId="9" hidden="1"/>
    <cellStyle name="Lien hypertexte visité" xfId="11211" builtinId="9" hidden="1"/>
    <cellStyle name="Lien hypertexte visité" xfId="11179" builtinId="9" hidden="1"/>
    <cellStyle name="Lien hypertexte visité" xfId="11139" builtinId="9" hidden="1"/>
    <cellStyle name="Lien hypertexte visité" xfId="11107" builtinId="9" hidden="1"/>
    <cellStyle name="Lien hypertexte visité" xfId="11075" builtinId="9" hidden="1"/>
    <cellStyle name="Lien hypertexte visité" xfId="11035" builtinId="9" hidden="1"/>
    <cellStyle name="Lien hypertexte visité" xfId="11003" builtinId="9" hidden="1"/>
    <cellStyle name="Lien hypertexte visité" xfId="10971" builtinId="9" hidden="1"/>
    <cellStyle name="Lien hypertexte visité" xfId="10939" builtinId="9" hidden="1"/>
    <cellStyle name="Lien hypertexte visité" xfId="10899" builtinId="9" hidden="1"/>
    <cellStyle name="Lien hypertexte visité" xfId="10867" builtinId="9" hidden="1"/>
    <cellStyle name="Lien hypertexte visité" xfId="10835" builtinId="9" hidden="1"/>
    <cellStyle name="Lien hypertexte visité" xfId="10803" builtinId="9" hidden="1"/>
    <cellStyle name="Lien hypertexte visité" xfId="10763" builtinId="9" hidden="1"/>
    <cellStyle name="Lien hypertexte visité" xfId="10731" builtinId="9" hidden="1"/>
    <cellStyle name="Lien hypertexte visité" xfId="10699" builtinId="9" hidden="1"/>
    <cellStyle name="Lien hypertexte visité" xfId="10667" builtinId="9" hidden="1"/>
    <cellStyle name="Lien hypertexte visité" xfId="10627" builtinId="9" hidden="1"/>
    <cellStyle name="Lien hypertexte visité" xfId="10595" builtinId="9" hidden="1"/>
    <cellStyle name="Lien hypertexte visité" xfId="10563" builtinId="9" hidden="1"/>
    <cellStyle name="Lien hypertexte visité" xfId="10523" builtinId="9" hidden="1"/>
    <cellStyle name="Lien hypertexte visité" xfId="10491" builtinId="9" hidden="1"/>
    <cellStyle name="Lien hypertexte visité" xfId="10459" builtinId="9" hidden="1"/>
    <cellStyle name="Lien hypertexte visité" xfId="10427" builtinId="9" hidden="1"/>
    <cellStyle name="Lien hypertexte visité" xfId="10387" builtinId="9" hidden="1"/>
    <cellStyle name="Lien hypertexte visité" xfId="10355" builtinId="9" hidden="1"/>
    <cellStyle name="Lien hypertexte visité" xfId="10323" builtinId="9" hidden="1"/>
    <cellStyle name="Lien hypertexte visité" xfId="10291" builtinId="9" hidden="1"/>
    <cellStyle name="Lien hypertexte visité" xfId="10251" builtinId="9" hidden="1"/>
    <cellStyle name="Lien hypertexte visité" xfId="10219" builtinId="9" hidden="1"/>
    <cellStyle name="Lien hypertexte visité" xfId="10187" builtinId="9" hidden="1"/>
    <cellStyle name="Lien hypertexte visité" xfId="10155" builtinId="9" hidden="1"/>
    <cellStyle name="Lien hypertexte visité" xfId="10115" builtinId="9" hidden="1"/>
    <cellStyle name="Lien hypertexte visité" xfId="10083" builtinId="9" hidden="1"/>
    <cellStyle name="Lien hypertexte visité" xfId="10051" builtinId="9" hidden="1"/>
    <cellStyle name="Lien hypertexte visité" xfId="10011" builtinId="9" hidden="1"/>
    <cellStyle name="Lien hypertexte visité" xfId="9979" builtinId="9" hidden="1"/>
    <cellStyle name="Lien hypertexte visité" xfId="9947" builtinId="9" hidden="1"/>
    <cellStyle name="Lien hypertexte visité" xfId="9915" builtinId="9" hidden="1"/>
    <cellStyle name="Lien hypertexte visité" xfId="9875" builtinId="9" hidden="1"/>
    <cellStyle name="Lien hypertexte visité" xfId="9843" builtinId="9" hidden="1"/>
    <cellStyle name="Lien hypertexte visité" xfId="9811" builtinId="9" hidden="1"/>
    <cellStyle name="Lien hypertexte visité" xfId="9779" builtinId="9" hidden="1"/>
    <cellStyle name="Lien hypertexte visité" xfId="9739" builtinId="9" hidden="1"/>
    <cellStyle name="Lien hypertexte visité" xfId="9707" builtinId="9" hidden="1"/>
    <cellStyle name="Lien hypertexte visité" xfId="9675" builtinId="9" hidden="1"/>
    <cellStyle name="Lien hypertexte visité" xfId="9643" builtinId="9" hidden="1"/>
    <cellStyle name="Lien hypertexte visité" xfId="9603" builtinId="9" hidden="1"/>
    <cellStyle name="Lien hypertexte visité" xfId="9571" builtinId="9" hidden="1"/>
    <cellStyle name="Lien hypertexte visité" xfId="9539" builtinId="9" hidden="1"/>
    <cellStyle name="Lien hypertexte visité" xfId="9499" builtinId="9" hidden="1"/>
    <cellStyle name="Lien hypertexte visité" xfId="9635" builtinId="9" hidden="1"/>
    <cellStyle name="Lien hypertexte visité" xfId="10147" builtinId="9" hidden="1"/>
    <cellStyle name="Lien hypertexte visité" xfId="10659" builtinId="9" hidden="1"/>
    <cellStyle name="Lien hypertexte visité" xfId="11171" builtinId="9" hidden="1"/>
    <cellStyle name="Lien hypertexte visité" xfId="11683" builtinId="9" hidden="1"/>
    <cellStyle name="Lien hypertexte visité" xfId="12195" builtinId="9" hidden="1"/>
    <cellStyle name="Lien hypertexte visité" xfId="12707" builtinId="9" hidden="1"/>
    <cellStyle name="Lien hypertexte visité" xfId="14443" builtinId="9" hidden="1"/>
    <cellStyle name="Lien hypertexte visité" xfId="14411" builtinId="9" hidden="1"/>
    <cellStyle name="Lien hypertexte visité" xfId="14379" builtinId="9" hidden="1"/>
    <cellStyle name="Lien hypertexte visité" xfId="14339" builtinId="9" hidden="1"/>
    <cellStyle name="Lien hypertexte visité" xfId="14307" builtinId="9" hidden="1"/>
    <cellStyle name="Lien hypertexte visité" xfId="14275" builtinId="9" hidden="1"/>
    <cellStyle name="Lien hypertexte visité" xfId="14243" builtinId="9" hidden="1"/>
    <cellStyle name="Lien hypertexte visité" xfId="14211" builtinId="9" hidden="1"/>
    <cellStyle name="Lien hypertexte visité" xfId="14179" builtinId="9" hidden="1"/>
    <cellStyle name="Lien hypertexte visité" xfId="14147" builtinId="9" hidden="1"/>
    <cellStyle name="Lien hypertexte visité" xfId="14107" builtinId="9" hidden="1"/>
    <cellStyle name="Lien hypertexte visité" xfId="14075" builtinId="9" hidden="1"/>
    <cellStyle name="Lien hypertexte visité" xfId="14043" builtinId="9" hidden="1"/>
    <cellStyle name="Lien hypertexte visité" xfId="14011" builtinId="9" hidden="1"/>
    <cellStyle name="Lien hypertexte visité" xfId="13979" builtinId="9" hidden="1"/>
    <cellStyle name="Lien hypertexte visité" xfId="13947" builtinId="9" hidden="1"/>
    <cellStyle name="Lien hypertexte visité" xfId="13915" builtinId="9" hidden="1"/>
    <cellStyle name="Lien hypertexte visité" xfId="13883" builtinId="9" hidden="1"/>
    <cellStyle name="Lien hypertexte visité" xfId="13843" builtinId="9" hidden="1"/>
    <cellStyle name="Lien hypertexte visité" xfId="13811" builtinId="9" hidden="1"/>
    <cellStyle name="Lien hypertexte visité" xfId="13779" builtinId="9" hidden="1"/>
    <cellStyle name="Lien hypertexte visité" xfId="13747" builtinId="9" hidden="1"/>
    <cellStyle name="Lien hypertexte visité" xfId="13715" builtinId="9" hidden="1"/>
    <cellStyle name="Lien hypertexte visité" xfId="13683" builtinId="9" hidden="1"/>
    <cellStyle name="Lien hypertexte visité" xfId="13651" builtinId="9" hidden="1"/>
    <cellStyle name="Lien hypertexte visité" xfId="13619" builtinId="9" hidden="1"/>
    <cellStyle name="Lien hypertexte visité" xfId="13579" builtinId="9" hidden="1"/>
    <cellStyle name="Lien hypertexte visité" xfId="13547" builtinId="9" hidden="1"/>
    <cellStyle name="Lien hypertexte visité" xfId="13515" builtinId="9" hidden="1"/>
    <cellStyle name="Lien hypertexte visité" xfId="13483" builtinId="9" hidden="1"/>
    <cellStyle name="Lien hypertexte visité" xfId="13451" builtinId="9" hidden="1"/>
    <cellStyle name="Lien hypertexte visité" xfId="13419" builtinId="9" hidden="1"/>
    <cellStyle name="Lien hypertexte visité" xfId="13387" builtinId="9" hidden="1"/>
    <cellStyle name="Lien hypertexte visité" xfId="13355" builtinId="9" hidden="1"/>
    <cellStyle name="Lien hypertexte visité" xfId="13315" builtinId="9" hidden="1"/>
    <cellStyle name="Lien hypertexte visité" xfId="13283" builtinId="9" hidden="1"/>
    <cellStyle name="Lien hypertexte visité" xfId="13251" builtinId="9" hidden="1"/>
    <cellStyle name="Lien hypertexte visité" xfId="13219" builtinId="9" hidden="1"/>
    <cellStyle name="Lien hypertexte visité" xfId="13187" builtinId="9" hidden="1"/>
    <cellStyle name="Lien hypertexte visité" xfId="13155" builtinId="9" hidden="1"/>
    <cellStyle name="Lien hypertexte visité" xfId="13123" builtinId="9" hidden="1"/>
    <cellStyle name="Lien hypertexte visité" xfId="13083" builtinId="9" hidden="1"/>
    <cellStyle name="Lien hypertexte visité" xfId="13051" builtinId="9" hidden="1"/>
    <cellStyle name="Lien hypertexte visité" xfId="13019" builtinId="9" hidden="1"/>
    <cellStyle name="Lien hypertexte visité" xfId="12987" builtinId="9" hidden="1"/>
    <cellStyle name="Lien hypertexte visité" xfId="12955" builtinId="9" hidden="1"/>
    <cellStyle name="Lien hypertexte visité" xfId="12923" builtinId="9" hidden="1"/>
    <cellStyle name="Lien hypertexte visité" xfId="13603" builtinId="9" hidden="1"/>
    <cellStyle name="Lien hypertexte visité" xfId="15875" builtinId="9" hidden="1"/>
    <cellStyle name="Lien hypertexte visité" xfId="15811" builtinId="9" hidden="1"/>
    <cellStyle name="Lien hypertexte visité" xfId="15747" builtinId="9" hidden="1"/>
    <cellStyle name="Lien hypertexte visité" xfId="15683" builtinId="9" hidden="1"/>
    <cellStyle name="Lien hypertexte visité" xfId="15619" builtinId="9" hidden="1"/>
    <cellStyle name="Lien hypertexte visité" xfId="15555" builtinId="9" hidden="1"/>
    <cellStyle name="Lien hypertexte visité" xfId="15491" builtinId="9" hidden="1"/>
    <cellStyle name="Lien hypertexte visité" xfId="15427" builtinId="9" hidden="1"/>
    <cellStyle name="Lien hypertexte visité" xfId="15363" builtinId="9" hidden="1"/>
    <cellStyle name="Lien hypertexte visité" xfId="15299" builtinId="9" hidden="1"/>
    <cellStyle name="Lien hypertexte visité" xfId="15219" builtinId="9" hidden="1"/>
    <cellStyle name="Lien hypertexte visité" xfId="15155" builtinId="9" hidden="1"/>
    <cellStyle name="Lien hypertexte visité" xfId="15091" builtinId="9" hidden="1"/>
    <cellStyle name="Lien hypertexte visité" xfId="15027" builtinId="9" hidden="1"/>
    <cellStyle name="Lien hypertexte visité" xfId="14963" builtinId="9" hidden="1"/>
    <cellStyle name="Lien hypertexte visité" xfId="14899" builtinId="9" hidden="1"/>
    <cellStyle name="Lien hypertexte visité" xfId="14835" builtinId="9" hidden="1"/>
    <cellStyle name="Lien hypertexte visité" xfId="14771" builtinId="9" hidden="1"/>
    <cellStyle name="Lien hypertexte visité" xfId="14707" builtinId="9" hidden="1"/>
    <cellStyle name="Lien hypertexte visité" xfId="14643" builtinId="9" hidden="1"/>
    <cellStyle name="Lien hypertexte visité" xfId="14579" builtinId="9" hidden="1"/>
    <cellStyle name="Lien hypertexte visité" xfId="14515" builtinId="9" hidden="1"/>
    <cellStyle name="Lien hypertexte visité" xfId="14483" builtinId="9" hidden="1"/>
    <cellStyle name="Lien hypertexte visité" xfId="16595" builtinId="9" hidden="1"/>
    <cellStyle name="Lien hypertexte visité" xfId="16531" builtinId="9" hidden="1"/>
    <cellStyle name="Lien hypertexte visité" xfId="16467" builtinId="9" hidden="1"/>
    <cellStyle name="Lien hypertexte visité" xfId="16403" builtinId="9" hidden="1"/>
    <cellStyle name="Lien hypertexte visité" xfId="16339" builtinId="9" hidden="1"/>
    <cellStyle name="Lien hypertexte visité" xfId="16275" builtinId="9" hidden="1"/>
    <cellStyle name="Lien hypertexte visité" xfId="16211" builtinId="9" hidden="1"/>
    <cellStyle name="Lien hypertexte visité" xfId="16147" builtinId="9" hidden="1"/>
    <cellStyle name="Lien hypertexte visité" xfId="16083" builtinId="9" hidden="1"/>
    <cellStyle name="Lien hypertexte visité" xfId="16019" builtinId="9" hidden="1"/>
    <cellStyle name="Lien hypertexte visité" xfId="15955" builtinId="9" hidden="1"/>
    <cellStyle name="Lien hypertexte visité" xfId="15891" builtinId="9" hidden="1"/>
    <cellStyle name="Lien hypertexte visité" xfId="16899" builtinId="9" hidden="1"/>
    <cellStyle name="Lien hypertexte visité" xfId="16835" builtinId="9" hidden="1"/>
    <cellStyle name="Lien hypertexte visité" xfId="16771" builtinId="9" hidden="1"/>
    <cellStyle name="Lien hypertexte visité" xfId="16707" builtinId="9" hidden="1"/>
    <cellStyle name="Lien hypertexte visité" xfId="16643" builtinId="9" hidden="1"/>
    <cellStyle name="Lien hypertexte visité" xfId="17107" builtinId="9" hidden="1"/>
    <cellStyle name="Lien hypertexte visité" xfId="17043" builtinId="9" hidden="1"/>
    <cellStyle name="Lien hypertexte visité" xfId="16979" builtinId="9" hidden="1"/>
    <cellStyle name="Lien hypertexte visité" xfId="17187" builtinId="9" hidden="1"/>
    <cellStyle name="Lien hypertexte visité" xfId="17267" builtinId="9" hidden="1"/>
    <cellStyle name="Lien hypertexte visité" xfId="17299" builtinId="9" hidden="1"/>
    <cellStyle name="Lien hypertexte visité" xfId="17251" builtinId="9" hidden="1"/>
    <cellStyle name="Lien hypertexte visité" xfId="17171" builtinId="9" hidden="1"/>
    <cellStyle name="Lien hypertexte visité" xfId="16963" builtinId="9" hidden="1"/>
    <cellStyle name="Lien hypertexte visité" xfId="17027" builtinId="9" hidden="1"/>
    <cellStyle name="Lien hypertexte visité" xfId="17091" builtinId="9" hidden="1"/>
    <cellStyle name="Lien hypertexte visité" xfId="16627" builtinId="9" hidden="1"/>
    <cellStyle name="Lien hypertexte visité" xfId="16691" builtinId="9" hidden="1"/>
    <cellStyle name="Lien hypertexte visité" xfId="16755" builtinId="9" hidden="1"/>
    <cellStyle name="Lien hypertexte visité" xfId="16819" builtinId="9" hidden="1"/>
    <cellStyle name="Lien hypertexte visité" xfId="16883" builtinId="9" hidden="1"/>
    <cellStyle name="Lien hypertexte visité" xfId="16947" builtinId="9" hidden="1"/>
    <cellStyle name="Lien hypertexte visité" xfId="15939" builtinId="9" hidden="1"/>
    <cellStyle name="Lien hypertexte visité" xfId="16003" builtinId="9" hidden="1"/>
    <cellStyle name="Lien hypertexte visité" xfId="16067" builtinId="9" hidden="1"/>
    <cellStyle name="Lien hypertexte visité" xfId="16131" builtinId="9" hidden="1"/>
    <cellStyle name="Lien hypertexte visité" xfId="16195" builtinId="9" hidden="1"/>
    <cellStyle name="Lien hypertexte visité" xfId="16259" builtinId="9" hidden="1"/>
    <cellStyle name="Lien hypertexte visité" xfId="16323" builtinId="9" hidden="1"/>
    <cellStyle name="Lien hypertexte visité" xfId="16387" builtinId="9" hidden="1"/>
    <cellStyle name="Lien hypertexte visité" xfId="16451" builtinId="9" hidden="1"/>
    <cellStyle name="Lien hypertexte visité" xfId="16515" builtinId="9" hidden="1"/>
    <cellStyle name="Lien hypertexte visité" xfId="16579" builtinId="9" hidden="1"/>
    <cellStyle name="Lien hypertexte visité" xfId="14475" builtinId="9" hidden="1"/>
    <cellStyle name="Lien hypertexte visité" xfId="14507" builtinId="9" hidden="1"/>
    <cellStyle name="Lien hypertexte visité" xfId="14563" builtinId="9" hidden="1"/>
    <cellStyle name="Lien hypertexte visité" xfId="14627" builtinId="9" hidden="1"/>
    <cellStyle name="Lien hypertexte visité" xfId="14691" builtinId="9" hidden="1"/>
    <cellStyle name="Lien hypertexte visité" xfId="14755" builtinId="9" hidden="1"/>
    <cellStyle name="Lien hypertexte visité" xfId="14819" builtinId="9" hidden="1"/>
    <cellStyle name="Lien hypertexte visité" xfId="14883" builtinId="9" hidden="1"/>
    <cellStyle name="Lien hypertexte visité" xfId="14947" builtinId="9" hidden="1"/>
    <cellStyle name="Lien hypertexte visité" xfId="15011" builtinId="9" hidden="1"/>
    <cellStyle name="Lien hypertexte visité" xfId="15075" builtinId="9" hidden="1"/>
    <cellStyle name="Lien hypertexte visité" xfId="15139" builtinId="9" hidden="1"/>
    <cellStyle name="Lien hypertexte visité" xfId="15203" builtinId="9" hidden="1"/>
    <cellStyle name="Lien hypertexte visité" xfId="15283" builtinId="9" hidden="1"/>
    <cellStyle name="Lien hypertexte visité" xfId="15347" builtinId="9" hidden="1"/>
    <cellStyle name="Lien hypertexte visité" xfId="15411" builtinId="9" hidden="1"/>
    <cellStyle name="Lien hypertexte visité" xfId="15475" builtinId="9" hidden="1"/>
    <cellStyle name="Lien hypertexte visité" xfId="15539" builtinId="9" hidden="1"/>
    <cellStyle name="Lien hypertexte visité" xfId="15603" builtinId="9" hidden="1"/>
    <cellStyle name="Lien hypertexte visité" xfId="15667" builtinId="9" hidden="1"/>
    <cellStyle name="Lien hypertexte visité" xfId="15731" builtinId="9" hidden="1"/>
    <cellStyle name="Lien hypertexte visité" xfId="15795" builtinId="9" hidden="1"/>
    <cellStyle name="Lien hypertexte visité" xfId="15859" builtinId="9" hidden="1"/>
    <cellStyle name="Lien hypertexte visité" xfId="13859" builtinId="9" hidden="1"/>
    <cellStyle name="Lien hypertexte visité" xfId="12915" builtinId="9" hidden="1"/>
    <cellStyle name="Lien hypertexte visité" xfId="12947" builtinId="9" hidden="1"/>
    <cellStyle name="Lien hypertexte visité" xfId="12979" builtinId="9" hidden="1"/>
    <cellStyle name="Lien hypertexte visité" xfId="13011" builtinId="9" hidden="1"/>
    <cellStyle name="Lien hypertexte visité" xfId="13043" builtinId="9" hidden="1"/>
    <cellStyle name="Lien hypertexte visité" xfId="13075" builtinId="9" hidden="1"/>
    <cellStyle name="Lien hypertexte visité" xfId="13115" builtinId="9" hidden="1"/>
    <cellStyle name="Lien hypertexte visité" xfId="13147" builtinId="9" hidden="1"/>
    <cellStyle name="Lien hypertexte visité" xfId="13179" builtinId="9" hidden="1"/>
    <cellStyle name="Lien hypertexte visité" xfId="13211" builtinId="9" hidden="1"/>
    <cellStyle name="Lien hypertexte visité" xfId="13243" builtinId="9" hidden="1"/>
    <cellStyle name="Lien hypertexte visité" xfId="13275" builtinId="9" hidden="1"/>
    <cellStyle name="Lien hypertexte visité" xfId="13307" builtinId="9" hidden="1"/>
    <cellStyle name="Lien hypertexte visité" xfId="13339" builtinId="9" hidden="1"/>
    <cellStyle name="Lien hypertexte visité" xfId="13379" builtinId="9" hidden="1"/>
    <cellStyle name="Lien hypertexte visité" xfId="13411" builtinId="9" hidden="1"/>
    <cellStyle name="Lien hypertexte visité" xfId="13443" builtinId="9" hidden="1"/>
    <cellStyle name="Lien hypertexte visité" xfId="13475" builtinId="9" hidden="1"/>
    <cellStyle name="Lien hypertexte visité" xfId="13507" builtinId="9" hidden="1"/>
    <cellStyle name="Lien hypertexte visité" xfId="13539" builtinId="9" hidden="1"/>
    <cellStyle name="Lien hypertexte visité" xfId="13571" builtinId="9" hidden="1"/>
    <cellStyle name="Lien hypertexte visité" xfId="13611" builtinId="9" hidden="1"/>
    <cellStyle name="Lien hypertexte visité" xfId="13643" builtinId="9" hidden="1"/>
    <cellStyle name="Lien hypertexte visité" xfId="13675" builtinId="9" hidden="1"/>
    <cellStyle name="Lien hypertexte visité" xfId="13707" builtinId="9" hidden="1"/>
    <cellStyle name="Lien hypertexte visité" xfId="13739" builtinId="9" hidden="1"/>
    <cellStyle name="Lien hypertexte visité" xfId="13771" builtinId="9" hidden="1"/>
    <cellStyle name="Lien hypertexte visité" xfId="13803" builtinId="9" hidden="1"/>
    <cellStyle name="Lien hypertexte visité" xfId="13835" builtinId="9" hidden="1"/>
    <cellStyle name="Lien hypertexte visité" xfId="13875" builtinId="9" hidden="1"/>
    <cellStyle name="Lien hypertexte visité" xfId="13907" builtinId="9" hidden="1"/>
    <cellStyle name="Lien hypertexte visité" xfId="13939" builtinId="9" hidden="1"/>
    <cellStyle name="Lien hypertexte visité" xfId="13971" builtinId="9" hidden="1"/>
    <cellStyle name="Lien hypertexte visité" xfId="14003" builtinId="9" hidden="1"/>
    <cellStyle name="Lien hypertexte visité" xfId="14035" builtinId="9" hidden="1"/>
    <cellStyle name="Lien hypertexte visité" xfId="14067" builtinId="9" hidden="1"/>
    <cellStyle name="Lien hypertexte visité" xfId="14099" builtinId="9" hidden="1"/>
    <cellStyle name="Lien hypertexte visité" xfId="14139" builtinId="9" hidden="1"/>
    <cellStyle name="Lien hypertexte visité" xfId="14171" builtinId="9" hidden="1"/>
    <cellStyle name="Lien hypertexte visité" xfId="14203" builtinId="9" hidden="1"/>
    <cellStyle name="Lien hypertexte visité" xfId="14235" builtinId="9" hidden="1"/>
    <cellStyle name="Lien hypertexte visité" xfId="14267" builtinId="9" hidden="1"/>
    <cellStyle name="Lien hypertexte visité" xfId="14299" builtinId="9" hidden="1"/>
    <cellStyle name="Lien hypertexte visité" xfId="14331" builtinId="9" hidden="1"/>
    <cellStyle name="Lien hypertexte visité" xfId="14363" builtinId="9" hidden="1"/>
    <cellStyle name="Lien hypertexte visité" xfId="14403" builtinId="9" hidden="1"/>
    <cellStyle name="Lien hypertexte visité" xfId="14435" builtinId="9" hidden="1"/>
    <cellStyle name="Lien hypertexte visité" xfId="12835" builtinId="9" hidden="1"/>
    <cellStyle name="Lien hypertexte visité" xfId="12323" builtinId="9" hidden="1"/>
    <cellStyle name="Lien hypertexte visité" xfId="11811" builtinId="9" hidden="1"/>
    <cellStyle name="Lien hypertexte visité" xfId="11299" builtinId="9" hidden="1"/>
    <cellStyle name="Lien hypertexte visité" xfId="10787" builtinId="9" hidden="1"/>
    <cellStyle name="Lien hypertexte visité" xfId="10275" builtinId="9" hidden="1"/>
    <cellStyle name="Lien hypertexte visité" xfId="9763" builtinId="9" hidden="1"/>
    <cellStyle name="Lien hypertexte visité" xfId="9491" builtinId="9" hidden="1"/>
    <cellStyle name="Lien hypertexte visité" xfId="9531" builtinId="9" hidden="1"/>
    <cellStyle name="Lien hypertexte visité" xfId="9563" builtinId="9" hidden="1"/>
    <cellStyle name="Lien hypertexte visité" xfId="9595" builtinId="9" hidden="1"/>
    <cellStyle name="Lien hypertexte visité" xfId="9627" builtinId="9" hidden="1"/>
    <cellStyle name="Lien hypertexte visité" xfId="9667" builtinId="9" hidden="1"/>
    <cellStyle name="Lien hypertexte visité" xfId="9699" builtinId="9" hidden="1"/>
    <cellStyle name="Lien hypertexte visité" xfId="9731" builtinId="9" hidden="1"/>
    <cellStyle name="Lien hypertexte visité" xfId="9771" builtinId="9" hidden="1"/>
    <cellStyle name="Lien hypertexte visité" xfId="9803" builtinId="9" hidden="1"/>
    <cellStyle name="Lien hypertexte visité" xfId="9835" builtinId="9" hidden="1"/>
    <cellStyle name="Lien hypertexte visité" xfId="9867" builtinId="9" hidden="1"/>
    <cellStyle name="Lien hypertexte visité" xfId="9907" builtinId="9" hidden="1"/>
    <cellStyle name="Lien hypertexte visité" xfId="9939" builtinId="9" hidden="1"/>
    <cellStyle name="Lien hypertexte visité" xfId="9971" builtinId="9" hidden="1"/>
    <cellStyle name="Lien hypertexte visité" xfId="10003" builtinId="9" hidden="1"/>
    <cellStyle name="Lien hypertexte visité" xfId="10043" builtinId="9" hidden="1"/>
    <cellStyle name="Lien hypertexte visité" xfId="10075" builtinId="9" hidden="1"/>
    <cellStyle name="Lien hypertexte visité" xfId="10107" builtinId="9" hidden="1"/>
    <cellStyle name="Lien hypertexte visité" xfId="10139" builtinId="9" hidden="1"/>
    <cellStyle name="Lien hypertexte visité" xfId="10179" builtinId="9" hidden="1"/>
    <cellStyle name="Lien hypertexte visité" xfId="10211" builtinId="9" hidden="1"/>
    <cellStyle name="Lien hypertexte visité" xfId="10243" builtinId="9" hidden="1"/>
    <cellStyle name="Lien hypertexte visité" xfId="10283" builtinId="9" hidden="1"/>
    <cellStyle name="Lien hypertexte visité" xfId="10315" builtinId="9" hidden="1"/>
    <cellStyle name="Lien hypertexte visité" xfId="10347" builtinId="9" hidden="1"/>
    <cellStyle name="Lien hypertexte visité" xfId="10379" builtinId="9" hidden="1"/>
    <cellStyle name="Lien hypertexte visité" xfId="10419" builtinId="9" hidden="1"/>
    <cellStyle name="Lien hypertexte visité" xfId="10451" builtinId="9" hidden="1"/>
    <cellStyle name="Lien hypertexte visité" xfId="10483" builtinId="9" hidden="1"/>
    <cellStyle name="Lien hypertexte visité" xfId="10515" builtinId="9" hidden="1"/>
    <cellStyle name="Lien hypertexte visité" xfId="10555" builtinId="9" hidden="1"/>
    <cellStyle name="Lien hypertexte visité" xfId="10587" builtinId="9" hidden="1"/>
    <cellStyle name="Lien hypertexte visité" xfId="10619" builtinId="9" hidden="1"/>
    <cellStyle name="Lien hypertexte visité" xfId="10651" builtinId="9" hidden="1"/>
    <cellStyle name="Lien hypertexte visité" xfId="10691" builtinId="9" hidden="1"/>
    <cellStyle name="Lien hypertexte visité" xfId="10723" builtinId="9" hidden="1"/>
    <cellStyle name="Lien hypertexte visité" xfId="10755" builtinId="9" hidden="1"/>
    <cellStyle name="Lien hypertexte visité" xfId="10795" builtinId="9" hidden="1"/>
    <cellStyle name="Lien hypertexte visité" xfId="10827" builtinId="9" hidden="1"/>
    <cellStyle name="Lien hypertexte visité" xfId="10859" builtinId="9" hidden="1"/>
    <cellStyle name="Lien hypertexte visité" xfId="10891" builtinId="9" hidden="1"/>
    <cellStyle name="Lien hypertexte visité" xfId="10931" builtinId="9" hidden="1"/>
    <cellStyle name="Lien hypertexte visité" xfId="10963" builtinId="9" hidden="1"/>
    <cellStyle name="Lien hypertexte visité" xfId="10995" builtinId="9" hidden="1"/>
    <cellStyle name="Lien hypertexte visité" xfId="11027" builtinId="9" hidden="1"/>
    <cellStyle name="Lien hypertexte visité" xfId="11067" builtinId="9" hidden="1"/>
    <cellStyle name="Lien hypertexte visité" xfId="11099" builtinId="9" hidden="1"/>
    <cellStyle name="Lien hypertexte visité" xfId="11131" builtinId="9" hidden="1"/>
    <cellStyle name="Lien hypertexte visité" xfId="11163" builtinId="9" hidden="1"/>
    <cellStyle name="Lien hypertexte visité" xfId="11203" builtinId="9" hidden="1"/>
    <cellStyle name="Lien hypertexte visité" xfId="11235" builtinId="9" hidden="1"/>
    <cellStyle name="Lien hypertexte visité" xfId="11267" builtinId="9" hidden="1"/>
    <cellStyle name="Lien hypertexte visité" xfId="11307" builtinId="9" hidden="1"/>
    <cellStyle name="Lien hypertexte visité" xfId="11339" builtinId="9" hidden="1"/>
    <cellStyle name="Lien hypertexte visité" xfId="11371" builtinId="9" hidden="1"/>
    <cellStyle name="Lien hypertexte visité" xfId="11403" builtinId="9" hidden="1"/>
    <cellStyle name="Lien hypertexte visité" xfId="11443" builtinId="9" hidden="1"/>
    <cellStyle name="Lien hypertexte visité" xfId="11475" builtinId="9" hidden="1"/>
    <cellStyle name="Lien hypertexte visité" xfId="11507" builtinId="9" hidden="1"/>
    <cellStyle name="Lien hypertexte visité" xfId="11539" builtinId="9" hidden="1"/>
    <cellStyle name="Lien hypertexte visité" xfId="11579" builtinId="9" hidden="1"/>
    <cellStyle name="Lien hypertexte visité" xfId="11611" builtinId="9" hidden="1"/>
    <cellStyle name="Lien hypertexte visité" xfId="11643" builtinId="9" hidden="1"/>
    <cellStyle name="Lien hypertexte visité" xfId="11675" builtinId="9" hidden="1"/>
    <cellStyle name="Lien hypertexte visité" xfId="11715" builtinId="9" hidden="1"/>
    <cellStyle name="Lien hypertexte visité" xfId="11747" builtinId="9" hidden="1"/>
    <cellStyle name="Lien hypertexte visité" xfId="11779" builtinId="9" hidden="1"/>
    <cellStyle name="Lien hypertexte visité" xfId="11819" builtinId="9" hidden="1"/>
    <cellStyle name="Lien hypertexte visité" xfId="11851" builtinId="9" hidden="1"/>
    <cellStyle name="Lien hypertexte visité" xfId="11883" builtinId="9" hidden="1"/>
    <cellStyle name="Lien hypertexte visité" xfId="11915" builtinId="9" hidden="1"/>
    <cellStyle name="Lien hypertexte visité" xfId="11955" builtinId="9" hidden="1"/>
    <cellStyle name="Lien hypertexte visité" xfId="11987" builtinId="9" hidden="1"/>
    <cellStyle name="Lien hypertexte visité" xfId="12019" builtinId="9" hidden="1"/>
    <cellStyle name="Lien hypertexte visité" xfId="12051" builtinId="9" hidden="1"/>
    <cellStyle name="Lien hypertexte visité" xfId="12091" builtinId="9" hidden="1"/>
    <cellStyle name="Lien hypertexte visité" xfId="12123" builtinId="9" hidden="1"/>
    <cellStyle name="Lien hypertexte visité" xfId="12155" builtinId="9" hidden="1"/>
    <cellStyle name="Lien hypertexte visité" xfId="12187" builtinId="9" hidden="1"/>
    <cellStyle name="Lien hypertexte visité" xfId="12227" builtinId="9" hidden="1"/>
    <cellStyle name="Lien hypertexte visité" xfId="12259" builtinId="9" hidden="1"/>
    <cellStyle name="Lien hypertexte visité" xfId="12291" builtinId="9" hidden="1"/>
    <cellStyle name="Lien hypertexte visité" xfId="12331" builtinId="9" hidden="1"/>
    <cellStyle name="Lien hypertexte visité" xfId="12363" builtinId="9" hidden="1"/>
    <cellStyle name="Lien hypertexte visité" xfId="12395" builtinId="9" hidden="1"/>
    <cellStyle name="Lien hypertexte visité" xfId="12427" builtinId="9" hidden="1"/>
    <cellStyle name="Lien hypertexte visité" xfId="12467" builtinId="9" hidden="1"/>
    <cellStyle name="Lien hypertexte visité" xfId="12499" builtinId="9" hidden="1"/>
    <cellStyle name="Lien hypertexte visité" xfId="12531" builtinId="9" hidden="1"/>
    <cellStyle name="Lien hypertexte visité" xfId="12563" builtinId="9" hidden="1"/>
    <cellStyle name="Lien hypertexte visité" xfId="12603" builtinId="9" hidden="1"/>
    <cellStyle name="Lien hypertexte visité" xfId="12635" builtinId="9" hidden="1"/>
    <cellStyle name="Lien hypertexte visité" xfId="12667" builtinId="9" hidden="1"/>
    <cellStyle name="Lien hypertexte visité" xfId="12699" builtinId="9" hidden="1"/>
    <cellStyle name="Lien hypertexte visité" xfId="12739" builtinId="9" hidden="1"/>
    <cellStyle name="Lien hypertexte visité" xfId="12771" builtinId="9" hidden="1"/>
    <cellStyle name="Lien hypertexte visité" xfId="12803" builtinId="9" hidden="1"/>
    <cellStyle name="Lien hypertexte visité" xfId="12843" builtinId="9" hidden="1"/>
    <cellStyle name="Lien hypertexte visité" xfId="12875" builtinId="9" hidden="1"/>
    <cellStyle name="Lien hypertexte visité" xfId="12907" builtinId="9" hidden="1"/>
    <cellStyle name="Lien hypertexte visité" xfId="9251" builtinId="9" hidden="1"/>
    <cellStyle name="Lien hypertexte visité" xfId="8995" builtinId="9" hidden="1"/>
    <cellStyle name="Lien hypertexte visité" xfId="8739" builtinId="9" hidden="1"/>
    <cellStyle name="Lien hypertexte visité" xfId="8483" builtinId="9" hidden="1"/>
    <cellStyle name="Lien hypertexte visité" xfId="8227" builtinId="9" hidden="1"/>
    <cellStyle name="Lien hypertexte visité" xfId="7971" builtinId="9" hidden="1"/>
    <cellStyle name="Lien hypertexte visité" xfId="7714" builtinId="9" hidden="1"/>
    <cellStyle name="Lien hypertexte visité" xfId="7458" builtinId="9" hidden="1"/>
    <cellStyle name="Lien hypertexte visité" xfId="7202" builtinId="9" hidden="1"/>
    <cellStyle name="Lien hypertexte visité" xfId="6946" builtinId="9" hidden="1"/>
    <cellStyle name="Lien hypertexte visité" xfId="6690" builtinId="9" hidden="1"/>
    <cellStyle name="Lien hypertexte visité" xfId="6434" builtinId="9" hidden="1"/>
    <cellStyle name="Lien hypertexte visité" xfId="6178" builtinId="9" hidden="1"/>
    <cellStyle name="Lien hypertexte visité" xfId="5922" builtinId="9" hidden="1"/>
    <cellStyle name="Lien hypertexte visité" xfId="5666" builtinId="9" hidden="1"/>
    <cellStyle name="Lien hypertexte visité" xfId="5410" builtinId="9" hidden="1"/>
    <cellStyle name="Lien hypertexte visité" xfId="5154" builtinId="9" hidden="1"/>
    <cellStyle name="Lien hypertexte visité" xfId="4898" builtinId="9" hidden="1"/>
    <cellStyle name="Lien hypertexte visité" xfId="4642" builtinId="9" hidden="1"/>
    <cellStyle name="Lien hypertexte visité" xfId="4386" builtinId="9" hidden="1"/>
    <cellStyle name="Lien hypertexte visité" xfId="4130" builtinId="9" hidden="1"/>
    <cellStyle name="Lien hypertexte visité" xfId="3877" builtinId="9" hidden="1"/>
    <cellStyle name="Lien hypertexte visité" xfId="3613" builtinId="9" hidden="1"/>
    <cellStyle name="Lien hypertexte visité" xfId="3356" builtinId="9" hidden="1"/>
    <cellStyle name="Lien hypertexte visité" xfId="3100" builtinId="9" hidden="1"/>
    <cellStyle name="Lien hypertexte visité" xfId="2844" builtinId="9" hidden="1"/>
    <cellStyle name="Lien hypertexte visité" xfId="2588" builtinId="9" hidden="1"/>
    <cellStyle name="Lien hypertexte visité" xfId="2332" builtinId="9" hidden="1"/>
    <cellStyle name="Lien hypertexte visité" xfId="2076" builtinId="9" hidden="1"/>
    <cellStyle name="Lien hypertexte visité" xfId="1820" builtinId="9" hidden="1"/>
    <cellStyle name="Lien hypertexte visité" xfId="1564" builtinId="9" hidden="1"/>
    <cellStyle name="Lien hypertexte visité" xfId="1307" builtinId="9" hidden="1"/>
    <cellStyle name="Lien hypertexte visité" xfId="939" builtinId="9" hidden="1"/>
    <cellStyle name="Lien hypertexte visité" xfId="651" builtinId="9" hidden="1"/>
    <cellStyle name="Lien hypertexte visité" xfId="731" builtinId="9" hidden="1"/>
    <cellStyle name="Lien hypertexte visité" xfId="795" builtinId="9" hidden="1"/>
    <cellStyle name="Lien hypertexte visité" xfId="875" builtinId="9" hidden="1"/>
    <cellStyle name="Lien hypertexte visité" xfId="955" builtinId="9" hidden="1"/>
    <cellStyle name="Lien hypertexte visité" xfId="1019" builtinId="9" hidden="1"/>
    <cellStyle name="Lien hypertexte visité" xfId="1099" builtinId="9" hidden="1"/>
    <cellStyle name="Lien hypertexte visité" xfId="1163" builtinId="9" hidden="1"/>
    <cellStyle name="Lien hypertexte visité" xfId="1203" builtinId="9" hidden="1"/>
    <cellStyle name="Lien hypertexte visité" xfId="1235" builtinId="9" hidden="1"/>
    <cellStyle name="Lien hypertexte visité" xfId="1275" builtinId="9" hidden="1"/>
    <cellStyle name="Lien hypertexte visité" xfId="1315" builtinId="9" hidden="1"/>
    <cellStyle name="Lien hypertexte visité" xfId="1347" builtinId="9" hidden="1"/>
    <cellStyle name="Lien hypertexte visité" xfId="1387" builtinId="9" hidden="1"/>
    <cellStyle name="Lien hypertexte visité" xfId="1419" builtinId="9" hidden="1"/>
    <cellStyle name="Lien hypertexte visité" xfId="1459" builtinId="9" hidden="1"/>
    <cellStyle name="Lien hypertexte visité" xfId="1491" builtinId="9" hidden="1"/>
    <cellStyle name="Lien hypertexte visité" xfId="1532" builtinId="9" hidden="1"/>
    <cellStyle name="Lien hypertexte visité" xfId="1572" builtinId="9" hidden="1"/>
    <cellStyle name="Lien hypertexte visité" xfId="1604" builtinId="9" hidden="1"/>
    <cellStyle name="Lien hypertexte visité" xfId="1644" builtinId="9" hidden="1"/>
    <cellStyle name="Lien hypertexte visité" xfId="1676" builtinId="9" hidden="1"/>
    <cellStyle name="Lien hypertexte visité" xfId="1716" builtinId="9" hidden="1"/>
    <cellStyle name="Lien hypertexte visité" xfId="1748" builtinId="9" hidden="1"/>
    <cellStyle name="Lien hypertexte visité" xfId="1788" builtinId="9" hidden="1"/>
    <cellStyle name="Lien hypertexte visité" xfId="1828" builtinId="9" hidden="1"/>
    <cellStyle name="Lien hypertexte visité" xfId="1860" builtinId="9" hidden="1"/>
    <cellStyle name="Lien hypertexte visité" xfId="1900" builtinId="9" hidden="1"/>
    <cellStyle name="Lien hypertexte visité" xfId="1932" builtinId="9" hidden="1"/>
    <cellStyle name="Lien hypertexte visité" xfId="1972" builtinId="9" hidden="1"/>
    <cellStyle name="Lien hypertexte visité" xfId="2004" builtinId="9" hidden="1"/>
    <cellStyle name="Lien hypertexte visité" xfId="2044" builtinId="9" hidden="1"/>
    <cellStyle name="Lien hypertexte visité" xfId="2084" builtinId="9" hidden="1"/>
    <cellStyle name="Lien hypertexte visité" xfId="2116" builtinId="9" hidden="1"/>
    <cellStyle name="Lien hypertexte visité" xfId="2156" builtinId="9" hidden="1"/>
    <cellStyle name="Lien hypertexte visité" xfId="2188" builtinId="9" hidden="1"/>
    <cellStyle name="Lien hypertexte visité" xfId="2228" builtinId="9" hidden="1"/>
    <cellStyle name="Lien hypertexte visité" xfId="2260" builtinId="9" hidden="1"/>
    <cellStyle name="Lien hypertexte visité" xfId="2300" builtinId="9" hidden="1"/>
    <cellStyle name="Lien hypertexte visité" xfId="2340" builtinId="9" hidden="1"/>
    <cellStyle name="Lien hypertexte visité" xfId="2372" builtinId="9" hidden="1"/>
    <cellStyle name="Lien hypertexte visité" xfId="2412" builtinId="9" hidden="1"/>
    <cellStyle name="Lien hypertexte visité" xfId="2444" builtinId="9" hidden="1"/>
    <cellStyle name="Lien hypertexte visité" xfId="2484" builtinId="9" hidden="1"/>
    <cellStyle name="Lien hypertexte visité" xfId="2516" builtinId="9" hidden="1"/>
    <cellStyle name="Lien hypertexte visité" xfId="2556" builtinId="9" hidden="1"/>
    <cellStyle name="Lien hypertexte visité" xfId="2596" builtinId="9" hidden="1"/>
    <cellStyle name="Lien hypertexte visité" xfId="2628" builtinId="9" hidden="1"/>
    <cellStyle name="Lien hypertexte visité" xfId="2668" builtinId="9" hidden="1"/>
    <cellStyle name="Lien hypertexte visité" xfId="2700" builtinId="9" hidden="1"/>
    <cellStyle name="Lien hypertexte visité" xfId="2740" builtinId="9" hidden="1"/>
    <cellStyle name="Lien hypertexte visité" xfId="2772" builtinId="9" hidden="1"/>
    <cellStyle name="Lien hypertexte visité" xfId="2812" builtinId="9" hidden="1"/>
    <cellStyle name="Lien hypertexte visité" xfId="2852" builtinId="9" hidden="1"/>
    <cellStyle name="Lien hypertexte visité" xfId="2884" builtinId="9" hidden="1"/>
    <cellStyle name="Lien hypertexte visité" xfId="2924" builtinId="9" hidden="1"/>
    <cellStyle name="Lien hypertexte visité" xfId="2956" builtinId="9" hidden="1"/>
    <cellStyle name="Lien hypertexte visité" xfId="2996" builtinId="9" hidden="1"/>
    <cellStyle name="Lien hypertexte visité" xfId="3028" builtinId="9" hidden="1"/>
    <cellStyle name="Lien hypertexte visité" xfId="3068" builtinId="9" hidden="1"/>
    <cellStyle name="Lien hypertexte visité" xfId="3108" builtinId="9" hidden="1"/>
    <cellStyle name="Lien hypertexte visité" xfId="3140" builtinId="9" hidden="1"/>
    <cellStyle name="Lien hypertexte visité" xfId="3180" builtinId="9" hidden="1"/>
    <cellStyle name="Lien hypertexte visité" xfId="3212" builtinId="9" hidden="1"/>
    <cellStyle name="Lien hypertexte visité" xfId="3252" builtinId="9" hidden="1"/>
    <cellStyle name="Lien hypertexte visité" xfId="3284" builtinId="9" hidden="1"/>
    <cellStyle name="Lien hypertexte visité" xfId="3324" builtinId="9" hidden="1"/>
    <cellStyle name="Lien hypertexte visité" xfId="3364" builtinId="9" hidden="1"/>
    <cellStyle name="Lien hypertexte visité" xfId="3396" builtinId="9" hidden="1"/>
    <cellStyle name="Lien hypertexte visité" xfId="3436" builtinId="9" hidden="1"/>
    <cellStyle name="Lien hypertexte visité" xfId="3468" builtinId="9" hidden="1"/>
    <cellStyle name="Lien hypertexte visité" xfId="3508" builtinId="9" hidden="1"/>
    <cellStyle name="Lien hypertexte visité" xfId="3540" builtinId="9" hidden="1"/>
    <cellStyle name="Lien hypertexte visité" xfId="3581" builtinId="9" hidden="1"/>
    <cellStyle name="Lien hypertexte visité" xfId="3621" builtinId="9" hidden="1"/>
    <cellStyle name="Lien hypertexte visité" xfId="3653" builtinId="9" hidden="1"/>
    <cellStyle name="Lien hypertexte visité" xfId="3701" builtinId="9" hidden="1"/>
    <cellStyle name="Lien hypertexte visité" xfId="3733" builtinId="9" hidden="1"/>
    <cellStyle name="Lien hypertexte visité" xfId="3773" builtinId="9" hidden="1"/>
    <cellStyle name="Lien hypertexte visité" xfId="3805" builtinId="9" hidden="1"/>
    <cellStyle name="Lien hypertexte visité" xfId="3845" builtinId="9" hidden="1"/>
    <cellStyle name="Lien hypertexte visité" xfId="3886" builtinId="9" hidden="1"/>
    <cellStyle name="Lien hypertexte visité" xfId="3918" builtinId="9" hidden="1"/>
    <cellStyle name="Lien hypertexte visité" xfId="3954" builtinId="9" hidden="1"/>
    <cellStyle name="Lien hypertexte visité" xfId="3986" builtinId="9" hidden="1"/>
    <cellStyle name="Lien hypertexte visité" xfId="4026" builtinId="9" hidden="1"/>
    <cellStyle name="Lien hypertexte visité" xfId="4058" builtinId="9" hidden="1"/>
    <cellStyle name="Lien hypertexte visité" xfId="4098" builtinId="9" hidden="1"/>
    <cellStyle name="Lien hypertexte visité" xfId="4138" builtinId="9" hidden="1"/>
    <cellStyle name="Lien hypertexte visité" xfId="4170" builtinId="9" hidden="1"/>
    <cellStyle name="Lien hypertexte visité" xfId="4210" builtinId="9" hidden="1"/>
    <cellStyle name="Lien hypertexte visité" xfId="4242" builtinId="9" hidden="1"/>
    <cellStyle name="Lien hypertexte visité" xfId="4282" builtinId="9" hidden="1"/>
    <cellStyle name="Lien hypertexte visité" xfId="4314" builtinId="9" hidden="1"/>
    <cellStyle name="Lien hypertexte visité" xfId="4354" builtinId="9" hidden="1"/>
    <cellStyle name="Lien hypertexte visité" xfId="4394" builtinId="9" hidden="1"/>
    <cellStyle name="Lien hypertexte visité" xfId="4426" builtinId="9" hidden="1"/>
    <cellStyle name="Lien hypertexte visité" xfId="4466" builtinId="9" hidden="1"/>
    <cellStyle name="Lien hypertexte visité" xfId="4498" builtinId="9" hidden="1"/>
    <cellStyle name="Lien hypertexte visité" xfId="4538" builtinId="9" hidden="1"/>
    <cellStyle name="Lien hypertexte visité" xfId="4570" builtinId="9" hidden="1"/>
    <cellStyle name="Lien hypertexte visité" xfId="4610" builtinId="9" hidden="1"/>
    <cellStyle name="Lien hypertexte visité" xfId="4650" builtinId="9" hidden="1"/>
    <cellStyle name="Lien hypertexte visité" xfId="4682" builtinId="9" hidden="1"/>
    <cellStyle name="Lien hypertexte visité" xfId="4722" builtinId="9" hidden="1"/>
    <cellStyle name="Lien hypertexte visité" xfId="4754" builtinId="9" hidden="1"/>
    <cellStyle name="Lien hypertexte visité" xfId="4794" builtinId="9" hidden="1"/>
    <cellStyle name="Lien hypertexte visité" xfId="4826" builtinId="9" hidden="1"/>
    <cellStyle name="Lien hypertexte visité" xfId="4866" builtinId="9" hidden="1"/>
    <cellStyle name="Lien hypertexte visité" xfId="4906" builtinId="9" hidden="1"/>
    <cellStyle name="Lien hypertexte visité" xfId="4938" builtinId="9" hidden="1"/>
    <cellStyle name="Lien hypertexte visité" xfId="4978" builtinId="9" hidden="1"/>
    <cellStyle name="Lien hypertexte visité" xfId="5010" builtinId="9" hidden="1"/>
    <cellStyle name="Lien hypertexte visité" xfId="5050" builtinId="9" hidden="1"/>
    <cellStyle name="Lien hypertexte visité" xfId="5082" builtinId="9" hidden="1"/>
    <cellStyle name="Lien hypertexte visité" xfId="5122" builtinId="9" hidden="1"/>
    <cellStyle name="Lien hypertexte visité" xfId="5162" builtinId="9" hidden="1"/>
    <cellStyle name="Lien hypertexte visité" xfId="5194" builtinId="9" hidden="1"/>
    <cellStyle name="Lien hypertexte visité" xfId="5234" builtinId="9" hidden="1"/>
    <cellStyle name="Lien hypertexte visité" xfId="5266" builtinId="9" hidden="1"/>
    <cellStyle name="Lien hypertexte visité" xfId="5306" builtinId="9" hidden="1"/>
    <cellStyle name="Lien hypertexte visité" xfId="5338" builtinId="9" hidden="1"/>
    <cellStyle name="Lien hypertexte visité" xfId="5378" builtinId="9" hidden="1"/>
    <cellStyle name="Lien hypertexte visité" xfId="5418" builtinId="9" hidden="1"/>
    <cellStyle name="Lien hypertexte visité" xfId="5450" builtinId="9" hidden="1"/>
    <cellStyle name="Lien hypertexte visité" xfId="5490" builtinId="9" hidden="1"/>
    <cellStyle name="Lien hypertexte visité" xfId="5522" builtinId="9" hidden="1"/>
    <cellStyle name="Lien hypertexte visité" xfId="5562" builtinId="9" hidden="1"/>
    <cellStyle name="Lien hypertexte visité" xfId="5594" builtinId="9" hidden="1"/>
    <cellStyle name="Lien hypertexte visité" xfId="5634" builtinId="9" hidden="1"/>
    <cellStyle name="Lien hypertexte visité" xfId="5674" builtinId="9" hidden="1"/>
    <cellStyle name="Lien hypertexte visité" xfId="5706" builtinId="9" hidden="1"/>
    <cellStyle name="Lien hypertexte visité" xfId="5746" builtinId="9" hidden="1"/>
    <cellStyle name="Lien hypertexte visité" xfId="5778" builtinId="9" hidden="1"/>
    <cellStyle name="Lien hypertexte visité" xfId="5818" builtinId="9" hidden="1"/>
    <cellStyle name="Lien hypertexte visité" xfId="5850" builtinId="9" hidden="1"/>
    <cellStyle name="Lien hypertexte visité" xfId="5890" builtinId="9" hidden="1"/>
    <cellStyle name="Lien hypertexte visité" xfId="5930" builtinId="9" hidden="1"/>
    <cellStyle name="Lien hypertexte visité" xfId="5962" builtinId="9" hidden="1"/>
    <cellStyle name="Lien hypertexte visité" xfId="6002" builtinId="9" hidden="1"/>
    <cellStyle name="Lien hypertexte visité" xfId="6034" builtinId="9" hidden="1"/>
    <cellStyle name="Lien hypertexte visité" xfId="6074" builtinId="9" hidden="1"/>
    <cellStyle name="Lien hypertexte visité" xfId="6106" builtinId="9" hidden="1"/>
    <cellStyle name="Lien hypertexte visité" xfId="6146" builtinId="9" hidden="1"/>
    <cellStyle name="Lien hypertexte visité" xfId="6186" builtinId="9" hidden="1"/>
    <cellStyle name="Lien hypertexte visité" xfId="6218" builtinId="9" hidden="1"/>
    <cellStyle name="Lien hypertexte visité" xfId="6258" builtinId="9" hidden="1"/>
    <cellStyle name="Lien hypertexte visité" xfId="6290" builtinId="9" hidden="1"/>
    <cellStyle name="Lien hypertexte visité" xfId="6330" builtinId="9" hidden="1"/>
    <cellStyle name="Lien hypertexte visité" xfId="6362" builtinId="9" hidden="1"/>
    <cellStyle name="Lien hypertexte visité" xfId="6402" builtinId="9" hidden="1"/>
    <cellStyle name="Lien hypertexte visité" xfId="6442" builtinId="9" hidden="1"/>
    <cellStyle name="Lien hypertexte visité" xfId="6474" builtinId="9" hidden="1"/>
    <cellStyle name="Lien hypertexte visité" xfId="6514" builtinId="9" hidden="1"/>
    <cellStyle name="Lien hypertexte visité" xfId="6546" builtinId="9" hidden="1"/>
    <cellStyle name="Lien hypertexte visité" xfId="6586" builtinId="9" hidden="1"/>
    <cellStyle name="Lien hypertexte visité" xfId="6618" builtinId="9" hidden="1"/>
    <cellStyle name="Lien hypertexte visité" xfId="6658" builtinId="9" hidden="1"/>
    <cellStyle name="Lien hypertexte visité" xfId="6698" builtinId="9" hidden="1"/>
    <cellStyle name="Lien hypertexte visité" xfId="6730" builtinId="9" hidden="1"/>
    <cellStyle name="Lien hypertexte visité" xfId="6770" builtinId="9" hidden="1"/>
    <cellStyle name="Lien hypertexte visité" xfId="6802" builtinId="9" hidden="1"/>
    <cellStyle name="Lien hypertexte visité" xfId="6842" builtinId="9" hidden="1"/>
    <cellStyle name="Lien hypertexte visité" xfId="6874" builtinId="9" hidden="1"/>
    <cellStyle name="Lien hypertexte visité" xfId="6914" builtinId="9" hidden="1"/>
    <cellStyle name="Lien hypertexte visité" xfId="6954" builtinId="9" hidden="1"/>
    <cellStyle name="Lien hypertexte visité" xfId="6986" builtinId="9" hidden="1"/>
    <cellStyle name="Lien hypertexte visité" xfId="7026" builtinId="9" hidden="1"/>
    <cellStyle name="Lien hypertexte visité" xfId="7058" builtinId="9" hidden="1"/>
    <cellStyle name="Lien hypertexte visité" xfId="7098" builtinId="9" hidden="1"/>
    <cellStyle name="Lien hypertexte visité" xfId="7130" builtinId="9" hidden="1"/>
    <cellStyle name="Lien hypertexte visité" xfId="7170" builtinId="9" hidden="1"/>
    <cellStyle name="Lien hypertexte visité" xfId="7210" builtinId="9" hidden="1"/>
    <cellStyle name="Lien hypertexte visité" xfId="7242" builtinId="9" hidden="1"/>
    <cellStyle name="Lien hypertexte visité" xfId="7282" builtinId="9" hidden="1"/>
    <cellStyle name="Lien hypertexte visité" xfId="7314" builtinId="9" hidden="1"/>
    <cellStyle name="Lien hypertexte visité" xfId="7354" builtinId="9" hidden="1"/>
    <cellStyle name="Lien hypertexte visité" xfId="7386" builtinId="9" hidden="1"/>
    <cellStyle name="Lien hypertexte visité" xfId="7426" builtinId="9" hidden="1"/>
    <cellStyle name="Lien hypertexte visité" xfId="7466" builtinId="9" hidden="1"/>
    <cellStyle name="Lien hypertexte visité" xfId="7498" builtinId="9" hidden="1"/>
    <cellStyle name="Lien hypertexte visité" xfId="7538" builtinId="9" hidden="1"/>
    <cellStyle name="Lien hypertexte visité" xfId="7570" builtinId="9" hidden="1"/>
    <cellStyle name="Lien hypertexte visité" xfId="7610" builtinId="9" hidden="1"/>
    <cellStyle name="Lien hypertexte visité" xfId="7642" builtinId="9" hidden="1"/>
    <cellStyle name="Lien hypertexte visité" xfId="7682" builtinId="9" hidden="1"/>
    <cellStyle name="Lien hypertexte visité" xfId="7722" builtinId="9" hidden="1"/>
    <cellStyle name="Lien hypertexte visité" xfId="7754" builtinId="9" hidden="1"/>
    <cellStyle name="Lien hypertexte visité" xfId="7794" builtinId="9" hidden="1"/>
    <cellStyle name="Lien hypertexte visité" xfId="7827" builtinId="9" hidden="1"/>
    <cellStyle name="Lien hypertexte visité" xfId="7867" builtinId="9" hidden="1"/>
    <cellStyle name="Lien hypertexte visité" xfId="7899" builtinId="9" hidden="1"/>
    <cellStyle name="Lien hypertexte visité" xfId="7939" builtinId="9" hidden="1"/>
    <cellStyle name="Lien hypertexte visité" xfId="7979" builtinId="9" hidden="1"/>
    <cellStyle name="Lien hypertexte visité" xfId="8011" builtinId="9" hidden="1"/>
    <cellStyle name="Lien hypertexte visité" xfId="8051" builtinId="9" hidden="1"/>
    <cellStyle name="Lien hypertexte visité" xfId="8083" builtinId="9" hidden="1"/>
    <cellStyle name="Lien hypertexte visité" xfId="8123" builtinId="9" hidden="1"/>
    <cellStyle name="Lien hypertexte visité" xfId="8155" builtinId="9" hidden="1"/>
    <cellStyle name="Lien hypertexte visité" xfId="8195" builtinId="9" hidden="1"/>
    <cellStyle name="Lien hypertexte visité" xfId="8235" builtinId="9" hidden="1"/>
    <cellStyle name="Lien hypertexte visité" xfId="8267" builtinId="9" hidden="1"/>
    <cellStyle name="Lien hypertexte visité" xfId="8307" builtinId="9" hidden="1"/>
    <cellStyle name="Lien hypertexte visité" xfId="8339" builtinId="9" hidden="1"/>
    <cellStyle name="Lien hypertexte visité" xfId="8379" builtinId="9" hidden="1"/>
    <cellStyle name="Lien hypertexte visité" xfId="8411" builtinId="9" hidden="1"/>
    <cellStyle name="Lien hypertexte visité" xfId="8451" builtinId="9" hidden="1"/>
    <cellStyle name="Lien hypertexte visité" xfId="8491" builtinId="9" hidden="1"/>
    <cellStyle name="Lien hypertexte visité" xfId="8523" builtinId="9" hidden="1"/>
    <cellStyle name="Lien hypertexte visité" xfId="8563" builtinId="9" hidden="1"/>
    <cellStyle name="Lien hypertexte visité" xfId="8595" builtinId="9" hidden="1"/>
    <cellStyle name="Lien hypertexte visité" xfId="8635" builtinId="9" hidden="1"/>
    <cellStyle name="Lien hypertexte visité" xfId="8667" builtinId="9" hidden="1"/>
    <cellStyle name="Lien hypertexte visité" xfId="8707" builtinId="9" hidden="1"/>
    <cellStyle name="Lien hypertexte visité" xfId="8747" builtinId="9" hidden="1"/>
    <cellStyle name="Lien hypertexte visité" xfId="8779" builtinId="9" hidden="1"/>
    <cellStyle name="Lien hypertexte visité" xfId="8819" builtinId="9" hidden="1"/>
    <cellStyle name="Lien hypertexte visité" xfId="8851" builtinId="9" hidden="1"/>
    <cellStyle name="Lien hypertexte visité" xfId="8891" builtinId="9" hidden="1"/>
    <cellStyle name="Lien hypertexte visité" xfId="8923" builtinId="9" hidden="1"/>
    <cellStyle name="Lien hypertexte visité" xfId="8963" builtinId="9" hidden="1"/>
    <cellStyle name="Lien hypertexte visité" xfId="9003" builtinId="9" hidden="1"/>
    <cellStyle name="Lien hypertexte visité" xfId="9035" builtinId="9" hidden="1"/>
    <cellStyle name="Lien hypertexte visité" xfId="9075" builtinId="9" hidden="1"/>
    <cellStyle name="Lien hypertexte visité" xfId="9107" builtinId="9" hidden="1"/>
    <cellStyle name="Lien hypertexte visité" xfId="9147" builtinId="9" hidden="1"/>
    <cellStyle name="Lien hypertexte visité" xfId="9179" builtinId="9" hidden="1"/>
    <cellStyle name="Lien hypertexte visité" xfId="9219" builtinId="9" hidden="1"/>
    <cellStyle name="Lien hypertexte visité" xfId="9259" builtinId="9" hidden="1"/>
    <cellStyle name="Lien hypertexte visité" xfId="9291" builtinId="9" hidden="1"/>
    <cellStyle name="Lien hypertexte visité" xfId="9331" builtinId="9" hidden="1"/>
    <cellStyle name="Lien hypertexte visité" xfId="9363" builtinId="9" hidden="1"/>
    <cellStyle name="Lien hypertexte visité" xfId="9403" builtinId="9" hidden="1"/>
    <cellStyle name="Lien hypertexte visité" xfId="9435" builtinId="9" hidden="1"/>
    <cellStyle name="Lien hypertexte visité" xfId="9475" builtinId="9" hidden="1"/>
    <cellStyle name="Lien hypertexte visité" xfId="427" builtinId="9" hidden="1"/>
    <cellStyle name="Lien hypertexte visité" xfId="171" builtinId="9" hidden="1"/>
    <cellStyle name="Lien hypertexte visité" xfId="109" builtinId="9" hidden="1"/>
    <cellStyle name="Lien hypertexte visité" xfId="311" builtinId="9" hidden="1"/>
    <cellStyle name="Lien hypertexte visité" xfId="567" builtinId="9" hidden="1"/>
    <cellStyle name="Lien hypertexte visité" xfId="823" builtinId="9" hidden="1"/>
    <cellStyle name="Lien hypertexte visité" xfId="1079" builtinId="9" hidden="1"/>
    <cellStyle name="Lien hypertexte visité" xfId="1249" builtinId="9" hidden="1"/>
    <cellStyle name="Lien hypertexte visité" xfId="1377" builtinId="9" hidden="1"/>
    <cellStyle name="Lien hypertexte visité" xfId="1506" builtinId="9" hidden="1"/>
    <cellStyle name="Lien hypertexte visité" xfId="1634" builtinId="9" hidden="1"/>
    <cellStyle name="Lien hypertexte visité" xfId="1762" builtinId="9" hidden="1"/>
    <cellStyle name="Lien hypertexte visité" xfId="1890" builtinId="9" hidden="1"/>
    <cellStyle name="Lien hypertexte visité" xfId="2018" builtinId="9" hidden="1"/>
    <cellStyle name="Lien hypertexte visité" xfId="2146" builtinId="9" hidden="1"/>
    <cellStyle name="Lien hypertexte visité" xfId="2274" builtinId="9" hidden="1"/>
    <cellStyle name="Lien hypertexte visité" xfId="2402" builtinId="9" hidden="1"/>
    <cellStyle name="Lien hypertexte visité" xfId="2530" builtinId="9" hidden="1"/>
    <cellStyle name="Lien hypertexte visité" xfId="2658" builtinId="9" hidden="1"/>
    <cellStyle name="Lien hypertexte visité" xfId="2786" builtinId="9" hidden="1"/>
    <cellStyle name="Lien hypertexte visité" xfId="2914" builtinId="9" hidden="1"/>
    <cellStyle name="Lien hypertexte visité" xfId="3042" builtinId="9" hidden="1"/>
    <cellStyle name="Lien hypertexte visité" xfId="3170" builtinId="9" hidden="1"/>
    <cellStyle name="Lien hypertexte visité" xfId="3298" builtinId="9" hidden="1"/>
    <cellStyle name="Lien hypertexte visité" xfId="3426" builtinId="9" hidden="1"/>
    <cellStyle name="Lien hypertexte visité" xfId="3554" builtinId="9" hidden="1"/>
    <cellStyle name="Lien hypertexte visité" xfId="3690" builtinId="9" hidden="1"/>
    <cellStyle name="Lien hypertexte visité" xfId="3819" builtinId="9" hidden="1"/>
    <cellStyle name="Lien hypertexte visité" xfId="3944" builtinId="9" hidden="1"/>
    <cellStyle name="Lien hypertexte visité" xfId="4072" builtinId="9" hidden="1"/>
    <cellStyle name="Lien hypertexte visité" xfId="4200" builtinId="9" hidden="1"/>
    <cellStyle name="Lien hypertexte visité" xfId="4328" builtinId="9" hidden="1"/>
    <cellStyle name="Lien hypertexte visité" xfId="4456" builtinId="9" hidden="1"/>
    <cellStyle name="Lien hypertexte visité" xfId="4584" builtinId="9" hidden="1"/>
    <cellStyle name="Lien hypertexte visité" xfId="4712" builtinId="9" hidden="1"/>
    <cellStyle name="Lien hypertexte visité" xfId="4840" builtinId="9" hidden="1"/>
    <cellStyle name="Lien hypertexte visité" xfId="4968" builtinId="9" hidden="1"/>
    <cellStyle name="Lien hypertexte visité" xfId="5096" builtinId="9" hidden="1"/>
    <cellStyle name="Lien hypertexte visité" xfId="5224" builtinId="9" hidden="1"/>
    <cellStyle name="Lien hypertexte visité" xfId="5352" builtinId="9" hidden="1"/>
    <cellStyle name="Lien hypertexte visité" xfId="5480" builtinId="9" hidden="1"/>
    <cellStyle name="Lien hypertexte visité" xfId="5608" builtinId="9" hidden="1"/>
    <cellStyle name="Lien hypertexte visité" xfId="5736" builtinId="9" hidden="1"/>
    <cellStyle name="Lien hypertexte visité" xfId="5864" builtinId="9" hidden="1"/>
    <cellStyle name="Lien hypertexte visité" xfId="5992" builtinId="9" hidden="1"/>
    <cellStyle name="Lien hypertexte visité" xfId="6120" builtinId="9" hidden="1"/>
    <cellStyle name="Lien hypertexte visité" xfId="6248" builtinId="9" hidden="1"/>
    <cellStyle name="Lien hypertexte visité" xfId="6376" builtinId="9" hidden="1"/>
    <cellStyle name="Lien hypertexte visité" xfId="6504" builtinId="9" hidden="1"/>
    <cellStyle name="Lien hypertexte visité" xfId="6632" builtinId="9" hidden="1"/>
    <cellStyle name="Lien hypertexte visité" xfId="6760" builtinId="9" hidden="1"/>
    <cellStyle name="Lien hypertexte visité" xfId="6888" builtinId="9" hidden="1"/>
    <cellStyle name="Lien hypertexte visité" xfId="7016" builtinId="9" hidden="1"/>
    <cellStyle name="Lien hypertexte visité" xfId="7144" builtinId="9" hidden="1"/>
    <cellStyle name="Lien hypertexte visité" xfId="7272" builtinId="9" hidden="1"/>
    <cellStyle name="Lien hypertexte visité" xfId="7400" builtinId="9" hidden="1"/>
    <cellStyle name="Lien hypertexte visité" xfId="7528" builtinId="9" hidden="1"/>
    <cellStyle name="Lien hypertexte visité" xfId="7656" builtinId="9" hidden="1"/>
    <cellStyle name="Lien hypertexte visité" xfId="7784" builtinId="9" hidden="1"/>
    <cellStyle name="Lien hypertexte visité" xfId="7913" builtinId="9" hidden="1"/>
    <cellStyle name="Lien hypertexte visité" xfId="8041" builtinId="9" hidden="1"/>
    <cellStyle name="Lien hypertexte visité" xfId="8169" builtinId="9" hidden="1"/>
    <cellStyle name="Lien hypertexte visité" xfId="8297" builtinId="9" hidden="1"/>
    <cellStyle name="Lien hypertexte visité" xfId="8425" builtinId="9" hidden="1"/>
    <cellStyle name="Lien hypertexte visité" xfId="8553" builtinId="9" hidden="1"/>
    <cellStyle name="Lien hypertexte visité" xfId="8681" builtinId="9" hidden="1"/>
    <cellStyle name="Lien hypertexte visité" xfId="8809" builtinId="9" hidden="1"/>
    <cellStyle name="Lien hypertexte visité" xfId="8937" builtinId="9" hidden="1"/>
    <cellStyle name="Lien hypertexte visité" xfId="9065" builtinId="9" hidden="1"/>
    <cellStyle name="Lien hypertexte visité" xfId="9193" builtinId="9" hidden="1"/>
    <cellStyle name="Lien hypertexte visité" xfId="9321" builtinId="9" hidden="1"/>
    <cellStyle name="Lien hypertexte visité" xfId="9449" builtinId="9" hidden="1"/>
    <cellStyle name="Lien hypertexte visité" xfId="9577" builtinId="9" hidden="1"/>
    <cellStyle name="Lien hypertexte visité" xfId="9705" builtinId="9" hidden="1"/>
    <cellStyle name="Lien hypertexte visité" xfId="9833" builtinId="9" hidden="1"/>
    <cellStyle name="Lien hypertexte visité" xfId="9961" builtinId="9" hidden="1"/>
    <cellStyle name="Lien hypertexte visité" xfId="10089" builtinId="9" hidden="1"/>
    <cellStyle name="Lien hypertexte visité" xfId="10217" builtinId="9" hidden="1"/>
    <cellStyle name="Lien hypertexte visité" xfId="10345" builtinId="9" hidden="1"/>
    <cellStyle name="Lien hypertexte visité" xfId="10473" builtinId="9" hidden="1"/>
    <cellStyle name="Lien hypertexte visité" xfId="10601" builtinId="9" hidden="1"/>
    <cellStyle name="Lien hypertexte visité" xfId="10729" builtinId="9" hidden="1"/>
    <cellStyle name="Lien hypertexte visité" xfId="10857" builtinId="9" hidden="1"/>
    <cellStyle name="Lien hypertexte visité" xfId="10985" builtinId="9" hidden="1"/>
    <cellStyle name="Lien hypertexte visité" xfId="11113" builtinId="9" hidden="1"/>
    <cellStyle name="Lien hypertexte visité" xfId="11241" builtinId="9" hidden="1"/>
    <cellStyle name="Lien hypertexte visité" xfId="11369" builtinId="9" hidden="1"/>
    <cellStyle name="Lien hypertexte visité" xfId="11497" builtinId="9" hidden="1"/>
    <cellStyle name="Lien hypertexte visité" xfId="11625" builtinId="9" hidden="1"/>
    <cellStyle name="Lien hypertexte visité" xfId="11753" builtinId="9" hidden="1"/>
    <cellStyle name="Lien hypertexte visité" xfId="11881" builtinId="9" hidden="1"/>
    <cellStyle name="Lien hypertexte visité" xfId="12009" builtinId="9" hidden="1"/>
    <cellStyle name="Lien hypertexte visité" xfId="12137" builtinId="9" hidden="1"/>
    <cellStyle name="Lien hypertexte visité" xfId="12265" builtinId="9" hidden="1"/>
    <cellStyle name="Lien hypertexte visité" xfId="12393" builtinId="9" hidden="1"/>
    <cellStyle name="Lien hypertexte visité" xfId="12521" builtinId="9" hidden="1"/>
    <cellStyle name="Lien hypertexte visité" xfId="12649" builtinId="9" hidden="1"/>
    <cellStyle name="Lien hypertexte visité" xfId="12777" builtinId="9" hidden="1"/>
    <cellStyle name="Lien hypertexte visité" xfId="12905" builtinId="9" hidden="1"/>
    <cellStyle name="Lien hypertexte visité" xfId="13033" builtinId="9" hidden="1"/>
    <cellStyle name="Lien hypertexte visité" xfId="13161" builtinId="9" hidden="1"/>
    <cellStyle name="Lien hypertexte visité" xfId="13289" builtinId="9" hidden="1"/>
    <cellStyle name="Lien hypertexte visité" xfId="13417" builtinId="9" hidden="1"/>
    <cellStyle name="Lien hypertexte visité" xfId="13545" builtinId="9" hidden="1"/>
    <cellStyle name="Lien hypertexte visité" xfId="13673" builtinId="9" hidden="1"/>
    <cellStyle name="Lien hypertexte visité" xfId="13801" builtinId="9" hidden="1"/>
    <cellStyle name="Lien hypertexte visité" xfId="13929" builtinId="9" hidden="1"/>
    <cellStyle name="Lien hypertexte visité" xfId="14057" builtinId="9" hidden="1"/>
    <cellStyle name="Lien hypertexte visité" xfId="14185" builtinId="9" hidden="1"/>
    <cellStyle name="Lien hypertexte visité" xfId="14313" builtinId="9" hidden="1"/>
    <cellStyle name="Lien hypertexte visité" xfId="14441" builtinId="9" hidden="1"/>
    <cellStyle name="Lien hypertexte visité" xfId="14623" builtinId="9" hidden="1"/>
    <cellStyle name="Lien hypertexte visité" xfId="14879" builtinId="9" hidden="1"/>
    <cellStyle name="Lien hypertexte visité" xfId="15135" builtinId="9" hidden="1"/>
    <cellStyle name="Lien hypertexte visité" xfId="15391" builtinId="9" hidden="1"/>
    <cellStyle name="Lien hypertexte visité" xfId="15647" builtinId="9" hidden="1"/>
    <cellStyle name="Lien hypertexte visité" xfId="15903" builtinId="9" hidden="1"/>
    <cellStyle name="Lien hypertexte visité" xfId="16159" builtinId="9" hidden="1"/>
    <cellStyle name="Lien hypertexte visité" xfId="16415" builtinId="9" hidden="1"/>
    <cellStyle name="Lien hypertexte visité" xfId="16671" builtinId="9" hidden="1"/>
    <cellStyle name="Lien hypertexte visité" xfId="16927" builtinId="9" hidden="1"/>
    <cellStyle name="Lien hypertexte visité" xfId="17183" builtinId="9" hidden="1"/>
    <cellStyle name="Lien hypertexte visité" xfId="17439" builtinId="9" hidden="1"/>
    <cellStyle name="Lien hypertexte visité" xfId="17695" builtinId="9" hidden="1"/>
    <cellStyle name="Lien hypertexte visité" xfId="17951" builtinId="9" hidden="1"/>
    <cellStyle name="Lien hypertexte visité" xfId="18207" builtinId="9" hidden="1"/>
    <cellStyle name="Lien hypertexte visité" xfId="18446" builtinId="9" hidden="1"/>
    <cellStyle name="Lien hypertexte visité" xfId="18702" builtinId="9" hidden="1"/>
    <cellStyle name="Lien hypertexte visité" xfId="18958" builtinId="9" hidden="1"/>
    <cellStyle name="Lien hypertexte visité" xfId="19214" builtinId="9" hidden="1"/>
    <cellStyle name="Lien hypertexte visité" xfId="19470" builtinId="9" hidden="1"/>
    <cellStyle name="Lien hypertexte visité" xfId="19726" builtinId="9" hidden="1"/>
    <cellStyle name="Lien hypertexte visité" xfId="19982" builtinId="9" hidden="1"/>
    <cellStyle name="Lien hypertexte visité" xfId="20238" builtinId="9" hidden="1"/>
    <cellStyle name="Lien hypertexte visité" xfId="20494" builtinId="9" hidden="1"/>
    <cellStyle name="Lien hypertexte visité" xfId="20750" builtinId="9" hidden="1"/>
    <cellStyle name="Lien hypertexte visité" xfId="21006" builtinId="9" hidden="1"/>
    <cellStyle name="Lien hypertexte visité" xfId="21262" builtinId="9" hidden="1"/>
    <cellStyle name="Lien hypertexte visité" xfId="21518" builtinId="9" hidden="1"/>
    <cellStyle name="Lien hypertexte visité" xfId="21774" builtinId="9" hidden="1"/>
    <cellStyle name="Lien hypertexte visité" xfId="22030" builtinId="9" hidden="1"/>
    <cellStyle name="Lien hypertexte visité" xfId="22286" builtinId="9" hidden="1"/>
    <cellStyle name="Lien hypertexte visité" xfId="22542" builtinId="9" hidden="1"/>
    <cellStyle name="Lien hypertexte visité" xfId="22798" builtinId="9" hidden="1"/>
    <cellStyle name="Lien hypertexte visité" xfId="23054" builtinId="9" hidden="1"/>
    <cellStyle name="Lien hypertexte visité" xfId="23310" builtinId="9" hidden="1"/>
    <cellStyle name="Lien hypertexte visité" xfId="23566" builtinId="9" hidden="1"/>
    <cellStyle name="Lien hypertexte visité" xfId="23822" builtinId="9" hidden="1"/>
    <cellStyle name="Lien hypertexte visité" xfId="24078" builtinId="9" hidden="1"/>
    <cellStyle name="Lien hypertexte visité" xfId="24334" builtinId="9" hidden="1"/>
    <cellStyle name="Lien hypertexte visité" xfId="24590" builtinId="9" hidden="1"/>
    <cellStyle name="Lien hypertexte visité" xfId="24380" builtinId="9" hidden="1"/>
    <cellStyle name="Lien hypertexte visité" xfId="24124" builtinId="9" hidden="1"/>
    <cellStyle name="Lien hypertexte visité" xfId="23868" builtinId="9" hidden="1"/>
    <cellStyle name="Lien hypertexte visité" xfId="23612" builtinId="9" hidden="1"/>
    <cellStyle name="Lien hypertexte visité" xfId="23356" builtinId="9" hidden="1"/>
    <cellStyle name="Lien hypertexte visité" xfId="23100" builtinId="9" hidden="1"/>
    <cellStyle name="Lien hypertexte visité" xfId="22844" builtinId="9" hidden="1"/>
    <cellStyle name="Lien hypertexte visité" xfId="22588" builtinId="9" hidden="1"/>
    <cellStyle name="Lien hypertexte visité" xfId="22332" builtinId="9" hidden="1"/>
    <cellStyle name="Lien hypertexte visité" xfId="22076" builtinId="9" hidden="1"/>
    <cellStyle name="Lien hypertexte visité" xfId="21820" builtinId="9" hidden="1"/>
    <cellStyle name="Lien hypertexte visité" xfId="21564" builtinId="9" hidden="1"/>
    <cellStyle name="Lien hypertexte visité" xfId="21308" builtinId="9" hidden="1"/>
    <cellStyle name="Lien hypertexte visité" xfId="21052" builtinId="9" hidden="1"/>
    <cellStyle name="Lien hypertexte visité" xfId="20796" builtinId="9" hidden="1"/>
    <cellStyle name="Lien hypertexte visité" xfId="20540" builtinId="9" hidden="1"/>
    <cellStyle name="Lien hypertexte visité" xfId="20284" builtinId="9" hidden="1"/>
    <cellStyle name="Lien hypertexte visité" xfId="20028" builtinId="9" hidden="1"/>
    <cellStyle name="Lien hypertexte visité" xfId="19772" builtinId="9" hidden="1"/>
    <cellStyle name="Lien hypertexte visité" xfId="19516" builtinId="9" hidden="1"/>
    <cellStyle name="Lien hypertexte visité" xfId="19260" builtinId="9" hidden="1"/>
    <cellStyle name="Lien hypertexte visité" xfId="19004" builtinId="9" hidden="1"/>
    <cellStyle name="Lien hypertexte visité" xfId="18748" builtinId="9" hidden="1"/>
    <cellStyle name="Lien hypertexte visité" xfId="18492" builtinId="9" hidden="1"/>
    <cellStyle name="Lien hypertexte visité" xfId="18253" builtinId="9" hidden="1"/>
    <cellStyle name="Lien hypertexte visité" xfId="17997" builtinId="9" hidden="1"/>
    <cellStyle name="Lien hypertexte visité" xfId="17741" builtinId="9" hidden="1"/>
    <cellStyle name="Lien hypertexte visité" xfId="17485" builtinId="9" hidden="1"/>
    <cellStyle name="Lien hypertexte visité" xfId="17229" builtinId="9" hidden="1"/>
    <cellStyle name="Lien hypertexte visité" xfId="16973" builtinId="9" hidden="1"/>
    <cellStyle name="Lien hypertexte visité" xfId="16717" builtinId="9" hidden="1"/>
    <cellStyle name="Lien hypertexte visité" xfId="16461" builtinId="9" hidden="1"/>
    <cellStyle name="Lien hypertexte visité" xfId="16205" builtinId="9" hidden="1"/>
    <cellStyle name="Lien hypertexte visité" xfId="15949" builtinId="9" hidden="1"/>
    <cellStyle name="Lien hypertexte visité" xfId="15693" builtinId="9" hidden="1"/>
    <cellStyle name="Lien hypertexte visité" xfId="15437" builtinId="9" hidden="1"/>
    <cellStyle name="Lien hypertexte visité" xfId="15181" builtinId="9" hidden="1"/>
    <cellStyle name="Lien hypertexte visité" xfId="14925" builtinId="9" hidden="1"/>
    <cellStyle name="Lien hypertexte visité" xfId="14669" builtinId="9" hidden="1"/>
    <cellStyle name="Lien hypertexte visité" xfId="14464" builtinId="9" hidden="1"/>
    <cellStyle name="Lien hypertexte visité" xfId="14336" builtinId="9" hidden="1"/>
    <cellStyle name="Lien hypertexte visité" xfId="14208" builtinId="9" hidden="1"/>
    <cellStyle name="Lien hypertexte visité" xfId="14080" builtinId="9" hidden="1"/>
    <cellStyle name="Lien hypertexte visité" xfId="13952" builtinId="9" hidden="1"/>
    <cellStyle name="Lien hypertexte visité" xfId="13824" builtinId="9" hidden="1"/>
    <cellStyle name="Lien hypertexte visité" xfId="13696" builtinId="9" hidden="1"/>
    <cellStyle name="Lien hypertexte visité" xfId="13568" builtinId="9" hidden="1"/>
    <cellStyle name="Lien hypertexte visité" xfId="13440" builtinId="9" hidden="1"/>
    <cellStyle name="Lien hypertexte visité" xfId="13312" builtinId="9" hidden="1"/>
    <cellStyle name="Lien hypertexte visité" xfId="13184" builtinId="9" hidden="1"/>
    <cellStyle name="Lien hypertexte visité" xfId="13056" builtinId="9" hidden="1"/>
    <cellStyle name="Lien hypertexte visité" xfId="12928" builtinId="9" hidden="1"/>
    <cellStyle name="Lien hypertexte visité" xfId="12800" builtinId="9" hidden="1"/>
    <cellStyle name="Lien hypertexte visité" xfId="12672" builtinId="9" hidden="1"/>
    <cellStyle name="Lien hypertexte visité" xfId="12544" builtinId="9" hidden="1"/>
    <cellStyle name="Lien hypertexte visité" xfId="12416" builtinId="9" hidden="1"/>
    <cellStyle name="Lien hypertexte visité" xfId="12288" builtinId="9" hidden="1"/>
    <cellStyle name="Lien hypertexte visité" xfId="12160" builtinId="9" hidden="1"/>
    <cellStyle name="Lien hypertexte visité" xfId="12032" builtinId="9" hidden="1"/>
    <cellStyle name="Lien hypertexte visité" xfId="11904" builtinId="9" hidden="1"/>
    <cellStyle name="Lien hypertexte visité" xfId="11776" builtinId="9" hidden="1"/>
    <cellStyle name="Lien hypertexte visité" xfId="11648" builtinId="9" hidden="1"/>
    <cellStyle name="Lien hypertexte visité" xfId="11520" builtinId="9" hidden="1"/>
    <cellStyle name="Lien hypertexte visité" xfId="11392" builtinId="9" hidden="1"/>
    <cellStyle name="Lien hypertexte visité" xfId="11264" builtinId="9" hidden="1"/>
    <cellStyle name="Lien hypertexte visité" xfId="11136" builtinId="9" hidden="1"/>
    <cellStyle name="Lien hypertexte visité" xfId="11008" builtinId="9" hidden="1"/>
    <cellStyle name="Lien hypertexte visité" xfId="10880" builtinId="9" hidden="1"/>
    <cellStyle name="Lien hypertexte visité" xfId="10752" builtinId="9" hidden="1"/>
    <cellStyle name="Lien hypertexte visité" xfId="10624" builtinId="9" hidden="1"/>
    <cellStyle name="Lien hypertexte visité" xfId="10496" builtinId="9" hidden="1"/>
    <cellStyle name="Lien hypertexte visité" xfId="10368" builtinId="9" hidden="1"/>
    <cellStyle name="Lien hypertexte visité" xfId="10240" builtinId="9" hidden="1"/>
    <cellStyle name="Lien hypertexte visité" xfId="10112" builtinId="9" hidden="1"/>
    <cellStyle name="Lien hypertexte visité" xfId="9984" builtinId="9" hidden="1"/>
    <cellStyle name="Lien hypertexte visité" xfId="9856" builtinId="9" hidden="1"/>
    <cellStyle name="Lien hypertexte visité" xfId="9728" builtinId="9" hidden="1"/>
    <cellStyle name="Lien hypertexte visité" xfId="9600" builtinId="9" hidden="1"/>
    <cellStyle name="Lien hypertexte visité" xfId="9472" builtinId="9" hidden="1"/>
    <cellStyle name="Lien hypertexte visité" xfId="9344" builtinId="9" hidden="1"/>
    <cellStyle name="Lien hypertexte visité" xfId="9216" builtinId="9" hidden="1"/>
    <cellStyle name="Lien hypertexte visité" xfId="9088" builtinId="9" hidden="1"/>
    <cellStyle name="Lien hypertexte visité" xfId="8960" builtinId="9" hidden="1"/>
    <cellStyle name="Lien hypertexte visité" xfId="8856" builtinId="9" hidden="1"/>
    <cellStyle name="Lien hypertexte visité" xfId="8904" builtinId="9" hidden="1"/>
    <cellStyle name="Lien hypertexte visité" xfId="8944" builtinId="9" hidden="1"/>
    <cellStyle name="Lien hypertexte visité" xfId="8984" builtinId="9" hidden="1"/>
    <cellStyle name="Lien hypertexte visité" xfId="9032" builtinId="9" hidden="1"/>
    <cellStyle name="Lien hypertexte visité" xfId="9072" builtinId="9" hidden="1"/>
    <cellStyle name="Lien hypertexte visité" xfId="9112" builtinId="9" hidden="1"/>
    <cellStyle name="Lien hypertexte visité" xfId="9160" builtinId="9" hidden="1"/>
    <cellStyle name="Lien hypertexte visité" xfId="9200" builtinId="9" hidden="1"/>
    <cellStyle name="Lien hypertexte visité" xfId="9240" builtinId="9" hidden="1"/>
    <cellStyle name="Lien hypertexte visité" xfId="9288" builtinId="9" hidden="1"/>
    <cellStyle name="Lien hypertexte visité" xfId="9328" builtinId="9" hidden="1"/>
    <cellStyle name="Lien hypertexte visité" xfId="9368" builtinId="9" hidden="1"/>
    <cellStyle name="Lien hypertexte visité" xfId="9416" builtinId="9" hidden="1"/>
    <cellStyle name="Lien hypertexte visité" xfId="9456" builtinId="9" hidden="1"/>
    <cellStyle name="Lien hypertexte visité" xfId="9496" builtinId="9" hidden="1"/>
    <cellStyle name="Lien hypertexte visité" xfId="9544" builtinId="9" hidden="1"/>
    <cellStyle name="Lien hypertexte visité" xfId="9584" builtinId="9" hidden="1"/>
    <cellStyle name="Lien hypertexte visité" xfId="9624" builtinId="9" hidden="1"/>
    <cellStyle name="Lien hypertexte visité" xfId="9672" builtinId="9" hidden="1"/>
    <cellStyle name="Lien hypertexte visité" xfId="9712" builtinId="9" hidden="1"/>
    <cellStyle name="Lien hypertexte visité" xfId="9752" builtinId="9" hidden="1"/>
    <cellStyle name="Lien hypertexte visité" xfId="9800" builtinId="9" hidden="1"/>
    <cellStyle name="Lien hypertexte visité" xfId="9840" builtinId="9" hidden="1"/>
    <cellStyle name="Lien hypertexte visité" xfId="9880" builtinId="9" hidden="1"/>
    <cellStyle name="Lien hypertexte visité" xfId="9928" builtinId="9" hidden="1"/>
    <cellStyle name="Lien hypertexte visité" xfId="9968" builtinId="9" hidden="1"/>
    <cellStyle name="Lien hypertexte visité" xfId="10008" builtinId="9" hidden="1"/>
    <cellStyle name="Lien hypertexte visité" xfId="10056" builtinId="9" hidden="1"/>
    <cellStyle name="Lien hypertexte visité" xfId="10096" builtinId="9" hidden="1"/>
    <cellStyle name="Lien hypertexte visité" xfId="10136" builtinId="9" hidden="1"/>
    <cellStyle name="Lien hypertexte visité" xfId="10184" builtinId="9" hidden="1"/>
    <cellStyle name="Lien hypertexte visité" xfId="10224" builtinId="9" hidden="1"/>
    <cellStyle name="Lien hypertexte visité" xfId="10264" builtinId="9" hidden="1"/>
    <cellStyle name="Lien hypertexte visité" xfId="10312" builtinId="9" hidden="1"/>
    <cellStyle name="Lien hypertexte visité" xfId="10352" builtinId="9" hidden="1"/>
    <cellStyle name="Lien hypertexte visité" xfId="10392" builtinId="9" hidden="1"/>
    <cellStyle name="Lien hypertexte visité" xfId="10440" builtinId="9" hidden="1"/>
    <cellStyle name="Lien hypertexte visité" xfId="10480" builtinId="9" hidden="1"/>
    <cellStyle name="Lien hypertexte visité" xfId="10520" builtinId="9" hidden="1"/>
    <cellStyle name="Lien hypertexte visité" xfId="10568" builtinId="9" hidden="1"/>
    <cellStyle name="Lien hypertexte visité" xfId="10608" builtinId="9" hidden="1"/>
    <cellStyle name="Lien hypertexte visité" xfId="10648" builtinId="9" hidden="1"/>
    <cellStyle name="Lien hypertexte visité" xfId="10696" builtinId="9" hidden="1"/>
    <cellStyle name="Lien hypertexte visité" xfId="10736" builtinId="9" hidden="1"/>
    <cellStyle name="Lien hypertexte visité" xfId="10776" builtinId="9" hidden="1"/>
    <cellStyle name="Lien hypertexte visité" xfId="10824" builtinId="9" hidden="1"/>
    <cellStyle name="Lien hypertexte visité" xfId="10864" builtinId="9" hidden="1"/>
    <cellStyle name="Lien hypertexte visité" xfId="10904" builtinId="9" hidden="1"/>
    <cellStyle name="Lien hypertexte visité" xfId="10952" builtinId="9" hidden="1"/>
    <cellStyle name="Lien hypertexte visité" xfId="10992" builtinId="9" hidden="1"/>
    <cellStyle name="Lien hypertexte visité" xfId="11032" builtinId="9" hidden="1"/>
    <cellStyle name="Lien hypertexte visité" xfId="11080" builtinId="9" hidden="1"/>
    <cellStyle name="Lien hypertexte visité" xfId="11120" builtinId="9" hidden="1"/>
    <cellStyle name="Lien hypertexte visité" xfId="11160" builtinId="9" hidden="1"/>
    <cellStyle name="Lien hypertexte visité" xfId="11208" builtinId="9" hidden="1"/>
    <cellStyle name="Lien hypertexte visité" xfId="11248" builtinId="9" hidden="1"/>
    <cellStyle name="Lien hypertexte visité" xfId="11288" builtinId="9" hidden="1"/>
    <cellStyle name="Lien hypertexte visité" xfId="11336" builtinId="9" hidden="1"/>
    <cellStyle name="Lien hypertexte visité" xfId="11376" builtinId="9" hidden="1"/>
    <cellStyle name="Lien hypertexte visité" xfId="11416" builtinId="9" hidden="1"/>
    <cellStyle name="Lien hypertexte visité" xfId="11464" builtinId="9" hidden="1"/>
    <cellStyle name="Lien hypertexte visité" xfId="11504" builtinId="9" hidden="1"/>
    <cellStyle name="Lien hypertexte visité" xfId="11544" builtinId="9" hidden="1"/>
    <cellStyle name="Lien hypertexte visité" xfId="11592" builtinId="9" hidden="1"/>
    <cellStyle name="Lien hypertexte visité" xfId="11632" builtinId="9" hidden="1"/>
    <cellStyle name="Lien hypertexte visité" xfId="11672" builtinId="9" hidden="1"/>
    <cellStyle name="Lien hypertexte visité" xfId="11720" builtinId="9" hidden="1"/>
    <cellStyle name="Lien hypertexte visité" xfId="11760" builtinId="9" hidden="1"/>
    <cellStyle name="Lien hypertexte visité" xfId="11800" builtinId="9" hidden="1"/>
    <cellStyle name="Lien hypertexte visité" xfId="11848" builtinId="9" hidden="1"/>
    <cellStyle name="Lien hypertexte visité" xfId="11888" builtinId="9" hidden="1"/>
    <cellStyle name="Lien hypertexte visité" xfId="11928" builtinId="9" hidden="1"/>
    <cellStyle name="Lien hypertexte visité" xfId="11976" builtinId="9" hidden="1"/>
    <cellStyle name="Lien hypertexte visité" xfId="12016" builtinId="9" hidden="1"/>
    <cellStyle name="Lien hypertexte visité" xfId="12056" builtinId="9" hidden="1"/>
    <cellStyle name="Lien hypertexte visité" xfId="12104" builtinId="9" hidden="1"/>
    <cellStyle name="Lien hypertexte visité" xfId="12144" builtinId="9" hidden="1"/>
    <cellStyle name="Lien hypertexte visité" xfId="12184" builtinId="9" hidden="1"/>
    <cellStyle name="Lien hypertexte visité" xfId="12232" builtinId="9" hidden="1"/>
    <cellStyle name="Lien hypertexte visité" xfId="12272" builtinId="9" hidden="1"/>
    <cellStyle name="Lien hypertexte visité" xfId="12312" builtinId="9" hidden="1"/>
    <cellStyle name="Lien hypertexte visité" xfId="12360" builtinId="9" hidden="1"/>
    <cellStyle name="Lien hypertexte visité" xfId="12400" builtinId="9" hidden="1"/>
    <cellStyle name="Lien hypertexte visité" xfId="12440" builtinId="9" hidden="1"/>
    <cellStyle name="Lien hypertexte visité" xfId="12488" builtinId="9" hidden="1"/>
    <cellStyle name="Lien hypertexte visité" xfId="12528" builtinId="9" hidden="1"/>
    <cellStyle name="Lien hypertexte visité" xfId="12568" builtinId="9" hidden="1"/>
    <cellStyle name="Lien hypertexte visité" xfId="12616" builtinId="9" hidden="1"/>
    <cellStyle name="Lien hypertexte visité" xfId="12656" builtinId="9" hidden="1"/>
    <cellStyle name="Lien hypertexte visité" xfId="12696" builtinId="9" hidden="1"/>
    <cellStyle name="Lien hypertexte visité" xfId="12744" builtinId="9" hidden="1"/>
    <cellStyle name="Lien hypertexte visité" xfId="12784" builtinId="9" hidden="1"/>
    <cellStyle name="Lien hypertexte visité" xfId="12824" builtinId="9" hidden="1"/>
    <cellStyle name="Lien hypertexte visité" xfId="12872" builtinId="9" hidden="1"/>
    <cellStyle name="Lien hypertexte visité" xfId="12912" builtinId="9" hidden="1"/>
    <cellStyle name="Lien hypertexte visité" xfId="12952" builtinId="9" hidden="1"/>
    <cellStyle name="Lien hypertexte visité" xfId="13000" builtinId="9" hidden="1"/>
    <cellStyle name="Lien hypertexte visité" xfId="13040" builtinId="9" hidden="1"/>
    <cellStyle name="Lien hypertexte visité" xfId="13080" builtinId="9" hidden="1"/>
    <cellStyle name="Lien hypertexte visité" xfId="13128" builtinId="9" hidden="1"/>
    <cellStyle name="Lien hypertexte visité" xfId="13168" builtinId="9" hidden="1"/>
    <cellStyle name="Lien hypertexte visité" xfId="13208" builtinId="9" hidden="1"/>
    <cellStyle name="Lien hypertexte visité" xfId="13256" builtinId="9" hidden="1"/>
    <cellStyle name="Lien hypertexte visité" xfId="13296" builtinId="9" hidden="1"/>
    <cellStyle name="Lien hypertexte visité" xfId="13336" builtinId="9" hidden="1"/>
    <cellStyle name="Lien hypertexte visité" xfId="13384" builtinId="9" hidden="1"/>
    <cellStyle name="Lien hypertexte visité" xfId="13424" builtinId="9" hidden="1"/>
    <cellStyle name="Lien hypertexte visité" xfId="13464" builtinId="9" hidden="1"/>
    <cellStyle name="Lien hypertexte visité" xfId="13512" builtinId="9" hidden="1"/>
    <cellStyle name="Lien hypertexte visité" xfId="13552" builtinId="9" hidden="1"/>
    <cellStyle name="Lien hypertexte visité" xfId="13592" builtinId="9" hidden="1"/>
    <cellStyle name="Lien hypertexte visité" xfId="13640" builtinId="9" hidden="1"/>
    <cellStyle name="Lien hypertexte visité" xfId="13680" builtinId="9" hidden="1"/>
    <cellStyle name="Lien hypertexte visité" xfId="13720" builtinId="9" hidden="1"/>
    <cellStyle name="Lien hypertexte visité" xfId="13768" builtinId="9" hidden="1"/>
    <cellStyle name="Lien hypertexte visité" xfId="13808" builtinId="9" hidden="1"/>
    <cellStyle name="Lien hypertexte visité" xfId="13848" builtinId="9" hidden="1"/>
    <cellStyle name="Lien hypertexte visité" xfId="13896" builtinId="9" hidden="1"/>
    <cellStyle name="Lien hypertexte visité" xfId="13936" builtinId="9" hidden="1"/>
    <cellStyle name="Lien hypertexte visité" xfId="13976" builtinId="9" hidden="1"/>
    <cellStyle name="Lien hypertexte visité" xfId="14024" builtinId="9" hidden="1"/>
    <cellStyle name="Lien hypertexte visité" xfId="14064" builtinId="9" hidden="1"/>
    <cellStyle name="Lien hypertexte visité" xfId="14104" builtinId="9" hidden="1"/>
    <cellStyle name="Lien hypertexte visité" xfId="14152" builtinId="9" hidden="1"/>
    <cellStyle name="Lien hypertexte visité" xfId="14192" builtinId="9" hidden="1"/>
    <cellStyle name="Lien hypertexte visité" xfId="14232" builtinId="9" hidden="1"/>
    <cellStyle name="Lien hypertexte visité" xfId="14280" builtinId="9" hidden="1"/>
    <cellStyle name="Lien hypertexte visité" xfId="14320" builtinId="9" hidden="1"/>
    <cellStyle name="Lien hypertexte visité" xfId="14360" builtinId="9" hidden="1"/>
    <cellStyle name="Lien hypertexte visité" xfId="14408" builtinId="9" hidden="1"/>
    <cellStyle name="Lien hypertexte visité" xfId="14448" builtinId="9" hidden="1"/>
    <cellStyle name="Lien hypertexte visité" xfId="14488" builtinId="9" hidden="1"/>
    <cellStyle name="Lien hypertexte visité" xfId="14557" builtinId="9" hidden="1"/>
    <cellStyle name="Lien hypertexte visité" xfId="14637" builtinId="9" hidden="1"/>
    <cellStyle name="Lien hypertexte visité" xfId="14717" builtinId="9" hidden="1"/>
    <cellStyle name="Lien hypertexte visité" xfId="14813" builtinId="9" hidden="1"/>
    <cellStyle name="Lien hypertexte visité" xfId="14893" builtinId="9" hidden="1"/>
    <cellStyle name="Lien hypertexte visité" xfId="14973" builtinId="9" hidden="1"/>
    <cellStyle name="Lien hypertexte visité" xfId="15069" builtinId="9" hidden="1"/>
    <cellStyle name="Lien hypertexte visité" xfId="15149" builtinId="9" hidden="1"/>
    <cellStyle name="Lien hypertexte visité" xfId="15229" builtinId="9" hidden="1"/>
    <cellStyle name="Lien hypertexte visité" xfId="15325" builtinId="9" hidden="1"/>
    <cellStyle name="Lien hypertexte visité" xfId="15405" builtinId="9" hidden="1"/>
    <cellStyle name="Lien hypertexte visité" xfId="15485" builtinId="9" hidden="1"/>
    <cellStyle name="Lien hypertexte visité" xfId="15581" builtinId="9" hidden="1"/>
    <cellStyle name="Lien hypertexte visité" xfId="15661" builtinId="9" hidden="1"/>
    <cellStyle name="Lien hypertexte visité" xfId="15741" builtinId="9" hidden="1"/>
    <cellStyle name="Lien hypertexte visité" xfId="15837" builtinId="9" hidden="1"/>
    <cellStyle name="Lien hypertexte visité" xfId="15917" builtinId="9" hidden="1"/>
    <cellStyle name="Lien hypertexte visité" xfId="15997" builtinId="9" hidden="1"/>
    <cellStyle name="Lien hypertexte visité" xfId="16093" builtinId="9" hidden="1"/>
    <cellStyle name="Lien hypertexte visité" xfId="16173" builtinId="9" hidden="1"/>
    <cellStyle name="Lien hypertexte visité" xfId="16253" builtinId="9" hidden="1"/>
    <cellStyle name="Lien hypertexte visité" xfId="16349" builtinId="9" hidden="1"/>
    <cellStyle name="Lien hypertexte visité" xfId="16429" builtinId="9" hidden="1"/>
    <cellStyle name="Lien hypertexte visité" xfId="16509" builtinId="9" hidden="1"/>
    <cellStyle name="Lien hypertexte visité" xfId="16605" builtinId="9" hidden="1"/>
    <cellStyle name="Lien hypertexte visité" xfId="16685" builtinId="9" hidden="1"/>
    <cellStyle name="Lien hypertexte visité" xfId="16765" builtinId="9" hidden="1"/>
    <cellStyle name="Lien hypertexte visité" xfId="16861" builtinId="9" hidden="1"/>
    <cellStyle name="Lien hypertexte visité" xfId="16941" builtinId="9" hidden="1"/>
    <cellStyle name="Lien hypertexte visité" xfId="17021" builtinId="9" hidden="1"/>
    <cellStyle name="Lien hypertexte visité" xfId="17117" builtinId="9" hidden="1"/>
    <cellStyle name="Lien hypertexte visité" xfId="17197" builtinId="9" hidden="1"/>
    <cellStyle name="Lien hypertexte visité" xfId="17277" builtinId="9" hidden="1"/>
    <cellStyle name="Lien hypertexte visité" xfId="17373" builtinId="9" hidden="1"/>
    <cellStyle name="Lien hypertexte visité" xfId="17453" builtinId="9" hidden="1"/>
    <cellStyle name="Lien hypertexte visité" xfId="17533" builtinId="9" hidden="1"/>
    <cellStyle name="Lien hypertexte visité" xfId="17629" builtinId="9" hidden="1"/>
    <cellStyle name="Lien hypertexte visité" xfId="17709" builtinId="9" hidden="1"/>
    <cellStyle name="Lien hypertexte visité" xfId="17789" builtinId="9" hidden="1"/>
    <cellStyle name="Lien hypertexte visité" xfId="17885" builtinId="9" hidden="1"/>
    <cellStyle name="Lien hypertexte visité" xfId="17965" builtinId="9" hidden="1"/>
    <cellStyle name="Lien hypertexte visité" xfId="18045" builtinId="9" hidden="1"/>
    <cellStyle name="Lien hypertexte visité" xfId="18141" builtinId="9" hidden="1"/>
    <cellStyle name="Lien hypertexte visité" xfId="18221" builtinId="9" hidden="1"/>
    <cellStyle name="Lien hypertexte visité" xfId="18301" builtinId="9" hidden="1"/>
    <cellStyle name="Lien hypertexte visité" xfId="18380" builtinId="9" hidden="1"/>
    <cellStyle name="Lien hypertexte visité" xfId="18460" builtinId="9" hidden="1"/>
    <cellStyle name="Lien hypertexte visité" xfId="18540" builtinId="9" hidden="1"/>
    <cellStyle name="Lien hypertexte visité" xfId="18636" builtinId="9" hidden="1"/>
    <cellStyle name="Lien hypertexte visité" xfId="18716" builtinId="9" hidden="1"/>
    <cellStyle name="Lien hypertexte visité" xfId="18796" builtinId="9" hidden="1"/>
    <cellStyle name="Lien hypertexte visité" xfId="18892" builtinId="9" hidden="1"/>
    <cellStyle name="Lien hypertexte visité" xfId="18972" builtinId="9" hidden="1"/>
    <cellStyle name="Lien hypertexte visité" xfId="19052" builtinId="9" hidden="1"/>
    <cellStyle name="Lien hypertexte visité" xfId="19148" builtinId="9" hidden="1"/>
    <cellStyle name="Lien hypertexte visité" xfId="19228" builtinId="9" hidden="1"/>
    <cellStyle name="Lien hypertexte visité" xfId="19308" builtinId="9" hidden="1"/>
    <cellStyle name="Lien hypertexte visité" xfId="19404" builtinId="9" hidden="1"/>
    <cellStyle name="Lien hypertexte visité" xfId="19484" builtinId="9" hidden="1"/>
    <cellStyle name="Lien hypertexte visité" xfId="19564" builtinId="9" hidden="1"/>
    <cellStyle name="Lien hypertexte visité" xfId="19660" builtinId="9" hidden="1"/>
    <cellStyle name="Lien hypertexte visité" xfId="19740" builtinId="9" hidden="1"/>
    <cellStyle name="Lien hypertexte visité" xfId="19820" builtinId="9" hidden="1"/>
    <cellStyle name="Lien hypertexte visité" xfId="19916" builtinId="9" hidden="1"/>
    <cellStyle name="Lien hypertexte visité" xfId="19996" builtinId="9" hidden="1"/>
    <cellStyle name="Lien hypertexte visité" xfId="20076" builtinId="9" hidden="1"/>
    <cellStyle name="Lien hypertexte visité" xfId="20172" builtinId="9" hidden="1"/>
    <cellStyle name="Lien hypertexte visité" xfId="20252" builtinId="9" hidden="1"/>
    <cellStyle name="Lien hypertexte visité" xfId="20332" builtinId="9" hidden="1"/>
    <cellStyle name="Lien hypertexte visité" xfId="20428" builtinId="9" hidden="1"/>
    <cellStyle name="Lien hypertexte visité" xfId="20508" builtinId="9" hidden="1"/>
    <cellStyle name="Lien hypertexte visité" xfId="20588" builtinId="9" hidden="1"/>
    <cellStyle name="Lien hypertexte visité" xfId="20684" builtinId="9" hidden="1"/>
    <cellStyle name="Lien hypertexte visité" xfId="20764" builtinId="9" hidden="1"/>
    <cellStyle name="Lien hypertexte visité" xfId="20844" builtinId="9" hidden="1"/>
    <cellStyle name="Lien hypertexte visité" xfId="20940" builtinId="9" hidden="1"/>
    <cellStyle name="Lien hypertexte visité" xfId="21020" builtinId="9" hidden="1"/>
    <cellStyle name="Lien hypertexte visité" xfId="21100" builtinId="9" hidden="1"/>
    <cellStyle name="Lien hypertexte visité" xfId="21196" builtinId="9" hidden="1"/>
    <cellStyle name="Lien hypertexte visité" xfId="21276" builtinId="9" hidden="1"/>
    <cellStyle name="Lien hypertexte visité" xfId="21356" builtinId="9" hidden="1"/>
    <cellStyle name="Lien hypertexte visité" xfId="21452" builtinId="9" hidden="1"/>
    <cellStyle name="Lien hypertexte visité" xfId="21532" builtinId="9" hidden="1"/>
    <cellStyle name="Lien hypertexte visité" xfId="21612" builtinId="9" hidden="1"/>
    <cellStyle name="Lien hypertexte visité" xfId="21708" builtinId="9" hidden="1"/>
    <cellStyle name="Lien hypertexte visité" xfId="21788" builtinId="9" hidden="1"/>
    <cellStyle name="Lien hypertexte visité" xfId="21868" builtinId="9" hidden="1"/>
    <cellStyle name="Lien hypertexte visité" xfId="21964" builtinId="9" hidden="1"/>
    <cellStyle name="Lien hypertexte visité" xfId="22044" builtinId="9" hidden="1"/>
    <cellStyle name="Lien hypertexte visité" xfId="22124" builtinId="9" hidden="1"/>
    <cellStyle name="Lien hypertexte visité" xfId="22220" builtinId="9" hidden="1"/>
    <cellStyle name="Lien hypertexte visité" xfId="22300" builtinId="9" hidden="1"/>
    <cellStyle name="Lien hypertexte visité" xfId="22380" builtinId="9" hidden="1"/>
    <cellStyle name="Lien hypertexte visité" xfId="22476" builtinId="9" hidden="1"/>
    <cellStyle name="Lien hypertexte visité" xfId="22556" builtinId="9" hidden="1"/>
    <cellStyle name="Lien hypertexte visité" xfId="22636" builtinId="9" hidden="1"/>
    <cellStyle name="Lien hypertexte visité" xfId="22732" builtinId="9" hidden="1"/>
    <cellStyle name="Lien hypertexte visité" xfId="22812" builtinId="9" hidden="1"/>
    <cellStyle name="Lien hypertexte visité" xfId="22892" builtinId="9" hidden="1"/>
    <cellStyle name="Lien hypertexte visité" xfId="22988" builtinId="9" hidden="1"/>
    <cellStyle name="Lien hypertexte visité" xfId="23068" builtinId="9" hidden="1"/>
    <cellStyle name="Lien hypertexte visité" xfId="23148" builtinId="9" hidden="1"/>
    <cellStyle name="Lien hypertexte visité" xfId="23244" builtinId="9" hidden="1"/>
    <cellStyle name="Lien hypertexte visité" xfId="23324" builtinId="9" hidden="1"/>
    <cellStyle name="Lien hypertexte visité" xfId="23404" builtinId="9" hidden="1"/>
    <cellStyle name="Lien hypertexte visité" xfId="23500" builtinId="9" hidden="1"/>
    <cellStyle name="Lien hypertexte visité" xfId="23580" builtinId="9" hidden="1"/>
    <cellStyle name="Lien hypertexte visité" xfId="23660" builtinId="9" hidden="1"/>
    <cellStyle name="Lien hypertexte visité" xfId="23756" builtinId="9" hidden="1"/>
    <cellStyle name="Lien hypertexte visité" xfId="23836" builtinId="9" hidden="1"/>
    <cellStyle name="Lien hypertexte visité" xfId="23916" builtinId="9" hidden="1"/>
    <cellStyle name="Lien hypertexte visité" xfId="24012" builtinId="9" hidden="1"/>
    <cellStyle name="Lien hypertexte visité" xfId="24092" builtinId="9" hidden="1"/>
    <cellStyle name="Lien hypertexte visité" xfId="24172" builtinId="9" hidden="1"/>
    <cellStyle name="Lien hypertexte visité" xfId="24268" builtinId="9" hidden="1"/>
    <cellStyle name="Lien hypertexte visité" xfId="24348" builtinId="9" hidden="1"/>
    <cellStyle name="Lien hypertexte visité" xfId="24428" builtinId="9" hidden="1"/>
    <cellStyle name="Lien hypertexte visité" xfId="24524" builtinId="9" hidden="1"/>
    <cellStyle name="Lien hypertexte visité" xfId="24604" builtinId="9" hidden="1"/>
    <cellStyle name="Lien hypertexte visité" xfId="24542" builtinId="9" hidden="1"/>
    <cellStyle name="Lien hypertexte visité" xfId="24446" builtinId="9" hidden="1"/>
    <cellStyle name="Lien hypertexte visité" xfId="24366" builtinId="9" hidden="1"/>
    <cellStyle name="Lien hypertexte visité" xfId="24286" builtinId="9" hidden="1"/>
    <cellStyle name="Lien hypertexte visité" xfId="24190" builtinId="9" hidden="1"/>
    <cellStyle name="Lien hypertexte visité" xfId="24110" builtinId="9" hidden="1"/>
    <cellStyle name="Lien hypertexte visité" xfId="24030" builtinId="9" hidden="1"/>
    <cellStyle name="Lien hypertexte visité" xfId="23934" builtinId="9" hidden="1"/>
    <cellStyle name="Lien hypertexte visité" xfId="23854" builtinId="9" hidden="1"/>
    <cellStyle name="Lien hypertexte visité" xfId="23774" builtinId="9" hidden="1"/>
    <cellStyle name="Lien hypertexte visité" xfId="23678" builtinId="9" hidden="1"/>
    <cellStyle name="Lien hypertexte visité" xfId="23598" builtinId="9" hidden="1"/>
    <cellStyle name="Lien hypertexte visité" xfId="23518" builtinId="9" hidden="1"/>
    <cellStyle name="Lien hypertexte visité" xfId="23422" builtinId="9" hidden="1"/>
    <cellStyle name="Lien hypertexte visité" xfId="23342" builtinId="9" hidden="1"/>
    <cellStyle name="Lien hypertexte visité" xfId="23262" builtinId="9" hidden="1"/>
    <cellStyle name="Lien hypertexte visité" xfId="23166" builtinId="9" hidden="1"/>
    <cellStyle name="Lien hypertexte visité" xfId="23086" builtinId="9" hidden="1"/>
    <cellStyle name="Lien hypertexte visité" xfId="23006" builtinId="9" hidden="1"/>
    <cellStyle name="Lien hypertexte visité" xfId="22910" builtinId="9" hidden="1"/>
    <cellStyle name="Lien hypertexte visité" xfId="22830" builtinId="9" hidden="1"/>
    <cellStyle name="Lien hypertexte visité" xfId="22750" builtinId="9" hidden="1"/>
    <cellStyle name="Lien hypertexte visité" xfId="22654" builtinId="9" hidden="1"/>
    <cellStyle name="Lien hypertexte visité" xfId="22574" builtinId="9" hidden="1"/>
    <cellStyle name="Lien hypertexte visité" xfId="22494" builtinId="9" hidden="1"/>
    <cellStyle name="Lien hypertexte visité" xfId="22398" builtinId="9" hidden="1"/>
    <cellStyle name="Lien hypertexte visité" xfId="22318" builtinId="9" hidden="1"/>
    <cellStyle name="Lien hypertexte visité" xfId="22238" builtinId="9" hidden="1"/>
    <cellStyle name="Lien hypertexte visité" xfId="22142" builtinId="9" hidden="1"/>
    <cellStyle name="Lien hypertexte visité" xfId="22062" builtinId="9" hidden="1"/>
    <cellStyle name="Lien hypertexte visité" xfId="21982" builtinId="9" hidden="1"/>
    <cellStyle name="Lien hypertexte visité" xfId="21886" builtinId="9" hidden="1"/>
    <cellStyle name="Lien hypertexte visité" xfId="21806" builtinId="9" hidden="1"/>
    <cellStyle name="Lien hypertexte visité" xfId="21726" builtinId="9" hidden="1"/>
    <cellStyle name="Lien hypertexte visité" xfId="21630" builtinId="9" hidden="1"/>
    <cellStyle name="Lien hypertexte visité" xfId="21550" builtinId="9" hidden="1"/>
    <cellStyle name="Lien hypertexte visité" xfId="21470" builtinId="9" hidden="1"/>
    <cellStyle name="Lien hypertexte visité" xfId="21374" builtinId="9" hidden="1"/>
    <cellStyle name="Lien hypertexte visité" xfId="21294" builtinId="9" hidden="1"/>
    <cellStyle name="Lien hypertexte visité" xfId="21214" builtinId="9" hidden="1"/>
    <cellStyle name="Lien hypertexte visité" xfId="21118" builtinId="9" hidden="1"/>
    <cellStyle name="Lien hypertexte visité" xfId="21038" builtinId="9" hidden="1"/>
    <cellStyle name="Lien hypertexte visité" xfId="20958" builtinId="9" hidden="1"/>
    <cellStyle name="Lien hypertexte visité" xfId="20862" builtinId="9" hidden="1"/>
    <cellStyle name="Lien hypertexte visité" xfId="20782" builtinId="9" hidden="1"/>
    <cellStyle name="Lien hypertexte visité" xfId="20702" builtinId="9" hidden="1"/>
    <cellStyle name="Lien hypertexte visité" xfId="20606" builtinId="9" hidden="1"/>
    <cellStyle name="Lien hypertexte visité" xfId="20526" builtinId="9" hidden="1"/>
    <cellStyle name="Lien hypertexte visité" xfId="20446" builtinId="9" hidden="1"/>
    <cellStyle name="Lien hypertexte visité" xfId="20350" builtinId="9" hidden="1"/>
    <cellStyle name="Lien hypertexte visité" xfId="20270" builtinId="9" hidden="1"/>
    <cellStyle name="Lien hypertexte visité" xfId="20190" builtinId="9" hidden="1"/>
    <cellStyle name="Lien hypertexte visité" xfId="20094" builtinId="9" hidden="1"/>
    <cellStyle name="Lien hypertexte visité" xfId="20014" builtinId="9" hidden="1"/>
    <cellStyle name="Lien hypertexte visité" xfId="19934" builtinId="9" hidden="1"/>
    <cellStyle name="Lien hypertexte visité" xfId="19838" builtinId="9" hidden="1"/>
    <cellStyle name="Lien hypertexte visité" xfId="19758" builtinId="9" hidden="1"/>
    <cellStyle name="Lien hypertexte visité" xfId="19678" builtinId="9" hidden="1"/>
    <cellStyle name="Lien hypertexte visité" xfId="19582" builtinId="9" hidden="1"/>
    <cellStyle name="Lien hypertexte visité" xfId="19502" builtinId="9" hidden="1"/>
    <cellStyle name="Lien hypertexte visité" xfId="19422" builtinId="9" hidden="1"/>
    <cellStyle name="Lien hypertexte visité" xfId="19326" builtinId="9" hidden="1"/>
    <cellStyle name="Lien hypertexte visité" xfId="19246" builtinId="9" hidden="1"/>
    <cellStyle name="Lien hypertexte visité" xfId="19166" builtinId="9" hidden="1"/>
    <cellStyle name="Lien hypertexte visité" xfId="19070" builtinId="9" hidden="1"/>
    <cellStyle name="Lien hypertexte visité" xfId="18990" builtinId="9" hidden="1"/>
    <cellStyle name="Lien hypertexte visité" xfId="18910" builtinId="9" hidden="1"/>
    <cellStyle name="Lien hypertexte visité" xfId="18814" builtinId="9" hidden="1"/>
    <cellStyle name="Lien hypertexte visité" xfId="18734" builtinId="9" hidden="1"/>
    <cellStyle name="Lien hypertexte visité" xfId="18654" builtinId="9" hidden="1"/>
    <cellStyle name="Lien hypertexte visité" xfId="18558" builtinId="9" hidden="1"/>
    <cellStyle name="Lien hypertexte visité" xfId="18478" builtinId="9" hidden="1"/>
    <cellStyle name="Lien hypertexte visité" xfId="18398" builtinId="9" hidden="1"/>
    <cellStyle name="Lien hypertexte visité" xfId="18314" builtinId="9" hidden="1"/>
    <cellStyle name="Lien hypertexte visité" xfId="18239" builtinId="9" hidden="1"/>
    <cellStyle name="Lien hypertexte visité" xfId="18159" builtinId="9" hidden="1"/>
    <cellStyle name="Lien hypertexte visité" xfId="18063" builtinId="9" hidden="1"/>
    <cellStyle name="Lien hypertexte visité" xfId="17983" builtinId="9" hidden="1"/>
    <cellStyle name="Lien hypertexte visité" xfId="17903" builtinId="9" hidden="1"/>
    <cellStyle name="Lien hypertexte visité" xfId="17807" builtinId="9" hidden="1"/>
    <cellStyle name="Lien hypertexte visité" xfId="17727" builtinId="9" hidden="1"/>
    <cellStyle name="Lien hypertexte visité" xfId="17647" builtinId="9" hidden="1"/>
    <cellStyle name="Lien hypertexte visité" xfId="17551" builtinId="9" hidden="1"/>
    <cellStyle name="Lien hypertexte visité" xfId="17471" builtinId="9" hidden="1"/>
    <cellStyle name="Lien hypertexte visité" xfId="17391" builtinId="9" hidden="1"/>
    <cellStyle name="Lien hypertexte visité" xfId="17295" builtinId="9" hidden="1"/>
    <cellStyle name="Lien hypertexte visité" xfId="17215" builtinId="9" hidden="1"/>
    <cellStyle name="Lien hypertexte visité" xfId="17135" builtinId="9" hidden="1"/>
    <cellStyle name="Lien hypertexte visité" xfId="17039" builtinId="9" hidden="1"/>
    <cellStyle name="Lien hypertexte visité" xfId="16959" builtinId="9" hidden="1"/>
    <cellStyle name="Lien hypertexte visité" xfId="16879" builtinId="9" hidden="1"/>
    <cellStyle name="Lien hypertexte visité" xfId="16783" builtinId="9" hidden="1"/>
    <cellStyle name="Lien hypertexte visité" xfId="16703" builtinId="9" hidden="1"/>
    <cellStyle name="Lien hypertexte visité" xfId="16623" builtinId="9" hidden="1"/>
    <cellStyle name="Lien hypertexte visité" xfId="16527" builtinId="9" hidden="1"/>
    <cellStyle name="Lien hypertexte visité" xfId="16447" builtinId="9" hidden="1"/>
    <cellStyle name="Lien hypertexte visité" xfId="16367" builtinId="9" hidden="1"/>
    <cellStyle name="Lien hypertexte visité" xfId="16271" builtinId="9" hidden="1"/>
    <cellStyle name="Lien hypertexte visité" xfId="16191" builtinId="9" hidden="1"/>
    <cellStyle name="Lien hypertexte visité" xfId="16111" builtinId="9" hidden="1"/>
    <cellStyle name="Lien hypertexte visité" xfId="16015" builtinId="9" hidden="1"/>
    <cellStyle name="Lien hypertexte visité" xfId="15935" builtinId="9" hidden="1"/>
    <cellStyle name="Lien hypertexte visité" xfId="15855" builtinId="9" hidden="1"/>
    <cellStyle name="Lien hypertexte visité" xfId="15759" builtinId="9" hidden="1"/>
    <cellStyle name="Lien hypertexte visité" xfId="15679" builtinId="9" hidden="1"/>
    <cellStyle name="Lien hypertexte visité" xfId="15599" builtinId="9" hidden="1"/>
    <cellStyle name="Lien hypertexte visité" xfId="15503" builtinId="9" hidden="1"/>
    <cellStyle name="Lien hypertexte visité" xfId="15423" builtinId="9" hidden="1"/>
    <cellStyle name="Lien hypertexte visité" xfId="15343" builtinId="9" hidden="1"/>
    <cellStyle name="Lien hypertexte visité" xfId="15247" builtinId="9" hidden="1"/>
    <cellStyle name="Lien hypertexte visité" xfId="15167" builtinId="9" hidden="1"/>
    <cellStyle name="Lien hypertexte visité" xfId="15087" builtinId="9" hidden="1"/>
    <cellStyle name="Lien hypertexte visité" xfId="14991" builtinId="9" hidden="1"/>
    <cellStyle name="Lien hypertexte visité" xfId="14911" builtinId="9" hidden="1"/>
    <cellStyle name="Lien hypertexte visité" xfId="14831" builtinId="9" hidden="1"/>
    <cellStyle name="Lien hypertexte visité" xfId="14735" builtinId="9" hidden="1"/>
    <cellStyle name="Lien hypertexte visité" xfId="14655" builtinId="9" hidden="1"/>
    <cellStyle name="Lien hypertexte visité" xfId="14575" builtinId="9" hidden="1"/>
    <cellStyle name="Lien hypertexte visité" xfId="14497" builtinId="9" hidden="1"/>
    <cellStyle name="Lien hypertexte visité" xfId="14457" builtinId="9" hidden="1"/>
    <cellStyle name="Lien hypertexte visité" xfId="14417" builtinId="9" hidden="1"/>
    <cellStyle name="Lien hypertexte visité" xfId="14369" builtinId="9" hidden="1"/>
    <cellStyle name="Lien hypertexte visité" xfId="14329" builtinId="9" hidden="1"/>
    <cellStyle name="Lien hypertexte visité" xfId="14289" builtinId="9" hidden="1"/>
    <cellStyle name="Lien hypertexte visité" xfId="14241" builtinId="9" hidden="1"/>
    <cellStyle name="Lien hypertexte visité" xfId="14201" builtinId="9" hidden="1"/>
    <cellStyle name="Lien hypertexte visité" xfId="14161" builtinId="9" hidden="1"/>
    <cellStyle name="Lien hypertexte visité" xfId="14113" builtinId="9" hidden="1"/>
    <cellStyle name="Lien hypertexte visité" xfId="14073" builtinId="9" hidden="1"/>
    <cellStyle name="Lien hypertexte visité" xfId="14033" builtinId="9" hidden="1"/>
    <cellStyle name="Lien hypertexte visité" xfId="13985" builtinId="9" hidden="1"/>
    <cellStyle name="Lien hypertexte visité" xfId="13945" builtinId="9" hidden="1"/>
    <cellStyle name="Lien hypertexte visité" xfId="13905" builtinId="9" hidden="1"/>
    <cellStyle name="Lien hypertexte visité" xfId="13857" builtinId="9" hidden="1"/>
    <cellStyle name="Lien hypertexte visité" xfId="13817" builtinId="9" hidden="1"/>
    <cellStyle name="Lien hypertexte visité" xfId="13777" builtinId="9" hidden="1"/>
    <cellStyle name="Lien hypertexte visité" xfId="13729" builtinId="9" hidden="1"/>
    <cellStyle name="Lien hypertexte visité" xfId="13689" builtinId="9" hidden="1"/>
    <cellStyle name="Lien hypertexte visité" xfId="13649" builtinId="9" hidden="1"/>
    <cellStyle name="Lien hypertexte visité" xfId="13601" builtinId="9" hidden="1"/>
    <cellStyle name="Lien hypertexte visité" xfId="13561" builtinId="9" hidden="1"/>
    <cellStyle name="Lien hypertexte visité" xfId="13521" builtinId="9" hidden="1"/>
    <cellStyle name="Lien hypertexte visité" xfId="13473" builtinId="9" hidden="1"/>
    <cellStyle name="Lien hypertexte visité" xfId="13433" builtinId="9" hidden="1"/>
    <cellStyle name="Lien hypertexte visité" xfId="13393" builtinId="9" hidden="1"/>
    <cellStyle name="Lien hypertexte visité" xfId="13345" builtinId="9" hidden="1"/>
    <cellStyle name="Lien hypertexte visité" xfId="13305" builtinId="9" hidden="1"/>
    <cellStyle name="Lien hypertexte visité" xfId="13265" builtinId="9" hidden="1"/>
    <cellStyle name="Lien hypertexte visité" xfId="13217" builtinId="9" hidden="1"/>
    <cellStyle name="Lien hypertexte visité" xfId="13177" builtinId="9" hidden="1"/>
    <cellStyle name="Lien hypertexte visité" xfId="13137" builtinId="9" hidden="1"/>
    <cellStyle name="Lien hypertexte visité" xfId="13089" builtinId="9" hidden="1"/>
    <cellStyle name="Lien hypertexte visité" xfId="13049" builtinId="9" hidden="1"/>
    <cellStyle name="Lien hypertexte visité" xfId="13009" builtinId="9" hidden="1"/>
    <cellStyle name="Lien hypertexte visité" xfId="12961" builtinId="9" hidden="1"/>
    <cellStyle name="Lien hypertexte visité" xfId="12921" builtinId="9" hidden="1"/>
    <cellStyle name="Lien hypertexte visité" xfId="12881" builtinId="9" hidden="1"/>
    <cellStyle name="Lien hypertexte visité" xfId="12833" builtinId="9" hidden="1"/>
    <cellStyle name="Lien hypertexte visité" xfId="12793" builtinId="9" hidden="1"/>
    <cellStyle name="Lien hypertexte visité" xfId="12753" builtinId="9" hidden="1"/>
    <cellStyle name="Lien hypertexte visité" xfId="12705" builtinId="9" hidden="1"/>
    <cellStyle name="Lien hypertexte visité" xfId="12665" builtinId="9" hidden="1"/>
    <cellStyle name="Lien hypertexte visité" xfId="12625" builtinId="9" hidden="1"/>
    <cellStyle name="Lien hypertexte visité" xfId="12577" builtinId="9" hidden="1"/>
    <cellStyle name="Lien hypertexte visité" xfId="12537" builtinId="9" hidden="1"/>
    <cellStyle name="Lien hypertexte visité" xfId="12497" builtinId="9" hidden="1"/>
    <cellStyle name="Lien hypertexte visité" xfId="12449" builtinId="9" hidden="1"/>
    <cellStyle name="Lien hypertexte visité" xfId="12409" builtinId="9" hidden="1"/>
    <cellStyle name="Lien hypertexte visité" xfId="12369" builtinId="9" hidden="1"/>
    <cellStyle name="Lien hypertexte visité" xfId="12321" builtinId="9" hidden="1"/>
    <cellStyle name="Lien hypertexte visité" xfId="12281" builtinId="9" hidden="1"/>
    <cellStyle name="Lien hypertexte visité" xfId="12241" builtinId="9" hidden="1"/>
    <cellStyle name="Lien hypertexte visité" xfId="12193" builtinId="9" hidden="1"/>
    <cellStyle name="Lien hypertexte visité" xfId="12153" builtinId="9" hidden="1"/>
    <cellStyle name="Lien hypertexte visité" xfId="12113" builtinId="9" hidden="1"/>
    <cellStyle name="Lien hypertexte visité" xfId="12065" builtinId="9" hidden="1"/>
    <cellStyle name="Lien hypertexte visité" xfId="12025" builtinId="9" hidden="1"/>
    <cellStyle name="Lien hypertexte visité" xfId="11985" builtinId="9" hidden="1"/>
    <cellStyle name="Lien hypertexte visité" xfId="11937" builtinId="9" hidden="1"/>
    <cellStyle name="Lien hypertexte visité" xfId="11897" builtinId="9" hidden="1"/>
    <cellStyle name="Lien hypertexte visité" xfId="11857" builtinId="9" hidden="1"/>
    <cellStyle name="Lien hypertexte visité" xfId="11809" builtinId="9" hidden="1"/>
    <cellStyle name="Lien hypertexte visité" xfId="11769" builtinId="9" hidden="1"/>
    <cellStyle name="Lien hypertexte visité" xfId="11729" builtinId="9" hidden="1"/>
    <cellStyle name="Lien hypertexte visité" xfId="11681" builtinId="9" hidden="1"/>
    <cellStyle name="Lien hypertexte visité" xfId="11641" builtinId="9" hidden="1"/>
    <cellStyle name="Lien hypertexte visité" xfId="11601" builtinId="9" hidden="1"/>
    <cellStyle name="Lien hypertexte visité" xfId="11553" builtinId="9" hidden="1"/>
    <cellStyle name="Lien hypertexte visité" xfId="11513" builtinId="9" hidden="1"/>
    <cellStyle name="Lien hypertexte visité" xfId="11473" builtinId="9" hidden="1"/>
    <cellStyle name="Lien hypertexte visité" xfId="11425" builtinId="9" hidden="1"/>
    <cellStyle name="Lien hypertexte visité" xfId="11385" builtinId="9" hidden="1"/>
    <cellStyle name="Lien hypertexte visité" xfId="11345" builtinId="9" hidden="1"/>
    <cellStyle name="Lien hypertexte visité" xfId="11297" builtinId="9" hidden="1"/>
    <cellStyle name="Lien hypertexte visité" xfId="11257" builtinId="9" hidden="1"/>
    <cellStyle name="Lien hypertexte visité" xfId="11217" builtinId="9" hidden="1"/>
    <cellStyle name="Lien hypertexte visité" xfId="11169" builtinId="9" hidden="1"/>
    <cellStyle name="Lien hypertexte visité" xfId="11129" builtinId="9" hidden="1"/>
    <cellStyle name="Lien hypertexte visité" xfId="11089" builtinId="9" hidden="1"/>
    <cellStyle name="Lien hypertexte visité" xfId="11041" builtinId="9" hidden="1"/>
    <cellStyle name="Lien hypertexte visité" xfId="11001" builtinId="9" hidden="1"/>
    <cellStyle name="Lien hypertexte visité" xfId="10961" builtinId="9" hidden="1"/>
    <cellStyle name="Lien hypertexte visité" xfId="10913" builtinId="9" hidden="1"/>
    <cellStyle name="Lien hypertexte visité" xfId="10873" builtinId="9" hidden="1"/>
    <cellStyle name="Lien hypertexte visité" xfId="10833" builtinId="9" hidden="1"/>
    <cellStyle name="Lien hypertexte visité" xfId="10785" builtinId="9" hidden="1"/>
    <cellStyle name="Lien hypertexte visité" xfId="10745" builtinId="9" hidden="1"/>
    <cellStyle name="Lien hypertexte visité" xfId="10705" builtinId="9" hidden="1"/>
    <cellStyle name="Lien hypertexte visité" xfId="10657" builtinId="9" hidden="1"/>
    <cellStyle name="Lien hypertexte visité" xfId="10617" builtinId="9" hidden="1"/>
    <cellStyle name="Lien hypertexte visité" xfId="10577" builtinId="9" hidden="1"/>
    <cellStyle name="Lien hypertexte visité" xfId="10529" builtinId="9" hidden="1"/>
    <cellStyle name="Lien hypertexte visité" xfId="10489" builtinId="9" hidden="1"/>
    <cellStyle name="Lien hypertexte visité" xfId="10449" builtinId="9" hidden="1"/>
    <cellStyle name="Lien hypertexte visité" xfId="10401" builtinId="9" hidden="1"/>
    <cellStyle name="Lien hypertexte visité" xfId="10361" builtinId="9" hidden="1"/>
    <cellStyle name="Lien hypertexte visité" xfId="10321" builtinId="9" hidden="1"/>
    <cellStyle name="Lien hypertexte visité" xfId="10273" builtinId="9" hidden="1"/>
    <cellStyle name="Lien hypertexte visité" xfId="10233" builtinId="9" hidden="1"/>
    <cellStyle name="Lien hypertexte visité" xfId="10193" builtinId="9" hidden="1"/>
    <cellStyle name="Lien hypertexte visité" xfId="10145" builtinId="9" hidden="1"/>
    <cellStyle name="Lien hypertexte visité" xfId="10105" builtinId="9" hidden="1"/>
    <cellStyle name="Lien hypertexte visité" xfId="10065" builtinId="9" hidden="1"/>
    <cellStyle name="Lien hypertexte visité" xfId="10017" builtinId="9" hidden="1"/>
    <cellStyle name="Lien hypertexte visité" xfId="9977" builtinId="9" hidden="1"/>
    <cellStyle name="Lien hypertexte visité" xfId="9937" builtinId="9" hidden="1"/>
    <cellStyle name="Lien hypertexte visité" xfId="9889" builtinId="9" hidden="1"/>
    <cellStyle name="Lien hypertexte visité" xfId="9849" builtinId="9" hidden="1"/>
    <cellStyle name="Lien hypertexte visité" xfId="9809" builtinId="9" hidden="1"/>
    <cellStyle name="Lien hypertexte visité" xfId="9761" builtinId="9" hidden="1"/>
    <cellStyle name="Lien hypertexte visité" xfId="9721" builtinId="9" hidden="1"/>
    <cellStyle name="Lien hypertexte visité" xfId="9681" builtinId="9" hidden="1"/>
    <cellStyle name="Lien hypertexte visité" xfId="9633" builtinId="9" hidden="1"/>
    <cellStyle name="Lien hypertexte visité" xfId="9593" builtinId="9" hidden="1"/>
    <cellStyle name="Lien hypertexte visité" xfId="9553" builtinId="9" hidden="1"/>
    <cellStyle name="Lien hypertexte visité" xfId="9505" builtinId="9" hidden="1"/>
    <cellStyle name="Lien hypertexte visité" xfId="9465" builtinId="9" hidden="1"/>
    <cellStyle name="Lien hypertexte visité" xfId="9425" builtinId="9" hidden="1"/>
    <cellStyle name="Lien hypertexte visité" xfId="9377" builtinId="9" hidden="1"/>
    <cellStyle name="Lien hypertexte visité" xfId="9337" builtinId="9" hidden="1"/>
    <cellStyle name="Lien hypertexte visité" xfId="9297" builtinId="9" hidden="1"/>
    <cellStyle name="Lien hypertexte visité" xfId="9249" builtinId="9" hidden="1"/>
    <cellStyle name="Lien hypertexte visité" xfId="9209" builtinId="9" hidden="1"/>
    <cellStyle name="Lien hypertexte visité" xfId="9169" builtinId="9" hidden="1"/>
    <cellStyle name="Lien hypertexte visité" xfId="9121" builtinId="9" hidden="1"/>
    <cellStyle name="Lien hypertexte visité" xfId="9081" builtinId="9" hidden="1"/>
    <cellStyle name="Lien hypertexte visité" xfId="9041" builtinId="9" hidden="1"/>
    <cellStyle name="Lien hypertexte visité" xfId="8993" builtinId="9" hidden="1"/>
    <cellStyle name="Lien hypertexte visité" xfId="8953" builtinId="9" hidden="1"/>
    <cellStyle name="Lien hypertexte visité" xfId="8913" builtinId="9" hidden="1"/>
    <cellStyle name="Lien hypertexte visité" xfId="8865" builtinId="9" hidden="1"/>
    <cellStyle name="Lien hypertexte visité" xfId="8825" builtinId="9" hidden="1"/>
    <cellStyle name="Lien hypertexte visité" xfId="8785" builtinId="9" hidden="1"/>
    <cellStyle name="Lien hypertexte visité" xfId="8737" builtinId="9" hidden="1"/>
    <cellStyle name="Lien hypertexte visité" xfId="8697" builtinId="9" hidden="1"/>
    <cellStyle name="Lien hypertexte visité" xfId="8657" builtinId="9" hidden="1"/>
    <cellStyle name="Lien hypertexte visité" xfId="8609" builtinId="9" hidden="1"/>
    <cellStyle name="Lien hypertexte visité" xfId="8569" builtinId="9" hidden="1"/>
    <cellStyle name="Lien hypertexte visité" xfId="8529" builtinId="9" hidden="1"/>
    <cellStyle name="Lien hypertexte visité" xfId="8481" builtinId="9" hidden="1"/>
    <cellStyle name="Lien hypertexte visité" xfId="8441" builtinId="9" hidden="1"/>
    <cellStyle name="Lien hypertexte visité" xfId="8401" builtinId="9" hidden="1"/>
    <cellStyle name="Lien hypertexte visité" xfId="8353" builtinId="9" hidden="1"/>
    <cellStyle name="Lien hypertexte visité" xfId="8313" builtinId="9" hidden="1"/>
    <cellStyle name="Lien hypertexte visité" xfId="8273" builtinId="9" hidden="1"/>
    <cellStyle name="Lien hypertexte visité" xfId="8225" builtinId="9" hidden="1"/>
    <cellStyle name="Lien hypertexte visité" xfId="8185" builtinId="9" hidden="1"/>
    <cellStyle name="Lien hypertexte visité" xfId="8145" builtinId="9" hidden="1"/>
    <cellStyle name="Lien hypertexte visité" xfId="8097" builtinId="9" hidden="1"/>
    <cellStyle name="Lien hypertexte visité" xfId="8057" builtinId="9" hidden="1"/>
    <cellStyle name="Lien hypertexte visité" xfId="8017" builtinId="9" hidden="1"/>
    <cellStyle name="Lien hypertexte visité" xfId="7969" builtinId="9" hidden="1"/>
    <cellStyle name="Lien hypertexte visité" xfId="7929" builtinId="9" hidden="1"/>
    <cellStyle name="Lien hypertexte visité" xfId="7889" builtinId="9" hidden="1"/>
    <cellStyle name="Lien hypertexte visité" xfId="7841" builtinId="9" hidden="1"/>
    <cellStyle name="Lien hypertexte visité" xfId="7800" builtinId="9" hidden="1"/>
    <cellStyle name="Lien hypertexte visité" xfId="7760" builtinId="9" hidden="1"/>
    <cellStyle name="Lien hypertexte visité" xfId="7712" builtinId="9" hidden="1"/>
    <cellStyle name="Lien hypertexte visité" xfId="7672" builtinId="9" hidden="1"/>
    <cellStyle name="Lien hypertexte visité" xfId="7632" builtinId="9" hidden="1"/>
    <cellStyle name="Lien hypertexte visité" xfId="7584" builtinId="9" hidden="1"/>
    <cellStyle name="Lien hypertexte visité" xfId="7544" builtinId="9" hidden="1"/>
    <cellStyle name="Lien hypertexte visité" xfId="7504" builtinId="9" hidden="1"/>
    <cellStyle name="Lien hypertexte visité" xfId="7456" builtinId="9" hidden="1"/>
    <cellStyle name="Lien hypertexte visité" xfId="7416" builtinId="9" hidden="1"/>
    <cellStyle name="Lien hypertexte visité" xfId="7376" builtinId="9" hidden="1"/>
    <cellStyle name="Lien hypertexte visité" xfId="7328" builtinId="9" hidden="1"/>
    <cellStyle name="Lien hypertexte visité" xfId="7288" builtinId="9" hidden="1"/>
    <cellStyle name="Lien hypertexte visité" xfId="7248" builtinId="9" hidden="1"/>
    <cellStyle name="Lien hypertexte visité" xfId="7200" builtinId="9" hidden="1"/>
    <cellStyle name="Lien hypertexte visité" xfId="7160" builtinId="9" hidden="1"/>
    <cellStyle name="Lien hypertexte visité" xfId="7120" builtinId="9" hidden="1"/>
    <cellStyle name="Lien hypertexte visité" xfId="7072" builtinId="9" hidden="1"/>
    <cellStyle name="Lien hypertexte visité" xfId="7032" builtinId="9" hidden="1"/>
    <cellStyle name="Lien hypertexte visité" xfId="6992" builtinId="9" hidden="1"/>
    <cellStyle name="Lien hypertexte visité" xfId="6944" builtinId="9" hidden="1"/>
    <cellStyle name="Lien hypertexte visité" xfId="6904" builtinId="9" hidden="1"/>
    <cellStyle name="Lien hypertexte visité" xfId="6864" builtinId="9" hidden="1"/>
    <cellStyle name="Lien hypertexte visité" xfId="6816" builtinId="9" hidden="1"/>
    <cellStyle name="Lien hypertexte visité" xfId="6776" builtinId="9" hidden="1"/>
    <cellStyle name="Lien hypertexte visité" xfId="6736" builtinId="9" hidden="1"/>
    <cellStyle name="Lien hypertexte visité" xfId="6688" builtinId="9" hidden="1"/>
    <cellStyle name="Lien hypertexte visité" xfId="6648" builtinId="9" hidden="1"/>
    <cellStyle name="Lien hypertexte visité" xfId="6608" builtinId="9" hidden="1"/>
    <cellStyle name="Lien hypertexte visité" xfId="6560" builtinId="9" hidden="1"/>
    <cellStyle name="Lien hypertexte visité" xfId="6520" builtinId="9" hidden="1"/>
    <cellStyle name="Lien hypertexte visité" xfId="6480" builtinId="9" hidden="1"/>
    <cellStyle name="Lien hypertexte visité" xfId="6432" builtinId="9" hidden="1"/>
    <cellStyle name="Lien hypertexte visité" xfId="6392" builtinId="9" hidden="1"/>
    <cellStyle name="Lien hypertexte visité" xfId="6352" builtinId="9" hidden="1"/>
    <cellStyle name="Lien hypertexte visité" xfId="6304" builtinId="9" hidden="1"/>
    <cellStyle name="Lien hypertexte visité" xfId="6264" builtinId="9" hidden="1"/>
    <cellStyle name="Lien hypertexte visité" xfId="6224" builtinId="9" hidden="1"/>
    <cellStyle name="Lien hypertexte visité" xfId="6176" builtinId="9" hidden="1"/>
    <cellStyle name="Lien hypertexte visité" xfId="6136" builtinId="9" hidden="1"/>
    <cellStyle name="Lien hypertexte visité" xfId="6096" builtinId="9" hidden="1"/>
    <cellStyle name="Lien hypertexte visité" xfId="6048" builtinId="9" hidden="1"/>
    <cellStyle name="Lien hypertexte visité" xfId="6008" builtinId="9" hidden="1"/>
    <cellStyle name="Lien hypertexte visité" xfId="5968" builtinId="9" hidden="1"/>
    <cellStyle name="Lien hypertexte visité" xfId="5920" builtinId="9" hidden="1"/>
    <cellStyle name="Lien hypertexte visité" xfId="5880" builtinId="9" hidden="1"/>
    <cellStyle name="Lien hypertexte visité" xfId="5840" builtinId="9" hidden="1"/>
    <cellStyle name="Lien hypertexte visité" xfId="5792" builtinId="9" hidden="1"/>
    <cellStyle name="Lien hypertexte visité" xfId="5752" builtinId="9" hidden="1"/>
    <cellStyle name="Lien hypertexte visité" xfId="5712" builtinId="9" hidden="1"/>
    <cellStyle name="Lien hypertexte visité" xfId="5664" builtinId="9" hidden="1"/>
    <cellStyle name="Lien hypertexte visité" xfId="5624" builtinId="9" hidden="1"/>
    <cellStyle name="Lien hypertexte visité" xfId="5584" builtinId="9" hidden="1"/>
    <cellStyle name="Lien hypertexte visité" xfId="5536" builtinId="9" hidden="1"/>
    <cellStyle name="Lien hypertexte visité" xfId="5496" builtinId="9" hidden="1"/>
    <cellStyle name="Lien hypertexte visité" xfId="5456" builtinId="9" hidden="1"/>
    <cellStyle name="Lien hypertexte visité" xfId="5408" builtinId="9" hidden="1"/>
    <cellStyle name="Lien hypertexte visité" xfId="5368" builtinId="9" hidden="1"/>
    <cellStyle name="Lien hypertexte visité" xfId="5328" builtinId="9" hidden="1"/>
    <cellStyle name="Lien hypertexte visité" xfId="5280" builtinId="9" hidden="1"/>
    <cellStyle name="Lien hypertexte visité" xfId="5240" builtinId="9" hidden="1"/>
    <cellStyle name="Lien hypertexte visité" xfId="5200" builtinId="9" hidden="1"/>
    <cellStyle name="Lien hypertexte visité" xfId="5152" builtinId="9" hidden="1"/>
    <cellStyle name="Lien hypertexte visité" xfId="5112" builtinId="9" hidden="1"/>
    <cellStyle name="Lien hypertexte visité" xfId="5072" builtinId="9" hidden="1"/>
    <cellStyle name="Lien hypertexte visité" xfId="5024" builtinId="9" hidden="1"/>
    <cellStyle name="Lien hypertexte visité" xfId="4984" builtinId="9" hidden="1"/>
    <cellStyle name="Lien hypertexte visité" xfId="4944" builtinId="9" hidden="1"/>
    <cellStyle name="Lien hypertexte visité" xfId="4896" builtinId="9" hidden="1"/>
    <cellStyle name="Lien hypertexte visité" xfId="4856" builtinId="9" hidden="1"/>
    <cellStyle name="Lien hypertexte visité" xfId="4816" builtinId="9" hidden="1"/>
    <cellStyle name="Lien hypertexte visité" xfId="4768" builtinId="9" hidden="1"/>
    <cellStyle name="Lien hypertexte visité" xfId="4728" builtinId="9" hidden="1"/>
    <cellStyle name="Lien hypertexte visité" xfId="4688" builtinId="9" hidden="1"/>
    <cellStyle name="Lien hypertexte visité" xfId="4640" builtinId="9" hidden="1"/>
    <cellStyle name="Lien hypertexte visité" xfId="4600" builtinId="9" hidden="1"/>
    <cellStyle name="Lien hypertexte visité" xfId="4560" builtinId="9" hidden="1"/>
    <cellStyle name="Lien hypertexte visité" xfId="4512" builtinId="9" hidden="1"/>
    <cellStyle name="Lien hypertexte visité" xfId="4472" builtinId="9" hidden="1"/>
    <cellStyle name="Lien hypertexte visité" xfId="4432" builtinId="9" hidden="1"/>
    <cellStyle name="Lien hypertexte visité" xfId="4384" builtinId="9" hidden="1"/>
    <cellStyle name="Lien hypertexte visité" xfId="4344" builtinId="9" hidden="1"/>
    <cellStyle name="Lien hypertexte visité" xfId="4304" builtinId="9" hidden="1"/>
    <cellStyle name="Lien hypertexte visité" xfId="4256" builtinId="9" hidden="1"/>
    <cellStyle name="Lien hypertexte visité" xfId="4216" builtinId="9" hidden="1"/>
    <cellStyle name="Lien hypertexte visité" xfId="4176" builtinId="9" hidden="1"/>
    <cellStyle name="Lien hypertexte visité" xfId="4128" builtinId="9" hidden="1"/>
    <cellStyle name="Lien hypertexte visité" xfId="4088" builtinId="9" hidden="1"/>
    <cellStyle name="Lien hypertexte visité" xfId="4048" builtinId="9" hidden="1"/>
    <cellStyle name="Lien hypertexte visité" xfId="4000" builtinId="9" hidden="1"/>
    <cellStyle name="Lien hypertexte visité" xfId="3960" builtinId="9" hidden="1"/>
    <cellStyle name="Lien hypertexte visité" xfId="3924" builtinId="9" hidden="1"/>
    <cellStyle name="Lien hypertexte visité" xfId="3875" builtinId="9" hidden="1"/>
    <cellStyle name="Lien hypertexte visité" xfId="3835" builtinId="9" hidden="1"/>
    <cellStyle name="Lien hypertexte visité" xfId="3795" builtinId="9" hidden="1"/>
    <cellStyle name="Lien hypertexte visité" xfId="3747" builtinId="9" hidden="1"/>
    <cellStyle name="Lien hypertexte visité" xfId="3707" builtinId="9" hidden="1"/>
    <cellStyle name="Lien hypertexte visité" xfId="3662" builtinId="9" hidden="1"/>
    <cellStyle name="Lien hypertexte visité" xfId="3611" builtinId="9" hidden="1"/>
    <cellStyle name="Lien hypertexte visité" xfId="3571" builtinId="9" hidden="1"/>
    <cellStyle name="Lien hypertexte visité" xfId="3530" builtinId="9" hidden="1"/>
    <cellStyle name="Lien hypertexte visité" xfId="3482" builtinId="9" hidden="1"/>
    <cellStyle name="Lien hypertexte visité" xfId="3442" builtinId="9" hidden="1"/>
    <cellStyle name="Lien hypertexte visité" xfId="3402" builtinId="9" hidden="1"/>
    <cellStyle name="Lien hypertexte visité" xfId="3354" builtinId="9" hidden="1"/>
    <cellStyle name="Lien hypertexte visité" xfId="3314" builtinId="9" hidden="1"/>
    <cellStyle name="Lien hypertexte visité" xfId="3274" builtinId="9" hidden="1"/>
    <cellStyle name="Lien hypertexte visité" xfId="3226" builtinId="9" hidden="1"/>
    <cellStyle name="Lien hypertexte visité" xfId="3186" builtinId="9" hidden="1"/>
    <cellStyle name="Lien hypertexte visité" xfId="3146" builtinId="9" hidden="1"/>
    <cellStyle name="Lien hypertexte visité" xfId="3098" builtinId="9" hidden="1"/>
    <cellStyle name="Lien hypertexte visité" xfId="3058" builtinId="9" hidden="1"/>
    <cellStyle name="Lien hypertexte visité" xfId="3018" builtinId="9" hidden="1"/>
    <cellStyle name="Lien hypertexte visité" xfId="2970" builtinId="9" hidden="1"/>
    <cellStyle name="Lien hypertexte visité" xfId="2930" builtinId="9" hidden="1"/>
    <cellStyle name="Lien hypertexte visité" xfId="2890" builtinId="9" hidden="1"/>
    <cellStyle name="Lien hypertexte visité" xfId="2842" builtinId="9" hidden="1"/>
    <cellStyle name="Lien hypertexte visité" xfId="2802" builtinId="9" hidden="1"/>
    <cellStyle name="Lien hypertexte visité" xfId="2762" builtinId="9" hidden="1"/>
    <cellStyle name="Lien hypertexte visité" xfId="2714" builtinId="9" hidden="1"/>
    <cellStyle name="Lien hypertexte visité" xfId="2674" builtinId="9" hidden="1"/>
    <cellStyle name="Lien hypertexte visité" xfId="2634" builtinId="9" hidden="1"/>
    <cellStyle name="Lien hypertexte visité" xfId="2586" builtinId="9" hidden="1"/>
    <cellStyle name="Lien hypertexte visité" xfId="2546" builtinId="9" hidden="1"/>
    <cellStyle name="Lien hypertexte visité" xfId="2506" builtinId="9" hidden="1"/>
    <cellStyle name="Lien hypertexte visité" xfId="2458" builtinId="9" hidden="1"/>
    <cellStyle name="Lien hypertexte visité" xfId="2418" builtinId="9" hidden="1"/>
    <cellStyle name="Lien hypertexte visité" xfId="2378" builtinId="9" hidden="1"/>
    <cellStyle name="Lien hypertexte visité" xfId="2330" builtinId="9" hidden="1"/>
    <cellStyle name="Lien hypertexte visité" xfId="2290" builtinId="9" hidden="1"/>
    <cellStyle name="Lien hypertexte visité" xfId="2250" builtinId="9" hidden="1"/>
    <cellStyle name="Lien hypertexte visité" xfId="2203" builtinId="9" hidden="1"/>
    <cellStyle name="Lien hypertexte visité" xfId="2162" builtinId="9" hidden="1"/>
    <cellStyle name="Lien hypertexte visité" xfId="2122" builtinId="9" hidden="1"/>
    <cellStyle name="Lien hypertexte visité" xfId="2074" builtinId="9" hidden="1"/>
    <cellStyle name="Lien hypertexte visité" xfId="2034" builtinId="9" hidden="1"/>
    <cellStyle name="Lien hypertexte visité" xfId="1994" builtinId="9" hidden="1"/>
    <cellStyle name="Lien hypertexte visité" xfId="1946" builtinId="9" hidden="1"/>
    <cellStyle name="Lien hypertexte visité" xfId="1906" builtinId="9" hidden="1"/>
    <cellStyle name="Lien hypertexte visité" xfId="1866" builtinId="9" hidden="1"/>
    <cellStyle name="Lien hypertexte visité" xfId="1818" builtinId="9" hidden="1"/>
    <cellStyle name="Lien hypertexte visité" xfId="1778" builtinId="9" hidden="1"/>
    <cellStyle name="Lien hypertexte visité" xfId="1738" builtinId="9" hidden="1"/>
    <cellStyle name="Lien hypertexte visité" xfId="1690" builtinId="9" hidden="1"/>
    <cellStyle name="Lien hypertexte visité" xfId="1650" builtinId="9" hidden="1"/>
    <cellStyle name="Lien hypertexte visité" xfId="1610" builtinId="9" hidden="1"/>
    <cellStyle name="Lien hypertexte visité" xfId="1562" builtinId="9" hidden="1"/>
    <cellStyle name="Lien hypertexte visité" xfId="1522" builtinId="9" hidden="1"/>
    <cellStyle name="Lien hypertexte visité" xfId="1481" builtinId="9" hidden="1"/>
    <cellStyle name="Lien hypertexte visité" xfId="1433" builtinId="9" hidden="1"/>
    <cellStyle name="Lien hypertexte visité" xfId="1393" builtinId="9" hidden="1"/>
    <cellStyle name="Lien hypertexte visité" xfId="1353" builtinId="9" hidden="1"/>
    <cellStyle name="Lien hypertexte visité" xfId="1305" builtinId="9" hidden="1"/>
    <cellStyle name="Lien hypertexte visité" xfId="1265" builtinId="9" hidden="1"/>
    <cellStyle name="Lien hypertexte visité" xfId="1225" builtinId="9" hidden="1"/>
    <cellStyle name="Lien hypertexte visité" xfId="1177" builtinId="9" hidden="1"/>
    <cellStyle name="Lien hypertexte visité" xfId="1111" builtinId="9" hidden="1"/>
    <cellStyle name="Lien hypertexte visité" xfId="1031" builtinId="9" hidden="1"/>
    <cellStyle name="Lien hypertexte visité" xfId="935" builtinId="9" hidden="1"/>
    <cellStyle name="Lien hypertexte visité" xfId="855" builtinId="9" hidden="1"/>
    <cellStyle name="Lien hypertexte visité" xfId="775" builtinId="9" hidden="1"/>
    <cellStyle name="Lien hypertexte visité" xfId="679" builtinId="9" hidden="1"/>
    <cellStyle name="Lien hypertexte visité" xfId="599" builtinId="9" hidden="1"/>
    <cellStyle name="Lien hypertexte visité" xfId="519" builtinId="9" hidden="1"/>
    <cellStyle name="Lien hypertexte visité" xfId="423" builtinId="9" hidden="1"/>
    <cellStyle name="Lien hypertexte visité" xfId="343" builtinId="9" hidden="1"/>
    <cellStyle name="Lien hypertexte visité" xfId="263" builtinId="9" hidden="1"/>
    <cellStyle name="Lien hypertexte visité" xfId="167" builtinId="9" hidden="1"/>
    <cellStyle name="Lien hypertexte visité" xfId="89" builtinId="9" hidden="1"/>
    <cellStyle name="Lien hypertexte visité" xfId="69" builtinId="9" hidden="1"/>
    <cellStyle name="Lien hypertexte visité" xfId="107" builtinId="9" hidden="1"/>
    <cellStyle name="Lien hypertexte visité" xfId="139" builtinId="9" hidden="1"/>
    <cellStyle name="Lien hypertexte visité" xfId="219" builtinId="9" hidden="1"/>
    <cellStyle name="Lien hypertexte visité" xfId="315" builtinId="9" hidden="1"/>
    <cellStyle name="Lien hypertexte visité" xfId="395" builtinId="9" hidden="1"/>
    <cellStyle name="Lien hypertexte visité" xfId="475" builtinId="9" hidden="1"/>
    <cellStyle name="Lien hypertexte visité" xfId="571" builtinId="9" hidden="1"/>
    <cellStyle name="Lien hypertexte visité" xfId="8832" builtinId="9" hidden="1"/>
    <cellStyle name="Lien hypertexte visité" xfId="8768" builtinId="9" hidden="1"/>
    <cellStyle name="Lien hypertexte visité" xfId="8704" builtinId="9" hidden="1"/>
    <cellStyle name="Lien hypertexte visité" xfId="8640" builtinId="9" hidden="1"/>
    <cellStyle name="Lien hypertexte visité" xfId="8576" builtinId="9" hidden="1"/>
    <cellStyle name="Lien hypertexte visité" xfId="8512" builtinId="9" hidden="1"/>
    <cellStyle name="Lien hypertexte visité" xfId="8448" builtinId="9" hidden="1"/>
    <cellStyle name="Lien hypertexte visité" xfId="8384" builtinId="9" hidden="1"/>
    <cellStyle name="Lien hypertexte visité" xfId="8320" builtinId="9" hidden="1"/>
    <cellStyle name="Lien hypertexte visité" xfId="8256" builtinId="9" hidden="1"/>
    <cellStyle name="Lien hypertexte visité" xfId="8192" builtinId="9" hidden="1"/>
    <cellStyle name="Lien hypertexte visité" xfId="8128" builtinId="9" hidden="1"/>
    <cellStyle name="Lien hypertexte visité" xfId="8064" builtinId="9" hidden="1"/>
    <cellStyle name="Lien hypertexte visité" xfId="8000" builtinId="9" hidden="1"/>
    <cellStyle name="Lien hypertexte visité" xfId="7936" builtinId="9" hidden="1"/>
    <cellStyle name="Lien hypertexte visité" xfId="7872" builtinId="9" hidden="1"/>
    <cellStyle name="Lien hypertexte visité" xfId="7807" builtinId="9" hidden="1"/>
    <cellStyle name="Lien hypertexte visité" xfId="7743" builtinId="9" hidden="1"/>
    <cellStyle name="Lien hypertexte visité" xfId="7679" builtinId="9" hidden="1"/>
    <cellStyle name="Lien hypertexte visité" xfId="7615" builtinId="9" hidden="1"/>
    <cellStyle name="Lien hypertexte visité" xfId="7551" builtinId="9" hidden="1"/>
    <cellStyle name="Lien hypertexte visité" xfId="7487" builtinId="9" hidden="1"/>
    <cellStyle name="Lien hypertexte visité" xfId="7423" builtinId="9" hidden="1"/>
    <cellStyle name="Lien hypertexte visité" xfId="7359" builtinId="9" hidden="1"/>
    <cellStyle name="Lien hypertexte visité" xfId="7295" builtinId="9" hidden="1"/>
    <cellStyle name="Lien hypertexte visité" xfId="7231" builtinId="9" hidden="1"/>
    <cellStyle name="Lien hypertexte visité" xfId="7167" builtinId="9" hidden="1"/>
    <cellStyle name="Lien hypertexte visité" xfId="7103" builtinId="9" hidden="1"/>
    <cellStyle name="Lien hypertexte visité" xfId="7039" builtinId="9" hidden="1"/>
    <cellStyle name="Lien hypertexte visité" xfId="6975" builtinId="9" hidden="1"/>
    <cellStyle name="Lien hypertexte visité" xfId="6911" builtinId="9" hidden="1"/>
    <cellStyle name="Lien hypertexte visité" xfId="6847" builtinId="9" hidden="1"/>
    <cellStyle name="Lien hypertexte visité" xfId="6783" builtinId="9" hidden="1"/>
    <cellStyle name="Lien hypertexte visité" xfId="6719" builtinId="9" hidden="1"/>
    <cellStyle name="Lien hypertexte visité" xfId="6655" builtinId="9" hidden="1"/>
    <cellStyle name="Lien hypertexte visité" xfId="6591" builtinId="9" hidden="1"/>
    <cellStyle name="Lien hypertexte visité" xfId="6527" builtinId="9" hidden="1"/>
    <cellStyle name="Lien hypertexte visité" xfId="6463" builtinId="9" hidden="1"/>
    <cellStyle name="Lien hypertexte visité" xfId="6399" builtinId="9" hidden="1"/>
    <cellStyle name="Lien hypertexte visité" xfId="6335" builtinId="9" hidden="1"/>
    <cellStyle name="Lien hypertexte visité" xfId="6271" builtinId="9" hidden="1"/>
    <cellStyle name="Lien hypertexte visité" xfId="6207" builtinId="9" hidden="1"/>
    <cellStyle name="Lien hypertexte visité" xfId="6143" builtinId="9" hidden="1"/>
    <cellStyle name="Lien hypertexte visité" xfId="6079" builtinId="9" hidden="1"/>
    <cellStyle name="Lien hypertexte visité" xfId="6015" builtinId="9" hidden="1"/>
    <cellStyle name="Lien hypertexte visité" xfId="5951" builtinId="9" hidden="1"/>
    <cellStyle name="Lien hypertexte visité" xfId="5887" builtinId="9" hidden="1"/>
    <cellStyle name="Lien hypertexte visité" xfId="5823" builtinId="9" hidden="1"/>
    <cellStyle name="Lien hypertexte visité" xfId="5759" builtinId="9" hidden="1"/>
    <cellStyle name="Lien hypertexte visité" xfId="5695" builtinId="9" hidden="1"/>
    <cellStyle name="Lien hypertexte visité" xfId="5631" builtinId="9" hidden="1"/>
    <cellStyle name="Lien hypertexte visité" xfId="5567" builtinId="9" hidden="1"/>
    <cellStyle name="Lien hypertexte visité" xfId="5503" builtinId="9" hidden="1"/>
    <cellStyle name="Lien hypertexte visité" xfId="5439" builtinId="9" hidden="1"/>
    <cellStyle name="Lien hypertexte visité" xfId="5375" builtinId="9" hidden="1"/>
    <cellStyle name="Lien hypertexte visité" xfId="5311" builtinId="9" hidden="1"/>
    <cellStyle name="Lien hypertexte visité" xfId="5247" builtinId="9" hidden="1"/>
    <cellStyle name="Lien hypertexte visité" xfId="5183" builtinId="9" hidden="1"/>
    <cellStyle name="Lien hypertexte visité" xfId="5119" builtinId="9" hidden="1"/>
    <cellStyle name="Lien hypertexte visité" xfId="5055" builtinId="9" hidden="1"/>
    <cellStyle name="Lien hypertexte visité" xfId="4991" builtinId="9" hidden="1"/>
    <cellStyle name="Lien hypertexte visité" xfId="4927" builtinId="9" hidden="1"/>
    <cellStyle name="Lien hypertexte visité" xfId="4863" builtinId="9" hidden="1"/>
    <cellStyle name="Lien hypertexte visité" xfId="4799" builtinId="9" hidden="1"/>
    <cellStyle name="Lien hypertexte visité" xfId="4735" builtinId="9" hidden="1"/>
    <cellStyle name="Lien hypertexte visité" xfId="4671" builtinId="9" hidden="1"/>
    <cellStyle name="Lien hypertexte visité" xfId="4607" builtinId="9" hidden="1"/>
    <cellStyle name="Lien hypertexte visité" xfId="4543" builtinId="9" hidden="1"/>
    <cellStyle name="Lien hypertexte visité" xfId="4479" builtinId="9" hidden="1"/>
    <cellStyle name="Lien hypertexte visité" xfId="4415" builtinId="9" hidden="1"/>
    <cellStyle name="Lien hypertexte visité" xfId="4351" builtinId="9" hidden="1"/>
    <cellStyle name="Lien hypertexte visité" xfId="4287" builtinId="9" hidden="1"/>
    <cellStyle name="Lien hypertexte visité" xfId="4223" builtinId="9" hidden="1"/>
    <cellStyle name="Lien hypertexte visité" xfId="4159" builtinId="9" hidden="1"/>
    <cellStyle name="Lien hypertexte visité" xfId="4095" builtinId="9" hidden="1"/>
    <cellStyle name="Lien hypertexte visité" xfId="4031" builtinId="9" hidden="1"/>
    <cellStyle name="Lien hypertexte visité" xfId="3967" builtinId="9" hidden="1"/>
    <cellStyle name="Lien hypertexte visité" xfId="3907" builtinId="9" hidden="1"/>
    <cellStyle name="Lien hypertexte visité" xfId="3842" builtinId="9" hidden="1"/>
    <cellStyle name="Lien hypertexte visité" xfId="3778" builtinId="9" hidden="1"/>
    <cellStyle name="Lien hypertexte visité" xfId="3714" builtinId="9" hidden="1"/>
    <cellStyle name="Lien hypertexte visité" xfId="3642" builtinId="9" hidden="1"/>
    <cellStyle name="Lien hypertexte visité" xfId="3578" builtinId="9" hidden="1"/>
    <cellStyle name="Lien hypertexte visité" xfId="3513" builtinId="9" hidden="1"/>
    <cellStyle name="Lien hypertexte visité" xfId="3449" builtinId="9" hidden="1"/>
    <cellStyle name="Lien hypertexte visité" xfId="3385" builtinId="9" hidden="1"/>
    <cellStyle name="Lien hypertexte visité" xfId="3321" builtinId="9" hidden="1"/>
    <cellStyle name="Lien hypertexte visité" xfId="3257" builtinId="9" hidden="1"/>
    <cellStyle name="Lien hypertexte visité" xfId="3193" builtinId="9" hidden="1"/>
    <cellStyle name="Lien hypertexte visité" xfId="3129" builtinId="9" hidden="1"/>
    <cellStyle name="Lien hypertexte visité" xfId="3065" builtinId="9" hidden="1"/>
    <cellStyle name="Lien hypertexte visité" xfId="3001" builtinId="9" hidden="1"/>
    <cellStyle name="Lien hypertexte visité" xfId="2937" builtinId="9" hidden="1"/>
    <cellStyle name="Lien hypertexte visité" xfId="2873" builtinId="9" hidden="1"/>
    <cellStyle name="Lien hypertexte visité" xfId="2809" builtinId="9" hidden="1"/>
    <cellStyle name="Lien hypertexte visité" xfId="2745" builtinId="9" hidden="1"/>
    <cellStyle name="Lien hypertexte visité" xfId="2681" builtinId="9" hidden="1"/>
    <cellStyle name="Lien hypertexte visité" xfId="2617" builtinId="9" hidden="1"/>
    <cellStyle name="Lien hypertexte visité" xfId="2553" builtinId="9" hidden="1"/>
    <cellStyle name="Lien hypertexte visité" xfId="2489" builtinId="9" hidden="1"/>
    <cellStyle name="Lien hypertexte visité" xfId="2425" builtinId="9" hidden="1"/>
    <cellStyle name="Lien hypertexte visité" xfId="2361" builtinId="9" hidden="1"/>
    <cellStyle name="Lien hypertexte visité" xfId="2297" builtinId="9" hidden="1"/>
    <cellStyle name="Lien hypertexte visité" xfId="2233" builtinId="9" hidden="1"/>
    <cellStyle name="Lien hypertexte visité" xfId="2169" builtinId="9" hidden="1"/>
    <cellStyle name="Lien hypertexte visité" xfId="2105" builtinId="9" hidden="1"/>
    <cellStyle name="Lien hypertexte visité" xfId="2041" builtinId="9" hidden="1"/>
    <cellStyle name="Lien hypertexte visité" xfId="1977" builtinId="9" hidden="1"/>
    <cellStyle name="Lien hypertexte visité" xfId="1913" builtinId="9" hidden="1"/>
    <cellStyle name="Lien hypertexte visité" xfId="1849" builtinId="9" hidden="1"/>
    <cellStyle name="Lien hypertexte visité" xfId="1785" builtinId="9" hidden="1"/>
    <cellStyle name="Lien hypertexte visité" xfId="1721" builtinId="9" hidden="1"/>
    <cellStyle name="Lien hypertexte visité" xfId="1657" builtinId="9" hidden="1"/>
    <cellStyle name="Lien hypertexte visité" xfId="1593" builtinId="9" hidden="1"/>
    <cellStyle name="Lien hypertexte visité" xfId="1529" builtinId="9" hidden="1"/>
    <cellStyle name="Lien hypertexte visité" xfId="1464" builtinId="9" hidden="1"/>
    <cellStyle name="Lien hypertexte visité" xfId="1400" builtinId="9" hidden="1"/>
    <cellStyle name="Lien hypertexte visité" xfId="1336" builtinId="9" hidden="1"/>
    <cellStyle name="Lien hypertexte visité" xfId="1272" builtinId="9" hidden="1"/>
    <cellStyle name="Lien hypertexte visité" xfId="1208" builtinId="9" hidden="1"/>
    <cellStyle name="Lien hypertexte visité" xfId="1125" builtinId="9" hidden="1"/>
    <cellStyle name="Lien hypertexte visité" xfId="997" builtinId="9" hidden="1"/>
    <cellStyle name="Lien hypertexte visité" xfId="869" builtinId="9" hidden="1"/>
    <cellStyle name="Lien hypertexte visité" xfId="741" builtinId="9" hidden="1"/>
    <cellStyle name="Lien hypertexte visité" xfId="613" builtinId="9" hidden="1"/>
    <cellStyle name="Lien hypertexte visité" xfId="485" builtinId="9" hidden="1"/>
    <cellStyle name="Lien hypertexte visité" xfId="357" builtinId="9" hidden="1"/>
    <cellStyle name="Lien hypertexte visité" xfId="165" builtinId="9" hidden="1"/>
    <cellStyle name="Lien hypertexte visité" xfId="221" builtinId="9" hidden="1"/>
    <cellStyle name="Lien hypertexte visité" xfId="121" builtinId="9" hidden="1"/>
    <cellStyle name="Lien hypertexte visité" xfId="233" builtinId="9" hidden="1"/>
    <cellStyle name="Lien hypertexte visité" xfId="253" builtinId="9" hidden="1"/>
    <cellStyle name="Lien hypertexte visité" xfId="381" builtinId="9" hidden="1"/>
    <cellStyle name="Lien hypertexte visité" xfId="509" builtinId="9" hidden="1"/>
    <cellStyle name="Lien hypertexte visité" xfId="637" builtinId="9" hidden="1"/>
    <cellStyle name="Lien hypertexte visité" xfId="765" builtinId="9" hidden="1"/>
    <cellStyle name="Lien hypertexte visité" xfId="893" builtinId="9" hidden="1"/>
    <cellStyle name="Lien hypertexte visité" xfId="1021" builtinId="9" hidden="1"/>
    <cellStyle name="Lien hypertexte visité" xfId="1149" builtinId="9" hidden="1"/>
    <cellStyle name="Lien hypertexte visité" xfId="1220" builtinId="9" hidden="1"/>
    <cellStyle name="Lien hypertexte visité" xfId="1284" builtinId="9" hidden="1"/>
    <cellStyle name="Lien hypertexte visité" xfId="1348" builtinId="9" hidden="1"/>
    <cellStyle name="Lien hypertexte visité" xfId="1412" builtinId="9" hidden="1"/>
    <cellStyle name="Lien hypertexte visité" xfId="1476" builtinId="9" hidden="1"/>
    <cellStyle name="Lien hypertexte visité" xfId="1541" builtinId="9" hidden="1"/>
    <cellStyle name="Lien hypertexte visité" xfId="1605" builtinId="9" hidden="1"/>
    <cellStyle name="Lien hypertexte visité" xfId="1669" builtinId="9" hidden="1"/>
    <cellStyle name="Lien hypertexte visité" xfId="1733" builtinId="9" hidden="1"/>
    <cellStyle name="Lien hypertexte visité" xfId="1797" builtinId="9" hidden="1"/>
    <cellStyle name="Lien hypertexte visité" xfId="1861" builtinId="9" hidden="1"/>
    <cellStyle name="Lien hypertexte visité" xfId="1925" builtinId="9" hidden="1"/>
    <cellStyle name="Lien hypertexte visité" xfId="1989" builtinId="9" hidden="1"/>
    <cellStyle name="Lien hypertexte visité" xfId="2053" builtinId="9" hidden="1"/>
    <cellStyle name="Lien hypertexte visité" xfId="2117" builtinId="9" hidden="1"/>
    <cellStyle name="Lien hypertexte visité" xfId="2181" builtinId="9" hidden="1"/>
    <cellStyle name="Lien hypertexte visité" xfId="2245" builtinId="9" hidden="1"/>
    <cellStyle name="Lien hypertexte visité" xfId="2309" builtinId="9" hidden="1"/>
    <cellStyle name="Lien hypertexte visité" xfId="2373" builtinId="9" hidden="1"/>
    <cellStyle name="Lien hypertexte visité" xfId="2437" builtinId="9" hidden="1"/>
    <cellStyle name="Lien hypertexte visité" xfId="2501" builtinId="9" hidden="1"/>
    <cellStyle name="Lien hypertexte visité" xfId="2565" builtinId="9" hidden="1"/>
    <cellStyle name="Lien hypertexte visité" xfId="2629" builtinId="9" hidden="1"/>
    <cellStyle name="Lien hypertexte visité" xfId="2693" builtinId="9" hidden="1"/>
    <cellStyle name="Lien hypertexte visité" xfId="2757" builtinId="9" hidden="1"/>
    <cellStyle name="Lien hypertexte visité" xfId="2821" builtinId="9" hidden="1"/>
    <cellStyle name="Lien hypertexte visité" xfId="2885" builtinId="9" hidden="1"/>
    <cellStyle name="Lien hypertexte visité" xfId="2949" builtinId="9" hidden="1"/>
    <cellStyle name="Lien hypertexte visité" xfId="3013" builtinId="9" hidden="1"/>
    <cellStyle name="Lien hypertexte visité" xfId="3077" builtinId="9" hidden="1"/>
    <cellStyle name="Lien hypertexte visité" xfId="3141" builtinId="9" hidden="1"/>
    <cellStyle name="Lien hypertexte visité" xfId="3205" builtinId="9" hidden="1"/>
    <cellStyle name="Lien hypertexte visité" xfId="3269" builtinId="9" hidden="1"/>
    <cellStyle name="Lien hypertexte visité" xfId="3333" builtinId="9" hidden="1"/>
    <cellStyle name="Lien hypertexte visité" xfId="3397" builtinId="9" hidden="1"/>
    <cellStyle name="Lien hypertexte visité" xfId="3461" builtinId="9" hidden="1"/>
    <cellStyle name="Lien hypertexte visité" xfId="3525" builtinId="9" hidden="1"/>
    <cellStyle name="Lien hypertexte visité" xfId="3590" builtinId="9" hidden="1"/>
    <cellStyle name="Lien hypertexte visité" xfId="3654" builtinId="9" hidden="1"/>
    <cellStyle name="Lien hypertexte visité" xfId="3726" builtinId="9" hidden="1"/>
    <cellStyle name="Lien hypertexte visité" xfId="3790" builtinId="9" hidden="1"/>
    <cellStyle name="Lien hypertexte visité" xfId="3854" builtinId="9" hidden="1"/>
    <cellStyle name="Lien hypertexte visité" xfId="3919" builtinId="9" hidden="1"/>
    <cellStyle name="Lien hypertexte visité" xfId="3979" builtinId="9" hidden="1"/>
    <cellStyle name="Lien hypertexte visité" xfId="4043" builtinId="9" hidden="1"/>
    <cellStyle name="Lien hypertexte visité" xfId="4107" builtinId="9" hidden="1"/>
    <cellStyle name="Lien hypertexte visité" xfId="4171" builtinId="9" hidden="1"/>
    <cellStyle name="Lien hypertexte visité" xfId="4235" builtinId="9" hidden="1"/>
    <cellStyle name="Lien hypertexte visité" xfId="4299" builtinId="9" hidden="1"/>
    <cellStyle name="Lien hypertexte visité" xfId="4363" builtinId="9" hidden="1"/>
    <cellStyle name="Lien hypertexte visité" xfId="4427" builtinId="9" hidden="1"/>
    <cellStyle name="Lien hypertexte visité" xfId="4491" builtinId="9" hidden="1"/>
    <cellStyle name="Lien hypertexte visité" xfId="4555" builtinId="9" hidden="1"/>
    <cellStyle name="Lien hypertexte visité" xfId="4619" builtinId="9" hidden="1"/>
    <cellStyle name="Lien hypertexte visité" xfId="4683" builtinId="9" hidden="1"/>
    <cellStyle name="Lien hypertexte visité" xfId="4747" builtinId="9" hidden="1"/>
    <cellStyle name="Lien hypertexte visité" xfId="4811" builtinId="9" hidden="1"/>
    <cellStyle name="Lien hypertexte visité" xfId="4875" builtinId="9" hidden="1"/>
    <cellStyle name="Lien hypertexte visité" xfId="4939" builtinId="9" hidden="1"/>
    <cellStyle name="Lien hypertexte visité" xfId="5003" builtinId="9" hidden="1"/>
    <cellStyle name="Lien hypertexte visité" xfId="5067" builtinId="9" hidden="1"/>
    <cellStyle name="Lien hypertexte visité" xfId="5131" builtinId="9" hidden="1"/>
    <cellStyle name="Lien hypertexte visité" xfId="5195" builtinId="9" hidden="1"/>
    <cellStyle name="Lien hypertexte visité" xfId="5259" builtinId="9" hidden="1"/>
    <cellStyle name="Lien hypertexte visité" xfId="5323" builtinId="9" hidden="1"/>
    <cellStyle name="Lien hypertexte visité" xfId="5387" builtinId="9" hidden="1"/>
    <cellStyle name="Lien hypertexte visité" xfId="5451" builtinId="9" hidden="1"/>
    <cellStyle name="Lien hypertexte visité" xfId="5515" builtinId="9" hidden="1"/>
    <cellStyle name="Lien hypertexte visité" xfId="5579" builtinId="9" hidden="1"/>
    <cellStyle name="Lien hypertexte visité" xfId="5643" builtinId="9" hidden="1"/>
    <cellStyle name="Lien hypertexte visité" xfId="5707" builtinId="9" hidden="1"/>
    <cellStyle name="Lien hypertexte visité" xfId="5771" builtinId="9" hidden="1"/>
    <cellStyle name="Lien hypertexte visité" xfId="5835" builtinId="9" hidden="1"/>
    <cellStyle name="Lien hypertexte visité" xfId="5899" builtinId="9" hidden="1"/>
    <cellStyle name="Lien hypertexte visité" xfId="5963" builtinId="9" hidden="1"/>
    <cellStyle name="Lien hypertexte visité" xfId="6027" builtinId="9" hidden="1"/>
    <cellStyle name="Lien hypertexte visité" xfId="6091" builtinId="9" hidden="1"/>
    <cellStyle name="Lien hypertexte visité" xfId="6155" builtinId="9" hidden="1"/>
    <cellStyle name="Lien hypertexte visité" xfId="6219" builtinId="9" hidden="1"/>
    <cellStyle name="Lien hypertexte visité" xfId="6283" builtinId="9" hidden="1"/>
    <cellStyle name="Lien hypertexte visité" xfId="6347" builtinId="9" hidden="1"/>
    <cellStyle name="Lien hypertexte visité" xfId="6411" builtinId="9" hidden="1"/>
    <cellStyle name="Lien hypertexte visité" xfId="6475" builtinId="9" hidden="1"/>
    <cellStyle name="Lien hypertexte visité" xfId="6539" builtinId="9" hidden="1"/>
    <cellStyle name="Lien hypertexte visité" xfId="6603" builtinId="9" hidden="1"/>
    <cellStyle name="Lien hypertexte visité" xfId="6667" builtinId="9" hidden="1"/>
    <cellStyle name="Lien hypertexte visité" xfId="6731" builtinId="9" hidden="1"/>
    <cellStyle name="Lien hypertexte visité" xfId="6795" builtinId="9" hidden="1"/>
    <cellStyle name="Lien hypertexte visité" xfId="6859" builtinId="9" hidden="1"/>
    <cellStyle name="Lien hypertexte visité" xfId="6923" builtinId="9" hidden="1"/>
    <cellStyle name="Lien hypertexte visité" xfId="6987" builtinId="9" hidden="1"/>
    <cellStyle name="Lien hypertexte visité" xfId="7051" builtinId="9" hidden="1"/>
    <cellStyle name="Lien hypertexte visité" xfId="7115" builtinId="9" hidden="1"/>
    <cellStyle name="Lien hypertexte visité" xfId="7179" builtinId="9" hidden="1"/>
    <cellStyle name="Lien hypertexte visité" xfId="7243" builtinId="9" hidden="1"/>
    <cellStyle name="Lien hypertexte visité" xfId="7307" builtinId="9" hidden="1"/>
    <cellStyle name="Lien hypertexte visité" xfId="7371" builtinId="9" hidden="1"/>
    <cellStyle name="Lien hypertexte visité" xfId="7435" builtinId="9" hidden="1"/>
    <cellStyle name="Lien hypertexte visité" xfId="7499" builtinId="9" hidden="1"/>
    <cellStyle name="Lien hypertexte visité" xfId="7563" builtinId="9" hidden="1"/>
    <cellStyle name="Lien hypertexte visité" xfId="7627" builtinId="9" hidden="1"/>
    <cellStyle name="Lien hypertexte visité" xfId="7691" builtinId="9" hidden="1"/>
    <cellStyle name="Lien hypertexte visité" xfId="7755" builtinId="9" hidden="1"/>
    <cellStyle name="Lien hypertexte visité" xfId="7820" builtinId="9" hidden="1"/>
    <cellStyle name="Lien hypertexte visité" xfId="7884" builtinId="9" hidden="1"/>
    <cellStyle name="Lien hypertexte visité" xfId="7948" builtinId="9" hidden="1"/>
    <cellStyle name="Lien hypertexte visité" xfId="8012" builtinId="9" hidden="1"/>
    <cellStyle name="Lien hypertexte visité" xfId="8076" builtinId="9" hidden="1"/>
    <cellStyle name="Lien hypertexte visité" xfId="8140" builtinId="9" hidden="1"/>
    <cellStyle name="Lien hypertexte visité" xfId="8204" builtinId="9" hidden="1"/>
    <cellStyle name="Lien hypertexte visité" xfId="8268" builtinId="9" hidden="1"/>
    <cellStyle name="Lien hypertexte visité" xfId="8332" builtinId="9" hidden="1"/>
    <cellStyle name="Lien hypertexte visité" xfId="8396" builtinId="9" hidden="1"/>
    <cellStyle name="Lien hypertexte visité" xfId="8460" builtinId="9" hidden="1"/>
    <cellStyle name="Lien hypertexte visité" xfId="8524" builtinId="9" hidden="1"/>
    <cellStyle name="Lien hypertexte visité" xfId="8588" builtinId="9" hidden="1"/>
    <cellStyle name="Lien hypertexte visité" xfId="8652" builtinId="9" hidden="1"/>
    <cellStyle name="Lien hypertexte visité" xfId="8716" builtinId="9" hidden="1"/>
    <cellStyle name="Lien hypertexte visité" xfId="8780" builtinId="9" hidden="1"/>
    <cellStyle name="Lien hypertexte visité" xfId="8844" builtinId="9" hidden="1"/>
    <cellStyle name="Lien hypertexte visité" xfId="8908" builtinId="9" hidden="1"/>
    <cellStyle name="Lien hypertexte visité" xfId="8972" builtinId="9" hidden="1"/>
    <cellStyle name="Lien hypertexte visité" xfId="9036" builtinId="9" hidden="1"/>
    <cellStyle name="Lien hypertexte visité" xfId="9100" builtinId="9" hidden="1"/>
    <cellStyle name="Lien hypertexte visité" xfId="9164" builtinId="9" hidden="1"/>
    <cellStyle name="Lien hypertexte visité" xfId="9228" builtinId="9" hidden="1"/>
    <cellStyle name="Lien hypertexte visité" xfId="9292" builtinId="9" hidden="1"/>
    <cellStyle name="Lien hypertexte visité" xfId="9356" builtinId="9" hidden="1"/>
    <cellStyle name="Lien hypertexte visité" xfId="9420" builtinId="9" hidden="1"/>
    <cellStyle name="Lien hypertexte visité" xfId="9484" builtinId="9" hidden="1"/>
    <cellStyle name="Lien hypertexte visité" xfId="9548" builtinId="9" hidden="1"/>
    <cellStyle name="Lien hypertexte visité" xfId="9612" builtinId="9" hidden="1"/>
    <cellStyle name="Lien hypertexte visité" xfId="9676" builtinId="9" hidden="1"/>
    <cellStyle name="Lien hypertexte visité" xfId="9740" builtinId="9" hidden="1"/>
    <cellStyle name="Lien hypertexte visité" xfId="9804" builtinId="9" hidden="1"/>
    <cellStyle name="Lien hypertexte visité" xfId="9868" builtinId="9" hidden="1"/>
    <cellStyle name="Lien hypertexte visité" xfId="9932" builtinId="9" hidden="1"/>
    <cellStyle name="Lien hypertexte visité" xfId="9996" builtinId="9" hidden="1"/>
    <cellStyle name="Lien hypertexte visité" xfId="10060" builtinId="9" hidden="1"/>
    <cellStyle name="Lien hypertexte visité" xfId="10124" builtinId="9" hidden="1"/>
    <cellStyle name="Lien hypertexte visité" xfId="10188" builtinId="9" hidden="1"/>
    <cellStyle name="Lien hypertexte visité" xfId="10252" builtinId="9" hidden="1"/>
    <cellStyle name="Lien hypertexte visité" xfId="10316" builtinId="9" hidden="1"/>
    <cellStyle name="Lien hypertexte visité" xfId="10380" builtinId="9" hidden="1"/>
    <cellStyle name="Lien hypertexte visité" xfId="10444" builtinId="9" hidden="1"/>
    <cellStyle name="Lien hypertexte visité" xfId="10508" builtinId="9" hidden="1"/>
    <cellStyle name="Lien hypertexte visité" xfId="10572" builtinId="9" hidden="1"/>
    <cellStyle name="Lien hypertexte visité" xfId="10636" builtinId="9" hidden="1"/>
    <cellStyle name="Lien hypertexte visité" xfId="10700" builtinId="9" hidden="1"/>
    <cellStyle name="Lien hypertexte visité" xfId="10764" builtinId="9" hidden="1"/>
    <cellStyle name="Lien hypertexte visité" xfId="10828" builtinId="9" hidden="1"/>
    <cellStyle name="Lien hypertexte visité" xfId="10892" builtinId="9" hidden="1"/>
    <cellStyle name="Lien hypertexte visité" xfId="10956" builtinId="9" hidden="1"/>
    <cellStyle name="Lien hypertexte visité" xfId="11020" builtinId="9" hidden="1"/>
    <cellStyle name="Lien hypertexte visité" xfId="11084" builtinId="9" hidden="1"/>
    <cellStyle name="Lien hypertexte visité" xfId="11148" builtinId="9" hidden="1"/>
    <cellStyle name="Lien hypertexte visité" xfId="11212" builtinId="9" hidden="1"/>
    <cellStyle name="Lien hypertexte visité" xfId="11276" builtinId="9" hidden="1"/>
    <cellStyle name="Lien hypertexte visité" xfId="11340" builtinId="9" hidden="1"/>
    <cellStyle name="Lien hypertexte visité" xfId="11404" builtinId="9" hidden="1"/>
    <cellStyle name="Lien hypertexte visité" xfId="11468" builtinId="9" hidden="1"/>
    <cellStyle name="Lien hypertexte visité" xfId="11532" builtinId="9" hidden="1"/>
    <cellStyle name="Lien hypertexte visité" xfId="11596" builtinId="9" hidden="1"/>
    <cellStyle name="Lien hypertexte visité" xfId="11660" builtinId="9" hidden="1"/>
    <cellStyle name="Lien hypertexte visité" xfId="11724" builtinId="9" hidden="1"/>
    <cellStyle name="Lien hypertexte visité" xfId="11788" builtinId="9" hidden="1"/>
    <cellStyle name="Lien hypertexte visité" xfId="11852" builtinId="9" hidden="1"/>
    <cellStyle name="Lien hypertexte visité" xfId="11916" builtinId="9" hidden="1"/>
    <cellStyle name="Lien hypertexte visité" xfId="11980" builtinId="9" hidden="1"/>
    <cellStyle name="Lien hypertexte visité" xfId="12044" builtinId="9" hidden="1"/>
    <cellStyle name="Lien hypertexte visité" xfId="12108" builtinId="9" hidden="1"/>
    <cellStyle name="Lien hypertexte visité" xfId="12172" builtinId="9" hidden="1"/>
    <cellStyle name="Lien hypertexte visité" xfId="12236" builtinId="9" hidden="1"/>
    <cellStyle name="Lien hypertexte visité" xfId="12300" builtinId="9" hidden="1"/>
    <cellStyle name="Lien hypertexte visité" xfId="12364" builtinId="9" hidden="1"/>
    <cellStyle name="Lien hypertexte visité" xfId="12428" builtinId="9" hidden="1"/>
    <cellStyle name="Lien hypertexte visité" xfId="12492" builtinId="9" hidden="1"/>
    <cellStyle name="Lien hypertexte visité" xfId="12556" builtinId="9" hidden="1"/>
    <cellStyle name="Lien hypertexte visité" xfId="12620" builtinId="9" hidden="1"/>
    <cellStyle name="Lien hypertexte visité" xfId="12684" builtinId="9" hidden="1"/>
    <cellStyle name="Lien hypertexte visité" xfId="12748" builtinId="9" hidden="1"/>
    <cellStyle name="Lien hypertexte visité" xfId="12812" builtinId="9" hidden="1"/>
    <cellStyle name="Lien hypertexte visité" xfId="12876" builtinId="9" hidden="1"/>
    <cellStyle name="Lien hypertexte visité" xfId="12940" builtinId="9" hidden="1"/>
    <cellStyle name="Lien hypertexte visité" xfId="13004" builtinId="9" hidden="1"/>
    <cellStyle name="Lien hypertexte visité" xfId="13068" builtinId="9" hidden="1"/>
    <cellStyle name="Lien hypertexte visité" xfId="13132" builtinId="9" hidden="1"/>
    <cellStyle name="Lien hypertexte visité" xfId="13196" builtinId="9" hidden="1"/>
    <cellStyle name="Lien hypertexte visité" xfId="13260" builtinId="9" hidden="1"/>
    <cellStyle name="Lien hypertexte visité" xfId="13324" builtinId="9" hidden="1"/>
    <cellStyle name="Lien hypertexte visité" xfId="13388" builtinId="9" hidden="1"/>
    <cellStyle name="Lien hypertexte visité" xfId="13452" builtinId="9" hidden="1"/>
    <cellStyle name="Lien hypertexte visité" xfId="13516" builtinId="9" hidden="1"/>
    <cellStyle name="Lien hypertexte visité" xfId="13580" builtinId="9" hidden="1"/>
    <cellStyle name="Lien hypertexte visité" xfId="13644" builtinId="9" hidden="1"/>
    <cellStyle name="Lien hypertexte visité" xfId="13708" builtinId="9" hidden="1"/>
    <cellStyle name="Lien hypertexte visité" xfId="13772" builtinId="9" hidden="1"/>
    <cellStyle name="Lien hypertexte visité" xfId="13836" builtinId="9" hidden="1"/>
    <cellStyle name="Lien hypertexte visité" xfId="13900" builtinId="9" hidden="1"/>
    <cellStyle name="Lien hypertexte visité" xfId="13964" builtinId="9" hidden="1"/>
    <cellStyle name="Lien hypertexte visité" xfId="14028" builtinId="9" hidden="1"/>
    <cellStyle name="Lien hypertexte visité" xfId="14092" builtinId="9" hidden="1"/>
    <cellStyle name="Lien hypertexte visité" xfId="14156" builtinId="9" hidden="1"/>
    <cellStyle name="Lien hypertexte visité" xfId="14220" builtinId="9" hidden="1"/>
    <cellStyle name="Lien hypertexte visité" xfId="14284" builtinId="9" hidden="1"/>
    <cellStyle name="Lien hypertexte visité" xfId="14348" builtinId="9" hidden="1"/>
    <cellStyle name="Lien hypertexte visité" xfId="14412" builtinId="9" hidden="1"/>
    <cellStyle name="Lien hypertexte visité" xfId="14476" builtinId="9" hidden="1"/>
    <cellStyle name="Lien hypertexte visité" xfId="14565" builtinId="9" hidden="1"/>
    <cellStyle name="Lien hypertexte visité" xfId="14693" builtinId="9" hidden="1"/>
    <cellStyle name="Lien hypertexte visité" xfId="14821" builtinId="9" hidden="1"/>
    <cellStyle name="Lien hypertexte visité" xfId="14949" builtinId="9" hidden="1"/>
    <cellStyle name="Lien hypertexte visité" xfId="15077" builtinId="9" hidden="1"/>
    <cellStyle name="Lien hypertexte visité" xfId="15205" builtinId="9" hidden="1"/>
    <cellStyle name="Lien hypertexte visité" xfId="15333" builtinId="9" hidden="1"/>
    <cellStyle name="Lien hypertexte visité" xfId="15461" builtinId="9" hidden="1"/>
    <cellStyle name="Lien hypertexte visité" xfId="15589" builtinId="9" hidden="1"/>
    <cellStyle name="Lien hypertexte visité" xfId="15717" builtinId="9" hidden="1"/>
    <cellStyle name="Lien hypertexte visité" xfId="15845" builtinId="9" hidden="1"/>
    <cellStyle name="Lien hypertexte visité" xfId="15973" builtinId="9" hidden="1"/>
    <cellStyle name="Lien hypertexte visité" xfId="16101" builtinId="9" hidden="1"/>
    <cellStyle name="Lien hypertexte visité" xfId="16229" builtinId="9" hidden="1"/>
    <cellStyle name="Lien hypertexte visité" xfId="16357" builtinId="9" hidden="1"/>
    <cellStyle name="Lien hypertexte visité" xfId="16485" builtinId="9" hidden="1"/>
    <cellStyle name="Lien hypertexte visité" xfId="16613" builtinId="9" hidden="1"/>
    <cellStyle name="Lien hypertexte visité" xfId="16741" builtinId="9" hidden="1"/>
    <cellStyle name="Lien hypertexte visité" xfId="16869" builtinId="9" hidden="1"/>
    <cellStyle name="Lien hypertexte visité" xfId="16997" builtinId="9" hidden="1"/>
    <cellStyle name="Lien hypertexte visité" xfId="17125" builtinId="9" hidden="1"/>
    <cellStyle name="Lien hypertexte visité" xfId="17253" builtinId="9" hidden="1"/>
    <cellStyle name="Lien hypertexte visité" xfId="17381" builtinId="9" hidden="1"/>
    <cellStyle name="Lien hypertexte visité" xfId="17509" builtinId="9" hidden="1"/>
    <cellStyle name="Lien hypertexte visité" xfId="17637" builtinId="9" hidden="1"/>
    <cellStyle name="Lien hypertexte visité" xfId="17765" builtinId="9" hidden="1"/>
    <cellStyle name="Lien hypertexte visité" xfId="17893" builtinId="9" hidden="1"/>
    <cellStyle name="Lien hypertexte visité" xfId="18021" builtinId="9" hidden="1"/>
    <cellStyle name="Lien hypertexte visité" xfId="18149" builtinId="9" hidden="1"/>
    <cellStyle name="Lien hypertexte visité" xfId="18277" builtinId="9" hidden="1"/>
    <cellStyle name="Lien hypertexte visité" xfId="18388" builtinId="9" hidden="1"/>
    <cellStyle name="Lien hypertexte visité" xfId="18516" builtinId="9" hidden="1"/>
    <cellStyle name="Lien hypertexte visité" xfId="18644" builtinId="9" hidden="1"/>
    <cellStyle name="Lien hypertexte visité" xfId="18772" builtinId="9" hidden="1"/>
    <cellStyle name="Lien hypertexte visité" xfId="18900" builtinId="9" hidden="1"/>
    <cellStyle name="Lien hypertexte visité" xfId="19028" builtinId="9" hidden="1"/>
    <cellStyle name="Lien hypertexte visité" xfId="19156" builtinId="9" hidden="1"/>
    <cellStyle name="Lien hypertexte visité" xfId="19284" builtinId="9" hidden="1"/>
    <cellStyle name="Lien hypertexte visité" xfId="19412" builtinId="9" hidden="1"/>
    <cellStyle name="Lien hypertexte visité" xfId="19540" builtinId="9" hidden="1"/>
    <cellStyle name="Lien hypertexte visité" xfId="19668" builtinId="9" hidden="1"/>
    <cellStyle name="Lien hypertexte visité" xfId="19796" builtinId="9" hidden="1"/>
    <cellStyle name="Lien hypertexte visité" xfId="19924" builtinId="9" hidden="1"/>
    <cellStyle name="Lien hypertexte visité" xfId="20052" builtinId="9" hidden="1"/>
    <cellStyle name="Lien hypertexte visité" xfId="20180" builtinId="9" hidden="1"/>
    <cellStyle name="Lien hypertexte visité" xfId="20308" builtinId="9" hidden="1"/>
    <cellStyle name="Lien hypertexte visité" xfId="20436" builtinId="9" hidden="1"/>
    <cellStyle name="Lien hypertexte visité" xfId="20564" builtinId="9" hidden="1"/>
    <cellStyle name="Lien hypertexte visité" xfId="20692" builtinId="9" hidden="1"/>
    <cellStyle name="Lien hypertexte visité" xfId="20820" builtinId="9" hidden="1"/>
    <cellStyle name="Lien hypertexte visité" xfId="20948" builtinId="9" hidden="1"/>
    <cellStyle name="Lien hypertexte visité" xfId="21076" builtinId="9" hidden="1"/>
    <cellStyle name="Lien hypertexte visité" xfId="21204" builtinId="9" hidden="1"/>
    <cellStyle name="Lien hypertexte visité" xfId="21332" builtinId="9" hidden="1"/>
    <cellStyle name="Lien hypertexte visité" xfId="21460" builtinId="9" hidden="1"/>
    <cellStyle name="Lien hypertexte visité" xfId="21588" builtinId="9" hidden="1"/>
    <cellStyle name="Lien hypertexte visité" xfId="21716" builtinId="9" hidden="1"/>
    <cellStyle name="Lien hypertexte visité" xfId="21844" builtinId="9" hidden="1"/>
    <cellStyle name="Lien hypertexte visité" xfId="21972" builtinId="9" hidden="1"/>
    <cellStyle name="Lien hypertexte visité" xfId="22100" builtinId="9" hidden="1"/>
    <cellStyle name="Lien hypertexte visité" xfId="22228" builtinId="9" hidden="1"/>
    <cellStyle name="Lien hypertexte visité" xfId="22356" builtinId="9" hidden="1"/>
    <cellStyle name="Lien hypertexte visité" xfId="22484" builtinId="9" hidden="1"/>
    <cellStyle name="Lien hypertexte visité" xfId="22612" builtinId="9" hidden="1"/>
    <cellStyle name="Lien hypertexte visité" xfId="22740" builtinId="9" hidden="1"/>
    <cellStyle name="Lien hypertexte visité" xfId="22868" builtinId="9" hidden="1"/>
    <cellStyle name="Lien hypertexte visité" xfId="22996" builtinId="9" hidden="1"/>
    <cellStyle name="Lien hypertexte visité" xfId="23124" builtinId="9" hidden="1"/>
    <cellStyle name="Lien hypertexte visité" xfId="23252" builtinId="9" hidden="1"/>
    <cellStyle name="Lien hypertexte visité" xfId="23380" builtinId="9" hidden="1"/>
    <cellStyle name="Lien hypertexte visité" xfId="23508" builtinId="9" hidden="1"/>
    <cellStyle name="Lien hypertexte visité" xfId="23636" builtinId="9" hidden="1"/>
    <cellStyle name="Lien hypertexte visité" xfId="23764" builtinId="9" hidden="1"/>
    <cellStyle name="Lien hypertexte visité" xfId="23892" builtinId="9" hidden="1"/>
    <cellStyle name="Lien hypertexte visité" xfId="24020" builtinId="9" hidden="1"/>
    <cellStyle name="Lien hypertexte visité" xfId="24148" builtinId="9" hidden="1"/>
    <cellStyle name="Lien hypertexte visité" xfId="24276" builtinId="9" hidden="1"/>
    <cellStyle name="Lien hypertexte visité" xfId="24404" builtinId="9" hidden="1"/>
    <cellStyle name="Lien hypertexte visité" xfId="24532" builtinId="9" hidden="1"/>
    <cellStyle name="Lien hypertexte visité" xfId="24566" builtinId="9" hidden="1"/>
    <cellStyle name="Lien hypertexte visité" xfId="24438" builtinId="9" hidden="1"/>
    <cellStyle name="Lien hypertexte visité" xfId="24310" builtinId="9" hidden="1"/>
    <cellStyle name="Lien hypertexte visité" xfId="24182" builtinId="9" hidden="1"/>
    <cellStyle name="Lien hypertexte visité" xfId="24054" builtinId="9" hidden="1"/>
    <cellStyle name="Lien hypertexte visité" xfId="23926" builtinId="9" hidden="1"/>
    <cellStyle name="Lien hypertexte visité" xfId="23798" builtinId="9" hidden="1"/>
    <cellStyle name="Lien hypertexte visité" xfId="23670" builtinId="9" hidden="1"/>
    <cellStyle name="Lien hypertexte visité" xfId="23542" builtinId="9" hidden="1"/>
    <cellStyle name="Lien hypertexte visité" xfId="23414" builtinId="9" hidden="1"/>
    <cellStyle name="Lien hypertexte visité" xfId="23286" builtinId="9" hidden="1"/>
    <cellStyle name="Lien hypertexte visité" xfId="23158" builtinId="9" hidden="1"/>
    <cellStyle name="Lien hypertexte visité" xfId="23030" builtinId="9" hidden="1"/>
    <cellStyle name="Lien hypertexte visité" xfId="22902" builtinId="9" hidden="1"/>
    <cellStyle name="Lien hypertexte visité" xfId="22774" builtinId="9" hidden="1"/>
    <cellStyle name="Lien hypertexte visité" xfId="22646" builtinId="9" hidden="1"/>
    <cellStyle name="Lien hypertexte visité" xfId="22518" builtinId="9" hidden="1"/>
    <cellStyle name="Lien hypertexte visité" xfId="22390" builtinId="9" hidden="1"/>
    <cellStyle name="Lien hypertexte visité" xfId="22262" builtinId="9" hidden="1"/>
    <cellStyle name="Lien hypertexte visité" xfId="22134" builtinId="9" hidden="1"/>
    <cellStyle name="Lien hypertexte visité" xfId="22006" builtinId="9" hidden="1"/>
    <cellStyle name="Lien hypertexte visité" xfId="21878" builtinId="9" hidden="1"/>
    <cellStyle name="Lien hypertexte visité" xfId="21750" builtinId="9" hidden="1"/>
    <cellStyle name="Lien hypertexte visité" xfId="21622" builtinId="9" hidden="1"/>
    <cellStyle name="Lien hypertexte visité" xfId="21494" builtinId="9" hidden="1"/>
    <cellStyle name="Lien hypertexte visité" xfId="21366" builtinId="9" hidden="1"/>
    <cellStyle name="Lien hypertexte visité" xfId="21238" builtinId="9" hidden="1"/>
    <cellStyle name="Lien hypertexte visité" xfId="21110" builtinId="9" hidden="1"/>
    <cellStyle name="Lien hypertexte visité" xfId="20982" builtinId="9" hidden="1"/>
    <cellStyle name="Lien hypertexte visité" xfId="20854" builtinId="9" hidden="1"/>
    <cellStyle name="Lien hypertexte visité" xfId="20726" builtinId="9" hidden="1"/>
    <cellStyle name="Lien hypertexte visité" xfId="20598" builtinId="9" hidden="1"/>
    <cellStyle name="Lien hypertexte visité" xfId="20470" builtinId="9" hidden="1"/>
    <cellStyle name="Lien hypertexte visité" xfId="20342" builtinId="9" hidden="1"/>
    <cellStyle name="Lien hypertexte visité" xfId="20214" builtinId="9" hidden="1"/>
    <cellStyle name="Lien hypertexte visité" xfId="20086" builtinId="9" hidden="1"/>
    <cellStyle name="Lien hypertexte visité" xfId="19958" builtinId="9" hidden="1"/>
    <cellStyle name="Lien hypertexte visité" xfId="19830" builtinId="9" hidden="1"/>
    <cellStyle name="Lien hypertexte visité" xfId="19702" builtinId="9" hidden="1"/>
    <cellStyle name="Lien hypertexte visité" xfId="19574" builtinId="9" hidden="1"/>
    <cellStyle name="Lien hypertexte visité" xfId="19446" builtinId="9" hidden="1"/>
    <cellStyle name="Lien hypertexte visité" xfId="19318" builtinId="9" hidden="1"/>
    <cellStyle name="Lien hypertexte visité" xfId="19190" builtinId="9" hidden="1"/>
    <cellStyle name="Lien hypertexte visité" xfId="19062" builtinId="9" hidden="1"/>
    <cellStyle name="Lien hypertexte visité" xfId="18934" builtinId="9" hidden="1"/>
    <cellStyle name="Lien hypertexte visité" xfId="18806" builtinId="9" hidden="1"/>
    <cellStyle name="Lien hypertexte visité" xfId="18678" builtinId="9" hidden="1"/>
    <cellStyle name="Lien hypertexte visité" xfId="18550" builtinId="9" hidden="1"/>
    <cellStyle name="Lien hypertexte visité" xfId="18422" builtinId="9" hidden="1"/>
    <cellStyle name="Lien hypertexte visité" xfId="18310" builtinId="9" hidden="1"/>
    <cellStyle name="Lien hypertexte visité" xfId="18183" builtinId="9" hidden="1"/>
    <cellStyle name="Lien hypertexte visité" xfId="18055" builtinId="9" hidden="1"/>
    <cellStyle name="Lien hypertexte visité" xfId="17927" builtinId="9" hidden="1"/>
    <cellStyle name="Lien hypertexte visité" xfId="17799" builtinId="9" hidden="1"/>
    <cellStyle name="Lien hypertexte visité" xfId="17671" builtinId="9" hidden="1"/>
    <cellStyle name="Lien hypertexte visité" xfId="17543" builtinId="9" hidden="1"/>
    <cellStyle name="Lien hypertexte visité" xfId="17415" builtinId="9" hidden="1"/>
    <cellStyle name="Lien hypertexte visité" xfId="17287" builtinId="9" hidden="1"/>
    <cellStyle name="Lien hypertexte visité" xfId="17159" builtinId="9" hidden="1"/>
    <cellStyle name="Lien hypertexte visité" xfId="17031" builtinId="9" hidden="1"/>
    <cellStyle name="Lien hypertexte visité" xfId="16903" builtinId="9" hidden="1"/>
    <cellStyle name="Lien hypertexte visité" xfId="16775" builtinId="9" hidden="1"/>
    <cellStyle name="Lien hypertexte visité" xfId="16647" builtinId="9" hidden="1"/>
    <cellStyle name="Lien hypertexte visité" xfId="16519" builtinId="9" hidden="1"/>
    <cellStyle name="Lien hypertexte visité" xfId="16391" builtinId="9" hidden="1"/>
    <cellStyle name="Lien hypertexte visité" xfId="16263" builtinId="9" hidden="1"/>
    <cellStyle name="Lien hypertexte visité" xfId="16135" builtinId="9" hidden="1"/>
    <cellStyle name="Lien hypertexte visité" xfId="16007" builtinId="9" hidden="1"/>
    <cellStyle name="Lien hypertexte visité" xfId="15879" builtinId="9" hidden="1"/>
    <cellStyle name="Lien hypertexte visité" xfId="15751" builtinId="9" hidden="1"/>
    <cellStyle name="Lien hypertexte visité" xfId="15623" builtinId="9" hidden="1"/>
    <cellStyle name="Lien hypertexte visité" xfId="15495" builtinId="9" hidden="1"/>
    <cellStyle name="Lien hypertexte visité" xfId="15367" builtinId="9" hidden="1"/>
    <cellStyle name="Lien hypertexte visité" xfId="15239" builtinId="9" hidden="1"/>
    <cellStyle name="Lien hypertexte visité" xfId="15111" builtinId="9" hidden="1"/>
    <cellStyle name="Lien hypertexte visité" xfId="14983" builtinId="9" hidden="1"/>
    <cellStyle name="Lien hypertexte visité" xfId="14855" builtinId="9" hidden="1"/>
    <cellStyle name="Lien hypertexte visité" xfId="14727" builtinId="9" hidden="1"/>
    <cellStyle name="Lien hypertexte visité" xfId="14599" builtinId="9" hidden="1"/>
    <cellStyle name="Lien hypertexte visité" xfId="14493" builtinId="9" hidden="1"/>
    <cellStyle name="Lien hypertexte visité" xfId="14429" builtinId="9" hidden="1"/>
    <cellStyle name="Lien hypertexte visité" xfId="14365" builtinId="9" hidden="1"/>
    <cellStyle name="Lien hypertexte visité" xfId="14301" builtinId="9" hidden="1"/>
    <cellStyle name="Lien hypertexte visité" xfId="14237" builtinId="9" hidden="1"/>
    <cellStyle name="Lien hypertexte visité" xfId="14173" builtinId="9" hidden="1"/>
    <cellStyle name="Lien hypertexte visité" xfId="14109" builtinId="9" hidden="1"/>
    <cellStyle name="Lien hypertexte visité" xfId="14045" builtinId="9" hidden="1"/>
    <cellStyle name="Lien hypertexte visité" xfId="13981" builtinId="9" hidden="1"/>
    <cellStyle name="Lien hypertexte visité" xfId="13917" builtinId="9" hidden="1"/>
    <cellStyle name="Lien hypertexte visité" xfId="13853" builtinId="9" hidden="1"/>
    <cellStyle name="Lien hypertexte visité" xfId="13789" builtinId="9" hidden="1"/>
    <cellStyle name="Lien hypertexte visité" xfId="13725" builtinId="9" hidden="1"/>
    <cellStyle name="Lien hypertexte visité" xfId="13661" builtinId="9" hidden="1"/>
    <cellStyle name="Lien hypertexte visité" xfId="13597" builtinId="9" hidden="1"/>
    <cellStyle name="Lien hypertexte visité" xfId="13533" builtinId="9" hidden="1"/>
    <cellStyle name="Lien hypertexte visité" xfId="13469" builtinId="9" hidden="1"/>
    <cellStyle name="Lien hypertexte visité" xfId="13405" builtinId="9" hidden="1"/>
    <cellStyle name="Lien hypertexte visité" xfId="13341" builtinId="9" hidden="1"/>
    <cellStyle name="Lien hypertexte visité" xfId="13277" builtinId="9" hidden="1"/>
    <cellStyle name="Lien hypertexte visité" xfId="13213" builtinId="9" hidden="1"/>
    <cellStyle name="Lien hypertexte visité" xfId="13149" builtinId="9" hidden="1"/>
    <cellStyle name="Lien hypertexte visité" xfId="13085" builtinId="9" hidden="1"/>
    <cellStyle name="Lien hypertexte visité" xfId="13021" builtinId="9" hidden="1"/>
    <cellStyle name="Lien hypertexte visité" xfId="12957" builtinId="9" hidden="1"/>
    <cellStyle name="Lien hypertexte visité" xfId="12893" builtinId="9" hidden="1"/>
    <cellStyle name="Lien hypertexte visité" xfId="12829" builtinId="9" hidden="1"/>
    <cellStyle name="Lien hypertexte visité" xfId="12765" builtinId="9" hidden="1"/>
    <cellStyle name="Lien hypertexte visité" xfId="12701" builtinId="9" hidden="1"/>
    <cellStyle name="Lien hypertexte visité" xfId="12637" builtinId="9" hidden="1"/>
    <cellStyle name="Lien hypertexte visité" xfId="12573" builtinId="9" hidden="1"/>
    <cellStyle name="Lien hypertexte visité" xfId="12509" builtinId="9" hidden="1"/>
    <cellStyle name="Lien hypertexte visité" xfId="12445" builtinId="9" hidden="1"/>
    <cellStyle name="Lien hypertexte visité" xfId="12381" builtinId="9" hidden="1"/>
    <cellStyle name="Lien hypertexte visité" xfId="12317" builtinId="9" hidden="1"/>
    <cellStyle name="Lien hypertexte visité" xfId="12253" builtinId="9" hidden="1"/>
    <cellStyle name="Lien hypertexte visité" xfId="12189" builtinId="9" hidden="1"/>
    <cellStyle name="Lien hypertexte visité" xfId="12125" builtinId="9" hidden="1"/>
    <cellStyle name="Lien hypertexte visité" xfId="12061" builtinId="9" hidden="1"/>
    <cellStyle name="Lien hypertexte visité" xfId="11997" builtinId="9" hidden="1"/>
    <cellStyle name="Lien hypertexte visité" xfId="11933" builtinId="9" hidden="1"/>
    <cellStyle name="Lien hypertexte visité" xfId="11869" builtinId="9" hidden="1"/>
    <cellStyle name="Lien hypertexte visité" xfId="11805" builtinId="9" hidden="1"/>
    <cellStyle name="Lien hypertexte visité" xfId="11741" builtinId="9" hidden="1"/>
    <cellStyle name="Lien hypertexte visité" xfId="11677" builtinId="9" hidden="1"/>
    <cellStyle name="Lien hypertexte visité" xfId="11613" builtinId="9" hidden="1"/>
    <cellStyle name="Lien hypertexte visité" xfId="11549" builtinId="9" hidden="1"/>
    <cellStyle name="Lien hypertexte visité" xfId="11485" builtinId="9" hidden="1"/>
    <cellStyle name="Lien hypertexte visité" xfId="11421" builtinId="9" hidden="1"/>
    <cellStyle name="Lien hypertexte visité" xfId="11357" builtinId="9" hidden="1"/>
    <cellStyle name="Lien hypertexte visité" xfId="11293" builtinId="9" hidden="1"/>
    <cellStyle name="Lien hypertexte visité" xfId="11229" builtinId="9" hidden="1"/>
    <cellStyle name="Lien hypertexte visité" xfId="11165" builtinId="9" hidden="1"/>
    <cellStyle name="Lien hypertexte visité" xfId="11101" builtinId="9" hidden="1"/>
    <cellStyle name="Lien hypertexte visité" xfId="11037" builtinId="9" hidden="1"/>
    <cellStyle name="Lien hypertexte visité" xfId="10973" builtinId="9" hidden="1"/>
    <cellStyle name="Lien hypertexte visité" xfId="10909" builtinId="9" hidden="1"/>
    <cellStyle name="Lien hypertexte visité" xfId="10845" builtinId="9" hidden="1"/>
    <cellStyle name="Lien hypertexte visité" xfId="10781" builtinId="9" hidden="1"/>
    <cellStyle name="Lien hypertexte visité" xfId="10717" builtinId="9" hidden="1"/>
    <cellStyle name="Lien hypertexte visité" xfId="10653" builtinId="9" hidden="1"/>
    <cellStyle name="Lien hypertexte visité" xfId="10589" builtinId="9" hidden="1"/>
    <cellStyle name="Lien hypertexte visité" xfId="10525" builtinId="9" hidden="1"/>
    <cellStyle name="Lien hypertexte visité" xfId="10461" builtinId="9" hidden="1"/>
    <cellStyle name="Lien hypertexte visité" xfId="10397" builtinId="9" hidden="1"/>
    <cellStyle name="Lien hypertexte visité" xfId="10333" builtinId="9" hidden="1"/>
    <cellStyle name="Lien hypertexte visité" xfId="10269" builtinId="9" hidden="1"/>
    <cellStyle name="Lien hypertexte visité" xfId="10205" builtinId="9" hidden="1"/>
    <cellStyle name="Lien hypertexte visité" xfId="10141" builtinId="9" hidden="1"/>
    <cellStyle name="Lien hypertexte visité" xfId="10077" builtinId="9" hidden="1"/>
    <cellStyle name="Lien hypertexte visité" xfId="10013" builtinId="9" hidden="1"/>
    <cellStyle name="Lien hypertexte visité" xfId="9949" builtinId="9" hidden="1"/>
    <cellStyle name="Lien hypertexte visité" xfId="9885" builtinId="9" hidden="1"/>
    <cellStyle name="Lien hypertexte visité" xfId="9821" builtinId="9" hidden="1"/>
    <cellStyle name="Lien hypertexte visité" xfId="9757" builtinId="9" hidden="1"/>
    <cellStyle name="Lien hypertexte visité" xfId="9693" builtinId="9" hidden="1"/>
    <cellStyle name="Lien hypertexte visité" xfId="9629" builtinId="9" hidden="1"/>
    <cellStyle name="Lien hypertexte visité" xfId="9565" builtinId="9" hidden="1"/>
    <cellStyle name="Lien hypertexte visité" xfId="9501" builtinId="9" hidden="1"/>
    <cellStyle name="Lien hypertexte visité" xfId="9437" builtinId="9" hidden="1"/>
    <cellStyle name="Lien hypertexte visité" xfId="9373" builtinId="9" hidden="1"/>
    <cellStyle name="Lien hypertexte visité" xfId="9309" builtinId="9" hidden="1"/>
    <cellStyle name="Lien hypertexte visité" xfId="9245" builtinId="9" hidden="1"/>
    <cellStyle name="Lien hypertexte visité" xfId="9181" builtinId="9" hidden="1"/>
    <cellStyle name="Lien hypertexte visité" xfId="9117" builtinId="9" hidden="1"/>
    <cellStyle name="Lien hypertexte visité" xfId="9053" builtinId="9" hidden="1"/>
    <cellStyle name="Lien hypertexte visité" xfId="8989" builtinId="9" hidden="1"/>
    <cellStyle name="Lien hypertexte visité" xfId="8925" builtinId="9" hidden="1"/>
    <cellStyle name="Lien hypertexte visité" xfId="8861" builtinId="9" hidden="1"/>
    <cellStyle name="Lien hypertexte visité" xfId="8797" builtinId="9" hidden="1"/>
    <cellStyle name="Lien hypertexte visité" xfId="8733" builtinId="9" hidden="1"/>
    <cellStyle name="Lien hypertexte visité" xfId="8669" builtinId="9" hidden="1"/>
    <cellStyle name="Lien hypertexte visité" xfId="8605" builtinId="9" hidden="1"/>
    <cellStyle name="Lien hypertexte visité" xfId="8541" builtinId="9" hidden="1"/>
    <cellStyle name="Lien hypertexte visité" xfId="8477" builtinId="9" hidden="1"/>
    <cellStyle name="Lien hypertexte visité" xfId="8413" builtinId="9" hidden="1"/>
    <cellStyle name="Lien hypertexte visité" xfId="8349" builtinId="9" hidden="1"/>
    <cellStyle name="Lien hypertexte visité" xfId="8285" builtinId="9" hidden="1"/>
    <cellStyle name="Lien hypertexte visité" xfId="8221" builtinId="9" hidden="1"/>
    <cellStyle name="Lien hypertexte visité" xfId="8157" builtinId="9" hidden="1"/>
    <cellStyle name="Lien hypertexte visité" xfId="8093" builtinId="9" hidden="1"/>
    <cellStyle name="Lien hypertexte visité" xfId="8029" builtinId="9" hidden="1"/>
    <cellStyle name="Lien hypertexte visité" xfId="7965" builtinId="9" hidden="1"/>
    <cellStyle name="Lien hypertexte visité" xfId="7901" builtinId="9" hidden="1"/>
    <cellStyle name="Lien hypertexte visité" xfId="7837" builtinId="9" hidden="1"/>
    <cellStyle name="Lien hypertexte visité" xfId="7772" builtinId="9" hidden="1"/>
    <cellStyle name="Lien hypertexte visité" xfId="7708" builtinId="9" hidden="1"/>
    <cellStyle name="Lien hypertexte visité" xfId="7644" builtinId="9" hidden="1"/>
    <cellStyle name="Lien hypertexte visité" xfId="7580" builtinId="9" hidden="1"/>
    <cellStyle name="Lien hypertexte visité" xfId="7516" builtinId="9" hidden="1"/>
    <cellStyle name="Lien hypertexte visité" xfId="7452" builtinId="9" hidden="1"/>
    <cellStyle name="Lien hypertexte visité" xfId="7388" builtinId="9" hidden="1"/>
    <cellStyle name="Lien hypertexte visité" xfId="7324" builtinId="9" hidden="1"/>
    <cellStyle name="Lien hypertexte visité" xfId="7260" builtinId="9" hidden="1"/>
    <cellStyle name="Lien hypertexte visité" xfId="7196" builtinId="9" hidden="1"/>
    <cellStyle name="Lien hypertexte visité" xfId="7132" builtinId="9" hidden="1"/>
    <cellStyle name="Lien hypertexte visité" xfId="7068" builtinId="9" hidden="1"/>
    <cellStyle name="Lien hypertexte visité" xfId="7004" builtinId="9" hidden="1"/>
    <cellStyle name="Lien hypertexte visité" xfId="6940" builtinId="9" hidden="1"/>
    <cellStyle name="Lien hypertexte visité" xfId="6876" builtinId="9" hidden="1"/>
    <cellStyle name="Lien hypertexte visité" xfId="6812" builtinId="9" hidden="1"/>
    <cellStyle name="Lien hypertexte visité" xfId="6748" builtinId="9" hidden="1"/>
    <cellStyle name="Lien hypertexte visité" xfId="6684" builtinId="9" hidden="1"/>
    <cellStyle name="Lien hypertexte visité" xfId="6620" builtinId="9" hidden="1"/>
    <cellStyle name="Lien hypertexte visité" xfId="6556" builtinId="9" hidden="1"/>
    <cellStyle name="Lien hypertexte visité" xfId="6492" builtinId="9" hidden="1"/>
    <cellStyle name="Lien hypertexte visité" xfId="6428" builtinId="9" hidden="1"/>
    <cellStyle name="Lien hypertexte visité" xfId="6364" builtinId="9" hidden="1"/>
    <cellStyle name="Lien hypertexte visité" xfId="6300" builtinId="9" hidden="1"/>
    <cellStyle name="Lien hypertexte visité" xfId="6236" builtinId="9" hidden="1"/>
    <cellStyle name="Lien hypertexte visité" xfId="6172" builtinId="9" hidden="1"/>
    <cellStyle name="Lien hypertexte visité" xfId="6108" builtinId="9" hidden="1"/>
    <cellStyle name="Lien hypertexte visité" xfId="6044" builtinId="9" hidden="1"/>
    <cellStyle name="Lien hypertexte visité" xfId="5980" builtinId="9" hidden="1"/>
    <cellStyle name="Lien hypertexte visité" xfId="5916" builtinId="9" hidden="1"/>
    <cellStyle name="Lien hypertexte visité" xfId="5852" builtinId="9" hidden="1"/>
    <cellStyle name="Lien hypertexte visité" xfId="5788" builtinId="9" hidden="1"/>
    <cellStyle name="Lien hypertexte visité" xfId="5724" builtinId="9" hidden="1"/>
    <cellStyle name="Lien hypertexte visité" xfId="5660" builtinId="9" hidden="1"/>
    <cellStyle name="Lien hypertexte visité" xfId="5596" builtinId="9" hidden="1"/>
    <cellStyle name="Lien hypertexte visité" xfId="5532" builtinId="9" hidden="1"/>
    <cellStyle name="Lien hypertexte visité" xfId="5468" builtinId="9" hidden="1"/>
    <cellStyle name="Lien hypertexte visité" xfId="5404" builtinId="9" hidden="1"/>
    <cellStyle name="Lien hypertexte visité" xfId="5340" builtinId="9" hidden="1"/>
    <cellStyle name="Lien hypertexte visité" xfId="5276" builtinId="9" hidden="1"/>
    <cellStyle name="Lien hypertexte visité" xfId="5212" builtinId="9" hidden="1"/>
    <cellStyle name="Lien hypertexte visité" xfId="5148" builtinId="9" hidden="1"/>
    <cellStyle name="Lien hypertexte visité" xfId="5084" builtinId="9" hidden="1"/>
    <cellStyle name="Lien hypertexte visité" xfId="5020" builtinId="9" hidden="1"/>
    <cellStyle name="Lien hypertexte visité" xfId="4956" builtinId="9" hidden="1"/>
    <cellStyle name="Lien hypertexte visité" xfId="4892" builtinId="9" hidden="1"/>
    <cellStyle name="Lien hypertexte visité" xfId="4828" builtinId="9" hidden="1"/>
    <cellStyle name="Lien hypertexte visité" xfId="4764" builtinId="9" hidden="1"/>
    <cellStyle name="Lien hypertexte visité" xfId="4700" builtinId="9" hidden="1"/>
    <cellStyle name="Lien hypertexte visité" xfId="4636" builtinId="9" hidden="1"/>
    <cellStyle name="Lien hypertexte visité" xfId="4572" builtinId="9" hidden="1"/>
    <cellStyle name="Lien hypertexte visité" xfId="4508" builtinId="9" hidden="1"/>
    <cellStyle name="Lien hypertexte visité" xfId="4444" builtinId="9" hidden="1"/>
    <cellStyle name="Lien hypertexte visité" xfId="4380" builtinId="9" hidden="1"/>
    <cellStyle name="Lien hypertexte visité" xfId="4316" builtinId="9" hidden="1"/>
    <cellStyle name="Lien hypertexte visité" xfId="4252" builtinId="9" hidden="1"/>
    <cellStyle name="Lien hypertexte visité" xfId="4188" builtinId="9" hidden="1"/>
    <cellStyle name="Lien hypertexte visité" xfId="4124" builtinId="9" hidden="1"/>
    <cellStyle name="Lien hypertexte visité" xfId="4060" builtinId="9" hidden="1"/>
    <cellStyle name="Lien hypertexte visité" xfId="3996" builtinId="9" hidden="1"/>
    <cellStyle name="Lien hypertexte visité" xfId="3932" builtinId="9" hidden="1"/>
    <cellStyle name="Lien hypertexte visité" xfId="3871" builtinId="9" hidden="1"/>
    <cellStyle name="Lien hypertexte visité" xfId="3807" builtinId="9" hidden="1"/>
    <cellStyle name="Lien hypertexte visité" xfId="3743" builtinId="9" hidden="1"/>
    <cellStyle name="Lien hypertexte visité" xfId="3678" builtinId="9" hidden="1"/>
    <cellStyle name="Lien hypertexte visité" xfId="3607" builtinId="9" hidden="1"/>
    <cellStyle name="Lien hypertexte visité" xfId="3542" builtinId="9" hidden="1"/>
    <cellStyle name="Lien hypertexte visité" xfId="3478" builtinId="9" hidden="1"/>
    <cellStyle name="Lien hypertexte visité" xfId="3414" builtinId="9" hidden="1"/>
    <cellStyle name="Lien hypertexte visité" xfId="3350" builtinId="9" hidden="1"/>
    <cellStyle name="Lien hypertexte visité" xfId="3286" builtinId="9" hidden="1"/>
    <cellStyle name="Lien hypertexte visité" xfId="3222" builtinId="9" hidden="1"/>
    <cellStyle name="Lien hypertexte visité" xfId="3158" builtinId="9" hidden="1"/>
    <cellStyle name="Lien hypertexte visité" xfId="3094" builtinId="9" hidden="1"/>
    <cellStyle name="Lien hypertexte visité" xfId="3030" builtinId="9" hidden="1"/>
    <cellStyle name="Lien hypertexte visité" xfId="2966" builtinId="9" hidden="1"/>
    <cellStyle name="Lien hypertexte visité" xfId="2902" builtinId="9" hidden="1"/>
    <cellStyle name="Lien hypertexte visité" xfId="2838" builtinId="9" hidden="1"/>
    <cellStyle name="Lien hypertexte visité" xfId="2774" builtinId="9" hidden="1"/>
    <cellStyle name="Lien hypertexte visité" xfId="2710" builtinId="9" hidden="1"/>
    <cellStyle name="Lien hypertexte visité" xfId="2646" builtinId="9" hidden="1"/>
    <cellStyle name="Lien hypertexte visité" xfId="2582" builtinId="9" hidden="1"/>
    <cellStyle name="Lien hypertexte visité" xfId="2518" builtinId="9" hidden="1"/>
    <cellStyle name="Lien hypertexte visité" xfId="2454" builtinId="9" hidden="1"/>
    <cellStyle name="Lien hypertexte visité" xfId="2390" builtinId="9" hidden="1"/>
    <cellStyle name="Lien hypertexte visité" xfId="2326" builtinId="9" hidden="1"/>
    <cellStyle name="Lien hypertexte visité" xfId="2262" builtinId="9" hidden="1"/>
    <cellStyle name="Lien hypertexte visité" xfId="2198" builtinId="9" hidden="1"/>
    <cellStyle name="Lien hypertexte visité" xfId="2134" builtinId="9" hidden="1"/>
    <cellStyle name="Lien hypertexte visité" xfId="2070" builtinId="9" hidden="1"/>
    <cellStyle name="Lien hypertexte visité" xfId="2006" builtinId="9" hidden="1"/>
    <cellStyle name="Lien hypertexte visité" xfId="1942" builtinId="9" hidden="1"/>
    <cellStyle name="Lien hypertexte visité" xfId="1878" builtinId="9" hidden="1"/>
    <cellStyle name="Lien hypertexte visité" xfId="1814" builtinId="9" hidden="1"/>
    <cellStyle name="Lien hypertexte visité" xfId="1750" builtinId="9" hidden="1"/>
    <cellStyle name="Lien hypertexte visité" xfId="1686" builtinId="9" hidden="1"/>
    <cellStyle name="Lien hypertexte visité" xfId="1622" builtinId="9" hidden="1"/>
    <cellStyle name="Lien hypertexte visité" xfId="1558" builtinId="9" hidden="1"/>
    <cellStyle name="Lien hypertexte visité" xfId="1493" builtinId="9" hidden="1"/>
    <cellStyle name="Lien hypertexte visité" xfId="1429" builtinId="9" hidden="1"/>
    <cellStyle name="Lien hypertexte visité" xfId="1365" builtinId="9" hidden="1"/>
    <cellStyle name="Lien hypertexte visité" xfId="1301" builtinId="9" hidden="1"/>
    <cellStyle name="Lien hypertexte visité" xfId="1237" builtinId="9" hidden="1"/>
    <cellStyle name="Lien hypertexte visité" xfId="1173" builtinId="9" hidden="1"/>
    <cellStyle name="Lien hypertexte visité" xfId="1055" builtinId="9" hidden="1"/>
    <cellStyle name="Lien hypertexte visité" xfId="927" builtinId="9" hidden="1"/>
    <cellStyle name="Lien hypertexte visité" xfId="799" builtinId="9" hidden="1"/>
    <cellStyle name="Lien hypertexte visité" xfId="671" builtinId="9" hidden="1"/>
    <cellStyle name="Lien hypertexte visité" xfId="543" builtinId="9" hidden="1"/>
    <cellStyle name="Lien hypertexte visité" xfId="415" builtinId="9" hidden="1"/>
    <cellStyle name="Lien hypertexte visité" xfId="287" builtinId="9" hidden="1"/>
    <cellStyle name="Lien hypertexte visité" xfId="159" builtinId="9" hidden="1"/>
    <cellStyle name="Lien hypertexte visité" xfId="79" builtinId="9" hidden="1"/>
    <cellStyle name="Lien hypertexte visité" xfId="101" builtinId="9" hidden="1"/>
    <cellStyle name="Lien hypertexte visité" xfId="195" builtinId="9" hidden="1"/>
    <cellStyle name="Lien hypertexte visité" xfId="323" builtinId="9" hidden="1"/>
    <cellStyle name="Lien hypertexte visité" xfId="451" builtinId="9" hidden="1"/>
    <cellStyle name="Lien hypertexte visité" xfId="579" builtinId="9" hidden="1"/>
    <cellStyle name="Lien hypertexte visité" xfId="707" builtinId="9" hidden="1"/>
    <cellStyle name="Lien hypertexte visité" xfId="835" builtinId="9" hidden="1"/>
    <cellStyle name="Lien hypertexte visité" xfId="963" builtinId="9" hidden="1"/>
    <cellStyle name="Lien hypertexte visité" xfId="1091" builtinId="9" hidden="1"/>
    <cellStyle name="Lien hypertexte visité" xfId="1191" builtinId="9" hidden="1"/>
    <cellStyle name="Lien hypertexte visité" xfId="1255" builtinId="9" hidden="1"/>
    <cellStyle name="Lien hypertexte visité" xfId="1319" builtinId="9" hidden="1"/>
    <cellStyle name="Lien hypertexte visité" xfId="1383" builtinId="9" hidden="1"/>
    <cellStyle name="Lien hypertexte visité" xfId="1447" builtinId="9" hidden="1"/>
    <cellStyle name="Lien hypertexte visité" xfId="1512" builtinId="9" hidden="1"/>
    <cellStyle name="Lien hypertexte visité" xfId="1576" builtinId="9" hidden="1"/>
    <cellStyle name="Lien hypertexte visité" xfId="1640" builtinId="9" hidden="1"/>
    <cellStyle name="Lien hypertexte visité" xfId="1704" builtinId="9" hidden="1"/>
    <cellStyle name="Lien hypertexte visité" xfId="1768" builtinId="9" hidden="1"/>
    <cellStyle name="Lien hypertexte visité" xfId="1832" builtinId="9" hidden="1"/>
    <cellStyle name="Lien hypertexte visité" xfId="1896" builtinId="9" hidden="1"/>
    <cellStyle name="Lien hypertexte visité" xfId="1960" builtinId="9" hidden="1"/>
    <cellStyle name="Lien hypertexte visité" xfId="2024" builtinId="9" hidden="1"/>
    <cellStyle name="Lien hypertexte visité" xfId="2088" builtinId="9" hidden="1"/>
    <cellStyle name="Lien hypertexte visité" xfId="2152" builtinId="9" hidden="1"/>
    <cellStyle name="Lien hypertexte visité" xfId="2216" builtinId="9" hidden="1"/>
    <cellStyle name="Lien hypertexte visité" xfId="2280" builtinId="9" hidden="1"/>
    <cellStyle name="Lien hypertexte visité" xfId="2344" builtinId="9" hidden="1"/>
    <cellStyle name="Lien hypertexte visité" xfId="2408" builtinId="9" hidden="1"/>
    <cellStyle name="Lien hypertexte visité" xfId="2472" builtinId="9" hidden="1"/>
    <cellStyle name="Lien hypertexte visité" xfId="2536" builtinId="9" hidden="1"/>
    <cellStyle name="Lien hypertexte visité" xfId="2600" builtinId="9" hidden="1"/>
    <cellStyle name="Lien hypertexte visité" xfId="2664" builtinId="9" hidden="1"/>
    <cellStyle name="Lien hypertexte visité" xfId="2728" builtinId="9" hidden="1"/>
    <cellStyle name="Lien hypertexte visité" xfId="2792" builtinId="9" hidden="1"/>
    <cellStyle name="Lien hypertexte visité" xfId="2856" builtinId="9" hidden="1"/>
    <cellStyle name="Lien hypertexte visité" xfId="2920" builtinId="9" hidden="1"/>
    <cellStyle name="Lien hypertexte visité" xfId="2984" builtinId="9" hidden="1"/>
    <cellStyle name="Lien hypertexte visité" xfId="3048" builtinId="9" hidden="1"/>
    <cellStyle name="Lien hypertexte visité" xfId="3112" builtinId="9" hidden="1"/>
    <cellStyle name="Lien hypertexte visité" xfId="3176" builtinId="9" hidden="1"/>
    <cellStyle name="Lien hypertexte visité" xfId="3240" builtinId="9" hidden="1"/>
    <cellStyle name="Lien hypertexte visité" xfId="3304" builtinId="9" hidden="1"/>
    <cellStyle name="Lien hypertexte visité" xfId="3368" builtinId="9" hidden="1"/>
    <cellStyle name="Lien hypertexte visité" xfId="3432" builtinId="9" hidden="1"/>
    <cellStyle name="Lien hypertexte visité" xfId="3496" builtinId="9" hidden="1"/>
    <cellStyle name="Lien hypertexte visité" xfId="3561" builtinId="9" hidden="1"/>
    <cellStyle name="Lien hypertexte visité" xfId="3625" builtinId="9" hidden="1"/>
    <cellStyle name="Lien hypertexte visité" xfId="3697" builtinId="9" hidden="1"/>
    <cellStyle name="Lien hypertexte visité" xfId="3761" builtinId="9" hidden="1"/>
    <cellStyle name="Lien hypertexte visité" xfId="3825" builtinId="9" hidden="1"/>
    <cellStyle name="Lien hypertexte visité" xfId="3890" builtinId="9" hidden="1"/>
    <cellStyle name="Lien hypertexte visité" xfId="3950" builtinId="9" hidden="1"/>
    <cellStyle name="Lien hypertexte visité" xfId="4014" builtinId="9" hidden="1"/>
    <cellStyle name="Lien hypertexte visité" xfId="4078" builtinId="9" hidden="1"/>
    <cellStyle name="Lien hypertexte visité" xfId="4142" builtinId="9" hidden="1"/>
    <cellStyle name="Lien hypertexte visité" xfId="4206" builtinId="9" hidden="1"/>
    <cellStyle name="Lien hypertexte visité" xfId="4270" builtinId="9" hidden="1"/>
    <cellStyle name="Lien hypertexte visité" xfId="4334" builtinId="9" hidden="1"/>
    <cellStyle name="Lien hypertexte visité" xfId="4398" builtinId="9" hidden="1"/>
    <cellStyle name="Lien hypertexte visité" xfId="4462" builtinId="9" hidden="1"/>
    <cellStyle name="Lien hypertexte visité" xfId="4526" builtinId="9" hidden="1"/>
    <cellStyle name="Lien hypertexte visité" xfId="4590" builtinId="9" hidden="1"/>
    <cellStyle name="Lien hypertexte visité" xfId="4654" builtinId="9" hidden="1"/>
    <cellStyle name="Lien hypertexte visité" xfId="4718" builtinId="9" hidden="1"/>
    <cellStyle name="Lien hypertexte visité" xfId="4782" builtinId="9" hidden="1"/>
    <cellStyle name="Lien hypertexte visité" xfId="4846" builtinId="9" hidden="1"/>
    <cellStyle name="Lien hypertexte visité" xfId="4910" builtinId="9" hidden="1"/>
    <cellStyle name="Lien hypertexte visité" xfId="4974" builtinId="9" hidden="1"/>
    <cellStyle name="Lien hypertexte visité" xfId="5038" builtinId="9" hidden="1"/>
    <cellStyle name="Lien hypertexte visité" xfId="5102" builtinId="9" hidden="1"/>
    <cellStyle name="Lien hypertexte visité" xfId="5166" builtinId="9" hidden="1"/>
    <cellStyle name="Lien hypertexte visité" xfId="5230" builtinId="9" hidden="1"/>
    <cellStyle name="Lien hypertexte visité" xfId="5294" builtinId="9" hidden="1"/>
    <cellStyle name="Lien hypertexte visité" xfId="5358" builtinId="9" hidden="1"/>
    <cellStyle name="Lien hypertexte visité" xfId="5422" builtinId="9" hidden="1"/>
    <cellStyle name="Lien hypertexte visité" xfId="5486" builtinId="9" hidden="1"/>
    <cellStyle name="Lien hypertexte visité" xfId="5550" builtinId="9" hidden="1"/>
    <cellStyle name="Lien hypertexte visité" xfId="5614" builtinId="9" hidden="1"/>
    <cellStyle name="Lien hypertexte visité" xfId="5678" builtinId="9" hidden="1"/>
    <cellStyle name="Lien hypertexte visité" xfId="5742" builtinId="9" hidden="1"/>
    <cellStyle name="Lien hypertexte visité" xfId="5806" builtinId="9" hidden="1"/>
    <cellStyle name="Lien hypertexte visité" xfId="5870" builtinId="9" hidden="1"/>
    <cellStyle name="Lien hypertexte visité" xfId="5934" builtinId="9" hidden="1"/>
    <cellStyle name="Lien hypertexte visité" xfId="5998" builtinId="9" hidden="1"/>
    <cellStyle name="Lien hypertexte visité" xfId="6062" builtinId="9" hidden="1"/>
    <cellStyle name="Lien hypertexte visité" xfId="6126" builtinId="9" hidden="1"/>
    <cellStyle name="Lien hypertexte visité" xfId="6190" builtinId="9" hidden="1"/>
    <cellStyle name="Lien hypertexte visité" xfId="6254" builtinId="9" hidden="1"/>
    <cellStyle name="Lien hypertexte visité" xfId="6318" builtinId="9" hidden="1"/>
    <cellStyle name="Lien hypertexte visité" xfId="6382" builtinId="9" hidden="1"/>
    <cellStyle name="Lien hypertexte visité" xfId="6446" builtinId="9" hidden="1"/>
    <cellStyle name="Lien hypertexte visité" xfId="6510" builtinId="9" hidden="1"/>
    <cellStyle name="Lien hypertexte visité" xfId="6574" builtinId="9" hidden="1"/>
    <cellStyle name="Lien hypertexte visité" xfId="6638" builtinId="9" hidden="1"/>
    <cellStyle name="Lien hypertexte visité" xfId="6702" builtinId="9" hidden="1"/>
    <cellStyle name="Lien hypertexte visité" xfId="6766" builtinId="9" hidden="1"/>
    <cellStyle name="Lien hypertexte visité" xfId="6830" builtinId="9" hidden="1"/>
    <cellStyle name="Lien hypertexte visité" xfId="6894" builtinId="9" hidden="1"/>
    <cellStyle name="Lien hypertexte visité" xfId="6958" builtinId="9" hidden="1"/>
    <cellStyle name="Lien hypertexte visité" xfId="7022" builtinId="9" hidden="1"/>
    <cellStyle name="Lien hypertexte visité" xfId="7086" builtinId="9" hidden="1"/>
    <cellStyle name="Lien hypertexte visité" xfId="7150" builtinId="9" hidden="1"/>
    <cellStyle name="Lien hypertexte visité" xfId="7214" builtinId="9" hidden="1"/>
    <cellStyle name="Lien hypertexte visité" xfId="7278" builtinId="9" hidden="1"/>
    <cellStyle name="Lien hypertexte visité" xfId="7342" builtinId="9" hidden="1"/>
    <cellStyle name="Lien hypertexte visité" xfId="7406" builtinId="9" hidden="1"/>
    <cellStyle name="Lien hypertexte visité" xfId="7470" builtinId="9" hidden="1"/>
    <cellStyle name="Lien hypertexte visité" xfId="7534" builtinId="9" hidden="1"/>
    <cellStyle name="Lien hypertexte visité" xfId="7598" builtinId="9" hidden="1"/>
    <cellStyle name="Lien hypertexte visité" xfId="7662" builtinId="9" hidden="1"/>
    <cellStyle name="Lien hypertexte visité" xfId="7726" builtinId="9" hidden="1"/>
    <cellStyle name="Lien hypertexte visité" xfId="7790" builtinId="9" hidden="1"/>
    <cellStyle name="Lien hypertexte visité" xfId="7855" builtinId="9" hidden="1"/>
    <cellStyle name="Lien hypertexte visité" xfId="7919" builtinId="9" hidden="1"/>
    <cellStyle name="Lien hypertexte visité" xfId="7983" builtinId="9" hidden="1"/>
    <cellStyle name="Lien hypertexte visité" xfId="8047" builtinId="9" hidden="1"/>
    <cellStyle name="Lien hypertexte visité" xfId="8111" builtinId="9" hidden="1"/>
    <cellStyle name="Lien hypertexte visité" xfId="8175" builtinId="9" hidden="1"/>
    <cellStyle name="Lien hypertexte visité" xfId="8239" builtinId="9" hidden="1"/>
    <cellStyle name="Lien hypertexte visité" xfId="8303" builtinId="9" hidden="1"/>
    <cellStyle name="Lien hypertexte visité" xfId="8367" builtinId="9" hidden="1"/>
    <cellStyle name="Lien hypertexte visité" xfId="8431" builtinId="9" hidden="1"/>
    <cellStyle name="Lien hypertexte visité" xfId="8495" builtinId="9" hidden="1"/>
    <cellStyle name="Lien hypertexte visité" xfId="8559" builtinId="9" hidden="1"/>
    <cellStyle name="Lien hypertexte visité" xfId="8623" builtinId="9" hidden="1"/>
    <cellStyle name="Lien hypertexte visité" xfId="8687" builtinId="9" hidden="1"/>
    <cellStyle name="Lien hypertexte visité" xfId="8751" builtinId="9" hidden="1"/>
    <cellStyle name="Lien hypertexte visité" xfId="8815" builtinId="9" hidden="1"/>
    <cellStyle name="Lien hypertexte visité" xfId="8879" builtinId="9" hidden="1"/>
    <cellStyle name="Lien hypertexte visité" xfId="8943" builtinId="9" hidden="1"/>
    <cellStyle name="Lien hypertexte visité" xfId="9007" builtinId="9" hidden="1"/>
    <cellStyle name="Lien hypertexte visité" xfId="9071" builtinId="9" hidden="1"/>
    <cellStyle name="Lien hypertexte visité" xfId="9135" builtinId="9" hidden="1"/>
    <cellStyle name="Lien hypertexte visité" xfId="9199" builtinId="9" hidden="1"/>
    <cellStyle name="Lien hypertexte visité" xfId="9263" builtinId="9" hidden="1"/>
    <cellStyle name="Lien hypertexte visité" xfId="9327" builtinId="9" hidden="1"/>
    <cellStyle name="Lien hypertexte visité" xfId="9391" builtinId="9" hidden="1"/>
    <cellStyle name="Lien hypertexte visité" xfId="9455" builtinId="9" hidden="1"/>
    <cellStyle name="Lien hypertexte visité" xfId="9519" builtinId="9" hidden="1"/>
    <cellStyle name="Lien hypertexte visité" xfId="9583" builtinId="9" hidden="1"/>
    <cellStyle name="Lien hypertexte visité" xfId="9647" builtinId="9" hidden="1"/>
    <cellStyle name="Lien hypertexte visité" xfId="9711" builtinId="9" hidden="1"/>
    <cellStyle name="Lien hypertexte visité" xfId="9775" builtinId="9" hidden="1"/>
    <cellStyle name="Lien hypertexte visité" xfId="9839" builtinId="9" hidden="1"/>
    <cellStyle name="Lien hypertexte visité" xfId="9903" builtinId="9" hidden="1"/>
    <cellStyle name="Lien hypertexte visité" xfId="9967" builtinId="9" hidden="1"/>
    <cellStyle name="Lien hypertexte visité" xfId="10031" builtinId="9" hidden="1"/>
    <cellStyle name="Lien hypertexte visité" xfId="10095" builtinId="9" hidden="1"/>
    <cellStyle name="Lien hypertexte visité" xfId="10159" builtinId="9" hidden="1"/>
    <cellStyle name="Lien hypertexte visité" xfId="10223" builtinId="9" hidden="1"/>
    <cellStyle name="Lien hypertexte visité" xfId="10287" builtinId="9" hidden="1"/>
    <cellStyle name="Lien hypertexte visité" xfId="10351" builtinId="9" hidden="1"/>
    <cellStyle name="Lien hypertexte visité" xfId="10415" builtinId="9" hidden="1"/>
    <cellStyle name="Lien hypertexte visité" xfId="10479" builtinId="9" hidden="1"/>
    <cellStyle name="Lien hypertexte visité" xfId="10543" builtinId="9" hidden="1"/>
    <cellStyle name="Lien hypertexte visité" xfId="10607" builtinId="9" hidden="1"/>
    <cellStyle name="Lien hypertexte visité" xfId="10671" builtinId="9" hidden="1"/>
    <cellStyle name="Lien hypertexte visité" xfId="10735" builtinId="9" hidden="1"/>
    <cellStyle name="Lien hypertexte visité" xfId="10799" builtinId="9" hidden="1"/>
    <cellStyle name="Lien hypertexte visité" xfId="10863" builtinId="9" hidden="1"/>
    <cellStyle name="Lien hypertexte visité" xfId="10927" builtinId="9" hidden="1"/>
    <cellStyle name="Lien hypertexte visité" xfId="10991" builtinId="9" hidden="1"/>
    <cellStyle name="Lien hypertexte visité" xfId="11055" builtinId="9" hidden="1"/>
    <cellStyle name="Lien hypertexte visité" xfId="11119" builtinId="9" hidden="1"/>
    <cellStyle name="Lien hypertexte visité" xfId="11183" builtinId="9" hidden="1"/>
    <cellStyle name="Lien hypertexte visité" xfId="11247" builtinId="9" hidden="1"/>
    <cellStyle name="Lien hypertexte visité" xfId="11311" builtinId="9" hidden="1"/>
    <cellStyle name="Lien hypertexte visité" xfId="11375" builtinId="9" hidden="1"/>
    <cellStyle name="Lien hypertexte visité" xfId="11439" builtinId="9" hidden="1"/>
    <cellStyle name="Lien hypertexte visité" xfId="11503" builtinId="9" hidden="1"/>
    <cellStyle name="Lien hypertexte visité" xfId="11567" builtinId="9" hidden="1"/>
    <cellStyle name="Lien hypertexte visité" xfId="11631" builtinId="9" hidden="1"/>
    <cellStyle name="Lien hypertexte visité" xfId="11695" builtinId="9" hidden="1"/>
    <cellStyle name="Lien hypertexte visité" xfId="11759" builtinId="9" hidden="1"/>
    <cellStyle name="Lien hypertexte visité" xfId="11823" builtinId="9" hidden="1"/>
    <cellStyle name="Lien hypertexte visité" xfId="11887" builtinId="9" hidden="1"/>
    <cellStyle name="Lien hypertexte visité" xfId="11951" builtinId="9" hidden="1"/>
    <cellStyle name="Lien hypertexte visité" xfId="12015" builtinId="9" hidden="1"/>
    <cellStyle name="Lien hypertexte visité" xfId="12079" builtinId="9" hidden="1"/>
    <cellStyle name="Lien hypertexte visité" xfId="12143" builtinId="9" hidden="1"/>
    <cellStyle name="Lien hypertexte visité" xfId="12207" builtinId="9" hidden="1"/>
    <cellStyle name="Lien hypertexte visité" xfId="12271" builtinId="9" hidden="1"/>
    <cellStyle name="Lien hypertexte visité" xfId="12335" builtinId="9" hidden="1"/>
    <cellStyle name="Lien hypertexte visité" xfId="12399" builtinId="9" hidden="1"/>
    <cellStyle name="Lien hypertexte visité" xfId="12463" builtinId="9" hidden="1"/>
    <cellStyle name="Lien hypertexte visité" xfId="12527" builtinId="9" hidden="1"/>
    <cellStyle name="Lien hypertexte visité" xfId="12591" builtinId="9" hidden="1"/>
    <cellStyle name="Lien hypertexte visité" xfId="12655" builtinId="9" hidden="1"/>
    <cellStyle name="Lien hypertexte visité" xfId="12719" builtinId="9" hidden="1"/>
    <cellStyle name="Lien hypertexte visité" xfId="12783" builtinId="9" hidden="1"/>
    <cellStyle name="Lien hypertexte visité" xfId="12847" builtinId="9" hidden="1"/>
    <cellStyle name="Lien hypertexte visité" xfId="12911" builtinId="9" hidden="1"/>
    <cellStyle name="Lien hypertexte visité" xfId="12975" builtinId="9" hidden="1"/>
    <cellStyle name="Lien hypertexte visité" xfId="13039" builtinId="9" hidden="1"/>
    <cellStyle name="Lien hypertexte visité" xfId="13103" builtinId="9" hidden="1"/>
    <cellStyle name="Lien hypertexte visité" xfId="13167" builtinId="9" hidden="1"/>
    <cellStyle name="Lien hypertexte visité" xfId="13231" builtinId="9" hidden="1"/>
    <cellStyle name="Lien hypertexte visité" xfId="13295" builtinId="9" hidden="1"/>
    <cellStyle name="Lien hypertexte visité" xfId="13359" builtinId="9" hidden="1"/>
    <cellStyle name="Lien hypertexte visité" xfId="13423" builtinId="9" hidden="1"/>
    <cellStyle name="Lien hypertexte visité" xfId="13487" builtinId="9" hidden="1"/>
    <cellStyle name="Lien hypertexte visité" xfId="13551" builtinId="9" hidden="1"/>
    <cellStyle name="Lien hypertexte visité" xfId="13615" builtinId="9" hidden="1"/>
    <cellStyle name="Lien hypertexte visité" xfId="13679" builtinId="9" hidden="1"/>
    <cellStyle name="Lien hypertexte visité" xfId="13743" builtinId="9" hidden="1"/>
    <cellStyle name="Lien hypertexte visité" xfId="13807" builtinId="9" hidden="1"/>
    <cellStyle name="Lien hypertexte visité" xfId="13871" builtinId="9" hidden="1"/>
    <cellStyle name="Lien hypertexte visité" xfId="13935" builtinId="9" hidden="1"/>
    <cellStyle name="Lien hypertexte visité" xfId="13999" builtinId="9" hidden="1"/>
    <cellStyle name="Lien hypertexte visité" xfId="14063" builtinId="9" hidden="1"/>
    <cellStyle name="Lien hypertexte visité" xfId="14127" builtinId="9" hidden="1"/>
    <cellStyle name="Lien hypertexte visité" xfId="14191" builtinId="9" hidden="1"/>
    <cellStyle name="Lien hypertexte visité" xfId="14255" builtinId="9" hidden="1"/>
    <cellStyle name="Lien hypertexte visité" xfId="14319" builtinId="9" hidden="1"/>
    <cellStyle name="Lien hypertexte visité" xfId="14383" builtinId="9" hidden="1"/>
    <cellStyle name="Lien hypertexte visité" xfId="14447" builtinId="9" hidden="1"/>
    <cellStyle name="Lien hypertexte visité" xfId="14511" builtinId="9" hidden="1"/>
    <cellStyle name="Lien hypertexte visité" xfId="14635" builtinId="9" hidden="1"/>
    <cellStyle name="Lien hypertexte visité" xfId="14763" builtinId="9" hidden="1"/>
    <cellStyle name="Lien hypertexte visité" xfId="14891" builtinId="9" hidden="1"/>
    <cellStyle name="Lien hypertexte visité" xfId="15019" builtinId="9" hidden="1"/>
    <cellStyle name="Lien hypertexte visité" xfId="15147" builtinId="9" hidden="1"/>
    <cellStyle name="Lien hypertexte visité" xfId="15275" builtinId="9" hidden="1"/>
    <cellStyle name="Lien hypertexte visité" xfId="15403" builtinId="9" hidden="1"/>
    <cellStyle name="Lien hypertexte visité" xfId="15531" builtinId="9" hidden="1"/>
    <cellStyle name="Lien hypertexte visité" xfId="15659" builtinId="9" hidden="1"/>
    <cellStyle name="Lien hypertexte visité" xfId="15787" builtinId="9" hidden="1"/>
    <cellStyle name="Lien hypertexte visité" xfId="15915" builtinId="9" hidden="1"/>
    <cellStyle name="Lien hypertexte visité" xfId="16043" builtinId="9" hidden="1"/>
    <cellStyle name="Lien hypertexte visité" xfId="16171" builtinId="9" hidden="1"/>
    <cellStyle name="Lien hypertexte visité" xfId="16299" builtinId="9" hidden="1"/>
    <cellStyle name="Lien hypertexte visité" xfId="16427" builtinId="9" hidden="1"/>
    <cellStyle name="Lien hypertexte visité" xfId="16555" builtinId="9" hidden="1"/>
    <cellStyle name="Lien hypertexte visité" xfId="16683" builtinId="9" hidden="1"/>
    <cellStyle name="Lien hypertexte visité" xfId="16811" builtinId="9" hidden="1"/>
    <cellStyle name="Lien hypertexte visité" xfId="16939" builtinId="9" hidden="1"/>
    <cellStyle name="Lien hypertexte visité" xfId="17067" builtinId="9" hidden="1"/>
    <cellStyle name="Lien hypertexte visité" xfId="17195" builtinId="9" hidden="1"/>
    <cellStyle name="Lien hypertexte visité" xfId="8222" builtinId="9" hidden="1"/>
    <cellStyle name="Lien hypertexte visité" xfId="8262" builtinId="9" hidden="1"/>
    <cellStyle name="Lien hypertexte visité" xfId="8306" builtinId="9" hidden="1"/>
    <cellStyle name="Lien hypertexte visité" xfId="8350" builtinId="9" hidden="1"/>
    <cellStyle name="Lien hypertexte visité" xfId="8390" builtinId="9" hidden="1"/>
    <cellStyle name="Lien hypertexte visité" xfId="8434" builtinId="9" hidden="1"/>
    <cellStyle name="Lien hypertexte visité" xfId="8478" builtinId="9" hidden="1"/>
    <cellStyle name="Lien hypertexte visité" xfId="8518" builtinId="9" hidden="1"/>
    <cellStyle name="Lien hypertexte visité" xfId="8562" builtinId="9" hidden="1"/>
    <cellStyle name="Lien hypertexte visité" xfId="8606" builtinId="9" hidden="1"/>
    <cellStyle name="Lien hypertexte visité" xfId="8646" builtinId="9" hidden="1"/>
    <cellStyle name="Lien hypertexte visité" xfId="8690" builtinId="9" hidden="1"/>
    <cellStyle name="Lien hypertexte visité" xfId="8734" builtinId="9" hidden="1"/>
    <cellStyle name="Lien hypertexte visité" xfId="8774" builtinId="9" hidden="1"/>
    <cellStyle name="Lien hypertexte visité" xfId="8818" builtinId="9" hidden="1"/>
    <cellStyle name="Lien hypertexte visité" xfId="8862" builtinId="9" hidden="1"/>
    <cellStyle name="Lien hypertexte visité" xfId="8902" builtinId="9" hidden="1"/>
    <cellStyle name="Lien hypertexte visité" xfId="8946" builtinId="9" hidden="1"/>
    <cellStyle name="Lien hypertexte visité" xfId="8990" builtinId="9" hidden="1"/>
    <cellStyle name="Lien hypertexte visité" xfId="9030" builtinId="9" hidden="1"/>
    <cellStyle name="Lien hypertexte visité" xfId="9074" builtinId="9" hidden="1"/>
    <cellStyle name="Lien hypertexte visité" xfId="9118" builtinId="9" hidden="1"/>
    <cellStyle name="Lien hypertexte visité" xfId="9158" builtinId="9" hidden="1"/>
    <cellStyle name="Lien hypertexte visité" xfId="9202" builtinId="9" hidden="1"/>
    <cellStyle name="Lien hypertexte visité" xfId="9246" builtinId="9" hidden="1"/>
    <cellStyle name="Lien hypertexte visité" xfId="9286" builtinId="9" hidden="1"/>
    <cellStyle name="Lien hypertexte visité" xfId="9330" builtinId="9" hidden="1"/>
    <cellStyle name="Lien hypertexte visité" xfId="9374" builtinId="9" hidden="1"/>
    <cellStyle name="Lien hypertexte visité" xfId="9414" builtinId="9" hidden="1"/>
    <cellStyle name="Lien hypertexte visité" xfId="9458" builtinId="9" hidden="1"/>
    <cellStyle name="Lien hypertexte visité" xfId="9502" builtinId="9" hidden="1"/>
    <cellStyle name="Lien hypertexte visité" xfId="9542" builtinId="9" hidden="1"/>
    <cellStyle name="Lien hypertexte visité" xfId="9586" builtinId="9" hidden="1"/>
    <cellStyle name="Lien hypertexte visité" xfId="9630" builtinId="9" hidden="1"/>
    <cellStyle name="Lien hypertexte visité" xfId="9670" builtinId="9" hidden="1"/>
    <cellStyle name="Lien hypertexte visité" xfId="9714" builtinId="9" hidden="1"/>
    <cellStyle name="Lien hypertexte visité" xfId="9758" builtinId="9" hidden="1"/>
    <cellStyle name="Lien hypertexte visité" xfId="9798" builtinId="9" hidden="1"/>
    <cellStyle name="Lien hypertexte visité" xfId="9842" builtinId="9" hidden="1"/>
    <cellStyle name="Lien hypertexte visité" xfId="9886" builtinId="9" hidden="1"/>
    <cellStyle name="Lien hypertexte visité" xfId="9926" builtinId="9" hidden="1"/>
    <cellStyle name="Lien hypertexte visité" xfId="9970" builtinId="9" hidden="1"/>
    <cellStyle name="Lien hypertexte visité" xfId="10014" builtinId="9" hidden="1"/>
    <cellStyle name="Lien hypertexte visité" xfId="10054" builtinId="9" hidden="1"/>
    <cellStyle name="Lien hypertexte visité" xfId="10098" builtinId="9" hidden="1"/>
    <cellStyle name="Lien hypertexte visité" xfId="10142" builtinId="9" hidden="1"/>
    <cellStyle name="Lien hypertexte visité" xfId="10182" builtinId="9" hidden="1"/>
    <cellStyle name="Lien hypertexte visité" xfId="10226" builtinId="9" hidden="1"/>
    <cellStyle name="Lien hypertexte visité" xfId="10270" builtinId="9" hidden="1"/>
    <cellStyle name="Lien hypertexte visité" xfId="10310" builtinId="9" hidden="1"/>
    <cellStyle name="Lien hypertexte visité" xfId="10354" builtinId="9" hidden="1"/>
    <cellStyle name="Lien hypertexte visité" xfId="10398" builtinId="9" hidden="1"/>
    <cellStyle name="Lien hypertexte visité" xfId="10438" builtinId="9" hidden="1"/>
    <cellStyle name="Lien hypertexte visité" xfId="10482" builtinId="9" hidden="1"/>
    <cellStyle name="Lien hypertexte visité" xfId="10526" builtinId="9" hidden="1"/>
    <cellStyle name="Lien hypertexte visité" xfId="10566" builtinId="9" hidden="1"/>
    <cellStyle name="Lien hypertexte visité" xfId="10610" builtinId="9" hidden="1"/>
    <cellStyle name="Lien hypertexte visité" xfId="10654" builtinId="9" hidden="1"/>
    <cellStyle name="Lien hypertexte visité" xfId="10694" builtinId="9" hidden="1"/>
    <cellStyle name="Lien hypertexte visité" xfId="10738" builtinId="9" hidden="1"/>
    <cellStyle name="Lien hypertexte visité" xfId="10782" builtinId="9" hidden="1"/>
    <cellStyle name="Lien hypertexte visité" xfId="10822" builtinId="9" hidden="1"/>
    <cellStyle name="Lien hypertexte visité" xfId="10866" builtinId="9" hidden="1"/>
    <cellStyle name="Lien hypertexte visité" xfId="10910" builtinId="9" hidden="1"/>
    <cellStyle name="Lien hypertexte visité" xfId="10950" builtinId="9" hidden="1"/>
    <cellStyle name="Lien hypertexte visité" xfId="10994" builtinId="9" hidden="1"/>
    <cellStyle name="Lien hypertexte visité" xfId="11038" builtinId="9" hidden="1"/>
    <cellStyle name="Lien hypertexte visité" xfId="11078" builtinId="9" hidden="1"/>
    <cellStyle name="Lien hypertexte visité" xfId="11122" builtinId="9" hidden="1"/>
    <cellStyle name="Lien hypertexte visité" xfId="11166" builtinId="9" hidden="1"/>
    <cellStyle name="Lien hypertexte visité" xfId="11206" builtinId="9" hidden="1"/>
    <cellStyle name="Lien hypertexte visité" xfId="11250" builtinId="9" hidden="1"/>
    <cellStyle name="Lien hypertexte visité" xfId="11294" builtinId="9" hidden="1"/>
    <cellStyle name="Lien hypertexte visité" xfId="11334" builtinId="9" hidden="1"/>
    <cellStyle name="Lien hypertexte visité" xfId="11378" builtinId="9" hidden="1"/>
    <cellStyle name="Lien hypertexte visité" xfId="11422" builtinId="9" hidden="1"/>
    <cellStyle name="Lien hypertexte visité" xfId="11462" builtinId="9" hidden="1"/>
    <cellStyle name="Lien hypertexte visité" xfId="11506" builtinId="9" hidden="1"/>
    <cellStyle name="Lien hypertexte visité" xfId="11550" builtinId="9" hidden="1"/>
    <cellStyle name="Lien hypertexte visité" xfId="11590" builtinId="9" hidden="1"/>
    <cellStyle name="Lien hypertexte visité" xfId="11634" builtinId="9" hidden="1"/>
    <cellStyle name="Lien hypertexte visité" xfId="11678" builtinId="9" hidden="1"/>
    <cellStyle name="Lien hypertexte visité" xfId="11718" builtinId="9" hidden="1"/>
    <cellStyle name="Lien hypertexte visité" xfId="11762" builtinId="9" hidden="1"/>
    <cellStyle name="Lien hypertexte visité" xfId="11806" builtinId="9" hidden="1"/>
    <cellStyle name="Lien hypertexte visité" xfId="11846" builtinId="9" hidden="1"/>
    <cellStyle name="Lien hypertexte visité" xfId="11890" builtinId="9" hidden="1"/>
    <cellStyle name="Lien hypertexte visité" xfId="11934" builtinId="9" hidden="1"/>
    <cellStyle name="Lien hypertexte visité" xfId="11974" builtinId="9" hidden="1"/>
    <cellStyle name="Lien hypertexte visité" xfId="12018" builtinId="9" hidden="1"/>
    <cellStyle name="Lien hypertexte visité" xfId="12062" builtinId="9" hidden="1"/>
    <cellStyle name="Lien hypertexte visité" xfId="12102" builtinId="9" hidden="1"/>
    <cellStyle name="Lien hypertexte visité" xfId="12146" builtinId="9" hidden="1"/>
    <cellStyle name="Lien hypertexte visité" xfId="12190" builtinId="9" hidden="1"/>
    <cellStyle name="Lien hypertexte visité" xfId="12230" builtinId="9" hidden="1"/>
    <cellStyle name="Lien hypertexte visité" xfId="12274" builtinId="9" hidden="1"/>
    <cellStyle name="Lien hypertexte visité" xfId="12318" builtinId="9" hidden="1"/>
    <cellStyle name="Lien hypertexte visité" xfId="12358" builtinId="9" hidden="1"/>
    <cellStyle name="Lien hypertexte visité" xfId="12402" builtinId="9" hidden="1"/>
    <cellStyle name="Lien hypertexte visité" xfId="12446" builtinId="9" hidden="1"/>
    <cellStyle name="Lien hypertexte visité" xfId="12486" builtinId="9" hidden="1"/>
    <cellStyle name="Lien hypertexte visité" xfId="12530" builtinId="9" hidden="1"/>
    <cellStyle name="Lien hypertexte visité" xfId="12574" builtinId="9" hidden="1"/>
    <cellStyle name="Lien hypertexte visité" xfId="12614" builtinId="9" hidden="1"/>
    <cellStyle name="Lien hypertexte visité" xfId="12658" builtinId="9" hidden="1"/>
    <cellStyle name="Lien hypertexte visité" xfId="12702" builtinId="9" hidden="1"/>
    <cellStyle name="Lien hypertexte visité" xfId="12742" builtinId="9" hidden="1"/>
    <cellStyle name="Lien hypertexte visité" xfId="12786" builtinId="9" hidden="1"/>
    <cellStyle name="Lien hypertexte visité" xfId="12830" builtinId="9" hidden="1"/>
    <cellStyle name="Lien hypertexte visité" xfId="12870" builtinId="9" hidden="1"/>
    <cellStyle name="Lien hypertexte visité" xfId="12914" builtinId="9" hidden="1"/>
    <cellStyle name="Lien hypertexte visité" xfId="12958" builtinId="9" hidden="1"/>
    <cellStyle name="Lien hypertexte visité" xfId="12998" builtinId="9" hidden="1"/>
    <cellStyle name="Lien hypertexte visité" xfId="13042" builtinId="9" hidden="1"/>
    <cellStyle name="Lien hypertexte visité" xfId="13086" builtinId="9" hidden="1"/>
    <cellStyle name="Lien hypertexte visité" xfId="13126" builtinId="9" hidden="1"/>
    <cellStyle name="Lien hypertexte visité" xfId="13170" builtinId="9" hidden="1"/>
    <cellStyle name="Lien hypertexte visité" xfId="13214" builtinId="9" hidden="1"/>
    <cellStyle name="Lien hypertexte visité" xfId="13254" builtinId="9" hidden="1"/>
    <cellStyle name="Lien hypertexte visité" xfId="13298" builtinId="9" hidden="1"/>
    <cellStyle name="Lien hypertexte visité" xfId="13342" builtinId="9" hidden="1"/>
    <cellStyle name="Lien hypertexte visité" xfId="13382" builtinId="9" hidden="1"/>
    <cellStyle name="Lien hypertexte visité" xfId="13426" builtinId="9" hidden="1"/>
    <cellStyle name="Lien hypertexte visité" xfId="13470" builtinId="9" hidden="1"/>
    <cellStyle name="Lien hypertexte visité" xfId="13510" builtinId="9" hidden="1"/>
    <cellStyle name="Lien hypertexte visité" xfId="13554" builtinId="9" hidden="1"/>
    <cellStyle name="Lien hypertexte visité" xfId="13598" builtinId="9" hidden="1"/>
    <cellStyle name="Lien hypertexte visité" xfId="13638" builtinId="9" hidden="1"/>
    <cellStyle name="Lien hypertexte visité" xfId="13682" builtinId="9" hidden="1"/>
    <cellStyle name="Lien hypertexte visité" xfId="13726" builtinId="9" hidden="1"/>
    <cellStyle name="Lien hypertexte visité" xfId="13766" builtinId="9" hidden="1"/>
    <cellStyle name="Lien hypertexte visité" xfId="13810" builtinId="9" hidden="1"/>
    <cellStyle name="Lien hypertexte visité" xfId="13854" builtinId="9" hidden="1"/>
    <cellStyle name="Lien hypertexte visité" xfId="13894" builtinId="9" hidden="1"/>
    <cellStyle name="Lien hypertexte visité" xfId="13938" builtinId="9" hidden="1"/>
    <cellStyle name="Lien hypertexte visité" xfId="13982" builtinId="9" hidden="1"/>
    <cellStyle name="Lien hypertexte visité" xfId="14022" builtinId="9" hidden="1"/>
    <cellStyle name="Lien hypertexte visité" xfId="14066" builtinId="9" hidden="1"/>
    <cellStyle name="Lien hypertexte visité" xfId="14110" builtinId="9" hidden="1"/>
    <cellStyle name="Lien hypertexte visité" xfId="14150" builtinId="9" hidden="1"/>
    <cellStyle name="Lien hypertexte visité" xfId="14194" builtinId="9" hidden="1"/>
    <cellStyle name="Lien hypertexte visité" xfId="14238" builtinId="9" hidden="1"/>
    <cellStyle name="Lien hypertexte visité" xfId="14278" builtinId="9" hidden="1"/>
    <cellStyle name="Lien hypertexte visité" xfId="14322" builtinId="9" hidden="1"/>
    <cellStyle name="Lien hypertexte visité" xfId="14366" builtinId="9" hidden="1"/>
    <cellStyle name="Lien hypertexte visité" xfId="14406" builtinId="9" hidden="1"/>
    <cellStyle name="Lien hypertexte visité" xfId="14450" builtinId="9" hidden="1"/>
    <cellStyle name="Lien hypertexte visité" xfId="14494" builtinId="9" hidden="1"/>
    <cellStyle name="Lien hypertexte visité" xfId="14553" builtinId="9" hidden="1"/>
    <cellStyle name="Lien hypertexte visité" xfId="14641" builtinId="9" hidden="1"/>
    <cellStyle name="Lien hypertexte visité" xfId="14729" builtinId="9" hidden="1"/>
    <cellStyle name="Lien hypertexte visité" xfId="14809" builtinId="9" hidden="1"/>
    <cellStyle name="Lien hypertexte visité" xfId="14897" builtinId="9" hidden="1"/>
    <cellStyle name="Lien hypertexte visité" xfId="14985" builtinId="9" hidden="1"/>
    <cellStyle name="Lien hypertexte visité" xfId="15065" builtinId="9" hidden="1"/>
    <cellStyle name="Lien hypertexte visité" xfId="15153" builtinId="9" hidden="1"/>
    <cellStyle name="Lien hypertexte visité" xfId="15241" builtinId="9" hidden="1"/>
    <cellStyle name="Lien hypertexte visité" xfId="15321" builtinId="9" hidden="1"/>
    <cellStyle name="Lien hypertexte visité" xfId="15409" builtinId="9" hidden="1"/>
    <cellStyle name="Lien hypertexte visité" xfId="15497" builtinId="9" hidden="1"/>
    <cellStyle name="Lien hypertexte visité" xfId="15577" builtinId="9" hidden="1"/>
    <cellStyle name="Lien hypertexte visité" xfId="15665" builtinId="9" hidden="1"/>
    <cellStyle name="Lien hypertexte visité" xfId="15753" builtinId="9" hidden="1"/>
    <cellStyle name="Lien hypertexte visité" xfId="15833" builtinId="9" hidden="1"/>
    <cellStyle name="Lien hypertexte visité" xfId="15921" builtinId="9" hidden="1"/>
    <cellStyle name="Lien hypertexte visité" xfId="16009" builtinId="9" hidden="1"/>
    <cellStyle name="Lien hypertexte visité" xfId="16089" builtinId="9" hidden="1"/>
    <cellStyle name="Lien hypertexte visité" xfId="16177" builtinId="9" hidden="1"/>
    <cellStyle name="Lien hypertexte visité" xfId="16265" builtinId="9" hidden="1"/>
    <cellStyle name="Lien hypertexte visité" xfId="16345" builtinId="9" hidden="1"/>
    <cellStyle name="Lien hypertexte visité" xfId="16433" builtinId="9" hidden="1"/>
    <cellStyle name="Lien hypertexte visité" xfId="16521" builtinId="9" hidden="1"/>
    <cellStyle name="Lien hypertexte visité" xfId="16601" builtinId="9" hidden="1"/>
    <cellStyle name="Lien hypertexte visité" xfId="16689" builtinId="9" hidden="1"/>
    <cellStyle name="Lien hypertexte visité" xfId="16777" builtinId="9" hidden="1"/>
    <cellStyle name="Lien hypertexte visité" xfId="16857" builtinId="9" hidden="1"/>
    <cellStyle name="Lien hypertexte visité" xfId="16945" builtinId="9" hidden="1"/>
    <cellStyle name="Lien hypertexte visité" xfId="17033" builtinId="9" hidden="1"/>
    <cellStyle name="Lien hypertexte visité" xfId="17113" builtinId="9" hidden="1"/>
    <cellStyle name="Lien hypertexte visité" xfId="17201" builtinId="9" hidden="1"/>
    <cellStyle name="Lien hypertexte visité" xfId="17289" builtinId="9" hidden="1"/>
    <cellStyle name="Lien hypertexte visité" xfId="17369" builtinId="9" hidden="1"/>
    <cellStyle name="Lien hypertexte visité" xfId="17457" builtinId="9" hidden="1"/>
    <cellStyle name="Lien hypertexte visité" xfId="17545" builtinId="9" hidden="1"/>
    <cellStyle name="Lien hypertexte visité" xfId="17625" builtinId="9" hidden="1"/>
    <cellStyle name="Lien hypertexte visité" xfId="17713" builtinId="9" hidden="1"/>
    <cellStyle name="Lien hypertexte visité" xfId="17801" builtinId="9" hidden="1"/>
    <cellStyle name="Lien hypertexte visité" xfId="17881" builtinId="9" hidden="1"/>
    <cellStyle name="Lien hypertexte visité" xfId="17969" builtinId="9" hidden="1"/>
    <cellStyle name="Lien hypertexte visité" xfId="18057" builtinId="9" hidden="1"/>
    <cellStyle name="Lien hypertexte visité" xfId="18137" builtinId="9" hidden="1"/>
    <cellStyle name="Lien hypertexte visité" xfId="18225" builtinId="9" hidden="1"/>
    <cellStyle name="Lien hypertexte visité" xfId="18311" builtinId="9" hidden="1"/>
    <cellStyle name="Lien hypertexte visité" xfId="18376" builtinId="9" hidden="1"/>
    <cellStyle name="Lien hypertexte visité" xfId="18464" builtinId="9" hidden="1"/>
    <cellStyle name="Lien hypertexte visité" xfId="18552" builtinId="9" hidden="1"/>
    <cellStyle name="Lien hypertexte visité" xfId="18632" builtinId="9" hidden="1"/>
    <cellStyle name="Lien hypertexte visité" xfId="18720" builtinId="9" hidden="1"/>
    <cellStyle name="Lien hypertexte visité" xfId="18808" builtinId="9" hidden="1"/>
    <cellStyle name="Lien hypertexte visité" xfId="18888" builtinId="9" hidden="1"/>
    <cellStyle name="Lien hypertexte visité" xfId="18976" builtinId="9" hidden="1"/>
    <cellStyle name="Lien hypertexte visité" xfId="19064" builtinId="9" hidden="1"/>
    <cellStyle name="Lien hypertexte visité" xfId="19144" builtinId="9" hidden="1"/>
    <cellStyle name="Lien hypertexte visité" xfId="19232" builtinId="9" hidden="1"/>
    <cellStyle name="Lien hypertexte visité" xfId="19320" builtinId="9" hidden="1"/>
    <cellStyle name="Lien hypertexte visité" xfId="19400" builtinId="9" hidden="1"/>
    <cellStyle name="Lien hypertexte visité" xfId="19488" builtinId="9" hidden="1"/>
    <cellStyle name="Lien hypertexte visité" xfId="19576" builtinId="9" hidden="1"/>
    <cellStyle name="Lien hypertexte visité" xfId="19656" builtinId="9" hidden="1"/>
    <cellStyle name="Lien hypertexte visité" xfId="19744" builtinId="9" hidden="1"/>
    <cellStyle name="Lien hypertexte visité" xfId="19832" builtinId="9" hidden="1"/>
    <cellStyle name="Lien hypertexte visité" xfId="19912" builtinId="9" hidden="1"/>
    <cellStyle name="Lien hypertexte visité" xfId="20000" builtinId="9" hidden="1"/>
    <cellStyle name="Lien hypertexte visité" xfId="20088" builtinId="9" hidden="1"/>
    <cellStyle name="Lien hypertexte visité" xfId="20168" builtinId="9" hidden="1"/>
    <cellStyle name="Lien hypertexte visité" xfId="20256" builtinId="9" hidden="1"/>
    <cellStyle name="Lien hypertexte visité" xfId="20344" builtinId="9" hidden="1"/>
    <cellStyle name="Lien hypertexte visité" xfId="20424" builtinId="9" hidden="1"/>
    <cellStyle name="Lien hypertexte visité" xfId="20512" builtinId="9" hidden="1"/>
    <cellStyle name="Lien hypertexte visité" xfId="20600" builtinId="9" hidden="1"/>
    <cellStyle name="Lien hypertexte visité" xfId="20680" builtinId="9" hidden="1"/>
    <cellStyle name="Lien hypertexte visité" xfId="20768" builtinId="9" hidden="1"/>
    <cellStyle name="Lien hypertexte visité" xfId="20856" builtinId="9" hidden="1"/>
    <cellStyle name="Lien hypertexte visité" xfId="20936" builtinId="9" hidden="1"/>
    <cellStyle name="Lien hypertexte visité" xfId="21024" builtinId="9" hidden="1"/>
    <cellStyle name="Lien hypertexte visité" xfId="21112" builtinId="9" hidden="1"/>
    <cellStyle name="Lien hypertexte visité" xfId="21192" builtinId="9" hidden="1"/>
    <cellStyle name="Lien hypertexte visité" xfId="21280" builtinId="9" hidden="1"/>
    <cellStyle name="Lien hypertexte visité" xfId="21368" builtinId="9" hidden="1"/>
    <cellStyle name="Lien hypertexte visité" xfId="21448" builtinId="9" hidden="1"/>
    <cellStyle name="Lien hypertexte visité" xfId="21536" builtinId="9" hidden="1"/>
    <cellStyle name="Lien hypertexte visité" xfId="21624" builtinId="9" hidden="1"/>
    <cellStyle name="Lien hypertexte visité" xfId="21704" builtinId="9" hidden="1"/>
    <cellStyle name="Lien hypertexte visité" xfId="21792" builtinId="9" hidden="1"/>
    <cellStyle name="Lien hypertexte visité" xfId="21880" builtinId="9" hidden="1"/>
    <cellStyle name="Lien hypertexte visité" xfId="21960" builtinId="9" hidden="1"/>
    <cellStyle name="Lien hypertexte visité" xfId="22048" builtinId="9" hidden="1"/>
    <cellStyle name="Lien hypertexte visité" xfId="22136" builtinId="9" hidden="1"/>
    <cellStyle name="Lien hypertexte visité" xfId="22216" builtinId="9" hidden="1"/>
    <cellStyle name="Lien hypertexte visité" xfId="22304" builtinId="9" hidden="1"/>
    <cellStyle name="Lien hypertexte visité" xfId="22392" builtinId="9" hidden="1"/>
    <cellStyle name="Lien hypertexte visité" xfId="22472" builtinId="9" hidden="1"/>
    <cellStyle name="Lien hypertexte visité" xfId="22560" builtinId="9" hidden="1"/>
    <cellStyle name="Lien hypertexte visité" xfId="22648" builtinId="9" hidden="1"/>
    <cellStyle name="Lien hypertexte visité" xfId="22728" builtinId="9" hidden="1"/>
    <cellStyle name="Lien hypertexte visité" xfId="22816" builtinId="9" hidden="1"/>
    <cellStyle name="Lien hypertexte visité" xfId="22904" builtinId="9" hidden="1"/>
    <cellStyle name="Lien hypertexte visité" xfId="22984" builtinId="9" hidden="1"/>
    <cellStyle name="Lien hypertexte visité" xfId="23072" builtinId="9" hidden="1"/>
    <cellStyle name="Lien hypertexte visité" xfId="23160" builtinId="9" hidden="1"/>
    <cellStyle name="Lien hypertexte visité" xfId="23240" builtinId="9" hidden="1"/>
    <cellStyle name="Lien hypertexte visité" xfId="23328" builtinId="9" hidden="1"/>
    <cellStyle name="Lien hypertexte visité" xfId="23416" builtinId="9" hidden="1"/>
    <cellStyle name="Lien hypertexte visité" xfId="23496" builtinId="9" hidden="1"/>
    <cellStyle name="Lien hypertexte visité" xfId="23584" builtinId="9" hidden="1"/>
    <cellStyle name="Lien hypertexte visité" xfId="23672" builtinId="9" hidden="1"/>
    <cellStyle name="Lien hypertexte visité" xfId="23752" builtinId="9" hidden="1"/>
    <cellStyle name="Lien hypertexte visité" xfId="23840" builtinId="9" hidden="1"/>
    <cellStyle name="Lien hypertexte visité" xfId="23928" builtinId="9" hidden="1"/>
    <cellStyle name="Lien hypertexte visité" xfId="24008" builtinId="9" hidden="1"/>
    <cellStyle name="Lien hypertexte visité" xfId="24096" builtinId="9" hidden="1"/>
    <cellStyle name="Lien hypertexte visité" xfId="24184" builtinId="9" hidden="1"/>
    <cellStyle name="Lien hypertexte visité" xfId="24264" builtinId="9" hidden="1"/>
    <cellStyle name="Lien hypertexte visité" xfId="24352" builtinId="9" hidden="1"/>
    <cellStyle name="Lien hypertexte visité" xfId="24440" builtinId="9" hidden="1"/>
    <cellStyle name="Lien hypertexte visité" xfId="24520" builtinId="9" hidden="1"/>
    <cellStyle name="Lien hypertexte visité" xfId="24608" builtinId="9" hidden="1"/>
    <cellStyle name="Lien hypertexte visité" xfId="24530" builtinId="9" hidden="1"/>
    <cellStyle name="Lien hypertexte visité" xfId="24450" builtinId="9" hidden="1"/>
    <cellStyle name="Lien hypertexte visité" xfId="24362" builtinId="9" hidden="1"/>
    <cellStyle name="Lien hypertexte visité" xfId="24274" builtinId="9" hidden="1"/>
    <cellStyle name="Lien hypertexte visité" xfId="24194" builtinId="9" hidden="1"/>
    <cellStyle name="Lien hypertexte visité" xfId="24106" builtinId="9" hidden="1"/>
    <cellStyle name="Lien hypertexte visité" xfId="24018" builtinId="9" hidden="1"/>
    <cellStyle name="Lien hypertexte visité" xfId="23938" builtinId="9" hidden="1"/>
    <cellStyle name="Lien hypertexte visité" xfId="23850" builtinId="9" hidden="1"/>
    <cellStyle name="Lien hypertexte visité" xfId="23762" builtinId="9" hidden="1"/>
    <cellStyle name="Lien hypertexte visité" xfId="23682" builtinId="9" hidden="1"/>
    <cellStyle name="Lien hypertexte visité" xfId="23594" builtinId="9" hidden="1"/>
    <cellStyle name="Lien hypertexte visité" xfId="23506" builtinId="9" hidden="1"/>
    <cellStyle name="Lien hypertexte visité" xfId="23426" builtinId="9" hidden="1"/>
    <cellStyle name="Lien hypertexte visité" xfId="23338" builtinId="9" hidden="1"/>
    <cellStyle name="Lien hypertexte visité" xfId="23250" builtinId="9" hidden="1"/>
    <cellStyle name="Lien hypertexte visité" xfId="23170" builtinId="9" hidden="1"/>
    <cellStyle name="Lien hypertexte visité" xfId="23082" builtinId="9" hidden="1"/>
    <cellStyle name="Lien hypertexte visité" xfId="22994" builtinId="9" hidden="1"/>
    <cellStyle name="Lien hypertexte visité" xfId="22914" builtinId="9" hidden="1"/>
    <cellStyle name="Lien hypertexte visité" xfId="22826" builtinId="9" hidden="1"/>
    <cellStyle name="Lien hypertexte visité" xfId="22738" builtinId="9" hidden="1"/>
    <cellStyle name="Lien hypertexte visité" xfId="22658" builtinId="9" hidden="1"/>
    <cellStyle name="Lien hypertexte visité" xfId="22570" builtinId="9" hidden="1"/>
    <cellStyle name="Lien hypertexte visité" xfId="22482" builtinId="9" hidden="1"/>
    <cellStyle name="Lien hypertexte visité" xfId="22402" builtinId="9" hidden="1"/>
    <cellStyle name="Lien hypertexte visité" xfId="22314" builtinId="9" hidden="1"/>
    <cellStyle name="Lien hypertexte visité" xfId="22226" builtinId="9" hidden="1"/>
    <cellStyle name="Lien hypertexte visité" xfId="22146" builtinId="9" hidden="1"/>
    <cellStyle name="Lien hypertexte visité" xfId="22058" builtinId="9" hidden="1"/>
    <cellStyle name="Lien hypertexte visité" xfId="21970" builtinId="9" hidden="1"/>
    <cellStyle name="Lien hypertexte visité" xfId="21890" builtinId="9" hidden="1"/>
    <cellStyle name="Lien hypertexte visité" xfId="21802" builtinId="9" hidden="1"/>
    <cellStyle name="Lien hypertexte visité" xfId="21714" builtinId="9" hidden="1"/>
    <cellStyle name="Lien hypertexte visité" xfId="21634" builtinId="9" hidden="1"/>
    <cellStyle name="Lien hypertexte visité" xfId="21546" builtinId="9" hidden="1"/>
    <cellStyle name="Lien hypertexte visité" xfId="21458" builtinId="9" hidden="1"/>
    <cellStyle name="Lien hypertexte visité" xfId="21378" builtinId="9" hidden="1"/>
    <cellStyle name="Lien hypertexte visité" xfId="21290" builtinId="9" hidden="1"/>
    <cellStyle name="Lien hypertexte visité" xfId="21202" builtinId="9" hidden="1"/>
    <cellStyle name="Lien hypertexte visité" xfId="21122" builtinId="9" hidden="1"/>
    <cellStyle name="Lien hypertexte visité" xfId="21034" builtinId="9" hidden="1"/>
    <cellStyle name="Lien hypertexte visité" xfId="20946" builtinId="9" hidden="1"/>
    <cellStyle name="Lien hypertexte visité" xfId="20866" builtinId="9" hidden="1"/>
    <cellStyle name="Lien hypertexte visité" xfId="20778" builtinId="9" hidden="1"/>
    <cellStyle name="Lien hypertexte visité" xfId="20690" builtinId="9" hidden="1"/>
    <cellStyle name="Lien hypertexte visité" xfId="20610" builtinId="9" hidden="1"/>
    <cellStyle name="Lien hypertexte visité" xfId="20522" builtinId="9" hidden="1"/>
    <cellStyle name="Lien hypertexte visité" xfId="20434" builtinId="9" hidden="1"/>
    <cellStyle name="Lien hypertexte visité" xfId="20354" builtinId="9" hidden="1"/>
    <cellStyle name="Lien hypertexte visité" xfId="20266" builtinId="9" hidden="1"/>
    <cellStyle name="Lien hypertexte visité" xfId="20178" builtinId="9" hidden="1"/>
    <cellStyle name="Lien hypertexte visité" xfId="20098" builtinId="9" hidden="1"/>
    <cellStyle name="Lien hypertexte visité" xfId="20010" builtinId="9" hidden="1"/>
    <cellStyle name="Lien hypertexte visité" xfId="19922" builtinId="9" hidden="1"/>
    <cellStyle name="Lien hypertexte visité" xfId="19842" builtinId="9" hidden="1"/>
    <cellStyle name="Lien hypertexte visité" xfId="19754" builtinId="9" hidden="1"/>
    <cellStyle name="Lien hypertexte visité" xfId="19666" builtinId="9" hidden="1"/>
    <cellStyle name="Lien hypertexte visité" xfId="19586" builtinId="9" hidden="1"/>
    <cellStyle name="Lien hypertexte visité" xfId="19498" builtinId="9" hidden="1"/>
    <cellStyle name="Lien hypertexte visité" xfId="19410" builtinId="9" hidden="1"/>
    <cellStyle name="Lien hypertexte visité" xfId="19330" builtinId="9" hidden="1"/>
    <cellStyle name="Lien hypertexte visité" xfId="19242" builtinId="9" hidden="1"/>
    <cellStyle name="Lien hypertexte visité" xfId="19154" builtinId="9" hidden="1"/>
    <cellStyle name="Lien hypertexte visité" xfId="19074" builtinId="9" hidden="1"/>
    <cellStyle name="Lien hypertexte visité" xfId="18986" builtinId="9" hidden="1"/>
    <cellStyle name="Lien hypertexte visité" xfId="18898" builtinId="9" hidden="1"/>
    <cellStyle name="Lien hypertexte visité" xfId="18818" builtinId="9" hidden="1"/>
    <cellStyle name="Lien hypertexte visité" xfId="18730" builtinId="9" hidden="1"/>
    <cellStyle name="Lien hypertexte visité" xfId="18642" builtinId="9" hidden="1"/>
    <cellStyle name="Lien hypertexte visité" xfId="18562" builtinId="9" hidden="1"/>
    <cellStyle name="Lien hypertexte visité" xfId="18474" builtinId="9" hidden="1"/>
    <cellStyle name="Lien hypertexte visité" xfId="18386" builtinId="9" hidden="1"/>
    <cellStyle name="Lien hypertexte visité" xfId="18316" builtinId="9" hidden="1"/>
    <cellStyle name="Lien hypertexte visité" xfId="18235" builtinId="9" hidden="1"/>
    <cellStyle name="Lien hypertexte visité" xfId="18147" builtinId="9" hidden="1"/>
    <cellStyle name="Lien hypertexte visité" xfId="18067" builtinId="9" hidden="1"/>
    <cellStyle name="Lien hypertexte visité" xfId="17979" builtinId="9" hidden="1"/>
    <cellStyle name="Lien hypertexte visité" xfId="17891" builtinId="9" hidden="1"/>
    <cellStyle name="Lien hypertexte visité" xfId="17811" builtinId="9" hidden="1"/>
    <cellStyle name="Lien hypertexte visité" xfId="17723" builtinId="9" hidden="1"/>
    <cellStyle name="Lien hypertexte visité" xfId="17635" builtinId="9" hidden="1"/>
    <cellStyle name="Lien hypertexte visité" xfId="17555" builtinId="9" hidden="1"/>
    <cellStyle name="Lien hypertexte visité" xfId="17467" builtinId="9" hidden="1"/>
    <cellStyle name="Lien hypertexte visité" xfId="17379" builtinId="9" hidden="1"/>
    <cellStyle name="Lien hypertexte visité" xfId="17355" builtinId="9" hidden="1"/>
    <cellStyle name="Lien hypertexte visité" xfId="17611" builtinId="9" hidden="1"/>
    <cellStyle name="Lien hypertexte visité" xfId="17867" builtinId="9" hidden="1"/>
    <cellStyle name="Lien hypertexte visité" xfId="18123" builtinId="9" hidden="1"/>
    <cellStyle name="Lien hypertexte visité" xfId="18362" builtinId="9" hidden="1"/>
    <cellStyle name="Lien hypertexte visité" xfId="18618" builtinId="9" hidden="1"/>
    <cellStyle name="Lien hypertexte visité" xfId="18874" builtinId="9" hidden="1"/>
    <cellStyle name="Lien hypertexte visité" xfId="19130" builtinId="9" hidden="1"/>
    <cellStyle name="Lien hypertexte visité" xfId="19386" builtinId="9" hidden="1"/>
    <cellStyle name="Lien hypertexte visité" xfId="19642" builtinId="9" hidden="1"/>
    <cellStyle name="Lien hypertexte visité" xfId="19898" builtinId="9" hidden="1"/>
    <cellStyle name="Lien hypertexte visité" xfId="20154" builtinId="9" hidden="1"/>
    <cellStyle name="Lien hypertexte visité" xfId="20410" builtinId="9" hidden="1"/>
    <cellStyle name="Lien hypertexte visité" xfId="20666" builtinId="9" hidden="1"/>
    <cellStyle name="Lien hypertexte visité" xfId="20922" builtinId="9" hidden="1"/>
    <cellStyle name="Lien hypertexte visité" xfId="21178" builtinId="9" hidden="1"/>
    <cellStyle name="Lien hypertexte visité" xfId="21434" builtinId="9" hidden="1"/>
    <cellStyle name="Lien hypertexte visité" xfId="21690" builtinId="9" hidden="1"/>
    <cellStyle name="Lien hypertexte visité" xfId="21946" builtinId="9" hidden="1"/>
    <cellStyle name="Lien hypertexte visité" xfId="22202" builtinId="9" hidden="1"/>
    <cellStyle name="Lien hypertexte visité" xfId="22458" builtinId="9" hidden="1"/>
    <cellStyle name="Lien hypertexte visité" xfId="22714" builtinId="9" hidden="1"/>
    <cellStyle name="Lien hypertexte visité" xfId="22970" builtinId="9" hidden="1"/>
    <cellStyle name="Lien hypertexte visité" xfId="23226" builtinId="9" hidden="1"/>
    <cellStyle name="Lien hypertexte visité" xfId="23482" builtinId="9" hidden="1"/>
    <cellStyle name="Lien hypertexte visité" xfId="23738" builtinId="9" hidden="1"/>
    <cellStyle name="Lien hypertexte visité" xfId="23994" builtinId="9" hidden="1"/>
    <cellStyle name="Lien hypertexte visité" xfId="24250" builtinId="9" hidden="1"/>
    <cellStyle name="Lien hypertexte visité" xfId="24506" builtinId="9" hidden="1"/>
    <cellStyle name="Lien hypertexte visité" xfId="24464" builtinId="9" hidden="1"/>
    <cellStyle name="Lien hypertexte visité" xfId="24208" builtinId="9" hidden="1"/>
    <cellStyle name="Lien hypertexte visité" xfId="23952" builtinId="9" hidden="1"/>
    <cellStyle name="Lien hypertexte visité" xfId="23696" builtinId="9" hidden="1"/>
    <cellStyle name="Lien hypertexte visité" xfId="23440" builtinId="9" hidden="1"/>
    <cellStyle name="Lien hypertexte visité" xfId="23184" builtinId="9" hidden="1"/>
    <cellStyle name="Lien hypertexte visité" xfId="22928" builtinId="9" hidden="1"/>
    <cellStyle name="Lien hypertexte visité" xfId="22672" builtinId="9" hidden="1"/>
    <cellStyle name="Lien hypertexte visité" xfId="22416" builtinId="9" hidden="1"/>
    <cellStyle name="Lien hypertexte visité" xfId="22160" builtinId="9" hidden="1"/>
    <cellStyle name="Lien hypertexte visité" xfId="21904" builtinId="9" hidden="1"/>
    <cellStyle name="Lien hypertexte visité" xfId="21648" builtinId="9" hidden="1"/>
    <cellStyle name="Lien hypertexte visité" xfId="21392" builtinId="9" hidden="1"/>
    <cellStyle name="Lien hypertexte visité" xfId="21136" builtinId="9" hidden="1"/>
    <cellStyle name="Lien hypertexte visité" xfId="20880" builtinId="9" hidden="1"/>
    <cellStyle name="Lien hypertexte visité" xfId="20624" builtinId="9" hidden="1"/>
    <cellStyle name="Lien hypertexte visité" xfId="20368" builtinId="9" hidden="1"/>
    <cellStyle name="Lien hypertexte visité" xfId="20112" builtinId="9" hidden="1"/>
    <cellStyle name="Lien hypertexte visité" xfId="19856" builtinId="9" hidden="1"/>
    <cellStyle name="Lien hypertexte visité" xfId="19600" builtinId="9" hidden="1"/>
    <cellStyle name="Lien hypertexte visité" xfId="19344" builtinId="9" hidden="1"/>
    <cellStyle name="Lien hypertexte visité" xfId="19088" builtinId="9" hidden="1"/>
    <cellStyle name="Lien hypertexte visité" xfId="18832" builtinId="9" hidden="1"/>
    <cellStyle name="Lien hypertexte visité" xfId="18576" builtinId="9" hidden="1"/>
    <cellStyle name="Lien hypertexte visité" xfId="18323" builtinId="9" hidden="1"/>
    <cellStyle name="Lien hypertexte visité" xfId="18081" builtinId="9" hidden="1"/>
    <cellStyle name="Lien hypertexte visité" xfId="17825" builtinId="9" hidden="1"/>
    <cellStyle name="Lien hypertexte visité" xfId="17569" builtinId="9" hidden="1"/>
    <cellStyle name="Lien hypertexte visité" xfId="17313" builtinId="9" hidden="1"/>
    <cellStyle name="Lien hypertexte visité" xfId="17057" builtinId="9" hidden="1"/>
    <cellStyle name="Lien hypertexte visité" xfId="16801" builtinId="9" hidden="1"/>
    <cellStyle name="Lien hypertexte visité" xfId="16545" builtinId="9" hidden="1"/>
    <cellStyle name="Lien hypertexte visité" xfId="16289" builtinId="9" hidden="1"/>
    <cellStyle name="Lien hypertexte visité" xfId="16033" builtinId="9" hidden="1"/>
    <cellStyle name="Lien hypertexte visité" xfId="15777" builtinId="9" hidden="1"/>
    <cellStyle name="Lien hypertexte visité" xfId="15521" builtinId="9" hidden="1"/>
    <cellStyle name="Lien hypertexte visité" xfId="15265" builtinId="9" hidden="1"/>
    <cellStyle name="Lien hypertexte visité" xfId="15009" builtinId="9" hidden="1"/>
    <cellStyle name="Lien hypertexte visité" xfId="14753" builtinId="9" hidden="1"/>
    <cellStyle name="Lien hypertexte visité" xfId="14506" builtinId="9" hidden="1"/>
    <cellStyle name="Lien hypertexte visité" xfId="14378" builtinId="9" hidden="1"/>
    <cellStyle name="Lien hypertexte visité" xfId="14250" builtinId="9" hidden="1"/>
    <cellStyle name="Lien hypertexte visité" xfId="14122" builtinId="9" hidden="1"/>
    <cellStyle name="Lien hypertexte visité" xfId="13994" builtinId="9" hidden="1"/>
    <cellStyle name="Lien hypertexte visité" xfId="13866" builtinId="9" hidden="1"/>
    <cellStyle name="Lien hypertexte visité" xfId="13738" builtinId="9" hidden="1"/>
    <cellStyle name="Lien hypertexte visité" xfId="13610" builtinId="9" hidden="1"/>
    <cellStyle name="Lien hypertexte visité" xfId="13482" builtinId="9" hidden="1"/>
    <cellStyle name="Lien hypertexte visité" xfId="13354" builtinId="9" hidden="1"/>
    <cellStyle name="Lien hypertexte visité" xfId="13226" builtinId="9" hidden="1"/>
    <cellStyle name="Lien hypertexte visité" xfId="13098" builtinId="9" hidden="1"/>
    <cellStyle name="Lien hypertexte visité" xfId="12970" builtinId="9" hidden="1"/>
    <cellStyle name="Lien hypertexte visité" xfId="12842" builtinId="9" hidden="1"/>
    <cellStyle name="Lien hypertexte visité" xfId="12714" builtinId="9" hidden="1"/>
    <cellStyle name="Lien hypertexte visité" xfId="12586" builtinId="9" hidden="1"/>
    <cellStyle name="Lien hypertexte visité" xfId="12458" builtinId="9" hidden="1"/>
    <cellStyle name="Lien hypertexte visité" xfId="12330" builtinId="9" hidden="1"/>
    <cellStyle name="Lien hypertexte visité" xfId="12202" builtinId="9" hidden="1"/>
    <cellStyle name="Lien hypertexte visité" xfId="12074" builtinId="9" hidden="1"/>
    <cellStyle name="Lien hypertexte visité" xfId="11946" builtinId="9" hidden="1"/>
    <cellStyle name="Lien hypertexte visité" xfId="11818" builtinId="9" hidden="1"/>
    <cellStyle name="Lien hypertexte visité" xfId="11690" builtinId="9" hidden="1"/>
    <cellStyle name="Lien hypertexte visité" xfId="11562" builtinId="9" hidden="1"/>
    <cellStyle name="Lien hypertexte visité" xfId="11434" builtinId="9" hidden="1"/>
    <cellStyle name="Lien hypertexte visité" xfId="11306" builtinId="9" hidden="1"/>
    <cellStyle name="Lien hypertexte visité" xfId="11178" builtinId="9" hidden="1"/>
    <cellStyle name="Lien hypertexte visité" xfId="11050" builtinId="9" hidden="1"/>
    <cellStyle name="Lien hypertexte visité" xfId="10922" builtinId="9" hidden="1"/>
    <cellStyle name="Lien hypertexte visité" xfId="10794" builtinId="9" hidden="1"/>
    <cellStyle name="Lien hypertexte visité" xfId="10666" builtinId="9" hidden="1"/>
    <cellStyle name="Lien hypertexte visité" xfId="10538" builtinId="9" hidden="1"/>
    <cellStyle name="Lien hypertexte visité" xfId="10410" builtinId="9" hidden="1"/>
    <cellStyle name="Lien hypertexte visité" xfId="10282" builtinId="9" hidden="1"/>
    <cellStyle name="Lien hypertexte visité" xfId="10154" builtinId="9" hidden="1"/>
    <cellStyle name="Lien hypertexte visité" xfId="10026" builtinId="9" hidden="1"/>
    <cellStyle name="Lien hypertexte visité" xfId="9898" builtinId="9" hidden="1"/>
    <cellStyle name="Lien hypertexte visité" xfId="9770" builtinId="9" hidden="1"/>
    <cellStyle name="Lien hypertexte visité" xfId="9642" builtinId="9" hidden="1"/>
    <cellStyle name="Lien hypertexte visité" xfId="9514" builtinId="9" hidden="1"/>
    <cellStyle name="Lien hypertexte visité" xfId="9386" builtinId="9" hidden="1"/>
    <cellStyle name="Lien hypertexte visité" xfId="9258" builtinId="9" hidden="1"/>
    <cellStyle name="Lien hypertexte visité" xfId="9130" builtinId="9" hidden="1"/>
    <cellStyle name="Lien hypertexte visité" xfId="9002" builtinId="9" hidden="1"/>
    <cellStyle name="Lien hypertexte visité" xfId="8874" builtinId="9" hidden="1"/>
    <cellStyle name="Lien hypertexte visité" xfId="8746" builtinId="9" hidden="1"/>
    <cellStyle name="Lien hypertexte visité" xfId="8618" builtinId="9" hidden="1"/>
    <cellStyle name="Lien hypertexte visité" xfId="8490" builtinId="9" hidden="1"/>
    <cellStyle name="Lien hypertexte visité" xfId="8362" builtinId="9" hidden="1"/>
    <cellStyle name="Lien hypertexte visité" xfId="8234" builtinId="9" hidden="1"/>
    <cellStyle name="Lien hypertexte visité" xfId="3957" builtinId="9" hidden="1"/>
    <cellStyle name="Lien hypertexte visité" xfId="3993" builtinId="9" hidden="1"/>
    <cellStyle name="Lien hypertexte visité" xfId="4029" builtinId="9" hidden="1"/>
    <cellStyle name="Lien hypertexte visité" xfId="4065" builtinId="9" hidden="1"/>
    <cellStyle name="Lien hypertexte visité" xfId="4101" builtinId="9" hidden="1"/>
    <cellStyle name="Lien hypertexte visité" xfId="4141" builtinId="9" hidden="1"/>
    <cellStyle name="Lien hypertexte visité" xfId="4177" builtinId="9" hidden="1"/>
    <cellStyle name="Lien hypertexte visité" xfId="4213" builtinId="9" hidden="1"/>
    <cellStyle name="Lien hypertexte visité" xfId="4249" builtinId="9" hidden="1"/>
    <cellStyle name="Lien hypertexte visité" xfId="4285" builtinId="9" hidden="1"/>
    <cellStyle name="Lien hypertexte visité" xfId="4321" builtinId="9" hidden="1"/>
    <cellStyle name="Lien hypertexte visité" xfId="4357" builtinId="9" hidden="1"/>
    <cellStyle name="Lien hypertexte visité" xfId="4397" builtinId="9" hidden="1"/>
    <cellStyle name="Lien hypertexte visité" xfId="4433" builtinId="9" hidden="1"/>
    <cellStyle name="Lien hypertexte visité" xfId="4469" builtinId="9" hidden="1"/>
    <cellStyle name="Lien hypertexte visité" xfId="4505" builtinId="9" hidden="1"/>
    <cellStyle name="Lien hypertexte visité" xfId="4541" builtinId="9" hidden="1"/>
    <cellStyle name="Lien hypertexte visité" xfId="4577" builtinId="9" hidden="1"/>
    <cellStyle name="Lien hypertexte visité" xfId="4613" builtinId="9" hidden="1"/>
    <cellStyle name="Lien hypertexte visité" xfId="4653" builtinId="9" hidden="1"/>
    <cellStyle name="Lien hypertexte visité" xfId="4689" builtinId="9" hidden="1"/>
    <cellStyle name="Lien hypertexte visité" xfId="4725" builtinId="9" hidden="1"/>
    <cellStyle name="Lien hypertexte visité" xfId="4761" builtinId="9" hidden="1"/>
    <cellStyle name="Lien hypertexte visité" xfId="4797" builtinId="9" hidden="1"/>
    <cellStyle name="Lien hypertexte visité" xfId="4833" builtinId="9" hidden="1"/>
    <cellStyle name="Lien hypertexte visité" xfId="4869" builtinId="9" hidden="1"/>
    <cellStyle name="Lien hypertexte visité" xfId="4909" builtinId="9" hidden="1"/>
    <cellStyle name="Lien hypertexte visité" xfId="4945" builtinId="9" hidden="1"/>
    <cellStyle name="Lien hypertexte visité" xfId="4981" builtinId="9" hidden="1"/>
    <cellStyle name="Lien hypertexte visité" xfId="5017" builtinId="9" hidden="1"/>
    <cellStyle name="Lien hypertexte visité" xfId="5053" builtinId="9" hidden="1"/>
    <cellStyle name="Lien hypertexte visité" xfId="5089" builtinId="9" hidden="1"/>
    <cellStyle name="Lien hypertexte visité" xfId="5125" builtinId="9" hidden="1"/>
    <cellStyle name="Lien hypertexte visité" xfId="5165" builtinId="9" hidden="1"/>
    <cellStyle name="Lien hypertexte visité" xfId="5201" builtinId="9" hidden="1"/>
    <cellStyle name="Lien hypertexte visité" xfId="5237" builtinId="9" hidden="1"/>
    <cellStyle name="Lien hypertexte visité" xfId="5273" builtinId="9" hidden="1"/>
    <cellStyle name="Lien hypertexte visité" xfId="5309" builtinId="9" hidden="1"/>
    <cellStyle name="Lien hypertexte visité" xfId="5345" builtinId="9" hidden="1"/>
    <cellStyle name="Lien hypertexte visité" xfId="5381" builtinId="9" hidden="1"/>
    <cellStyle name="Lien hypertexte visité" xfId="5421" builtinId="9" hidden="1"/>
    <cellStyle name="Lien hypertexte visité" xfId="5457" builtinId="9" hidden="1"/>
    <cellStyle name="Lien hypertexte visité" xfId="5493" builtinId="9" hidden="1"/>
    <cellStyle name="Lien hypertexte visité" xfId="5529" builtinId="9" hidden="1"/>
    <cellStyle name="Lien hypertexte visité" xfId="5565" builtinId="9" hidden="1"/>
    <cellStyle name="Lien hypertexte visité" xfId="5601" builtinId="9" hidden="1"/>
    <cellStyle name="Lien hypertexte visité" xfId="5637" builtinId="9" hidden="1"/>
    <cellStyle name="Lien hypertexte visité" xfId="5677" builtinId="9" hidden="1"/>
    <cellStyle name="Lien hypertexte visité" xfId="5713" builtinId="9" hidden="1"/>
    <cellStyle name="Lien hypertexte visité" xfId="5749" builtinId="9" hidden="1"/>
    <cellStyle name="Lien hypertexte visité" xfId="5785" builtinId="9" hidden="1"/>
    <cellStyle name="Lien hypertexte visité" xfId="5821" builtinId="9" hidden="1"/>
    <cellStyle name="Lien hypertexte visité" xfId="5857" builtinId="9" hidden="1"/>
    <cellStyle name="Lien hypertexte visité" xfId="5893" builtinId="9" hidden="1"/>
    <cellStyle name="Lien hypertexte visité" xfId="5933" builtinId="9" hidden="1"/>
    <cellStyle name="Lien hypertexte visité" xfId="5969" builtinId="9" hidden="1"/>
    <cellStyle name="Lien hypertexte visité" xfId="6005" builtinId="9" hidden="1"/>
    <cellStyle name="Lien hypertexte visité" xfId="6041" builtinId="9" hidden="1"/>
    <cellStyle name="Lien hypertexte visité" xfId="6077" builtinId="9" hidden="1"/>
    <cellStyle name="Lien hypertexte visité" xfId="6113" builtinId="9" hidden="1"/>
    <cellStyle name="Lien hypertexte visité" xfId="6149" builtinId="9" hidden="1"/>
    <cellStyle name="Lien hypertexte visité" xfId="6189" builtinId="9" hidden="1"/>
    <cellStyle name="Lien hypertexte visité" xfId="6225" builtinId="9" hidden="1"/>
    <cellStyle name="Lien hypertexte visité" xfId="6261" builtinId="9" hidden="1"/>
    <cellStyle name="Lien hypertexte visité" xfId="6297" builtinId="9" hidden="1"/>
    <cellStyle name="Lien hypertexte visité" xfId="6333" builtinId="9" hidden="1"/>
    <cellStyle name="Lien hypertexte visité" xfId="6369" builtinId="9" hidden="1"/>
    <cellStyle name="Lien hypertexte visité" xfId="6405" builtinId="9" hidden="1"/>
    <cellStyle name="Lien hypertexte visité" xfId="6445" builtinId="9" hidden="1"/>
    <cellStyle name="Lien hypertexte visité" xfId="6481" builtinId="9" hidden="1"/>
    <cellStyle name="Lien hypertexte visité" xfId="6517" builtinId="9" hidden="1"/>
    <cellStyle name="Lien hypertexte visité" xfId="6553" builtinId="9" hidden="1"/>
    <cellStyle name="Lien hypertexte visité" xfId="6589" builtinId="9" hidden="1"/>
    <cellStyle name="Lien hypertexte visité" xfId="6625" builtinId="9" hidden="1"/>
    <cellStyle name="Lien hypertexte visité" xfId="6661" builtinId="9" hidden="1"/>
    <cellStyle name="Lien hypertexte visité" xfId="6701" builtinId="9" hidden="1"/>
    <cellStyle name="Lien hypertexte visité" xfId="6737" builtinId="9" hidden="1"/>
    <cellStyle name="Lien hypertexte visité" xfId="6773" builtinId="9" hidden="1"/>
    <cellStyle name="Lien hypertexte visité" xfId="6809" builtinId="9" hidden="1"/>
    <cellStyle name="Lien hypertexte visité" xfId="6845" builtinId="9" hidden="1"/>
    <cellStyle name="Lien hypertexte visité" xfId="6881" builtinId="9" hidden="1"/>
    <cellStyle name="Lien hypertexte visité" xfId="6917" builtinId="9" hidden="1"/>
    <cellStyle name="Lien hypertexte visité" xfId="6957" builtinId="9" hidden="1"/>
    <cellStyle name="Lien hypertexte visité" xfId="6993" builtinId="9" hidden="1"/>
    <cellStyle name="Lien hypertexte visité" xfId="7029" builtinId="9" hidden="1"/>
    <cellStyle name="Lien hypertexte visité" xfId="7065" builtinId="9" hidden="1"/>
    <cellStyle name="Lien hypertexte visité" xfId="7101" builtinId="9" hidden="1"/>
    <cellStyle name="Lien hypertexte visité" xfId="7137" builtinId="9" hidden="1"/>
    <cellStyle name="Lien hypertexte visité" xfId="7173" builtinId="9" hidden="1"/>
    <cellStyle name="Lien hypertexte visité" xfId="7213" builtinId="9" hidden="1"/>
    <cellStyle name="Lien hypertexte visité" xfId="7249" builtinId="9" hidden="1"/>
    <cellStyle name="Lien hypertexte visité" xfId="7285" builtinId="9" hidden="1"/>
    <cellStyle name="Lien hypertexte visité" xfId="7321" builtinId="9" hidden="1"/>
    <cellStyle name="Lien hypertexte visité" xfId="7357" builtinId="9" hidden="1"/>
    <cellStyle name="Lien hypertexte visité" xfId="7393" builtinId="9" hidden="1"/>
    <cellStyle name="Lien hypertexte visité" xfId="7429" builtinId="9" hidden="1"/>
    <cellStyle name="Lien hypertexte visité" xfId="7469" builtinId="9" hidden="1"/>
    <cellStyle name="Lien hypertexte visité" xfId="7505" builtinId="9" hidden="1"/>
    <cellStyle name="Lien hypertexte visité" xfId="7541" builtinId="9" hidden="1"/>
    <cellStyle name="Lien hypertexte visité" xfId="7577" builtinId="9" hidden="1"/>
    <cellStyle name="Lien hypertexte visité" xfId="7613" builtinId="9" hidden="1"/>
    <cellStyle name="Lien hypertexte visité" xfId="7649" builtinId="9" hidden="1"/>
    <cellStyle name="Lien hypertexte visité" xfId="7685" builtinId="9" hidden="1"/>
    <cellStyle name="Lien hypertexte visité" xfId="7725" builtinId="9" hidden="1"/>
    <cellStyle name="Lien hypertexte visité" xfId="7761" builtinId="9" hidden="1"/>
    <cellStyle name="Lien hypertexte visité" xfId="7797" builtinId="9" hidden="1"/>
    <cellStyle name="Lien hypertexte visité" xfId="7834" builtinId="9" hidden="1"/>
    <cellStyle name="Lien hypertexte visité" xfId="7870" builtinId="9" hidden="1"/>
    <cellStyle name="Lien hypertexte visité" xfId="7906" builtinId="9" hidden="1"/>
    <cellStyle name="Lien hypertexte visité" xfId="7942" builtinId="9" hidden="1"/>
    <cellStyle name="Lien hypertexte visité" xfId="7982" builtinId="9" hidden="1"/>
    <cellStyle name="Lien hypertexte visité" xfId="8018" builtinId="9" hidden="1"/>
    <cellStyle name="Lien hypertexte visité" xfId="8054" builtinId="9" hidden="1"/>
    <cellStyle name="Lien hypertexte visité" xfId="8090" builtinId="9" hidden="1"/>
    <cellStyle name="Lien hypertexte visité" xfId="8126" builtinId="9" hidden="1"/>
    <cellStyle name="Lien hypertexte visité" xfId="8162" builtinId="9" hidden="1"/>
    <cellStyle name="Lien hypertexte visité" xfId="8198" builtinId="9" hidden="1"/>
    <cellStyle name="Lien hypertexte visité" xfId="8074" builtinId="9" hidden="1"/>
    <cellStyle name="Lien hypertexte visité" xfId="7818" builtinId="9" hidden="1"/>
    <cellStyle name="Lien hypertexte visité" xfId="7561" builtinId="9" hidden="1"/>
    <cellStyle name="Lien hypertexte visité" xfId="7305" builtinId="9" hidden="1"/>
    <cellStyle name="Lien hypertexte visité" xfId="7049" builtinId="9" hidden="1"/>
    <cellStyle name="Lien hypertexte visité" xfId="6793" builtinId="9" hidden="1"/>
    <cellStyle name="Lien hypertexte visité" xfId="6537" builtinId="9" hidden="1"/>
    <cellStyle name="Lien hypertexte visité" xfId="6281" builtinId="9" hidden="1"/>
    <cellStyle name="Lien hypertexte visité" xfId="6025" builtinId="9" hidden="1"/>
    <cellStyle name="Lien hypertexte visité" xfId="5769" builtinId="9" hidden="1"/>
    <cellStyle name="Lien hypertexte visité" xfId="5513" builtinId="9" hidden="1"/>
    <cellStyle name="Lien hypertexte visité" xfId="5257" builtinId="9" hidden="1"/>
    <cellStyle name="Lien hypertexte visité" xfId="5001" builtinId="9" hidden="1"/>
    <cellStyle name="Lien hypertexte visité" xfId="4745" builtinId="9" hidden="1"/>
    <cellStyle name="Lien hypertexte visité" xfId="4489" builtinId="9" hidden="1"/>
    <cellStyle name="Lien hypertexte visité" xfId="4233" builtinId="9" hidden="1"/>
    <cellStyle name="Lien hypertexte visité" xfId="3977" builtinId="9" hidden="1"/>
    <cellStyle name="Lien hypertexte visité" xfId="2231" builtinId="9" hidden="1"/>
    <cellStyle name="Lien hypertexte visité" xfId="2267" builtinId="9" hidden="1"/>
    <cellStyle name="Lien hypertexte visité" xfId="2299" builtinId="9" hidden="1"/>
    <cellStyle name="Lien hypertexte visité" xfId="2335" builtinId="9" hidden="1"/>
    <cellStyle name="Lien hypertexte visité" xfId="2367" builtinId="9" hidden="1"/>
    <cellStyle name="Lien hypertexte visité" xfId="2403" builtinId="9" hidden="1"/>
    <cellStyle name="Lien hypertexte visité" xfId="2439" builtinId="9" hidden="1"/>
    <cellStyle name="Lien hypertexte visité" xfId="2471" builtinId="9" hidden="1"/>
    <cellStyle name="Lien hypertexte visité" xfId="2507" builtinId="9" hidden="1"/>
    <cellStyle name="Lien hypertexte visité" xfId="2539" builtinId="9" hidden="1"/>
    <cellStyle name="Lien hypertexte visité" xfId="2575" builtinId="9" hidden="1"/>
    <cellStyle name="Lien hypertexte visité" xfId="2607" builtinId="9" hidden="1"/>
    <cellStyle name="Lien hypertexte visité" xfId="2643" builtinId="9" hidden="1"/>
    <cellStyle name="Lien hypertexte visité" xfId="2675" builtinId="9" hidden="1"/>
    <cellStyle name="Lien hypertexte visité" xfId="2711" builtinId="9" hidden="1"/>
    <cellStyle name="Lien hypertexte visité" xfId="2743" builtinId="9" hidden="1"/>
    <cellStyle name="Lien hypertexte visité" xfId="2779" builtinId="9" hidden="1"/>
    <cellStyle name="Lien hypertexte visité" xfId="2811" builtinId="9" hidden="1"/>
    <cellStyle name="Lien hypertexte visité" xfId="2847" builtinId="9" hidden="1"/>
    <cellStyle name="Lien hypertexte visité" xfId="2879" builtinId="9" hidden="1"/>
    <cellStyle name="Lien hypertexte visité" xfId="2915" builtinId="9" hidden="1"/>
    <cellStyle name="Lien hypertexte visité" xfId="2951" builtinId="9" hidden="1"/>
    <cellStyle name="Lien hypertexte visité" xfId="2983" builtinId="9" hidden="1"/>
    <cellStyle name="Lien hypertexte visité" xfId="3019" builtinId="9" hidden="1"/>
    <cellStyle name="Lien hypertexte visité" xfId="3051" builtinId="9" hidden="1"/>
    <cellStyle name="Lien hypertexte visité" xfId="3087" builtinId="9" hidden="1"/>
    <cellStyle name="Lien hypertexte visité" xfId="3119" builtinId="9" hidden="1"/>
    <cellStyle name="Lien hypertexte visité" xfId="3155" builtinId="9" hidden="1"/>
    <cellStyle name="Lien hypertexte visité" xfId="3187" builtinId="9" hidden="1"/>
    <cellStyle name="Lien hypertexte visité" xfId="3223" builtinId="9" hidden="1"/>
    <cellStyle name="Lien hypertexte visité" xfId="3255" builtinId="9" hidden="1"/>
    <cellStyle name="Lien hypertexte visité" xfId="3291" builtinId="9" hidden="1"/>
    <cellStyle name="Lien hypertexte visité" xfId="3323" builtinId="9" hidden="1"/>
    <cellStyle name="Lien hypertexte visité" xfId="3359" builtinId="9" hidden="1"/>
    <cellStyle name="Lien hypertexte visité" xfId="3391" builtinId="9" hidden="1"/>
    <cellStyle name="Lien hypertexte visité" xfId="3427" builtinId="9" hidden="1"/>
    <cellStyle name="Lien hypertexte visité" xfId="3463" builtinId="9" hidden="1"/>
    <cellStyle name="Lien hypertexte visité" xfId="3495" builtinId="9" hidden="1"/>
    <cellStyle name="Lien hypertexte visité" xfId="3531" builtinId="9" hidden="1"/>
    <cellStyle name="Lien hypertexte visité" xfId="3564" builtinId="9" hidden="1"/>
    <cellStyle name="Lien hypertexte visité" xfId="3600" builtinId="9" hidden="1"/>
    <cellStyle name="Lien hypertexte visité" xfId="3632" builtinId="9" hidden="1"/>
    <cellStyle name="Lien hypertexte visité" xfId="3673" builtinId="9" hidden="1"/>
    <cellStyle name="Lien hypertexte visité" xfId="3708" builtinId="9" hidden="1"/>
    <cellStyle name="Lien hypertexte visité" xfId="3744" builtinId="9" hidden="1"/>
    <cellStyle name="Lien hypertexte visité" xfId="3776" builtinId="9" hidden="1"/>
    <cellStyle name="Lien hypertexte visité" xfId="3812" builtinId="9" hidden="1"/>
    <cellStyle name="Lien hypertexte visité" xfId="3844" builtinId="9" hidden="1"/>
    <cellStyle name="Lien hypertexte visité" xfId="3880" builtinId="9" hidden="1"/>
    <cellStyle name="Lien hypertexte visité" xfId="3913" builtinId="9" hidden="1"/>
    <cellStyle name="Lien hypertexte visité" xfId="3652" builtinId="9" hidden="1"/>
    <cellStyle name="Lien hypertexte visité" xfId="3139" builtinId="9" hidden="1"/>
    <cellStyle name="Lien hypertexte visité" xfId="2627" builtinId="9" hidden="1"/>
    <cellStyle name="Lien hypertexte visité" xfId="1434" builtinId="9" hidden="1"/>
    <cellStyle name="Lien hypertexte visité" xfId="1466" builtinId="9" hidden="1"/>
    <cellStyle name="Lien hypertexte visité" xfId="1503" builtinId="9" hidden="1"/>
    <cellStyle name="Lien hypertexte visité" xfId="1535" builtinId="9" hidden="1"/>
    <cellStyle name="Lien hypertexte visité" xfId="1567" builtinId="9" hidden="1"/>
    <cellStyle name="Lien hypertexte visité" xfId="1599" builtinId="9" hidden="1"/>
    <cellStyle name="Lien hypertexte visité" xfId="1635" builtinId="9" hidden="1"/>
    <cellStyle name="Lien hypertexte visité" xfId="1667" builtinId="9" hidden="1"/>
    <cellStyle name="Lien hypertexte visité" xfId="1699" builtinId="9" hidden="1"/>
    <cellStyle name="Lien hypertexte visité" xfId="1735" builtinId="9" hidden="1"/>
    <cellStyle name="Lien hypertexte visité" xfId="1767" builtinId="9" hidden="1"/>
    <cellStyle name="Lien hypertexte visité" xfId="1799" builtinId="9" hidden="1"/>
    <cellStyle name="Lien hypertexte visité" xfId="1831" builtinId="9" hidden="1"/>
    <cellStyle name="Lien hypertexte visité" xfId="1867" builtinId="9" hidden="1"/>
    <cellStyle name="Lien hypertexte visité" xfId="1899" builtinId="9" hidden="1"/>
    <cellStyle name="Lien hypertexte visité" xfId="1931" builtinId="9" hidden="1"/>
    <cellStyle name="Lien hypertexte visité" xfId="1963" builtinId="9" hidden="1"/>
    <cellStyle name="Lien hypertexte visité" xfId="1999" builtinId="9" hidden="1"/>
    <cellStyle name="Lien hypertexte visité" xfId="2031" builtinId="9" hidden="1"/>
    <cellStyle name="Lien hypertexte visité" xfId="2063" builtinId="9" hidden="1"/>
    <cellStyle name="Lien hypertexte visité" xfId="2095" builtinId="9" hidden="1"/>
    <cellStyle name="Lien hypertexte visité" xfId="2131" builtinId="9" hidden="1"/>
    <cellStyle name="Lien hypertexte visité" xfId="2163" builtinId="9" hidden="1"/>
    <cellStyle name="Lien hypertexte visité" xfId="2195" builtinId="9" hidden="1"/>
    <cellStyle name="Lien hypertexte visité" xfId="1474" builtinId="9" hidden="1"/>
    <cellStyle name="Lien hypertexte visité" xfId="1017" builtinId="9" hidden="1"/>
    <cellStyle name="Lien hypertexte visité" xfId="1081" builtinId="9" hidden="1"/>
    <cellStyle name="Lien hypertexte visité" xfId="1145" builtinId="9" hidden="1"/>
    <cellStyle name="Lien hypertexte visité" xfId="1186" builtinId="9" hidden="1"/>
    <cellStyle name="Lien hypertexte visité" xfId="1222" builtinId="9" hidden="1"/>
    <cellStyle name="Lien hypertexte visité" xfId="1254" builtinId="9" hidden="1"/>
    <cellStyle name="Lien hypertexte visité" xfId="1286" builtinId="9" hidden="1"/>
    <cellStyle name="Lien hypertexte visité" xfId="1318" builtinId="9" hidden="1"/>
    <cellStyle name="Lien hypertexte visité" xfId="1350" builtinId="9" hidden="1"/>
    <cellStyle name="Lien hypertexte visité" xfId="1382" builtinId="9" hidden="1"/>
    <cellStyle name="Lien hypertexte visité" xfId="1414" builtinId="9" hidden="1"/>
    <cellStyle name="Lien hypertexte visité" xfId="625" builtinId="9" hidden="1"/>
    <cellStyle name="Lien hypertexte visité" xfId="689" builtinId="9" hidden="1"/>
    <cellStyle name="Lien hypertexte visité" xfId="753" builtinId="9" hidden="1"/>
    <cellStyle name="Lien hypertexte visité" xfId="817" builtinId="9" hidden="1"/>
    <cellStyle name="Lien hypertexte visité" xfId="881" builtinId="9" hidden="1"/>
    <cellStyle name="Lien hypertexte visité" xfId="945" builtinId="9" hidden="1"/>
    <cellStyle name="Lien hypertexte visité" xfId="473" builtinId="9" hidden="1"/>
    <cellStyle name="Lien hypertexte visité" xfId="537" builtinId="9" hidden="1"/>
    <cellStyle name="Lien hypertexte visité" xfId="337" builtinId="9" hidden="1"/>
    <cellStyle name="Lien hypertexte visité" xfId="401" builtinId="9" hidden="1"/>
    <cellStyle name="Lien hypertexte visité" xfId="329" builtinId="9" hidden="1"/>
    <cellStyle name="Lien hypertexte visité" xfId="281" builtinId="9" hidden="1"/>
    <cellStyle name="Lien hypertexte visité" xfId="289" builtinId="9" hidden="1"/>
    <cellStyle name="Lien hypertexte visité" xfId="361" builtinId="9" hidden="1"/>
    <cellStyle name="Lien hypertexte visité" xfId="561" builtinId="9" hidden="1"/>
    <cellStyle name="Lien hypertexte visité" xfId="497" builtinId="9" hidden="1"/>
    <cellStyle name="Lien hypertexte visité" xfId="433" builtinId="9" hidden="1"/>
    <cellStyle name="Lien hypertexte visité" xfId="905" builtinId="9" hidden="1"/>
    <cellStyle name="Lien hypertexte visité" xfId="841" builtinId="9" hidden="1"/>
    <cellStyle name="Lien hypertexte visité" xfId="777" builtinId="9" hidden="1"/>
    <cellStyle name="Lien hypertexte visité" xfId="713" builtinId="9" hidden="1"/>
    <cellStyle name="Lien hypertexte visité" xfId="649" builtinId="9" hidden="1"/>
    <cellStyle name="Lien hypertexte visité" xfId="1426" builtinId="9" hidden="1"/>
    <cellStyle name="Lien hypertexte visité" xfId="1394" builtinId="9" hidden="1"/>
    <cellStyle name="Lien hypertexte visité" xfId="1362" builtinId="9" hidden="1"/>
    <cellStyle name="Lien hypertexte visité" xfId="1330" builtinId="9" hidden="1"/>
    <cellStyle name="Lien hypertexte visité" xfId="1298" builtinId="9" hidden="1"/>
    <cellStyle name="Lien hypertexte visité" xfId="1266" builtinId="9" hidden="1"/>
    <cellStyle name="Lien hypertexte visité" xfId="1234" builtinId="9" hidden="1"/>
    <cellStyle name="Lien hypertexte visité" xfId="1198" builtinId="9" hidden="1"/>
    <cellStyle name="Lien hypertexte visité" xfId="1166" builtinId="9" hidden="1"/>
    <cellStyle name="Lien hypertexte visité" xfId="1105" builtinId="9" hidden="1"/>
    <cellStyle name="Lien hypertexte visité" xfId="1041" builtinId="9" hidden="1"/>
    <cellStyle name="Lien hypertexte visité" xfId="977" builtinId="9" hidden="1"/>
    <cellStyle name="Lien hypertexte visité" xfId="2115" builtinId="9" hidden="1"/>
    <cellStyle name="Lien hypertexte visité" xfId="2175" builtinId="9" hidden="1"/>
    <cellStyle name="Lien hypertexte visité" xfId="2143" builtinId="9" hidden="1"/>
    <cellStyle name="Lien hypertexte visité" xfId="2107" builtinId="9" hidden="1"/>
    <cellStyle name="Lien hypertexte visité" xfId="2075" builtinId="9" hidden="1"/>
    <cellStyle name="Lien hypertexte visité" xfId="2043" builtinId="9" hidden="1"/>
    <cellStyle name="Lien hypertexte visité" xfId="2011" builtinId="9" hidden="1"/>
    <cellStyle name="Lien hypertexte visité" xfId="1975" builtinId="9" hidden="1"/>
    <cellStyle name="Lien hypertexte visité" xfId="1943" builtinId="9" hidden="1"/>
    <cellStyle name="Lien hypertexte visité" xfId="1911" builtinId="9" hidden="1"/>
    <cellStyle name="Lien hypertexte visité" xfId="1879" builtinId="9" hidden="1"/>
    <cellStyle name="Lien hypertexte visité" xfId="1843" builtinId="9" hidden="1"/>
    <cellStyle name="Lien hypertexte visité" xfId="1811" builtinId="9" hidden="1"/>
    <cellStyle name="Lien hypertexte visité" xfId="1779" builtinId="9" hidden="1"/>
    <cellStyle name="Lien hypertexte visité" xfId="1747" builtinId="9" hidden="1"/>
    <cellStyle name="Lien hypertexte visité" xfId="1711" builtinId="9" hidden="1"/>
    <cellStyle name="Lien hypertexte visité" xfId="1679" builtinId="9" hidden="1"/>
    <cellStyle name="Lien hypertexte visité" xfId="1647" builtinId="9" hidden="1"/>
    <cellStyle name="Lien hypertexte visité" xfId="1615" builtinId="9" hidden="1"/>
    <cellStyle name="Lien hypertexte visité" xfId="1579" builtinId="9" hidden="1"/>
    <cellStyle name="Lien hypertexte visité" xfId="1547" builtinId="9" hidden="1"/>
    <cellStyle name="Lien hypertexte visité" xfId="1515" builtinId="9" hidden="1"/>
    <cellStyle name="Lien hypertexte visité" xfId="1482" builtinId="9" hidden="1"/>
    <cellStyle name="Lien hypertexte visité" xfId="1446" builtinId="9" hidden="1"/>
    <cellStyle name="Lien hypertexte visité" xfId="2435" builtinId="9" hidden="1"/>
    <cellStyle name="Lien hypertexte visité" xfId="2947" builtinId="9" hidden="1"/>
    <cellStyle name="Lien hypertexte visité" xfId="3459" builtinId="9" hidden="1"/>
    <cellStyle name="Lien hypertexte visité" xfId="3925" builtinId="9" hidden="1"/>
    <cellStyle name="Lien hypertexte visité" xfId="3893" builtinId="9" hidden="1"/>
    <cellStyle name="Lien hypertexte visité" xfId="3860" builtinId="9" hidden="1"/>
    <cellStyle name="Lien hypertexte visité" xfId="3824" builtinId="9" hidden="1"/>
    <cellStyle name="Lien hypertexte visité" xfId="3792" builtinId="9" hidden="1"/>
    <cellStyle name="Lien hypertexte visité" xfId="3756" builtinId="9" hidden="1"/>
    <cellStyle name="Lien hypertexte visité" xfId="3720" builtinId="9" hidden="1"/>
    <cellStyle name="Lien hypertexte visité" xfId="3687" builtinId="9" hidden="1"/>
    <cellStyle name="Lien hypertexte visité" xfId="3644" builtinId="9" hidden="1"/>
    <cellStyle name="Lien hypertexte visité" xfId="3612" builtinId="9" hidden="1"/>
    <cellStyle name="Lien hypertexte visité" xfId="3576" builtinId="9" hidden="1"/>
    <cellStyle name="Lien hypertexte visité" xfId="3543" builtinId="9" hidden="1"/>
    <cellStyle name="Lien hypertexte visité" xfId="3507" builtinId="9" hidden="1"/>
    <cellStyle name="Lien hypertexte visité" xfId="3475" builtinId="9" hidden="1"/>
    <cellStyle name="Lien hypertexte visité" xfId="3439" builtinId="9" hidden="1"/>
    <cellStyle name="Lien hypertexte visité" xfId="3407" builtinId="9" hidden="1"/>
    <cellStyle name="Lien hypertexte visité" xfId="3371" builtinId="9" hidden="1"/>
    <cellStyle name="Lien hypertexte visité" xfId="3339" builtinId="9" hidden="1"/>
    <cellStyle name="Lien hypertexte visité" xfId="3303" builtinId="9" hidden="1"/>
    <cellStyle name="Lien hypertexte visité" xfId="3271" builtinId="9" hidden="1"/>
    <cellStyle name="Lien hypertexte visité" xfId="3235" builtinId="9" hidden="1"/>
    <cellStyle name="Lien hypertexte visité" xfId="3199" builtinId="9" hidden="1"/>
    <cellStyle name="Lien hypertexte visité" xfId="3167" builtinId="9" hidden="1"/>
    <cellStyle name="Lien hypertexte visité" xfId="3131" builtinId="9" hidden="1"/>
    <cellStyle name="Lien hypertexte visité" xfId="3099" builtinId="9" hidden="1"/>
    <cellStyle name="Lien hypertexte visité" xfId="3063" builtinId="9" hidden="1"/>
    <cellStyle name="Lien hypertexte visité" xfId="3031" builtinId="9" hidden="1"/>
    <cellStyle name="Lien hypertexte visité" xfId="2995" builtinId="9" hidden="1"/>
    <cellStyle name="Lien hypertexte visité" xfId="2963" builtinId="9" hidden="1"/>
    <cellStyle name="Lien hypertexte visité" xfId="2927" builtinId="9" hidden="1"/>
    <cellStyle name="Lien hypertexte visité" xfId="2895" builtinId="9" hidden="1"/>
    <cellStyle name="Lien hypertexte visité" xfId="2859" builtinId="9" hidden="1"/>
    <cellStyle name="Lien hypertexte visité" xfId="2827" builtinId="9" hidden="1"/>
    <cellStyle name="Lien hypertexte visité" xfId="2791" builtinId="9" hidden="1"/>
    <cellStyle name="Lien hypertexte visité" xfId="2759" builtinId="9" hidden="1"/>
    <cellStyle name="Lien hypertexte visité" xfId="2723" builtinId="9" hidden="1"/>
    <cellStyle name="Lien hypertexte visité" xfId="2687" builtinId="9" hidden="1"/>
    <cellStyle name="Lien hypertexte visité" xfId="2655" builtinId="9" hidden="1"/>
    <cellStyle name="Lien hypertexte visité" xfId="2619" builtinId="9" hidden="1"/>
    <cellStyle name="Lien hypertexte visité" xfId="2587" builtinId="9" hidden="1"/>
    <cellStyle name="Lien hypertexte visité" xfId="2551" builtinId="9" hidden="1"/>
    <cellStyle name="Lien hypertexte visité" xfId="2519" builtinId="9" hidden="1"/>
    <cellStyle name="Lien hypertexte visité" xfId="2483" builtinId="9" hidden="1"/>
    <cellStyle name="Lien hypertexte visité" xfId="2451" builtinId="9" hidden="1"/>
    <cellStyle name="Lien hypertexte visité" xfId="2415" builtinId="9" hidden="1"/>
    <cellStyle name="Lien hypertexte visité" xfId="2383" builtinId="9" hidden="1"/>
    <cellStyle name="Lien hypertexte visité" xfId="2347" builtinId="9" hidden="1"/>
    <cellStyle name="Lien hypertexte visité" xfId="2315" builtinId="9" hidden="1"/>
    <cellStyle name="Lien hypertexte visité" xfId="2279" builtinId="9" hidden="1"/>
    <cellStyle name="Lien hypertexte visité" xfId="2247" builtinId="9" hidden="1"/>
    <cellStyle name="Lien hypertexte visité" xfId="2211" builtinId="9" hidden="1"/>
    <cellStyle name="Lien hypertexte visité" xfId="4137" builtinId="9" hidden="1"/>
    <cellStyle name="Lien hypertexte visité" xfId="4393" builtinId="9" hidden="1"/>
    <cellStyle name="Lien hypertexte visité" xfId="4649" builtinId="9" hidden="1"/>
    <cellStyle name="Lien hypertexte visité" xfId="4905" builtinId="9" hidden="1"/>
    <cellStyle name="Lien hypertexte visité" xfId="5161" builtinId="9" hidden="1"/>
    <cellStyle name="Lien hypertexte visité" xfId="5417" builtinId="9" hidden="1"/>
    <cellStyle name="Lien hypertexte visité" xfId="5673" builtinId="9" hidden="1"/>
    <cellStyle name="Lien hypertexte visité" xfId="5929" builtinId="9" hidden="1"/>
    <cellStyle name="Lien hypertexte visité" xfId="6185" builtinId="9" hidden="1"/>
    <cellStyle name="Lien hypertexte visité" xfId="6441" builtinId="9" hidden="1"/>
    <cellStyle name="Lien hypertexte visité" xfId="6697" builtinId="9" hidden="1"/>
    <cellStyle name="Lien hypertexte visité" xfId="6953" builtinId="9" hidden="1"/>
    <cellStyle name="Lien hypertexte visité" xfId="7209" builtinId="9" hidden="1"/>
    <cellStyle name="Lien hypertexte visité" xfId="7465" builtinId="9" hidden="1"/>
    <cellStyle name="Lien hypertexte visité" xfId="7721" builtinId="9" hidden="1"/>
    <cellStyle name="Lien hypertexte visité" xfId="7978" builtinId="9" hidden="1"/>
    <cellStyle name="Lien hypertexte visité" xfId="8214" builtinId="9" hidden="1"/>
    <cellStyle name="Lien hypertexte visité" xfId="8178" builtinId="9" hidden="1"/>
    <cellStyle name="Lien hypertexte visité" xfId="8142" builtinId="9" hidden="1"/>
    <cellStyle name="Lien hypertexte visité" xfId="8102" builtinId="9" hidden="1"/>
    <cellStyle name="Lien hypertexte visité" xfId="8066" builtinId="9" hidden="1"/>
    <cellStyle name="Lien hypertexte visité" xfId="8030" builtinId="9" hidden="1"/>
    <cellStyle name="Lien hypertexte visité" xfId="7994" builtinId="9" hidden="1"/>
    <cellStyle name="Lien hypertexte visité" xfId="7958" builtinId="9" hidden="1"/>
    <cellStyle name="Lien hypertexte visité" xfId="7922" builtinId="9" hidden="1"/>
    <cellStyle name="Lien hypertexte visité" xfId="7886" builtinId="9" hidden="1"/>
    <cellStyle name="Lien hypertexte visité" xfId="7846" builtinId="9" hidden="1"/>
    <cellStyle name="Lien hypertexte visité" xfId="7810" builtinId="9" hidden="1"/>
    <cellStyle name="Lien hypertexte visité" xfId="7773" builtinId="9" hidden="1"/>
    <cellStyle name="Lien hypertexte visité" xfId="7737" builtinId="9" hidden="1"/>
    <cellStyle name="Lien hypertexte visité" xfId="7701" builtinId="9" hidden="1"/>
    <cellStyle name="Lien hypertexte visité" xfId="7665" builtinId="9" hidden="1"/>
    <cellStyle name="Lien hypertexte visité" xfId="7629" builtinId="9" hidden="1"/>
    <cellStyle name="Lien hypertexte visité" xfId="7589" builtinId="9" hidden="1"/>
    <cellStyle name="Lien hypertexte visité" xfId="7553" builtinId="9" hidden="1"/>
    <cellStyle name="Lien hypertexte visité" xfId="7517" builtinId="9" hidden="1"/>
    <cellStyle name="Lien hypertexte visité" xfId="7481" builtinId="9" hidden="1"/>
    <cellStyle name="Lien hypertexte visité" xfId="7445" builtinId="9" hidden="1"/>
    <cellStyle name="Lien hypertexte visité" xfId="7409" builtinId="9" hidden="1"/>
    <cellStyle name="Lien hypertexte visité" xfId="7373" builtinId="9" hidden="1"/>
    <cellStyle name="Lien hypertexte visité" xfId="7333" builtinId="9" hidden="1"/>
    <cellStyle name="Lien hypertexte visité" xfId="7297" builtinId="9" hidden="1"/>
    <cellStyle name="Lien hypertexte visité" xfId="7261" builtinId="9" hidden="1"/>
    <cellStyle name="Lien hypertexte visité" xfId="7225" builtinId="9" hidden="1"/>
    <cellStyle name="Lien hypertexte visité" xfId="7189" builtinId="9" hidden="1"/>
    <cellStyle name="Lien hypertexte visité" xfId="7153" builtinId="9" hidden="1"/>
    <cellStyle name="Lien hypertexte visité" xfId="7117" builtinId="9" hidden="1"/>
    <cellStyle name="Lien hypertexte visité" xfId="7077" builtinId="9" hidden="1"/>
    <cellStyle name="Lien hypertexte visité" xfId="7041" builtinId="9" hidden="1"/>
    <cellStyle name="Lien hypertexte visité" xfId="7005" builtinId="9" hidden="1"/>
    <cellStyle name="Lien hypertexte visité" xfId="6969" builtinId="9" hidden="1"/>
    <cellStyle name="Lien hypertexte visité" xfId="6933" builtinId="9" hidden="1"/>
    <cellStyle name="Lien hypertexte visité" xfId="6897" builtinId="9" hidden="1"/>
    <cellStyle name="Lien hypertexte visité" xfId="6861" builtinId="9" hidden="1"/>
    <cellStyle name="Lien hypertexte visité" xfId="6821" builtinId="9" hidden="1"/>
    <cellStyle name="Lien hypertexte visité" xfId="6785" builtinId="9" hidden="1"/>
    <cellStyle name="Lien hypertexte visité" xfId="6749" builtinId="9" hidden="1"/>
    <cellStyle name="Lien hypertexte visité" xfId="6713" builtinId="9" hidden="1"/>
    <cellStyle name="Lien hypertexte visité" xfId="6677" builtinId="9" hidden="1"/>
    <cellStyle name="Lien hypertexte visité" xfId="6641" builtinId="9" hidden="1"/>
    <cellStyle name="Lien hypertexte visité" xfId="6605" builtinId="9" hidden="1"/>
    <cellStyle name="Lien hypertexte visité" xfId="6565" builtinId="9" hidden="1"/>
    <cellStyle name="Lien hypertexte visité" xfId="6529" builtinId="9" hidden="1"/>
    <cellStyle name="Lien hypertexte visité" xfId="6493" builtinId="9" hidden="1"/>
    <cellStyle name="Lien hypertexte visité" xfId="6457" builtinId="9" hidden="1"/>
    <cellStyle name="Lien hypertexte visité" xfId="6421" builtinId="9" hidden="1"/>
    <cellStyle name="Lien hypertexte visité" xfId="6385" builtinId="9" hidden="1"/>
    <cellStyle name="Lien hypertexte visité" xfId="6349" builtinId="9" hidden="1"/>
    <cellStyle name="Lien hypertexte visité" xfId="6309" builtinId="9" hidden="1"/>
    <cellStyle name="Lien hypertexte visité" xfId="6273" builtinId="9" hidden="1"/>
    <cellStyle name="Lien hypertexte visité" xfId="6237" builtinId="9" hidden="1"/>
    <cellStyle name="Lien hypertexte visité" xfId="6201" builtinId="9" hidden="1"/>
    <cellStyle name="Lien hypertexte visité" xfId="6165" builtinId="9" hidden="1"/>
    <cellStyle name="Lien hypertexte visité" xfId="6129" builtinId="9" hidden="1"/>
    <cellStyle name="Lien hypertexte visité" xfId="6093" builtinId="9" hidden="1"/>
    <cellStyle name="Lien hypertexte visité" xfId="6053" builtinId="9" hidden="1"/>
    <cellStyle name="Lien hypertexte visité" xfId="6017" builtinId="9" hidden="1"/>
    <cellStyle name="Lien hypertexte visité" xfId="5981" builtinId="9" hidden="1"/>
    <cellStyle name="Lien hypertexte visité" xfId="5945" builtinId="9" hidden="1"/>
    <cellStyle name="Lien hypertexte visité" xfId="5909" builtinId="9" hidden="1"/>
    <cellStyle name="Lien hypertexte visité" xfId="5873" builtinId="9" hidden="1"/>
    <cellStyle name="Lien hypertexte visité" xfId="5837" builtinId="9" hidden="1"/>
    <cellStyle name="Lien hypertexte visité" xfId="5797" builtinId="9" hidden="1"/>
    <cellStyle name="Lien hypertexte visité" xfId="5761" builtinId="9" hidden="1"/>
    <cellStyle name="Lien hypertexte visité" xfId="5725" builtinId="9" hidden="1"/>
    <cellStyle name="Lien hypertexte visité" xfId="5689" builtinId="9" hidden="1"/>
    <cellStyle name="Lien hypertexte visité" xfId="5653" builtinId="9" hidden="1"/>
    <cellStyle name="Lien hypertexte visité" xfId="5617" builtinId="9" hidden="1"/>
    <cellStyle name="Lien hypertexte visité" xfId="5581" builtinId="9" hidden="1"/>
    <cellStyle name="Lien hypertexte visité" xfId="5541" builtinId="9" hidden="1"/>
    <cellStyle name="Lien hypertexte visité" xfId="5505" builtinId="9" hidden="1"/>
    <cellStyle name="Lien hypertexte visité" xfId="5469" builtinId="9" hidden="1"/>
    <cellStyle name="Lien hypertexte visité" xfId="5433" builtinId="9" hidden="1"/>
    <cellStyle name="Lien hypertexte visité" xfId="5397" builtinId="9" hidden="1"/>
    <cellStyle name="Lien hypertexte visité" xfId="5361" builtinId="9" hidden="1"/>
    <cellStyle name="Lien hypertexte visité" xfId="5325" builtinId="9" hidden="1"/>
    <cellStyle name="Lien hypertexte visité" xfId="5285" builtinId="9" hidden="1"/>
    <cellStyle name="Lien hypertexte visité" xfId="5249" builtinId="9" hidden="1"/>
    <cellStyle name="Lien hypertexte visité" xfId="5213" builtinId="9" hidden="1"/>
    <cellStyle name="Lien hypertexte visité" xfId="5177" builtinId="9" hidden="1"/>
    <cellStyle name="Lien hypertexte visité" xfId="5141" builtinId="9" hidden="1"/>
    <cellStyle name="Lien hypertexte visité" xfId="5105" builtinId="9" hidden="1"/>
    <cellStyle name="Lien hypertexte visité" xfId="5069" builtinId="9" hidden="1"/>
    <cellStyle name="Lien hypertexte visité" xfId="5029" builtinId="9" hidden="1"/>
    <cellStyle name="Lien hypertexte visité" xfId="4993" builtinId="9" hidden="1"/>
    <cellStyle name="Lien hypertexte visité" xfId="4957" builtinId="9" hidden="1"/>
    <cellStyle name="Lien hypertexte visité" xfId="4921" builtinId="9" hidden="1"/>
    <cellStyle name="Lien hypertexte visité" xfId="4885" builtinId="9" hidden="1"/>
    <cellStyle name="Lien hypertexte visité" xfId="4849" builtinId="9" hidden="1"/>
    <cellStyle name="Lien hypertexte visité" xfId="4813" builtinId="9" hidden="1"/>
    <cellStyle name="Lien hypertexte visité" xfId="4773" builtinId="9" hidden="1"/>
    <cellStyle name="Lien hypertexte visité" xfId="4737" builtinId="9" hidden="1"/>
    <cellStyle name="Lien hypertexte visité" xfId="4701" builtinId="9" hidden="1"/>
    <cellStyle name="Lien hypertexte visité" xfId="4665" builtinId="9" hidden="1"/>
    <cellStyle name="Lien hypertexte visité" xfId="4629" builtinId="9" hidden="1"/>
    <cellStyle name="Lien hypertexte visité" xfId="4593" builtinId="9" hidden="1"/>
    <cellStyle name="Lien hypertexte visité" xfId="4557" builtinId="9" hidden="1"/>
    <cellStyle name="Lien hypertexte visité" xfId="4517" builtinId="9" hidden="1"/>
    <cellStyle name="Lien hypertexte visité" xfId="4481" builtinId="9" hidden="1"/>
    <cellStyle name="Lien hypertexte visité" xfId="4445" builtinId="9" hidden="1"/>
    <cellStyle name="Lien hypertexte visité" xfId="4409" builtinId="9" hidden="1"/>
    <cellStyle name="Lien hypertexte visité" xfId="4373" builtinId="9" hidden="1"/>
    <cellStyle name="Lien hypertexte visité" xfId="4337" builtinId="9" hidden="1"/>
    <cellStyle name="Lien hypertexte visité" xfId="4301" builtinId="9" hidden="1"/>
    <cellStyle name="Lien hypertexte visité" xfId="4261" builtinId="9" hidden="1"/>
    <cellStyle name="Lien hypertexte visité" xfId="4225" builtinId="9" hidden="1"/>
    <cellStyle name="Lien hypertexte visité" xfId="4189" builtinId="9" hidden="1"/>
    <cellStyle name="Lien hypertexte visité" xfId="4153" builtinId="9" hidden="1"/>
    <cellStyle name="Lien hypertexte visité" xfId="4117" builtinId="9" hidden="1"/>
    <cellStyle name="Lien hypertexte visité" xfId="4081" builtinId="9" hidden="1"/>
    <cellStyle name="Lien hypertexte visité" xfId="4045" builtinId="9" hidden="1"/>
    <cellStyle name="Lien hypertexte visité" xfId="4005" builtinId="9" hidden="1"/>
    <cellStyle name="Lien hypertexte visité" xfId="3969" builtinId="9" hidden="1"/>
    <cellStyle name="Lien hypertexte visité" xfId="3933" builtinId="9" hidden="1"/>
    <cellStyle name="Lien hypertexte visité" xfId="8314" builtinId="9" hidden="1"/>
    <cellStyle name="Lien hypertexte visité" xfId="8442" builtinId="9" hidden="1"/>
    <cellStyle name="Lien hypertexte visité" xfId="8570" builtinId="9" hidden="1"/>
    <cellStyle name="Lien hypertexte visité" xfId="8698" builtinId="9" hidden="1"/>
    <cellStyle name="Lien hypertexte visité" xfId="8826" builtinId="9" hidden="1"/>
    <cellStyle name="Lien hypertexte visité" xfId="8954" builtinId="9" hidden="1"/>
    <cellStyle name="Lien hypertexte visité" xfId="9082" builtinId="9" hidden="1"/>
    <cellStyle name="Lien hypertexte visité" xfId="9210" builtinId="9" hidden="1"/>
    <cellStyle name="Lien hypertexte visité" xfId="9338" builtinId="9" hidden="1"/>
    <cellStyle name="Lien hypertexte visité" xfId="9466" builtinId="9" hidden="1"/>
    <cellStyle name="Lien hypertexte visité" xfId="9594" builtinId="9" hidden="1"/>
    <cellStyle name="Lien hypertexte visité" xfId="9722" builtinId="9" hidden="1"/>
    <cellStyle name="Lien hypertexte visité" xfId="9850" builtinId="9" hidden="1"/>
    <cellStyle name="Lien hypertexte visité" xfId="9978" builtinId="9" hidden="1"/>
    <cellStyle name="Lien hypertexte visité" xfId="10106" builtinId="9" hidden="1"/>
    <cellStyle name="Lien hypertexte visité" xfId="10234" builtinId="9" hidden="1"/>
    <cellStyle name="Lien hypertexte visité" xfId="10362" builtinId="9" hidden="1"/>
    <cellStyle name="Lien hypertexte visité" xfId="10490" builtinId="9" hidden="1"/>
    <cellStyle name="Lien hypertexte visité" xfId="10618" builtinId="9" hidden="1"/>
    <cellStyle name="Lien hypertexte visité" xfId="10746" builtinId="9" hidden="1"/>
    <cellStyle name="Lien hypertexte visité" xfId="10874" builtinId="9" hidden="1"/>
    <cellStyle name="Lien hypertexte visité" xfId="11002" builtinId="9" hidden="1"/>
    <cellStyle name="Lien hypertexte visité" xfId="11130" builtinId="9" hidden="1"/>
    <cellStyle name="Lien hypertexte visité" xfId="11258" builtinId="9" hidden="1"/>
    <cellStyle name="Lien hypertexte visité" xfId="19014" builtinId="9" hidden="1"/>
    <cellStyle name="Lien hypertexte visité" xfId="18918" builtinId="9" hidden="1"/>
    <cellStyle name="Lien hypertexte visité" xfId="18854" builtinId="9" hidden="1"/>
    <cellStyle name="Lien hypertexte visité" xfId="18758" builtinId="9" hidden="1"/>
    <cellStyle name="Lien hypertexte visité" xfId="18662" builtinId="9" hidden="1"/>
    <cellStyle name="Lien hypertexte visité" xfId="18598" builtinId="9" hidden="1"/>
    <cellStyle name="Lien hypertexte visité" xfId="18502" builtinId="9" hidden="1"/>
    <cellStyle name="Lien hypertexte visité" xfId="18406" builtinId="9" hidden="1"/>
    <cellStyle name="Lien hypertexte visité" xfId="18342" builtinId="9" hidden="1"/>
    <cellStyle name="Lien hypertexte visité" xfId="18263" builtinId="9" hidden="1"/>
    <cellStyle name="Lien hypertexte visité" xfId="18167" builtinId="9" hidden="1"/>
    <cellStyle name="Lien hypertexte visité" xfId="18103" builtinId="9" hidden="1"/>
    <cellStyle name="Lien hypertexte visité" xfId="18007" builtinId="9" hidden="1"/>
    <cellStyle name="Lien hypertexte visité" xfId="17911" builtinId="9" hidden="1"/>
    <cellStyle name="Lien hypertexte visité" xfId="17847" builtinId="9" hidden="1"/>
    <cellStyle name="Lien hypertexte visité" xfId="17751" builtinId="9" hidden="1"/>
    <cellStyle name="Lien hypertexte visité" xfId="17655" builtinId="9" hidden="1"/>
    <cellStyle name="Lien hypertexte visité" xfId="17591" builtinId="9" hidden="1"/>
    <cellStyle name="Lien hypertexte visité" xfId="17495" builtinId="9" hidden="1"/>
    <cellStyle name="Lien hypertexte visité" xfId="17399" builtinId="9" hidden="1"/>
    <cellStyle name="Lien hypertexte visité" xfId="17335" builtinId="9" hidden="1"/>
    <cellStyle name="Lien hypertexte visité" xfId="17239" builtinId="9" hidden="1"/>
    <cellStyle name="Lien hypertexte visité" xfId="17143" builtinId="9" hidden="1"/>
    <cellStyle name="Lien hypertexte visité" xfId="17079" builtinId="9" hidden="1"/>
    <cellStyle name="Lien hypertexte visité" xfId="16983" builtinId="9" hidden="1"/>
    <cellStyle name="Lien hypertexte visité" xfId="16887" builtinId="9" hidden="1"/>
    <cellStyle name="Lien hypertexte visité" xfId="16823" builtinId="9" hidden="1"/>
    <cellStyle name="Lien hypertexte visité" xfId="16727" builtinId="9" hidden="1"/>
    <cellStyle name="Lien hypertexte visité" xfId="16631" builtinId="9" hidden="1"/>
    <cellStyle name="Lien hypertexte visité" xfId="16567" builtinId="9" hidden="1"/>
    <cellStyle name="Lien hypertexte visité" xfId="16471" builtinId="9" hidden="1"/>
    <cellStyle name="Lien hypertexte visité" xfId="16375" builtinId="9" hidden="1"/>
    <cellStyle name="Lien hypertexte visité" xfId="16311" builtinId="9" hidden="1"/>
    <cellStyle name="Lien hypertexte visité" xfId="16215" builtinId="9" hidden="1"/>
    <cellStyle name="Lien hypertexte visité" xfId="16119" builtinId="9" hidden="1"/>
    <cellStyle name="Lien hypertexte visité" xfId="16055" builtinId="9" hidden="1"/>
    <cellStyle name="Lien hypertexte visité" xfId="15959" builtinId="9" hidden="1"/>
    <cellStyle name="Lien hypertexte visité" xfId="15863" builtinId="9" hidden="1"/>
    <cellStyle name="Lien hypertexte visité" xfId="15799" builtinId="9" hidden="1"/>
    <cellStyle name="Lien hypertexte visité" xfId="15703" builtinId="9" hidden="1"/>
    <cellStyle name="Lien hypertexte visité" xfId="15607" builtinId="9" hidden="1"/>
    <cellStyle name="Lien hypertexte visité" xfId="15543" builtinId="9" hidden="1"/>
    <cellStyle name="Lien hypertexte visité" xfId="15447" builtinId="9" hidden="1"/>
    <cellStyle name="Lien hypertexte visité" xfId="15351" builtinId="9" hidden="1"/>
    <cellStyle name="Lien hypertexte visité" xfId="15287" builtinId="9" hidden="1"/>
    <cellStyle name="Lien hypertexte visité" xfId="15191" builtinId="9" hidden="1"/>
    <cellStyle name="Lien hypertexte visité" xfId="15095" builtinId="9" hidden="1"/>
    <cellStyle name="Lien hypertexte visité" xfId="15031" builtinId="9" hidden="1"/>
    <cellStyle name="Lien hypertexte visité" xfId="14935" builtinId="9" hidden="1"/>
    <cellStyle name="Lien hypertexte visité" xfId="14839" builtinId="9" hidden="1"/>
    <cellStyle name="Lien hypertexte visité" xfId="14775" builtinId="9" hidden="1"/>
    <cellStyle name="Lien hypertexte visité" xfId="14679" builtinId="9" hidden="1"/>
    <cellStyle name="Lien hypertexte visité" xfId="14583" builtinId="9" hidden="1"/>
    <cellStyle name="Lien hypertexte visité" xfId="14519" builtinId="9" hidden="1"/>
    <cellStyle name="Lien hypertexte visité" xfId="14469" builtinId="9" hidden="1"/>
    <cellStyle name="Lien hypertexte visité" xfId="14421" builtinId="9" hidden="1"/>
    <cellStyle name="Lien hypertexte visité" xfId="14389" builtinId="9" hidden="1"/>
    <cellStyle name="Lien hypertexte visité" xfId="14341" builtinId="9" hidden="1"/>
    <cellStyle name="Lien hypertexte visité" xfId="14293" builtinId="9" hidden="1"/>
    <cellStyle name="Lien hypertexte visité" xfId="14261" builtinId="9" hidden="1"/>
    <cellStyle name="Lien hypertexte visité" xfId="14213" builtinId="9" hidden="1"/>
    <cellStyle name="Lien hypertexte visité" xfId="14165" builtinId="9" hidden="1"/>
    <cellStyle name="Lien hypertexte visité" xfId="14133" builtinId="9" hidden="1"/>
    <cellStyle name="Lien hypertexte visité" xfId="14085" builtinId="9" hidden="1"/>
    <cellStyle name="Lien hypertexte visité" xfId="14037" builtinId="9" hidden="1"/>
    <cellStyle name="Lien hypertexte visité" xfId="14005" builtinId="9" hidden="1"/>
    <cellStyle name="Lien hypertexte visité" xfId="13957" builtinId="9" hidden="1"/>
    <cellStyle name="Lien hypertexte visité" xfId="13909" builtinId="9" hidden="1"/>
    <cellStyle name="Lien hypertexte visité" xfId="13877" builtinId="9" hidden="1"/>
    <cellStyle name="Lien hypertexte visité" xfId="13829" builtinId="9" hidden="1"/>
    <cellStyle name="Lien hypertexte visité" xfId="13781" builtinId="9" hidden="1"/>
    <cellStyle name="Lien hypertexte visité" xfId="13749" builtinId="9" hidden="1"/>
    <cellStyle name="Lien hypertexte visité" xfId="13701" builtinId="9" hidden="1"/>
    <cellStyle name="Lien hypertexte visité" xfId="13653" builtinId="9" hidden="1"/>
    <cellStyle name="Lien hypertexte visité" xfId="13621" builtinId="9" hidden="1"/>
    <cellStyle name="Lien hypertexte visité" xfId="13573" builtinId="9" hidden="1"/>
    <cellStyle name="Lien hypertexte visité" xfId="13525" builtinId="9" hidden="1"/>
    <cellStyle name="Lien hypertexte visité" xfId="13493" builtinId="9" hidden="1"/>
    <cellStyle name="Lien hypertexte visité" xfId="13445" builtinId="9" hidden="1"/>
    <cellStyle name="Lien hypertexte visité" xfId="13397" builtinId="9" hidden="1"/>
    <cellStyle name="Lien hypertexte visité" xfId="13365" builtinId="9" hidden="1"/>
    <cellStyle name="Lien hypertexte visité" xfId="13317" builtinId="9" hidden="1"/>
    <cellStyle name="Lien hypertexte visité" xfId="13269" builtinId="9" hidden="1"/>
    <cellStyle name="Lien hypertexte visité" xfId="13237" builtinId="9" hidden="1"/>
    <cellStyle name="Lien hypertexte visité" xfId="13189" builtinId="9" hidden="1"/>
    <cellStyle name="Lien hypertexte visité" xfId="13141" builtinId="9" hidden="1"/>
    <cellStyle name="Lien hypertexte visité" xfId="13109" builtinId="9" hidden="1"/>
    <cellStyle name="Lien hypertexte visité" xfId="13061" builtinId="9" hidden="1"/>
    <cellStyle name="Lien hypertexte visité" xfId="13013" builtinId="9" hidden="1"/>
    <cellStyle name="Lien hypertexte visité" xfId="12981" builtinId="9" hidden="1"/>
    <cellStyle name="Lien hypertexte visité" xfId="12933" builtinId="9" hidden="1"/>
    <cellStyle name="Lien hypertexte visité" xfId="12885" builtinId="9" hidden="1"/>
    <cellStyle name="Lien hypertexte visité" xfId="12853" builtinId="9" hidden="1"/>
    <cellStyle name="Lien hypertexte visité" xfId="12805" builtinId="9" hidden="1"/>
    <cellStyle name="Lien hypertexte visité" xfId="12757" builtinId="9" hidden="1"/>
    <cellStyle name="Lien hypertexte visité" xfId="12725" builtinId="9" hidden="1"/>
    <cellStyle name="Lien hypertexte visité" xfId="12677" builtinId="9" hidden="1"/>
    <cellStyle name="Lien hypertexte visité" xfId="12629" builtinId="9" hidden="1"/>
    <cellStyle name="Lien hypertexte visité" xfId="12597" builtinId="9" hidden="1"/>
    <cellStyle name="Lien hypertexte visité" xfId="12549" builtinId="9" hidden="1"/>
    <cellStyle name="Lien hypertexte visité" xfId="12501" builtinId="9" hidden="1"/>
    <cellStyle name="Lien hypertexte visité" xfId="12469" builtinId="9" hidden="1"/>
    <cellStyle name="Lien hypertexte visité" xfId="12421" builtinId="9" hidden="1"/>
    <cellStyle name="Lien hypertexte visité" xfId="12373" builtinId="9" hidden="1"/>
    <cellStyle name="Lien hypertexte visité" xfId="12341" builtinId="9" hidden="1"/>
    <cellStyle name="Lien hypertexte visité" xfId="12293" builtinId="9" hidden="1"/>
    <cellStyle name="Lien hypertexte visité" xfId="12245" builtinId="9" hidden="1"/>
    <cellStyle name="Lien hypertexte visité" xfId="12213" builtinId="9" hidden="1"/>
    <cellStyle name="Lien hypertexte visité" xfId="12165" builtinId="9" hidden="1"/>
    <cellStyle name="Lien hypertexte visité" xfId="12117" builtinId="9" hidden="1"/>
    <cellStyle name="Lien hypertexte visité" xfId="12085" builtinId="9" hidden="1"/>
    <cellStyle name="Lien hypertexte visité" xfId="12037" builtinId="9" hidden="1"/>
    <cellStyle name="Lien hypertexte visité" xfId="11989" builtinId="9" hidden="1"/>
    <cellStyle name="Lien hypertexte visité" xfId="11957" builtinId="9" hidden="1"/>
    <cellStyle name="Lien hypertexte visité" xfId="11909" builtinId="9" hidden="1"/>
    <cellStyle name="Lien hypertexte visité" xfId="11861" builtinId="9" hidden="1"/>
    <cellStyle name="Lien hypertexte visité" xfId="11829" builtinId="9" hidden="1"/>
    <cellStyle name="Lien hypertexte visité" xfId="11781" builtinId="9" hidden="1"/>
    <cellStyle name="Lien hypertexte visité" xfId="11733" builtinId="9" hidden="1"/>
    <cellStyle name="Lien hypertexte visité" xfId="11701" builtinId="9" hidden="1"/>
    <cellStyle name="Lien hypertexte visité" xfId="11653" builtinId="9" hidden="1"/>
    <cellStyle name="Lien hypertexte visité" xfId="11605" builtinId="9" hidden="1"/>
    <cellStyle name="Lien hypertexte visité" xfId="11573" builtinId="9" hidden="1"/>
    <cellStyle name="Lien hypertexte visité" xfId="11525" builtinId="9" hidden="1"/>
    <cellStyle name="Lien hypertexte visité" xfId="11477" builtinId="9" hidden="1"/>
    <cellStyle name="Lien hypertexte visité" xfId="11445" builtinId="9" hidden="1"/>
    <cellStyle name="Lien hypertexte visité" xfId="11397" builtinId="9" hidden="1"/>
    <cellStyle name="Lien hypertexte visité" xfId="11349" builtinId="9" hidden="1"/>
    <cellStyle name="Lien hypertexte visité" xfId="11317" builtinId="9" hidden="1"/>
    <cellStyle name="Lien hypertexte visité" xfId="11269" builtinId="9" hidden="1"/>
    <cellStyle name="Lien hypertexte visité" xfId="11221" builtinId="9" hidden="1"/>
    <cellStyle name="Lien hypertexte visité" xfId="11189" builtinId="9" hidden="1"/>
    <cellStyle name="Lien hypertexte visité" xfId="11141" builtinId="9" hidden="1"/>
    <cellStyle name="Lien hypertexte visité" xfId="11093" builtinId="9" hidden="1"/>
    <cellStyle name="Lien hypertexte visité" xfId="11061" builtinId="9" hidden="1"/>
    <cellStyle name="Lien hypertexte visité" xfId="11013" builtinId="9" hidden="1"/>
    <cellStyle name="Lien hypertexte visité" xfId="10965" builtinId="9" hidden="1"/>
    <cellStyle name="Lien hypertexte visité" xfId="10933" builtinId="9" hidden="1"/>
    <cellStyle name="Lien hypertexte visité" xfId="10885" builtinId="9" hidden="1"/>
    <cellStyle name="Lien hypertexte visité" xfId="10837" builtinId="9" hidden="1"/>
    <cellStyle name="Lien hypertexte visité" xfId="10805" builtinId="9" hidden="1"/>
    <cellStyle name="Lien hypertexte visité" xfId="10757" builtinId="9" hidden="1"/>
    <cellStyle name="Lien hypertexte visité" xfId="10709" builtinId="9" hidden="1"/>
    <cellStyle name="Lien hypertexte visité" xfId="10677" builtinId="9" hidden="1"/>
    <cellStyle name="Lien hypertexte visité" xfId="10629" builtinId="9" hidden="1"/>
    <cellStyle name="Lien hypertexte visité" xfId="10581" builtinId="9" hidden="1"/>
    <cellStyle name="Lien hypertexte visité" xfId="10549" builtinId="9" hidden="1"/>
    <cellStyle name="Lien hypertexte visité" xfId="10501" builtinId="9" hidden="1"/>
    <cellStyle name="Lien hypertexte visité" xfId="10453" builtinId="9" hidden="1"/>
    <cellStyle name="Lien hypertexte visité" xfId="10421" builtinId="9" hidden="1"/>
    <cellStyle name="Lien hypertexte visité" xfId="10373" builtinId="9" hidden="1"/>
    <cellStyle name="Lien hypertexte visité" xfId="10325" builtinId="9" hidden="1"/>
    <cellStyle name="Lien hypertexte visité" xfId="10293" builtinId="9" hidden="1"/>
    <cellStyle name="Lien hypertexte visité" xfId="10245" builtinId="9" hidden="1"/>
    <cellStyle name="Lien hypertexte visité" xfId="10197" builtinId="9" hidden="1"/>
    <cellStyle name="Lien hypertexte visité" xfId="10165" builtinId="9" hidden="1"/>
    <cellStyle name="Lien hypertexte visité" xfId="10117" builtinId="9" hidden="1"/>
    <cellStyle name="Lien hypertexte visité" xfId="10069" builtinId="9" hidden="1"/>
    <cellStyle name="Lien hypertexte visité" xfId="10037" builtinId="9" hidden="1"/>
    <cellStyle name="Lien hypertexte visité" xfId="9989" builtinId="9" hidden="1"/>
    <cellStyle name="Lien hypertexte visité" xfId="9941" builtinId="9" hidden="1"/>
    <cellStyle name="Lien hypertexte visité" xfId="9909" builtinId="9" hidden="1"/>
    <cellStyle name="Lien hypertexte visité" xfId="9861" builtinId="9" hidden="1"/>
    <cellStyle name="Lien hypertexte visité" xfId="9813" builtinId="9" hidden="1"/>
    <cellStyle name="Lien hypertexte visité" xfId="9781" builtinId="9" hidden="1"/>
    <cellStyle name="Lien hypertexte visité" xfId="9733" builtinId="9" hidden="1"/>
    <cellStyle name="Lien hypertexte visité" xfId="9685" builtinId="9" hidden="1"/>
    <cellStyle name="Lien hypertexte visité" xfId="9653" builtinId="9" hidden="1"/>
    <cellStyle name="Lien hypertexte visité" xfId="9605" builtinId="9" hidden="1"/>
    <cellStyle name="Lien hypertexte visité" xfId="9557" builtinId="9" hidden="1"/>
    <cellStyle name="Lien hypertexte visité" xfId="9525" builtinId="9" hidden="1"/>
    <cellStyle name="Lien hypertexte visité" xfId="9477" builtinId="9" hidden="1"/>
    <cellStyle name="Lien hypertexte visité" xfId="9429" builtinId="9" hidden="1"/>
    <cellStyle name="Lien hypertexte visité" xfId="9397" builtinId="9" hidden="1"/>
    <cellStyle name="Lien hypertexte visité" xfId="9349" builtinId="9" hidden="1"/>
    <cellStyle name="Lien hypertexte visité" xfId="9301" builtinId="9" hidden="1"/>
    <cellStyle name="Lien hypertexte visité" xfId="9269" builtinId="9" hidden="1"/>
    <cellStyle name="Lien hypertexte visité" xfId="9221" builtinId="9" hidden="1"/>
    <cellStyle name="Lien hypertexte visité" xfId="9173" builtinId="9" hidden="1"/>
    <cellStyle name="Lien hypertexte visité" xfId="9141" builtinId="9" hidden="1"/>
    <cellStyle name="Lien hypertexte visité" xfId="9093" builtinId="9" hidden="1"/>
    <cellStyle name="Lien hypertexte visité" xfId="9045" builtinId="9" hidden="1"/>
    <cellStyle name="Lien hypertexte visité" xfId="9013" builtinId="9" hidden="1"/>
    <cellStyle name="Lien hypertexte visité" xfId="8965" builtinId="9" hidden="1"/>
    <cellStyle name="Lien hypertexte visité" xfId="8917" builtinId="9" hidden="1"/>
    <cellStyle name="Lien hypertexte visité" xfId="8885" builtinId="9" hidden="1"/>
    <cellStyle name="Lien hypertexte visité" xfId="8837" builtinId="9" hidden="1"/>
    <cellStyle name="Lien hypertexte visité" xfId="8789" builtinId="9" hidden="1"/>
    <cellStyle name="Lien hypertexte visité" xfId="8757" builtinId="9" hidden="1"/>
    <cellStyle name="Lien hypertexte visité" xfId="8709" builtinId="9" hidden="1"/>
    <cellStyle name="Lien hypertexte visité" xfId="8661" builtinId="9" hidden="1"/>
    <cellStyle name="Lien hypertexte visité" xfId="8629" builtinId="9" hidden="1"/>
    <cellStyle name="Lien hypertexte visité" xfId="8581" builtinId="9" hidden="1"/>
    <cellStyle name="Lien hypertexte visité" xfId="8533" builtinId="9" hidden="1"/>
    <cellStyle name="Lien hypertexte visité" xfId="8501" builtinId="9" hidden="1"/>
    <cellStyle name="Lien hypertexte visité" xfId="8453" builtinId="9" hidden="1"/>
    <cellStyle name="Lien hypertexte visité" xfId="8405" builtinId="9" hidden="1"/>
    <cellStyle name="Lien hypertexte visité" xfId="8373" builtinId="9" hidden="1"/>
    <cellStyle name="Lien hypertexte visité" xfId="8325" builtinId="9" hidden="1"/>
    <cellStyle name="Lien hypertexte visité" xfId="8277" builtinId="9" hidden="1"/>
    <cellStyle name="Lien hypertexte visité" xfId="8245" builtinId="9" hidden="1"/>
    <cellStyle name="Lien hypertexte visité" xfId="8197" builtinId="9" hidden="1"/>
    <cellStyle name="Lien hypertexte visité" xfId="8149" builtinId="9" hidden="1"/>
    <cellStyle name="Lien hypertexte visité" xfId="8117" builtinId="9" hidden="1"/>
    <cellStyle name="Lien hypertexte visité" xfId="8069" builtinId="9" hidden="1"/>
    <cellStyle name="Lien hypertexte visité" xfId="8021" builtinId="9" hidden="1"/>
    <cellStyle name="Lien hypertexte visité" xfId="7989" builtinId="9" hidden="1"/>
    <cellStyle name="Lien hypertexte visité" xfId="7941" builtinId="9" hidden="1"/>
    <cellStyle name="Lien hypertexte visité" xfId="7893" builtinId="9" hidden="1"/>
    <cellStyle name="Lien hypertexte visité" xfId="7861" builtinId="9" hidden="1"/>
    <cellStyle name="Lien hypertexte visité" xfId="7813" builtinId="9" hidden="1"/>
    <cellStyle name="Lien hypertexte visité" xfId="7764" builtinId="9" hidden="1"/>
    <cellStyle name="Lien hypertexte visité" xfId="7732" builtinId="9" hidden="1"/>
    <cellStyle name="Lien hypertexte visité" xfId="7684" builtinId="9" hidden="1"/>
    <cellStyle name="Lien hypertexte visité" xfId="7636" builtinId="9" hidden="1"/>
    <cellStyle name="Lien hypertexte visité" xfId="7604" builtinId="9" hidden="1"/>
    <cellStyle name="Lien hypertexte visité" xfId="7556" builtinId="9" hidden="1"/>
    <cellStyle name="Lien hypertexte visité" xfId="7508" builtinId="9" hidden="1"/>
    <cellStyle name="Lien hypertexte visité" xfId="7476" builtinId="9" hidden="1"/>
    <cellStyle name="Lien hypertexte visité" xfId="7428" builtinId="9" hidden="1"/>
    <cellStyle name="Lien hypertexte visité" xfId="7380" builtinId="9" hidden="1"/>
    <cellStyle name="Lien hypertexte visité" xfId="7348" builtinId="9" hidden="1"/>
    <cellStyle name="Lien hypertexte visité" xfId="7300" builtinId="9" hidden="1"/>
    <cellStyle name="Lien hypertexte visité" xfId="7252" builtinId="9" hidden="1"/>
    <cellStyle name="Lien hypertexte visité" xfId="7220" builtinId="9" hidden="1"/>
    <cellStyle name="Lien hypertexte visité" xfId="7172" builtinId="9" hidden="1"/>
    <cellStyle name="Lien hypertexte visité" xfId="7124" builtinId="9" hidden="1"/>
    <cellStyle name="Lien hypertexte visité" xfId="7092" builtinId="9" hidden="1"/>
    <cellStyle name="Lien hypertexte visité" xfId="7044" builtinId="9" hidden="1"/>
    <cellStyle name="Lien hypertexte visité" xfId="6996" builtinId="9" hidden="1"/>
    <cellStyle name="Lien hypertexte visité" xfId="6964" builtinId="9" hidden="1"/>
    <cellStyle name="Lien hypertexte visité" xfId="6916" builtinId="9" hidden="1"/>
    <cellStyle name="Lien hypertexte visité" xfId="6868" builtinId="9" hidden="1"/>
    <cellStyle name="Lien hypertexte visité" xfId="6836" builtinId="9" hidden="1"/>
    <cellStyle name="Lien hypertexte visité" xfId="6788" builtinId="9" hidden="1"/>
    <cellStyle name="Lien hypertexte visité" xfId="6740" builtinId="9" hidden="1"/>
    <cellStyle name="Lien hypertexte visité" xfId="6708" builtinId="9" hidden="1"/>
    <cellStyle name="Lien hypertexte visité" xfId="6660" builtinId="9" hidden="1"/>
    <cellStyle name="Lien hypertexte visité" xfId="6612" builtinId="9" hidden="1"/>
    <cellStyle name="Lien hypertexte visité" xfId="6580" builtinId="9" hidden="1"/>
    <cellStyle name="Lien hypertexte visité" xfId="6532" builtinId="9" hidden="1"/>
    <cellStyle name="Lien hypertexte visité" xfId="6484" builtinId="9" hidden="1"/>
    <cellStyle name="Lien hypertexte visité" xfId="6452" builtinId="9" hidden="1"/>
    <cellStyle name="Lien hypertexte visité" xfId="6404" builtinId="9" hidden="1"/>
    <cellStyle name="Lien hypertexte visité" xfId="6356" builtinId="9" hidden="1"/>
    <cellStyle name="Lien hypertexte visité" xfId="6324" builtinId="9" hidden="1"/>
    <cellStyle name="Lien hypertexte visité" xfId="6276" builtinId="9" hidden="1"/>
    <cellStyle name="Lien hypertexte visité" xfId="6228" builtinId="9" hidden="1"/>
    <cellStyle name="Lien hypertexte visité" xfId="6196" builtinId="9" hidden="1"/>
    <cellStyle name="Lien hypertexte visité" xfId="6148" builtinId="9" hidden="1"/>
    <cellStyle name="Lien hypertexte visité" xfId="6100" builtinId="9" hidden="1"/>
    <cellStyle name="Lien hypertexte visité" xfId="6068" builtinId="9" hidden="1"/>
    <cellStyle name="Lien hypertexte visité" xfId="6020" builtinId="9" hidden="1"/>
    <cellStyle name="Lien hypertexte visité" xfId="5972" builtinId="9" hidden="1"/>
    <cellStyle name="Lien hypertexte visité" xfId="5940" builtinId="9" hidden="1"/>
    <cellStyle name="Lien hypertexte visité" xfId="5892" builtinId="9" hidden="1"/>
    <cellStyle name="Lien hypertexte visité" xfId="5844" builtinId="9" hidden="1"/>
    <cellStyle name="Lien hypertexte visité" xfId="5812" builtinId="9" hidden="1"/>
    <cellStyle name="Lien hypertexte visité" xfId="5764" builtinId="9" hidden="1"/>
    <cellStyle name="Lien hypertexte visité" xfId="5716" builtinId="9" hidden="1"/>
    <cellStyle name="Lien hypertexte visité" xfId="5684" builtinId="9" hidden="1"/>
    <cellStyle name="Lien hypertexte visité" xfId="5636" builtinId="9" hidden="1"/>
    <cellStyle name="Lien hypertexte visité" xfId="5588" builtinId="9" hidden="1"/>
    <cellStyle name="Lien hypertexte visité" xfId="5556" builtinId="9" hidden="1"/>
    <cellStyle name="Lien hypertexte visité" xfId="5508" builtinId="9" hidden="1"/>
    <cellStyle name="Lien hypertexte visité" xfId="5460" builtinId="9" hidden="1"/>
    <cellStyle name="Lien hypertexte visité" xfId="5428" builtinId="9" hidden="1"/>
    <cellStyle name="Lien hypertexte visité" xfId="5380" builtinId="9" hidden="1"/>
    <cellStyle name="Lien hypertexte visité" xfId="5332" builtinId="9" hidden="1"/>
    <cellStyle name="Lien hypertexte visité" xfId="5300" builtinId="9" hidden="1"/>
    <cellStyle name="Lien hypertexte visité" xfId="5252" builtinId="9" hidden="1"/>
    <cellStyle name="Lien hypertexte visité" xfId="5204" builtinId="9" hidden="1"/>
    <cellStyle name="Lien hypertexte visité" xfId="5172" builtinId="9" hidden="1"/>
    <cellStyle name="Lien hypertexte visité" xfId="5124" builtinId="9" hidden="1"/>
    <cellStyle name="Lien hypertexte visité" xfId="5076" builtinId="9" hidden="1"/>
    <cellStyle name="Lien hypertexte visité" xfId="5044" builtinId="9" hidden="1"/>
    <cellStyle name="Lien hypertexte visité" xfId="4996" builtinId="9" hidden="1"/>
    <cellStyle name="Lien hypertexte visité" xfId="4948" builtinId="9" hidden="1"/>
    <cellStyle name="Lien hypertexte visité" xfId="4916" builtinId="9" hidden="1"/>
    <cellStyle name="Lien hypertexte visité" xfId="4868" builtinId="9" hidden="1"/>
    <cellStyle name="Lien hypertexte visité" xfId="4820" builtinId="9" hidden="1"/>
    <cellStyle name="Lien hypertexte visité" xfId="4788" builtinId="9" hidden="1"/>
    <cellStyle name="Lien hypertexte visité" xfId="4740" builtinId="9" hidden="1"/>
    <cellStyle name="Lien hypertexte visité" xfId="4692" builtinId="9" hidden="1"/>
    <cellStyle name="Lien hypertexte visité" xfId="4660" builtinId="9" hidden="1"/>
    <cellStyle name="Lien hypertexte visité" xfId="4612" builtinId="9" hidden="1"/>
    <cellStyle name="Lien hypertexte visité" xfId="4564" builtinId="9" hidden="1"/>
    <cellStyle name="Lien hypertexte visité" xfId="4532" builtinId="9" hidden="1"/>
    <cellStyle name="Lien hypertexte visité" xfId="4484" builtinId="9" hidden="1"/>
    <cellStyle name="Lien hypertexte visité" xfId="4436" builtinId="9" hidden="1"/>
    <cellStyle name="Lien hypertexte visité" xfId="4404" builtinId="9" hidden="1"/>
    <cellStyle name="Lien hypertexte visité" xfId="4356" builtinId="9" hidden="1"/>
    <cellStyle name="Lien hypertexte visité" xfId="4308" builtinId="9" hidden="1"/>
    <cellStyle name="Lien hypertexte visité" xfId="4276" builtinId="9" hidden="1"/>
    <cellStyle name="Lien hypertexte visité" xfId="4228" builtinId="9" hidden="1"/>
    <cellStyle name="Lien hypertexte visité" xfId="4180" builtinId="9" hidden="1"/>
    <cellStyle name="Lien hypertexte visité" xfId="4148" builtinId="9" hidden="1"/>
    <cellStyle name="Lien hypertexte visité" xfId="4100" builtinId="9" hidden="1"/>
    <cellStyle name="Lien hypertexte visité" xfId="4052" builtinId="9" hidden="1"/>
    <cellStyle name="Lien hypertexte visité" xfId="4020" builtinId="9" hidden="1"/>
    <cellStyle name="Lien hypertexte visité" xfId="3972" builtinId="9" hidden="1"/>
    <cellStyle name="Lien hypertexte visité" xfId="1155" builtinId="9" hidden="1"/>
    <cellStyle name="Lien hypertexte visité" xfId="3896" builtinId="9" hidden="1"/>
    <cellStyle name="Lien hypertexte visité" xfId="3847" builtinId="9" hidden="1"/>
    <cellStyle name="Lien hypertexte visité" xfId="3799" builtinId="9" hidden="1"/>
    <cellStyle name="Lien hypertexte visité" xfId="3767" builtinId="9" hidden="1"/>
    <cellStyle name="Lien hypertexte visité" xfId="3719" builtinId="9" hidden="1"/>
    <cellStyle name="Lien hypertexte visité" xfId="3668" builtinId="9" hidden="1"/>
    <cellStyle name="Lien hypertexte visité" xfId="3631" builtinId="9" hidden="1"/>
    <cellStyle name="Lien hypertexte visité" xfId="3583" builtinId="9" hidden="1"/>
    <cellStyle name="Lien hypertexte visité" xfId="3534" builtinId="9" hidden="1"/>
    <cellStyle name="Lien hypertexte visité" xfId="3502" builtinId="9" hidden="1"/>
    <cellStyle name="Lien hypertexte visité" xfId="3454" builtinId="9" hidden="1"/>
    <cellStyle name="Lien hypertexte visité" xfId="3406" builtinId="9" hidden="1"/>
    <cellStyle name="Lien hypertexte visité" xfId="3374" builtinId="9" hidden="1"/>
    <cellStyle name="Lien hypertexte visité" xfId="3326" builtinId="9" hidden="1"/>
    <cellStyle name="Lien hypertexte visité" xfId="3278" builtinId="9" hidden="1"/>
    <cellStyle name="Lien hypertexte visité" xfId="3246" builtinId="9" hidden="1"/>
    <cellStyle name="Lien hypertexte visité" xfId="3198" builtinId="9" hidden="1"/>
    <cellStyle name="Lien hypertexte visité" xfId="3150" builtinId="9" hidden="1"/>
    <cellStyle name="Lien hypertexte visité" xfId="3118" builtinId="9" hidden="1"/>
    <cellStyle name="Lien hypertexte visité" xfId="3070" builtinId="9" hidden="1"/>
    <cellStyle name="Lien hypertexte visité" xfId="3022" builtinId="9" hidden="1"/>
    <cellStyle name="Lien hypertexte visité" xfId="2990" builtinId="9" hidden="1"/>
    <cellStyle name="Lien hypertexte visité" xfId="2942" builtinId="9" hidden="1"/>
    <cellStyle name="Lien hypertexte visité" xfId="2894" builtinId="9" hidden="1"/>
    <cellStyle name="Lien hypertexte visité" xfId="2862" builtinId="9" hidden="1"/>
    <cellStyle name="Lien hypertexte visité" xfId="2814" builtinId="9" hidden="1"/>
    <cellStyle name="Lien hypertexte visité" xfId="2766" builtinId="9" hidden="1"/>
    <cellStyle name="Lien hypertexte visité" xfId="2734" builtinId="9" hidden="1"/>
    <cellStyle name="Lien hypertexte visité" xfId="2686" builtinId="9" hidden="1"/>
    <cellStyle name="Lien hypertexte visité" xfId="2638" builtinId="9" hidden="1"/>
    <cellStyle name="Lien hypertexte visité" xfId="2606" builtinId="9" hidden="1"/>
    <cellStyle name="Lien hypertexte visité" xfId="2558" builtinId="9" hidden="1"/>
    <cellStyle name="Lien hypertexte visité" xfId="2510" builtinId="9" hidden="1"/>
    <cellStyle name="Lien hypertexte visité" xfId="2478" builtinId="9" hidden="1"/>
    <cellStyle name="Lien hypertexte visité" xfId="2430" builtinId="9" hidden="1"/>
    <cellStyle name="Lien hypertexte visité" xfId="2382" builtinId="9" hidden="1"/>
    <cellStyle name="Lien hypertexte visité" xfId="2350" builtinId="9" hidden="1"/>
    <cellStyle name="Lien hypertexte visité" xfId="2302" builtinId="9" hidden="1"/>
    <cellStyle name="Lien hypertexte visité" xfId="2254" builtinId="9" hidden="1"/>
    <cellStyle name="Lien hypertexte visité" xfId="2222" builtinId="9" hidden="1"/>
    <cellStyle name="Lien hypertexte visité" xfId="2174" builtinId="9" hidden="1"/>
    <cellStyle name="Lien hypertexte visité" xfId="2126" builtinId="9" hidden="1"/>
    <cellStyle name="Lien hypertexte visité" xfId="2094" builtinId="9" hidden="1"/>
    <cellStyle name="Lien hypertexte visité" xfId="2046" builtinId="9" hidden="1"/>
    <cellStyle name="Lien hypertexte visité" xfId="1998" builtinId="9" hidden="1"/>
    <cellStyle name="Lien hypertexte visité" xfId="1966" builtinId="9" hidden="1"/>
    <cellStyle name="Lien hypertexte visité" xfId="1918" builtinId="9" hidden="1"/>
    <cellStyle name="Lien hypertexte visité" xfId="1870" builtinId="9" hidden="1"/>
    <cellStyle name="Lien hypertexte visité" xfId="1838" builtinId="9" hidden="1"/>
    <cellStyle name="Lien hypertexte visité" xfId="1790" builtinId="9" hidden="1"/>
    <cellStyle name="Lien hypertexte visité" xfId="1742" builtinId="9" hidden="1"/>
    <cellStyle name="Lien hypertexte visité" xfId="1710" builtinId="9" hidden="1"/>
    <cellStyle name="Lien hypertexte visité" xfId="1662" builtinId="9" hidden="1"/>
    <cellStyle name="Lien hypertexte visité" xfId="1614" builtinId="9" hidden="1"/>
    <cellStyle name="Lien hypertexte visité" xfId="1582" builtinId="9" hidden="1"/>
    <cellStyle name="Lien hypertexte visité" xfId="1534" builtinId="9" hidden="1"/>
    <cellStyle name="Lien hypertexte visité" xfId="1485" builtinId="9" hidden="1"/>
    <cellStyle name="Lien hypertexte visité" xfId="1453" builtinId="9" hidden="1"/>
    <cellStyle name="Lien hypertexte visité" xfId="1405" builtinId="9" hidden="1"/>
    <cellStyle name="Lien hypertexte visité" xfId="1357" builtinId="9" hidden="1"/>
    <cellStyle name="Lien hypertexte visité" xfId="1325" builtinId="9" hidden="1"/>
    <cellStyle name="Lien hypertexte visité" xfId="1277" builtinId="9" hidden="1"/>
    <cellStyle name="Lien hypertexte visité" xfId="1229" builtinId="9" hidden="1"/>
    <cellStyle name="Lien hypertexte visité" xfId="1197" builtinId="9" hidden="1"/>
    <cellStyle name="Lien hypertexte visité" xfId="1135" builtinId="9" hidden="1"/>
    <cellStyle name="Lien hypertexte visité" xfId="1039" builtinId="9" hidden="1"/>
    <cellStyle name="Lien hypertexte visité" xfId="975" builtinId="9" hidden="1"/>
    <cellStyle name="Lien hypertexte visité" xfId="879" builtinId="9" hidden="1"/>
    <cellStyle name="Lien hypertexte visité" xfId="783" builtinId="9" hidden="1"/>
    <cellStyle name="Lien hypertexte visité" xfId="719" builtinId="9" hidden="1"/>
    <cellStyle name="Lien hypertexte visité" xfId="623" builtinId="9" hidden="1"/>
    <cellStyle name="Lien hypertexte visité" xfId="527" builtinId="9" hidden="1"/>
    <cellStyle name="Lien hypertexte visité" xfId="463" builtinId="9" hidden="1"/>
    <cellStyle name="Lien hypertexte visité" xfId="367" builtinId="9" hidden="1"/>
    <cellStyle name="Lien hypertexte visité" xfId="271" builtinId="9" hidden="1"/>
    <cellStyle name="Lien hypertexte visité" xfId="207" builtinId="9" hidden="1"/>
    <cellStyle name="Lien hypertexte visité" xfId="73" builtinId="9" hidden="1"/>
    <cellStyle name="Lien hypertexte visité" xfId="65" builtinId="9" hidden="1"/>
    <cellStyle name="Lien hypertexte visité" xfId="61" builtinId="9" hidden="1"/>
    <cellStyle name="Lien hypertexte visité" xfId="115" builtinId="9" hidden="1"/>
    <cellStyle name="Lien hypertexte visité" xfId="211" builtinId="9" hidden="1"/>
    <cellStyle name="Lien hypertexte visité" xfId="275" builtinId="9" hidden="1"/>
    <cellStyle name="Lien hypertexte visité" xfId="371" builtinId="9" hidden="1"/>
    <cellStyle name="Lien hypertexte visité" xfId="467" builtinId="9" hidden="1"/>
    <cellStyle name="Lien hypertexte visité" xfId="531" builtinId="9" hidden="1"/>
    <cellStyle name="Lien hypertexte visité" xfId="627" builtinId="9" hidden="1"/>
    <cellStyle name="Lien hypertexte visité" xfId="723" builtinId="9" hidden="1"/>
    <cellStyle name="Lien hypertexte visité" xfId="787" builtinId="9" hidden="1"/>
    <cellStyle name="Lien hypertexte visité" xfId="883" builtinId="9" hidden="1"/>
    <cellStyle name="Lien hypertexte visité" xfId="979" builtinId="9" hidden="1"/>
    <cellStyle name="Lien hypertexte visité" xfId="1043" builtinId="9" hidden="1"/>
    <cellStyle name="Lien hypertexte visité" xfId="1139" builtinId="9" hidden="1"/>
    <cellStyle name="Lien hypertexte visité" xfId="1199" builtinId="9" hidden="1"/>
    <cellStyle name="Lien hypertexte visité" xfId="1231" builtinId="9" hidden="1"/>
    <cellStyle name="Lien hypertexte visité" xfId="1279" builtinId="9" hidden="1"/>
    <cellStyle name="Lien hypertexte visité" xfId="1327" builtinId="9" hidden="1"/>
    <cellStyle name="Lien hypertexte visité" xfId="1359" builtinId="9" hidden="1"/>
    <cellStyle name="Lien hypertexte visité" xfId="1407" builtinId="9" hidden="1"/>
    <cellStyle name="Lien hypertexte visité" xfId="1455" builtinId="9" hidden="1"/>
    <cellStyle name="Lien hypertexte visité" xfId="1487" builtinId="9" hidden="1"/>
    <cellStyle name="Lien hypertexte visité" xfId="1536" builtinId="9" hidden="1"/>
    <cellStyle name="Lien hypertexte visité" xfId="1584" builtinId="9" hidden="1"/>
    <cellStyle name="Lien hypertexte visité" xfId="1616" builtinId="9" hidden="1"/>
    <cellStyle name="Lien hypertexte visité" xfId="1664" builtinId="9" hidden="1"/>
    <cellStyle name="Lien hypertexte visité" xfId="1712" builtinId="9" hidden="1"/>
    <cellStyle name="Lien hypertexte visité" xfId="1744" builtinId="9" hidden="1"/>
    <cellStyle name="Lien hypertexte visité" xfId="1792" builtinId="9" hidden="1"/>
    <cellStyle name="Lien hypertexte visité" xfId="1840" builtinId="9" hidden="1"/>
    <cellStyle name="Lien hypertexte visité" xfId="1872" builtinId="9" hidden="1"/>
    <cellStyle name="Lien hypertexte visité" xfId="1920" builtinId="9" hidden="1"/>
    <cellStyle name="Lien hypertexte visité" xfId="1968" builtinId="9" hidden="1"/>
    <cellStyle name="Lien hypertexte visité" xfId="2000" builtinId="9" hidden="1"/>
    <cellStyle name="Lien hypertexte visité" xfId="2048" builtinId="9" hidden="1"/>
    <cellStyle name="Lien hypertexte visité" xfId="2096" builtinId="9" hidden="1"/>
    <cellStyle name="Lien hypertexte visité" xfId="2128" builtinId="9" hidden="1"/>
    <cellStyle name="Lien hypertexte visité" xfId="2176" builtinId="9" hidden="1"/>
    <cellStyle name="Lien hypertexte visité" xfId="2224" builtinId="9" hidden="1"/>
    <cellStyle name="Lien hypertexte visité" xfId="2256" builtinId="9" hidden="1"/>
    <cellStyle name="Lien hypertexte visité" xfId="2304" builtinId="9" hidden="1"/>
    <cellStyle name="Lien hypertexte visité" xfId="2352" builtinId="9" hidden="1"/>
    <cellStyle name="Lien hypertexte visité" xfId="2384" builtinId="9" hidden="1"/>
    <cellStyle name="Lien hypertexte visité" xfId="2432" builtinId="9" hidden="1"/>
    <cellStyle name="Lien hypertexte visité" xfId="2480" builtinId="9" hidden="1"/>
    <cellStyle name="Lien hypertexte visité" xfId="2512" builtinId="9" hidden="1"/>
    <cellStyle name="Lien hypertexte visité" xfId="2560" builtinId="9" hidden="1"/>
    <cellStyle name="Lien hypertexte visité" xfId="2608" builtinId="9" hidden="1"/>
    <cellStyle name="Lien hypertexte visité" xfId="2640" builtinId="9" hidden="1"/>
    <cellStyle name="Lien hypertexte visité" xfId="2688" builtinId="9" hidden="1"/>
    <cellStyle name="Lien hypertexte visité" xfId="2736" builtinId="9" hidden="1"/>
    <cellStyle name="Lien hypertexte visité" xfId="2768" builtinId="9" hidden="1"/>
    <cellStyle name="Lien hypertexte visité" xfId="2816" builtinId="9" hidden="1"/>
    <cellStyle name="Lien hypertexte visité" xfId="2864" builtinId="9" hidden="1"/>
    <cellStyle name="Lien hypertexte visité" xfId="2896" builtinId="9" hidden="1"/>
    <cellStyle name="Lien hypertexte visité" xfId="2944" builtinId="9" hidden="1"/>
    <cellStyle name="Lien hypertexte visité" xfId="2992" builtinId="9" hidden="1"/>
    <cellStyle name="Lien hypertexte visité" xfId="3024" builtinId="9" hidden="1"/>
    <cellStyle name="Lien hypertexte visité" xfId="3072" builtinId="9" hidden="1"/>
    <cellStyle name="Lien hypertexte visité" xfId="3120" builtinId="9" hidden="1"/>
    <cellStyle name="Lien hypertexte visité" xfId="3152" builtinId="9" hidden="1"/>
    <cellStyle name="Lien hypertexte visité" xfId="3200" builtinId="9" hidden="1"/>
    <cellStyle name="Lien hypertexte visité" xfId="3248" builtinId="9" hidden="1"/>
    <cellStyle name="Lien hypertexte visité" xfId="3280" builtinId="9" hidden="1"/>
    <cellStyle name="Lien hypertexte visité" xfId="3328" builtinId="9" hidden="1"/>
    <cellStyle name="Lien hypertexte visité" xfId="3376" builtinId="9" hidden="1"/>
    <cellStyle name="Lien hypertexte visité" xfId="3408" builtinId="9" hidden="1"/>
    <cellStyle name="Lien hypertexte visité" xfId="3456" builtinId="9" hidden="1"/>
    <cellStyle name="Lien hypertexte visité" xfId="3504" builtinId="9" hidden="1"/>
    <cellStyle name="Lien hypertexte visité" xfId="3536" builtinId="9" hidden="1"/>
    <cellStyle name="Lien hypertexte visité" xfId="3585" builtinId="9" hidden="1"/>
    <cellStyle name="Lien hypertexte visité" xfId="3633" builtinId="9" hidden="1"/>
    <cellStyle name="Lien hypertexte visité" xfId="3670" builtinId="9" hidden="1"/>
    <cellStyle name="Lien hypertexte visité" xfId="3721" builtinId="9" hidden="1"/>
    <cellStyle name="Lien hypertexte visité" xfId="3769" builtinId="9" hidden="1"/>
    <cellStyle name="Lien hypertexte visité" xfId="3801" builtinId="9" hidden="1"/>
    <cellStyle name="Lien hypertexte visité" xfId="3849" builtinId="9" hidden="1"/>
    <cellStyle name="Lien hypertexte visité" xfId="3898" builtinId="9" hidden="1"/>
    <cellStyle name="Lien hypertexte visité" xfId="3926" builtinId="9" hidden="1"/>
    <cellStyle name="Lien hypertexte visité" xfId="3974" builtinId="9" hidden="1"/>
    <cellStyle name="Lien hypertexte visité" xfId="4022" builtinId="9" hidden="1"/>
    <cellStyle name="Lien hypertexte visité" xfId="4054" builtinId="9" hidden="1"/>
    <cellStyle name="Lien hypertexte visité" xfId="4102" builtinId="9" hidden="1"/>
    <cellStyle name="Lien hypertexte visité" xfId="4150" builtinId="9" hidden="1"/>
    <cellStyle name="Lien hypertexte visité" xfId="4182" builtinId="9" hidden="1"/>
    <cellStyle name="Lien hypertexte visité" xfId="4230" builtinId="9" hidden="1"/>
    <cellStyle name="Lien hypertexte visité" xfId="4278" builtinId="9" hidden="1"/>
    <cellStyle name="Lien hypertexte visité" xfId="4310" builtinId="9" hidden="1"/>
    <cellStyle name="Lien hypertexte visité" xfId="4358" builtinId="9" hidden="1"/>
    <cellStyle name="Lien hypertexte visité" xfId="4406" builtinId="9" hidden="1"/>
    <cellStyle name="Lien hypertexte visité" xfId="4438" builtinId="9" hidden="1"/>
    <cellStyle name="Lien hypertexte visité" xfId="4486" builtinId="9" hidden="1"/>
    <cellStyle name="Lien hypertexte visité" xfId="4534" builtinId="9" hidden="1"/>
    <cellStyle name="Lien hypertexte visité" xfId="4566" builtinId="9" hidden="1"/>
    <cellStyle name="Lien hypertexte visité" xfId="4614" builtinId="9" hidden="1"/>
    <cellStyle name="Lien hypertexte visité" xfId="4662" builtinId="9" hidden="1"/>
    <cellStyle name="Lien hypertexte visité" xfId="4694" builtinId="9" hidden="1"/>
    <cellStyle name="Lien hypertexte visité" xfId="4742" builtinId="9" hidden="1"/>
    <cellStyle name="Lien hypertexte visité" xfId="4790" builtinId="9" hidden="1"/>
    <cellStyle name="Lien hypertexte visité" xfId="4822" builtinId="9" hidden="1"/>
    <cellStyle name="Lien hypertexte visité" xfId="4870" builtinId="9" hidden="1"/>
    <cellStyle name="Lien hypertexte visité" xfId="4918" builtinId="9" hidden="1"/>
    <cellStyle name="Lien hypertexte visité" xfId="4950" builtinId="9" hidden="1"/>
    <cellStyle name="Lien hypertexte visité" xfId="4998" builtinId="9" hidden="1"/>
    <cellStyle name="Lien hypertexte visité" xfId="5046" builtinId="9" hidden="1"/>
    <cellStyle name="Lien hypertexte visité" xfId="5078" builtinId="9" hidden="1"/>
    <cellStyle name="Lien hypertexte visité" xfId="5126" builtinId="9" hidden="1"/>
    <cellStyle name="Lien hypertexte visité" xfId="5174" builtinId="9" hidden="1"/>
    <cellStyle name="Lien hypertexte visité" xfId="5206" builtinId="9" hidden="1"/>
    <cellStyle name="Lien hypertexte visité" xfId="5254" builtinId="9" hidden="1"/>
    <cellStyle name="Lien hypertexte visité" xfId="5302" builtinId="9" hidden="1"/>
    <cellStyle name="Lien hypertexte visité" xfId="5334" builtinId="9" hidden="1"/>
    <cellStyle name="Lien hypertexte visité" xfId="5382" builtinId="9" hidden="1"/>
    <cellStyle name="Lien hypertexte visité" xfId="5430" builtinId="9" hidden="1"/>
    <cellStyle name="Lien hypertexte visité" xfId="5462" builtinId="9" hidden="1"/>
    <cellStyle name="Lien hypertexte visité" xfId="5510" builtinId="9" hidden="1"/>
    <cellStyle name="Lien hypertexte visité" xfId="5558" builtinId="9" hidden="1"/>
    <cellStyle name="Lien hypertexte visité" xfId="5590" builtinId="9" hidden="1"/>
    <cellStyle name="Lien hypertexte visité" xfId="5638" builtinId="9" hidden="1"/>
    <cellStyle name="Lien hypertexte visité" xfId="5686" builtinId="9" hidden="1"/>
    <cellStyle name="Lien hypertexte visité" xfId="5718" builtinId="9" hidden="1"/>
    <cellStyle name="Lien hypertexte visité" xfId="5766" builtinId="9" hidden="1"/>
    <cellStyle name="Lien hypertexte visité" xfId="5814" builtinId="9" hidden="1"/>
    <cellStyle name="Lien hypertexte visité" xfId="5846" builtinId="9" hidden="1"/>
    <cellStyle name="Lien hypertexte visité" xfId="5894" builtinId="9" hidden="1"/>
    <cellStyle name="Lien hypertexte visité" xfId="5942" builtinId="9" hidden="1"/>
    <cellStyle name="Lien hypertexte visité" xfId="5974" builtinId="9" hidden="1"/>
    <cellStyle name="Lien hypertexte visité" xfId="6022" builtinId="9" hidden="1"/>
    <cellStyle name="Lien hypertexte visité" xfId="6070" builtinId="9" hidden="1"/>
    <cellStyle name="Lien hypertexte visité" xfId="6102" builtinId="9" hidden="1"/>
    <cellStyle name="Lien hypertexte visité" xfId="6150" builtinId="9" hidden="1"/>
    <cellStyle name="Lien hypertexte visité" xfId="6198" builtinId="9" hidden="1"/>
    <cellStyle name="Lien hypertexte visité" xfId="6230" builtinId="9" hidden="1"/>
    <cellStyle name="Lien hypertexte visité" xfId="6278" builtinId="9" hidden="1"/>
    <cellStyle name="Lien hypertexte visité" xfId="6326" builtinId="9" hidden="1"/>
    <cellStyle name="Lien hypertexte visité" xfId="6358" builtinId="9" hidden="1"/>
    <cellStyle name="Lien hypertexte visité" xfId="6406" builtinId="9" hidden="1"/>
    <cellStyle name="Lien hypertexte visité" xfId="6454" builtinId="9" hidden="1"/>
    <cellStyle name="Lien hypertexte visité" xfId="6486" builtinId="9" hidden="1"/>
    <cellStyle name="Lien hypertexte visité" xfId="6534" builtinId="9" hidden="1"/>
    <cellStyle name="Lien hypertexte visité" xfId="6582" builtinId="9" hidden="1"/>
    <cellStyle name="Lien hypertexte visité" xfId="6614" builtinId="9" hidden="1"/>
    <cellStyle name="Lien hypertexte visité" xfId="6662" builtinId="9" hidden="1"/>
    <cellStyle name="Lien hypertexte visité" xfId="6710" builtinId="9" hidden="1"/>
    <cellStyle name="Lien hypertexte visité" xfId="6742" builtinId="9" hidden="1"/>
    <cellStyle name="Lien hypertexte visité" xfId="6790" builtinId="9" hidden="1"/>
    <cellStyle name="Lien hypertexte visité" xfId="6838" builtinId="9" hidden="1"/>
    <cellStyle name="Lien hypertexte visité" xfId="6870" builtinId="9" hidden="1"/>
    <cellStyle name="Lien hypertexte visité" xfId="6918" builtinId="9" hidden="1"/>
    <cellStyle name="Lien hypertexte visité" xfId="6966" builtinId="9" hidden="1"/>
    <cellStyle name="Lien hypertexte visité" xfId="6998" builtinId="9" hidden="1"/>
    <cellStyle name="Lien hypertexte visité" xfId="7046" builtinId="9" hidden="1"/>
    <cellStyle name="Lien hypertexte visité" xfId="7094" builtinId="9" hidden="1"/>
    <cellStyle name="Lien hypertexte visité" xfId="7126" builtinId="9" hidden="1"/>
    <cellStyle name="Lien hypertexte visité" xfId="7174" builtinId="9" hidden="1"/>
    <cellStyle name="Lien hypertexte visité" xfId="7222" builtinId="9" hidden="1"/>
    <cellStyle name="Lien hypertexte visité" xfId="7254" builtinId="9" hidden="1"/>
    <cellStyle name="Lien hypertexte visité" xfId="7302" builtinId="9" hidden="1"/>
    <cellStyle name="Lien hypertexte visité" xfId="7350" builtinId="9" hidden="1"/>
    <cellStyle name="Lien hypertexte visité" xfId="7382" builtinId="9" hidden="1"/>
    <cellStyle name="Lien hypertexte visité" xfId="7430" builtinId="9" hidden="1"/>
    <cellStyle name="Lien hypertexte visité" xfId="7478" builtinId="9" hidden="1"/>
    <cellStyle name="Lien hypertexte visité" xfId="7510" builtinId="9" hidden="1"/>
    <cellStyle name="Lien hypertexte visité" xfId="7558" builtinId="9" hidden="1"/>
    <cellStyle name="Lien hypertexte visité" xfId="7606" builtinId="9" hidden="1"/>
    <cellStyle name="Lien hypertexte visité" xfId="7638" builtinId="9" hidden="1"/>
    <cellStyle name="Lien hypertexte visité" xfId="7686" builtinId="9" hidden="1"/>
    <cellStyle name="Lien hypertexte visité" xfId="7734" builtinId="9" hidden="1"/>
    <cellStyle name="Lien hypertexte visité" xfId="7766" builtinId="9" hidden="1"/>
    <cellStyle name="Lien hypertexte visité" xfId="7815" builtinId="9" hidden="1"/>
    <cellStyle name="Lien hypertexte visité" xfId="7863" builtinId="9" hidden="1"/>
    <cellStyle name="Lien hypertexte visité" xfId="7895" builtinId="9" hidden="1"/>
    <cellStyle name="Lien hypertexte visité" xfId="7943" builtinId="9" hidden="1"/>
    <cellStyle name="Lien hypertexte visité" xfId="7991" builtinId="9" hidden="1"/>
    <cellStyle name="Lien hypertexte visité" xfId="8023" builtinId="9" hidden="1"/>
    <cellStyle name="Lien hypertexte visité" xfId="8071" builtinId="9" hidden="1"/>
    <cellStyle name="Lien hypertexte visité" xfId="8119" builtinId="9" hidden="1"/>
    <cellStyle name="Lien hypertexte visité" xfId="8151" builtinId="9" hidden="1"/>
    <cellStyle name="Lien hypertexte visité" xfId="8199" builtinId="9" hidden="1"/>
    <cellStyle name="Lien hypertexte visité" xfId="8247" builtinId="9" hidden="1"/>
    <cellStyle name="Lien hypertexte visité" xfId="8279" builtinId="9" hidden="1"/>
    <cellStyle name="Lien hypertexte visité" xfId="8327" builtinId="9" hidden="1"/>
    <cellStyle name="Lien hypertexte visité" xfId="8375" builtinId="9" hidden="1"/>
    <cellStyle name="Lien hypertexte visité" xfId="8407" builtinId="9" hidden="1"/>
    <cellStyle name="Lien hypertexte visité" xfId="8455" builtinId="9" hidden="1"/>
    <cellStyle name="Lien hypertexte visité" xfId="8503" builtinId="9" hidden="1"/>
    <cellStyle name="Lien hypertexte visité" xfId="8535" builtinId="9" hidden="1"/>
    <cellStyle name="Lien hypertexte visité" xfId="8583" builtinId="9" hidden="1"/>
    <cellStyle name="Lien hypertexte visité" xfId="8631" builtinId="9" hidden="1"/>
    <cellStyle name="Lien hypertexte visité" xfId="8663" builtinId="9" hidden="1"/>
    <cellStyle name="Lien hypertexte visité" xfId="8711" builtinId="9" hidden="1"/>
    <cellStyle name="Lien hypertexte visité" xfId="8759" builtinId="9" hidden="1"/>
    <cellStyle name="Lien hypertexte visité" xfId="8791" builtinId="9" hidden="1"/>
    <cellStyle name="Lien hypertexte visité" xfId="8839" builtinId="9" hidden="1"/>
    <cellStyle name="Lien hypertexte visité" xfId="8887" builtinId="9" hidden="1"/>
    <cellStyle name="Lien hypertexte visité" xfId="8919" builtinId="9" hidden="1"/>
    <cellStyle name="Lien hypertexte visité" xfId="8967" builtinId="9" hidden="1"/>
    <cellStyle name="Lien hypertexte visité" xfId="9015" builtinId="9" hidden="1"/>
    <cellStyle name="Lien hypertexte visité" xfId="9047" builtinId="9" hidden="1"/>
    <cellStyle name="Lien hypertexte visité" xfId="9095" builtinId="9" hidden="1"/>
    <cellStyle name="Lien hypertexte visité" xfId="9143" builtinId="9" hidden="1"/>
    <cellStyle name="Lien hypertexte visité" xfId="9175" builtinId="9" hidden="1"/>
    <cellStyle name="Lien hypertexte visité" xfId="9223" builtinId="9" hidden="1"/>
    <cellStyle name="Lien hypertexte visité" xfId="9271" builtinId="9" hidden="1"/>
    <cellStyle name="Lien hypertexte visité" xfId="9303" builtinId="9" hidden="1"/>
    <cellStyle name="Lien hypertexte visité" xfId="9351" builtinId="9" hidden="1"/>
    <cellStyle name="Lien hypertexte visité" xfId="9399" builtinId="9" hidden="1"/>
    <cellStyle name="Lien hypertexte visité" xfId="9431" builtinId="9" hidden="1"/>
    <cellStyle name="Lien hypertexte visité" xfId="9479" builtinId="9" hidden="1"/>
    <cellStyle name="Lien hypertexte visité" xfId="9527" builtinId="9" hidden="1"/>
    <cellStyle name="Lien hypertexte visité" xfId="9559" builtinId="9" hidden="1"/>
    <cellStyle name="Lien hypertexte visité" xfId="9607" builtinId="9" hidden="1"/>
    <cellStyle name="Lien hypertexte visité" xfId="9655" builtinId="9" hidden="1"/>
    <cellStyle name="Lien hypertexte visité" xfId="9687" builtinId="9" hidden="1"/>
    <cellStyle name="Lien hypertexte visité" xfId="9735" builtinId="9" hidden="1"/>
    <cellStyle name="Lien hypertexte visité" xfId="9783" builtinId="9" hidden="1"/>
    <cellStyle name="Lien hypertexte visité" xfId="9815" builtinId="9" hidden="1"/>
    <cellStyle name="Lien hypertexte visité" xfId="9863" builtinId="9" hidden="1"/>
    <cellStyle name="Lien hypertexte visité" xfId="9911" builtinId="9" hidden="1"/>
    <cellStyle name="Lien hypertexte visité" xfId="9943" builtinId="9" hidden="1"/>
    <cellStyle name="Lien hypertexte visité" xfId="9991" builtinId="9" hidden="1"/>
    <cellStyle name="Lien hypertexte visité" xfId="10039" builtinId="9" hidden="1"/>
    <cellStyle name="Lien hypertexte visité" xfId="10071" builtinId="9" hidden="1"/>
    <cellStyle name="Lien hypertexte visité" xfId="10119" builtinId="9" hidden="1"/>
    <cellStyle name="Lien hypertexte visité" xfId="10167" builtinId="9" hidden="1"/>
    <cellStyle name="Lien hypertexte visité" xfId="10199" builtinId="9" hidden="1"/>
    <cellStyle name="Lien hypertexte visité" xfId="10247" builtinId="9" hidden="1"/>
    <cellStyle name="Lien hypertexte visité" xfId="10295" builtinId="9" hidden="1"/>
    <cellStyle name="Lien hypertexte visité" xfId="10327" builtinId="9" hidden="1"/>
    <cellStyle name="Lien hypertexte visité" xfId="10375" builtinId="9" hidden="1"/>
    <cellStyle name="Lien hypertexte visité" xfId="10423" builtinId="9" hidden="1"/>
    <cellStyle name="Lien hypertexte visité" xfId="10455" builtinId="9" hidden="1"/>
    <cellStyle name="Lien hypertexte visité" xfId="10503" builtinId="9" hidden="1"/>
    <cellStyle name="Lien hypertexte visité" xfId="10551" builtinId="9" hidden="1"/>
    <cellStyle name="Lien hypertexte visité" xfId="10583" builtinId="9" hidden="1"/>
    <cellStyle name="Lien hypertexte visité" xfId="10631" builtinId="9" hidden="1"/>
    <cellStyle name="Lien hypertexte visité" xfId="10679" builtinId="9" hidden="1"/>
    <cellStyle name="Lien hypertexte visité" xfId="10711" builtinId="9" hidden="1"/>
    <cellStyle name="Lien hypertexte visité" xfId="10759" builtinId="9" hidden="1"/>
    <cellStyle name="Lien hypertexte visité" xfId="10807" builtinId="9" hidden="1"/>
    <cellStyle name="Lien hypertexte visité" xfId="10839" builtinId="9" hidden="1"/>
    <cellStyle name="Lien hypertexte visité" xfId="10887" builtinId="9" hidden="1"/>
    <cellStyle name="Lien hypertexte visité" xfId="10935" builtinId="9" hidden="1"/>
    <cellStyle name="Lien hypertexte visité" xfId="10967" builtinId="9" hidden="1"/>
    <cellStyle name="Lien hypertexte visité" xfId="11015" builtinId="9" hidden="1"/>
    <cellStyle name="Lien hypertexte visité" xfId="11063" builtinId="9" hidden="1"/>
    <cellStyle name="Lien hypertexte visité" xfId="11095" builtinId="9" hidden="1"/>
    <cellStyle name="Lien hypertexte visité" xfId="11143" builtinId="9" hidden="1"/>
    <cellStyle name="Lien hypertexte visité" xfId="11191" builtinId="9" hidden="1"/>
    <cellStyle name="Lien hypertexte visité" xfId="11223" builtinId="9" hidden="1"/>
    <cellStyle name="Lien hypertexte visité" xfId="11271" builtinId="9" hidden="1"/>
    <cellStyle name="Lien hypertexte visité" xfId="11319" builtinId="9" hidden="1"/>
    <cellStyle name="Lien hypertexte visité" xfId="11351" builtinId="9" hidden="1"/>
    <cellStyle name="Lien hypertexte visité" xfId="11399" builtinId="9" hidden="1"/>
    <cellStyle name="Lien hypertexte visité" xfId="11447" builtinId="9" hidden="1"/>
    <cellStyle name="Lien hypertexte visité" xfId="11479" builtinId="9" hidden="1"/>
    <cellStyle name="Lien hypertexte visité" xfId="11527" builtinId="9" hidden="1"/>
    <cellStyle name="Lien hypertexte visité" xfId="11575" builtinId="9" hidden="1"/>
    <cellStyle name="Lien hypertexte visité" xfId="11607" builtinId="9" hidden="1"/>
    <cellStyle name="Lien hypertexte visité" xfId="11655" builtinId="9" hidden="1"/>
    <cellStyle name="Lien hypertexte visité" xfId="11703" builtinId="9" hidden="1"/>
    <cellStyle name="Lien hypertexte visité" xfId="11735" builtinId="9" hidden="1"/>
    <cellStyle name="Lien hypertexte visité" xfId="11783" builtinId="9" hidden="1"/>
    <cellStyle name="Lien hypertexte visité" xfId="11831" builtinId="9" hidden="1"/>
    <cellStyle name="Lien hypertexte visité" xfId="11863" builtinId="9" hidden="1"/>
    <cellStyle name="Lien hypertexte visité" xfId="11911" builtinId="9" hidden="1"/>
    <cellStyle name="Lien hypertexte visité" xfId="11959" builtinId="9" hidden="1"/>
    <cellStyle name="Lien hypertexte visité" xfId="11991" builtinId="9" hidden="1"/>
    <cellStyle name="Lien hypertexte visité" xfId="12039" builtinId="9" hidden="1"/>
    <cellStyle name="Lien hypertexte visité" xfId="12087" builtinId="9" hidden="1"/>
    <cellStyle name="Lien hypertexte visité" xfId="12119" builtinId="9" hidden="1"/>
    <cellStyle name="Lien hypertexte visité" xfId="12167" builtinId="9" hidden="1"/>
    <cellStyle name="Lien hypertexte visité" xfId="12215" builtinId="9" hidden="1"/>
    <cellStyle name="Lien hypertexte visité" xfId="12247" builtinId="9" hidden="1"/>
    <cellStyle name="Lien hypertexte visité" xfId="12295" builtinId="9" hidden="1"/>
    <cellStyle name="Lien hypertexte visité" xfId="12343" builtinId="9" hidden="1"/>
    <cellStyle name="Lien hypertexte visité" xfId="12375" builtinId="9" hidden="1"/>
    <cellStyle name="Lien hypertexte visité" xfId="12423" builtinId="9" hidden="1"/>
    <cellStyle name="Lien hypertexte visité" xfId="12471" builtinId="9" hidden="1"/>
    <cellStyle name="Lien hypertexte visité" xfId="12503" builtinId="9" hidden="1"/>
    <cellStyle name="Lien hypertexte visité" xfId="12551" builtinId="9" hidden="1"/>
    <cellStyle name="Lien hypertexte visité" xfId="12599" builtinId="9" hidden="1"/>
    <cellStyle name="Lien hypertexte visité" xfId="12631" builtinId="9" hidden="1"/>
    <cellStyle name="Lien hypertexte visité" xfId="12679" builtinId="9" hidden="1"/>
    <cellStyle name="Lien hypertexte visité" xfId="12727" builtinId="9" hidden="1"/>
    <cellStyle name="Lien hypertexte visité" xfId="12759" builtinId="9" hidden="1"/>
    <cellStyle name="Lien hypertexte visité" xfId="12807" builtinId="9" hidden="1"/>
    <cellStyle name="Lien hypertexte visité" xfId="12855" builtinId="9" hidden="1"/>
    <cellStyle name="Lien hypertexte visité" xfId="12887" builtinId="9" hidden="1"/>
    <cellStyle name="Lien hypertexte visité" xfId="12935" builtinId="9" hidden="1"/>
    <cellStyle name="Lien hypertexte visité" xfId="12983" builtinId="9" hidden="1"/>
    <cellStyle name="Lien hypertexte visité" xfId="13015" builtinId="9" hidden="1"/>
    <cellStyle name="Lien hypertexte visité" xfId="13063" builtinId="9" hidden="1"/>
    <cellStyle name="Lien hypertexte visité" xfId="13111" builtinId="9" hidden="1"/>
    <cellStyle name="Lien hypertexte visité" xfId="13143" builtinId="9" hidden="1"/>
    <cellStyle name="Lien hypertexte visité" xfId="13191" builtinId="9" hidden="1"/>
    <cellStyle name="Lien hypertexte visité" xfId="13239" builtinId="9" hidden="1"/>
    <cellStyle name="Lien hypertexte visité" xfId="13271" builtinId="9" hidden="1"/>
    <cellStyle name="Lien hypertexte visité" xfId="13319" builtinId="9" hidden="1"/>
    <cellStyle name="Lien hypertexte visité" xfId="13367" builtinId="9" hidden="1"/>
    <cellStyle name="Lien hypertexte visité" xfId="13399" builtinId="9" hidden="1"/>
    <cellStyle name="Lien hypertexte visité" xfId="13447" builtinId="9" hidden="1"/>
    <cellStyle name="Lien hypertexte visité" xfId="13495" builtinId="9" hidden="1"/>
    <cellStyle name="Lien hypertexte visité" xfId="13527" builtinId="9" hidden="1"/>
    <cellStyle name="Lien hypertexte visité" xfId="13575" builtinId="9" hidden="1"/>
    <cellStyle name="Lien hypertexte visité" xfId="13623" builtinId="9" hidden="1"/>
    <cellStyle name="Lien hypertexte visité" xfId="13655" builtinId="9" hidden="1"/>
    <cellStyle name="Lien hypertexte visité" xfId="13703" builtinId="9" hidden="1"/>
    <cellStyle name="Lien hypertexte visité" xfId="13751" builtinId="9" hidden="1"/>
    <cellStyle name="Lien hypertexte visité" xfId="13783" builtinId="9" hidden="1"/>
    <cellStyle name="Lien hypertexte visité" xfId="13831" builtinId="9" hidden="1"/>
    <cellStyle name="Lien hypertexte visité" xfId="13879" builtinId="9" hidden="1"/>
    <cellStyle name="Lien hypertexte visité" xfId="13911" builtinId="9" hidden="1"/>
    <cellStyle name="Lien hypertexte visité" xfId="13959" builtinId="9" hidden="1"/>
    <cellStyle name="Lien hypertexte visité" xfId="14007" builtinId="9" hidden="1"/>
    <cellStyle name="Lien hypertexte visité" xfId="14039" builtinId="9" hidden="1"/>
    <cellStyle name="Lien hypertexte visité" xfId="14087" builtinId="9" hidden="1"/>
    <cellStyle name="Lien hypertexte visité" xfId="14135" builtinId="9" hidden="1"/>
    <cellStyle name="Lien hypertexte visité" xfId="14167" builtinId="9" hidden="1"/>
    <cellStyle name="Lien hypertexte visité" xfId="14215" builtinId="9" hidden="1"/>
    <cellStyle name="Lien hypertexte visité" xfId="14263" builtinId="9" hidden="1"/>
    <cellStyle name="Lien hypertexte visité" xfId="14295" builtinId="9" hidden="1"/>
    <cellStyle name="Lien hypertexte visité" xfId="14343" builtinId="9" hidden="1"/>
    <cellStyle name="Lien hypertexte visité" xfId="14391" builtinId="9" hidden="1"/>
    <cellStyle name="Lien hypertexte visité" xfId="14423" builtinId="9" hidden="1"/>
    <cellStyle name="Lien hypertexte visité" xfId="14471" builtinId="9" hidden="1"/>
    <cellStyle name="Lien hypertexte visité" xfId="14523" builtinId="9" hidden="1"/>
    <cellStyle name="Lien hypertexte visité" xfId="14587" builtinId="9" hidden="1"/>
    <cellStyle name="Lien hypertexte visité" xfId="14683" builtinId="9" hidden="1"/>
    <cellStyle name="Lien hypertexte visité" xfId="14779" builtinId="9" hidden="1"/>
    <cellStyle name="Lien hypertexte visité" xfId="14843" builtinId="9" hidden="1"/>
    <cellStyle name="Lien hypertexte visité" xfId="14939" builtinId="9" hidden="1"/>
    <cellStyle name="Lien hypertexte visité" xfId="15035" builtinId="9" hidden="1"/>
    <cellStyle name="Lien hypertexte visité" xfId="15099" builtinId="9" hidden="1"/>
    <cellStyle name="Lien hypertexte visité" xfId="15195" builtinId="9" hidden="1"/>
    <cellStyle name="Lien hypertexte visité" xfId="15291" builtinId="9" hidden="1"/>
    <cellStyle name="Lien hypertexte visité" xfId="15355" builtinId="9" hidden="1"/>
    <cellStyle name="Lien hypertexte visité" xfId="15451" builtinId="9" hidden="1"/>
    <cellStyle name="Lien hypertexte visité" xfId="15547" builtinId="9" hidden="1"/>
    <cellStyle name="Lien hypertexte visité" xfId="15611" builtinId="9" hidden="1"/>
    <cellStyle name="Lien hypertexte visité" xfId="15707" builtinId="9" hidden="1"/>
    <cellStyle name="Lien hypertexte visité" xfId="15803" builtinId="9" hidden="1"/>
    <cellStyle name="Lien hypertexte visité" xfId="15867" builtinId="9" hidden="1"/>
    <cellStyle name="Lien hypertexte visité" xfId="15963" builtinId="9" hidden="1"/>
    <cellStyle name="Lien hypertexte visité" xfId="16059" builtinId="9" hidden="1"/>
    <cellStyle name="Lien hypertexte visité" xfId="16123" builtinId="9" hidden="1"/>
    <cellStyle name="Lien hypertexte visité" xfId="16219" builtinId="9" hidden="1"/>
    <cellStyle name="Lien hypertexte visité" xfId="16315" builtinId="9" hidden="1"/>
    <cellStyle name="Lien hypertexte visité" xfId="16379" builtinId="9" hidden="1"/>
    <cellStyle name="Lien hypertexte visité" xfId="16475" builtinId="9" hidden="1"/>
    <cellStyle name="Lien hypertexte visité" xfId="16571" builtinId="9" hidden="1"/>
    <cellStyle name="Lien hypertexte visité" xfId="16635" builtinId="9" hidden="1"/>
    <cellStyle name="Lien hypertexte visité" xfId="16731" builtinId="9" hidden="1"/>
    <cellStyle name="Lien hypertexte visité" xfId="16827" builtinId="9" hidden="1"/>
    <cellStyle name="Lien hypertexte visité" xfId="16891" builtinId="9" hidden="1"/>
    <cellStyle name="Lien hypertexte visité" xfId="16987" builtinId="9" hidden="1"/>
    <cellStyle name="Lien hypertexte visité" xfId="17083" builtinId="9" hidden="1"/>
    <cellStyle name="Lien hypertexte visité" xfId="17147" builtinId="9" hidden="1"/>
    <cellStyle name="Lien hypertexte visité" xfId="17243" builtinId="9" hidden="1"/>
    <cellStyle name="Lien hypertexte visité" xfId="8226" builtinId="9" hidden="1"/>
    <cellStyle name="Lien hypertexte visité" xfId="8246" builtinId="9" hidden="1"/>
    <cellStyle name="Lien hypertexte visité" xfId="8278" builtinId="9" hidden="1"/>
    <cellStyle name="Lien hypertexte visité" xfId="8310" builtinId="9" hidden="1"/>
    <cellStyle name="Lien hypertexte visité" xfId="8334" builtinId="9" hidden="1"/>
    <cellStyle name="Lien hypertexte visité" xfId="8366" builtinId="9" hidden="1"/>
    <cellStyle name="Lien hypertexte visité" xfId="8398" builtinId="9" hidden="1"/>
    <cellStyle name="Lien hypertexte visité" xfId="8418" builtinId="9" hidden="1"/>
    <cellStyle name="Lien hypertexte visité" xfId="8450" builtinId="9" hidden="1"/>
    <cellStyle name="Lien hypertexte visité" xfId="8482" builtinId="9" hidden="1"/>
    <cellStyle name="Lien hypertexte visité" xfId="8502" builtinId="9" hidden="1"/>
    <cellStyle name="Lien hypertexte visité" xfId="8534" builtinId="9" hidden="1"/>
    <cellStyle name="Lien hypertexte visité" xfId="8566" builtinId="9" hidden="1"/>
    <cellStyle name="Lien hypertexte visité" xfId="8590" builtinId="9" hidden="1"/>
    <cellStyle name="Lien hypertexte visité" xfId="8622" builtinId="9" hidden="1"/>
    <cellStyle name="Lien hypertexte visité" xfId="8654" builtinId="9" hidden="1"/>
    <cellStyle name="Lien hypertexte visité" xfId="8674" builtinId="9" hidden="1"/>
    <cellStyle name="Lien hypertexte visité" xfId="8706" builtinId="9" hidden="1"/>
    <cellStyle name="Lien hypertexte visité" xfId="8738" builtinId="9" hidden="1"/>
    <cellStyle name="Lien hypertexte visité" xfId="8758" builtinId="9" hidden="1"/>
    <cellStyle name="Lien hypertexte visité" xfId="8790" builtinId="9" hidden="1"/>
    <cellStyle name="Lien hypertexte visité" xfId="8822" builtinId="9" hidden="1"/>
    <cellStyle name="Lien hypertexte visité" xfId="8846" builtinId="9" hidden="1"/>
    <cellStyle name="Lien hypertexte visité" xfId="8878" builtinId="9" hidden="1"/>
    <cellStyle name="Lien hypertexte visité" xfId="8910" builtinId="9" hidden="1"/>
    <cellStyle name="Lien hypertexte visité" xfId="8930" builtinId="9" hidden="1"/>
    <cellStyle name="Lien hypertexte visité" xfId="8962" builtinId="9" hidden="1"/>
    <cellStyle name="Lien hypertexte visité" xfId="8994" builtinId="9" hidden="1"/>
    <cellStyle name="Lien hypertexte visité" xfId="9014" builtinId="9" hidden="1"/>
    <cellStyle name="Lien hypertexte visité" xfId="9046" builtinId="9" hidden="1"/>
    <cellStyle name="Lien hypertexte visité" xfId="9078" builtinId="9" hidden="1"/>
    <cellStyle name="Lien hypertexte visité" xfId="9102" builtinId="9" hidden="1"/>
    <cellStyle name="Lien hypertexte visité" xfId="9134" builtinId="9" hidden="1"/>
    <cellStyle name="Lien hypertexte visité" xfId="9166" builtinId="9" hidden="1"/>
    <cellStyle name="Lien hypertexte visité" xfId="9186" builtinId="9" hidden="1"/>
    <cellStyle name="Lien hypertexte visité" xfId="9218" builtinId="9" hidden="1"/>
    <cellStyle name="Lien hypertexte visité" xfId="9250" builtinId="9" hidden="1"/>
    <cellStyle name="Lien hypertexte visité" xfId="9270" builtinId="9" hidden="1"/>
    <cellStyle name="Lien hypertexte visité" xfId="9302" builtinId="9" hidden="1"/>
    <cellStyle name="Lien hypertexte visité" xfId="9334" builtinId="9" hidden="1"/>
    <cellStyle name="Lien hypertexte visité" xfId="9358" builtinId="9" hidden="1"/>
    <cellStyle name="Lien hypertexte visité" xfId="9390" builtinId="9" hidden="1"/>
    <cellStyle name="Lien hypertexte visité" xfId="9422" builtinId="9" hidden="1"/>
    <cellStyle name="Lien hypertexte visité" xfId="9442" builtinId="9" hidden="1"/>
    <cellStyle name="Lien hypertexte visité" xfId="9474" builtinId="9" hidden="1"/>
    <cellStyle name="Lien hypertexte visité" xfId="9506" builtinId="9" hidden="1"/>
    <cellStyle name="Lien hypertexte visité" xfId="9526" builtinId="9" hidden="1"/>
    <cellStyle name="Lien hypertexte visité" xfId="9558" builtinId="9" hidden="1"/>
    <cellStyle name="Lien hypertexte visité" xfId="9590" builtinId="9" hidden="1"/>
    <cellStyle name="Lien hypertexte visité" xfId="9614" builtinId="9" hidden="1"/>
    <cellStyle name="Lien hypertexte visité" xfId="9646" builtinId="9" hidden="1"/>
    <cellStyle name="Lien hypertexte visité" xfId="9678" builtinId="9" hidden="1"/>
    <cellStyle name="Lien hypertexte visité" xfId="9698" builtinId="9" hidden="1"/>
    <cellStyle name="Lien hypertexte visité" xfId="9730" builtinId="9" hidden="1"/>
    <cellStyle name="Lien hypertexte visité" xfId="9762" builtinId="9" hidden="1"/>
    <cellStyle name="Lien hypertexte visité" xfId="9782" builtinId="9" hidden="1"/>
    <cellStyle name="Lien hypertexte visité" xfId="9814" builtinId="9" hidden="1"/>
    <cellStyle name="Lien hypertexte visité" xfId="9846" builtinId="9" hidden="1"/>
    <cellStyle name="Lien hypertexte visité" xfId="9870" builtinId="9" hidden="1"/>
    <cellStyle name="Lien hypertexte visité" xfId="9902" builtinId="9" hidden="1"/>
    <cellStyle name="Lien hypertexte visité" xfId="9934" builtinId="9" hidden="1"/>
    <cellStyle name="Lien hypertexte visité" xfId="9954" builtinId="9" hidden="1"/>
    <cellStyle name="Lien hypertexte visité" xfId="9986" builtinId="9" hidden="1"/>
    <cellStyle name="Lien hypertexte visité" xfId="10018" builtinId="9" hidden="1"/>
    <cellStyle name="Lien hypertexte visité" xfId="10038" builtinId="9" hidden="1"/>
    <cellStyle name="Lien hypertexte visité" xfId="10070" builtinId="9" hidden="1"/>
    <cellStyle name="Lien hypertexte visité" xfId="10102" builtinId="9" hidden="1"/>
    <cellStyle name="Lien hypertexte visité" xfId="10126" builtinId="9" hidden="1"/>
    <cellStyle name="Lien hypertexte visité" xfId="10158" builtinId="9" hidden="1"/>
    <cellStyle name="Lien hypertexte visité" xfId="10190" builtinId="9" hidden="1"/>
    <cellStyle name="Lien hypertexte visité" xfId="10210" builtinId="9" hidden="1"/>
    <cellStyle name="Lien hypertexte visité" xfId="10242" builtinId="9" hidden="1"/>
    <cellStyle name="Lien hypertexte visité" xfId="10274" builtinId="9" hidden="1"/>
    <cellStyle name="Lien hypertexte visité" xfId="10294" builtinId="9" hidden="1"/>
    <cellStyle name="Lien hypertexte visité" xfId="10326" builtinId="9" hidden="1"/>
    <cellStyle name="Lien hypertexte visité" xfId="10358" builtinId="9" hidden="1"/>
    <cellStyle name="Lien hypertexte visité" xfId="10382" builtinId="9" hidden="1"/>
    <cellStyle name="Lien hypertexte visité" xfId="10414" builtinId="9" hidden="1"/>
    <cellStyle name="Lien hypertexte visité" xfId="10446" builtinId="9" hidden="1"/>
    <cellStyle name="Lien hypertexte visité" xfId="10466" builtinId="9" hidden="1"/>
    <cellStyle name="Lien hypertexte visité" xfId="10498" builtinId="9" hidden="1"/>
    <cellStyle name="Lien hypertexte visité" xfId="10530" builtinId="9" hidden="1"/>
    <cellStyle name="Lien hypertexte visité" xfId="10550" builtinId="9" hidden="1"/>
    <cellStyle name="Lien hypertexte visité" xfId="10582" builtinId="9" hidden="1"/>
    <cellStyle name="Lien hypertexte visité" xfId="10614" builtinId="9" hidden="1"/>
    <cellStyle name="Lien hypertexte visité" xfId="10638" builtinId="9" hidden="1"/>
    <cellStyle name="Lien hypertexte visité" xfId="10670" builtinId="9" hidden="1"/>
    <cellStyle name="Lien hypertexte visité" xfId="10702" builtinId="9" hidden="1"/>
    <cellStyle name="Lien hypertexte visité" xfId="10722" builtinId="9" hidden="1"/>
    <cellStyle name="Lien hypertexte visité" xfId="10754" builtinId="9" hidden="1"/>
    <cellStyle name="Lien hypertexte visité" xfId="10786" builtinId="9" hidden="1"/>
    <cellStyle name="Lien hypertexte visité" xfId="10806" builtinId="9" hidden="1"/>
    <cellStyle name="Lien hypertexte visité" xfId="10838" builtinId="9" hidden="1"/>
    <cellStyle name="Lien hypertexte visité" xfId="10870" builtinId="9" hidden="1"/>
    <cellStyle name="Lien hypertexte visité" xfId="10894" builtinId="9" hidden="1"/>
    <cellStyle name="Lien hypertexte visité" xfId="10926" builtinId="9" hidden="1"/>
    <cellStyle name="Lien hypertexte visité" xfId="10958" builtinId="9" hidden="1"/>
    <cellStyle name="Lien hypertexte visité" xfId="10978" builtinId="9" hidden="1"/>
    <cellStyle name="Lien hypertexte visité" xfId="11010" builtinId="9" hidden="1"/>
    <cellStyle name="Lien hypertexte visité" xfId="11042" builtinId="9" hidden="1"/>
    <cellStyle name="Lien hypertexte visité" xfId="11062" builtinId="9" hidden="1"/>
    <cellStyle name="Lien hypertexte visité" xfId="11094" builtinId="9" hidden="1"/>
    <cellStyle name="Lien hypertexte visité" xfId="11126" builtinId="9" hidden="1"/>
    <cellStyle name="Lien hypertexte visité" xfId="11150" builtinId="9" hidden="1"/>
    <cellStyle name="Lien hypertexte visité" xfId="11182" builtinId="9" hidden="1"/>
    <cellStyle name="Lien hypertexte visité" xfId="11214" builtinId="9" hidden="1"/>
    <cellStyle name="Lien hypertexte visité" xfId="11234" builtinId="9" hidden="1"/>
    <cellStyle name="Lien hypertexte visité" xfId="11266" builtinId="9" hidden="1"/>
    <cellStyle name="Lien hypertexte visité" xfId="11298" builtinId="9" hidden="1"/>
    <cellStyle name="Lien hypertexte visité" xfId="11318" builtinId="9" hidden="1"/>
    <cellStyle name="Lien hypertexte visité" xfId="11350" builtinId="9" hidden="1"/>
    <cellStyle name="Lien hypertexte visité" xfId="11382" builtinId="9" hidden="1"/>
    <cellStyle name="Lien hypertexte visité" xfId="11406" builtinId="9" hidden="1"/>
    <cellStyle name="Lien hypertexte visité" xfId="11438" builtinId="9" hidden="1"/>
    <cellStyle name="Lien hypertexte visité" xfId="11470" builtinId="9" hidden="1"/>
    <cellStyle name="Lien hypertexte visité" xfId="11490" builtinId="9" hidden="1"/>
    <cellStyle name="Lien hypertexte visité" xfId="11522" builtinId="9" hidden="1"/>
    <cellStyle name="Lien hypertexte visité" xfId="11554" builtinId="9" hidden="1"/>
    <cellStyle name="Lien hypertexte visité" xfId="11574" builtinId="9" hidden="1"/>
    <cellStyle name="Lien hypertexte visité" xfId="11606" builtinId="9" hidden="1"/>
    <cellStyle name="Lien hypertexte visité" xfId="11638" builtinId="9" hidden="1"/>
    <cellStyle name="Lien hypertexte visité" xfId="11662" builtinId="9" hidden="1"/>
    <cellStyle name="Lien hypertexte visité" xfId="11694" builtinId="9" hidden="1"/>
    <cellStyle name="Lien hypertexte visité" xfId="11726" builtinId="9" hidden="1"/>
    <cellStyle name="Lien hypertexte visité" xfId="11746" builtinId="9" hidden="1"/>
    <cellStyle name="Lien hypertexte visité" xfId="11778" builtinId="9" hidden="1"/>
    <cellStyle name="Lien hypertexte visité" xfId="11810" builtinId="9" hidden="1"/>
    <cellStyle name="Lien hypertexte visité" xfId="11830" builtinId="9" hidden="1"/>
    <cellStyle name="Lien hypertexte visité" xfId="11862" builtinId="9" hidden="1"/>
    <cellStyle name="Lien hypertexte visité" xfId="11894" builtinId="9" hidden="1"/>
    <cellStyle name="Lien hypertexte visité" xfId="11918" builtinId="9" hidden="1"/>
    <cellStyle name="Lien hypertexte visité" xfId="11950" builtinId="9" hidden="1"/>
    <cellStyle name="Lien hypertexte visité" xfId="11982" builtinId="9" hidden="1"/>
    <cellStyle name="Lien hypertexte visité" xfId="12002" builtinId="9" hidden="1"/>
    <cellStyle name="Lien hypertexte visité" xfId="12034" builtinId="9" hidden="1"/>
    <cellStyle name="Lien hypertexte visité" xfId="12066" builtinId="9" hidden="1"/>
    <cellStyle name="Lien hypertexte visité" xfId="12086" builtinId="9" hidden="1"/>
    <cellStyle name="Lien hypertexte visité" xfId="12118" builtinId="9" hidden="1"/>
    <cellStyle name="Lien hypertexte visité" xfId="12150" builtinId="9" hidden="1"/>
    <cellStyle name="Lien hypertexte visité" xfId="12174" builtinId="9" hidden="1"/>
    <cellStyle name="Lien hypertexte visité" xfId="12206" builtinId="9" hidden="1"/>
    <cellStyle name="Lien hypertexte visité" xfId="12238" builtinId="9" hidden="1"/>
    <cellStyle name="Lien hypertexte visité" xfId="12258" builtinId="9" hidden="1"/>
    <cellStyle name="Lien hypertexte visité" xfId="12290" builtinId="9" hidden="1"/>
    <cellStyle name="Lien hypertexte visité" xfId="12322" builtinId="9" hidden="1"/>
    <cellStyle name="Lien hypertexte visité" xfId="12342" builtinId="9" hidden="1"/>
    <cellStyle name="Lien hypertexte visité" xfId="12374" builtinId="9" hidden="1"/>
    <cellStyle name="Lien hypertexte visité" xfId="12406" builtinId="9" hidden="1"/>
    <cellStyle name="Lien hypertexte visité" xfId="12430" builtinId="9" hidden="1"/>
    <cellStyle name="Lien hypertexte visité" xfId="12462" builtinId="9" hidden="1"/>
    <cellStyle name="Lien hypertexte visité" xfId="12494" builtinId="9" hidden="1"/>
    <cellStyle name="Lien hypertexte visité" xfId="12514" builtinId="9" hidden="1"/>
    <cellStyle name="Lien hypertexte visité" xfId="12546" builtinId="9" hidden="1"/>
    <cellStyle name="Lien hypertexte visité" xfId="12578" builtinId="9" hidden="1"/>
    <cellStyle name="Lien hypertexte visité" xfId="12598" builtinId="9" hidden="1"/>
    <cellStyle name="Lien hypertexte visité" xfId="12630" builtinId="9" hidden="1"/>
    <cellStyle name="Lien hypertexte visité" xfId="12662" builtinId="9" hidden="1"/>
    <cellStyle name="Lien hypertexte visité" xfId="12686" builtinId="9" hidden="1"/>
    <cellStyle name="Lien hypertexte visité" xfId="12718" builtinId="9" hidden="1"/>
    <cellStyle name="Lien hypertexte visité" xfId="12750" builtinId="9" hidden="1"/>
    <cellStyle name="Lien hypertexte visité" xfId="12770" builtinId="9" hidden="1"/>
    <cellStyle name="Lien hypertexte visité" xfId="12802" builtinId="9" hidden="1"/>
    <cellStyle name="Lien hypertexte visité" xfId="12834" builtinId="9" hidden="1"/>
    <cellStyle name="Lien hypertexte visité" xfId="12854" builtinId="9" hidden="1"/>
    <cellStyle name="Lien hypertexte visité" xfId="12886" builtinId="9" hidden="1"/>
    <cellStyle name="Lien hypertexte visité" xfId="12918" builtinId="9" hidden="1"/>
    <cellStyle name="Lien hypertexte visité" xfId="12942" builtinId="9" hidden="1"/>
    <cellStyle name="Lien hypertexte visité" xfId="12974" builtinId="9" hidden="1"/>
    <cellStyle name="Lien hypertexte visité" xfId="13006" builtinId="9" hidden="1"/>
    <cellStyle name="Lien hypertexte visité" xfId="13026" builtinId="9" hidden="1"/>
    <cellStyle name="Lien hypertexte visité" xfId="13058" builtinId="9" hidden="1"/>
    <cellStyle name="Lien hypertexte visité" xfId="13090" builtinId="9" hidden="1"/>
    <cellStyle name="Lien hypertexte visité" xfId="13110" builtinId="9" hidden="1"/>
    <cellStyle name="Lien hypertexte visité" xfId="13142" builtinId="9" hidden="1"/>
    <cellStyle name="Lien hypertexte visité" xfId="13174" builtinId="9" hidden="1"/>
    <cellStyle name="Lien hypertexte visité" xfId="13198" builtinId="9" hidden="1"/>
    <cellStyle name="Lien hypertexte visité" xfId="13230" builtinId="9" hidden="1"/>
    <cellStyle name="Lien hypertexte visité" xfId="13262" builtinId="9" hidden="1"/>
    <cellStyle name="Lien hypertexte visité" xfId="13282" builtinId="9" hidden="1"/>
    <cellStyle name="Lien hypertexte visité" xfId="13314" builtinId="9" hidden="1"/>
    <cellStyle name="Lien hypertexte visité" xfId="13346" builtinId="9" hidden="1"/>
    <cellStyle name="Lien hypertexte visité" xfId="13366" builtinId="9" hidden="1"/>
    <cellStyle name="Lien hypertexte visité" xfId="13398" builtinId="9" hidden="1"/>
    <cellStyle name="Lien hypertexte visité" xfId="13430" builtinId="9" hidden="1"/>
    <cellStyle name="Lien hypertexte visité" xfId="13454" builtinId="9" hidden="1"/>
    <cellStyle name="Lien hypertexte visité" xfId="13486" builtinId="9" hidden="1"/>
    <cellStyle name="Lien hypertexte visité" xfId="13518" builtinId="9" hidden="1"/>
    <cellStyle name="Lien hypertexte visité" xfId="13538" builtinId="9" hidden="1"/>
    <cellStyle name="Lien hypertexte visité" xfId="13570" builtinId="9" hidden="1"/>
    <cellStyle name="Lien hypertexte visité" xfId="13602" builtinId="9" hidden="1"/>
    <cellStyle name="Lien hypertexte visité" xfId="13622" builtinId="9" hidden="1"/>
    <cellStyle name="Lien hypertexte visité" xfId="13654" builtinId="9" hidden="1"/>
    <cellStyle name="Lien hypertexte visité" xfId="13686" builtinId="9" hidden="1"/>
    <cellStyle name="Lien hypertexte visité" xfId="13710" builtinId="9" hidden="1"/>
    <cellStyle name="Lien hypertexte visité" xfId="13742" builtinId="9" hidden="1"/>
    <cellStyle name="Lien hypertexte visité" xfId="13774" builtinId="9" hidden="1"/>
    <cellStyle name="Lien hypertexte visité" xfId="13794" builtinId="9" hidden="1"/>
    <cellStyle name="Lien hypertexte visité" xfId="13826" builtinId="9" hidden="1"/>
    <cellStyle name="Lien hypertexte visité" xfId="13858" builtinId="9" hidden="1"/>
    <cellStyle name="Lien hypertexte visité" xfId="13878" builtinId="9" hidden="1"/>
    <cellStyle name="Lien hypertexte visité" xfId="13910" builtinId="9" hidden="1"/>
    <cellStyle name="Lien hypertexte visité" xfId="13942" builtinId="9" hidden="1"/>
    <cellStyle name="Lien hypertexte visité" xfId="13966" builtinId="9" hidden="1"/>
    <cellStyle name="Lien hypertexte visité" xfId="13998" builtinId="9" hidden="1"/>
    <cellStyle name="Lien hypertexte visité" xfId="14030" builtinId="9" hidden="1"/>
    <cellStyle name="Lien hypertexte visité" xfId="14050" builtinId="9" hidden="1"/>
    <cellStyle name="Lien hypertexte visité" xfId="14082" builtinId="9" hidden="1"/>
    <cellStyle name="Lien hypertexte visité" xfId="14114" builtinId="9" hidden="1"/>
    <cellStyle name="Lien hypertexte visité" xfId="14134" builtinId="9" hidden="1"/>
    <cellStyle name="Lien hypertexte visité" xfId="14166" builtinId="9" hidden="1"/>
    <cellStyle name="Lien hypertexte visité" xfId="14198" builtinId="9" hidden="1"/>
    <cellStyle name="Lien hypertexte visité" xfId="14222" builtinId="9" hidden="1"/>
    <cellStyle name="Lien hypertexte visité" xfId="14254" builtinId="9" hidden="1"/>
    <cellStyle name="Lien hypertexte visité" xfId="14286" builtinId="9" hidden="1"/>
    <cellStyle name="Lien hypertexte visité" xfId="14306" builtinId="9" hidden="1"/>
    <cellStyle name="Lien hypertexte visité" xfId="14338" builtinId="9" hidden="1"/>
    <cellStyle name="Lien hypertexte visité" xfId="14370" builtinId="9" hidden="1"/>
    <cellStyle name="Lien hypertexte visité" xfId="14390" builtinId="9" hidden="1"/>
    <cellStyle name="Lien hypertexte visité" xfId="14422" builtinId="9" hidden="1"/>
    <cellStyle name="Lien hypertexte visité" xfId="14454" builtinId="9" hidden="1"/>
    <cellStyle name="Lien hypertexte visité" xfId="14478" builtinId="9" hidden="1"/>
    <cellStyle name="Lien hypertexte visité" xfId="14510" builtinId="9" hidden="1"/>
    <cellStyle name="Lien hypertexte visité" xfId="14569" builtinId="9" hidden="1"/>
    <cellStyle name="Lien hypertexte visité" xfId="14609" builtinId="9" hidden="1"/>
    <cellStyle name="Lien hypertexte visité" xfId="14673" builtinId="9" hidden="1"/>
    <cellStyle name="Lien hypertexte visité" xfId="14737" builtinId="9" hidden="1"/>
    <cellStyle name="Lien hypertexte visité" xfId="14777" builtinId="9" hidden="1"/>
    <cellStyle name="Lien hypertexte visité" xfId="14841" builtinId="9" hidden="1"/>
    <cellStyle name="Lien hypertexte visité" xfId="14905" builtinId="9" hidden="1"/>
    <cellStyle name="Lien hypertexte visité" xfId="14953" builtinId="9" hidden="1"/>
    <cellStyle name="Lien hypertexte visité" xfId="15017" builtinId="9" hidden="1"/>
    <cellStyle name="Lien hypertexte visité" xfId="15081" builtinId="9" hidden="1"/>
    <cellStyle name="Lien hypertexte visité" xfId="15121" builtinId="9" hidden="1"/>
    <cellStyle name="Lien hypertexte visité" xfId="15185" builtinId="9" hidden="1"/>
    <cellStyle name="Lien hypertexte visité" xfId="15249" builtinId="9" hidden="1"/>
    <cellStyle name="Lien hypertexte visité" xfId="15289" builtinId="9" hidden="1"/>
    <cellStyle name="Lien hypertexte visité" xfId="15353" builtinId="9" hidden="1"/>
    <cellStyle name="Lien hypertexte visité" xfId="15417" builtinId="9" hidden="1"/>
    <cellStyle name="Lien hypertexte visité" xfId="15465" builtinId="9" hidden="1"/>
    <cellStyle name="Lien hypertexte visité" xfId="15529" builtinId="9" hidden="1"/>
    <cellStyle name="Lien hypertexte visité" xfId="15593" builtinId="9" hidden="1"/>
    <cellStyle name="Lien hypertexte visité" xfId="15633" builtinId="9" hidden="1"/>
    <cellStyle name="Lien hypertexte visité" xfId="15697" builtinId="9" hidden="1"/>
    <cellStyle name="Lien hypertexte visité" xfId="15761" builtinId="9" hidden="1"/>
    <cellStyle name="Lien hypertexte visité" xfId="15801" builtinId="9" hidden="1"/>
    <cellStyle name="Lien hypertexte visité" xfId="15865" builtinId="9" hidden="1"/>
    <cellStyle name="Lien hypertexte visité" xfId="15929" builtinId="9" hidden="1"/>
    <cellStyle name="Lien hypertexte visité" xfId="15977" builtinId="9" hidden="1"/>
    <cellStyle name="Lien hypertexte visité" xfId="16041" builtinId="9" hidden="1"/>
    <cellStyle name="Lien hypertexte visité" xfId="16105" builtinId="9" hidden="1"/>
    <cellStyle name="Lien hypertexte visité" xfId="16145" builtinId="9" hidden="1"/>
    <cellStyle name="Lien hypertexte visité" xfId="16209" builtinId="9" hidden="1"/>
    <cellStyle name="Lien hypertexte visité" xfId="16273" builtinId="9" hidden="1"/>
    <cellStyle name="Lien hypertexte visité" xfId="16313" builtinId="9" hidden="1"/>
    <cellStyle name="Lien hypertexte visité" xfId="16377" builtinId="9" hidden="1"/>
    <cellStyle name="Lien hypertexte visité" xfId="16441" builtinId="9" hidden="1"/>
    <cellStyle name="Lien hypertexte visité" xfId="16489" builtinId="9" hidden="1"/>
    <cellStyle name="Lien hypertexte visité" xfId="16553" builtinId="9" hidden="1"/>
    <cellStyle name="Lien hypertexte visité" xfId="16617" builtinId="9" hidden="1"/>
    <cellStyle name="Lien hypertexte visité" xfId="16657" builtinId="9" hidden="1"/>
    <cellStyle name="Lien hypertexte visité" xfId="16721" builtinId="9" hidden="1"/>
    <cellStyle name="Lien hypertexte visité" xfId="16785" builtinId="9" hidden="1"/>
    <cellStyle name="Lien hypertexte visité" xfId="16825" builtinId="9" hidden="1"/>
    <cellStyle name="Lien hypertexte visité" xfId="16889" builtinId="9" hidden="1"/>
    <cellStyle name="Lien hypertexte visité" xfId="16953" builtinId="9" hidden="1"/>
    <cellStyle name="Lien hypertexte visité" xfId="17001" builtinId="9" hidden="1"/>
    <cellStyle name="Lien hypertexte visité" xfId="17065" builtinId="9" hidden="1"/>
    <cellStyle name="Lien hypertexte visité" xfId="17129" builtinId="9" hidden="1"/>
    <cellStyle name="Lien hypertexte visité" xfId="17169" builtinId="9" hidden="1"/>
    <cellStyle name="Lien hypertexte visité" xfId="17233" builtinId="9" hidden="1"/>
    <cellStyle name="Lien hypertexte visité" xfId="17297" builtinId="9" hidden="1"/>
    <cellStyle name="Lien hypertexte visité" xfId="17337" builtinId="9" hidden="1"/>
    <cellStyle name="Lien hypertexte visité" xfId="17401" builtinId="9" hidden="1"/>
    <cellStyle name="Lien hypertexte visité" xfId="17465" builtinId="9" hidden="1"/>
    <cellStyle name="Lien hypertexte visité" xfId="17513" builtinId="9" hidden="1"/>
    <cellStyle name="Lien hypertexte visité" xfId="17577" builtinId="9" hidden="1"/>
    <cellStyle name="Lien hypertexte visité" xfId="17641" builtinId="9" hidden="1"/>
    <cellStyle name="Lien hypertexte visité" xfId="17681" builtinId="9" hidden="1"/>
    <cellStyle name="Lien hypertexte visité" xfId="17745" builtinId="9" hidden="1"/>
    <cellStyle name="Lien hypertexte visité" xfId="17809" builtinId="9" hidden="1"/>
    <cellStyle name="Lien hypertexte visité" xfId="17849" builtinId="9" hidden="1"/>
    <cellStyle name="Lien hypertexte visité" xfId="17913" builtinId="9" hidden="1"/>
    <cellStyle name="Lien hypertexte visité" xfId="17977" builtinId="9" hidden="1"/>
    <cellStyle name="Lien hypertexte visité" xfId="18025" builtinId="9" hidden="1"/>
    <cellStyle name="Lien hypertexte visité" xfId="18089" builtinId="9" hidden="1"/>
    <cellStyle name="Lien hypertexte visité" xfId="18153" builtinId="9" hidden="1"/>
    <cellStyle name="Lien hypertexte visité" xfId="18193" builtinId="9" hidden="1"/>
    <cellStyle name="Lien hypertexte visité" xfId="18257" builtinId="9" hidden="1"/>
    <cellStyle name="Lien hypertexte visité" xfId="18315" builtinId="9" hidden="1"/>
    <cellStyle name="Lien hypertexte visité" xfId="18344" builtinId="9" hidden="1"/>
    <cellStyle name="Lien hypertexte visité" xfId="18408" builtinId="9" hidden="1"/>
    <cellStyle name="Lien hypertexte visité" xfId="18472" builtinId="9" hidden="1"/>
    <cellStyle name="Lien hypertexte visité" xfId="18520" builtinId="9" hidden="1"/>
    <cellStyle name="Lien hypertexte visité" xfId="18584" builtinId="9" hidden="1"/>
    <cellStyle name="Lien hypertexte visité" xfId="18648" builtinId="9" hidden="1"/>
    <cellStyle name="Lien hypertexte visité" xfId="18688" builtinId="9" hidden="1"/>
    <cellStyle name="Lien hypertexte visité" xfId="18752" builtinId="9" hidden="1"/>
    <cellStyle name="Lien hypertexte visité" xfId="18816" builtinId="9" hidden="1"/>
    <cellStyle name="Lien hypertexte visité" xfId="18856" builtinId="9" hidden="1"/>
    <cellStyle name="Lien hypertexte visité" xfId="18920" builtinId="9" hidden="1"/>
    <cellStyle name="Lien hypertexte visité" xfId="18984" builtinId="9" hidden="1"/>
    <cellStyle name="Lien hypertexte visité" xfId="19032" builtinId="9" hidden="1"/>
    <cellStyle name="Lien hypertexte visité" xfId="19096" builtinId="9" hidden="1"/>
    <cellStyle name="Lien hypertexte visité" xfId="19160" builtinId="9" hidden="1"/>
    <cellStyle name="Lien hypertexte visité" xfId="19200" builtinId="9" hidden="1"/>
    <cellStyle name="Lien hypertexte visité" xfId="19264" builtinId="9" hidden="1"/>
    <cellStyle name="Lien hypertexte visité" xfId="19328" builtinId="9" hidden="1"/>
    <cellStyle name="Lien hypertexte visité" xfId="19368" builtinId="9" hidden="1"/>
    <cellStyle name="Lien hypertexte visité" xfId="19432" builtinId="9" hidden="1"/>
    <cellStyle name="Lien hypertexte visité" xfId="19496" builtinId="9" hidden="1"/>
    <cellStyle name="Lien hypertexte visité" xfId="19544" builtinId="9" hidden="1"/>
    <cellStyle name="Lien hypertexte visité" xfId="19608" builtinId="9" hidden="1"/>
    <cellStyle name="Lien hypertexte visité" xfId="19672" builtinId="9" hidden="1"/>
    <cellStyle name="Lien hypertexte visité" xfId="19712" builtinId="9" hidden="1"/>
    <cellStyle name="Lien hypertexte visité" xfId="19776" builtinId="9" hidden="1"/>
    <cellStyle name="Lien hypertexte visité" xfId="19840" builtinId="9" hidden="1"/>
    <cellStyle name="Lien hypertexte visité" xfId="19880" builtinId="9" hidden="1"/>
    <cellStyle name="Lien hypertexte visité" xfId="19944" builtinId="9" hidden="1"/>
    <cellStyle name="Lien hypertexte visité" xfId="20008" builtinId="9" hidden="1"/>
    <cellStyle name="Lien hypertexte visité" xfId="20056" builtinId="9" hidden="1"/>
    <cellStyle name="Lien hypertexte visité" xfId="20120" builtinId="9" hidden="1"/>
    <cellStyle name="Lien hypertexte visité" xfId="20184" builtinId="9" hidden="1"/>
    <cellStyle name="Lien hypertexte visité" xfId="20224" builtinId="9" hidden="1"/>
    <cellStyle name="Lien hypertexte visité" xfId="20288" builtinId="9" hidden="1"/>
    <cellStyle name="Lien hypertexte visité" xfId="20352" builtinId="9" hidden="1"/>
    <cellStyle name="Lien hypertexte visité" xfId="20392" builtinId="9" hidden="1"/>
    <cellStyle name="Lien hypertexte visité" xfId="20456" builtinId="9" hidden="1"/>
    <cellStyle name="Lien hypertexte visité" xfId="20520" builtinId="9" hidden="1"/>
    <cellStyle name="Lien hypertexte visité" xfId="20568" builtinId="9" hidden="1"/>
    <cellStyle name="Lien hypertexte visité" xfId="20632" builtinId="9" hidden="1"/>
    <cellStyle name="Lien hypertexte visité" xfId="20696" builtinId="9" hidden="1"/>
    <cellStyle name="Lien hypertexte visité" xfId="20736" builtinId="9" hidden="1"/>
    <cellStyle name="Lien hypertexte visité" xfId="20800" builtinId="9" hidden="1"/>
    <cellStyle name="Lien hypertexte visité" xfId="20864" builtinId="9" hidden="1"/>
    <cellStyle name="Lien hypertexte visité" xfId="20904" builtinId="9" hidden="1"/>
    <cellStyle name="Lien hypertexte visité" xfId="20968" builtinId="9" hidden="1"/>
    <cellStyle name="Lien hypertexte visité" xfId="21032" builtinId="9" hidden="1"/>
    <cellStyle name="Lien hypertexte visité" xfId="21080" builtinId="9" hidden="1"/>
    <cellStyle name="Lien hypertexte visité" xfId="21144" builtinId="9" hidden="1"/>
    <cellStyle name="Lien hypertexte visité" xfId="21208" builtinId="9" hidden="1"/>
    <cellStyle name="Lien hypertexte visité" xfId="21248" builtinId="9" hidden="1"/>
    <cellStyle name="Lien hypertexte visité" xfId="21312" builtinId="9" hidden="1"/>
    <cellStyle name="Lien hypertexte visité" xfId="21376" builtinId="9" hidden="1"/>
    <cellStyle name="Lien hypertexte visité" xfId="21416" builtinId="9" hidden="1"/>
    <cellStyle name="Lien hypertexte visité" xfId="21480" builtinId="9" hidden="1"/>
    <cellStyle name="Lien hypertexte visité" xfId="21544" builtinId="9" hidden="1"/>
    <cellStyle name="Lien hypertexte visité" xfId="21592" builtinId="9" hidden="1"/>
    <cellStyle name="Lien hypertexte visité" xfId="21656" builtinId="9" hidden="1"/>
    <cellStyle name="Lien hypertexte visité" xfId="21720" builtinId="9" hidden="1"/>
    <cellStyle name="Lien hypertexte visité" xfId="21760" builtinId="9" hidden="1"/>
    <cellStyle name="Lien hypertexte visité" xfId="21824" builtinId="9" hidden="1"/>
    <cellStyle name="Lien hypertexte visité" xfId="21888" builtinId="9" hidden="1"/>
    <cellStyle name="Lien hypertexte visité" xfId="21928" builtinId="9" hidden="1"/>
    <cellStyle name="Lien hypertexte visité" xfId="21992" builtinId="9" hidden="1"/>
    <cellStyle name="Lien hypertexte visité" xfId="22056" builtinId="9" hidden="1"/>
    <cellStyle name="Lien hypertexte visité" xfId="22104" builtinId="9" hidden="1"/>
    <cellStyle name="Lien hypertexte visité" xfId="22168" builtinId="9" hidden="1"/>
    <cellStyle name="Lien hypertexte visité" xfId="22232" builtinId="9" hidden="1"/>
    <cellStyle name="Lien hypertexte visité" xfId="22272" builtinId="9" hidden="1"/>
    <cellStyle name="Lien hypertexte visité" xfId="22336" builtinId="9" hidden="1"/>
    <cellStyle name="Lien hypertexte visité" xfId="22400" builtinId="9" hidden="1"/>
    <cellStyle name="Lien hypertexte visité" xfId="22440" builtinId="9" hidden="1"/>
    <cellStyle name="Lien hypertexte visité" xfId="22504" builtinId="9" hidden="1"/>
    <cellStyle name="Lien hypertexte visité" xfId="22568" builtinId="9" hidden="1"/>
    <cellStyle name="Lien hypertexte visité" xfId="22616" builtinId="9" hidden="1"/>
    <cellStyle name="Lien hypertexte visité" xfId="22680" builtinId="9" hidden="1"/>
    <cellStyle name="Lien hypertexte visité" xfId="22744" builtinId="9" hidden="1"/>
    <cellStyle name="Lien hypertexte visité" xfId="22784" builtinId="9" hidden="1"/>
    <cellStyle name="Lien hypertexte visité" xfId="22848" builtinId="9" hidden="1"/>
    <cellStyle name="Lien hypertexte visité" xfId="22912" builtinId="9" hidden="1"/>
    <cellStyle name="Lien hypertexte visité" xfId="22952" builtinId="9" hidden="1"/>
    <cellStyle name="Lien hypertexte visité" xfId="23016" builtinId="9" hidden="1"/>
    <cellStyle name="Lien hypertexte visité" xfId="23080" builtinId="9" hidden="1"/>
    <cellStyle name="Lien hypertexte visité" xfId="23128" builtinId="9" hidden="1"/>
    <cellStyle name="Lien hypertexte visité" xfId="23192" builtinId="9" hidden="1"/>
    <cellStyle name="Lien hypertexte visité" xfId="23256" builtinId="9" hidden="1"/>
    <cellStyle name="Lien hypertexte visité" xfId="23296" builtinId="9" hidden="1"/>
    <cellStyle name="Lien hypertexte visité" xfId="23360" builtinId="9" hidden="1"/>
    <cellStyle name="Lien hypertexte visité" xfId="23424" builtinId="9" hidden="1"/>
    <cellStyle name="Lien hypertexte visité" xfId="23464" builtinId="9" hidden="1"/>
    <cellStyle name="Lien hypertexte visité" xfId="23528" builtinId="9" hidden="1"/>
    <cellStyle name="Lien hypertexte visité" xfId="23592" builtinId="9" hidden="1"/>
    <cellStyle name="Lien hypertexte visité" xfId="23640" builtinId="9" hidden="1"/>
    <cellStyle name="Lien hypertexte visité" xfId="23704" builtinId="9" hidden="1"/>
    <cellStyle name="Lien hypertexte visité" xfId="23768" builtinId="9" hidden="1"/>
    <cellStyle name="Lien hypertexte visité" xfId="23808" builtinId="9" hidden="1"/>
    <cellStyle name="Lien hypertexte visité" xfId="23872" builtinId="9" hidden="1"/>
    <cellStyle name="Lien hypertexte visité" xfId="23936" builtinId="9" hidden="1"/>
    <cellStyle name="Lien hypertexte visité" xfId="23976" builtinId="9" hidden="1"/>
    <cellStyle name="Lien hypertexte visité" xfId="24040" builtinId="9" hidden="1"/>
    <cellStyle name="Lien hypertexte visité" xfId="24104" builtinId="9" hidden="1"/>
    <cellStyle name="Lien hypertexte visité" xfId="24152" builtinId="9" hidden="1"/>
    <cellStyle name="Lien hypertexte visité" xfId="24216" builtinId="9" hidden="1"/>
    <cellStyle name="Lien hypertexte visité" xfId="24280" builtinId="9" hidden="1"/>
    <cellStyle name="Lien hypertexte visité" xfId="24320" builtinId="9" hidden="1"/>
    <cellStyle name="Lien hypertexte visité" xfId="24384" builtinId="9" hidden="1"/>
    <cellStyle name="Lien hypertexte visité" xfId="24448" builtinId="9" hidden="1"/>
    <cellStyle name="Lien hypertexte visité" xfId="24488" builtinId="9" hidden="1"/>
    <cellStyle name="Lien hypertexte visité" xfId="24552" builtinId="9" hidden="1"/>
    <cellStyle name="Lien hypertexte visité" xfId="24610" builtinId="9" hidden="1"/>
    <cellStyle name="Lien hypertexte visité" xfId="24562" builtinId="9" hidden="1"/>
    <cellStyle name="Lien hypertexte visité" xfId="24498" builtinId="9" hidden="1"/>
    <cellStyle name="Lien hypertexte visité" xfId="24434" builtinId="9" hidden="1"/>
    <cellStyle name="Lien hypertexte visité" xfId="24394" builtinId="9" hidden="1"/>
    <cellStyle name="Lien hypertexte visité" xfId="24330" builtinId="9" hidden="1"/>
    <cellStyle name="Lien hypertexte visité" xfId="24266" builtinId="9" hidden="1"/>
    <cellStyle name="Lien hypertexte visité" xfId="24226" builtinId="9" hidden="1"/>
    <cellStyle name="Lien hypertexte visité" xfId="24162" builtinId="9" hidden="1"/>
    <cellStyle name="Lien hypertexte visité" xfId="24098" builtinId="9" hidden="1"/>
    <cellStyle name="Lien hypertexte visité" xfId="24050" builtinId="9" hidden="1"/>
    <cellStyle name="Lien hypertexte visité" xfId="23986" builtinId="9" hidden="1"/>
    <cellStyle name="Lien hypertexte visité" xfId="23922" builtinId="9" hidden="1"/>
    <cellStyle name="Lien hypertexte visité" xfId="23882" builtinId="9" hidden="1"/>
    <cellStyle name="Lien hypertexte visité" xfId="23818" builtinId="9" hidden="1"/>
    <cellStyle name="Lien hypertexte visité" xfId="23754" builtinId="9" hidden="1"/>
    <cellStyle name="Lien hypertexte visité" xfId="23714" builtinId="9" hidden="1"/>
    <cellStyle name="Lien hypertexte visité" xfId="23650" builtinId="9" hidden="1"/>
    <cellStyle name="Lien hypertexte visité" xfId="23586" builtinId="9" hidden="1"/>
    <cellStyle name="Lien hypertexte visité" xfId="23538" builtinId="9" hidden="1"/>
    <cellStyle name="Lien hypertexte visité" xfId="23474" builtinId="9" hidden="1"/>
    <cellStyle name="Lien hypertexte visité" xfId="23410" builtinId="9" hidden="1"/>
    <cellStyle name="Lien hypertexte visité" xfId="23370" builtinId="9" hidden="1"/>
    <cellStyle name="Lien hypertexte visité" xfId="23306" builtinId="9" hidden="1"/>
    <cellStyle name="Lien hypertexte visité" xfId="23242" builtinId="9" hidden="1"/>
    <cellStyle name="Lien hypertexte visité" xfId="23202" builtinId="9" hidden="1"/>
    <cellStyle name="Lien hypertexte visité" xfId="23138" builtinId="9" hidden="1"/>
    <cellStyle name="Lien hypertexte visité" xfId="23074" builtinId="9" hidden="1"/>
    <cellStyle name="Lien hypertexte visité" xfId="23026" builtinId="9" hidden="1"/>
    <cellStyle name="Lien hypertexte visité" xfId="22962" builtinId="9" hidden="1"/>
    <cellStyle name="Lien hypertexte visité" xfId="22898" builtinId="9" hidden="1"/>
    <cellStyle name="Lien hypertexte visité" xfId="22858" builtinId="9" hidden="1"/>
    <cellStyle name="Lien hypertexte visité" xfId="22794" builtinId="9" hidden="1"/>
    <cellStyle name="Lien hypertexte visité" xfId="22730" builtinId="9" hidden="1"/>
    <cellStyle name="Lien hypertexte visité" xfId="22690" builtinId="9" hidden="1"/>
    <cellStyle name="Lien hypertexte visité" xfId="22626" builtinId="9" hidden="1"/>
    <cellStyle name="Lien hypertexte visité" xfId="22562" builtinId="9" hidden="1"/>
    <cellStyle name="Lien hypertexte visité" xfId="22514" builtinId="9" hidden="1"/>
    <cellStyle name="Lien hypertexte visité" xfId="22450" builtinId="9" hidden="1"/>
    <cellStyle name="Lien hypertexte visité" xfId="22386" builtinId="9" hidden="1"/>
    <cellStyle name="Lien hypertexte visité" xfId="22346" builtinId="9" hidden="1"/>
    <cellStyle name="Lien hypertexte visité" xfId="22282" builtinId="9" hidden="1"/>
    <cellStyle name="Lien hypertexte visité" xfId="22218" builtinId="9" hidden="1"/>
    <cellStyle name="Lien hypertexte visité" xfId="22178" builtinId="9" hidden="1"/>
    <cellStyle name="Lien hypertexte visité" xfId="22114" builtinId="9" hidden="1"/>
    <cellStyle name="Lien hypertexte visité" xfId="22050" builtinId="9" hidden="1"/>
    <cellStyle name="Lien hypertexte visité" xfId="22002" builtinId="9" hidden="1"/>
    <cellStyle name="Lien hypertexte visité" xfId="21938" builtinId="9" hidden="1"/>
    <cellStyle name="Lien hypertexte visité" xfId="21874" builtinId="9" hidden="1"/>
    <cellStyle name="Lien hypertexte visité" xfId="21834" builtinId="9" hidden="1"/>
    <cellStyle name="Lien hypertexte visité" xfId="21770" builtinId="9" hidden="1"/>
    <cellStyle name="Lien hypertexte visité" xfId="21706" builtinId="9" hidden="1"/>
    <cellStyle name="Lien hypertexte visité" xfId="21666" builtinId="9" hidden="1"/>
    <cellStyle name="Lien hypertexte visité" xfId="21602" builtinId="9" hidden="1"/>
    <cellStyle name="Lien hypertexte visité" xfId="21538" builtinId="9" hidden="1"/>
    <cellStyle name="Lien hypertexte visité" xfId="21490" builtinId="9" hidden="1"/>
    <cellStyle name="Lien hypertexte visité" xfId="21426" builtinId="9" hidden="1"/>
    <cellStyle name="Lien hypertexte visité" xfId="21362" builtinId="9" hidden="1"/>
    <cellStyle name="Lien hypertexte visité" xfId="21322" builtinId="9" hidden="1"/>
    <cellStyle name="Lien hypertexte visité" xfId="21258" builtinId="9" hidden="1"/>
    <cellStyle name="Lien hypertexte visité" xfId="21194" builtinId="9" hidden="1"/>
    <cellStyle name="Lien hypertexte visité" xfId="21154" builtinId="9" hidden="1"/>
    <cellStyle name="Lien hypertexte visité" xfId="21090" builtinId="9" hidden="1"/>
    <cellStyle name="Lien hypertexte visité" xfId="21026" builtinId="9" hidden="1"/>
    <cellStyle name="Lien hypertexte visité" xfId="20978" builtinId="9" hidden="1"/>
    <cellStyle name="Lien hypertexte visité" xfId="20914" builtinId="9" hidden="1"/>
    <cellStyle name="Lien hypertexte visité" xfId="20850" builtinId="9" hidden="1"/>
    <cellStyle name="Lien hypertexte visité" xfId="20810" builtinId="9" hidden="1"/>
    <cellStyle name="Lien hypertexte visité" xfId="20746" builtinId="9" hidden="1"/>
    <cellStyle name="Lien hypertexte visité" xfId="20682" builtinId="9" hidden="1"/>
    <cellStyle name="Lien hypertexte visité" xfId="20642" builtinId="9" hidden="1"/>
    <cellStyle name="Lien hypertexte visité" xfId="20578" builtinId="9" hidden="1"/>
    <cellStyle name="Lien hypertexte visité" xfId="20514" builtinId="9" hidden="1"/>
    <cellStyle name="Lien hypertexte visité" xfId="20466" builtinId="9" hidden="1"/>
    <cellStyle name="Lien hypertexte visité" xfId="20402" builtinId="9" hidden="1"/>
    <cellStyle name="Lien hypertexte visité" xfId="20338" builtinId="9" hidden="1"/>
    <cellStyle name="Lien hypertexte visité" xfId="20298" builtinId="9" hidden="1"/>
    <cellStyle name="Lien hypertexte visité" xfId="20234" builtinId="9" hidden="1"/>
    <cellStyle name="Lien hypertexte visité" xfId="20170" builtinId="9" hidden="1"/>
    <cellStyle name="Lien hypertexte visité" xfId="20130" builtinId="9" hidden="1"/>
    <cellStyle name="Lien hypertexte visité" xfId="20066" builtinId="9" hidden="1"/>
    <cellStyle name="Lien hypertexte visité" xfId="20002" builtinId="9" hidden="1"/>
    <cellStyle name="Lien hypertexte visité" xfId="19954" builtinId="9" hidden="1"/>
    <cellStyle name="Lien hypertexte visité" xfId="19890" builtinId="9" hidden="1"/>
    <cellStyle name="Lien hypertexte visité" xfId="19826" builtinId="9" hidden="1"/>
    <cellStyle name="Lien hypertexte visité" xfId="19786" builtinId="9" hidden="1"/>
    <cellStyle name="Lien hypertexte visité" xfId="19722" builtinId="9" hidden="1"/>
    <cellStyle name="Lien hypertexte visité" xfId="19658" builtinId="9" hidden="1"/>
    <cellStyle name="Lien hypertexte visité" xfId="19618" builtinId="9" hidden="1"/>
    <cellStyle name="Lien hypertexte visité" xfId="19554" builtinId="9" hidden="1"/>
    <cellStyle name="Lien hypertexte visité" xfId="19490" builtinId="9" hidden="1"/>
    <cellStyle name="Lien hypertexte visité" xfId="19442" builtinId="9" hidden="1"/>
    <cellStyle name="Lien hypertexte visité" xfId="19378" builtinId="9" hidden="1"/>
    <cellStyle name="Lien hypertexte visité" xfId="19314" builtinId="9" hidden="1"/>
    <cellStyle name="Lien hypertexte visité" xfId="19274" builtinId="9" hidden="1"/>
    <cellStyle name="Lien hypertexte visité" xfId="19210" builtinId="9" hidden="1"/>
    <cellStyle name="Lien hypertexte visité" xfId="19146" builtinId="9" hidden="1"/>
    <cellStyle name="Lien hypertexte visité" xfId="19106" builtinId="9" hidden="1"/>
    <cellStyle name="Lien hypertexte visité" xfId="19042" builtinId="9" hidden="1"/>
    <cellStyle name="Lien hypertexte visité" xfId="18978" builtinId="9" hidden="1"/>
    <cellStyle name="Lien hypertexte visité" xfId="18930" builtinId="9" hidden="1"/>
    <cellStyle name="Lien hypertexte visité" xfId="18866" builtinId="9" hidden="1"/>
    <cellStyle name="Lien hypertexte visité" xfId="18802" builtinId="9" hidden="1"/>
    <cellStyle name="Lien hypertexte visité" xfId="18762" builtinId="9" hidden="1"/>
    <cellStyle name="Lien hypertexte visité" xfId="18698" builtinId="9" hidden="1"/>
    <cellStyle name="Lien hypertexte visité" xfId="18634" builtinId="9" hidden="1"/>
    <cellStyle name="Lien hypertexte visité" xfId="18594" builtinId="9" hidden="1"/>
    <cellStyle name="Lien hypertexte visité" xfId="18530" builtinId="9" hidden="1"/>
    <cellStyle name="Lien hypertexte visité" xfId="18466" builtinId="9" hidden="1"/>
    <cellStyle name="Lien hypertexte visité" xfId="18418" builtinId="9" hidden="1"/>
    <cellStyle name="Lien hypertexte visité" xfId="18354" builtinId="9" hidden="1"/>
    <cellStyle name="Lien hypertexte visité" xfId="18307" builtinId="9" hidden="1"/>
    <cellStyle name="Lien hypertexte visité" xfId="18267" builtinId="9" hidden="1"/>
    <cellStyle name="Lien hypertexte visité" xfId="18203" builtinId="9" hidden="1"/>
    <cellStyle name="Lien hypertexte visité" xfId="18139" builtinId="9" hidden="1"/>
    <cellStyle name="Lien hypertexte visité" xfId="18099" builtinId="9" hidden="1"/>
    <cellStyle name="Lien hypertexte visité" xfId="18035" builtinId="9" hidden="1"/>
    <cellStyle name="Lien hypertexte visité" xfId="17971" builtinId="9" hidden="1"/>
    <cellStyle name="Lien hypertexte visité" xfId="17923" builtinId="9" hidden="1"/>
    <cellStyle name="Lien hypertexte visité" xfId="17859" builtinId="9" hidden="1"/>
    <cellStyle name="Lien hypertexte visité" xfId="17795" builtinId="9" hidden="1"/>
    <cellStyle name="Lien hypertexte visité" xfId="17755" builtinId="9" hidden="1"/>
    <cellStyle name="Lien hypertexte visité" xfId="17691" builtinId="9" hidden="1"/>
    <cellStyle name="Lien hypertexte visité" xfId="17627" builtinId="9" hidden="1"/>
    <cellStyle name="Lien hypertexte visité" xfId="17587" builtinId="9" hidden="1"/>
    <cellStyle name="Lien hypertexte visité" xfId="17523" builtinId="9" hidden="1"/>
    <cellStyle name="Lien hypertexte visité" xfId="17459" builtinId="9" hidden="1"/>
    <cellStyle name="Lien hypertexte visité" xfId="17411" builtinId="9" hidden="1"/>
    <cellStyle name="Lien hypertexte visité" xfId="17347" builtinId="9" hidden="1"/>
    <cellStyle name="Lien hypertexte visité" xfId="17387" builtinId="9" hidden="1"/>
    <cellStyle name="Lien hypertexte visité" xfId="17515" builtinId="9" hidden="1"/>
    <cellStyle name="Lien hypertexte visité" xfId="17707" builtinId="9" hidden="1"/>
    <cellStyle name="Lien hypertexte visité" xfId="17899" builtinId="9" hidden="1"/>
    <cellStyle name="Lien hypertexte visité" xfId="18027" builtinId="9" hidden="1"/>
    <cellStyle name="Lien hypertexte visité" xfId="18219" builtinId="9" hidden="1"/>
    <cellStyle name="Lien hypertexte visité" xfId="18394" builtinId="9" hidden="1"/>
    <cellStyle name="Lien hypertexte visité" xfId="18522" builtinId="9" hidden="1"/>
    <cellStyle name="Lien hypertexte visité" xfId="18714" builtinId="9" hidden="1"/>
    <cellStyle name="Lien hypertexte visité" xfId="18906" builtinId="9" hidden="1"/>
    <cellStyle name="Lien hypertexte visité" xfId="19034" builtinId="9" hidden="1"/>
    <cellStyle name="Lien hypertexte visité" xfId="19226" builtinId="9" hidden="1"/>
    <cellStyle name="Lien hypertexte visité" xfId="19418" builtinId="9" hidden="1"/>
    <cellStyle name="Lien hypertexte visité" xfId="19546" builtinId="9" hidden="1"/>
    <cellStyle name="Lien hypertexte visité" xfId="19738" builtinId="9" hidden="1"/>
    <cellStyle name="Lien hypertexte visité" xfId="19930" builtinId="9" hidden="1"/>
    <cellStyle name="Lien hypertexte visité" xfId="20058" builtinId="9" hidden="1"/>
    <cellStyle name="Lien hypertexte visité" xfId="20250" builtinId="9" hidden="1"/>
    <cellStyle name="Lien hypertexte visité" xfId="20442" builtinId="9" hidden="1"/>
    <cellStyle name="Lien hypertexte visité" xfId="20570" builtinId="9" hidden="1"/>
    <cellStyle name="Lien hypertexte visité" xfId="20762" builtinId="9" hidden="1"/>
    <cellStyle name="Lien hypertexte visité" xfId="20954" builtinId="9" hidden="1"/>
    <cellStyle name="Lien hypertexte visité" xfId="21082" builtinId="9" hidden="1"/>
    <cellStyle name="Lien hypertexte visité" xfId="21274" builtinId="9" hidden="1"/>
    <cellStyle name="Lien hypertexte visité" xfId="21466" builtinId="9" hidden="1"/>
    <cellStyle name="Lien hypertexte visité" xfId="21594" builtinId="9" hidden="1"/>
    <cellStyle name="Lien hypertexte visité" xfId="21786" builtinId="9" hidden="1"/>
    <cellStyle name="Lien hypertexte visité" xfId="21978" builtinId="9" hidden="1"/>
    <cellStyle name="Lien hypertexte visité" xfId="22106" builtinId="9" hidden="1"/>
    <cellStyle name="Lien hypertexte visité" xfId="22298" builtinId="9" hidden="1"/>
    <cellStyle name="Lien hypertexte visité" xfId="22490" builtinId="9" hidden="1"/>
    <cellStyle name="Lien hypertexte visité" xfId="22618" builtinId="9" hidden="1"/>
    <cellStyle name="Lien hypertexte visité" xfId="22810" builtinId="9" hidden="1"/>
    <cellStyle name="Lien hypertexte visité" xfId="23002" builtinId="9" hidden="1"/>
    <cellStyle name="Lien hypertexte visité" xfId="23130" builtinId="9" hidden="1"/>
    <cellStyle name="Lien hypertexte visité" xfId="23322" builtinId="9" hidden="1"/>
    <cellStyle name="Lien hypertexte visité" xfId="23514" builtinId="9" hidden="1"/>
    <cellStyle name="Lien hypertexte visité" xfId="23642" builtinId="9" hidden="1"/>
    <cellStyle name="Lien hypertexte visité" xfId="23834" builtinId="9" hidden="1"/>
    <cellStyle name="Lien hypertexte visité" xfId="24026" builtinId="9" hidden="1"/>
    <cellStyle name="Lien hypertexte visité" xfId="24154" builtinId="9" hidden="1"/>
    <cellStyle name="Lien hypertexte visité" xfId="24346" builtinId="9" hidden="1"/>
    <cellStyle name="Lien hypertexte visité" xfId="24538" builtinId="9" hidden="1"/>
    <cellStyle name="Lien hypertexte visité" xfId="24560" builtinId="9" hidden="1"/>
    <cellStyle name="Lien hypertexte visité" xfId="24368" builtinId="9" hidden="1"/>
    <cellStyle name="Lien hypertexte visité" xfId="24176" builtinId="9" hidden="1"/>
    <cellStyle name="Lien hypertexte visité" xfId="24048" builtinId="9" hidden="1"/>
    <cellStyle name="Lien hypertexte visité" xfId="23856" builtinId="9" hidden="1"/>
    <cellStyle name="Lien hypertexte visité" xfId="23664" builtinId="9" hidden="1"/>
    <cellStyle name="Lien hypertexte visité" xfId="23536" builtinId="9" hidden="1"/>
    <cellStyle name="Lien hypertexte visité" xfId="23344" builtinId="9" hidden="1"/>
    <cellStyle name="Lien hypertexte visité" xfId="23152" builtinId="9" hidden="1"/>
    <cellStyle name="Lien hypertexte visité" xfId="23024" builtinId="9" hidden="1"/>
    <cellStyle name="Lien hypertexte visité" xfId="22832" builtinId="9" hidden="1"/>
    <cellStyle name="Lien hypertexte visité" xfId="22640" builtinId="9" hidden="1"/>
    <cellStyle name="Lien hypertexte visité" xfId="22512" builtinId="9" hidden="1"/>
    <cellStyle name="Lien hypertexte visité" xfId="22320" builtinId="9" hidden="1"/>
    <cellStyle name="Lien hypertexte visité" xfId="22128" builtinId="9" hidden="1"/>
    <cellStyle name="Lien hypertexte visité" xfId="22000" builtinId="9" hidden="1"/>
    <cellStyle name="Lien hypertexte visité" xfId="21808" builtinId="9" hidden="1"/>
    <cellStyle name="Lien hypertexte visité" xfId="21616" builtinId="9" hidden="1"/>
    <cellStyle name="Lien hypertexte visité" xfId="21488" builtinId="9" hidden="1"/>
    <cellStyle name="Lien hypertexte visité" xfId="21296" builtinId="9" hidden="1"/>
    <cellStyle name="Lien hypertexte visité" xfId="21104" builtinId="9" hidden="1"/>
    <cellStyle name="Lien hypertexte visité" xfId="20976" builtinId="9" hidden="1"/>
    <cellStyle name="Lien hypertexte visité" xfId="20784" builtinId="9" hidden="1"/>
    <cellStyle name="Lien hypertexte visité" xfId="20592" builtinId="9" hidden="1"/>
    <cellStyle name="Lien hypertexte visité" xfId="20464" builtinId="9" hidden="1"/>
    <cellStyle name="Lien hypertexte visité" xfId="20272" builtinId="9" hidden="1"/>
    <cellStyle name="Lien hypertexte visité" xfId="20080" builtinId="9" hidden="1"/>
    <cellStyle name="Lien hypertexte visité" xfId="19952" builtinId="9" hidden="1"/>
    <cellStyle name="Lien hypertexte visité" xfId="19760" builtinId="9" hidden="1"/>
    <cellStyle name="Lien hypertexte visité" xfId="19568" builtinId="9" hidden="1"/>
    <cellStyle name="Lien hypertexte visité" xfId="19440" builtinId="9" hidden="1"/>
    <cellStyle name="Lien hypertexte visité" xfId="19248" builtinId="9" hidden="1"/>
    <cellStyle name="Lien hypertexte visité" xfId="19056" builtinId="9" hidden="1"/>
    <cellStyle name="Lien hypertexte visité" xfId="18928" builtinId="9" hidden="1"/>
    <cellStyle name="Lien hypertexte visité" xfId="18736" builtinId="9" hidden="1"/>
    <cellStyle name="Lien hypertexte visité" xfId="18544" builtinId="9" hidden="1"/>
    <cellStyle name="Lien hypertexte visité" xfId="18416" builtinId="9" hidden="1"/>
    <cellStyle name="Lien hypertexte visité" xfId="18241" builtinId="9" hidden="1"/>
    <cellStyle name="Lien hypertexte visité" xfId="18049" builtinId="9" hidden="1"/>
    <cellStyle name="Lien hypertexte visité" xfId="17921" builtinId="9" hidden="1"/>
    <cellStyle name="Lien hypertexte visité" xfId="17729" builtinId="9" hidden="1"/>
    <cellStyle name="Lien hypertexte visité" xfId="17537" builtinId="9" hidden="1"/>
    <cellStyle name="Lien hypertexte visité" xfId="17409" builtinId="9" hidden="1"/>
    <cellStyle name="Lien hypertexte visité" xfId="17217" builtinId="9" hidden="1"/>
    <cellStyle name="Lien hypertexte visité" xfId="17025" builtinId="9" hidden="1"/>
    <cellStyle name="Lien hypertexte visité" xfId="16897" builtinId="9" hidden="1"/>
    <cellStyle name="Lien hypertexte visité" xfId="16705" builtinId="9" hidden="1"/>
    <cellStyle name="Lien hypertexte visité" xfId="16513" builtinId="9" hidden="1"/>
    <cellStyle name="Lien hypertexte visité" xfId="16385" builtinId="9" hidden="1"/>
    <cellStyle name="Lien hypertexte visité" xfId="16193" builtinId="9" hidden="1"/>
    <cellStyle name="Lien hypertexte visité" xfId="16001" builtinId="9" hidden="1"/>
    <cellStyle name="Lien hypertexte visité" xfId="15873" builtinId="9" hidden="1"/>
    <cellStyle name="Lien hypertexte visité" xfId="15681" builtinId="9" hidden="1"/>
    <cellStyle name="Lien hypertexte visité" xfId="15489" builtinId="9" hidden="1"/>
    <cellStyle name="Lien hypertexte visité" xfId="15361" builtinId="9" hidden="1"/>
    <cellStyle name="Lien hypertexte visité" xfId="15169" builtinId="9" hidden="1"/>
    <cellStyle name="Lien hypertexte visité" xfId="14977" builtinId="9" hidden="1"/>
    <cellStyle name="Lien hypertexte visité" xfId="14849" builtinId="9" hidden="1"/>
    <cellStyle name="Lien hypertexte visité" xfId="14657" builtinId="9" hidden="1"/>
    <cellStyle name="Lien hypertexte visité" xfId="14490" builtinId="9" hidden="1"/>
    <cellStyle name="Lien hypertexte visité" xfId="14426" builtinId="9" hidden="1"/>
    <cellStyle name="Lien hypertexte visité" xfId="14330" builtinId="9" hidden="1"/>
    <cellStyle name="Lien hypertexte visité" xfId="14234" builtinId="9" hidden="1"/>
    <cellStyle name="Lien hypertexte visité" xfId="14170" builtinId="9" hidden="1"/>
    <cellStyle name="Lien hypertexte visité" xfId="14074" builtinId="9" hidden="1"/>
    <cellStyle name="Lien hypertexte visité" xfId="13978" builtinId="9" hidden="1"/>
    <cellStyle name="Lien hypertexte visité" xfId="13914" builtinId="9" hidden="1"/>
    <cellStyle name="Lien hypertexte visité" xfId="13818" builtinId="9" hidden="1"/>
    <cellStyle name="Lien hypertexte visité" xfId="13722" builtinId="9" hidden="1"/>
    <cellStyle name="Lien hypertexte visité" xfId="13658" builtinId="9" hidden="1"/>
    <cellStyle name="Lien hypertexte visité" xfId="13562" builtinId="9" hidden="1"/>
    <cellStyle name="Lien hypertexte visité" xfId="13466" builtinId="9" hidden="1"/>
    <cellStyle name="Lien hypertexte visité" xfId="13402" builtinId="9" hidden="1"/>
    <cellStyle name="Lien hypertexte visité" xfId="13306" builtinId="9" hidden="1"/>
    <cellStyle name="Lien hypertexte visité" xfId="13210" builtinId="9" hidden="1"/>
    <cellStyle name="Lien hypertexte visité" xfId="13146" builtinId="9" hidden="1"/>
    <cellStyle name="Lien hypertexte visité" xfId="13050" builtinId="9" hidden="1"/>
    <cellStyle name="Lien hypertexte visité" xfId="12954" builtinId="9" hidden="1"/>
    <cellStyle name="Lien hypertexte visité" xfId="12890" builtinId="9" hidden="1"/>
    <cellStyle name="Lien hypertexte visité" xfId="12794" builtinId="9" hidden="1"/>
    <cellStyle name="Lien hypertexte visité" xfId="12698" builtinId="9" hidden="1"/>
    <cellStyle name="Lien hypertexte visité" xfId="12634" builtinId="9" hidden="1"/>
    <cellStyle name="Lien hypertexte visité" xfId="12538" builtinId="9" hidden="1"/>
    <cellStyle name="Lien hypertexte visité" xfId="12442" builtinId="9" hidden="1"/>
    <cellStyle name="Lien hypertexte visité" xfId="12378" builtinId="9" hidden="1"/>
    <cellStyle name="Lien hypertexte visité" xfId="12282" builtinId="9" hidden="1"/>
    <cellStyle name="Lien hypertexte visité" xfId="12186" builtinId="9" hidden="1"/>
    <cellStyle name="Lien hypertexte visité" xfId="12122" builtinId="9" hidden="1"/>
    <cellStyle name="Lien hypertexte visité" xfId="12026" builtinId="9" hidden="1"/>
    <cellStyle name="Lien hypertexte visité" xfId="11930" builtinId="9" hidden="1"/>
    <cellStyle name="Lien hypertexte visité" xfId="11866" builtinId="9" hidden="1"/>
    <cellStyle name="Lien hypertexte visité" xfId="11770" builtinId="9" hidden="1"/>
    <cellStyle name="Lien hypertexte visité" xfId="11674" builtinId="9" hidden="1"/>
    <cellStyle name="Lien hypertexte visité" xfId="11610" builtinId="9" hidden="1"/>
    <cellStyle name="Lien hypertexte visité" xfId="11514" builtinId="9" hidden="1"/>
    <cellStyle name="Lien hypertexte visité" xfId="11418" builtinId="9" hidden="1"/>
    <cellStyle name="Lien hypertexte visité" xfId="11354" builtinId="9" hidden="1"/>
    <cellStyle name="Lien hypertexte visité" xfId="11322" builtinId="9" hidden="1"/>
    <cellStyle name="Lien hypertexte visité" xfId="11578" builtinId="9" hidden="1"/>
    <cellStyle name="Lien hypertexte visité" xfId="11834" builtinId="9" hidden="1"/>
    <cellStyle name="Lien hypertexte visité" xfId="12090" builtinId="9" hidden="1"/>
    <cellStyle name="Lien hypertexte visité" xfId="12346" builtinId="9" hidden="1"/>
    <cellStyle name="Lien hypertexte visité" xfId="12602" builtinId="9" hidden="1"/>
    <cellStyle name="Lien hypertexte visité" xfId="12858" builtinId="9" hidden="1"/>
    <cellStyle name="Lien hypertexte visité" xfId="13114" builtinId="9" hidden="1"/>
    <cellStyle name="Lien hypertexte visité" xfId="13370" builtinId="9" hidden="1"/>
    <cellStyle name="Lien hypertexte visité" xfId="13626" builtinId="9" hidden="1"/>
    <cellStyle name="Lien hypertexte visité" xfId="13882" builtinId="9" hidden="1"/>
    <cellStyle name="Lien hypertexte visité" xfId="14138" builtinId="9" hidden="1"/>
    <cellStyle name="Lien hypertexte visité" xfId="14394" builtinId="9" hidden="1"/>
    <cellStyle name="Lien hypertexte visité" xfId="14785" builtinId="9" hidden="1"/>
    <cellStyle name="Lien hypertexte visité" xfId="15297" builtinId="9" hidden="1"/>
    <cellStyle name="Lien hypertexte visité" xfId="15809" builtinId="9" hidden="1"/>
    <cellStyle name="Lien hypertexte visité" xfId="16321" builtinId="9" hidden="1"/>
    <cellStyle name="Lien hypertexte visité" xfId="16833" builtinId="9" hidden="1"/>
    <cellStyle name="Lien hypertexte visité" xfId="17345" builtinId="9" hidden="1"/>
    <cellStyle name="Lien hypertexte visité" xfId="17857" builtinId="9" hidden="1"/>
    <cellStyle name="Lien hypertexte visité" xfId="18352" builtinId="9" hidden="1"/>
    <cellStyle name="Lien hypertexte visité" xfId="18864" builtinId="9" hidden="1"/>
    <cellStyle name="Lien hypertexte visité" xfId="19376" builtinId="9" hidden="1"/>
    <cellStyle name="Lien hypertexte visité" xfId="19888" builtinId="9" hidden="1"/>
    <cellStyle name="Lien hypertexte visité" xfId="20400" builtinId="9" hidden="1"/>
    <cellStyle name="Lien hypertexte visité" xfId="20912" builtinId="9" hidden="1"/>
    <cellStyle name="Lien hypertexte visité" xfId="21424" builtinId="9" hidden="1"/>
    <cellStyle name="Lien hypertexte visité" xfId="21936" builtinId="9" hidden="1"/>
    <cellStyle name="Lien hypertexte visité" xfId="22448" builtinId="9" hidden="1"/>
    <cellStyle name="Lien hypertexte visité" xfId="22960" builtinId="9" hidden="1"/>
    <cellStyle name="Lien hypertexte visité" xfId="23472" builtinId="9" hidden="1"/>
    <cellStyle name="Lien hypertexte visité" xfId="23984" builtinId="9" hidden="1"/>
    <cellStyle name="Lien hypertexte visité" xfId="24496" builtinId="9" hidden="1"/>
    <cellStyle name="Lien hypertexte visité" xfId="24218" builtinId="9" hidden="1"/>
    <cellStyle name="Lien hypertexte visité" xfId="23706" builtinId="9" hidden="1"/>
    <cellStyle name="Lien hypertexte visité" xfId="23194" builtinId="9" hidden="1"/>
    <cellStyle name="Lien hypertexte visité" xfId="22682" builtinId="9" hidden="1"/>
    <cellStyle name="Lien hypertexte visité" xfId="22170" builtinId="9" hidden="1"/>
    <cellStyle name="Lien hypertexte visité" xfId="21658" builtinId="9" hidden="1"/>
    <cellStyle name="Lien hypertexte visité" xfId="21146" builtinId="9" hidden="1"/>
    <cellStyle name="Lien hypertexte visité" xfId="20634" builtinId="9" hidden="1"/>
    <cellStyle name="Lien hypertexte visité" xfId="20122" builtinId="9" hidden="1"/>
    <cellStyle name="Lien hypertexte visité" xfId="19610" builtinId="9" hidden="1"/>
    <cellStyle name="Lien hypertexte visité" xfId="19098" builtinId="9" hidden="1"/>
    <cellStyle name="Lien hypertexte visité" xfId="18586" builtinId="9" hidden="1"/>
    <cellStyle name="Lien hypertexte visité" xfId="18091" builtinId="9" hidden="1"/>
    <cellStyle name="Lien hypertexte visité" xfId="17579" builtinId="9" hidden="1"/>
    <cellStyle name="Lien hypertexte visité" xfId="17395" builtinId="9" hidden="1"/>
    <cellStyle name="Lien hypertexte visité" xfId="17563" builtinId="9" hidden="1"/>
    <cellStyle name="Lien hypertexte visité" xfId="17731" builtinId="9" hidden="1"/>
    <cellStyle name="Lien hypertexte visité" xfId="17907" builtinId="9" hidden="1"/>
    <cellStyle name="Lien hypertexte visité" xfId="18075" builtinId="9" hidden="1"/>
    <cellStyle name="Lien hypertexte visité" xfId="18243" builtinId="9" hidden="1"/>
    <cellStyle name="Lien hypertexte visité" xfId="18402" builtinId="9" hidden="1"/>
    <cellStyle name="Lien hypertexte visité" xfId="18570" builtinId="9" hidden="1"/>
    <cellStyle name="Lien hypertexte visité" xfId="18738" builtinId="9" hidden="1"/>
    <cellStyle name="Lien hypertexte visité" xfId="18914" builtinId="9" hidden="1"/>
    <cellStyle name="Lien hypertexte visité" xfId="19082" builtinId="9" hidden="1"/>
    <cellStyle name="Lien hypertexte visité" xfId="19250" builtinId="9" hidden="1"/>
    <cellStyle name="Lien hypertexte visité" xfId="19426" builtinId="9" hidden="1"/>
    <cellStyle name="Lien hypertexte visité" xfId="19594" builtinId="9" hidden="1"/>
    <cellStyle name="Lien hypertexte visité" xfId="19762" builtinId="9" hidden="1"/>
    <cellStyle name="Lien hypertexte visité" xfId="19938" builtinId="9" hidden="1"/>
    <cellStyle name="Lien hypertexte visité" xfId="20106" builtinId="9" hidden="1"/>
    <cellStyle name="Lien hypertexte visité" xfId="20274" builtinId="9" hidden="1"/>
    <cellStyle name="Lien hypertexte visité" xfId="20450" builtinId="9" hidden="1"/>
    <cellStyle name="Lien hypertexte visité" xfId="20618" builtinId="9" hidden="1"/>
    <cellStyle name="Lien hypertexte visité" xfId="20786" builtinId="9" hidden="1"/>
    <cellStyle name="Lien hypertexte visité" xfId="20962" builtinId="9" hidden="1"/>
    <cellStyle name="Lien hypertexte visité" xfId="21130" builtinId="9" hidden="1"/>
    <cellStyle name="Lien hypertexte visité" xfId="21298" builtinId="9" hidden="1"/>
    <cellStyle name="Lien hypertexte visité" xfId="21474" builtinId="9" hidden="1"/>
    <cellStyle name="Lien hypertexte visité" xfId="21642" builtinId="9" hidden="1"/>
    <cellStyle name="Lien hypertexte visité" xfId="21810" builtinId="9" hidden="1"/>
    <cellStyle name="Lien hypertexte visité" xfId="21986" builtinId="9" hidden="1"/>
    <cellStyle name="Lien hypertexte visité" xfId="22154" builtinId="9" hidden="1"/>
    <cellStyle name="Lien hypertexte visité" xfId="22322" builtinId="9" hidden="1"/>
    <cellStyle name="Lien hypertexte visité" xfId="22498" builtinId="9" hidden="1"/>
    <cellStyle name="Lien hypertexte visité" xfId="22666" builtinId="9" hidden="1"/>
    <cellStyle name="Lien hypertexte visité" xfId="22834" builtinId="9" hidden="1"/>
    <cellStyle name="Lien hypertexte visité" xfId="23010" builtinId="9" hidden="1"/>
    <cellStyle name="Lien hypertexte visité" xfId="23178" builtinId="9" hidden="1"/>
    <cellStyle name="Lien hypertexte visité" xfId="23346" builtinId="9" hidden="1"/>
    <cellStyle name="Lien hypertexte visité" xfId="23522" builtinId="9" hidden="1"/>
    <cellStyle name="Lien hypertexte visité" xfId="23690" builtinId="9" hidden="1"/>
    <cellStyle name="Lien hypertexte visité" xfId="23858" builtinId="9" hidden="1"/>
    <cellStyle name="Lien hypertexte visité" xfId="24034" builtinId="9" hidden="1"/>
    <cellStyle name="Lien hypertexte visité" xfId="24202" builtinId="9" hidden="1"/>
    <cellStyle name="Lien hypertexte visité" xfId="24370" builtinId="9" hidden="1"/>
    <cellStyle name="Lien hypertexte visité" xfId="24546" builtinId="9" hidden="1"/>
    <cellStyle name="Lien hypertexte visité" xfId="24512" builtinId="9" hidden="1"/>
    <cellStyle name="Lien hypertexte visité" xfId="24344" builtinId="9" hidden="1"/>
    <cellStyle name="Lien hypertexte visité" xfId="24168" builtinId="9" hidden="1"/>
    <cellStyle name="Lien hypertexte visité" xfId="24000" builtinId="9" hidden="1"/>
    <cellStyle name="Lien hypertexte visité" xfId="23832" builtinId="9" hidden="1"/>
    <cellStyle name="Lien hypertexte visité" xfId="23656" builtinId="9" hidden="1"/>
    <cellStyle name="Lien hypertexte visité" xfId="23488" builtinId="9" hidden="1"/>
    <cellStyle name="Lien hypertexte visité" xfId="23320" builtinId="9" hidden="1"/>
    <cellStyle name="Lien hypertexte visité" xfId="23144" builtinId="9" hidden="1"/>
    <cellStyle name="Lien hypertexte visité" xfId="22976" builtinId="9" hidden="1"/>
    <cellStyle name="Lien hypertexte visité" xfId="22808" builtinId="9" hidden="1"/>
    <cellStyle name="Lien hypertexte visité" xfId="22632" builtinId="9" hidden="1"/>
    <cellStyle name="Lien hypertexte visité" xfId="22464" builtinId="9" hidden="1"/>
    <cellStyle name="Lien hypertexte visité" xfId="22296" builtinId="9" hidden="1"/>
    <cellStyle name="Lien hypertexte visité" xfId="22120" builtinId="9" hidden="1"/>
    <cellStyle name="Lien hypertexte visité" xfId="21952" builtinId="9" hidden="1"/>
    <cellStyle name="Lien hypertexte visité" xfId="21784" builtinId="9" hidden="1"/>
    <cellStyle name="Lien hypertexte visité" xfId="21608" builtinId="9" hidden="1"/>
    <cellStyle name="Lien hypertexte visité" xfId="21440" builtinId="9" hidden="1"/>
    <cellStyle name="Lien hypertexte visité" xfId="21272" builtinId="9" hidden="1"/>
    <cellStyle name="Lien hypertexte visité" xfId="21096" builtinId="9" hidden="1"/>
    <cellStyle name="Lien hypertexte visité" xfId="20928" builtinId="9" hidden="1"/>
    <cellStyle name="Lien hypertexte visité" xfId="20760" builtinId="9" hidden="1"/>
    <cellStyle name="Lien hypertexte visité" xfId="20584" builtinId="9" hidden="1"/>
    <cellStyle name="Lien hypertexte visité" xfId="20416" builtinId="9" hidden="1"/>
    <cellStyle name="Lien hypertexte visité" xfId="20248" builtinId="9" hidden="1"/>
    <cellStyle name="Lien hypertexte visité" xfId="20072" builtinId="9" hidden="1"/>
    <cellStyle name="Lien hypertexte visité" xfId="19904" builtinId="9" hidden="1"/>
    <cellStyle name="Lien hypertexte visité" xfId="19736" builtinId="9" hidden="1"/>
    <cellStyle name="Lien hypertexte visité" xfId="19560" builtinId="9" hidden="1"/>
    <cellStyle name="Lien hypertexte visité" xfId="19392" builtinId="9" hidden="1"/>
    <cellStyle name="Lien hypertexte visité" xfId="19224" builtinId="9" hidden="1"/>
    <cellStyle name="Lien hypertexte visité" xfId="19048" builtinId="9" hidden="1"/>
    <cellStyle name="Lien hypertexte visité" xfId="18880" builtinId="9" hidden="1"/>
    <cellStyle name="Lien hypertexte visité" xfId="18712" builtinId="9" hidden="1"/>
    <cellStyle name="Lien hypertexte visité" xfId="18536" builtinId="9" hidden="1"/>
    <cellStyle name="Lien hypertexte visité" xfId="18368" builtinId="9" hidden="1"/>
    <cellStyle name="Lien hypertexte visité" xfId="18217" builtinId="9" hidden="1"/>
    <cellStyle name="Lien hypertexte visité" xfId="18041" builtinId="9" hidden="1"/>
    <cellStyle name="Lien hypertexte visité" xfId="17873" builtinId="9" hidden="1"/>
    <cellStyle name="Lien hypertexte visité" xfId="17705" builtinId="9" hidden="1"/>
    <cellStyle name="Lien hypertexte visité" xfId="17529" builtinId="9" hidden="1"/>
    <cellStyle name="Lien hypertexte visité" xfId="17361" builtinId="9" hidden="1"/>
    <cellStyle name="Lien hypertexte visité" xfId="17193" builtinId="9" hidden="1"/>
    <cellStyle name="Lien hypertexte visité" xfId="17017" builtinId="9" hidden="1"/>
    <cellStyle name="Lien hypertexte visité" xfId="16849" builtinId="9" hidden="1"/>
    <cellStyle name="Lien hypertexte visité" xfId="16681" builtinId="9" hidden="1"/>
    <cellStyle name="Lien hypertexte visité" xfId="16505" builtinId="9" hidden="1"/>
    <cellStyle name="Lien hypertexte visité" xfId="16337" builtinId="9" hidden="1"/>
    <cellStyle name="Lien hypertexte visité" xfId="16169" builtinId="9" hidden="1"/>
    <cellStyle name="Lien hypertexte visité" xfId="15993" builtinId="9" hidden="1"/>
    <cellStyle name="Lien hypertexte visité" xfId="15825" builtinId="9" hidden="1"/>
    <cellStyle name="Lien hypertexte visité" xfId="15657" builtinId="9" hidden="1"/>
    <cellStyle name="Lien hypertexte visité" xfId="15481" builtinId="9" hidden="1"/>
    <cellStyle name="Lien hypertexte visité" xfId="15313" builtinId="9" hidden="1"/>
    <cellStyle name="Lien hypertexte visité" xfId="15145" builtinId="9" hidden="1"/>
    <cellStyle name="Lien hypertexte visité" xfId="14969" builtinId="9" hidden="1"/>
    <cellStyle name="Lien hypertexte visité" xfId="14801" builtinId="9" hidden="1"/>
    <cellStyle name="Lien hypertexte visité" xfId="14633" builtinId="9" hidden="1"/>
    <cellStyle name="Lien hypertexte visité" xfId="14486" builtinId="9" hidden="1"/>
    <cellStyle name="Lien hypertexte visité" xfId="14402" builtinId="9" hidden="1"/>
    <cellStyle name="Lien hypertexte visité" xfId="14318" builtinId="9" hidden="1"/>
    <cellStyle name="Lien hypertexte visité" xfId="14230" builtinId="9" hidden="1"/>
    <cellStyle name="Lien hypertexte visité" xfId="14146" builtinId="9" hidden="1"/>
    <cellStyle name="Lien hypertexte visité" xfId="14062" builtinId="9" hidden="1"/>
    <cellStyle name="Lien hypertexte visité" xfId="13974" builtinId="9" hidden="1"/>
    <cellStyle name="Lien hypertexte visité" xfId="13890" builtinId="9" hidden="1"/>
    <cellStyle name="Lien hypertexte visité" xfId="13806" builtinId="9" hidden="1"/>
    <cellStyle name="Lien hypertexte visité" xfId="13718" builtinId="9" hidden="1"/>
    <cellStyle name="Lien hypertexte visité" xfId="13634" builtinId="9" hidden="1"/>
    <cellStyle name="Lien hypertexte visité" xfId="13550" builtinId="9" hidden="1"/>
    <cellStyle name="Lien hypertexte visité" xfId="13462" builtinId="9" hidden="1"/>
    <cellStyle name="Lien hypertexte visité" xfId="13378" builtinId="9" hidden="1"/>
    <cellStyle name="Lien hypertexte visité" xfId="13294" builtinId="9" hidden="1"/>
    <cellStyle name="Lien hypertexte visité" xfId="13206" builtinId="9" hidden="1"/>
    <cellStyle name="Lien hypertexte visité" xfId="13122" builtinId="9" hidden="1"/>
    <cellStyle name="Lien hypertexte visité" xfId="13038" builtinId="9" hidden="1"/>
    <cellStyle name="Lien hypertexte visité" xfId="12950" builtinId="9" hidden="1"/>
    <cellStyle name="Lien hypertexte visité" xfId="12866" builtinId="9" hidden="1"/>
    <cellStyle name="Lien hypertexte visité" xfId="12782" builtinId="9" hidden="1"/>
    <cellStyle name="Lien hypertexte visité" xfId="12694" builtinId="9" hidden="1"/>
    <cellStyle name="Lien hypertexte visité" xfId="12610" builtinId="9" hidden="1"/>
    <cellStyle name="Lien hypertexte visité" xfId="12526" builtinId="9" hidden="1"/>
    <cellStyle name="Lien hypertexte visité" xfId="12438" builtinId="9" hidden="1"/>
    <cellStyle name="Lien hypertexte visité" xfId="12354" builtinId="9" hidden="1"/>
    <cellStyle name="Lien hypertexte visité" xfId="12270" builtinId="9" hidden="1"/>
    <cellStyle name="Lien hypertexte visité" xfId="12182" builtinId="9" hidden="1"/>
    <cellStyle name="Lien hypertexte visité" xfId="12098" builtinId="9" hidden="1"/>
    <cellStyle name="Lien hypertexte visité" xfId="12014" builtinId="9" hidden="1"/>
    <cellStyle name="Lien hypertexte visité" xfId="11926" builtinId="9" hidden="1"/>
    <cellStyle name="Lien hypertexte visité" xfId="11842" builtinId="9" hidden="1"/>
    <cellStyle name="Lien hypertexte visité" xfId="11758" builtinId="9" hidden="1"/>
    <cellStyle name="Lien hypertexte visité" xfId="11670" builtinId="9" hidden="1"/>
    <cellStyle name="Lien hypertexte visité" xfId="11586" builtinId="9" hidden="1"/>
    <cellStyle name="Lien hypertexte visité" xfId="11502" builtinId="9" hidden="1"/>
    <cellStyle name="Lien hypertexte visité" xfId="11414" builtinId="9" hidden="1"/>
    <cellStyle name="Lien hypertexte visité" xfId="11330" builtinId="9" hidden="1"/>
    <cellStyle name="Lien hypertexte visité" xfId="11246" builtinId="9" hidden="1"/>
    <cellStyle name="Lien hypertexte visité" xfId="11158" builtinId="9" hidden="1"/>
    <cellStyle name="Lien hypertexte visité" xfId="11074" builtinId="9" hidden="1"/>
    <cellStyle name="Lien hypertexte visité" xfId="10990" builtinId="9" hidden="1"/>
    <cellStyle name="Lien hypertexte visité" xfId="10902" builtinId="9" hidden="1"/>
    <cellStyle name="Lien hypertexte visité" xfId="10818" builtinId="9" hidden="1"/>
    <cellStyle name="Lien hypertexte visité" xfId="10734" builtinId="9" hidden="1"/>
    <cellStyle name="Lien hypertexte visité" xfId="10646" builtinId="9" hidden="1"/>
    <cellStyle name="Lien hypertexte visité" xfId="10562" builtinId="9" hidden="1"/>
    <cellStyle name="Lien hypertexte visité" xfId="10478" builtinId="9" hidden="1"/>
    <cellStyle name="Lien hypertexte visité" xfId="10390" builtinId="9" hidden="1"/>
    <cellStyle name="Lien hypertexte visité" xfId="10306" builtinId="9" hidden="1"/>
    <cellStyle name="Lien hypertexte visité" xfId="10222" builtinId="9" hidden="1"/>
    <cellStyle name="Lien hypertexte visité" xfId="10134" builtinId="9" hidden="1"/>
    <cellStyle name="Lien hypertexte visité" xfId="10050" builtinId="9" hidden="1"/>
    <cellStyle name="Lien hypertexte visité" xfId="9966" builtinId="9" hidden="1"/>
    <cellStyle name="Lien hypertexte visité" xfId="9878" builtinId="9" hidden="1"/>
    <cellStyle name="Lien hypertexte visité" xfId="9794" builtinId="9" hidden="1"/>
    <cellStyle name="Lien hypertexte visité" xfId="9710" builtinId="9" hidden="1"/>
    <cellStyle name="Lien hypertexte visité" xfId="9622" builtinId="9" hidden="1"/>
    <cellStyle name="Lien hypertexte visité" xfId="9538" builtinId="9" hidden="1"/>
    <cellStyle name="Lien hypertexte visité" xfId="9454" builtinId="9" hidden="1"/>
    <cellStyle name="Lien hypertexte visité" xfId="9366" builtinId="9" hidden="1"/>
    <cellStyle name="Lien hypertexte visité" xfId="9282" builtinId="9" hidden="1"/>
    <cellStyle name="Lien hypertexte visité" xfId="9198" builtinId="9" hidden="1"/>
    <cellStyle name="Lien hypertexte visité" xfId="9110" builtinId="9" hidden="1"/>
    <cellStyle name="Lien hypertexte visité" xfId="9026" builtinId="9" hidden="1"/>
    <cellStyle name="Lien hypertexte visité" xfId="8942" builtinId="9" hidden="1"/>
    <cellStyle name="Lien hypertexte visité" xfId="8854" builtinId="9" hidden="1"/>
    <cellStyle name="Lien hypertexte visité" xfId="8770" builtinId="9" hidden="1"/>
    <cellStyle name="Lien hypertexte visité" xfId="8686" builtinId="9" hidden="1"/>
    <cellStyle name="Lien hypertexte visité" xfId="8598" builtinId="9" hidden="1"/>
    <cellStyle name="Lien hypertexte visité" xfId="8514" builtinId="9" hidden="1"/>
    <cellStyle name="Lien hypertexte visité" xfId="8430" builtinId="9" hidden="1"/>
    <cellStyle name="Lien hypertexte visité" xfId="8342" builtinId="9" hidden="1"/>
    <cellStyle name="Lien hypertexte visité" xfId="8258" builtinId="9" hidden="1"/>
    <cellStyle name="Lien hypertexte visité" xfId="17179" builtinId="9" hidden="1"/>
    <cellStyle name="Lien hypertexte visité" xfId="16923" builtinId="9" hidden="1"/>
    <cellStyle name="Lien hypertexte visité" xfId="16667" builtinId="9" hidden="1"/>
    <cellStyle name="Lien hypertexte visité" xfId="16411" builtinId="9" hidden="1"/>
    <cellStyle name="Lien hypertexte visité" xfId="16155" builtinId="9" hidden="1"/>
    <cellStyle name="Lien hypertexte visité" xfId="15899" builtinId="9" hidden="1"/>
    <cellStyle name="Lien hypertexte visité" xfId="15643" builtinId="9" hidden="1"/>
    <cellStyle name="Lien hypertexte visité" xfId="15387" builtinId="9" hidden="1"/>
    <cellStyle name="Lien hypertexte visité" xfId="15131" builtinId="9" hidden="1"/>
    <cellStyle name="Lien hypertexte visité" xfId="14875" builtinId="9" hidden="1"/>
    <cellStyle name="Lien hypertexte visité" xfId="14619" builtinId="9" hidden="1"/>
    <cellStyle name="Lien hypertexte visité" xfId="14439" builtinId="9" hidden="1"/>
    <cellStyle name="Lien hypertexte visité" xfId="14311" builtinId="9" hidden="1"/>
    <cellStyle name="Lien hypertexte visité" xfId="14183" builtinId="9" hidden="1"/>
    <cellStyle name="Lien hypertexte visité" xfId="14055" builtinId="9" hidden="1"/>
    <cellStyle name="Lien hypertexte visité" xfId="13927" builtinId="9" hidden="1"/>
    <cellStyle name="Lien hypertexte visité" xfId="13799" builtinId="9" hidden="1"/>
    <cellStyle name="Lien hypertexte visité" xfId="13671" builtinId="9" hidden="1"/>
    <cellStyle name="Lien hypertexte visité" xfId="13543" builtinId="9" hidden="1"/>
    <cellStyle name="Lien hypertexte visité" xfId="13415" builtinId="9" hidden="1"/>
    <cellStyle name="Lien hypertexte visité" xfId="13287" builtinId="9" hidden="1"/>
    <cellStyle name="Lien hypertexte visité" xfId="13159" builtinId="9" hidden="1"/>
    <cellStyle name="Lien hypertexte visité" xfId="13031" builtinId="9" hidden="1"/>
    <cellStyle name="Lien hypertexte visité" xfId="12903" builtinId="9" hidden="1"/>
    <cellStyle name="Lien hypertexte visité" xfId="12775" builtinId="9" hidden="1"/>
    <cellStyle name="Lien hypertexte visité" xfId="12647" builtinId="9" hidden="1"/>
    <cellStyle name="Lien hypertexte visité" xfId="12519" builtinId="9" hidden="1"/>
    <cellStyle name="Lien hypertexte visité" xfId="12391" builtinId="9" hidden="1"/>
    <cellStyle name="Lien hypertexte visité" xfId="12263" builtinId="9" hidden="1"/>
    <cellStyle name="Lien hypertexte visité" xfId="12135" builtinId="9" hidden="1"/>
    <cellStyle name="Lien hypertexte visité" xfId="12007" builtinId="9" hidden="1"/>
    <cellStyle name="Lien hypertexte visité" xfId="11879" builtinId="9" hidden="1"/>
    <cellStyle name="Lien hypertexte visité" xfId="11751" builtinId="9" hidden="1"/>
    <cellStyle name="Lien hypertexte visité" xfId="11623" builtinId="9" hidden="1"/>
    <cellStyle name="Lien hypertexte visité" xfId="11495" builtinId="9" hidden="1"/>
    <cellStyle name="Lien hypertexte visité" xfId="11367" builtinId="9" hidden="1"/>
    <cellStyle name="Lien hypertexte visité" xfId="11239" builtinId="9" hidden="1"/>
    <cellStyle name="Lien hypertexte visité" xfId="11111" builtinId="9" hidden="1"/>
    <cellStyle name="Lien hypertexte visité" xfId="10983" builtinId="9" hidden="1"/>
    <cellStyle name="Lien hypertexte visité" xfId="10855" builtinId="9" hidden="1"/>
    <cellStyle name="Lien hypertexte visité" xfId="10727" builtinId="9" hidden="1"/>
    <cellStyle name="Lien hypertexte visité" xfId="10599" builtinId="9" hidden="1"/>
    <cellStyle name="Lien hypertexte visité" xfId="10471" builtinId="9" hidden="1"/>
    <cellStyle name="Lien hypertexte visité" xfId="10343" builtinId="9" hidden="1"/>
    <cellStyle name="Lien hypertexte visité" xfId="10215" builtinId="9" hidden="1"/>
    <cellStyle name="Lien hypertexte visité" xfId="10087" builtinId="9" hidden="1"/>
    <cellStyle name="Lien hypertexte visité" xfId="9959" builtinId="9" hidden="1"/>
    <cellStyle name="Lien hypertexte visité" xfId="9831" builtinId="9" hidden="1"/>
    <cellStyle name="Lien hypertexte visité" xfId="9703" builtinId="9" hidden="1"/>
    <cellStyle name="Lien hypertexte visité" xfId="9575" builtinId="9" hidden="1"/>
    <cellStyle name="Lien hypertexte visité" xfId="9447" builtinId="9" hidden="1"/>
    <cellStyle name="Lien hypertexte visité" xfId="9319" builtinId="9" hidden="1"/>
    <cellStyle name="Lien hypertexte visité" xfId="9191" builtinId="9" hidden="1"/>
    <cellStyle name="Lien hypertexte visité" xfId="9063" builtinId="9" hidden="1"/>
    <cellStyle name="Lien hypertexte visité" xfId="8935" builtinId="9" hidden="1"/>
    <cellStyle name="Lien hypertexte visité" xfId="8807" builtinId="9" hidden="1"/>
    <cellStyle name="Lien hypertexte visité" xfId="8679" builtinId="9" hidden="1"/>
    <cellStyle name="Lien hypertexte visité" xfId="8551" builtinId="9" hidden="1"/>
    <cellStyle name="Lien hypertexte visité" xfId="8423" builtinId="9" hidden="1"/>
    <cellStyle name="Lien hypertexte visité" xfId="8295" builtinId="9" hidden="1"/>
    <cellStyle name="Lien hypertexte visité" xfId="8167" builtinId="9" hidden="1"/>
    <cellStyle name="Lien hypertexte visité" xfId="8039" builtinId="9" hidden="1"/>
    <cellStyle name="Lien hypertexte visité" xfId="7911" builtinId="9" hidden="1"/>
    <cellStyle name="Lien hypertexte visité" xfId="7782" builtinId="9" hidden="1"/>
    <cellStyle name="Lien hypertexte visité" xfId="7654" builtinId="9" hidden="1"/>
    <cellStyle name="Lien hypertexte visité" xfId="7526" builtinId="9" hidden="1"/>
    <cellStyle name="Lien hypertexte visité" xfId="7398" builtinId="9" hidden="1"/>
    <cellStyle name="Lien hypertexte visité" xfId="7270" builtinId="9" hidden="1"/>
    <cellStyle name="Lien hypertexte visité" xfId="7142" builtinId="9" hidden="1"/>
    <cellStyle name="Lien hypertexte visité" xfId="7014" builtinId="9" hidden="1"/>
    <cellStyle name="Lien hypertexte visité" xfId="6886" builtinId="9" hidden="1"/>
    <cellStyle name="Lien hypertexte visité" xfId="6758" builtinId="9" hidden="1"/>
    <cellStyle name="Lien hypertexte visité" xfId="6630" builtinId="9" hidden="1"/>
    <cellStyle name="Lien hypertexte visité" xfId="6502" builtinId="9" hidden="1"/>
    <cellStyle name="Lien hypertexte visité" xfId="6374" builtinId="9" hidden="1"/>
    <cellStyle name="Lien hypertexte visité" xfId="6246" builtinId="9" hidden="1"/>
    <cellStyle name="Lien hypertexte visité" xfId="6118" builtinId="9" hidden="1"/>
    <cellStyle name="Lien hypertexte visité" xfId="5990" builtinId="9" hidden="1"/>
    <cellStyle name="Lien hypertexte visité" xfId="5862" builtinId="9" hidden="1"/>
    <cellStyle name="Lien hypertexte visité" xfId="5734" builtinId="9" hidden="1"/>
    <cellStyle name="Lien hypertexte visité" xfId="5606" builtinId="9" hidden="1"/>
    <cellStyle name="Lien hypertexte visité" xfId="5478" builtinId="9" hidden="1"/>
    <cellStyle name="Lien hypertexte visité" xfId="5350" builtinId="9" hidden="1"/>
    <cellStyle name="Lien hypertexte visité" xfId="5222" builtinId="9" hidden="1"/>
    <cellStyle name="Lien hypertexte visité" xfId="5094" builtinId="9" hidden="1"/>
    <cellStyle name="Lien hypertexte visité" xfId="4966" builtinId="9" hidden="1"/>
    <cellStyle name="Lien hypertexte visité" xfId="4838" builtinId="9" hidden="1"/>
    <cellStyle name="Lien hypertexte visité" xfId="4710" builtinId="9" hidden="1"/>
    <cellStyle name="Lien hypertexte visité" xfId="4582" builtinId="9" hidden="1"/>
    <cellStyle name="Lien hypertexte visité" xfId="4454" builtinId="9" hidden="1"/>
    <cellStyle name="Lien hypertexte visité" xfId="4326" builtinId="9" hidden="1"/>
    <cellStyle name="Lien hypertexte visité" xfId="4198" builtinId="9" hidden="1"/>
    <cellStyle name="Lien hypertexte visité" xfId="4070" builtinId="9" hidden="1"/>
    <cellStyle name="Lien hypertexte visité" xfId="3942" builtinId="9" hidden="1"/>
    <cellStyle name="Lien hypertexte visité" xfId="3817" builtinId="9" hidden="1"/>
    <cellStyle name="Lien hypertexte visité" xfId="3688" builtinId="9" hidden="1"/>
    <cellStyle name="Lien hypertexte visité" xfId="3552" builtinId="9" hidden="1"/>
    <cellStyle name="Lien hypertexte visité" xfId="3424" builtinId="9" hidden="1"/>
    <cellStyle name="Lien hypertexte visité" xfId="3296" builtinId="9" hidden="1"/>
    <cellStyle name="Lien hypertexte visité" xfId="3168" builtinId="9" hidden="1"/>
    <cellStyle name="Lien hypertexte visité" xfId="3040" builtinId="9" hidden="1"/>
    <cellStyle name="Lien hypertexte visité" xfId="2912" builtinId="9" hidden="1"/>
    <cellStyle name="Lien hypertexte visité" xfId="2784" builtinId="9" hidden="1"/>
    <cellStyle name="Lien hypertexte visité" xfId="2656" builtinId="9" hidden="1"/>
    <cellStyle name="Lien hypertexte visité" xfId="2528" builtinId="9" hidden="1"/>
    <cellStyle name="Lien hypertexte visité" xfId="2400" builtinId="9" hidden="1"/>
    <cellStyle name="Lien hypertexte visité" xfId="2272" builtinId="9" hidden="1"/>
    <cellStyle name="Lien hypertexte visité" xfId="2144" builtinId="9" hidden="1"/>
    <cellStyle name="Lien hypertexte visité" xfId="2016" builtinId="9" hidden="1"/>
    <cellStyle name="Lien hypertexte visité" xfId="1888" builtinId="9" hidden="1"/>
    <cellStyle name="Lien hypertexte visité" xfId="1760" builtinId="9" hidden="1"/>
    <cellStyle name="Lien hypertexte visité" xfId="1632" builtinId="9" hidden="1"/>
    <cellStyle name="Lien hypertexte visité" xfId="1504" builtinId="9" hidden="1"/>
    <cellStyle name="Lien hypertexte visité" xfId="1375" builtinId="9" hidden="1"/>
    <cellStyle name="Lien hypertexte visité" xfId="1247" builtinId="9" hidden="1"/>
    <cellStyle name="Lien hypertexte visité" xfId="1075" builtinId="9" hidden="1"/>
    <cellStyle name="Lien hypertexte visité" xfId="819" builtinId="9" hidden="1"/>
    <cellStyle name="Lien hypertexte visité" xfId="563" builtinId="9" hidden="1"/>
    <cellStyle name="Lien hypertexte visité" xfId="307" builtinId="9" hidden="1"/>
    <cellStyle name="Lien hypertexte visité" xfId="113" builtinId="9" hidden="1"/>
    <cellStyle name="Lien hypertexte visité" xfId="175" builtinId="9" hidden="1"/>
    <cellStyle name="Lien hypertexte visité" xfId="431" builtinId="9" hidden="1"/>
    <cellStyle name="Lien hypertexte visité" xfId="687" builtinId="9" hidden="1"/>
    <cellStyle name="Lien hypertexte visité" xfId="943" builtinId="9" hidden="1"/>
    <cellStyle name="Lien hypertexte visité" xfId="1181" builtinId="9" hidden="1"/>
    <cellStyle name="Lien hypertexte visité" xfId="1309" builtinId="9" hidden="1"/>
    <cellStyle name="Lien hypertexte visité" xfId="1437" builtinId="9" hidden="1"/>
    <cellStyle name="Lien hypertexte visité" xfId="1566" builtinId="9" hidden="1"/>
    <cellStyle name="Lien hypertexte visité" xfId="1694" builtinId="9" hidden="1"/>
    <cellStyle name="Lien hypertexte visité" xfId="1822" builtinId="9" hidden="1"/>
    <cellStyle name="Lien hypertexte visité" xfId="1950" builtinId="9" hidden="1"/>
    <cellStyle name="Lien hypertexte visité" xfId="2078" builtinId="9" hidden="1"/>
    <cellStyle name="Lien hypertexte visité" xfId="2207" builtinId="9" hidden="1"/>
    <cellStyle name="Lien hypertexte visité" xfId="2334" builtinId="9" hidden="1"/>
    <cellStyle name="Lien hypertexte visité" xfId="2462" builtinId="9" hidden="1"/>
    <cellStyle name="Lien hypertexte visité" xfId="2590" builtinId="9" hidden="1"/>
    <cellStyle name="Lien hypertexte visité" xfId="2718" builtinId="9" hidden="1"/>
    <cellStyle name="Lien hypertexte visité" xfId="2846" builtinId="9" hidden="1"/>
    <cellStyle name="Lien hypertexte visité" xfId="2974" builtinId="9" hidden="1"/>
    <cellStyle name="Lien hypertexte visité" xfId="3102" builtinId="9" hidden="1"/>
    <cellStyle name="Lien hypertexte visité" xfId="3230" builtinId="9" hidden="1"/>
    <cellStyle name="Lien hypertexte visité" xfId="3358" builtinId="9" hidden="1"/>
    <cellStyle name="Lien hypertexte visité" xfId="3486" builtinId="9" hidden="1"/>
    <cellStyle name="Lien hypertexte visité" xfId="3615" builtinId="9" hidden="1"/>
    <cellStyle name="Lien hypertexte visité" xfId="3751" builtinId="9" hidden="1"/>
    <cellStyle name="Lien hypertexte visité" xfId="3879" builtinId="9" hidden="1"/>
    <cellStyle name="Lien hypertexte visité" xfId="4004" builtinId="9" hidden="1"/>
    <cellStyle name="Lien hypertexte visité" xfId="4132" builtinId="9" hidden="1"/>
    <cellStyle name="Lien hypertexte visité" xfId="4260" builtinId="9" hidden="1"/>
    <cellStyle name="Lien hypertexte visité" xfId="4388" builtinId="9" hidden="1"/>
    <cellStyle name="Lien hypertexte visité" xfId="4516" builtinId="9" hidden="1"/>
    <cellStyle name="Lien hypertexte visité" xfId="4644" builtinId="9" hidden="1"/>
    <cellStyle name="Lien hypertexte visité" xfId="4772" builtinId="9" hidden="1"/>
    <cellStyle name="Lien hypertexte visité" xfId="4900" builtinId="9" hidden="1"/>
    <cellStyle name="Lien hypertexte visité" xfId="5028" builtinId="9" hidden="1"/>
    <cellStyle name="Lien hypertexte visité" xfId="5156" builtinId="9" hidden="1"/>
    <cellStyle name="Lien hypertexte visité" xfId="5284" builtinId="9" hidden="1"/>
    <cellStyle name="Lien hypertexte visité" xfId="5412" builtinId="9" hidden="1"/>
    <cellStyle name="Lien hypertexte visité" xfId="5540" builtinId="9" hidden="1"/>
    <cellStyle name="Lien hypertexte visité" xfId="5668" builtinId="9" hidden="1"/>
    <cellStyle name="Lien hypertexte visité" xfId="5796" builtinId="9" hidden="1"/>
    <cellStyle name="Lien hypertexte visité" xfId="5924" builtinId="9" hidden="1"/>
    <cellStyle name="Lien hypertexte visité" xfId="6052" builtinId="9" hidden="1"/>
    <cellStyle name="Lien hypertexte visité" xfId="6180" builtinId="9" hidden="1"/>
    <cellStyle name="Lien hypertexte visité" xfId="6308" builtinId="9" hidden="1"/>
    <cellStyle name="Lien hypertexte visité" xfId="6436" builtinId="9" hidden="1"/>
    <cellStyle name="Lien hypertexte visité" xfId="6564" builtinId="9" hidden="1"/>
    <cellStyle name="Lien hypertexte visité" xfId="6692" builtinId="9" hidden="1"/>
    <cellStyle name="Lien hypertexte visité" xfId="6820" builtinId="9" hidden="1"/>
    <cellStyle name="Lien hypertexte visité" xfId="6948" builtinId="9" hidden="1"/>
    <cellStyle name="Lien hypertexte visité" xfId="7076" builtinId="9" hidden="1"/>
    <cellStyle name="Lien hypertexte visité" xfId="7204" builtinId="9" hidden="1"/>
    <cellStyle name="Lien hypertexte visité" xfId="7332" builtinId="9" hidden="1"/>
    <cellStyle name="Lien hypertexte visité" xfId="7460" builtinId="9" hidden="1"/>
    <cellStyle name="Lien hypertexte visité" xfId="7588" builtinId="9" hidden="1"/>
    <cellStyle name="Lien hypertexte visité" xfId="7716" builtinId="9" hidden="1"/>
    <cellStyle name="Lien hypertexte visité" xfId="7845" builtinId="9" hidden="1"/>
    <cellStyle name="Lien hypertexte visité" xfId="7973" builtinId="9" hidden="1"/>
    <cellStyle name="Lien hypertexte visité" xfId="8101" builtinId="9" hidden="1"/>
    <cellStyle name="Lien hypertexte visité" xfId="8229" builtinId="9" hidden="1"/>
    <cellStyle name="Lien hypertexte visité" xfId="8357" builtinId="9" hidden="1"/>
    <cellStyle name="Lien hypertexte visité" xfId="8485" builtinId="9" hidden="1"/>
    <cellStyle name="Lien hypertexte visité" xfId="8613" builtinId="9" hidden="1"/>
    <cellStyle name="Lien hypertexte visité" xfId="8741" builtinId="9" hidden="1"/>
    <cellStyle name="Lien hypertexte visité" xfId="8869" builtinId="9" hidden="1"/>
    <cellStyle name="Lien hypertexte visité" xfId="8997" builtinId="9" hidden="1"/>
    <cellStyle name="Lien hypertexte visité" xfId="9125" builtinId="9" hidden="1"/>
    <cellStyle name="Lien hypertexte visité" xfId="9253" builtinId="9" hidden="1"/>
    <cellStyle name="Lien hypertexte visité" xfId="9381" builtinId="9" hidden="1"/>
    <cellStyle name="Lien hypertexte visité" xfId="9509" builtinId="9" hidden="1"/>
    <cellStyle name="Lien hypertexte visité" xfId="9637" builtinId="9" hidden="1"/>
    <cellStyle name="Lien hypertexte visité" xfId="9765" builtinId="9" hidden="1"/>
    <cellStyle name="Lien hypertexte visité" xfId="9893" builtinId="9" hidden="1"/>
    <cellStyle name="Lien hypertexte visité" xfId="10021" builtinId="9" hidden="1"/>
    <cellStyle name="Lien hypertexte visité" xfId="10149" builtinId="9" hidden="1"/>
    <cellStyle name="Lien hypertexte visité" xfId="10277" builtinId="9" hidden="1"/>
    <cellStyle name="Lien hypertexte visité" xfId="10405" builtinId="9" hidden="1"/>
    <cellStyle name="Lien hypertexte visité" xfId="10533" builtinId="9" hidden="1"/>
    <cellStyle name="Lien hypertexte visité" xfId="10661" builtinId="9" hidden="1"/>
    <cellStyle name="Lien hypertexte visité" xfId="10789" builtinId="9" hidden="1"/>
    <cellStyle name="Lien hypertexte visité" xfId="10917" builtinId="9" hidden="1"/>
    <cellStyle name="Lien hypertexte visité" xfId="11045" builtinId="9" hidden="1"/>
    <cellStyle name="Lien hypertexte visité" xfId="11173" builtinId="9" hidden="1"/>
    <cellStyle name="Lien hypertexte visité" xfId="11301" builtinId="9" hidden="1"/>
    <cellStyle name="Lien hypertexte visité" xfId="11429" builtinId="9" hidden="1"/>
    <cellStyle name="Lien hypertexte visité" xfId="11557" builtinId="9" hidden="1"/>
    <cellStyle name="Lien hypertexte visité" xfId="11685" builtinId="9" hidden="1"/>
    <cellStyle name="Lien hypertexte visité" xfId="11813" builtinId="9" hidden="1"/>
    <cellStyle name="Lien hypertexte visité" xfId="11941" builtinId="9" hidden="1"/>
    <cellStyle name="Lien hypertexte visité" xfId="12069" builtinId="9" hidden="1"/>
    <cellStyle name="Lien hypertexte visité" xfId="12197" builtinId="9" hidden="1"/>
    <cellStyle name="Lien hypertexte visité" xfId="12325" builtinId="9" hidden="1"/>
    <cellStyle name="Lien hypertexte visité" xfId="12453" builtinId="9" hidden="1"/>
    <cellStyle name="Lien hypertexte visité" xfId="12581" builtinId="9" hidden="1"/>
    <cellStyle name="Lien hypertexte visité" xfId="12709" builtinId="9" hidden="1"/>
    <cellStyle name="Lien hypertexte visité" xfId="12837" builtinId="9" hidden="1"/>
    <cellStyle name="Lien hypertexte visité" xfId="12965" builtinId="9" hidden="1"/>
    <cellStyle name="Lien hypertexte visité" xfId="13093" builtinId="9" hidden="1"/>
    <cellStyle name="Lien hypertexte visité" xfId="13221" builtinId="9" hidden="1"/>
    <cellStyle name="Lien hypertexte visité" xfId="13349" builtinId="9" hidden="1"/>
    <cellStyle name="Lien hypertexte visité" xfId="13477" builtinId="9" hidden="1"/>
    <cellStyle name="Lien hypertexte visité" xfId="13605" builtinId="9" hidden="1"/>
    <cellStyle name="Lien hypertexte visité" xfId="13733" builtinId="9" hidden="1"/>
    <cellStyle name="Lien hypertexte visité" xfId="13861" builtinId="9" hidden="1"/>
    <cellStyle name="Lien hypertexte visité" xfId="13989" builtinId="9" hidden="1"/>
    <cellStyle name="Lien hypertexte visité" xfId="14117" builtinId="9" hidden="1"/>
    <cellStyle name="Lien hypertexte visité" xfId="14245" builtinId="9" hidden="1"/>
    <cellStyle name="Lien hypertexte visité" xfId="14373" builtinId="9" hidden="1"/>
    <cellStyle name="Lien hypertexte visité" xfId="14501" builtinId="9" hidden="1"/>
    <cellStyle name="Lien hypertexte visité" xfId="14743" builtinId="9" hidden="1"/>
    <cellStyle name="Lien hypertexte visité" xfId="14999" builtinId="9" hidden="1"/>
    <cellStyle name="Lien hypertexte visité" xfId="15255" builtinId="9" hidden="1"/>
    <cellStyle name="Lien hypertexte visité" xfId="15511" builtinId="9" hidden="1"/>
    <cellStyle name="Lien hypertexte visité" xfId="15767" builtinId="9" hidden="1"/>
    <cellStyle name="Lien hypertexte visité" xfId="16023" builtinId="9" hidden="1"/>
    <cellStyle name="Lien hypertexte visité" xfId="16279" builtinId="9" hidden="1"/>
    <cellStyle name="Lien hypertexte visité" xfId="16535" builtinId="9" hidden="1"/>
    <cellStyle name="Lien hypertexte visité" xfId="16791" builtinId="9" hidden="1"/>
    <cellStyle name="Lien hypertexte visité" xfId="17047" builtinId="9" hidden="1"/>
    <cellStyle name="Lien hypertexte visité" xfId="17303" builtinId="9" hidden="1"/>
    <cellStyle name="Lien hypertexte visité" xfId="17559" builtinId="9" hidden="1"/>
    <cellStyle name="Lien hypertexte visité" xfId="17815" builtinId="9" hidden="1"/>
    <cellStyle name="Lien hypertexte visité" xfId="18071" builtinId="9" hidden="1"/>
    <cellStyle name="Lien hypertexte visité" xfId="18318" builtinId="9" hidden="1"/>
    <cellStyle name="Lien hypertexte visité" xfId="18566" builtinId="9" hidden="1"/>
    <cellStyle name="Lien hypertexte visité" xfId="18822" builtinId="9" hidden="1"/>
    <cellStyle name="Lien hypertexte visité" xfId="19078" builtinId="9" hidden="1"/>
    <cellStyle name="Lien hypertexte visité" xfId="5203" builtinId="9" hidden="1"/>
    <cellStyle name="Lien hypertexte visité" xfId="5235" builtinId="9" hidden="1"/>
    <cellStyle name="Lien hypertexte visité" xfId="5283" builtinId="9" hidden="1"/>
    <cellStyle name="Lien hypertexte visité" xfId="5315" builtinId="9" hidden="1"/>
    <cellStyle name="Lien hypertexte visité" xfId="5347" builtinId="9" hidden="1"/>
    <cellStyle name="Lien hypertexte visité" xfId="5395" builtinId="9" hidden="1"/>
    <cellStyle name="Lien hypertexte visité" xfId="5427" builtinId="9" hidden="1"/>
    <cellStyle name="Lien hypertexte visité" xfId="5459" builtinId="9" hidden="1"/>
    <cellStyle name="Lien hypertexte visité" xfId="5491" builtinId="9" hidden="1"/>
    <cellStyle name="Lien hypertexte visité" xfId="5539" builtinId="9" hidden="1"/>
    <cellStyle name="Lien hypertexte visité" xfId="5571" builtinId="9" hidden="1"/>
    <cellStyle name="Lien hypertexte visité" xfId="5603" builtinId="9" hidden="1"/>
    <cellStyle name="Lien hypertexte visité" xfId="5651" builtinId="9" hidden="1"/>
    <cellStyle name="Lien hypertexte visité" xfId="5683" builtinId="9" hidden="1"/>
    <cellStyle name="Lien hypertexte visité" xfId="5715" builtinId="9" hidden="1"/>
    <cellStyle name="Lien hypertexte visité" xfId="5747" builtinId="9" hidden="1"/>
    <cellStyle name="Lien hypertexte visité" xfId="5795" builtinId="9" hidden="1"/>
    <cellStyle name="Lien hypertexte visité" xfId="5827" builtinId="9" hidden="1"/>
    <cellStyle name="Lien hypertexte visité" xfId="5859" builtinId="9" hidden="1"/>
    <cellStyle name="Lien hypertexte visité" xfId="5907" builtinId="9" hidden="1"/>
    <cellStyle name="Lien hypertexte visité" xfId="5939" builtinId="9" hidden="1"/>
    <cellStyle name="Lien hypertexte visité" xfId="5971" builtinId="9" hidden="1"/>
    <cellStyle name="Lien hypertexte visité" xfId="6003" builtinId="9" hidden="1"/>
    <cellStyle name="Lien hypertexte visité" xfId="6051" builtinId="9" hidden="1"/>
    <cellStyle name="Lien hypertexte visité" xfId="6083" builtinId="9" hidden="1"/>
    <cellStyle name="Lien hypertexte visité" xfId="6115" builtinId="9" hidden="1"/>
    <cellStyle name="Lien hypertexte visité" xfId="6163" builtinId="9" hidden="1"/>
    <cellStyle name="Lien hypertexte visité" xfId="6195" builtinId="9" hidden="1"/>
    <cellStyle name="Lien hypertexte visité" xfId="6227" builtinId="9" hidden="1"/>
    <cellStyle name="Lien hypertexte visité" xfId="6259" builtinId="9" hidden="1"/>
    <cellStyle name="Lien hypertexte visité" xfId="6307" builtinId="9" hidden="1"/>
    <cellStyle name="Lien hypertexte visité" xfId="6339" builtinId="9" hidden="1"/>
    <cellStyle name="Lien hypertexte visité" xfId="6371" builtinId="9" hidden="1"/>
    <cellStyle name="Lien hypertexte visité" xfId="6419" builtinId="9" hidden="1"/>
    <cellStyle name="Lien hypertexte visité" xfId="6451" builtinId="9" hidden="1"/>
    <cellStyle name="Lien hypertexte visité" xfId="6483" builtinId="9" hidden="1"/>
    <cellStyle name="Lien hypertexte visité" xfId="6515" builtinId="9" hidden="1"/>
    <cellStyle name="Lien hypertexte visité" xfId="6563" builtinId="9" hidden="1"/>
    <cellStyle name="Lien hypertexte visité" xfId="6595" builtinId="9" hidden="1"/>
    <cellStyle name="Lien hypertexte visité" xfId="6627" builtinId="9" hidden="1"/>
    <cellStyle name="Lien hypertexte visité" xfId="6675" builtinId="9" hidden="1"/>
    <cellStyle name="Lien hypertexte visité" xfId="6707" builtinId="9" hidden="1"/>
    <cellStyle name="Lien hypertexte visité" xfId="6739" builtinId="9" hidden="1"/>
    <cellStyle name="Lien hypertexte visité" xfId="6771" builtinId="9" hidden="1"/>
    <cellStyle name="Lien hypertexte visité" xfId="6819" builtinId="9" hidden="1"/>
    <cellStyle name="Lien hypertexte visité" xfId="6851" builtinId="9" hidden="1"/>
    <cellStyle name="Lien hypertexte visité" xfId="6883" builtinId="9" hidden="1"/>
    <cellStyle name="Lien hypertexte visité" xfId="6931" builtinId="9" hidden="1"/>
    <cellStyle name="Lien hypertexte visité" xfId="6963" builtinId="9" hidden="1"/>
    <cellStyle name="Lien hypertexte visité" xfId="6995" builtinId="9" hidden="1"/>
    <cellStyle name="Lien hypertexte visité" xfId="7027" builtinId="9" hidden="1"/>
    <cellStyle name="Lien hypertexte visité" xfId="7075" builtinId="9" hidden="1"/>
    <cellStyle name="Lien hypertexte visité" xfId="7107" builtinId="9" hidden="1"/>
    <cellStyle name="Lien hypertexte visité" xfId="7139" builtinId="9" hidden="1"/>
    <cellStyle name="Lien hypertexte visité" xfId="7187" builtinId="9" hidden="1"/>
    <cellStyle name="Lien hypertexte visité" xfId="7219" builtinId="9" hidden="1"/>
    <cellStyle name="Lien hypertexte visité" xfId="7251" builtinId="9" hidden="1"/>
    <cellStyle name="Lien hypertexte visité" xfId="7283" builtinId="9" hidden="1"/>
    <cellStyle name="Lien hypertexte visité" xfId="7331" builtinId="9" hidden="1"/>
    <cellStyle name="Lien hypertexte visité" xfId="7363" builtinId="9" hidden="1"/>
    <cellStyle name="Lien hypertexte visité" xfId="7395" builtinId="9" hidden="1"/>
    <cellStyle name="Lien hypertexte visité" xfId="7443" builtinId="9" hidden="1"/>
    <cellStyle name="Lien hypertexte visité" xfId="7475" builtinId="9" hidden="1"/>
    <cellStyle name="Lien hypertexte visité" xfId="7507" builtinId="9" hidden="1"/>
    <cellStyle name="Lien hypertexte visité" xfId="7539" builtinId="9" hidden="1"/>
    <cellStyle name="Lien hypertexte visité" xfId="7587" builtinId="9" hidden="1"/>
    <cellStyle name="Lien hypertexte visité" xfId="7619" builtinId="9" hidden="1"/>
    <cellStyle name="Lien hypertexte visité" xfId="7651" builtinId="9" hidden="1"/>
    <cellStyle name="Lien hypertexte visité" xfId="7699" builtinId="9" hidden="1"/>
    <cellStyle name="Lien hypertexte visité" xfId="7731" builtinId="9" hidden="1"/>
    <cellStyle name="Lien hypertexte visité" xfId="7763" builtinId="9" hidden="1"/>
    <cellStyle name="Lien hypertexte visité" xfId="7795" builtinId="9" hidden="1"/>
    <cellStyle name="Lien hypertexte visité" xfId="7844" builtinId="9" hidden="1"/>
    <cellStyle name="Lien hypertexte visité" xfId="7876" builtinId="9" hidden="1"/>
    <cellStyle name="Lien hypertexte visité" xfId="7908" builtinId="9" hidden="1"/>
    <cellStyle name="Lien hypertexte visité" xfId="7956" builtinId="9" hidden="1"/>
    <cellStyle name="Lien hypertexte visité" xfId="7988" builtinId="9" hidden="1"/>
    <cellStyle name="Lien hypertexte visité" xfId="8020" builtinId="9" hidden="1"/>
    <cellStyle name="Lien hypertexte visité" xfId="8052" builtinId="9" hidden="1"/>
    <cellStyle name="Lien hypertexte visité" xfId="8100" builtinId="9" hidden="1"/>
    <cellStyle name="Lien hypertexte visité" xfId="8132" builtinId="9" hidden="1"/>
    <cellStyle name="Lien hypertexte visité" xfId="8164" builtinId="9" hidden="1"/>
    <cellStyle name="Lien hypertexte visité" xfId="8212" builtinId="9" hidden="1"/>
    <cellStyle name="Lien hypertexte visité" xfId="8244" builtinId="9" hidden="1"/>
    <cellStyle name="Lien hypertexte visité" xfId="8276" builtinId="9" hidden="1"/>
    <cellStyle name="Lien hypertexte visité" xfId="8308" builtinId="9" hidden="1"/>
    <cellStyle name="Lien hypertexte visité" xfId="8356" builtinId="9" hidden="1"/>
    <cellStyle name="Lien hypertexte visité" xfId="8388" builtinId="9" hidden="1"/>
    <cellStyle name="Lien hypertexte visité" xfId="8420" builtinId="9" hidden="1"/>
    <cellStyle name="Lien hypertexte visité" xfId="8468" builtinId="9" hidden="1"/>
    <cellStyle name="Lien hypertexte visité" xfId="8500" builtinId="9" hidden="1"/>
    <cellStyle name="Lien hypertexte visité" xfId="8532" builtinId="9" hidden="1"/>
    <cellStyle name="Lien hypertexte visité" xfId="8564" builtinId="9" hidden="1"/>
    <cellStyle name="Lien hypertexte visité" xfId="8612" builtinId="9" hidden="1"/>
    <cellStyle name="Lien hypertexte visité" xfId="8644" builtinId="9" hidden="1"/>
    <cellStyle name="Lien hypertexte visité" xfId="8676" builtinId="9" hidden="1"/>
    <cellStyle name="Lien hypertexte visité" xfId="8724" builtinId="9" hidden="1"/>
    <cellStyle name="Lien hypertexte visité" xfId="8756" builtinId="9" hidden="1"/>
    <cellStyle name="Lien hypertexte visité" xfId="8788" builtinId="9" hidden="1"/>
    <cellStyle name="Lien hypertexte visité" xfId="8820" builtinId="9" hidden="1"/>
    <cellStyle name="Lien hypertexte visité" xfId="8868" builtinId="9" hidden="1"/>
    <cellStyle name="Lien hypertexte visité" xfId="8900" builtinId="9" hidden="1"/>
    <cellStyle name="Lien hypertexte visité" xfId="8932" builtinId="9" hidden="1"/>
    <cellStyle name="Lien hypertexte visité" xfId="8980" builtinId="9" hidden="1"/>
    <cellStyle name="Lien hypertexte visité" xfId="9012" builtinId="9" hidden="1"/>
    <cellStyle name="Lien hypertexte visité" xfId="9044" builtinId="9" hidden="1"/>
    <cellStyle name="Lien hypertexte visité" xfId="9076" builtinId="9" hidden="1"/>
    <cellStyle name="Lien hypertexte visité" xfId="9124" builtinId="9" hidden="1"/>
    <cellStyle name="Lien hypertexte visité" xfId="9156" builtinId="9" hidden="1"/>
    <cellStyle name="Lien hypertexte visité" xfId="9188" builtinId="9" hidden="1"/>
    <cellStyle name="Lien hypertexte visité" xfId="9236" builtinId="9" hidden="1"/>
    <cellStyle name="Lien hypertexte visité" xfId="9268" builtinId="9" hidden="1"/>
    <cellStyle name="Lien hypertexte visité" xfId="9300" builtinId="9" hidden="1"/>
    <cellStyle name="Lien hypertexte visité" xfId="9332" builtinId="9" hidden="1"/>
    <cellStyle name="Lien hypertexte visité" xfId="9380" builtinId="9" hidden="1"/>
    <cellStyle name="Lien hypertexte visité" xfId="9412" builtinId="9" hidden="1"/>
    <cellStyle name="Lien hypertexte visité" xfId="9444" builtinId="9" hidden="1"/>
    <cellStyle name="Lien hypertexte visité" xfId="9492" builtinId="9" hidden="1"/>
    <cellStyle name="Lien hypertexte visité" xfId="9524" builtinId="9" hidden="1"/>
    <cellStyle name="Lien hypertexte visité" xfId="9556" builtinId="9" hidden="1"/>
    <cellStyle name="Lien hypertexte visité" xfId="9588" builtinId="9" hidden="1"/>
    <cellStyle name="Lien hypertexte visité" xfId="9636" builtinId="9" hidden="1"/>
    <cellStyle name="Lien hypertexte visité" xfId="9668" builtinId="9" hidden="1"/>
    <cellStyle name="Lien hypertexte visité" xfId="9700" builtinId="9" hidden="1"/>
    <cellStyle name="Lien hypertexte visité" xfId="9748" builtinId="9" hidden="1"/>
    <cellStyle name="Lien hypertexte visité" xfId="9780" builtinId="9" hidden="1"/>
    <cellStyle name="Lien hypertexte visité" xfId="9812" builtinId="9" hidden="1"/>
    <cellStyle name="Lien hypertexte visité" xfId="9844" builtinId="9" hidden="1"/>
    <cellStyle name="Lien hypertexte visité" xfId="9892" builtinId="9" hidden="1"/>
    <cellStyle name="Lien hypertexte visité" xfId="9924" builtinId="9" hidden="1"/>
    <cellStyle name="Lien hypertexte visité" xfId="9956" builtinId="9" hidden="1"/>
    <cellStyle name="Lien hypertexte visité" xfId="10004" builtinId="9" hidden="1"/>
    <cellStyle name="Lien hypertexte visité" xfId="10036" builtinId="9" hidden="1"/>
    <cellStyle name="Lien hypertexte visité" xfId="10068" builtinId="9" hidden="1"/>
    <cellStyle name="Lien hypertexte visité" xfId="10100" builtinId="9" hidden="1"/>
    <cellStyle name="Lien hypertexte visité" xfId="10148" builtinId="9" hidden="1"/>
    <cellStyle name="Lien hypertexte visité" xfId="10180" builtinId="9" hidden="1"/>
    <cellStyle name="Lien hypertexte visité" xfId="10212" builtinId="9" hidden="1"/>
    <cellStyle name="Lien hypertexte visité" xfId="10260" builtinId="9" hidden="1"/>
    <cellStyle name="Lien hypertexte visité" xfId="10292" builtinId="9" hidden="1"/>
    <cellStyle name="Lien hypertexte visité" xfId="10324" builtinId="9" hidden="1"/>
    <cellStyle name="Lien hypertexte visité" xfId="10356" builtinId="9" hidden="1"/>
    <cellStyle name="Lien hypertexte visité" xfId="10404" builtinId="9" hidden="1"/>
    <cellStyle name="Lien hypertexte visité" xfId="10436" builtinId="9" hidden="1"/>
    <cellStyle name="Lien hypertexte visité" xfId="10468" builtinId="9" hidden="1"/>
    <cellStyle name="Lien hypertexte visité" xfId="10516" builtinId="9" hidden="1"/>
    <cellStyle name="Lien hypertexte visité" xfId="10548" builtinId="9" hidden="1"/>
    <cellStyle name="Lien hypertexte visité" xfId="10580" builtinId="9" hidden="1"/>
    <cellStyle name="Lien hypertexte visité" xfId="10612" builtinId="9" hidden="1"/>
    <cellStyle name="Lien hypertexte visité" xfId="10660" builtinId="9" hidden="1"/>
    <cellStyle name="Lien hypertexte visité" xfId="10692" builtinId="9" hidden="1"/>
    <cellStyle name="Lien hypertexte visité" xfId="10724" builtinId="9" hidden="1"/>
    <cellStyle name="Lien hypertexte visité" xfId="10772" builtinId="9" hidden="1"/>
    <cellStyle name="Lien hypertexte visité" xfId="10804" builtinId="9" hidden="1"/>
    <cellStyle name="Lien hypertexte visité" xfId="10836" builtinId="9" hidden="1"/>
    <cellStyle name="Lien hypertexte visité" xfId="10868" builtinId="9" hidden="1"/>
    <cellStyle name="Lien hypertexte visité" xfId="10916" builtinId="9" hidden="1"/>
    <cellStyle name="Lien hypertexte visité" xfId="10948" builtinId="9" hidden="1"/>
    <cellStyle name="Lien hypertexte visité" xfId="10980" builtinId="9" hidden="1"/>
    <cellStyle name="Lien hypertexte visité" xfId="11028" builtinId="9" hidden="1"/>
    <cellStyle name="Lien hypertexte visité" xfId="11060" builtinId="9" hidden="1"/>
    <cellStyle name="Lien hypertexte visité" xfId="11092" builtinId="9" hidden="1"/>
    <cellStyle name="Lien hypertexte visité" xfId="11124" builtinId="9" hidden="1"/>
    <cellStyle name="Lien hypertexte visité" xfId="11172" builtinId="9" hidden="1"/>
    <cellStyle name="Lien hypertexte visité" xfId="11204" builtinId="9" hidden="1"/>
    <cellStyle name="Lien hypertexte visité" xfId="11236" builtinId="9" hidden="1"/>
    <cellStyle name="Lien hypertexte visité" xfId="11284" builtinId="9" hidden="1"/>
    <cellStyle name="Lien hypertexte visité" xfId="11316" builtinId="9" hidden="1"/>
    <cellStyle name="Lien hypertexte visité" xfId="11348" builtinId="9" hidden="1"/>
    <cellStyle name="Lien hypertexte visité" xfId="11380" builtinId="9" hidden="1"/>
    <cellStyle name="Lien hypertexte visité" xfId="11428" builtinId="9" hidden="1"/>
    <cellStyle name="Lien hypertexte visité" xfId="11460" builtinId="9" hidden="1"/>
    <cellStyle name="Lien hypertexte visité" xfId="11492" builtinId="9" hidden="1"/>
    <cellStyle name="Lien hypertexte visité" xfId="11540" builtinId="9" hidden="1"/>
    <cellStyle name="Lien hypertexte visité" xfId="11572" builtinId="9" hidden="1"/>
    <cellStyle name="Lien hypertexte visité" xfId="11604" builtinId="9" hidden="1"/>
    <cellStyle name="Lien hypertexte visité" xfId="11636" builtinId="9" hidden="1"/>
    <cellStyle name="Lien hypertexte visité" xfId="11684" builtinId="9" hidden="1"/>
    <cellStyle name="Lien hypertexte visité" xfId="11716" builtinId="9" hidden="1"/>
    <cellStyle name="Lien hypertexte visité" xfId="11748" builtinId="9" hidden="1"/>
    <cellStyle name="Lien hypertexte visité" xfId="11796" builtinId="9" hidden="1"/>
    <cellStyle name="Lien hypertexte visité" xfId="11828" builtinId="9" hidden="1"/>
    <cellStyle name="Lien hypertexte visité" xfId="11860" builtinId="9" hidden="1"/>
    <cellStyle name="Lien hypertexte visité" xfId="11892" builtinId="9" hidden="1"/>
    <cellStyle name="Lien hypertexte visité" xfId="11940" builtinId="9" hidden="1"/>
    <cellStyle name="Lien hypertexte visité" xfId="11972" builtinId="9" hidden="1"/>
    <cellStyle name="Lien hypertexte visité" xfId="12004" builtinId="9" hidden="1"/>
    <cellStyle name="Lien hypertexte visité" xfId="12052" builtinId="9" hidden="1"/>
    <cellStyle name="Lien hypertexte visité" xfId="12084" builtinId="9" hidden="1"/>
    <cellStyle name="Lien hypertexte visité" xfId="12116" builtinId="9" hidden="1"/>
    <cellStyle name="Lien hypertexte visité" xfId="12148" builtinId="9" hidden="1"/>
    <cellStyle name="Lien hypertexte visité" xfId="12196" builtinId="9" hidden="1"/>
    <cellStyle name="Lien hypertexte visité" xfId="12228" builtinId="9" hidden="1"/>
    <cellStyle name="Lien hypertexte visité" xfId="12260" builtinId="9" hidden="1"/>
    <cellStyle name="Lien hypertexte visité" xfId="12308" builtinId="9" hidden="1"/>
    <cellStyle name="Lien hypertexte visité" xfId="12340" builtinId="9" hidden="1"/>
    <cellStyle name="Lien hypertexte visité" xfId="12372" builtinId="9" hidden="1"/>
    <cellStyle name="Lien hypertexte visité" xfId="12404" builtinId="9" hidden="1"/>
    <cellStyle name="Lien hypertexte visité" xfId="12452" builtinId="9" hidden="1"/>
    <cellStyle name="Lien hypertexte visité" xfId="12484" builtinId="9" hidden="1"/>
    <cellStyle name="Lien hypertexte visité" xfId="12516" builtinId="9" hidden="1"/>
    <cellStyle name="Lien hypertexte visité" xfId="12564" builtinId="9" hidden="1"/>
    <cellStyle name="Lien hypertexte visité" xfId="12596" builtinId="9" hidden="1"/>
    <cellStyle name="Lien hypertexte visité" xfId="12628" builtinId="9" hidden="1"/>
    <cellStyle name="Lien hypertexte visité" xfId="12660" builtinId="9" hidden="1"/>
    <cellStyle name="Lien hypertexte visité" xfId="12708" builtinId="9" hidden="1"/>
    <cellStyle name="Lien hypertexte visité" xfId="12740" builtinId="9" hidden="1"/>
    <cellStyle name="Lien hypertexte visité" xfId="12772" builtinId="9" hidden="1"/>
    <cellStyle name="Lien hypertexte visité" xfId="12820" builtinId="9" hidden="1"/>
    <cellStyle name="Lien hypertexte visité" xfId="12852" builtinId="9" hidden="1"/>
    <cellStyle name="Lien hypertexte visité" xfId="12884" builtinId="9" hidden="1"/>
    <cellStyle name="Lien hypertexte visité" xfId="12916" builtinId="9" hidden="1"/>
    <cellStyle name="Lien hypertexte visité" xfId="12964" builtinId="9" hidden="1"/>
    <cellStyle name="Lien hypertexte visité" xfId="12996" builtinId="9" hidden="1"/>
    <cellStyle name="Lien hypertexte visité" xfId="13028" builtinId="9" hidden="1"/>
    <cellStyle name="Lien hypertexte visité" xfId="13076" builtinId="9" hidden="1"/>
    <cellStyle name="Lien hypertexte visité" xfId="13108" builtinId="9" hidden="1"/>
    <cellStyle name="Lien hypertexte visité" xfId="13140" builtinId="9" hidden="1"/>
    <cellStyle name="Lien hypertexte visité" xfId="13172" builtinId="9" hidden="1"/>
    <cellStyle name="Lien hypertexte visité" xfId="13220" builtinId="9" hidden="1"/>
    <cellStyle name="Lien hypertexte visité" xfId="13252" builtinId="9" hidden="1"/>
    <cellStyle name="Lien hypertexte visité" xfId="13284" builtinId="9" hidden="1"/>
    <cellStyle name="Lien hypertexte visité" xfId="13332" builtinId="9" hidden="1"/>
    <cellStyle name="Lien hypertexte visité" xfId="13364" builtinId="9" hidden="1"/>
    <cellStyle name="Lien hypertexte visité" xfId="13396" builtinId="9" hidden="1"/>
    <cellStyle name="Lien hypertexte visité" xfId="13428" builtinId="9" hidden="1"/>
    <cellStyle name="Lien hypertexte visité" xfId="13476" builtinId="9" hidden="1"/>
    <cellStyle name="Lien hypertexte visité" xfId="13508" builtinId="9" hidden="1"/>
    <cellStyle name="Lien hypertexte visité" xfId="13540" builtinId="9" hidden="1"/>
    <cellStyle name="Lien hypertexte visité" xfId="13588" builtinId="9" hidden="1"/>
    <cellStyle name="Lien hypertexte visité" xfId="13620" builtinId="9" hidden="1"/>
    <cellStyle name="Lien hypertexte visité" xfId="13652" builtinId="9" hidden="1"/>
    <cellStyle name="Lien hypertexte visité" xfId="13684" builtinId="9" hidden="1"/>
    <cellStyle name="Lien hypertexte visité" xfId="13732" builtinId="9" hidden="1"/>
    <cellStyle name="Lien hypertexte visité" xfId="13764" builtinId="9" hidden="1"/>
    <cellStyle name="Lien hypertexte visité" xfId="13796" builtinId="9" hidden="1"/>
    <cellStyle name="Lien hypertexte visité" xfId="13844" builtinId="9" hidden="1"/>
    <cellStyle name="Lien hypertexte visité" xfId="13876" builtinId="9" hidden="1"/>
    <cellStyle name="Lien hypertexte visité" xfId="13908" builtinId="9" hidden="1"/>
    <cellStyle name="Lien hypertexte visité" xfId="13940" builtinId="9" hidden="1"/>
    <cellStyle name="Lien hypertexte visité" xfId="13988" builtinId="9" hidden="1"/>
    <cellStyle name="Lien hypertexte visité" xfId="14020" builtinId="9" hidden="1"/>
    <cellStyle name="Lien hypertexte visité" xfId="14052" builtinId="9" hidden="1"/>
    <cellStyle name="Lien hypertexte visité" xfId="14100" builtinId="9" hidden="1"/>
    <cellStyle name="Lien hypertexte visité" xfId="14132" builtinId="9" hidden="1"/>
    <cellStyle name="Lien hypertexte visité" xfId="14164" builtinId="9" hidden="1"/>
    <cellStyle name="Lien hypertexte visité" xfId="14196" builtinId="9" hidden="1"/>
    <cellStyle name="Lien hypertexte visité" xfId="14244" builtinId="9" hidden="1"/>
    <cellStyle name="Lien hypertexte visité" xfId="14276" builtinId="9" hidden="1"/>
    <cellStyle name="Lien hypertexte visité" xfId="14308" builtinId="9" hidden="1"/>
    <cellStyle name="Lien hypertexte visité" xfId="14356" builtinId="9" hidden="1"/>
    <cellStyle name="Lien hypertexte visité" xfId="14388" builtinId="9" hidden="1"/>
    <cellStyle name="Lien hypertexte visité" xfId="14420" builtinId="9" hidden="1"/>
    <cellStyle name="Lien hypertexte visité" xfId="14452" builtinId="9" hidden="1"/>
    <cellStyle name="Lien hypertexte visité" xfId="14500" builtinId="9" hidden="1"/>
    <cellStyle name="Lien hypertexte visité" xfId="14549" builtinId="9" hidden="1"/>
    <cellStyle name="Lien hypertexte visité" xfId="14613" builtinId="9" hidden="1"/>
    <cellStyle name="Lien hypertexte visité" xfId="14709" builtinId="9" hidden="1"/>
    <cellStyle name="Lien hypertexte visité" xfId="14773" builtinId="9" hidden="1"/>
    <cellStyle name="Lien hypertexte visité" xfId="14837" builtinId="9" hidden="1"/>
    <cellStyle name="Lien hypertexte visité" xfId="14901" builtinId="9" hidden="1"/>
    <cellStyle name="Lien hypertexte visité" xfId="14997" builtinId="9" hidden="1"/>
    <cellStyle name="Lien hypertexte visité" xfId="15061" builtinId="9" hidden="1"/>
    <cellStyle name="Lien hypertexte visité" xfId="15125" builtinId="9" hidden="1"/>
    <cellStyle name="Lien hypertexte visité" xfId="15221" builtinId="9" hidden="1"/>
    <cellStyle name="Lien hypertexte visité" xfId="15285" builtinId="9" hidden="1"/>
    <cellStyle name="Lien hypertexte visité" xfId="15349" builtinId="9" hidden="1"/>
    <cellStyle name="Lien hypertexte visité" xfId="15413" builtinId="9" hidden="1"/>
    <cellStyle name="Lien hypertexte visité" xfId="15509" builtinId="9" hidden="1"/>
    <cellStyle name="Lien hypertexte visité" xfId="15573" builtinId="9" hidden="1"/>
    <cellStyle name="Lien hypertexte visité" xfId="15637" builtinId="9" hidden="1"/>
    <cellStyle name="Lien hypertexte visité" xfId="15733" builtinId="9" hidden="1"/>
    <cellStyle name="Lien hypertexte visité" xfId="15797" builtinId="9" hidden="1"/>
    <cellStyle name="Lien hypertexte visité" xfId="15861" builtinId="9" hidden="1"/>
    <cellStyle name="Lien hypertexte visité" xfId="15925" builtinId="9" hidden="1"/>
    <cellStyle name="Lien hypertexte visité" xfId="16021" builtinId="9" hidden="1"/>
    <cellStyle name="Lien hypertexte visité" xfId="16085" builtinId="9" hidden="1"/>
    <cellStyle name="Lien hypertexte visité" xfId="16149" builtinId="9" hidden="1"/>
    <cellStyle name="Lien hypertexte visité" xfId="16245" builtinId="9" hidden="1"/>
    <cellStyle name="Lien hypertexte visité" xfId="16309" builtinId="9" hidden="1"/>
    <cellStyle name="Lien hypertexte visité" xfId="16373" builtinId="9" hidden="1"/>
    <cellStyle name="Lien hypertexte visité" xfId="16437" builtinId="9" hidden="1"/>
    <cellStyle name="Lien hypertexte visité" xfId="16533" builtinId="9" hidden="1"/>
    <cellStyle name="Lien hypertexte visité" xfId="16597" builtinId="9" hidden="1"/>
    <cellStyle name="Lien hypertexte visité" xfId="16661" builtinId="9" hidden="1"/>
    <cellStyle name="Lien hypertexte visité" xfId="16757" builtinId="9" hidden="1"/>
    <cellStyle name="Lien hypertexte visité" xfId="16821" builtinId="9" hidden="1"/>
    <cellStyle name="Lien hypertexte visité" xfId="16885" builtinId="9" hidden="1"/>
    <cellStyle name="Lien hypertexte visité" xfId="16949" builtinId="9" hidden="1"/>
    <cellStyle name="Lien hypertexte visité" xfId="17045" builtinId="9" hidden="1"/>
    <cellStyle name="Lien hypertexte visité" xfId="17109" builtinId="9" hidden="1"/>
    <cellStyle name="Lien hypertexte visité" xfId="17173" builtinId="9" hidden="1"/>
    <cellStyle name="Lien hypertexte visité" xfId="17269" builtinId="9" hidden="1"/>
    <cellStyle name="Lien hypertexte visité" xfId="17333" builtinId="9" hidden="1"/>
    <cellStyle name="Lien hypertexte visité" xfId="17397" builtinId="9" hidden="1"/>
    <cellStyle name="Lien hypertexte visité" xfId="17461" builtinId="9" hidden="1"/>
    <cellStyle name="Lien hypertexte visité" xfId="17557" builtinId="9" hidden="1"/>
    <cellStyle name="Lien hypertexte visité" xfId="17621" builtinId="9" hidden="1"/>
    <cellStyle name="Lien hypertexte visité" xfId="17685" builtinId="9" hidden="1"/>
    <cellStyle name="Lien hypertexte visité" xfId="17781" builtinId="9" hidden="1"/>
    <cellStyle name="Lien hypertexte visité" xfId="17845" builtinId="9" hidden="1"/>
    <cellStyle name="Lien hypertexte visité" xfId="17909" builtinId="9" hidden="1"/>
    <cellStyle name="Lien hypertexte visité" xfId="17973" builtinId="9" hidden="1"/>
    <cellStyle name="Lien hypertexte visité" xfId="18069" builtinId="9" hidden="1"/>
    <cellStyle name="Lien hypertexte visité" xfId="18133" builtinId="9" hidden="1"/>
    <cellStyle name="Lien hypertexte visité" xfId="18197" builtinId="9" hidden="1"/>
    <cellStyle name="Lien hypertexte visité" xfId="18293" builtinId="9" hidden="1"/>
    <cellStyle name="Lien hypertexte visité" xfId="18340" builtinId="9" hidden="1"/>
    <cellStyle name="Lien hypertexte visité" xfId="18404" builtinId="9" hidden="1"/>
    <cellStyle name="Lien hypertexte visité" xfId="18468" builtinId="9" hidden="1"/>
    <cellStyle name="Lien hypertexte visité" xfId="18564" builtinId="9" hidden="1"/>
    <cellStyle name="Lien hypertexte visité" xfId="18628" builtinId="9" hidden="1"/>
    <cellStyle name="Lien hypertexte visité" xfId="18692" builtinId="9" hidden="1"/>
    <cellStyle name="Lien hypertexte visité" xfId="18788" builtinId="9" hidden="1"/>
    <cellStyle name="Lien hypertexte visité" xfId="18852" builtinId="9" hidden="1"/>
    <cellStyle name="Lien hypertexte visité" xfId="18916" builtinId="9" hidden="1"/>
    <cellStyle name="Lien hypertexte visité" xfId="18980" builtinId="9" hidden="1"/>
    <cellStyle name="Lien hypertexte visité" xfId="19076" builtinId="9" hidden="1"/>
    <cellStyle name="Lien hypertexte visité" xfId="19140" builtinId="9" hidden="1"/>
    <cellStyle name="Lien hypertexte visité" xfId="19204" builtinId="9" hidden="1"/>
    <cellStyle name="Lien hypertexte visité" xfId="19300" builtinId="9" hidden="1"/>
    <cellStyle name="Lien hypertexte visité" xfId="19364" builtinId="9" hidden="1"/>
    <cellStyle name="Lien hypertexte visité" xfId="19428" builtinId="9" hidden="1"/>
    <cellStyle name="Lien hypertexte visité" xfId="19492" builtinId="9" hidden="1"/>
    <cellStyle name="Lien hypertexte visité" xfId="19588" builtinId="9" hidden="1"/>
    <cellStyle name="Lien hypertexte visité" xfId="19652" builtinId="9" hidden="1"/>
    <cellStyle name="Lien hypertexte visité" xfId="19716" builtinId="9" hidden="1"/>
    <cellStyle name="Lien hypertexte visité" xfId="19812" builtinId="9" hidden="1"/>
    <cellStyle name="Lien hypertexte visité" xfId="19876" builtinId="9" hidden="1"/>
    <cellStyle name="Lien hypertexte visité" xfId="19940" builtinId="9" hidden="1"/>
    <cellStyle name="Lien hypertexte visité" xfId="20004" builtinId="9" hidden="1"/>
    <cellStyle name="Lien hypertexte visité" xfId="20100" builtinId="9" hidden="1"/>
    <cellStyle name="Lien hypertexte visité" xfId="20164" builtinId="9" hidden="1"/>
    <cellStyle name="Lien hypertexte visité" xfId="20228" builtinId="9" hidden="1"/>
    <cellStyle name="Lien hypertexte visité" xfId="20324" builtinId="9" hidden="1"/>
    <cellStyle name="Lien hypertexte visité" xfId="20388" builtinId="9" hidden="1"/>
    <cellStyle name="Lien hypertexte visité" xfId="20452" builtinId="9" hidden="1"/>
    <cellStyle name="Lien hypertexte visité" xfId="20516" builtinId="9" hidden="1"/>
    <cellStyle name="Lien hypertexte visité" xfId="20612" builtinId="9" hidden="1"/>
    <cellStyle name="Lien hypertexte visité" xfId="20676" builtinId="9" hidden="1"/>
    <cellStyle name="Lien hypertexte visité" xfId="20740" builtinId="9" hidden="1"/>
    <cellStyle name="Lien hypertexte visité" xfId="20836" builtinId="9" hidden="1"/>
    <cellStyle name="Lien hypertexte visité" xfId="20900" builtinId="9" hidden="1"/>
    <cellStyle name="Lien hypertexte visité" xfId="20964" builtinId="9" hidden="1"/>
    <cellStyle name="Lien hypertexte visité" xfId="21028" builtinId="9" hidden="1"/>
    <cellStyle name="Lien hypertexte visité" xfId="21124" builtinId="9" hidden="1"/>
    <cellStyle name="Lien hypertexte visité" xfId="21188" builtinId="9" hidden="1"/>
    <cellStyle name="Lien hypertexte visité" xfId="21252" builtinId="9" hidden="1"/>
    <cellStyle name="Lien hypertexte visité" xfId="21348" builtinId="9" hidden="1"/>
    <cellStyle name="Lien hypertexte visité" xfId="21412" builtinId="9" hidden="1"/>
    <cellStyle name="Lien hypertexte visité" xfId="21476" builtinId="9" hidden="1"/>
    <cellStyle name="Lien hypertexte visité" xfId="21540" builtinId="9" hidden="1"/>
    <cellStyle name="Lien hypertexte visité" xfId="21636" builtinId="9" hidden="1"/>
    <cellStyle name="Lien hypertexte visité" xfId="21700" builtinId="9" hidden="1"/>
    <cellStyle name="Lien hypertexte visité" xfId="21764" builtinId="9" hidden="1"/>
    <cellStyle name="Lien hypertexte visité" xfId="21860" builtinId="9" hidden="1"/>
    <cellStyle name="Lien hypertexte visité" xfId="21924" builtinId="9" hidden="1"/>
    <cellStyle name="Lien hypertexte visité" xfId="21988" builtinId="9" hidden="1"/>
    <cellStyle name="Lien hypertexte visité" xfId="22052" builtinId="9" hidden="1"/>
    <cellStyle name="Lien hypertexte visité" xfId="22148" builtinId="9" hidden="1"/>
    <cellStyle name="Lien hypertexte visité" xfId="22212" builtinId="9" hidden="1"/>
    <cellStyle name="Lien hypertexte visité" xfId="22276" builtinId="9" hidden="1"/>
    <cellStyle name="Lien hypertexte visité" xfId="22372" builtinId="9" hidden="1"/>
    <cellStyle name="Lien hypertexte visité" xfId="22436" builtinId="9" hidden="1"/>
    <cellStyle name="Lien hypertexte visité" xfId="22500" builtinId="9" hidden="1"/>
    <cellStyle name="Lien hypertexte visité" xfId="22564" builtinId="9" hidden="1"/>
    <cellStyle name="Lien hypertexte visité" xfId="22660" builtinId="9" hidden="1"/>
    <cellStyle name="Lien hypertexte visité" xfId="22724" builtinId="9" hidden="1"/>
    <cellStyle name="Lien hypertexte visité" xfId="22788" builtinId="9" hidden="1"/>
    <cellStyle name="Lien hypertexte visité" xfId="22884" builtinId="9" hidden="1"/>
    <cellStyle name="Lien hypertexte visité" xfId="22948" builtinId="9" hidden="1"/>
    <cellStyle name="Lien hypertexte visité" xfId="23012" builtinId="9" hidden="1"/>
    <cellStyle name="Lien hypertexte visité" xfId="23076" builtinId="9" hidden="1"/>
    <cellStyle name="Lien hypertexte visité" xfId="23172" builtinId="9" hidden="1"/>
    <cellStyle name="Lien hypertexte visité" xfId="23236" builtinId="9" hidden="1"/>
    <cellStyle name="Lien hypertexte visité" xfId="23300" builtinId="9" hidden="1"/>
    <cellStyle name="Lien hypertexte visité" xfId="23396" builtinId="9" hidden="1"/>
    <cellStyle name="Lien hypertexte visité" xfId="23460" builtinId="9" hidden="1"/>
    <cellStyle name="Lien hypertexte visité" xfId="23524" builtinId="9" hidden="1"/>
    <cellStyle name="Lien hypertexte visité" xfId="23588" builtinId="9" hidden="1"/>
    <cellStyle name="Lien hypertexte visité" xfId="23684" builtinId="9" hidden="1"/>
    <cellStyle name="Lien hypertexte visité" xfId="23748" builtinId="9" hidden="1"/>
    <cellStyle name="Lien hypertexte visité" xfId="23812" builtinId="9" hidden="1"/>
    <cellStyle name="Lien hypertexte visité" xfId="23908" builtinId="9" hidden="1"/>
    <cellStyle name="Lien hypertexte visité" xfId="23972" builtinId="9" hidden="1"/>
    <cellStyle name="Lien hypertexte visité" xfId="24036" builtinId="9" hidden="1"/>
    <cellStyle name="Lien hypertexte visité" xfId="24100" builtinId="9" hidden="1"/>
    <cellStyle name="Lien hypertexte visité" xfId="24196" builtinId="9" hidden="1"/>
    <cellStyle name="Lien hypertexte visité" xfId="24260" builtinId="9" hidden="1"/>
    <cellStyle name="Lien hypertexte visité" xfId="24324" builtinId="9" hidden="1"/>
    <cellStyle name="Lien hypertexte visité" xfId="24420" builtinId="9" hidden="1"/>
    <cellStyle name="Lien hypertexte visité" xfId="24484" builtinId="9" hidden="1"/>
    <cellStyle name="Lien hypertexte visité" xfId="24548" builtinId="9" hidden="1"/>
    <cellStyle name="Lien hypertexte visité" xfId="24612" builtinId="9" hidden="1"/>
    <cellStyle name="Lien hypertexte visité" xfId="24518" builtinId="9" hidden="1"/>
    <cellStyle name="Lien hypertexte visité" xfId="24454" builtinId="9" hidden="1"/>
    <cellStyle name="Lien hypertexte visité" xfId="24390" builtinId="9" hidden="1"/>
    <cellStyle name="Lien hypertexte visité" xfId="24294" builtinId="9" hidden="1"/>
    <cellStyle name="Lien hypertexte visité" xfId="24230" builtinId="9" hidden="1"/>
    <cellStyle name="Lien hypertexte visité" xfId="24166" builtinId="9" hidden="1"/>
    <cellStyle name="Lien hypertexte visité" xfId="24102" builtinId="9" hidden="1"/>
    <cellStyle name="Lien hypertexte visité" xfId="24006" builtinId="9" hidden="1"/>
    <cellStyle name="Lien hypertexte visité" xfId="23942" builtinId="9" hidden="1"/>
    <cellStyle name="Lien hypertexte visité" xfId="23878" builtinId="9" hidden="1"/>
    <cellStyle name="Lien hypertexte visité" xfId="23782" builtinId="9" hidden="1"/>
    <cellStyle name="Lien hypertexte visité" xfId="23718" builtinId="9" hidden="1"/>
    <cellStyle name="Lien hypertexte visité" xfId="23654" builtinId="9" hidden="1"/>
    <cellStyle name="Lien hypertexte visité" xfId="23590" builtinId="9" hidden="1"/>
    <cellStyle name="Lien hypertexte visité" xfId="23494" builtinId="9" hidden="1"/>
    <cellStyle name="Lien hypertexte visité" xfId="23430" builtinId="9" hidden="1"/>
    <cellStyle name="Lien hypertexte visité" xfId="23366" builtinId="9" hidden="1"/>
    <cellStyle name="Lien hypertexte visité" xfId="23270" builtinId="9" hidden="1"/>
    <cellStyle name="Lien hypertexte visité" xfId="23206" builtinId="9" hidden="1"/>
    <cellStyle name="Lien hypertexte visité" xfId="23142" builtinId="9" hidden="1"/>
    <cellStyle name="Lien hypertexte visité" xfId="23078" builtinId="9" hidden="1"/>
    <cellStyle name="Lien hypertexte visité" xfId="22982" builtinId="9" hidden="1"/>
    <cellStyle name="Lien hypertexte visité" xfId="22918" builtinId="9" hidden="1"/>
    <cellStyle name="Lien hypertexte visité" xfId="22854" builtinId="9" hidden="1"/>
    <cellStyle name="Lien hypertexte visité" xfId="22758" builtinId="9" hidden="1"/>
    <cellStyle name="Lien hypertexte visité" xfId="22694" builtinId="9" hidden="1"/>
    <cellStyle name="Lien hypertexte visité" xfId="22630" builtinId="9" hidden="1"/>
    <cellStyle name="Lien hypertexte visité" xfId="22566" builtinId="9" hidden="1"/>
    <cellStyle name="Lien hypertexte visité" xfId="22470" builtinId="9" hidden="1"/>
    <cellStyle name="Lien hypertexte visité" xfId="22406" builtinId="9" hidden="1"/>
    <cellStyle name="Lien hypertexte visité" xfId="22342" builtinId="9" hidden="1"/>
    <cellStyle name="Lien hypertexte visité" xfId="22246" builtinId="9" hidden="1"/>
    <cellStyle name="Lien hypertexte visité" xfId="22182" builtinId="9" hidden="1"/>
    <cellStyle name="Lien hypertexte visité" xfId="22118" builtinId="9" hidden="1"/>
    <cellStyle name="Lien hypertexte visité" xfId="22054" builtinId="9" hidden="1"/>
    <cellStyle name="Lien hypertexte visité" xfId="21958" builtinId="9" hidden="1"/>
    <cellStyle name="Lien hypertexte visité" xfId="21894" builtinId="9" hidden="1"/>
    <cellStyle name="Lien hypertexte visité" xfId="21830" builtinId="9" hidden="1"/>
    <cellStyle name="Lien hypertexte visité" xfId="21734" builtinId="9" hidden="1"/>
    <cellStyle name="Lien hypertexte visité" xfId="21670" builtinId="9" hidden="1"/>
    <cellStyle name="Lien hypertexte visité" xfId="21606" builtinId="9" hidden="1"/>
    <cellStyle name="Lien hypertexte visité" xfId="21542" builtinId="9" hidden="1"/>
    <cellStyle name="Lien hypertexte visité" xfId="21446" builtinId="9" hidden="1"/>
    <cellStyle name="Lien hypertexte visité" xfId="21382" builtinId="9" hidden="1"/>
    <cellStyle name="Lien hypertexte visité" xfId="21318" builtinId="9" hidden="1"/>
    <cellStyle name="Lien hypertexte visité" xfId="21222" builtinId="9" hidden="1"/>
    <cellStyle name="Lien hypertexte visité" xfId="21158" builtinId="9" hidden="1"/>
    <cellStyle name="Lien hypertexte visité" xfId="21094" builtinId="9" hidden="1"/>
    <cellStyle name="Lien hypertexte visité" xfId="21030" builtinId="9" hidden="1"/>
    <cellStyle name="Lien hypertexte visité" xfId="20934" builtinId="9" hidden="1"/>
    <cellStyle name="Lien hypertexte visité" xfId="20870" builtinId="9" hidden="1"/>
    <cellStyle name="Lien hypertexte visité" xfId="20806" builtinId="9" hidden="1"/>
    <cellStyle name="Lien hypertexte visité" xfId="20710" builtinId="9" hidden="1"/>
    <cellStyle name="Lien hypertexte visité" xfId="20646" builtinId="9" hidden="1"/>
    <cellStyle name="Lien hypertexte visité" xfId="20582" builtinId="9" hidden="1"/>
    <cellStyle name="Lien hypertexte visité" xfId="20518" builtinId="9" hidden="1"/>
    <cellStyle name="Lien hypertexte visité" xfId="20422" builtinId="9" hidden="1"/>
    <cellStyle name="Lien hypertexte visité" xfId="20358" builtinId="9" hidden="1"/>
    <cellStyle name="Lien hypertexte visité" xfId="20294" builtinId="9" hidden="1"/>
    <cellStyle name="Lien hypertexte visité" xfId="20198" builtinId="9" hidden="1"/>
    <cellStyle name="Lien hypertexte visité" xfId="20134" builtinId="9" hidden="1"/>
    <cellStyle name="Lien hypertexte visité" xfId="20070" builtinId="9" hidden="1"/>
    <cellStyle name="Lien hypertexte visité" xfId="20006" builtinId="9" hidden="1"/>
    <cellStyle name="Lien hypertexte visité" xfId="19910" builtinId="9" hidden="1"/>
    <cellStyle name="Lien hypertexte visité" xfId="19846" builtinId="9" hidden="1"/>
    <cellStyle name="Lien hypertexte visité" xfId="19782" builtinId="9" hidden="1"/>
    <cellStyle name="Lien hypertexte visité" xfId="19686" builtinId="9" hidden="1"/>
    <cellStyle name="Lien hypertexte visité" xfId="19622" builtinId="9" hidden="1"/>
    <cellStyle name="Lien hypertexte visité" xfId="19558" builtinId="9" hidden="1"/>
    <cellStyle name="Lien hypertexte visité" xfId="19494" builtinId="9" hidden="1"/>
    <cellStyle name="Lien hypertexte visité" xfId="19398" builtinId="9" hidden="1"/>
    <cellStyle name="Lien hypertexte visité" xfId="19334" builtinId="9" hidden="1"/>
    <cellStyle name="Lien hypertexte visité" xfId="19270" builtinId="9" hidden="1"/>
    <cellStyle name="Lien hypertexte visité" xfId="19174" builtinId="9" hidden="1"/>
    <cellStyle name="Lien hypertexte visité" xfId="19110" builtinId="9" hidden="1"/>
    <cellStyle name="Lien hypertexte visité" xfId="19462" builtinId="9" hidden="1"/>
    <cellStyle name="Lien hypertexte visité" xfId="19974" builtinId="9" hidden="1"/>
    <cellStyle name="Lien hypertexte visité" xfId="20486" builtinId="9" hidden="1"/>
    <cellStyle name="Lien hypertexte visité" xfId="20998" builtinId="9" hidden="1"/>
    <cellStyle name="Lien hypertexte visité" xfId="21510" builtinId="9" hidden="1"/>
    <cellStyle name="Lien hypertexte visité" xfId="22022" builtinId="9" hidden="1"/>
    <cellStyle name="Lien hypertexte visité" xfId="22534" builtinId="9" hidden="1"/>
    <cellStyle name="Lien hypertexte visité" xfId="23046" builtinId="9" hidden="1"/>
    <cellStyle name="Lien hypertexte visité" xfId="23558" builtinId="9" hidden="1"/>
    <cellStyle name="Lien hypertexte visité" xfId="24070" builtinId="9" hidden="1"/>
    <cellStyle name="Lien hypertexte visité" xfId="24582" builtinId="9" hidden="1"/>
    <cellStyle name="Lien hypertexte visité" xfId="24132" builtinId="9" hidden="1"/>
    <cellStyle name="Lien hypertexte visité" xfId="23620" builtinId="9" hidden="1"/>
    <cellStyle name="Lien hypertexte visité" xfId="23108" builtinId="9" hidden="1"/>
    <cellStyle name="Lien hypertexte visité" xfId="22596" builtinId="9" hidden="1"/>
    <cellStyle name="Lien hypertexte visité" xfId="22084" builtinId="9" hidden="1"/>
    <cellStyle name="Lien hypertexte visité" xfId="21572" builtinId="9" hidden="1"/>
    <cellStyle name="Lien hypertexte visité" xfId="21060" builtinId="9" hidden="1"/>
    <cellStyle name="Lien hypertexte visité" xfId="20548" builtinId="9" hidden="1"/>
    <cellStyle name="Lien hypertexte visité" xfId="20036" builtinId="9" hidden="1"/>
    <cellStyle name="Lien hypertexte visité" xfId="19524" builtinId="9" hidden="1"/>
    <cellStyle name="Lien hypertexte visité" xfId="19012" builtinId="9" hidden="1"/>
    <cellStyle name="Lien hypertexte visité" xfId="18500" builtinId="9" hidden="1"/>
    <cellStyle name="Lien hypertexte visité" xfId="18005" builtinId="9" hidden="1"/>
    <cellStyle name="Lien hypertexte visité" xfId="17493" builtinId="9" hidden="1"/>
    <cellStyle name="Lien hypertexte visité" xfId="16981" builtinId="9" hidden="1"/>
    <cellStyle name="Lien hypertexte visité" xfId="16469" builtinId="9" hidden="1"/>
    <cellStyle name="Lien hypertexte visité" xfId="15957" builtinId="9" hidden="1"/>
    <cellStyle name="Lien hypertexte visité" xfId="15445" builtinId="9" hidden="1"/>
    <cellStyle name="Lien hypertexte visité" xfId="14933" builtinId="9" hidden="1"/>
    <cellStyle name="Lien hypertexte visité" xfId="14468" builtinId="9" hidden="1"/>
    <cellStyle name="Lien hypertexte visité" xfId="14212" builtinId="9" hidden="1"/>
    <cellStyle name="Lien hypertexte visité" xfId="13956" builtinId="9" hidden="1"/>
    <cellStyle name="Lien hypertexte visité" xfId="13700" builtinId="9" hidden="1"/>
    <cellStyle name="Lien hypertexte visité" xfId="13444" builtinId="9" hidden="1"/>
    <cellStyle name="Lien hypertexte visité" xfId="13188" builtinId="9" hidden="1"/>
    <cellStyle name="Lien hypertexte visité" xfId="12932" builtinId="9" hidden="1"/>
    <cellStyle name="Lien hypertexte visité" xfId="12676" builtinId="9" hidden="1"/>
    <cellStyle name="Lien hypertexte visité" xfId="12420" builtinId="9" hidden="1"/>
    <cellStyle name="Lien hypertexte visité" xfId="12164" builtinId="9" hidden="1"/>
    <cellStyle name="Lien hypertexte visité" xfId="11908" builtinId="9" hidden="1"/>
    <cellStyle name="Lien hypertexte visité" xfId="11652" builtinId="9" hidden="1"/>
    <cellStyle name="Lien hypertexte visité" xfId="11396" builtinId="9" hidden="1"/>
    <cellStyle name="Lien hypertexte visité" xfId="11140" builtinId="9" hidden="1"/>
    <cellStyle name="Lien hypertexte visité" xfId="10884" builtinId="9" hidden="1"/>
    <cellStyle name="Lien hypertexte visité" xfId="10628" builtinId="9" hidden="1"/>
    <cellStyle name="Lien hypertexte visité" xfId="10372" builtinId="9" hidden="1"/>
    <cellStyle name="Lien hypertexte visité" xfId="10116" builtinId="9" hidden="1"/>
    <cellStyle name="Lien hypertexte visité" xfId="9860" builtinId="9" hidden="1"/>
    <cellStyle name="Lien hypertexte visité" xfId="9604" builtinId="9" hidden="1"/>
    <cellStyle name="Lien hypertexte visité" xfId="9348" builtinId="9" hidden="1"/>
    <cellStyle name="Lien hypertexte visité" xfId="9092" builtinId="9" hidden="1"/>
    <cellStyle name="Lien hypertexte visité" xfId="8836" builtinId="9" hidden="1"/>
    <cellStyle name="Lien hypertexte visité" xfId="8580" builtinId="9" hidden="1"/>
    <cellStyle name="Lien hypertexte visité" xfId="8324" builtinId="9" hidden="1"/>
    <cellStyle name="Lien hypertexte visité" xfId="8068" builtinId="9" hidden="1"/>
    <cellStyle name="Lien hypertexte visité" xfId="7812" builtinId="9" hidden="1"/>
    <cellStyle name="Lien hypertexte visité" xfId="7555" builtinId="9" hidden="1"/>
    <cellStyle name="Lien hypertexte visité" xfId="7299" builtinId="9" hidden="1"/>
    <cellStyle name="Lien hypertexte visité" xfId="7043" builtinId="9" hidden="1"/>
    <cellStyle name="Lien hypertexte visité" xfId="6787" builtinId="9" hidden="1"/>
    <cellStyle name="Lien hypertexte visité" xfId="6531" builtinId="9" hidden="1"/>
    <cellStyle name="Lien hypertexte visité" xfId="6275" builtinId="9" hidden="1"/>
    <cellStyle name="Lien hypertexte visité" xfId="6019" builtinId="9" hidden="1"/>
    <cellStyle name="Lien hypertexte visité" xfId="5763" builtinId="9" hidden="1"/>
    <cellStyle name="Lien hypertexte visité" xfId="5507" builtinId="9" hidden="1"/>
    <cellStyle name="Lien hypertexte visité" xfId="5251" builtinId="9" hidden="1"/>
    <cellStyle name="Lien hypertexte visité" xfId="2817" builtinId="9" hidden="1"/>
    <cellStyle name="Lien hypertexte visité" xfId="2785" builtinId="9" hidden="1"/>
    <cellStyle name="Lien hypertexte visité" xfId="2753" builtinId="9" hidden="1"/>
    <cellStyle name="Lien hypertexte visité" xfId="2721" builtinId="9" hidden="1"/>
    <cellStyle name="Lien hypertexte visité" xfId="2673" builtinId="9" hidden="1"/>
    <cellStyle name="Lien hypertexte visité" xfId="2641" builtinId="9" hidden="1"/>
    <cellStyle name="Lien hypertexte visité" xfId="2609" builtinId="9" hidden="1"/>
    <cellStyle name="Lien hypertexte visité" xfId="2577" builtinId="9" hidden="1"/>
    <cellStyle name="Lien hypertexte visité" xfId="2545" builtinId="9" hidden="1"/>
    <cellStyle name="Lien hypertexte visité" xfId="2513" builtinId="9" hidden="1"/>
    <cellStyle name="Lien hypertexte visité" xfId="2481" builtinId="9" hidden="1"/>
    <cellStyle name="Lien hypertexte visité" xfId="2449" builtinId="9" hidden="1"/>
    <cellStyle name="Lien hypertexte visité" xfId="2401" builtinId="9" hidden="1"/>
    <cellStyle name="Lien hypertexte visité" xfId="2369" builtinId="9" hidden="1"/>
    <cellStyle name="Lien hypertexte visité" xfId="2337" builtinId="9" hidden="1"/>
    <cellStyle name="Lien hypertexte visité" xfId="2305" builtinId="9" hidden="1"/>
    <cellStyle name="Lien hypertexte visité" xfId="2273" builtinId="9" hidden="1"/>
    <cellStyle name="Lien hypertexte visité" xfId="2241" builtinId="9" hidden="1"/>
    <cellStyle name="Lien hypertexte visité" xfId="2149" builtinId="9" hidden="1"/>
    <cellStyle name="Lien hypertexte visité" xfId="2161" builtinId="9" hidden="1"/>
    <cellStyle name="Lien hypertexte visité" xfId="2129" builtinId="9" hidden="1"/>
    <cellStyle name="Lien hypertexte visité" xfId="2097" builtinId="9" hidden="1"/>
    <cellStyle name="Lien hypertexte visité" xfId="2065" builtinId="9" hidden="1"/>
    <cellStyle name="Lien hypertexte visité" xfId="2033" builtinId="9" hidden="1"/>
    <cellStyle name="Lien hypertexte visité" xfId="2001" builtinId="9" hidden="1"/>
    <cellStyle name="Lien hypertexte visité" xfId="1969" builtinId="9" hidden="1"/>
    <cellStyle name="Lien hypertexte visité" xfId="1937" builtinId="9" hidden="1"/>
    <cellStyle name="Lien hypertexte visité" xfId="1889" builtinId="9" hidden="1"/>
    <cellStyle name="Lien hypertexte visité" xfId="1857" builtinId="9" hidden="1"/>
    <cellStyle name="Lien hypertexte visité" xfId="1825" builtinId="9" hidden="1"/>
    <cellStyle name="Lien hypertexte visité" xfId="1793" builtinId="9" hidden="1"/>
    <cellStyle name="Lien hypertexte visité" xfId="1761" builtinId="9" hidden="1"/>
    <cellStyle name="Lien hypertexte visité" xfId="1729" builtinId="9" hidden="1"/>
    <cellStyle name="Lien hypertexte visité" xfId="1697" builtinId="9" hidden="1"/>
    <cellStyle name="Lien hypertexte visité" xfId="1649" builtinId="9" hidden="1"/>
    <cellStyle name="Lien hypertexte visité" xfId="1617" builtinId="9" hidden="1"/>
    <cellStyle name="Lien hypertexte visité" xfId="1585" builtinId="9" hidden="1"/>
    <cellStyle name="Lien hypertexte visité" xfId="1553" builtinId="9" hidden="1"/>
    <cellStyle name="Lien hypertexte visité" xfId="1521" builtinId="9" hidden="1"/>
    <cellStyle name="Lien hypertexte visité" xfId="1488" builtinId="9" hidden="1"/>
    <cellStyle name="Lien hypertexte visité" xfId="1456" builtinId="9" hidden="1"/>
    <cellStyle name="Lien hypertexte visité" xfId="1424" builtinId="9" hidden="1"/>
    <cellStyle name="Lien hypertexte visité" xfId="1376" builtinId="9" hidden="1"/>
    <cellStyle name="Lien hypertexte visité" xfId="1344" builtinId="9" hidden="1"/>
    <cellStyle name="Lien hypertexte visité" xfId="1312" builtinId="9" hidden="1"/>
    <cellStyle name="Lien hypertexte visité" xfId="1280" builtinId="9" hidden="1"/>
    <cellStyle name="Lien hypertexte visité" xfId="1248" builtinId="9" hidden="1"/>
    <cellStyle name="Lien hypertexte visité" xfId="1216" builtinId="9" hidden="1"/>
    <cellStyle name="Lien hypertexte visité" xfId="1184" builtinId="9" hidden="1"/>
    <cellStyle name="Lien hypertexte visité" xfId="1109" builtinId="9" hidden="1"/>
    <cellStyle name="Lien hypertexte visité" xfId="1045" builtinId="9" hidden="1"/>
    <cellStyle name="Lien hypertexte visité" xfId="981" builtinId="9" hidden="1"/>
    <cellStyle name="Lien hypertexte visité" xfId="917" builtinId="9" hidden="1"/>
    <cellStyle name="Lien hypertexte visité" xfId="853" builtinId="9" hidden="1"/>
    <cellStyle name="Lien hypertexte visité" xfId="789" builtinId="9" hidden="1"/>
    <cellStyle name="Lien hypertexte visité" xfId="725" builtinId="9" hidden="1"/>
    <cellStyle name="Lien hypertexte visité" xfId="661" builtinId="9" hidden="1"/>
    <cellStyle name="Lien hypertexte visité" xfId="565" builtinId="9" hidden="1"/>
    <cellStyle name="Lien hypertexte visité" xfId="501" builtinId="9" hidden="1"/>
    <cellStyle name="Lien hypertexte visité" xfId="437" builtinId="9" hidden="1"/>
    <cellStyle name="Lien hypertexte visité" xfId="373" builtinId="9" hidden="1"/>
    <cellStyle name="Lien hypertexte visité" xfId="309" builtinId="9" hidden="1"/>
    <cellStyle name="Lien hypertexte visité" xfId="245" builtinId="9" hidden="1"/>
    <cellStyle name="Lien hypertexte visité" xfId="197" builtinId="9" hidden="1"/>
    <cellStyle name="Lien hypertexte visité" xfId="189" builtinId="9" hidden="1"/>
    <cellStyle name="Lien hypertexte visité" xfId="141" builtinId="9" hidden="1"/>
    <cellStyle name="Lien hypertexte visité" xfId="125" builtinId="9" hidden="1"/>
    <cellStyle name="Lien hypertexte visité" xfId="173" builtinId="9" hidden="1"/>
    <cellStyle name="Lien hypertexte visité" xfId="225" builtinId="9" hidden="1"/>
    <cellStyle name="Lien hypertexte visité" xfId="181" builtinId="9" hidden="1"/>
    <cellStyle name="Lien hypertexte visité" xfId="269" builtinId="9" hidden="1"/>
    <cellStyle name="Lien hypertexte visité" xfId="333" builtinId="9" hidden="1"/>
    <cellStyle name="Lien hypertexte visité" xfId="429" builtinId="9" hidden="1"/>
    <cellStyle name="Lien hypertexte visité" xfId="493" builtinId="9" hidden="1"/>
    <cellStyle name="Lien hypertexte visité" xfId="557" builtinId="9" hidden="1"/>
    <cellStyle name="Lien hypertexte visité" xfId="621" builtinId="9" hidden="1"/>
    <cellStyle name="Lien hypertexte visité" xfId="685" builtinId="9" hidden="1"/>
    <cellStyle name="Lien hypertexte visité" xfId="749" builtinId="9" hidden="1"/>
    <cellStyle name="Lien hypertexte visité" xfId="813" builtinId="9" hidden="1"/>
    <cellStyle name="Lien hypertexte visité" xfId="909" builtinId="9" hidden="1"/>
    <cellStyle name="Lien hypertexte visité" xfId="973" builtinId="9" hidden="1"/>
    <cellStyle name="Lien hypertexte visité" xfId="1037" builtinId="9" hidden="1"/>
    <cellStyle name="Lien hypertexte visité" xfId="1101" builtinId="9" hidden="1"/>
    <cellStyle name="Lien hypertexte visité" xfId="1164" builtinId="9" hidden="1"/>
    <cellStyle name="Lien hypertexte visité" xfId="1196" builtinId="9" hidden="1"/>
    <cellStyle name="Lien hypertexte visité" xfId="1228" builtinId="9" hidden="1"/>
    <cellStyle name="Lien hypertexte visité" xfId="1260" builtinId="9" hidden="1"/>
    <cellStyle name="Lien hypertexte visité" xfId="1308" builtinId="9" hidden="1"/>
    <cellStyle name="Lien hypertexte visité" xfId="1340" builtinId="9" hidden="1"/>
    <cellStyle name="Lien hypertexte visité" xfId="1372" builtinId="9" hidden="1"/>
    <cellStyle name="Lien hypertexte visité" xfId="1404" builtinId="9" hidden="1"/>
    <cellStyle name="Lien hypertexte visité" xfId="1436" builtinId="9" hidden="1"/>
    <cellStyle name="Lien hypertexte visité" xfId="1468" builtinId="9" hidden="1"/>
    <cellStyle name="Lien hypertexte visité" xfId="1501" builtinId="9" hidden="1"/>
    <cellStyle name="Lien hypertexte visité" xfId="1549" builtinId="9" hidden="1"/>
    <cellStyle name="Lien hypertexte visité" xfId="1581" builtinId="9" hidden="1"/>
    <cellStyle name="Lien hypertexte visité" xfId="1613" builtinId="9" hidden="1"/>
    <cellStyle name="Lien hypertexte visité" xfId="1645" builtinId="9" hidden="1"/>
    <cellStyle name="Lien hypertexte visité" xfId="1677" builtinId="9" hidden="1"/>
    <cellStyle name="Lien hypertexte visité" xfId="1709" builtinId="9" hidden="1"/>
    <cellStyle name="Lien hypertexte visité" xfId="1741" builtinId="9" hidden="1"/>
    <cellStyle name="Lien hypertexte visité" xfId="1773" builtinId="9" hidden="1"/>
    <cellStyle name="Lien hypertexte visité" xfId="1821" builtinId="9" hidden="1"/>
    <cellStyle name="Lien hypertexte visité" xfId="1853" builtinId="9" hidden="1"/>
    <cellStyle name="Lien hypertexte visité" xfId="1885" builtinId="9" hidden="1"/>
    <cellStyle name="Lien hypertexte visité" xfId="1917" builtinId="9" hidden="1"/>
    <cellStyle name="Lien hypertexte visité" xfId="1949" builtinId="9" hidden="1"/>
    <cellStyle name="Lien hypertexte visité" xfId="1981" builtinId="9" hidden="1"/>
    <cellStyle name="Lien hypertexte visité" xfId="2013" builtinId="9" hidden="1"/>
    <cellStyle name="Lien hypertexte visité" xfId="2061" builtinId="9" hidden="1"/>
    <cellStyle name="Lien hypertexte visité" xfId="2093" builtinId="9" hidden="1"/>
    <cellStyle name="Lien hypertexte visité" xfId="2125" builtinId="9" hidden="1"/>
    <cellStyle name="Lien hypertexte visité" xfId="2157" builtinId="9" hidden="1"/>
    <cellStyle name="Lien hypertexte visité" xfId="2189" builtinId="9" hidden="1"/>
    <cellStyle name="Lien hypertexte visité" xfId="2221" builtinId="9" hidden="1"/>
    <cellStyle name="Lien hypertexte visité" xfId="2253" builtinId="9" hidden="1"/>
    <cellStyle name="Lien hypertexte visité" xfId="2285" builtinId="9" hidden="1"/>
    <cellStyle name="Lien hypertexte visité" xfId="2333" builtinId="9" hidden="1"/>
    <cellStyle name="Lien hypertexte visité" xfId="2365" builtinId="9" hidden="1"/>
    <cellStyle name="Lien hypertexte visité" xfId="2397" builtinId="9" hidden="1"/>
    <cellStyle name="Lien hypertexte visité" xfId="2429" builtinId="9" hidden="1"/>
    <cellStyle name="Lien hypertexte visité" xfId="2461" builtinId="9" hidden="1"/>
    <cellStyle name="Lien hypertexte visité" xfId="2493" builtinId="9" hidden="1"/>
    <cellStyle name="Lien hypertexte visité" xfId="2525" builtinId="9" hidden="1"/>
    <cellStyle name="Lien hypertexte visité" xfId="2573" builtinId="9" hidden="1"/>
    <cellStyle name="Lien hypertexte visité" xfId="2605" builtinId="9" hidden="1"/>
    <cellStyle name="Lien hypertexte visité" xfId="2637" builtinId="9" hidden="1"/>
    <cellStyle name="Lien hypertexte visité" xfId="2669" builtinId="9" hidden="1"/>
    <cellStyle name="Lien hypertexte visité" xfId="2701" builtinId="9" hidden="1"/>
    <cellStyle name="Lien hypertexte visité" xfId="2733" builtinId="9" hidden="1"/>
    <cellStyle name="Lien hypertexte visité" xfId="2765" builtinId="9" hidden="1"/>
    <cellStyle name="Lien hypertexte visité" xfId="2797" builtinId="9" hidden="1"/>
    <cellStyle name="Lien hypertexte visité" xfId="2845" builtinId="9" hidden="1"/>
    <cellStyle name="Lien hypertexte visité" xfId="2877" builtinId="9" hidden="1"/>
    <cellStyle name="Lien hypertexte visité" xfId="2909" builtinId="9" hidden="1"/>
    <cellStyle name="Lien hypertexte visité" xfId="2941" builtinId="9" hidden="1"/>
    <cellStyle name="Lien hypertexte visité" xfId="2973" builtinId="9" hidden="1"/>
    <cellStyle name="Lien hypertexte visité" xfId="3005" builtinId="9" hidden="1"/>
    <cellStyle name="Lien hypertexte visité" xfId="3037" builtinId="9" hidden="1"/>
    <cellStyle name="Lien hypertexte visité" xfId="3085" builtinId="9" hidden="1"/>
    <cellStyle name="Lien hypertexte visité" xfId="3117" builtinId="9" hidden="1"/>
    <cellStyle name="Lien hypertexte visité" xfId="3149" builtinId="9" hidden="1"/>
    <cellStyle name="Lien hypertexte visité" xfId="3181" builtinId="9" hidden="1"/>
    <cellStyle name="Lien hypertexte visité" xfId="3213" builtinId="9" hidden="1"/>
    <cellStyle name="Lien hypertexte visité" xfId="3245" builtinId="9" hidden="1"/>
    <cellStyle name="Lien hypertexte visité" xfId="3277" builtinId="9" hidden="1"/>
    <cellStyle name="Lien hypertexte visité" xfId="3309" builtinId="9" hidden="1"/>
    <cellStyle name="Lien hypertexte visité" xfId="3357" builtinId="9" hidden="1"/>
    <cellStyle name="Lien hypertexte visité" xfId="3389" builtinId="9" hidden="1"/>
    <cellStyle name="Lien hypertexte visité" xfId="3421" builtinId="9" hidden="1"/>
    <cellStyle name="Lien hypertexte visité" xfId="3453" builtinId="9" hidden="1"/>
    <cellStyle name="Lien hypertexte visité" xfId="3485" builtinId="9" hidden="1"/>
    <cellStyle name="Lien hypertexte visité" xfId="3517" builtinId="9" hidden="1"/>
    <cellStyle name="Lien hypertexte visité" xfId="3549" builtinId="9" hidden="1"/>
    <cellStyle name="Lien hypertexte visité" xfId="3598" builtinId="9" hidden="1"/>
    <cellStyle name="Lien hypertexte visité" xfId="3630" builtinId="9" hidden="1"/>
    <cellStyle name="Lien hypertexte visité" xfId="3667" builtinId="9" hidden="1"/>
    <cellStyle name="Lien hypertexte visité" xfId="3702" builtinId="9" hidden="1"/>
    <cellStyle name="Lien hypertexte visité" xfId="3734" builtinId="9" hidden="1"/>
    <cellStyle name="Lien hypertexte visité" xfId="3766" builtinId="9" hidden="1"/>
    <cellStyle name="Lien hypertexte visité" xfId="3798" builtinId="9" hidden="1"/>
    <cellStyle name="Lien hypertexte visité" xfId="3830" builtinId="9" hidden="1"/>
    <cellStyle name="Lien hypertexte visité" xfId="3878" builtinId="9" hidden="1"/>
    <cellStyle name="Lien hypertexte visité" xfId="3911" builtinId="9" hidden="1"/>
    <cellStyle name="Lien hypertexte visité" xfId="3939" builtinId="9" hidden="1"/>
    <cellStyle name="Lien hypertexte visité" xfId="3971" builtinId="9" hidden="1"/>
    <cellStyle name="Lien hypertexte visité" xfId="4003" builtinId="9" hidden="1"/>
    <cellStyle name="Lien hypertexte visité" xfId="4035" builtinId="9" hidden="1"/>
    <cellStyle name="Lien hypertexte visité" xfId="4067" builtinId="9" hidden="1"/>
    <cellStyle name="Lien hypertexte visité" xfId="4115" builtinId="9" hidden="1"/>
    <cellStyle name="Lien hypertexte visité" xfId="4147" builtinId="9" hidden="1"/>
    <cellStyle name="Lien hypertexte visité" xfId="4179" builtinId="9" hidden="1"/>
    <cellStyle name="Lien hypertexte visité" xfId="4211" builtinId="9" hidden="1"/>
    <cellStyle name="Lien hypertexte visité" xfId="4243" builtinId="9" hidden="1"/>
    <cellStyle name="Lien hypertexte visité" xfId="4275" builtinId="9" hidden="1"/>
    <cellStyle name="Lien hypertexte visité" xfId="4307" builtinId="9" hidden="1"/>
    <cellStyle name="Lien hypertexte visité" xfId="4339" builtinId="9" hidden="1"/>
    <cellStyle name="Lien hypertexte visité" xfId="4387" builtinId="9" hidden="1"/>
    <cellStyle name="Lien hypertexte visité" xfId="4419" builtinId="9" hidden="1"/>
    <cellStyle name="Lien hypertexte visité" xfId="4451" builtinId="9" hidden="1"/>
    <cellStyle name="Lien hypertexte visité" xfId="4483" builtinId="9" hidden="1"/>
    <cellStyle name="Lien hypertexte visité" xfId="4515" builtinId="9" hidden="1"/>
    <cellStyle name="Lien hypertexte visité" xfId="4547" builtinId="9" hidden="1"/>
    <cellStyle name="Lien hypertexte visité" xfId="4579" builtinId="9" hidden="1"/>
    <cellStyle name="Lien hypertexte visité" xfId="4627" builtinId="9" hidden="1"/>
    <cellStyle name="Lien hypertexte visité" xfId="4659" builtinId="9" hidden="1"/>
    <cellStyle name="Lien hypertexte visité" xfId="4691" builtinId="9" hidden="1"/>
    <cellStyle name="Lien hypertexte visité" xfId="4723" builtinId="9" hidden="1"/>
    <cellStyle name="Lien hypertexte visité" xfId="4755" builtinId="9" hidden="1"/>
    <cellStyle name="Lien hypertexte visité" xfId="4787" builtinId="9" hidden="1"/>
    <cellStyle name="Lien hypertexte visité" xfId="4819" builtinId="9" hidden="1"/>
    <cellStyle name="Lien hypertexte visité" xfId="4851" builtinId="9" hidden="1"/>
    <cellStyle name="Lien hypertexte visité" xfId="4899" builtinId="9" hidden="1"/>
    <cellStyle name="Lien hypertexte visité" xfId="4931" builtinId="9" hidden="1"/>
    <cellStyle name="Lien hypertexte visité" xfId="4963" builtinId="9" hidden="1"/>
    <cellStyle name="Lien hypertexte visité" xfId="4995" builtinId="9" hidden="1"/>
    <cellStyle name="Lien hypertexte visité" xfId="5027" builtinId="9" hidden="1"/>
    <cellStyle name="Lien hypertexte visité" xfId="5059" builtinId="9" hidden="1"/>
    <cellStyle name="Lien hypertexte visité" xfId="5091" builtinId="9" hidden="1"/>
    <cellStyle name="Lien hypertexte visité" xfId="5139" builtinId="9" hidden="1"/>
    <cellStyle name="Lien hypertexte visité" xfId="5171" builtinId="9" hidden="1"/>
    <cellStyle name="Lien hypertexte visité" xfId="4867" builtinId="9" hidden="1"/>
    <cellStyle name="Lien hypertexte visité" xfId="4355" builtinId="9" hidden="1"/>
    <cellStyle name="Lien hypertexte visité" xfId="3846" builtinId="9" hidden="1"/>
    <cellStyle name="Lien hypertexte visité" xfId="3325" builtinId="9" hidden="1"/>
    <cellStyle name="Lien hypertexte visité" xfId="2813" builtinId="9" hidden="1"/>
    <cellStyle name="Lien hypertexte visité" xfId="2301" builtinId="9" hidden="1"/>
    <cellStyle name="Lien hypertexte visité" xfId="1789" builtinId="9" hidden="1"/>
    <cellStyle name="Lien hypertexte visité" xfId="1276" builtinId="9" hidden="1"/>
    <cellStyle name="Lien hypertexte visité" xfId="365" builtinId="9" hidden="1"/>
    <cellStyle name="Lien hypertexte visité" xfId="629" builtinId="9" hidden="1"/>
    <cellStyle name="Lien hypertexte visité" xfId="1408" builtinId="9" hidden="1"/>
    <cellStyle name="Lien hypertexte visité" xfId="1921" builtinId="9" hidden="1"/>
    <cellStyle name="Lien hypertexte visité" xfId="2433" builtinId="9" hidden="1"/>
    <cellStyle name="Lien hypertexte visité" xfId="5943" builtinId="9" hidden="1"/>
    <cellStyle name="Lien hypertexte visité" xfId="5911" builtinId="9" hidden="1"/>
    <cellStyle name="Lien hypertexte visité" xfId="5879" builtinId="9" hidden="1"/>
    <cellStyle name="Lien hypertexte visité" xfId="5847" builtinId="9" hidden="1"/>
    <cellStyle name="Lien hypertexte visité" xfId="5815" builtinId="9" hidden="1"/>
    <cellStyle name="Lien hypertexte visité" xfId="5783" builtinId="9" hidden="1"/>
    <cellStyle name="Lien hypertexte visité" xfId="5735" builtinId="9" hidden="1"/>
    <cellStyle name="Lien hypertexte visité" xfId="5703" builtinId="9" hidden="1"/>
    <cellStyle name="Lien hypertexte visité" xfId="5671" builtinId="9" hidden="1"/>
    <cellStyle name="Lien hypertexte visité" xfId="5639" builtinId="9" hidden="1"/>
    <cellStyle name="Lien hypertexte visité" xfId="5607" builtinId="9" hidden="1"/>
    <cellStyle name="Lien hypertexte visité" xfId="5575" builtinId="9" hidden="1"/>
    <cellStyle name="Lien hypertexte visité" xfId="5543" builtinId="9" hidden="1"/>
    <cellStyle name="Lien hypertexte visité" xfId="5511" builtinId="9" hidden="1"/>
    <cellStyle name="Lien hypertexte visité" xfId="5479" builtinId="9" hidden="1"/>
    <cellStyle name="Lien hypertexte visité" xfId="5447" builtinId="9" hidden="1"/>
    <cellStyle name="Lien hypertexte visité" xfId="5415" builtinId="9" hidden="1"/>
    <cellStyle name="Lien hypertexte visité" xfId="5383" builtinId="9" hidden="1"/>
    <cellStyle name="Lien hypertexte visité" xfId="5351" builtinId="9" hidden="1"/>
    <cellStyle name="Lien hypertexte visité" xfId="5319" builtinId="9" hidden="1"/>
    <cellStyle name="Lien hypertexte visité" xfId="5287" builtinId="9" hidden="1"/>
    <cellStyle name="Lien hypertexte visité" xfId="5239" builtinId="9" hidden="1"/>
    <cellStyle name="Lien hypertexte visité" xfId="5207" builtinId="9" hidden="1"/>
    <cellStyle name="Lien hypertexte visité" xfId="5175" builtinId="9" hidden="1"/>
    <cellStyle name="Lien hypertexte visité" xfId="5143" builtinId="9" hidden="1"/>
    <cellStyle name="Lien hypertexte visité" xfId="5111" builtinId="9" hidden="1"/>
    <cellStyle name="Lien hypertexte visité" xfId="5079" builtinId="9" hidden="1"/>
    <cellStyle name="Lien hypertexte visité" xfId="5047" builtinId="9" hidden="1"/>
    <cellStyle name="Lien hypertexte visité" xfId="5015" builtinId="9" hidden="1"/>
    <cellStyle name="Lien hypertexte visité" xfId="4983" builtinId="9" hidden="1"/>
    <cellStyle name="Lien hypertexte visité" xfId="4951" builtinId="9" hidden="1"/>
    <cellStyle name="Lien hypertexte visité" xfId="4919" builtinId="9" hidden="1"/>
    <cellStyle name="Lien hypertexte visité" xfId="4887" builtinId="9" hidden="1"/>
    <cellStyle name="Lien hypertexte visité" xfId="4855" builtinId="9" hidden="1"/>
    <cellStyle name="Lien hypertexte visité" xfId="4823" builtinId="9" hidden="1"/>
    <cellStyle name="Lien hypertexte visité" xfId="4791" builtinId="9" hidden="1"/>
    <cellStyle name="Lien hypertexte visité" xfId="4759" builtinId="9" hidden="1"/>
    <cellStyle name="Lien hypertexte visité" xfId="4711" builtinId="9" hidden="1"/>
    <cellStyle name="Lien hypertexte visité" xfId="4679" builtinId="9" hidden="1"/>
    <cellStyle name="Lien hypertexte visité" xfId="4647" builtinId="9" hidden="1"/>
    <cellStyle name="Lien hypertexte visité" xfId="4615" builtinId="9" hidden="1"/>
    <cellStyle name="Lien hypertexte visité" xfId="4583" builtinId="9" hidden="1"/>
    <cellStyle name="Lien hypertexte visité" xfId="4551" builtinId="9" hidden="1"/>
    <cellStyle name="Lien hypertexte visité" xfId="4519" builtinId="9" hidden="1"/>
    <cellStyle name="Lien hypertexte visité" xfId="4487" builtinId="9" hidden="1"/>
    <cellStyle name="Lien hypertexte visité" xfId="4455" builtinId="9" hidden="1"/>
    <cellStyle name="Lien hypertexte visité" xfId="4423" builtinId="9" hidden="1"/>
    <cellStyle name="Lien hypertexte visité" xfId="4391" builtinId="9" hidden="1"/>
    <cellStyle name="Lien hypertexte visité" xfId="4359" builtinId="9" hidden="1"/>
    <cellStyle name="Lien hypertexte visité" xfId="4327" builtinId="9" hidden="1"/>
    <cellStyle name="Lien hypertexte visité" xfId="4295" builtinId="9" hidden="1"/>
    <cellStyle name="Lien hypertexte visité" xfId="4263" builtinId="9" hidden="1"/>
    <cellStyle name="Lien hypertexte visité" xfId="4215" builtinId="9" hidden="1"/>
    <cellStyle name="Lien hypertexte visité" xfId="4183" builtinId="9" hidden="1"/>
    <cellStyle name="Lien hypertexte visité" xfId="4151" builtinId="9" hidden="1"/>
    <cellStyle name="Lien hypertexte visité" xfId="4119" builtinId="9" hidden="1"/>
    <cellStyle name="Lien hypertexte visité" xfId="4087" builtinId="9" hidden="1"/>
    <cellStyle name="Lien hypertexte visité" xfId="4055" builtinId="9" hidden="1"/>
    <cellStyle name="Lien hypertexte visité" xfId="4023" builtinId="9" hidden="1"/>
    <cellStyle name="Lien hypertexte visité" xfId="3991" builtinId="9" hidden="1"/>
    <cellStyle name="Lien hypertexte visité" xfId="3959" builtinId="9" hidden="1"/>
    <cellStyle name="Lien hypertexte visité" xfId="3927" builtinId="9" hidden="1"/>
    <cellStyle name="Lien hypertexte visité" xfId="3899" builtinId="9" hidden="1"/>
    <cellStyle name="Lien hypertexte visité" xfId="3866" builtinId="9" hidden="1"/>
    <cellStyle name="Lien hypertexte visité" xfId="3834" builtinId="9" hidden="1"/>
    <cellStyle name="Lien hypertexte visité" xfId="3802" builtinId="9" hidden="1"/>
    <cellStyle name="Lien hypertexte visité" xfId="3770" builtinId="9" hidden="1"/>
    <cellStyle name="Lien hypertexte visité" xfId="3738" builtinId="9" hidden="1"/>
    <cellStyle name="Lien hypertexte visité" xfId="3689" builtinId="9" hidden="1"/>
    <cellStyle name="Lien hypertexte visité" xfId="3650" builtinId="9" hidden="1"/>
    <cellStyle name="Lien hypertexte visité" xfId="3618" builtinId="9" hidden="1"/>
    <cellStyle name="Lien hypertexte visité" xfId="3586" builtinId="9" hidden="1"/>
    <cellStyle name="Lien hypertexte visité" xfId="3553" builtinId="9" hidden="1"/>
    <cellStyle name="Lien hypertexte visité" xfId="3521" builtinId="9" hidden="1"/>
    <cellStyle name="Lien hypertexte visité" xfId="3489" builtinId="9" hidden="1"/>
    <cellStyle name="Lien hypertexte visité" xfId="3457" builtinId="9" hidden="1"/>
    <cellStyle name="Lien hypertexte visité" xfId="3425" builtinId="9" hidden="1"/>
    <cellStyle name="Lien hypertexte visité" xfId="3393" builtinId="9" hidden="1"/>
    <cellStyle name="Lien hypertexte visité" xfId="3361" builtinId="9" hidden="1"/>
    <cellStyle name="Lien hypertexte visité" xfId="3329" builtinId="9" hidden="1"/>
    <cellStyle name="Lien hypertexte visité" xfId="3297" builtinId="9" hidden="1"/>
    <cellStyle name="Lien hypertexte visité" xfId="3265" builtinId="9" hidden="1"/>
    <cellStyle name="Lien hypertexte visité" xfId="3233" builtinId="9" hidden="1"/>
    <cellStyle name="Lien hypertexte visité" xfId="3185" builtinId="9" hidden="1"/>
    <cellStyle name="Lien hypertexte visité" xfId="3153" builtinId="9" hidden="1"/>
    <cellStyle name="Lien hypertexte visité" xfId="3121" builtinId="9" hidden="1"/>
    <cellStyle name="Lien hypertexte visité" xfId="3089" builtinId="9" hidden="1"/>
    <cellStyle name="Lien hypertexte visité" xfId="3057" builtinId="9" hidden="1"/>
    <cellStyle name="Lien hypertexte visité" xfId="3025" builtinId="9" hidden="1"/>
    <cellStyle name="Lien hypertexte visité" xfId="2993" builtinId="9" hidden="1"/>
    <cellStyle name="Lien hypertexte visité" xfId="2961" builtinId="9" hidden="1"/>
    <cellStyle name="Lien hypertexte visité" xfId="2929" builtinId="9" hidden="1"/>
    <cellStyle name="Lien hypertexte visité" xfId="2897" builtinId="9" hidden="1"/>
    <cellStyle name="Lien hypertexte visité" xfId="2865" builtinId="9" hidden="1"/>
    <cellStyle name="Lien hypertexte visité" xfId="3201" builtinId="9" hidden="1"/>
    <cellStyle name="Lien hypertexte visité" xfId="4231" builtinId="9" hidden="1"/>
    <cellStyle name="Lien hypertexte visité" xfId="5255" builtinId="9" hidden="1"/>
    <cellStyle name="Lien hypertexte visité" xfId="7415" builtinId="9" hidden="1"/>
    <cellStyle name="Lien hypertexte visité" xfId="7383" builtinId="9" hidden="1"/>
    <cellStyle name="Lien hypertexte visité" xfId="7351" builtinId="9" hidden="1"/>
    <cellStyle name="Lien hypertexte visité" xfId="7319" builtinId="9" hidden="1"/>
    <cellStyle name="Lien hypertexte visité" xfId="7287" builtinId="9" hidden="1"/>
    <cellStyle name="Lien hypertexte visité" xfId="7255" builtinId="9" hidden="1"/>
    <cellStyle name="Lien hypertexte visité" xfId="7223" builtinId="9" hidden="1"/>
    <cellStyle name="Lien hypertexte visité" xfId="7191" builtinId="9" hidden="1"/>
    <cellStyle name="Lien hypertexte visité" xfId="7159" builtinId="9" hidden="1"/>
    <cellStyle name="Lien hypertexte visité" xfId="7127" builtinId="9" hidden="1"/>
    <cellStyle name="Lien hypertexte visité" xfId="7095" builtinId="9" hidden="1"/>
    <cellStyle name="Lien hypertexte visité" xfId="7063" builtinId="9" hidden="1"/>
    <cellStyle name="Lien hypertexte visité" xfId="7031" builtinId="9" hidden="1"/>
    <cellStyle name="Lien hypertexte visité" xfId="6999" builtinId="9" hidden="1"/>
    <cellStyle name="Lien hypertexte visité" xfId="6967" builtinId="9" hidden="1"/>
    <cellStyle name="Lien hypertexte visité" xfId="6935" builtinId="9" hidden="1"/>
    <cellStyle name="Lien hypertexte visité" xfId="6903" builtinId="9" hidden="1"/>
    <cellStyle name="Lien hypertexte visité" xfId="6871" builtinId="9" hidden="1"/>
    <cellStyle name="Lien hypertexte visité" xfId="6839" builtinId="9" hidden="1"/>
    <cellStyle name="Lien hypertexte visité" xfId="6807" builtinId="9" hidden="1"/>
    <cellStyle name="Lien hypertexte visité" xfId="6759" builtinId="9" hidden="1"/>
    <cellStyle name="Lien hypertexte visité" xfId="6727" builtinId="9" hidden="1"/>
    <cellStyle name="Lien hypertexte visité" xfId="6695" builtinId="9" hidden="1"/>
    <cellStyle name="Lien hypertexte visité" xfId="6663" builtinId="9" hidden="1"/>
    <cellStyle name="Lien hypertexte visité" xfId="6631" builtinId="9" hidden="1"/>
    <cellStyle name="Lien hypertexte visité" xfId="6599" builtinId="9" hidden="1"/>
    <cellStyle name="Lien hypertexte visité" xfId="6567" builtinId="9" hidden="1"/>
    <cellStyle name="Lien hypertexte visité" xfId="6535" builtinId="9" hidden="1"/>
    <cellStyle name="Lien hypertexte visité" xfId="6503" builtinId="9" hidden="1"/>
    <cellStyle name="Lien hypertexte visité" xfId="6471" builtinId="9" hidden="1"/>
    <cellStyle name="Lien hypertexte visité" xfId="6439" builtinId="9" hidden="1"/>
    <cellStyle name="Lien hypertexte visité" xfId="6407" builtinId="9" hidden="1"/>
    <cellStyle name="Lien hypertexte visité" xfId="6375" builtinId="9" hidden="1"/>
    <cellStyle name="Lien hypertexte visité" xfId="6343" builtinId="9" hidden="1"/>
    <cellStyle name="Lien hypertexte visité" xfId="6311" builtinId="9" hidden="1"/>
    <cellStyle name="Lien hypertexte visité" xfId="6279" builtinId="9" hidden="1"/>
    <cellStyle name="Lien hypertexte visité" xfId="6247" builtinId="9" hidden="1"/>
    <cellStyle name="Lien hypertexte visité" xfId="6215" builtinId="9" hidden="1"/>
    <cellStyle name="Lien hypertexte visité" xfId="6183" builtinId="9" hidden="1"/>
    <cellStyle name="Lien hypertexte visité" xfId="6151" builtinId="9" hidden="1"/>
    <cellStyle name="Lien hypertexte visité" xfId="6119" builtinId="9" hidden="1"/>
    <cellStyle name="Lien hypertexte visité" xfId="6087" builtinId="9" hidden="1"/>
    <cellStyle name="Lien hypertexte visité" xfId="6055" builtinId="9" hidden="1"/>
    <cellStyle name="Lien hypertexte visité" xfId="6023" builtinId="9" hidden="1"/>
    <cellStyle name="Lien hypertexte visité" xfId="5991" builtinId="9" hidden="1"/>
    <cellStyle name="Lien hypertexte visité" xfId="5959" builtinId="9" hidden="1"/>
    <cellStyle name="Lien hypertexte visité" xfId="8136" builtinId="9" hidden="1"/>
    <cellStyle name="Lien hypertexte visité" xfId="8104" builtinId="9" hidden="1"/>
    <cellStyle name="Lien hypertexte visité" xfId="8072" builtinId="9" hidden="1"/>
    <cellStyle name="Lien hypertexte visité" xfId="8040" builtinId="9" hidden="1"/>
    <cellStyle name="Lien hypertexte visité" xfId="8008" builtinId="9" hidden="1"/>
    <cellStyle name="Lien hypertexte visité" xfId="7976" builtinId="9" hidden="1"/>
    <cellStyle name="Lien hypertexte visité" xfId="7944" builtinId="9" hidden="1"/>
    <cellStyle name="Lien hypertexte visité" xfId="7912" builtinId="9" hidden="1"/>
    <cellStyle name="Lien hypertexte visité" xfId="7880" builtinId="9" hidden="1"/>
    <cellStyle name="Lien hypertexte visité" xfId="7848" builtinId="9" hidden="1"/>
    <cellStyle name="Lien hypertexte visité" xfId="7816" builtinId="9" hidden="1"/>
    <cellStyle name="Lien hypertexte visité" xfId="7783" builtinId="9" hidden="1"/>
    <cellStyle name="Lien hypertexte visité" xfId="7751" builtinId="9" hidden="1"/>
    <cellStyle name="Lien hypertexte visité" xfId="7719" builtinId="9" hidden="1"/>
    <cellStyle name="Lien hypertexte visité" xfId="7687" builtinId="9" hidden="1"/>
    <cellStyle name="Lien hypertexte visité" xfId="7655" builtinId="9" hidden="1"/>
    <cellStyle name="Lien hypertexte visité" xfId="7623" builtinId="9" hidden="1"/>
    <cellStyle name="Lien hypertexte visité" xfId="7591" builtinId="9" hidden="1"/>
    <cellStyle name="Lien hypertexte visité" xfId="7559" builtinId="9" hidden="1"/>
    <cellStyle name="Lien hypertexte visité" xfId="7527" builtinId="9" hidden="1"/>
    <cellStyle name="Lien hypertexte visité" xfId="7495" builtinId="9" hidden="1"/>
    <cellStyle name="Lien hypertexte visité" xfId="7463" builtinId="9" hidden="1"/>
    <cellStyle name="Lien hypertexte visité" xfId="7431" builtinId="9" hidden="1"/>
    <cellStyle name="Lien hypertexte visité" xfId="8472" builtinId="9" hidden="1"/>
    <cellStyle name="Lien hypertexte visité" xfId="8440" builtinId="9" hidden="1"/>
    <cellStyle name="Lien hypertexte visité" xfId="8408" builtinId="9" hidden="1"/>
    <cellStyle name="Lien hypertexte visité" xfId="8376" builtinId="9" hidden="1"/>
    <cellStyle name="Lien hypertexte visité" xfId="8344" builtinId="9" hidden="1"/>
    <cellStyle name="Lien hypertexte visité" xfId="8312" builtinId="9" hidden="1"/>
    <cellStyle name="Lien hypertexte visité" xfId="8280" builtinId="9" hidden="1"/>
    <cellStyle name="Lien hypertexte visité" xfId="8248" builtinId="9" hidden="1"/>
    <cellStyle name="Lien hypertexte visité" xfId="8216" builtinId="9" hidden="1"/>
    <cellStyle name="Lien hypertexte visité" xfId="8184" builtinId="9" hidden="1"/>
    <cellStyle name="Lien hypertexte visité" xfId="8152" builtinId="9" hidden="1"/>
    <cellStyle name="Lien hypertexte visité" xfId="8648" builtinId="9" hidden="1"/>
    <cellStyle name="Lien hypertexte visité" xfId="8616" builtinId="9" hidden="1"/>
    <cellStyle name="Lien hypertexte visité" xfId="8584" builtinId="9" hidden="1"/>
    <cellStyle name="Lien hypertexte visité" xfId="8552" builtinId="9" hidden="1"/>
    <cellStyle name="Lien hypertexte visité" xfId="8520" builtinId="9" hidden="1"/>
    <cellStyle name="Lien hypertexte visité" xfId="8760" builtinId="9" hidden="1"/>
    <cellStyle name="Lien hypertexte visité" xfId="8728" builtinId="9" hidden="1"/>
    <cellStyle name="Lien hypertexte visité" xfId="8696" builtinId="9" hidden="1"/>
    <cellStyle name="Lien hypertexte visité" xfId="8808" builtinId="9" hidden="1"/>
    <cellStyle name="Lien hypertexte visité" xfId="8776" builtinId="9" hidden="1"/>
    <cellStyle name="Lien hypertexte visité" xfId="8840" builtinId="9" hidden="1"/>
    <cellStyle name="Lien hypertexte visité" xfId="8824" builtinId="9" hidden="1"/>
    <cellStyle name="Lien hypertexte visité" xfId="8792" builtinId="9" hidden="1"/>
    <cellStyle name="Lien hypertexte visité" xfId="8680" builtinId="9" hidden="1"/>
    <cellStyle name="Lien hypertexte visité" xfId="8712" builtinId="9" hidden="1"/>
    <cellStyle name="Lien hypertexte visité" xfId="8744" builtinId="9" hidden="1"/>
    <cellStyle name="Lien hypertexte visité" xfId="8504" builtinId="9" hidden="1"/>
    <cellStyle name="Lien hypertexte visité" xfId="8536" builtinId="9" hidden="1"/>
    <cellStyle name="Lien hypertexte visité" xfId="8568" builtinId="9" hidden="1"/>
    <cellStyle name="Lien hypertexte visité" xfId="8600" builtinId="9" hidden="1"/>
    <cellStyle name="Lien hypertexte visité" xfId="8632" builtinId="9" hidden="1"/>
    <cellStyle name="Lien hypertexte visité" xfId="8664" builtinId="9" hidden="1"/>
    <cellStyle name="Lien hypertexte visité" xfId="8168" builtinId="9" hidden="1"/>
    <cellStyle name="Lien hypertexte visité" xfId="8200" builtinId="9" hidden="1"/>
    <cellStyle name="Lien hypertexte visité" xfId="8232" builtinId="9" hidden="1"/>
    <cellStyle name="Lien hypertexte visité" xfId="8264" builtinId="9" hidden="1"/>
    <cellStyle name="Lien hypertexte visité" xfId="8296" builtinId="9" hidden="1"/>
    <cellStyle name="Lien hypertexte visité" xfId="8328" builtinId="9" hidden="1"/>
    <cellStyle name="Lien hypertexte visité" xfId="8360" builtinId="9" hidden="1"/>
    <cellStyle name="Lien hypertexte visité" xfId="8392" builtinId="9" hidden="1"/>
    <cellStyle name="Lien hypertexte visité" xfId="8424" builtinId="9" hidden="1"/>
    <cellStyle name="Lien hypertexte visité" xfId="8456" builtinId="9" hidden="1"/>
    <cellStyle name="Lien hypertexte visité" xfId="8488" builtinId="9" hidden="1"/>
    <cellStyle name="Lien hypertexte visité" xfId="7447" builtinId="9" hidden="1"/>
    <cellStyle name="Lien hypertexte visité" xfId="7479" builtinId="9" hidden="1"/>
    <cellStyle name="Lien hypertexte visité" xfId="7511" builtinId="9" hidden="1"/>
    <cellStyle name="Lien hypertexte visité" xfId="7543" builtinId="9" hidden="1"/>
    <cellStyle name="Lien hypertexte visité" xfId="7575" builtinId="9" hidden="1"/>
    <cellStyle name="Lien hypertexte visité" xfId="7607" builtinId="9" hidden="1"/>
    <cellStyle name="Lien hypertexte visité" xfId="7639" builtinId="9" hidden="1"/>
    <cellStyle name="Lien hypertexte visité" xfId="7671" builtinId="9" hidden="1"/>
    <cellStyle name="Lien hypertexte visité" xfId="7703" builtinId="9" hidden="1"/>
    <cellStyle name="Lien hypertexte visité" xfId="7735" builtinId="9" hidden="1"/>
    <cellStyle name="Lien hypertexte visité" xfId="7767" builtinId="9" hidden="1"/>
    <cellStyle name="Lien hypertexte visité" xfId="7799" builtinId="9" hidden="1"/>
    <cellStyle name="Lien hypertexte visité" xfId="7832" builtinId="9" hidden="1"/>
    <cellStyle name="Lien hypertexte visité" xfId="7864" builtinId="9" hidden="1"/>
    <cellStyle name="Lien hypertexte visité" xfId="7896" builtinId="9" hidden="1"/>
    <cellStyle name="Lien hypertexte visité" xfId="7928" builtinId="9" hidden="1"/>
    <cellStyle name="Lien hypertexte visité" xfId="7960" builtinId="9" hidden="1"/>
    <cellStyle name="Lien hypertexte visité" xfId="7992" builtinId="9" hidden="1"/>
    <cellStyle name="Lien hypertexte visité" xfId="8024" builtinId="9" hidden="1"/>
    <cellStyle name="Lien hypertexte visité" xfId="8056" builtinId="9" hidden="1"/>
    <cellStyle name="Lien hypertexte visité" xfId="8088" builtinId="9" hidden="1"/>
    <cellStyle name="Lien hypertexte visité" xfId="8120" builtinId="9" hidden="1"/>
    <cellStyle name="Lien hypertexte visité" xfId="6791" builtinId="9" hidden="1"/>
    <cellStyle name="Lien hypertexte visité" xfId="5975" builtinId="9" hidden="1"/>
    <cellStyle name="Lien hypertexte visité" xfId="6007" builtinId="9" hidden="1"/>
    <cellStyle name="Lien hypertexte visité" xfId="6039" builtinId="9" hidden="1"/>
    <cellStyle name="Lien hypertexte visité" xfId="6071" builtinId="9" hidden="1"/>
    <cellStyle name="Lien hypertexte visité" xfId="6103" builtinId="9" hidden="1"/>
    <cellStyle name="Lien hypertexte visité" xfId="6135" builtinId="9" hidden="1"/>
    <cellStyle name="Lien hypertexte visité" xfId="6167" builtinId="9" hidden="1"/>
    <cellStyle name="Lien hypertexte visité" xfId="6199" builtinId="9" hidden="1"/>
    <cellStyle name="Lien hypertexte visité" xfId="6231" builtinId="9" hidden="1"/>
    <cellStyle name="Lien hypertexte visité" xfId="6263" builtinId="9" hidden="1"/>
    <cellStyle name="Lien hypertexte visité" xfId="6295" builtinId="9" hidden="1"/>
    <cellStyle name="Lien hypertexte visité" xfId="6327" builtinId="9" hidden="1"/>
    <cellStyle name="Lien hypertexte visité" xfId="6359" builtinId="9" hidden="1"/>
    <cellStyle name="Lien hypertexte visité" xfId="6391" builtinId="9" hidden="1"/>
    <cellStyle name="Lien hypertexte visité" xfId="6423" builtinId="9" hidden="1"/>
    <cellStyle name="Lien hypertexte visité" xfId="6455" builtinId="9" hidden="1"/>
    <cellStyle name="Lien hypertexte visité" xfId="6487" builtinId="9" hidden="1"/>
    <cellStyle name="Lien hypertexte visité" xfId="6519" builtinId="9" hidden="1"/>
    <cellStyle name="Lien hypertexte visité" xfId="6551" builtinId="9" hidden="1"/>
    <cellStyle name="Lien hypertexte visité" xfId="6583" builtinId="9" hidden="1"/>
    <cellStyle name="Lien hypertexte visité" xfId="6615" builtinId="9" hidden="1"/>
    <cellStyle name="Lien hypertexte visité" xfId="6647" builtinId="9" hidden="1"/>
    <cellStyle name="Lien hypertexte visité" xfId="6679" builtinId="9" hidden="1"/>
    <cellStyle name="Lien hypertexte visité" xfId="6711" builtinId="9" hidden="1"/>
    <cellStyle name="Lien hypertexte visité" xfId="6743" builtinId="9" hidden="1"/>
    <cellStyle name="Lien hypertexte visité" xfId="6775" builtinId="9" hidden="1"/>
    <cellStyle name="Lien hypertexte visité" xfId="6823" builtinId="9" hidden="1"/>
    <cellStyle name="Lien hypertexte visité" xfId="6855" builtinId="9" hidden="1"/>
    <cellStyle name="Lien hypertexte visité" xfId="6887" builtinId="9" hidden="1"/>
    <cellStyle name="Lien hypertexte visité" xfId="6919" builtinId="9" hidden="1"/>
    <cellStyle name="Lien hypertexte visité" xfId="6951" builtinId="9" hidden="1"/>
    <cellStyle name="Lien hypertexte visité" xfId="6983" builtinId="9" hidden="1"/>
    <cellStyle name="Lien hypertexte visité" xfId="7015" builtinId="9" hidden="1"/>
    <cellStyle name="Lien hypertexte visité" xfId="7047" builtinId="9" hidden="1"/>
    <cellStyle name="Lien hypertexte visité" xfId="7079" builtinId="9" hidden="1"/>
    <cellStyle name="Lien hypertexte visité" xfId="7111" builtinId="9" hidden="1"/>
    <cellStyle name="Lien hypertexte visité" xfId="7143" builtinId="9" hidden="1"/>
    <cellStyle name="Lien hypertexte visité" xfId="7175" builtinId="9" hidden="1"/>
    <cellStyle name="Lien hypertexte visité" xfId="7207" builtinId="9" hidden="1"/>
    <cellStyle name="Lien hypertexte visité" xfId="7239" builtinId="9" hidden="1"/>
    <cellStyle name="Lien hypertexte visité" xfId="7271" builtinId="9" hidden="1"/>
    <cellStyle name="Lien hypertexte visité" xfId="7303" builtinId="9" hidden="1"/>
    <cellStyle name="Lien hypertexte visité" xfId="7335" builtinId="9" hidden="1"/>
    <cellStyle name="Lien hypertexte visité" xfId="7367" builtinId="9" hidden="1"/>
    <cellStyle name="Lien hypertexte visité" xfId="7399" builtinId="9" hidden="1"/>
    <cellStyle name="Lien hypertexte visité" xfId="5767" builtinId="9" hidden="1"/>
    <cellStyle name="Lien hypertexte visité" xfId="4743" builtinId="9" hidden="1"/>
    <cellStyle name="Lien hypertexte visité" xfId="3722" builtinId="9" hidden="1"/>
    <cellStyle name="Lien hypertexte visité" xfId="2849" builtinId="9" hidden="1"/>
    <cellStyle name="Lien hypertexte visité" xfId="2881" builtinId="9" hidden="1"/>
    <cellStyle name="Lien hypertexte visité" xfId="2913" builtinId="9" hidden="1"/>
    <cellStyle name="Lien hypertexte visité" xfId="2945" builtinId="9" hidden="1"/>
    <cellStyle name="Lien hypertexte visité" xfId="2977" builtinId="9" hidden="1"/>
    <cellStyle name="Lien hypertexte visité" xfId="3009" builtinId="9" hidden="1"/>
    <cellStyle name="Lien hypertexte visité" xfId="3041" builtinId="9" hidden="1"/>
    <cellStyle name="Lien hypertexte visité" xfId="3073" builtinId="9" hidden="1"/>
    <cellStyle name="Lien hypertexte visité" xfId="3105" builtinId="9" hidden="1"/>
    <cellStyle name="Lien hypertexte visité" xfId="3137" builtinId="9" hidden="1"/>
    <cellStyle name="Lien hypertexte visité" xfId="3169" builtinId="9" hidden="1"/>
    <cellStyle name="Lien hypertexte visité" xfId="3217" builtinId="9" hidden="1"/>
    <cellStyle name="Lien hypertexte visité" xfId="3249" builtinId="9" hidden="1"/>
    <cellStyle name="Lien hypertexte visité" xfId="3281" builtinId="9" hidden="1"/>
    <cellStyle name="Lien hypertexte visité" xfId="3313" builtinId="9" hidden="1"/>
    <cellStyle name="Lien hypertexte visité" xfId="3345" builtinId="9" hidden="1"/>
    <cellStyle name="Lien hypertexte visité" xfId="3377" builtinId="9" hidden="1"/>
    <cellStyle name="Lien hypertexte visité" xfId="3409" builtinId="9" hidden="1"/>
    <cellStyle name="Lien hypertexte visité" xfId="3441" builtinId="9" hidden="1"/>
    <cellStyle name="Lien hypertexte visité" xfId="3473" builtinId="9" hidden="1"/>
    <cellStyle name="Lien hypertexte visité" xfId="3505" builtinId="9" hidden="1"/>
    <cellStyle name="Lien hypertexte visité" xfId="3537" builtinId="9" hidden="1"/>
    <cellStyle name="Lien hypertexte visité" xfId="3570" builtinId="9" hidden="1"/>
    <cellStyle name="Lien hypertexte visité" xfId="3602" builtinId="9" hidden="1"/>
    <cellStyle name="Lien hypertexte visité" xfId="3634" builtinId="9" hidden="1"/>
    <cellStyle name="Lien hypertexte visité" xfId="3671" builtinId="9" hidden="1"/>
    <cellStyle name="Lien hypertexte visité" xfId="3706" builtinId="9" hidden="1"/>
    <cellStyle name="Lien hypertexte visité" xfId="3754" builtinId="9" hidden="1"/>
    <cellStyle name="Lien hypertexte visité" xfId="3786" builtinId="9" hidden="1"/>
    <cellStyle name="Lien hypertexte visité" xfId="3818" builtinId="9" hidden="1"/>
    <cellStyle name="Lien hypertexte visité" xfId="3850" builtinId="9" hidden="1"/>
    <cellStyle name="Lien hypertexte visité" xfId="3882" builtinId="9" hidden="1"/>
    <cellStyle name="Lien hypertexte visité" xfId="3915" builtinId="9" hidden="1"/>
    <cellStyle name="Lien hypertexte visité" xfId="3943" builtinId="9" hidden="1"/>
    <cellStyle name="Lien hypertexte visité" xfId="3975" builtinId="9" hidden="1"/>
    <cellStyle name="Lien hypertexte visité" xfId="4007" builtinId="9" hidden="1"/>
    <cellStyle name="Lien hypertexte visité" xfId="4039" builtinId="9" hidden="1"/>
    <cellStyle name="Lien hypertexte visité" xfId="4071" builtinId="9" hidden="1"/>
    <cellStyle name="Lien hypertexte visité" xfId="4103" builtinId="9" hidden="1"/>
    <cellStyle name="Lien hypertexte visité" xfId="4135" builtinId="9" hidden="1"/>
    <cellStyle name="Lien hypertexte visité" xfId="4167" builtinId="9" hidden="1"/>
    <cellStyle name="Lien hypertexte visité" xfId="4199" builtinId="9" hidden="1"/>
    <cellStyle name="Lien hypertexte visité" xfId="4247" builtinId="9" hidden="1"/>
    <cellStyle name="Lien hypertexte visité" xfId="4279" builtinId="9" hidden="1"/>
    <cellStyle name="Lien hypertexte visité" xfId="4311" builtinId="9" hidden="1"/>
    <cellStyle name="Lien hypertexte visité" xfId="4343" builtinId="9" hidden="1"/>
    <cellStyle name="Lien hypertexte visité" xfId="4375" builtinId="9" hidden="1"/>
    <cellStyle name="Lien hypertexte visité" xfId="4407" builtinId="9" hidden="1"/>
    <cellStyle name="Lien hypertexte visité" xfId="4439" builtinId="9" hidden="1"/>
    <cellStyle name="Lien hypertexte visité" xfId="4471" builtinId="9" hidden="1"/>
    <cellStyle name="Lien hypertexte visité" xfId="4503" builtinId="9" hidden="1"/>
    <cellStyle name="Lien hypertexte visité" xfId="4535" builtinId="9" hidden="1"/>
    <cellStyle name="Lien hypertexte visité" xfId="4567" builtinId="9" hidden="1"/>
    <cellStyle name="Lien hypertexte visité" xfId="4599" builtinId="9" hidden="1"/>
    <cellStyle name="Lien hypertexte visité" xfId="4631" builtinId="9" hidden="1"/>
    <cellStyle name="Lien hypertexte visité" xfId="4663" builtinId="9" hidden="1"/>
    <cellStyle name="Lien hypertexte visité" xfId="4695" builtinId="9" hidden="1"/>
    <cellStyle name="Lien hypertexte visité" xfId="4727" builtinId="9" hidden="1"/>
    <cellStyle name="Lien hypertexte visité" xfId="4775" builtinId="9" hidden="1"/>
    <cellStyle name="Lien hypertexte visité" xfId="4807" builtinId="9" hidden="1"/>
    <cellStyle name="Lien hypertexte visité" xfId="4839" builtinId="9" hidden="1"/>
    <cellStyle name="Lien hypertexte visité" xfId="4871" builtinId="9" hidden="1"/>
    <cellStyle name="Lien hypertexte visité" xfId="4903" builtinId="9" hidden="1"/>
    <cellStyle name="Lien hypertexte visité" xfId="4935" builtinId="9" hidden="1"/>
    <cellStyle name="Lien hypertexte visité" xfId="4967" builtinId="9" hidden="1"/>
    <cellStyle name="Lien hypertexte visité" xfId="4999" builtinId="9" hidden="1"/>
    <cellStyle name="Lien hypertexte visité" xfId="5031" builtinId="9" hidden="1"/>
    <cellStyle name="Lien hypertexte visité" xfId="5063" builtinId="9" hidden="1"/>
    <cellStyle name="Lien hypertexte visité" xfId="5095" builtinId="9" hidden="1"/>
    <cellStyle name="Lien hypertexte visité" xfId="5127" builtinId="9" hidden="1"/>
    <cellStyle name="Lien hypertexte visité" xfId="5159" builtinId="9" hidden="1"/>
    <cellStyle name="Lien hypertexte visité" xfId="5191" builtinId="9" hidden="1"/>
    <cellStyle name="Lien hypertexte visité" xfId="5223" builtinId="9" hidden="1"/>
    <cellStyle name="Lien hypertexte visité" xfId="5271" builtinId="9" hidden="1"/>
    <cellStyle name="Lien hypertexte visité" xfId="5303" builtinId="9" hidden="1"/>
    <cellStyle name="Lien hypertexte visité" xfId="5335" builtinId="9" hidden="1"/>
    <cellStyle name="Lien hypertexte visité" xfId="5367" builtinId="9" hidden="1"/>
    <cellStyle name="Lien hypertexte visité" xfId="5399" builtinId="9" hidden="1"/>
    <cellStyle name="Lien hypertexte visité" xfId="5431" builtinId="9" hidden="1"/>
    <cellStyle name="Lien hypertexte visité" xfId="5463" builtinId="9" hidden="1"/>
    <cellStyle name="Lien hypertexte visité" xfId="5495" builtinId="9" hidden="1"/>
    <cellStyle name="Lien hypertexte visité" xfId="5527" builtinId="9" hidden="1"/>
    <cellStyle name="Lien hypertexte visité" xfId="5559" builtinId="9" hidden="1"/>
    <cellStyle name="Lien hypertexte visité" xfId="5591" builtinId="9" hidden="1"/>
    <cellStyle name="Lien hypertexte visité" xfId="5623" builtinId="9" hidden="1"/>
    <cellStyle name="Lien hypertexte visité" xfId="5655" builtinId="9" hidden="1"/>
    <cellStyle name="Lien hypertexte visité" xfId="5687" builtinId="9" hidden="1"/>
    <cellStyle name="Lien hypertexte visité" xfId="5719" builtinId="9" hidden="1"/>
    <cellStyle name="Lien hypertexte visité" xfId="5751" builtinId="9" hidden="1"/>
    <cellStyle name="Lien hypertexte visité" xfId="5799" builtinId="9" hidden="1"/>
    <cellStyle name="Lien hypertexte visité" xfId="5831" builtinId="9" hidden="1"/>
    <cellStyle name="Lien hypertexte visité" xfId="5863" builtinId="9" hidden="1"/>
    <cellStyle name="Lien hypertexte visité" xfId="5895" builtinId="9" hidden="1"/>
    <cellStyle name="Lien hypertexte visité" xfId="5927" builtinId="9" hidden="1"/>
    <cellStyle name="Lien hypertexte visité" xfId="2689" builtinId="9" hidden="1"/>
    <cellStyle name="Lien hypertexte visité" xfId="2177" builtinId="9" hidden="1"/>
    <cellStyle name="Lien hypertexte visité" xfId="1665" builtinId="9" hidden="1"/>
    <cellStyle name="Lien hypertexte visité" xfId="1141" builtinId="9" hidden="1"/>
    <cellStyle name="Lien hypertexte visité" xfId="241" builtinId="9" hidden="1"/>
    <cellStyle name="Lien hypertexte visité" xfId="877" builtinId="9" hidden="1"/>
    <cellStyle name="Lien hypertexte visité" xfId="1533" builtinId="9" hidden="1"/>
    <cellStyle name="Lien hypertexte visité" xfId="2045" builtinId="9" hidden="1"/>
    <cellStyle name="Lien hypertexte visité" xfId="2557" builtinId="9" hidden="1"/>
    <cellStyle name="Lien hypertexte visité" xfId="3069" builtinId="9" hidden="1"/>
    <cellStyle name="Lien hypertexte visité" xfId="3582" builtinId="9" hidden="1"/>
    <cellStyle name="Lien hypertexte visité" xfId="4099" builtinId="9" hidden="1"/>
    <cellStyle name="Lien hypertexte visité" xfId="4611" builtinId="9" hidden="1"/>
    <cellStyle name="Lien hypertexte visité" xfId="5123" builtinId="9" hidden="1"/>
    <cellStyle name="Lien hypertexte visité" xfId="5155" builtinId="9" hidden="1"/>
    <cellStyle name="Lien hypertexte visité" xfId="5107" builtinId="9" hidden="1"/>
    <cellStyle name="Lien hypertexte visité" xfId="5075" builtinId="9" hidden="1"/>
    <cellStyle name="Lien hypertexte visité" xfId="5043" builtinId="9" hidden="1"/>
    <cellStyle name="Lien hypertexte visité" xfId="5011" builtinId="9" hidden="1"/>
    <cellStyle name="Lien hypertexte visité" xfId="4979" builtinId="9" hidden="1"/>
    <cellStyle name="Lien hypertexte visité" xfId="4947" builtinId="9" hidden="1"/>
    <cellStyle name="Lien hypertexte visité" xfId="4915" builtinId="9" hidden="1"/>
    <cellStyle name="Lien hypertexte visité" xfId="4883" builtinId="9" hidden="1"/>
    <cellStyle name="Lien hypertexte visité" xfId="4835" builtinId="9" hidden="1"/>
    <cellStyle name="Lien hypertexte visité" xfId="4803" builtinId="9" hidden="1"/>
    <cellStyle name="Lien hypertexte visité" xfId="4771" builtinId="9" hidden="1"/>
    <cellStyle name="Lien hypertexte visité" xfId="4739" builtinId="9" hidden="1"/>
    <cellStyle name="Lien hypertexte visité" xfId="4707" builtinId="9" hidden="1"/>
    <cellStyle name="Lien hypertexte visité" xfId="4675" builtinId="9" hidden="1"/>
    <cellStyle name="Lien hypertexte visité" xfId="4643" builtinId="9" hidden="1"/>
    <cellStyle name="Lien hypertexte visité" xfId="4595" builtinId="9" hidden="1"/>
    <cellStyle name="Lien hypertexte visité" xfId="4563" builtinId="9" hidden="1"/>
    <cellStyle name="Lien hypertexte visité" xfId="4531" builtinId="9" hidden="1"/>
    <cellStyle name="Lien hypertexte visité" xfId="4499" builtinId="9" hidden="1"/>
    <cellStyle name="Lien hypertexte visité" xfId="4467" builtinId="9" hidden="1"/>
    <cellStyle name="Lien hypertexte visité" xfId="4435" builtinId="9" hidden="1"/>
    <cellStyle name="Lien hypertexte visité" xfId="4403" builtinId="9" hidden="1"/>
    <cellStyle name="Lien hypertexte visité" xfId="4371" builtinId="9" hidden="1"/>
    <cellStyle name="Lien hypertexte visité" xfId="4323" builtinId="9" hidden="1"/>
    <cellStyle name="Lien hypertexte visité" xfId="4291" builtinId="9" hidden="1"/>
    <cellStyle name="Lien hypertexte visité" xfId="4259" builtinId="9" hidden="1"/>
    <cellStyle name="Lien hypertexte visité" xfId="4227" builtinId="9" hidden="1"/>
    <cellStyle name="Lien hypertexte visité" xfId="4195" builtinId="9" hidden="1"/>
    <cellStyle name="Lien hypertexte visité" xfId="4163" builtinId="9" hidden="1"/>
    <cellStyle name="Lien hypertexte visité" xfId="4131" builtinId="9" hidden="1"/>
    <cellStyle name="Lien hypertexte visité" xfId="4083" builtinId="9" hidden="1"/>
    <cellStyle name="Lien hypertexte visité" xfId="4051" builtinId="9" hidden="1"/>
    <cellStyle name="Lien hypertexte visité" xfId="4019" builtinId="9" hidden="1"/>
    <cellStyle name="Lien hypertexte visité" xfId="3987" builtinId="9" hidden="1"/>
    <cellStyle name="Lien hypertexte visité" xfId="3955" builtinId="9" hidden="1"/>
    <cellStyle name="Lien hypertexte visité" xfId="1158" builtinId="9" hidden="1"/>
    <cellStyle name="Lien hypertexte visité" xfId="3895" builtinId="9" hidden="1"/>
    <cellStyle name="Lien hypertexte visité" xfId="3862" builtinId="9" hidden="1"/>
    <cellStyle name="Lien hypertexte visité" xfId="3814" builtinId="9" hidden="1"/>
    <cellStyle name="Lien hypertexte visité" xfId="3782" builtinId="9" hidden="1"/>
    <cellStyle name="Lien hypertexte visité" xfId="3750" builtinId="9" hidden="1"/>
    <cellStyle name="Lien hypertexte visité" xfId="3718" builtinId="9" hidden="1"/>
    <cellStyle name="Lien hypertexte visité" xfId="3685" builtinId="9" hidden="1"/>
    <cellStyle name="Lien hypertexte visité" xfId="3646" builtinId="9" hidden="1"/>
    <cellStyle name="Lien hypertexte visité" xfId="3614" builtinId="9" hidden="1"/>
    <cellStyle name="Lien hypertexte visité" xfId="3566" builtinId="9" hidden="1"/>
    <cellStyle name="Lien hypertexte visité" xfId="3533" builtinId="9" hidden="1"/>
    <cellStyle name="Lien hypertexte visité" xfId="3501" builtinId="9" hidden="1"/>
    <cellStyle name="Lien hypertexte visité" xfId="3469" builtinId="9" hidden="1"/>
    <cellStyle name="Lien hypertexte visité" xfId="3437" builtinId="9" hidden="1"/>
    <cellStyle name="Lien hypertexte visité" xfId="3405" builtinId="9" hidden="1"/>
    <cellStyle name="Lien hypertexte visité" xfId="3373" builtinId="9" hidden="1"/>
    <cellStyle name="Lien hypertexte visité" xfId="3341" builtinId="9" hidden="1"/>
    <cellStyle name="Lien hypertexte visité" xfId="3293" builtinId="9" hidden="1"/>
    <cellStyle name="Lien hypertexte visité" xfId="3261" builtinId="9" hidden="1"/>
    <cellStyle name="Lien hypertexte visité" xfId="3229" builtinId="9" hidden="1"/>
    <cellStyle name="Lien hypertexte visité" xfId="3197" builtinId="9" hidden="1"/>
    <cellStyle name="Lien hypertexte visité" xfId="3165" builtinId="9" hidden="1"/>
    <cellStyle name="Lien hypertexte visité" xfId="3133" builtinId="9" hidden="1"/>
    <cellStyle name="Lien hypertexte visité" xfId="3101" builtinId="9" hidden="1"/>
    <cellStyle name="Lien hypertexte visité" xfId="3053" builtinId="9" hidden="1"/>
    <cellStyle name="Lien hypertexte visité" xfId="3021" builtinId="9" hidden="1"/>
    <cellStyle name="Lien hypertexte visité" xfId="2989" builtinId="9" hidden="1"/>
    <cellStyle name="Lien hypertexte visité" xfId="2957" builtinId="9" hidden="1"/>
    <cellStyle name="Lien hypertexte visité" xfId="2925" builtinId="9" hidden="1"/>
    <cellStyle name="Lien hypertexte visité" xfId="2893" builtinId="9" hidden="1"/>
    <cellStyle name="Lien hypertexte visité" xfId="2861" builtinId="9" hidden="1"/>
    <cellStyle name="Lien hypertexte visité" xfId="2829" builtinId="9" hidden="1"/>
    <cellStyle name="Lien hypertexte visité" xfId="2781" builtinId="9" hidden="1"/>
    <cellStyle name="Lien hypertexte visité" xfId="2749" builtinId="9" hidden="1"/>
    <cellStyle name="Lien hypertexte visité" xfId="2717" builtinId="9" hidden="1"/>
    <cellStyle name="Lien hypertexte visité" xfId="2685" builtinId="9" hidden="1"/>
    <cellStyle name="Lien hypertexte visité" xfId="2653" builtinId="9" hidden="1"/>
    <cellStyle name="Lien hypertexte visité" xfId="2621" builtinId="9" hidden="1"/>
    <cellStyle name="Lien hypertexte visité" xfId="2589" builtinId="9" hidden="1"/>
    <cellStyle name="Lien hypertexte visité" xfId="2541" builtinId="9" hidden="1"/>
    <cellStyle name="Lien hypertexte visité" xfId="2509" builtinId="9" hidden="1"/>
    <cellStyle name="Lien hypertexte visité" xfId="2477" builtinId="9" hidden="1"/>
    <cellStyle name="Lien hypertexte visité" xfId="2445" builtinId="9" hidden="1"/>
    <cellStyle name="Lien hypertexte visité" xfId="2413" builtinId="9" hidden="1"/>
    <cellStyle name="Lien hypertexte visité" xfId="2381" builtinId="9" hidden="1"/>
    <cellStyle name="Lien hypertexte visité" xfId="2349" builtinId="9" hidden="1"/>
    <cellStyle name="Lien hypertexte visité" xfId="2317" builtinId="9" hidden="1"/>
    <cellStyle name="Lien hypertexte visité" xfId="2269" builtinId="9" hidden="1"/>
    <cellStyle name="Lien hypertexte visité" xfId="2237" builtinId="9" hidden="1"/>
    <cellStyle name="Lien hypertexte visité" xfId="2206" builtinId="9" hidden="1"/>
    <cellStyle name="Lien hypertexte visité" xfId="2173" builtinId="9" hidden="1"/>
    <cellStyle name="Lien hypertexte visité" xfId="2141" builtinId="9" hidden="1"/>
    <cellStyle name="Lien hypertexte visité" xfId="2109" builtinId="9" hidden="1"/>
    <cellStyle name="Lien hypertexte visité" xfId="2077" builtinId="9" hidden="1"/>
    <cellStyle name="Lien hypertexte visité" xfId="2029" builtinId="9" hidden="1"/>
    <cellStyle name="Lien hypertexte visité" xfId="1997" builtinId="9" hidden="1"/>
    <cellStyle name="Lien hypertexte visité" xfId="1965" builtinId="9" hidden="1"/>
    <cellStyle name="Lien hypertexte visité" xfId="1933" builtinId="9" hidden="1"/>
    <cellStyle name="Lien hypertexte visité" xfId="1901" builtinId="9" hidden="1"/>
    <cellStyle name="Lien hypertexte visité" xfId="1869" builtinId="9" hidden="1"/>
    <cellStyle name="Lien hypertexte visité" xfId="1837" builtinId="9" hidden="1"/>
    <cellStyle name="Lien hypertexte visité" xfId="1805" builtinId="9" hidden="1"/>
    <cellStyle name="Lien hypertexte visité" xfId="1757" builtinId="9" hidden="1"/>
    <cellStyle name="Lien hypertexte visité" xfId="1725" builtinId="9" hidden="1"/>
    <cellStyle name="Lien hypertexte visité" xfId="1693" builtinId="9" hidden="1"/>
    <cellStyle name="Lien hypertexte visité" xfId="1661" builtinId="9" hidden="1"/>
    <cellStyle name="Lien hypertexte visité" xfId="1629" builtinId="9" hidden="1"/>
    <cellStyle name="Lien hypertexte visité" xfId="1597" builtinId="9" hidden="1"/>
    <cellStyle name="Lien hypertexte visité" xfId="1565" builtinId="9" hidden="1"/>
    <cellStyle name="Lien hypertexte visité" xfId="1517" builtinId="9" hidden="1"/>
    <cellStyle name="Lien hypertexte visité" xfId="1484" builtinId="9" hidden="1"/>
    <cellStyle name="Lien hypertexte visité" xfId="1452" builtinId="9" hidden="1"/>
    <cellStyle name="Lien hypertexte visité" xfId="1420" builtinId="9" hidden="1"/>
    <cellStyle name="Lien hypertexte visité" xfId="1388" builtinId="9" hidden="1"/>
    <cellStyle name="Lien hypertexte visité" xfId="1356" builtinId="9" hidden="1"/>
    <cellStyle name="Lien hypertexte visité" xfId="1324" builtinId="9" hidden="1"/>
    <cellStyle name="Lien hypertexte visité" xfId="1292" builtinId="9" hidden="1"/>
    <cellStyle name="Lien hypertexte visité" xfId="1244" builtinId="9" hidden="1"/>
    <cellStyle name="Lien hypertexte visité" xfId="1212" builtinId="9" hidden="1"/>
    <cellStyle name="Lien hypertexte visité" xfId="1180" builtinId="9" hidden="1"/>
    <cellStyle name="Lien hypertexte visité" xfId="1133" builtinId="9" hidden="1"/>
    <cellStyle name="Lien hypertexte visité" xfId="1069" builtinId="9" hidden="1"/>
    <cellStyle name="Lien hypertexte visité" xfId="1005" builtinId="9" hidden="1"/>
    <cellStyle name="Lien hypertexte visité" xfId="941" builtinId="9" hidden="1"/>
    <cellStyle name="Lien hypertexte visité" xfId="845" builtinId="9" hidden="1"/>
    <cellStyle name="Lien hypertexte visité" xfId="781" builtinId="9" hidden="1"/>
    <cellStyle name="Lien hypertexte visité" xfId="717" builtinId="9" hidden="1"/>
    <cellStyle name="Lien hypertexte visité" xfId="653" builtinId="9" hidden="1"/>
    <cellStyle name="Lien hypertexte visité" xfId="589" builtinId="9" hidden="1"/>
    <cellStyle name="Lien hypertexte visité" xfId="525" builtinId="9" hidden="1"/>
    <cellStyle name="Lien hypertexte visité" xfId="461" builtinId="9" hidden="1"/>
    <cellStyle name="Lien hypertexte visité" xfId="397" builtinId="9" hidden="1"/>
    <cellStyle name="Lien hypertexte visité" xfId="301" builtinId="9" hidden="1"/>
    <cellStyle name="Lien hypertexte visité" xfId="161" builtinId="9" hidden="1"/>
    <cellStyle name="Lien hypertexte visité" xfId="201" builtinId="9" hidden="1"/>
    <cellStyle name="Lien hypertexte visité" xfId="237" builtinId="9" hidden="1"/>
    <cellStyle name="Lien hypertexte visité" xfId="145" builtinId="9" hidden="1"/>
    <cellStyle name="Lien hypertexte visité" xfId="117" builtinId="9" hidden="1"/>
    <cellStyle name="Lien hypertexte visité" xfId="137" builtinId="9" hidden="1"/>
    <cellStyle name="Lien hypertexte visité" xfId="217" builtinId="9" hidden="1"/>
    <cellStyle name="Lien hypertexte visité" xfId="177" builtinId="9" hidden="1"/>
    <cellStyle name="Lien hypertexte visité" xfId="277" builtinId="9" hidden="1"/>
    <cellStyle name="Lien hypertexte visité" xfId="341" builtinId="9" hidden="1"/>
    <cellStyle name="Lien hypertexte visité" xfId="405" builtinId="9" hidden="1"/>
    <cellStyle name="Lien hypertexte visité" xfId="469" builtinId="9" hidden="1"/>
    <cellStyle name="Lien hypertexte visité" xfId="533" builtinId="9" hidden="1"/>
    <cellStyle name="Lien hypertexte visité" xfId="597" builtinId="9" hidden="1"/>
    <cellStyle name="Lien hypertexte visité" xfId="693" builtinId="9" hidden="1"/>
    <cellStyle name="Lien hypertexte visité" xfId="757" builtinId="9" hidden="1"/>
    <cellStyle name="Lien hypertexte visité" xfId="821" builtinId="9" hidden="1"/>
    <cellStyle name="Lien hypertexte visité" xfId="885" builtinId="9" hidden="1"/>
    <cellStyle name="Lien hypertexte visité" xfId="949" builtinId="9" hidden="1"/>
    <cellStyle name="Lien hypertexte visité" xfId="1013" builtinId="9" hidden="1"/>
    <cellStyle name="Lien hypertexte visité" xfId="1077" builtinId="9" hidden="1"/>
    <cellStyle name="Lien hypertexte visité" xfId="1168" builtinId="9" hidden="1"/>
    <cellStyle name="Lien hypertexte visité" xfId="1200" builtinId="9" hidden="1"/>
    <cellStyle name="Lien hypertexte visité" xfId="1232" builtinId="9" hidden="1"/>
    <cellStyle name="Lien hypertexte visité" xfId="1264" builtinId="9" hidden="1"/>
    <cellStyle name="Lien hypertexte visité" xfId="1296" builtinId="9" hidden="1"/>
    <cellStyle name="Lien hypertexte visité" xfId="1328" builtinId="9" hidden="1"/>
    <cellStyle name="Lien hypertexte visité" xfId="1360" builtinId="9" hidden="1"/>
    <cellStyle name="Lien hypertexte visité" xfId="1392" builtinId="9" hidden="1"/>
    <cellStyle name="Lien hypertexte visité" xfId="1440" builtinId="9" hidden="1"/>
    <cellStyle name="Lien hypertexte visité" xfId="1472" builtinId="9" hidden="1"/>
    <cellStyle name="Lien hypertexte visité" xfId="1505" builtinId="9" hidden="1"/>
    <cellStyle name="Lien hypertexte visité" xfId="1537" builtinId="9" hidden="1"/>
    <cellStyle name="Lien hypertexte visité" xfId="1569" builtinId="9" hidden="1"/>
    <cellStyle name="Lien hypertexte visité" xfId="1601" builtinId="9" hidden="1"/>
    <cellStyle name="Lien hypertexte visité" xfId="1633" builtinId="9" hidden="1"/>
    <cellStyle name="Lien hypertexte visité" xfId="1681" builtinId="9" hidden="1"/>
    <cellStyle name="Lien hypertexte visité" xfId="1713" builtinId="9" hidden="1"/>
    <cellStyle name="Lien hypertexte visité" xfId="1745" builtinId="9" hidden="1"/>
    <cellStyle name="Lien hypertexte visité" xfId="1777" builtinId="9" hidden="1"/>
    <cellStyle name="Lien hypertexte visité" xfId="1809" builtinId="9" hidden="1"/>
    <cellStyle name="Lien hypertexte visité" xfId="1841" builtinId="9" hidden="1"/>
    <cellStyle name="Lien hypertexte visité" xfId="1873" builtinId="9" hidden="1"/>
    <cellStyle name="Lien hypertexte visité" xfId="1905" builtinId="9" hidden="1"/>
    <cellStyle name="Lien hypertexte visité" xfId="1953" builtinId="9" hidden="1"/>
    <cellStyle name="Lien hypertexte visité" xfId="1985" builtinId="9" hidden="1"/>
    <cellStyle name="Lien hypertexte visité" xfId="2017" builtinId="9" hidden="1"/>
    <cellStyle name="Lien hypertexte visité" xfId="2049" builtinId="9" hidden="1"/>
    <cellStyle name="Lien hypertexte visité" xfId="2081" builtinId="9" hidden="1"/>
    <cellStyle name="Lien hypertexte visité" xfId="2113" builtinId="9" hidden="1"/>
    <cellStyle name="Lien hypertexte visité" xfId="2145" builtinId="9" hidden="1"/>
    <cellStyle name="Lien hypertexte visité" xfId="2193" builtinId="9" hidden="1"/>
    <cellStyle name="Lien hypertexte visité" xfId="2225" builtinId="9" hidden="1"/>
    <cellStyle name="Lien hypertexte visité" xfId="2257" builtinId="9" hidden="1"/>
    <cellStyle name="Lien hypertexte visité" xfId="2289" builtinId="9" hidden="1"/>
    <cellStyle name="Lien hypertexte visité" xfId="2321" builtinId="9" hidden="1"/>
    <cellStyle name="Lien hypertexte visité" xfId="2353" builtinId="9" hidden="1"/>
    <cellStyle name="Lien hypertexte visité" xfId="2385" builtinId="9" hidden="1"/>
    <cellStyle name="Lien hypertexte visité" xfId="2417" builtinId="9" hidden="1"/>
    <cellStyle name="Lien hypertexte visité" xfId="2465" builtinId="9" hidden="1"/>
    <cellStyle name="Lien hypertexte visité" xfId="2497" builtinId="9" hidden="1"/>
    <cellStyle name="Lien hypertexte visité" xfId="2529" builtinId="9" hidden="1"/>
    <cellStyle name="Lien hypertexte visité" xfId="2561" builtinId="9" hidden="1"/>
    <cellStyle name="Lien hypertexte visité" xfId="2593" builtinId="9" hidden="1"/>
    <cellStyle name="Lien hypertexte visité" xfId="2625" builtinId="9" hidden="1"/>
    <cellStyle name="Lien hypertexte visité" xfId="2657" builtinId="9" hidden="1"/>
    <cellStyle name="Lien hypertexte visité" xfId="2705" builtinId="9" hidden="1"/>
    <cellStyle name="Lien hypertexte visité" xfId="2737" builtinId="9" hidden="1"/>
    <cellStyle name="Lien hypertexte visité" xfId="2769" builtinId="9" hidden="1"/>
    <cellStyle name="Lien hypertexte visité" xfId="2801" builtinId="9" hidden="1"/>
    <cellStyle name="Lien hypertexte visité" xfId="2833" builtinId="9" hidden="1"/>
    <cellStyle name="Lien hypertexte visité" xfId="5379" builtinId="9" hidden="1"/>
    <cellStyle name="Lien hypertexte visité" xfId="5635" builtinId="9" hidden="1"/>
    <cellStyle name="Lien hypertexte visité" xfId="5891" builtinId="9" hidden="1"/>
    <cellStyle name="Lien hypertexte visité" xfId="6147" builtinId="9" hidden="1"/>
    <cellStyle name="Lien hypertexte visité" xfId="6403" builtinId="9" hidden="1"/>
    <cellStyle name="Lien hypertexte visité" xfId="6659" builtinId="9" hidden="1"/>
    <cellStyle name="Lien hypertexte visité" xfId="6915" builtinId="9" hidden="1"/>
    <cellStyle name="Lien hypertexte visité" xfId="7171" builtinId="9" hidden="1"/>
    <cellStyle name="Lien hypertexte visité" xfId="7427" builtinId="9" hidden="1"/>
    <cellStyle name="Lien hypertexte visité" xfId="7683" builtinId="9" hidden="1"/>
    <cellStyle name="Lien hypertexte visité" xfId="7940" builtinId="9" hidden="1"/>
    <cellStyle name="Lien hypertexte visité" xfId="8196" builtinId="9" hidden="1"/>
    <cellStyle name="Lien hypertexte visité" xfId="8452" builtinId="9" hidden="1"/>
    <cellStyle name="Lien hypertexte visité" xfId="8708" builtinId="9" hidden="1"/>
    <cellStyle name="Lien hypertexte visité" xfId="8964" builtinId="9" hidden="1"/>
    <cellStyle name="Lien hypertexte visité" xfId="9220" builtinId="9" hidden="1"/>
    <cellStyle name="Lien hypertexte visité" xfId="9476" builtinId="9" hidden="1"/>
    <cellStyle name="Lien hypertexte visité" xfId="9732" builtinId="9" hidden="1"/>
    <cellStyle name="Lien hypertexte visité" xfId="9988" builtinId="9" hidden="1"/>
    <cellStyle name="Lien hypertexte visité" xfId="10244" builtinId="9" hidden="1"/>
    <cellStyle name="Lien hypertexte visité" xfId="10500" builtinId="9" hidden="1"/>
    <cellStyle name="Lien hypertexte visité" xfId="10756" builtinId="9" hidden="1"/>
    <cellStyle name="Lien hypertexte visité" xfId="11012" builtinId="9" hidden="1"/>
    <cellStyle name="Lien hypertexte visité" xfId="11268" builtinId="9" hidden="1"/>
    <cellStyle name="Lien hypertexte visité" xfId="11524" builtinId="9" hidden="1"/>
    <cellStyle name="Lien hypertexte visité" xfId="11780" builtinId="9" hidden="1"/>
    <cellStyle name="Lien hypertexte visité" xfId="12036" builtinId="9" hidden="1"/>
    <cellStyle name="Lien hypertexte visité" xfId="12292" builtinId="9" hidden="1"/>
    <cellStyle name="Lien hypertexte visité" xfId="12548" builtinId="9" hidden="1"/>
    <cellStyle name="Lien hypertexte visité" xfId="12804" builtinId="9" hidden="1"/>
    <cellStyle name="Lien hypertexte visité" xfId="13060" builtinId="9" hidden="1"/>
    <cellStyle name="Lien hypertexte visité" xfId="13316" builtinId="9" hidden="1"/>
    <cellStyle name="Lien hypertexte visité" xfId="13572" builtinId="9" hidden="1"/>
    <cellStyle name="Lien hypertexte visité" xfId="13828" builtinId="9" hidden="1"/>
    <cellStyle name="Lien hypertexte visité" xfId="14084" builtinId="9" hidden="1"/>
    <cellStyle name="Lien hypertexte visité" xfId="14340" builtinId="9" hidden="1"/>
    <cellStyle name="Lien hypertexte visité" xfId="14677" builtinId="9" hidden="1"/>
    <cellStyle name="Lien hypertexte visité" xfId="15189" builtinId="9" hidden="1"/>
    <cellStyle name="Lien hypertexte visité" xfId="15701" builtinId="9" hidden="1"/>
    <cellStyle name="Lien hypertexte visité" xfId="16213" builtinId="9" hidden="1"/>
    <cellStyle name="Lien hypertexte visité" xfId="16725" builtinId="9" hidden="1"/>
    <cellStyle name="Lien hypertexte visité" xfId="17237" builtinId="9" hidden="1"/>
    <cellStyle name="Lien hypertexte visité" xfId="17749" builtinId="9" hidden="1"/>
    <cellStyle name="Lien hypertexte visité" xfId="18261" builtinId="9" hidden="1"/>
    <cellStyle name="Lien hypertexte visité" xfId="18756" builtinId="9" hidden="1"/>
    <cellStyle name="Lien hypertexte visité" xfId="19268" builtinId="9" hidden="1"/>
    <cellStyle name="Lien hypertexte visité" xfId="19780" builtinId="9" hidden="1"/>
    <cellStyle name="Lien hypertexte visité" xfId="20292" builtinId="9" hidden="1"/>
    <cellStyle name="Lien hypertexte visité" xfId="20804" builtinId="9" hidden="1"/>
    <cellStyle name="Lien hypertexte visité" xfId="21316" builtinId="9" hidden="1"/>
    <cellStyle name="Lien hypertexte visité" xfId="21828" builtinId="9" hidden="1"/>
    <cellStyle name="Lien hypertexte visité" xfId="22340" builtinId="9" hidden="1"/>
    <cellStyle name="Lien hypertexte visité" xfId="22852" builtinId="9" hidden="1"/>
    <cellStyle name="Lien hypertexte visité" xfId="23364" builtinId="9" hidden="1"/>
    <cellStyle name="Lien hypertexte visité" xfId="23876" builtinId="9" hidden="1"/>
    <cellStyle name="Lien hypertexte visité" xfId="24388" builtinId="9" hidden="1"/>
    <cellStyle name="Lien hypertexte visité" xfId="24326" builtinId="9" hidden="1"/>
    <cellStyle name="Lien hypertexte visité" xfId="23814" builtinId="9" hidden="1"/>
    <cellStyle name="Lien hypertexte visité" xfId="23302" builtinId="9" hidden="1"/>
    <cellStyle name="Lien hypertexte visité" xfId="22790" builtinId="9" hidden="1"/>
    <cellStyle name="Lien hypertexte visité" xfId="22278" builtinId="9" hidden="1"/>
    <cellStyle name="Lien hypertexte visité" xfId="21766" builtinId="9" hidden="1"/>
    <cellStyle name="Lien hypertexte visité" xfId="21254" builtinId="9" hidden="1"/>
    <cellStyle name="Lien hypertexte visité" xfId="20742" builtinId="9" hidden="1"/>
    <cellStyle name="Lien hypertexte visité" xfId="20230" builtinId="9" hidden="1"/>
    <cellStyle name="Lien hypertexte visité" xfId="19718" builtinId="9" hidden="1"/>
    <cellStyle name="Lien hypertexte visité" xfId="19206" builtinId="9" hidden="1"/>
    <cellStyle name="Lien hypertexte visité" xfId="19142" builtinId="9" hidden="1"/>
    <cellStyle name="Lien hypertexte visité" xfId="19238" builtinId="9" hidden="1"/>
    <cellStyle name="Lien hypertexte visité" xfId="19302" builtinId="9" hidden="1"/>
    <cellStyle name="Lien hypertexte visité" xfId="19366" builtinId="9" hidden="1"/>
    <cellStyle name="Lien hypertexte visité" xfId="19430" builtinId="9" hidden="1"/>
    <cellStyle name="Lien hypertexte visité" xfId="19526" builtinId="9" hidden="1"/>
    <cellStyle name="Lien hypertexte visité" xfId="19590" builtinId="9" hidden="1"/>
    <cellStyle name="Lien hypertexte visité" xfId="19654" builtinId="9" hidden="1"/>
    <cellStyle name="Lien hypertexte visité" xfId="19750" builtinId="9" hidden="1"/>
    <cellStyle name="Lien hypertexte visité" xfId="19814" builtinId="9" hidden="1"/>
    <cellStyle name="Lien hypertexte visité" xfId="19878" builtinId="9" hidden="1"/>
    <cellStyle name="Lien hypertexte visité" xfId="19942" builtinId="9" hidden="1"/>
    <cellStyle name="Lien hypertexte visité" xfId="20038" builtinId="9" hidden="1"/>
    <cellStyle name="Lien hypertexte visité" xfId="20102" builtinId="9" hidden="1"/>
    <cellStyle name="Lien hypertexte visité" xfId="20166" builtinId="9" hidden="1"/>
    <cellStyle name="Lien hypertexte visité" xfId="20262" builtinId="9" hidden="1"/>
    <cellStyle name="Lien hypertexte visité" xfId="20326" builtinId="9" hidden="1"/>
    <cellStyle name="Lien hypertexte visité" xfId="20390" builtinId="9" hidden="1"/>
    <cellStyle name="Lien hypertexte visité" xfId="20454" builtinId="9" hidden="1"/>
    <cellStyle name="Lien hypertexte visité" xfId="20550" builtinId="9" hidden="1"/>
    <cellStyle name="Lien hypertexte visité" xfId="20614" builtinId="9" hidden="1"/>
    <cellStyle name="Lien hypertexte visité" xfId="20678" builtinId="9" hidden="1"/>
    <cellStyle name="Lien hypertexte visité" xfId="20774" builtinId="9" hidden="1"/>
    <cellStyle name="Lien hypertexte visité" xfId="20838" builtinId="9" hidden="1"/>
    <cellStyle name="Lien hypertexte visité" xfId="20902" builtinId="9" hidden="1"/>
    <cellStyle name="Lien hypertexte visité" xfId="20966" builtinId="9" hidden="1"/>
    <cellStyle name="Lien hypertexte visité" xfId="21062" builtinId="9" hidden="1"/>
    <cellStyle name="Lien hypertexte visité" xfId="21126" builtinId="9" hidden="1"/>
    <cellStyle name="Lien hypertexte visité" xfId="21190" builtinId="9" hidden="1"/>
    <cellStyle name="Lien hypertexte visité" xfId="21286" builtinId="9" hidden="1"/>
    <cellStyle name="Lien hypertexte visité" xfId="21350" builtinId="9" hidden="1"/>
    <cellStyle name="Lien hypertexte visité" xfId="21414" builtinId="9" hidden="1"/>
    <cellStyle name="Lien hypertexte visité" xfId="21478" builtinId="9" hidden="1"/>
    <cellStyle name="Lien hypertexte visité" xfId="21574" builtinId="9" hidden="1"/>
    <cellStyle name="Lien hypertexte visité" xfId="21638" builtinId="9" hidden="1"/>
    <cellStyle name="Lien hypertexte visité" xfId="21702" builtinId="9" hidden="1"/>
    <cellStyle name="Lien hypertexte visité" xfId="21798" builtinId="9" hidden="1"/>
    <cellStyle name="Lien hypertexte visité" xfId="21862" builtinId="9" hidden="1"/>
    <cellStyle name="Lien hypertexte visité" xfId="21926" builtinId="9" hidden="1"/>
    <cellStyle name="Lien hypertexte visité" xfId="21990" builtinId="9" hidden="1"/>
    <cellStyle name="Lien hypertexte visité" xfId="22086" builtinId="9" hidden="1"/>
    <cellStyle name="Lien hypertexte visité" xfId="22150" builtinId="9" hidden="1"/>
    <cellStyle name="Lien hypertexte visité" xfId="22214" builtinId="9" hidden="1"/>
    <cellStyle name="Lien hypertexte visité" xfId="22310" builtinId="9" hidden="1"/>
    <cellStyle name="Lien hypertexte visité" xfId="22374" builtinId="9" hidden="1"/>
    <cellStyle name="Lien hypertexte visité" xfId="22438" builtinId="9" hidden="1"/>
    <cellStyle name="Lien hypertexte visité" xfId="22502" builtinId="9" hidden="1"/>
    <cellStyle name="Lien hypertexte visité" xfId="22598" builtinId="9" hidden="1"/>
    <cellStyle name="Lien hypertexte visité" xfId="22662" builtinId="9" hidden="1"/>
    <cellStyle name="Lien hypertexte visité" xfId="22726" builtinId="9" hidden="1"/>
    <cellStyle name="Lien hypertexte visité" xfId="22822" builtinId="9" hidden="1"/>
    <cellStyle name="Lien hypertexte visité" xfId="22886" builtinId="9" hidden="1"/>
    <cellStyle name="Lien hypertexte visité" xfId="22950" builtinId="9" hidden="1"/>
    <cellStyle name="Lien hypertexte visité" xfId="23014" builtinId="9" hidden="1"/>
    <cellStyle name="Lien hypertexte visité" xfId="23110" builtinId="9" hidden="1"/>
    <cellStyle name="Lien hypertexte visité" xfId="23174" builtinId="9" hidden="1"/>
    <cellStyle name="Lien hypertexte visité" xfId="23238" builtinId="9" hidden="1"/>
    <cellStyle name="Lien hypertexte visité" xfId="23334" builtinId="9" hidden="1"/>
    <cellStyle name="Lien hypertexte visité" xfId="23398" builtinId="9" hidden="1"/>
    <cellStyle name="Lien hypertexte visité" xfId="23462" builtinId="9" hidden="1"/>
    <cellStyle name="Lien hypertexte visité" xfId="23526" builtinId="9" hidden="1"/>
    <cellStyle name="Lien hypertexte visité" xfId="23622" builtinId="9" hidden="1"/>
    <cellStyle name="Lien hypertexte visité" xfId="23686" builtinId="9" hidden="1"/>
    <cellStyle name="Lien hypertexte visité" xfId="23750" builtinId="9" hidden="1"/>
    <cellStyle name="Lien hypertexte visité" xfId="23846" builtinId="9" hidden="1"/>
    <cellStyle name="Lien hypertexte visité" xfId="23910" builtinId="9" hidden="1"/>
    <cellStyle name="Lien hypertexte visité" xfId="23974" builtinId="9" hidden="1"/>
    <cellStyle name="Lien hypertexte visité" xfId="24038" builtinId="9" hidden="1"/>
    <cellStyle name="Lien hypertexte visité" xfId="24134" builtinId="9" hidden="1"/>
    <cellStyle name="Lien hypertexte visité" xfId="24198" builtinId="9" hidden="1"/>
    <cellStyle name="Lien hypertexte visité" xfId="24262" builtinId="9" hidden="1"/>
    <cellStyle name="Lien hypertexte visité" xfId="24358" builtinId="9" hidden="1"/>
    <cellStyle name="Lien hypertexte visité" xfId="24422" builtinId="9" hidden="1"/>
    <cellStyle name="Lien hypertexte visité" xfId="24486" builtinId="9" hidden="1"/>
    <cellStyle name="Lien hypertexte visité" xfId="24550" builtinId="9" hidden="1"/>
    <cellStyle name="Lien hypertexte visité" xfId="24580" builtinId="9" hidden="1"/>
    <cellStyle name="Lien hypertexte visité" xfId="24516" builtinId="9" hidden="1"/>
    <cellStyle name="Lien hypertexte visité" xfId="24452" builtinId="9" hidden="1"/>
    <cellStyle name="Lien hypertexte visité" xfId="24356" builtinId="9" hidden="1"/>
    <cellStyle name="Lien hypertexte visité" xfId="24292" builtinId="9" hidden="1"/>
    <cellStyle name="Lien hypertexte visité" xfId="24228" builtinId="9" hidden="1"/>
    <cellStyle name="Lien hypertexte visité" xfId="24164" builtinId="9" hidden="1"/>
    <cellStyle name="Lien hypertexte visité" xfId="24068" builtinId="9" hidden="1"/>
    <cellStyle name="Lien hypertexte visité" xfId="24004" builtinId="9" hidden="1"/>
    <cellStyle name="Lien hypertexte visité" xfId="23940" builtinId="9" hidden="1"/>
    <cellStyle name="Lien hypertexte visité" xfId="23844" builtinId="9" hidden="1"/>
    <cellStyle name="Lien hypertexte visité" xfId="23780" builtinId="9" hidden="1"/>
    <cellStyle name="Lien hypertexte visité" xfId="23716" builtinId="9" hidden="1"/>
    <cellStyle name="Lien hypertexte visité" xfId="23652" builtinId="9" hidden="1"/>
    <cellStyle name="Lien hypertexte visité" xfId="23556" builtinId="9" hidden="1"/>
    <cellStyle name="Lien hypertexte visité" xfId="23492" builtinId="9" hidden="1"/>
    <cellStyle name="Lien hypertexte visité" xfId="23428" builtinId="9" hidden="1"/>
    <cellStyle name="Lien hypertexte visité" xfId="23332" builtinId="9" hidden="1"/>
    <cellStyle name="Lien hypertexte visité" xfId="23268" builtinId="9" hidden="1"/>
    <cellStyle name="Lien hypertexte visité" xfId="23204" builtinId="9" hidden="1"/>
    <cellStyle name="Lien hypertexte visité" xfId="23140" builtinId="9" hidden="1"/>
    <cellStyle name="Lien hypertexte visité" xfId="23044" builtinId="9" hidden="1"/>
    <cellStyle name="Lien hypertexte visité" xfId="22980" builtinId="9" hidden="1"/>
    <cellStyle name="Lien hypertexte visité" xfId="22916" builtinId="9" hidden="1"/>
    <cellStyle name="Lien hypertexte visité" xfId="22820" builtinId="9" hidden="1"/>
    <cellStyle name="Lien hypertexte visité" xfId="22756" builtinId="9" hidden="1"/>
    <cellStyle name="Lien hypertexte visité" xfId="22692" builtinId="9" hidden="1"/>
    <cellStyle name="Lien hypertexte visité" xfId="22628" builtinId="9" hidden="1"/>
    <cellStyle name="Lien hypertexte visité" xfId="22532" builtinId="9" hidden="1"/>
    <cellStyle name="Lien hypertexte visité" xfId="22468" builtinId="9" hidden="1"/>
    <cellStyle name="Lien hypertexte visité" xfId="22404" builtinId="9" hidden="1"/>
    <cellStyle name="Lien hypertexte visité" xfId="22308" builtinId="9" hidden="1"/>
    <cellStyle name="Lien hypertexte visité" xfId="22244" builtinId="9" hidden="1"/>
    <cellStyle name="Lien hypertexte visité" xfId="22180" builtinId="9" hidden="1"/>
    <cellStyle name="Lien hypertexte visité" xfId="22116" builtinId="9" hidden="1"/>
    <cellStyle name="Lien hypertexte visité" xfId="22020" builtinId="9" hidden="1"/>
    <cellStyle name="Lien hypertexte visité" xfId="21956" builtinId="9" hidden="1"/>
    <cellStyle name="Lien hypertexte visité" xfId="21892" builtinId="9" hidden="1"/>
    <cellStyle name="Lien hypertexte visité" xfId="21796" builtinId="9" hidden="1"/>
    <cellStyle name="Lien hypertexte visité" xfId="21732" builtinId="9" hidden="1"/>
    <cellStyle name="Lien hypertexte visité" xfId="21668" builtinId="9" hidden="1"/>
    <cellStyle name="Lien hypertexte visité" xfId="21604" builtinId="9" hidden="1"/>
    <cellStyle name="Lien hypertexte visité" xfId="21508" builtinId="9" hidden="1"/>
    <cellStyle name="Lien hypertexte visité" xfId="21444" builtinId="9" hidden="1"/>
    <cellStyle name="Lien hypertexte visité" xfId="21380" builtinId="9" hidden="1"/>
    <cellStyle name="Lien hypertexte visité" xfId="21284" builtinId="9" hidden="1"/>
    <cellStyle name="Lien hypertexte visité" xfId="21220" builtinId="9" hidden="1"/>
    <cellStyle name="Lien hypertexte visité" xfId="21156" builtinId="9" hidden="1"/>
    <cellStyle name="Lien hypertexte visité" xfId="21092" builtinId="9" hidden="1"/>
    <cellStyle name="Lien hypertexte visité" xfId="20996" builtinId="9" hidden="1"/>
    <cellStyle name="Lien hypertexte visité" xfId="20932" builtinId="9" hidden="1"/>
    <cellStyle name="Lien hypertexte visité" xfId="20868" builtinId="9" hidden="1"/>
    <cellStyle name="Lien hypertexte visité" xfId="20772" builtinId="9" hidden="1"/>
    <cellStyle name="Lien hypertexte visité" xfId="20708" builtinId="9" hidden="1"/>
    <cellStyle name="Lien hypertexte visité" xfId="20644" builtinId="9" hidden="1"/>
    <cellStyle name="Lien hypertexte visité" xfId="20580" builtinId="9" hidden="1"/>
    <cellStyle name="Lien hypertexte visité" xfId="20484" builtinId="9" hidden="1"/>
    <cellStyle name="Lien hypertexte visité" xfId="20420" builtinId="9" hidden="1"/>
    <cellStyle name="Lien hypertexte visité" xfId="20356" builtinId="9" hidden="1"/>
    <cellStyle name="Lien hypertexte visité" xfId="20260" builtinId="9" hidden="1"/>
    <cellStyle name="Lien hypertexte visité" xfId="20196" builtinId="9" hidden="1"/>
    <cellStyle name="Lien hypertexte visité" xfId="20132" builtinId="9" hidden="1"/>
    <cellStyle name="Lien hypertexte visité" xfId="20068" builtinId="9" hidden="1"/>
    <cellStyle name="Lien hypertexte visité" xfId="19972" builtinId="9" hidden="1"/>
    <cellStyle name="Lien hypertexte visité" xfId="19908" builtinId="9" hidden="1"/>
    <cellStyle name="Lien hypertexte visité" xfId="19844" builtinId="9" hidden="1"/>
    <cellStyle name="Lien hypertexte visité" xfId="19748" builtinId="9" hidden="1"/>
    <cellStyle name="Lien hypertexte visité" xfId="19684" builtinId="9" hidden="1"/>
    <cellStyle name="Lien hypertexte visité" xfId="19620" builtinId="9" hidden="1"/>
    <cellStyle name="Lien hypertexte visité" xfId="19556" builtinId="9" hidden="1"/>
    <cellStyle name="Lien hypertexte visité" xfId="19460" builtinId="9" hidden="1"/>
    <cellStyle name="Lien hypertexte visité" xfId="19396" builtinId="9" hidden="1"/>
    <cellStyle name="Lien hypertexte visité" xfId="19332" builtinId="9" hidden="1"/>
    <cellStyle name="Lien hypertexte visité" xfId="19236" builtinId="9" hidden="1"/>
    <cellStyle name="Lien hypertexte visité" xfId="19172" builtinId="9" hidden="1"/>
    <cellStyle name="Lien hypertexte visité" xfId="19108" builtinId="9" hidden="1"/>
    <cellStyle name="Lien hypertexte visité" xfId="19044" builtinId="9" hidden="1"/>
    <cellStyle name="Lien hypertexte visité" xfId="18948" builtinId="9" hidden="1"/>
    <cellStyle name="Lien hypertexte visité" xfId="18884" builtinId="9" hidden="1"/>
    <cellStyle name="Lien hypertexte visité" xfId="18820" builtinId="9" hidden="1"/>
    <cellStyle name="Lien hypertexte visité" xfId="18724" builtinId="9" hidden="1"/>
    <cellStyle name="Lien hypertexte visité" xfId="18660" builtinId="9" hidden="1"/>
    <cellStyle name="Lien hypertexte visité" xfId="18596" builtinId="9" hidden="1"/>
    <cellStyle name="Lien hypertexte visité" xfId="18532" builtinId="9" hidden="1"/>
    <cellStyle name="Lien hypertexte visité" xfId="18436" builtinId="9" hidden="1"/>
    <cellStyle name="Lien hypertexte visité" xfId="18372" builtinId="9" hidden="1"/>
    <cellStyle name="Lien hypertexte visité" xfId="18317" builtinId="9" hidden="1"/>
    <cellStyle name="Lien hypertexte visité" xfId="18229" builtinId="9" hidden="1"/>
    <cellStyle name="Lien hypertexte visité" xfId="18165" builtinId="9" hidden="1"/>
    <cellStyle name="Lien hypertexte visité" xfId="18101" builtinId="9" hidden="1"/>
    <cellStyle name="Lien hypertexte visité" xfId="18037" builtinId="9" hidden="1"/>
    <cellStyle name="Lien hypertexte visité" xfId="17941" builtinId="9" hidden="1"/>
    <cellStyle name="Lien hypertexte visité" xfId="17877" builtinId="9" hidden="1"/>
    <cellStyle name="Lien hypertexte visité" xfId="17813" builtinId="9" hidden="1"/>
    <cellStyle name="Lien hypertexte visité" xfId="17717" builtinId="9" hidden="1"/>
    <cellStyle name="Lien hypertexte visité" xfId="17653" builtinId="9" hidden="1"/>
    <cellStyle name="Lien hypertexte visité" xfId="17589" builtinId="9" hidden="1"/>
    <cellStyle name="Lien hypertexte visité" xfId="17525" builtinId="9" hidden="1"/>
    <cellStyle name="Lien hypertexte visité" xfId="17429" builtinId="9" hidden="1"/>
    <cellStyle name="Lien hypertexte visité" xfId="17365" builtinId="9" hidden="1"/>
    <cellStyle name="Lien hypertexte visité" xfId="17301" builtinId="9" hidden="1"/>
    <cellStyle name="Lien hypertexte visité" xfId="17205" builtinId="9" hidden="1"/>
    <cellStyle name="Lien hypertexte visité" xfId="17141" builtinId="9" hidden="1"/>
    <cellStyle name="Lien hypertexte visité" xfId="17077" builtinId="9" hidden="1"/>
    <cellStyle name="Lien hypertexte visité" xfId="17013" builtinId="9" hidden="1"/>
    <cellStyle name="Lien hypertexte visité" xfId="16917" builtinId="9" hidden="1"/>
    <cellStyle name="Lien hypertexte visité" xfId="16853" builtinId="9" hidden="1"/>
    <cellStyle name="Lien hypertexte visité" xfId="16789" builtinId="9" hidden="1"/>
    <cellStyle name="Lien hypertexte visité" xfId="16693" builtinId="9" hidden="1"/>
    <cellStyle name="Lien hypertexte visité" xfId="16629" builtinId="9" hidden="1"/>
    <cellStyle name="Lien hypertexte visité" xfId="16565" builtinId="9" hidden="1"/>
    <cellStyle name="Lien hypertexte visité" xfId="16501" builtinId="9" hidden="1"/>
    <cellStyle name="Lien hypertexte visité" xfId="16405" builtinId="9" hidden="1"/>
    <cellStyle name="Lien hypertexte visité" xfId="16341" builtinId="9" hidden="1"/>
    <cellStyle name="Lien hypertexte visité" xfId="16277" builtinId="9" hidden="1"/>
    <cellStyle name="Lien hypertexte visité" xfId="16181" builtinId="9" hidden="1"/>
    <cellStyle name="Lien hypertexte visité" xfId="16117" builtinId="9" hidden="1"/>
    <cellStyle name="Lien hypertexte visité" xfId="16053" builtinId="9" hidden="1"/>
    <cellStyle name="Lien hypertexte visité" xfId="15989" builtinId="9" hidden="1"/>
    <cellStyle name="Lien hypertexte visité" xfId="15893" builtinId="9" hidden="1"/>
    <cellStyle name="Lien hypertexte visité" xfId="15829" builtinId="9" hidden="1"/>
    <cellStyle name="Lien hypertexte visité" xfId="15765" builtinId="9" hidden="1"/>
    <cellStyle name="Lien hypertexte visité" xfId="15669" builtinId="9" hidden="1"/>
    <cellStyle name="Lien hypertexte visité" xfId="15605" builtinId="9" hidden="1"/>
    <cellStyle name="Lien hypertexte visité" xfId="15541" builtinId="9" hidden="1"/>
    <cellStyle name="Lien hypertexte visité" xfId="15477" builtinId="9" hidden="1"/>
    <cellStyle name="Lien hypertexte visité" xfId="15381" builtinId="9" hidden="1"/>
    <cellStyle name="Lien hypertexte visité" xfId="15317" builtinId="9" hidden="1"/>
    <cellStyle name="Lien hypertexte visité" xfId="15253" builtinId="9" hidden="1"/>
    <cellStyle name="Lien hypertexte visité" xfId="15157" builtinId="9" hidden="1"/>
    <cellStyle name="Lien hypertexte visité" xfId="15093" builtinId="9" hidden="1"/>
    <cellStyle name="Lien hypertexte visité" xfId="15029" builtinId="9" hidden="1"/>
    <cellStyle name="Lien hypertexte visité" xfId="14965" builtinId="9" hidden="1"/>
    <cellStyle name="Lien hypertexte visité" xfId="14869" builtinId="9" hidden="1"/>
    <cellStyle name="Lien hypertexte visité" xfId="14805" builtinId="9" hidden="1"/>
    <cellStyle name="Lien hypertexte visité" xfId="14741" builtinId="9" hidden="1"/>
    <cellStyle name="Lien hypertexte visité" xfId="14645" builtinId="9" hidden="1"/>
    <cellStyle name="Lien hypertexte visité" xfId="14581" builtinId="9" hidden="1"/>
    <cellStyle name="Lien hypertexte visité" xfId="14517" builtinId="9" hidden="1"/>
    <cellStyle name="Lien hypertexte visité" xfId="14484" builtinId="9" hidden="1"/>
    <cellStyle name="Lien hypertexte visité" xfId="14436" builtinId="9" hidden="1"/>
    <cellStyle name="Lien hypertexte visité" xfId="14404" builtinId="9" hidden="1"/>
    <cellStyle name="Lien hypertexte visité" xfId="14372" builtinId="9" hidden="1"/>
    <cellStyle name="Lien hypertexte visité" xfId="14324" builtinId="9" hidden="1"/>
    <cellStyle name="Lien hypertexte visité" xfId="14292" builtinId="9" hidden="1"/>
    <cellStyle name="Lien hypertexte visité" xfId="14260" builtinId="9" hidden="1"/>
    <cellStyle name="Lien hypertexte visité" xfId="14228" builtinId="9" hidden="1"/>
    <cellStyle name="Lien hypertexte visité" xfId="14180" builtinId="9" hidden="1"/>
    <cellStyle name="Lien hypertexte visité" xfId="14148" builtinId="9" hidden="1"/>
    <cellStyle name="Lien hypertexte visité" xfId="14116" builtinId="9" hidden="1"/>
    <cellStyle name="Lien hypertexte visité" xfId="14068" builtinId="9" hidden="1"/>
    <cellStyle name="Lien hypertexte visité" xfId="14036" builtinId="9" hidden="1"/>
    <cellStyle name="Lien hypertexte visité" xfId="14004" builtinId="9" hidden="1"/>
    <cellStyle name="Lien hypertexte visité" xfId="13972" builtinId="9" hidden="1"/>
    <cellStyle name="Lien hypertexte visité" xfId="13924" builtinId="9" hidden="1"/>
    <cellStyle name="Lien hypertexte visité" xfId="13892" builtinId="9" hidden="1"/>
    <cellStyle name="Lien hypertexte visité" xfId="13860" builtinId="9" hidden="1"/>
    <cellStyle name="Lien hypertexte visité" xfId="13812" builtinId="9" hidden="1"/>
    <cellStyle name="Lien hypertexte visité" xfId="13780" builtinId="9" hidden="1"/>
    <cellStyle name="Lien hypertexte visité" xfId="13748" builtinId="9" hidden="1"/>
    <cellStyle name="Lien hypertexte visité" xfId="13716" builtinId="9" hidden="1"/>
    <cellStyle name="Lien hypertexte visité" xfId="13668" builtinId="9" hidden="1"/>
    <cellStyle name="Lien hypertexte visité" xfId="13636" builtinId="9" hidden="1"/>
    <cellStyle name="Lien hypertexte visité" xfId="13604" builtinId="9" hidden="1"/>
    <cellStyle name="Lien hypertexte visité" xfId="13556" builtinId="9" hidden="1"/>
    <cellStyle name="Lien hypertexte visité" xfId="13524" builtinId="9" hidden="1"/>
    <cellStyle name="Lien hypertexte visité" xfId="13492" builtinId="9" hidden="1"/>
    <cellStyle name="Lien hypertexte visité" xfId="13460" builtinId="9" hidden="1"/>
    <cellStyle name="Lien hypertexte visité" xfId="13412" builtinId="9" hidden="1"/>
    <cellStyle name="Lien hypertexte visité" xfId="13380" builtinId="9" hidden="1"/>
    <cellStyle name="Lien hypertexte visité" xfId="13348" builtinId="9" hidden="1"/>
    <cellStyle name="Lien hypertexte visité" xfId="13300" builtinId="9" hidden="1"/>
    <cellStyle name="Lien hypertexte visité" xfId="13268" builtinId="9" hidden="1"/>
    <cellStyle name="Lien hypertexte visité" xfId="13236" builtinId="9" hidden="1"/>
    <cellStyle name="Lien hypertexte visité" xfId="13204" builtinId="9" hidden="1"/>
    <cellStyle name="Lien hypertexte visité" xfId="13156" builtinId="9" hidden="1"/>
    <cellStyle name="Lien hypertexte visité" xfId="13124" builtinId="9" hidden="1"/>
    <cellStyle name="Lien hypertexte visité" xfId="13092" builtinId="9" hidden="1"/>
    <cellStyle name="Lien hypertexte visité" xfId="13044" builtinId="9" hidden="1"/>
    <cellStyle name="Lien hypertexte visité" xfId="13012" builtinId="9" hidden="1"/>
    <cellStyle name="Lien hypertexte visité" xfId="12980" builtinId="9" hidden="1"/>
    <cellStyle name="Lien hypertexte visité" xfId="12948" builtinId="9" hidden="1"/>
    <cellStyle name="Lien hypertexte visité" xfId="12900" builtinId="9" hidden="1"/>
    <cellStyle name="Lien hypertexte visité" xfId="12868" builtinId="9" hidden="1"/>
    <cellStyle name="Lien hypertexte visité" xfId="12836" builtinId="9" hidden="1"/>
    <cellStyle name="Lien hypertexte visité" xfId="12788" builtinId="9" hidden="1"/>
    <cellStyle name="Lien hypertexte visité" xfId="12756" builtinId="9" hidden="1"/>
    <cellStyle name="Lien hypertexte visité" xfId="12724" builtinId="9" hidden="1"/>
    <cellStyle name="Lien hypertexte visité" xfId="12692" builtinId="9" hidden="1"/>
    <cellStyle name="Lien hypertexte visité" xfId="12644" builtinId="9" hidden="1"/>
    <cellStyle name="Lien hypertexte visité" xfId="12612" builtinId="9" hidden="1"/>
    <cellStyle name="Lien hypertexte visité" xfId="12580" builtinId="9" hidden="1"/>
    <cellStyle name="Lien hypertexte visité" xfId="12532" builtinId="9" hidden="1"/>
    <cellStyle name="Lien hypertexte visité" xfId="12500" builtinId="9" hidden="1"/>
    <cellStyle name="Lien hypertexte visité" xfId="12468" builtinId="9" hidden="1"/>
    <cellStyle name="Lien hypertexte visité" xfId="12436" builtinId="9" hidden="1"/>
    <cellStyle name="Lien hypertexte visité" xfId="12388" builtinId="9" hidden="1"/>
    <cellStyle name="Lien hypertexte visité" xfId="12356" builtinId="9" hidden="1"/>
    <cellStyle name="Lien hypertexte visité" xfId="12324" builtinId="9" hidden="1"/>
    <cellStyle name="Lien hypertexte visité" xfId="12276" builtinId="9" hidden="1"/>
    <cellStyle name="Lien hypertexte visité" xfId="12244" builtinId="9" hidden="1"/>
    <cellStyle name="Lien hypertexte visité" xfId="12212" builtinId="9" hidden="1"/>
    <cellStyle name="Lien hypertexte visité" xfId="12180" builtinId="9" hidden="1"/>
    <cellStyle name="Lien hypertexte visité" xfId="12132" builtinId="9" hidden="1"/>
    <cellStyle name="Lien hypertexte visité" xfId="12100" builtinId="9" hidden="1"/>
    <cellStyle name="Lien hypertexte visité" xfId="12068" builtinId="9" hidden="1"/>
    <cellStyle name="Lien hypertexte visité" xfId="12020" builtinId="9" hidden="1"/>
    <cellStyle name="Lien hypertexte visité" xfId="11988" builtinId="9" hidden="1"/>
    <cellStyle name="Lien hypertexte visité" xfId="11956" builtinId="9" hidden="1"/>
    <cellStyle name="Lien hypertexte visité" xfId="11924" builtinId="9" hidden="1"/>
    <cellStyle name="Lien hypertexte visité" xfId="11876" builtinId="9" hidden="1"/>
    <cellStyle name="Lien hypertexte visité" xfId="11844" builtinId="9" hidden="1"/>
    <cellStyle name="Lien hypertexte visité" xfId="11812" builtinId="9" hidden="1"/>
    <cellStyle name="Lien hypertexte visité" xfId="11764" builtinId="9" hidden="1"/>
    <cellStyle name="Lien hypertexte visité" xfId="11732" builtinId="9" hidden="1"/>
    <cellStyle name="Lien hypertexte visité" xfId="11700" builtinId="9" hidden="1"/>
    <cellStyle name="Lien hypertexte visité" xfId="11668" builtinId="9" hidden="1"/>
    <cellStyle name="Lien hypertexte visité" xfId="11620" builtinId="9" hidden="1"/>
    <cellStyle name="Lien hypertexte visité" xfId="11588" builtinId="9" hidden="1"/>
    <cellStyle name="Lien hypertexte visité" xfId="11556" builtinId="9" hidden="1"/>
    <cellStyle name="Lien hypertexte visité" xfId="11508" builtinId="9" hidden="1"/>
    <cellStyle name="Lien hypertexte visité" xfId="11476" builtinId="9" hidden="1"/>
    <cellStyle name="Lien hypertexte visité" xfId="11444" builtinId="9" hidden="1"/>
    <cellStyle name="Lien hypertexte visité" xfId="11412" builtinId="9" hidden="1"/>
    <cellStyle name="Lien hypertexte visité" xfId="11364" builtinId="9" hidden="1"/>
    <cellStyle name="Lien hypertexte visité" xfId="11332" builtinId="9" hidden="1"/>
    <cellStyle name="Lien hypertexte visité" xfId="11300" builtinId="9" hidden="1"/>
    <cellStyle name="Lien hypertexte visité" xfId="11252" builtinId="9" hidden="1"/>
    <cellStyle name="Lien hypertexte visité" xfId="11220" builtinId="9" hidden="1"/>
    <cellStyle name="Lien hypertexte visité" xfId="11188" builtinId="9" hidden="1"/>
    <cellStyle name="Lien hypertexte visité" xfId="11156" builtinId="9" hidden="1"/>
    <cellStyle name="Lien hypertexte visité" xfId="11108" builtinId="9" hidden="1"/>
    <cellStyle name="Lien hypertexte visité" xfId="11076" builtinId="9" hidden="1"/>
    <cellStyle name="Lien hypertexte visité" xfId="11044" builtinId="9" hidden="1"/>
    <cellStyle name="Lien hypertexte visité" xfId="10996" builtinId="9" hidden="1"/>
    <cellStyle name="Lien hypertexte visité" xfId="10964" builtinId="9" hidden="1"/>
    <cellStyle name="Lien hypertexte visité" xfId="10932" builtinId="9" hidden="1"/>
    <cellStyle name="Lien hypertexte visité" xfId="10900" builtinId="9" hidden="1"/>
    <cellStyle name="Lien hypertexte visité" xfId="10852" builtinId="9" hidden="1"/>
    <cellStyle name="Lien hypertexte visité" xfId="10820" builtinId="9" hidden="1"/>
    <cellStyle name="Lien hypertexte visité" xfId="10788" builtinId="9" hidden="1"/>
    <cellStyle name="Lien hypertexte visité" xfId="10740" builtinId="9" hidden="1"/>
    <cellStyle name="Lien hypertexte visité" xfId="10708" builtinId="9" hidden="1"/>
    <cellStyle name="Lien hypertexte visité" xfId="10676" builtinId="9" hidden="1"/>
    <cellStyle name="Lien hypertexte visité" xfId="10644" builtinId="9" hidden="1"/>
    <cellStyle name="Lien hypertexte visité" xfId="10596" builtinId="9" hidden="1"/>
    <cellStyle name="Lien hypertexte visité" xfId="10564" builtinId="9" hidden="1"/>
    <cellStyle name="Lien hypertexte visité" xfId="10532" builtinId="9" hidden="1"/>
    <cellStyle name="Lien hypertexte visité" xfId="10484" builtinId="9" hidden="1"/>
    <cellStyle name="Lien hypertexte visité" xfId="10452" builtinId="9" hidden="1"/>
    <cellStyle name="Lien hypertexte visité" xfId="10420" builtinId="9" hidden="1"/>
    <cellStyle name="Lien hypertexte visité" xfId="10388" builtinId="9" hidden="1"/>
    <cellStyle name="Lien hypertexte visité" xfId="10340" builtinId="9" hidden="1"/>
    <cellStyle name="Lien hypertexte visité" xfId="10308" builtinId="9" hidden="1"/>
    <cellStyle name="Lien hypertexte visité" xfId="10276" builtinId="9" hidden="1"/>
    <cellStyle name="Lien hypertexte visité" xfId="10228" builtinId="9" hidden="1"/>
    <cellStyle name="Lien hypertexte visité" xfId="10196" builtinId="9" hidden="1"/>
    <cellStyle name="Lien hypertexte visité" xfId="10164" builtinId="9" hidden="1"/>
    <cellStyle name="Lien hypertexte visité" xfId="10132" builtinId="9" hidden="1"/>
    <cellStyle name="Lien hypertexte visité" xfId="10084" builtinId="9" hidden="1"/>
    <cellStyle name="Lien hypertexte visité" xfId="10052" builtinId="9" hidden="1"/>
    <cellStyle name="Lien hypertexte visité" xfId="10020" builtinId="9" hidden="1"/>
    <cellStyle name="Lien hypertexte visité" xfId="9972" builtinId="9" hidden="1"/>
    <cellStyle name="Lien hypertexte visité" xfId="9940" builtinId="9" hidden="1"/>
    <cellStyle name="Lien hypertexte visité" xfId="9908" builtinId="9" hidden="1"/>
    <cellStyle name="Lien hypertexte visité" xfId="9876" builtinId="9" hidden="1"/>
    <cellStyle name="Lien hypertexte visité" xfId="9828" builtinId="9" hidden="1"/>
    <cellStyle name="Lien hypertexte visité" xfId="9796" builtinId="9" hidden="1"/>
    <cellStyle name="Lien hypertexte visité" xfId="9764" builtinId="9" hidden="1"/>
    <cellStyle name="Lien hypertexte visité" xfId="9716" builtinId="9" hidden="1"/>
    <cellStyle name="Lien hypertexte visité" xfId="9684" builtinId="9" hidden="1"/>
    <cellStyle name="Lien hypertexte visité" xfId="9652" builtinId="9" hidden="1"/>
    <cellStyle name="Lien hypertexte visité" xfId="9620" builtinId="9" hidden="1"/>
    <cellStyle name="Lien hypertexte visité" xfId="9572" builtinId="9" hidden="1"/>
    <cellStyle name="Lien hypertexte visité" xfId="9540" builtinId="9" hidden="1"/>
    <cellStyle name="Lien hypertexte visité" xfId="9508" builtinId="9" hidden="1"/>
    <cellStyle name="Lien hypertexte visité" xfId="9460" builtinId="9" hidden="1"/>
    <cellStyle name="Lien hypertexte visité" xfId="9428" builtinId="9" hidden="1"/>
    <cellStyle name="Lien hypertexte visité" xfId="9396" builtinId="9" hidden="1"/>
    <cellStyle name="Lien hypertexte visité" xfId="9364" builtinId="9" hidden="1"/>
    <cellStyle name="Lien hypertexte visité" xfId="9316" builtinId="9" hidden="1"/>
    <cellStyle name="Lien hypertexte visité" xfId="9284" builtinId="9" hidden="1"/>
    <cellStyle name="Lien hypertexte visité" xfId="9252" builtinId="9" hidden="1"/>
    <cellStyle name="Lien hypertexte visité" xfId="9204" builtinId="9" hidden="1"/>
    <cellStyle name="Lien hypertexte visité" xfId="9172" builtinId="9" hidden="1"/>
    <cellStyle name="Lien hypertexte visité" xfId="9140" builtinId="9" hidden="1"/>
    <cellStyle name="Lien hypertexte visité" xfId="9108" builtinId="9" hidden="1"/>
    <cellStyle name="Lien hypertexte visité" xfId="9060" builtinId="9" hidden="1"/>
    <cellStyle name="Lien hypertexte visité" xfId="9028" builtinId="9" hidden="1"/>
    <cellStyle name="Lien hypertexte visité" xfId="8996" builtinId="9" hidden="1"/>
    <cellStyle name="Lien hypertexte visité" xfId="8948" builtinId="9" hidden="1"/>
    <cellStyle name="Lien hypertexte visité" xfId="8916" builtinId="9" hidden="1"/>
    <cellStyle name="Lien hypertexte visité" xfId="8884" builtinId="9" hidden="1"/>
    <cellStyle name="Lien hypertexte visité" xfId="8852" builtinId="9" hidden="1"/>
    <cellStyle name="Lien hypertexte visité" xfId="8804" builtinId="9" hidden="1"/>
    <cellStyle name="Lien hypertexte visité" xfId="8772" builtinId="9" hidden="1"/>
    <cellStyle name="Lien hypertexte visité" xfId="8740" builtinId="9" hidden="1"/>
    <cellStyle name="Lien hypertexte visité" xfId="8692" builtinId="9" hidden="1"/>
    <cellStyle name="Lien hypertexte visité" xfId="8660" builtinId="9" hidden="1"/>
    <cellStyle name="Lien hypertexte visité" xfId="8628" builtinId="9" hidden="1"/>
    <cellStyle name="Lien hypertexte visité" xfId="8596" builtinId="9" hidden="1"/>
    <cellStyle name="Lien hypertexte visité" xfId="8548" builtinId="9" hidden="1"/>
    <cellStyle name="Lien hypertexte visité" xfId="8516" builtinId="9" hidden="1"/>
    <cellStyle name="Lien hypertexte visité" xfId="8484" builtinId="9" hidden="1"/>
    <cellStyle name="Lien hypertexte visité" xfId="8436" builtinId="9" hidden="1"/>
    <cellStyle name="Lien hypertexte visité" xfId="8404" builtinId="9" hidden="1"/>
    <cellStyle name="Lien hypertexte visité" xfId="8372" builtinId="9" hidden="1"/>
    <cellStyle name="Lien hypertexte visité" xfId="8340" builtinId="9" hidden="1"/>
    <cellStyle name="Lien hypertexte visité" xfId="8292" builtinId="9" hidden="1"/>
    <cellStyle name="Lien hypertexte visité" xfId="8260" builtinId="9" hidden="1"/>
    <cellStyle name="Lien hypertexte visité" xfId="8228" builtinId="9" hidden="1"/>
    <cellStyle name="Lien hypertexte visité" xfId="8180" builtinId="9" hidden="1"/>
    <cellStyle name="Lien hypertexte visité" xfId="8148" builtinId="9" hidden="1"/>
    <cellStyle name="Lien hypertexte visité" xfId="8116" builtinId="9" hidden="1"/>
    <cellStyle name="Lien hypertexte visité" xfId="8084" builtinId="9" hidden="1"/>
    <cellStyle name="Lien hypertexte visité" xfId="8036" builtinId="9" hidden="1"/>
    <cellStyle name="Lien hypertexte visité" xfId="8004" builtinId="9" hidden="1"/>
    <cellStyle name="Lien hypertexte visité" xfId="7972" builtinId="9" hidden="1"/>
    <cellStyle name="Lien hypertexte visité" xfId="7924" builtinId="9" hidden="1"/>
    <cellStyle name="Lien hypertexte visité" xfId="7892" builtinId="9" hidden="1"/>
    <cellStyle name="Lien hypertexte visité" xfId="7860" builtinId="9" hidden="1"/>
    <cellStyle name="Lien hypertexte visité" xfId="7828" builtinId="9" hidden="1"/>
    <cellStyle name="Lien hypertexte visité" xfId="7779" builtinId="9" hidden="1"/>
    <cellStyle name="Lien hypertexte visité" xfId="7747" builtinId="9" hidden="1"/>
    <cellStyle name="Lien hypertexte visité" xfId="7715" builtinId="9" hidden="1"/>
    <cellStyle name="Lien hypertexte visité" xfId="7667" builtinId="9" hidden="1"/>
    <cellStyle name="Lien hypertexte visité" xfId="7635" builtinId="9" hidden="1"/>
    <cellStyle name="Lien hypertexte visité" xfId="7603" builtinId="9" hidden="1"/>
    <cellStyle name="Lien hypertexte visité" xfId="7571" builtinId="9" hidden="1"/>
    <cellStyle name="Lien hypertexte visité" xfId="7523" builtinId="9" hidden="1"/>
    <cellStyle name="Lien hypertexte visité" xfId="7491" builtinId="9" hidden="1"/>
    <cellStyle name="Lien hypertexte visité" xfId="7459" builtinId="9" hidden="1"/>
    <cellStyle name="Lien hypertexte visité" xfId="7411" builtinId="9" hidden="1"/>
    <cellStyle name="Lien hypertexte visité" xfId="7379" builtinId="9" hidden="1"/>
    <cellStyle name="Lien hypertexte visité" xfId="7347" builtinId="9" hidden="1"/>
    <cellStyle name="Lien hypertexte visité" xfId="7315" builtinId="9" hidden="1"/>
    <cellStyle name="Lien hypertexte visité" xfId="7267" builtinId="9" hidden="1"/>
    <cellStyle name="Lien hypertexte visité" xfId="7235" builtinId="9" hidden="1"/>
    <cellStyle name="Lien hypertexte visité" xfId="7203" builtinId="9" hidden="1"/>
    <cellStyle name="Lien hypertexte visité" xfId="7155" builtinId="9" hidden="1"/>
    <cellStyle name="Lien hypertexte visité" xfId="7123" builtinId="9" hidden="1"/>
    <cellStyle name="Lien hypertexte visité" xfId="7091" builtinId="9" hidden="1"/>
    <cellStyle name="Lien hypertexte visité" xfId="7059" builtinId="9" hidden="1"/>
    <cellStyle name="Lien hypertexte visité" xfId="7011" builtinId="9" hidden="1"/>
    <cellStyle name="Lien hypertexte visité" xfId="6979" builtinId="9" hidden="1"/>
    <cellStyle name="Lien hypertexte visité" xfId="6947" builtinId="9" hidden="1"/>
    <cellStyle name="Lien hypertexte visité" xfId="6899" builtinId="9" hidden="1"/>
    <cellStyle name="Lien hypertexte visité" xfId="6867" builtinId="9" hidden="1"/>
    <cellStyle name="Lien hypertexte visité" xfId="6835" builtinId="9" hidden="1"/>
    <cellStyle name="Lien hypertexte visité" xfId="6803" builtinId="9" hidden="1"/>
    <cellStyle name="Lien hypertexte visité" xfId="6755" builtinId="9" hidden="1"/>
    <cellStyle name="Lien hypertexte visité" xfId="6723" builtinId="9" hidden="1"/>
    <cellStyle name="Lien hypertexte visité" xfId="6691" builtinId="9" hidden="1"/>
    <cellStyle name="Lien hypertexte visité" xfId="6643" builtinId="9" hidden="1"/>
    <cellStyle name="Lien hypertexte visité" xfId="6611" builtinId="9" hidden="1"/>
    <cellStyle name="Lien hypertexte visité" xfId="6579" builtinId="9" hidden="1"/>
    <cellStyle name="Lien hypertexte visité" xfId="6547" builtinId="9" hidden="1"/>
    <cellStyle name="Lien hypertexte visité" xfId="6499" builtinId="9" hidden="1"/>
    <cellStyle name="Lien hypertexte visité" xfId="6467" builtinId="9" hidden="1"/>
    <cellStyle name="Lien hypertexte visité" xfId="6435" builtinId="9" hidden="1"/>
    <cellStyle name="Lien hypertexte visité" xfId="6387" builtinId="9" hidden="1"/>
    <cellStyle name="Lien hypertexte visité" xfId="6355" builtinId="9" hidden="1"/>
    <cellStyle name="Lien hypertexte visité" xfId="6323" builtinId="9" hidden="1"/>
    <cellStyle name="Lien hypertexte visité" xfId="6291" builtinId="9" hidden="1"/>
    <cellStyle name="Lien hypertexte visité" xfId="6243" builtinId="9" hidden="1"/>
    <cellStyle name="Lien hypertexte visité" xfId="6211" builtinId="9" hidden="1"/>
    <cellStyle name="Lien hypertexte visité" xfId="6179" builtinId="9" hidden="1"/>
    <cellStyle name="Lien hypertexte visité" xfId="6131" builtinId="9" hidden="1"/>
    <cellStyle name="Lien hypertexte visité" xfId="6099" builtinId="9" hidden="1"/>
    <cellStyle name="Lien hypertexte visité" xfId="6067" builtinId="9" hidden="1"/>
    <cellStyle name="Lien hypertexte visité" xfId="6035" builtinId="9" hidden="1"/>
    <cellStyle name="Lien hypertexte visité" xfId="5987" builtinId="9" hidden="1"/>
    <cellStyle name="Lien hypertexte visité" xfId="5955" builtinId="9" hidden="1"/>
    <cellStyle name="Lien hypertexte visité" xfId="5923" builtinId="9" hidden="1"/>
    <cellStyle name="Lien hypertexte visité" xfId="5875" builtinId="9" hidden="1"/>
    <cellStyle name="Lien hypertexte visité" xfId="5843" builtinId="9" hidden="1"/>
    <cellStyle name="Lien hypertexte visité" xfId="5811" builtinId="9" hidden="1"/>
    <cellStyle name="Lien hypertexte visité" xfId="5779" builtinId="9" hidden="1"/>
    <cellStyle name="Lien hypertexte visité" xfId="5731" builtinId="9" hidden="1"/>
    <cellStyle name="Lien hypertexte visité" xfId="5699" builtinId="9" hidden="1"/>
    <cellStyle name="Lien hypertexte visité" xfId="5667" builtinId="9" hidden="1"/>
    <cellStyle name="Lien hypertexte visité" xfId="5619" builtinId="9" hidden="1"/>
    <cellStyle name="Lien hypertexte visité" xfId="5587" builtinId="9" hidden="1"/>
    <cellStyle name="Lien hypertexte visité" xfId="5555" builtinId="9" hidden="1"/>
    <cellStyle name="Lien hypertexte visité" xfId="5523" builtinId="9" hidden="1"/>
    <cellStyle name="Lien hypertexte visité" xfId="5475" builtinId="9" hidden="1"/>
    <cellStyle name="Lien hypertexte visité" xfId="5443" builtinId="9" hidden="1"/>
    <cellStyle name="Lien hypertexte visité" xfId="5411" builtinId="9" hidden="1"/>
    <cellStyle name="Lien hypertexte visité" xfId="5363" builtinId="9" hidden="1"/>
    <cellStyle name="Lien hypertexte visité" xfId="5331" builtinId="9" hidden="1"/>
    <cellStyle name="Lien hypertexte visité" xfId="5299" builtinId="9" hidden="1"/>
    <cellStyle name="Lien hypertexte visité" xfId="5267" builtinId="9" hidden="1"/>
    <cellStyle name="Lien hypertexte visité" xfId="5219" builtinId="9" hidden="1"/>
    <cellStyle name="Lien hypertexte visité" xfId="5187" builtinId="9" hidden="1"/>
    <cellStyle name="Lien hypertexte visité" xfId="18950" builtinId="9" hidden="1"/>
    <cellStyle name="Lien hypertexte visité" xfId="18694" builtinId="9" hidden="1"/>
    <cellStyle name="Lien hypertexte visité" xfId="18438" builtinId="9" hidden="1"/>
    <cellStyle name="Lien hypertexte visité" xfId="18199" builtinId="9" hidden="1"/>
    <cellStyle name="Lien hypertexte visité" xfId="17943" builtinId="9" hidden="1"/>
    <cellStyle name="Lien hypertexte visité" xfId="17687" builtinId="9" hidden="1"/>
    <cellStyle name="Lien hypertexte visité" xfId="17431" builtinId="9" hidden="1"/>
    <cellStyle name="Lien hypertexte visité" xfId="17175" builtinId="9" hidden="1"/>
    <cellStyle name="Lien hypertexte visité" xfId="16919" builtinId="9" hidden="1"/>
    <cellStyle name="Lien hypertexte visité" xfId="16663" builtinId="9" hidden="1"/>
    <cellStyle name="Lien hypertexte visité" xfId="16407" builtinId="9" hidden="1"/>
    <cellStyle name="Lien hypertexte visité" xfId="16151" builtinId="9" hidden="1"/>
    <cellStyle name="Lien hypertexte visité" xfId="15895" builtinId="9" hidden="1"/>
    <cellStyle name="Lien hypertexte visité" xfId="15639" builtinId="9" hidden="1"/>
    <cellStyle name="Lien hypertexte visité" xfId="15383" builtinId="9" hidden="1"/>
    <cellStyle name="Lien hypertexte visité" xfId="15127" builtinId="9" hidden="1"/>
    <cellStyle name="Lien hypertexte visité" xfId="14871" builtinId="9" hidden="1"/>
    <cellStyle name="Lien hypertexte visité" xfId="14615" builtinId="9" hidden="1"/>
    <cellStyle name="Lien hypertexte visité" xfId="14437" builtinId="9" hidden="1"/>
    <cellStyle name="Lien hypertexte visité" xfId="14309" builtinId="9" hidden="1"/>
    <cellStyle name="Lien hypertexte visité" xfId="14181" builtinId="9" hidden="1"/>
    <cellStyle name="Lien hypertexte visité" xfId="14053" builtinId="9" hidden="1"/>
    <cellStyle name="Lien hypertexte visité" xfId="13925" builtinId="9" hidden="1"/>
    <cellStyle name="Lien hypertexte visité" xfId="13797" builtinId="9" hidden="1"/>
    <cellStyle name="Lien hypertexte visité" xfId="13669" builtinId="9" hidden="1"/>
    <cellStyle name="Lien hypertexte visité" xfId="13541" builtinId="9" hidden="1"/>
    <cellStyle name="Lien hypertexte visité" xfId="13413" builtinId="9" hidden="1"/>
    <cellStyle name="Lien hypertexte visité" xfId="13285" builtinId="9" hidden="1"/>
    <cellStyle name="Lien hypertexte visité" xfId="13157" builtinId="9" hidden="1"/>
    <cellStyle name="Lien hypertexte visité" xfId="13029" builtinId="9" hidden="1"/>
    <cellStyle name="Lien hypertexte visité" xfId="12901" builtinId="9" hidden="1"/>
    <cellStyle name="Lien hypertexte visité" xfId="12773" builtinId="9" hidden="1"/>
    <cellStyle name="Lien hypertexte visité" xfId="12645" builtinId="9" hidden="1"/>
    <cellStyle name="Lien hypertexte visité" xfId="12517" builtinId="9" hidden="1"/>
    <cellStyle name="Lien hypertexte visité" xfId="12389" builtinId="9" hidden="1"/>
    <cellStyle name="Lien hypertexte visité" xfId="12261" builtinId="9" hidden="1"/>
    <cellStyle name="Lien hypertexte visité" xfId="12133" builtinId="9" hidden="1"/>
    <cellStyle name="Lien hypertexte visité" xfId="12005" builtinId="9" hidden="1"/>
    <cellStyle name="Lien hypertexte visité" xfId="11877" builtinId="9" hidden="1"/>
    <cellStyle name="Lien hypertexte visité" xfId="11749" builtinId="9" hidden="1"/>
    <cellStyle name="Lien hypertexte visité" xfId="11621" builtinId="9" hidden="1"/>
    <cellStyle name="Lien hypertexte visité" xfId="11493" builtinId="9" hidden="1"/>
    <cellStyle name="Lien hypertexte visité" xfId="11365" builtinId="9" hidden="1"/>
    <cellStyle name="Lien hypertexte visité" xfId="11237" builtinId="9" hidden="1"/>
    <cellStyle name="Lien hypertexte visité" xfId="11109" builtinId="9" hidden="1"/>
    <cellStyle name="Lien hypertexte visité" xfId="10981" builtinId="9" hidden="1"/>
    <cellStyle name="Lien hypertexte visité" xfId="10853" builtinId="9" hidden="1"/>
    <cellStyle name="Lien hypertexte visité" xfId="10725" builtinId="9" hidden="1"/>
    <cellStyle name="Lien hypertexte visité" xfId="10597" builtinId="9" hidden="1"/>
    <cellStyle name="Lien hypertexte visité" xfId="10469" builtinId="9" hidden="1"/>
    <cellStyle name="Lien hypertexte visité" xfId="10341" builtinId="9" hidden="1"/>
    <cellStyle name="Lien hypertexte visité" xfId="10213" builtinId="9" hidden="1"/>
    <cellStyle name="Lien hypertexte visité" xfId="10085" builtinId="9" hidden="1"/>
    <cellStyle name="Lien hypertexte visité" xfId="9957" builtinId="9" hidden="1"/>
    <cellStyle name="Lien hypertexte visité" xfId="9829" builtinId="9" hidden="1"/>
    <cellStyle name="Lien hypertexte visité" xfId="9701" builtinId="9" hidden="1"/>
    <cellStyle name="Lien hypertexte visité" xfId="9573" builtinId="9" hidden="1"/>
    <cellStyle name="Lien hypertexte visité" xfId="9445" builtinId="9" hidden="1"/>
    <cellStyle name="Lien hypertexte visité" xfId="9317" builtinId="9" hidden="1"/>
    <cellStyle name="Lien hypertexte visité" xfId="9189" builtinId="9" hidden="1"/>
    <cellStyle name="Lien hypertexte visité" xfId="9061" builtinId="9" hidden="1"/>
    <cellStyle name="Lien hypertexte visité" xfId="8933" builtinId="9" hidden="1"/>
    <cellStyle name="Lien hypertexte visité" xfId="8805" builtinId="9" hidden="1"/>
    <cellStyle name="Lien hypertexte visité" xfId="8677" builtinId="9" hidden="1"/>
    <cellStyle name="Lien hypertexte visité" xfId="8549" builtinId="9" hidden="1"/>
    <cellStyle name="Lien hypertexte visité" xfId="8421" builtinId="9" hidden="1"/>
    <cellStyle name="Lien hypertexte visité" xfId="8293" builtinId="9" hidden="1"/>
    <cellStyle name="Lien hypertexte visité" xfId="8165" builtinId="9" hidden="1"/>
    <cellStyle name="Lien hypertexte visité" xfId="8037" builtinId="9" hidden="1"/>
    <cellStyle name="Lien hypertexte visité" xfId="7909" builtinId="9" hidden="1"/>
    <cellStyle name="Lien hypertexte visité" xfId="7780" builtinId="9" hidden="1"/>
    <cellStyle name="Lien hypertexte visité" xfId="7652" builtinId="9" hidden="1"/>
    <cellStyle name="Lien hypertexte visité" xfId="7524" builtinId="9" hidden="1"/>
    <cellStyle name="Lien hypertexte visité" xfId="7396" builtinId="9" hidden="1"/>
    <cellStyle name="Lien hypertexte visité" xfId="7268" builtinId="9" hidden="1"/>
    <cellStyle name="Lien hypertexte visité" xfId="7140" builtinId="9" hidden="1"/>
    <cellStyle name="Lien hypertexte visité" xfId="7012" builtinId="9" hidden="1"/>
    <cellStyle name="Lien hypertexte visité" xfId="6884" builtinId="9" hidden="1"/>
    <cellStyle name="Lien hypertexte visité" xfId="6756" builtinId="9" hidden="1"/>
    <cellStyle name="Lien hypertexte visité" xfId="6628" builtinId="9" hidden="1"/>
    <cellStyle name="Lien hypertexte visité" xfId="6500" builtinId="9" hidden="1"/>
    <cellStyle name="Lien hypertexte visité" xfId="6372" builtinId="9" hidden="1"/>
    <cellStyle name="Lien hypertexte visité" xfId="6244" builtinId="9" hidden="1"/>
    <cellStyle name="Lien hypertexte visité" xfId="6116" builtinId="9" hidden="1"/>
    <cellStyle name="Lien hypertexte visité" xfId="5988" builtinId="9" hidden="1"/>
    <cellStyle name="Lien hypertexte visité" xfId="5860" builtinId="9" hidden="1"/>
    <cellStyle name="Lien hypertexte visité" xfId="5732" builtinId="9" hidden="1"/>
    <cellStyle name="Lien hypertexte visité" xfId="5604" builtinId="9" hidden="1"/>
    <cellStyle name="Lien hypertexte visité" xfId="5476" builtinId="9" hidden="1"/>
    <cellStyle name="Lien hypertexte visité" xfId="5348" builtinId="9" hidden="1"/>
    <cellStyle name="Lien hypertexte visité" xfId="5220" builtinId="9" hidden="1"/>
    <cellStyle name="Lien hypertexte visité" xfId="5092" builtinId="9" hidden="1"/>
    <cellStyle name="Lien hypertexte visité" xfId="4964" builtinId="9" hidden="1"/>
    <cellStyle name="Lien hypertexte visité" xfId="4836" builtinId="9" hidden="1"/>
    <cellStyle name="Lien hypertexte visité" xfId="4708" builtinId="9" hidden="1"/>
    <cellStyle name="Lien hypertexte visité" xfId="4580" builtinId="9" hidden="1"/>
    <cellStyle name="Lien hypertexte visité" xfId="4452" builtinId="9" hidden="1"/>
    <cellStyle name="Lien hypertexte visité" xfId="4324" builtinId="9" hidden="1"/>
    <cellStyle name="Lien hypertexte visité" xfId="4196" builtinId="9" hidden="1"/>
    <cellStyle name="Lien hypertexte visité" xfId="4068" builtinId="9" hidden="1"/>
    <cellStyle name="Lien hypertexte visité" xfId="3940" builtinId="9" hidden="1"/>
    <cellStyle name="Lien hypertexte visité" xfId="3815" builtinId="9" hidden="1"/>
    <cellStyle name="Lien hypertexte visité" xfId="3686" builtinId="9" hidden="1"/>
    <cellStyle name="Lien hypertexte visité" xfId="3550" builtinId="9" hidden="1"/>
    <cellStyle name="Lien hypertexte visité" xfId="3422" builtinId="9" hidden="1"/>
    <cellStyle name="Lien hypertexte visité" xfId="3294" builtinId="9" hidden="1"/>
    <cellStyle name="Lien hypertexte visité" xfId="3166" builtinId="9" hidden="1"/>
    <cellStyle name="Lien hypertexte visité" xfId="3038" builtinId="9" hidden="1"/>
    <cellStyle name="Lien hypertexte visité" xfId="2910" builtinId="9" hidden="1"/>
    <cellStyle name="Lien hypertexte visité" xfId="2782" builtinId="9" hidden="1"/>
    <cellStyle name="Lien hypertexte visité" xfId="2654" builtinId="9" hidden="1"/>
    <cellStyle name="Lien hypertexte visité" xfId="2526" builtinId="9" hidden="1"/>
    <cellStyle name="Lien hypertexte visité" xfId="2398" builtinId="9" hidden="1"/>
    <cellStyle name="Lien hypertexte visité" xfId="2270" builtinId="9" hidden="1"/>
    <cellStyle name="Lien hypertexte visité" xfId="2142" builtinId="9" hidden="1"/>
    <cellStyle name="Lien hypertexte visité" xfId="2014" builtinId="9" hidden="1"/>
    <cellStyle name="Lien hypertexte visité" xfId="1886" builtinId="9" hidden="1"/>
    <cellStyle name="Lien hypertexte visité" xfId="1758" builtinId="9" hidden="1"/>
    <cellStyle name="Lien hypertexte visité" xfId="1630" builtinId="9" hidden="1"/>
    <cellStyle name="Lien hypertexte visité" xfId="1502" builtinId="9" hidden="1"/>
    <cellStyle name="Lien hypertexte visité" xfId="1373" builtinId="9" hidden="1"/>
    <cellStyle name="Lien hypertexte visité" xfId="1245" builtinId="9" hidden="1"/>
    <cellStyle name="Lien hypertexte visité" xfId="1071" builtinId="9" hidden="1"/>
    <cellStyle name="Lien hypertexte visité" xfId="815" builtinId="9" hidden="1"/>
    <cellStyle name="Lien hypertexte visité" xfId="559" builtinId="9" hidden="1"/>
    <cellStyle name="Lien hypertexte visité" xfId="303" builtinId="9" hidden="1"/>
    <cellStyle name="Lien hypertexte visité" xfId="111" builtinId="9" hidden="1"/>
    <cellStyle name="Lien hypertexte visité" xfId="179" builtinId="9" hidden="1"/>
    <cellStyle name="Lien hypertexte visité" xfId="435" builtinId="9" hidden="1"/>
    <cellStyle name="Lien hypertexte visité" xfId="691" builtinId="9" hidden="1"/>
    <cellStyle name="Lien hypertexte visité" xfId="947" builtinId="9" hidden="1"/>
    <cellStyle name="Lien hypertexte visité" xfId="1183" builtinId="9" hidden="1"/>
    <cellStyle name="Lien hypertexte visité" xfId="1311" builtinId="9" hidden="1"/>
    <cellStyle name="Lien hypertexte visité" xfId="1439" builtinId="9" hidden="1"/>
    <cellStyle name="Lien hypertexte visité" xfId="1568" builtinId="9" hidden="1"/>
    <cellStyle name="Lien hypertexte visité" xfId="1696" builtinId="9" hidden="1"/>
    <cellStyle name="Lien hypertexte visité" xfId="1824" builtinId="9" hidden="1"/>
    <cellStyle name="Lien hypertexte visité" xfId="1952" builtinId="9" hidden="1"/>
    <cellStyle name="Lien hypertexte visité" xfId="2080" builtinId="9" hidden="1"/>
    <cellStyle name="Lien hypertexte visité" xfId="2209" builtinId="9" hidden="1"/>
    <cellStyle name="Lien hypertexte visité" xfId="2336" builtinId="9" hidden="1"/>
    <cellStyle name="Lien hypertexte visité" xfId="2464" builtinId="9" hidden="1"/>
    <cellStyle name="Lien hypertexte visité" xfId="2592" builtinId="9" hidden="1"/>
    <cellStyle name="Lien hypertexte visité" xfId="2720" builtinId="9" hidden="1"/>
    <cellStyle name="Lien hypertexte visité" xfId="2848" builtinId="9" hidden="1"/>
    <cellStyle name="Lien hypertexte visité" xfId="2976" builtinId="9" hidden="1"/>
    <cellStyle name="Lien hypertexte visité" xfId="3104" builtinId="9" hidden="1"/>
    <cellStyle name="Lien hypertexte visité" xfId="3232" builtinId="9" hidden="1"/>
    <cellStyle name="Lien hypertexte visité" xfId="3360" builtinId="9" hidden="1"/>
    <cellStyle name="Lien hypertexte visité" xfId="3488" builtinId="9" hidden="1"/>
    <cellStyle name="Lien hypertexte visité" xfId="3617" builtinId="9" hidden="1"/>
    <cellStyle name="Lien hypertexte visité" xfId="3753" builtinId="9" hidden="1"/>
    <cellStyle name="Lien hypertexte visité" xfId="3881" builtinId="9" hidden="1"/>
    <cellStyle name="Lien hypertexte visité" xfId="4006" builtinId="9" hidden="1"/>
    <cellStyle name="Lien hypertexte visité" xfId="4134" builtinId="9" hidden="1"/>
    <cellStyle name="Lien hypertexte visité" xfId="4262" builtinId="9" hidden="1"/>
    <cellStyle name="Lien hypertexte visité" xfId="4390" builtinId="9" hidden="1"/>
    <cellStyle name="Lien hypertexte visité" xfId="4518" builtinId="9" hidden="1"/>
    <cellStyle name="Lien hypertexte visité" xfId="4646" builtinId="9" hidden="1"/>
    <cellStyle name="Lien hypertexte visité" xfId="4774" builtinId="9" hidden="1"/>
    <cellStyle name="Lien hypertexte visité" xfId="4902" builtinId="9" hidden="1"/>
    <cellStyle name="Lien hypertexte visité" xfId="5030" builtinId="9" hidden="1"/>
    <cellStyle name="Lien hypertexte visité" xfId="5158" builtinId="9" hidden="1"/>
    <cellStyle name="Lien hypertexte visité" xfId="5286" builtinId="9" hidden="1"/>
    <cellStyle name="Lien hypertexte visité" xfId="5414" builtinId="9" hidden="1"/>
    <cellStyle name="Lien hypertexte visité" xfId="5542" builtinId="9" hidden="1"/>
    <cellStyle name="Lien hypertexte visité" xfId="5670" builtinId="9" hidden="1"/>
    <cellStyle name="Lien hypertexte visité" xfId="5798" builtinId="9" hidden="1"/>
    <cellStyle name="Lien hypertexte visité" xfId="5926" builtinId="9" hidden="1"/>
    <cellStyle name="Lien hypertexte visité" xfId="6054" builtinId="9" hidden="1"/>
    <cellStyle name="Lien hypertexte visité" xfId="6182" builtinId="9" hidden="1"/>
    <cellStyle name="Lien hypertexte visité" xfId="6310" builtinId="9" hidden="1"/>
    <cellStyle name="Lien hypertexte visité" xfId="6438" builtinId="9" hidden="1"/>
    <cellStyle name="Lien hypertexte visité" xfId="6566" builtinId="9" hidden="1"/>
    <cellStyle name="Lien hypertexte visité" xfId="6694" builtinId="9" hidden="1"/>
    <cellStyle name="Lien hypertexte visité" xfId="6822" builtinId="9" hidden="1"/>
    <cellStyle name="Lien hypertexte visité" xfId="6950" builtinId="9" hidden="1"/>
    <cellStyle name="Lien hypertexte visité" xfId="7078" builtinId="9" hidden="1"/>
    <cellStyle name="Lien hypertexte visité" xfId="7206" builtinId="9" hidden="1"/>
    <cellStyle name="Lien hypertexte visité" xfId="7334" builtinId="9" hidden="1"/>
    <cellStyle name="Lien hypertexte visité" xfId="7462" builtinId="9" hidden="1"/>
    <cellStyle name="Lien hypertexte visité" xfId="7590" builtinId="9" hidden="1"/>
    <cellStyle name="Lien hypertexte visité" xfId="7718" builtinId="9" hidden="1"/>
    <cellStyle name="Lien hypertexte visité" xfId="7847" builtinId="9" hidden="1"/>
    <cellStyle name="Lien hypertexte visité" xfId="7975" builtinId="9" hidden="1"/>
    <cellStyle name="Lien hypertexte visité" xfId="8103" builtinId="9" hidden="1"/>
    <cellStyle name="Lien hypertexte visité" xfId="8231" builtinId="9" hidden="1"/>
    <cellStyle name="Lien hypertexte visité" xfId="8359" builtinId="9" hidden="1"/>
    <cellStyle name="Lien hypertexte visité" xfId="8487" builtinId="9" hidden="1"/>
    <cellStyle name="Lien hypertexte visité" xfId="8615" builtinId="9" hidden="1"/>
    <cellStyle name="Lien hypertexte visité" xfId="8743" builtinId="9" hidden="1"/>
    <cellStyle name="Lien hypertexte visité" xfId="8871" builtinId="9" hidden="1"/>
    <cellStyle name="Lien hypertexte visité" xfId="8999" builtinId="9" hidden="1"/>
    <cellStyle name="Lien hypertexte visité" xfId="9127" builtinId="9" hidden="1"/>
    <cellStyle name="Lien hypertexte visité" xfId="9255" builtinId="9" hidden="1"/>
    <cellStyle name="Lien hypertexte visité" xfId="9383" builtinId="9" hidden="1"/>
    <cellStyle name="Lien hypertexte visité" xfId="9511" builtinId="9" hidden="1"/>
    <cellStyle name="Lien hypertexte visité" xfId="9639" builtinId="9" hidden="1"/>
    <cellStyle name="Lien hypertexte visité" xfId="9767" builtinId="9" hidden="1"/>
    <cellStyle name="Lien hypertexte visité" xfId="9895" builtinId="9" hidden="1"/>
    <cellStyle name="Lien hypertexte visité" xfId="10023" builtinId="9" hidden="1"/>
    <cellStyle name="Lien hypertexte visité" xfId="10151" builtinId="9" hidden="1"/>
    <cellStyle name="Lien hypertexte visité" xfId="10279" builtinId="9" hidden="1"/>
    <cellStyle name="Lien hypertexte visité" xfId="10407" builtinId="9" hidden="1"/>
    <cellStyle name="Lien hypertexte visité" xfId="10535" builtinId="9" hidden="1"/>
    <cellStyle name="Lien hypertexte visité" xfId="10663" builtinId="9" hidden="1"/>
    <cellStyle name="Lien hypertexte visité" xfId="10791" builtinId="9" hidden="1"/>
    <cellStyle name="Lien hypertexte visité" xfId="10919" builtinId="9" hidden="1"/>
    <cellStyle name="Lien hypertexte visité" xfId="11047" builtinId="9" hidden="1"/>
    <cellStyle name="Lien hypertexte visité" xfId="11175" builtinId="9" hidden="1"/>
    <cellStyle name="Lien hypertexte visité" xfId="11303" builtinId="9" hidden="1"/>
    <cellStyle name="Lien hypertexte visité" xfId="11431" builtinId="9" hidden="1"/>
    <cellStyle name="Lien hypertexte visité" xfId="11559" builtinId="9" hidden="1"/>
    <cellStyle name="Lien hypertexte visité" xfId="11687" builtinId="9" hidden="1"/>
    <cellStyle name="Lien hypertexte visité" xfId="11815" builtinId="9" hidden="1"/>
    <cellStyle name="Lien hypertexte visité" xfId="11943" builtinId="9" hidden="1"/>
    <cellStyle name="Lien hypertexte visité" xfId="12071" builtinId="9" hidden="1"/>
    <cellStyle name="Lien hypertexte visité" xfId="12199" builtinId="9" hidden="1"/>
    <cellStyle name="Lien hypertexte visité" xfId="12327" builtinId="9" hidden="1"/>
    <cellStyle name="Lien hypertexte visité" xfId="12455" builtinId="9" hidden="1"/>
    <cellStyle name="Lien hypertexte visité" xfId="12583" builtinId="9" hidden="1"/>
    <cellStyle name="Lien hypertexte visité" xfId="12711" builtinId="9" hidden="1"/>
    <cellStyle name="Lien hypertexte visité" xfId="12839" builtinId="9" hidden="1"/>
    <cellStyle name="Lien hypertexte visité" xfId="12967" builtinId="9" hidden="1"/>
    <cellStyle name="Lien hypertexte visité" xfId="13095" builtinId="9" hidden="1"/>
    <cellStyle name="Lien hypertexte visité" xfId="13223" builtinId="9" hidden="1"/>
    <cellStyle name="Lien hypertexte visité" xfId="13351" builtinId="9" hidden="1"/>
    <cellStyle name="Lien hypertexte visité" xfId="13479" builtinId="9" hidden="1"/>
    <cellStyle name="Lien hypertexte visité" xfId="13607" builtinId="9" hidden="1"/>
    <cellStyle name="Lien hypertexte visité" xfId="13735" builtinId="9" hidden="1"/>
    <cellStyle name="Lien hypertexte visité" xfId="13863" builtinId="9" hidden="1"/>
    <cellStyle name="Lien hypertexte visité" xfId="13991" builtinId="9" hidden="1"/>
    <cellStyle name="Lien hypertexte visité" xfId="14119" builtinId="9" hidden="1"/>
    <cellStyle name="Lien hypertexte visité" xfId="14247" builtinId="9" hidden="1"/>
    <cellStyle name="Lien hypertexte visité" xfId="14375" builtinId="9" hidden="1"/>
    <cellStyle name="Lien hypertexte visité" xfId="14503" builtinId="9" hidden="1"/>
    <cellStyle name="Lien hypertexte visité" xfId="14747" builtinId="9" hidden="1"/>
    <cellStyle name="Lien hypertexte visité" xfId="15003" builtinId="9" hidden="1"/>
    <cellStyle name="Lien hypertexte visité" xfId="15259" builtinId="9" hidden="1"/>
    <cellStyle name="Lien hypertexte visité" xfId="15515" builtinId="9" hidden="1"/>
    <cellStyle name="Lien hypertexte visité" xfId="15771" builtinId="9" hidden="1"/>
    <cellStyle name="Lien hypertexte visité" xfId="16027" builtinId="9" hidden="1"/>
    <cellStyle name="Lien hypertexte visité" xfId="16283" builtinId="9" hidden="1"/>
    <cellStyle name="Lien hypertexte visité" xfId="16539" builtinId="9" hidden="1"/>
    <cellStyle name="Lien hypertexte visité" xfId="16795" builtinId="9" hidden="1"/>
    <cellStyle name="Lien hypertexte visité" xfId="17051" builtinId="9" hidden="1"/>
    <cellStyle name="Lien hypertexte visité" xfId="17307" builtinId="9" hidden="1"/>
    <cellStyle name="Lien hypertexte visité" xfId="8302" builtinId="9" hidden="1"/>
    <cellStyle name="Lien hypertexte visité" xfId="8386" builtinId="9" hidden="1"/>
    <cellStyle name="Lien hypertexte visité" xfId="8470" builtinId="9" hidden="1"/>
    <cellStyle name="Lien hypertexte visité" xfId="8558" builtinId="9" hidden="1"/>
    <cellStyle name="Lien hypertexte visité" xfId="8642" builtinId="9" hidden="1"/>
    <cellStyle name="Lien hypertexte visité" xfId="8726" builtinId="9" hidden="1"/>
    <cellStyle name="Lien hypertexte visité" xfId="8814" builtinId="9" hidden="1"/>
    <cellStyle name="Lien hypertexte visité" xfId="8898" builtinId="9" hidden="1"/>
    <cellStyle name="Lien hypertexte visité" xfId="8982" builtinId="9" hidden="1"/>
    <cellStyle name="Lien hypertexte visité" xfId="9070" builtinId="9" hidden="1"/>
    <cellStyle name="Lien hypertexte visité" xfId="9154" builtinId="9" hidden="1"/>
    <cellStyle name="Lien hypertexte visité" xfId="9238" builtinId="9" hidden="1"/>
    <cellStyle name="Lien hypertexte visité" xfId="9326" builtinId="9" hidden="1"/>
    <cellStyle name="Lien hypertexte visité" xfId="9410" builtinId="9" hidden="1"/>
    <cellStyle name="Lien hypertexte visité" xfId="9494" builtinId="9" hidden="1"/>
    <cellStyle name="Lien hypertexte visité" xfId="9582" builtinId="9" hidden="1"/>
    <cellStyle name="Lien hypertexte visité" xfId="9666" builtinId="9" hidden="1"/>
    <cellStyle name="Lien hypertexte visité" xfId="9750" builtinId="9" hidden="1"/>
    <cellStyle name="Lien hypertexte visité" xfId="9838" builtinId="9" hidden="1"/>
    <cellStyle name="Lien hypertexte visité" xfId="9922" builtinId="9" hidden="1"/>
    <cellStyle name="Lien hypertexte visité" xfId="10006" builtinId="9" hidden="1"/>
    <cellStyle name="Lien hypertexte visité" xfId="10094" builtinId="9" hidden="1"/>
    <cellStyle name="Lien hypertexte visité" xfId="10178" builtinId="9" hidden="1"/>
    <cellStyle name="Lien hypertexte visité" xfId="10262" builtinId="9" hidden="1"/>
    <cellStyle name="Lien hypertexte visité" xfId="10350" builtinId="9" hidden="1"/>
    <cellStyle name="Lien hypertexte visité" xfId="10434" builtinId="9" hidden="1"/>
    <cellStyle name="Lien hypertexte visité" xfId="10518" builtinId="9" hidden="1"/>
    <cellStyle name="Lien hypertexte visité" xfId="10606" builtinId="9" hidden="1"/>
    <cellStyle name="Lien hypertexte visité" xfId="10690" builtinId="9" hidden="1"/>
    <cellStyle name="Lien hypertexte visité" xfId="10774" builtinId="9" hidden="1"/>
    <cellStyle name="Lien hypertexte visité" xfId="10862" builtinId="9" hidden="1"/>
    <cellStyle name="Lien hypertexte visité" xfId="10946" builtinId="9" hidden="1"/>
    <cellStyle name="Lien hypertexte visité" xfId="11030" builtinId="9" hidden="1"/>
    <cellStyle name="Lien hypertexte visité" xfId="11118" builtinId="9" hidden="1"/>
    <cellStyle name="Lien hypertexte visité" xfId="11202" builtinId="9" hidden="1"/>
    <cellStyle name="Lien hypertexte visité" xfId="11286" builtinId="9" hidden="1"/>
    <cellStyle name="Lien hypertexte visité" xfId="11374" builtinId="9" hidden="1"/>
    <cellStyle name="Lien hypertexte visité" xfId="11458" builtinId="9" hidden="1"/>
    <cellStyle name="Lien hypertexte visité" xfId="11542" builtinId="9" hidden="1"/>
    <cellStyle name="Lien hypertexte visité" xfId="11630" builtinId="9" hidden="1"/>
    <cellStyle name="Lien hypertexte visité" xfId="11714" builtinId="9" hidden="1"/>
    <cellStyle name="Lien hypertexte visité" xfId="11798" builtinId="9" hidden="1"/>
    <cellStyle name="Lien hypertexte visité" xfId="11886" builtinId="9" hidden="1"/>
    <cellStyle name="Lien hypertexte visité" xfId="11970" builtinId="9" hidden="1"/>
    <cellStyle name="Lien hypertexte visité" xfId="12054" builtinId="9" hidden="1"/>
    <cellStyle name="Lien hypertexte visité" xfId="12142" builtinId="9" hidden="1"/>
    <cellStyle name="Lien hypertexte visité" xfId="12226" builtinId="9" hidden="1"/>
    <cellStyle name="Lien hypertexte visité" xfId="12310" builtinId="9" hidden="1"/>
    <cellStyle name="Lien hypertexte visité" xfId="12398" builtinId="9" hidden="1"/>
    <cellStyle name="Lien hypertexte visité" xfId="12482" builtinId="9" hidden="1"/>
    <cellStyle name="Lien hypertexte visité" xfId="12566" builtinId="9" hidden="1"/>
    <cellStyle name="Lien hypertexte visité" xfId="12654" builtinId="9" hidden="1"/>
    <cellStyle name="Lien hypertexte visité" xfId="12738" builtinId="9" hidden="1"/>
    <cellStyle name="Lien hypertexte visité" xfId="12822" builtinId="9" hidden="1"/>
    <cellStyle name="Lien hypertexte visité" xfId="12910" builtinId="9" hidden="1"/>
    <cellStyle name="Lien hypertexte visité" xfId="12994" builtinId="9" hidden="1"/>
    <cellStyle name="Lien hypertexte visité" xfId="13078" builtinId="9" hidden="1"/>
    <cellStyle name="Lien hypertexte visité" xfId="13166" builtinId="9" hidden="1"/>
    <cellStyle name="Lien hypertexte visité" xfId="13250" builtinId="9" hidden="1"/>
    <cellStyle name="Lien hypertexte visité" xfId="13334" builtinId="9" hidden="1"/>
    <cellStyle name="Lien hypertexte visité" xfId="13422" builtinId="9" hidden="1"/>
    <cellStyle name="Lien hypertexte visité" xfId="13506" builtinId="9" hidden="1"/>
    <cellStyle name="Lien hypertexte visité" xfId="13590" builtinId="9" hidden="1"/>
    <cellStyle name="Lien hypertexte visité" xfId="13678" builtinId="9" hidden="1"/>
    <cellStyle name="Lien hypertexte visité" xfId="13762" builtinId="9" hidden="1"/>
    <cellStyle name="Lien hypertexte visité" xfId="13846" builtinId="9" hidden="1"/>
    <cellStyle name="Lien hypertexte visité" xfId="13934" builtinId="9" hidden="1"/>
    <cellStyle name="Lien hypertexte visité" xfId="14018" builtinId="9" hidden="1"/>
    <cellStyle name="Lien hypertexte visité" xfId="14102" builtinId="9" hidden="1"/>
    <cellStyle name="Lien hypertexte visité" xfId="14190" builtinId="9" hidden="1"/>
    <cellStyle name="Lien hypertexte visité" xfId="14274" builtinId="9" hidden="1"/>
    <cellStyle name="Lien hypertexte visité" xfId="14358" builtinId="9" hidden="1"/>
    <cellStyle name="Lien hypertexte visité" xfId="14446" builtinId="9" hidden="1"/>
    <cellStyle name="Lien hypertexte visité" xfId="14545" builtinId="9" hidden="1"/>
    <cellStyle name="Lien hypertexte visité" xfId="14713" builtinId="9" hidden="1"/>
    <cellStyle name="Lien hypertexte visité" xfId="14889" builtinId="9" hidden="1"/>
    <cellStyle name="Lien hypertexte visité" xfId="15057" builtinId="9" hidden="1"/>
    <cellStyle name="Lien hypertexte visité" xfId="15225" builtinId="9" hidden="1"/>
    <cellStyle name="Lien hypertexte visité" xfId="15401" builtinId="9" hidden="1"/>
    <cellStyle name="Lien hypertexte visité" xfId="15569" builtinId="9" hidden="1"/>
    <cellStyle name="Lien hypertexte visité" xfId="15737" builtinId="9" hidden="1"/>
    <cellStyle name="Lien hypertexte visité" xfId="15913" builtinId="9" hidden="1"/>
    <cellStyle name="Lien hypertexte visité" xfId="16081" builtinId="9" hidden="1"/>
    <cellStyle name="Lien hypertexte visité" xfId="16249" builtinId="9" hidden="1"/>
    <cellStyle name="Lien hypertexte visité" xfId="16425" builtinId="9" hidden="1"/>
    <cellStyle name="Lien hypertexte visité" xfId="16593" builtinId="9" hidden="1"/>
    <cellStyle name="Lien hypertexte visité" xfId="16761" builtinId="9" hidden="1"/>
    <cellStyle name="Lien hypertexte visité" xfId="16937" builtinId="9" hidden="1"/>
    <cellStyle name="Lien hypertexte visité" xfId="17105" builtinId="9" hidden="1"/>
    <cellStyle name="Lien hypertexte visité" xfId="17273" builtinId="9" hidden="1"/>
    <cellStyle name="Lien hypertexte visité" xfId="17449" builtinId="9" hidden="1"/>
    <cellStyle name="Lien hypertexte visité" xfId="17617" builtinId="9" hidden="1"/>
    <cellStyle name="Lien hypertexte visité" xfId="17785" builtinId="9" hidden="1"/>
    <cellStyle name="Lien hypertexte visité" xfId="17961" builtinId="9" hidden="1"/>
    <cellStyle name="Lien hypertexte visité" xfId="18129" builtinId="9" hidden="1"/>
    <cellStyle name="Lien hypertexte visité" xfId="18297" builtinId="9" hidden="1"/>
    <cellStyle name="Lien hypertexte visité" xfId="18456" builtinId="9" hidden="1"/>
    <cellStyle name="Lien hypertexte visité" xfId="18624" builtinId="9" hidden="1"/>
    <cellStyle name="Lien hypertexte visité" xfId="18792" builtinId="9" hidden="1"/>
    <cellStyle name="Lien hypertexte visité" xfId="18968" builtinId="9" hidden="1"/>
    <cellStyle name="Lien hypertexte visité" xfId="19136" builtinId="9" hidden="1"/>
    <cellStyle name="Lien hypertexte visité" xfId="19304" builtinId="9" hidden="1"/>
    <cellStyle name="Lien hypertexte visité" xfId="19480" builtinId="9" hidden="1"/>
    <cellStyle name="Lien hypertexte visité" xfId="19648" builtinId="9" hidden="1"/>
    <cellStyle name="Lien hypertexte visité" xfId="19816" builtinId="9" hidden="1"/>
    <cellStyle name="Lien hypertexte visité" xfId="19992" builtinId="9" hidden="1"/>
    <cellStyle name="Lien hypertexte visité" xfId="20160" builtinId="9" hidden="1"/>
    <cellStyle name="Lien hypertexte visité" xfId="20328" builtinId="9" hidden="1"/>
    <cellStyle name="Lien hypertexte visité" xfId="20504" builtinId="9" hidden="1"/>
    <cellStyle name="Lien hypertexte visité" xfId="20672" builtinId="9" hidden="1"/>
    <cellStyle name="Lien hypertexte visité" xfId="20840" builtinId="9" hidden="1"/>
    <cellStyle name="Lien hypertexte visité" xfId="21016" builtinId="9" hidden="1"/>
    <cellStyle name="Lien hypertexte visité" xfId="21184" builtinId="9" hidden="1"/>
    <cellStyle name="Lien hypertexte visité" xfId="21352" builtinId="9" hidden="1"/>
    <cellStyle name="Lien hypertexte visité" xfId="21528" builtinId="9" hidden="1"/>
    <cellStyle name="Lien hypertexte visité" xfId="21696" builtinId="9" hidden="1"/>
    <cellStyle name="Lien hypertexte visité" xfId="21864" builtinId="9" hidden="1"/>
    <cellStyle name="Lien hypertexte visité" xfId="22040" builtinId="9" hidden="1"/>
    <cellStyle name="Lien hypertexte visité" xfId="22208" builtinId="9" hidden="1"/>
    <cellStyle name="Lien hypertexte visité" xfId="22376" builtinId="9" hidden="1"/>
    <cellStyle name="Lien hypertexte visité" xfId="22552" builtinId="9" hidden="1"/>
    <cellStyle name="Lien hypertexte visité" xfId="22720" builtinId="9" hidden="1"/>
    <cellStyle name="Lien hypertexte visité" xfId="22888" builtinId="9" hidden="1"/>
    <cellStyle name="Lien hypertexte visité" xfId="23064" builtinId="9" hidden="1"/>
    <cellStyle name="Lien hypertexte visité" xfId="23232" builtinId="9" hidden="1"/>
    <cellStyle name="Lien hypertexte visité" xfId="23400" builtinId="9" hidden="1"/>
    <cellStyle name="Lien hypertexte visité" xfId="23576" builtinId="9" hidden="1"/>
    <cellStyle name="Lien hypertexte visité" xfId="23744" builtinId="9" hidden="1"/>
    <cellStyle name="Lien hypertexte visité" xfId="23912" builtinId="9" hidden="1"/>
    <cellStyle name="Lien hypertexte visité" xfId="24088" builtinId="9" hidden="1"/>
    <cellStyle name="Lien hypertexte visité" xfId="24256" builtinId="9" hidden="1"/>
    <cellStyle name="Lien hypertexte visité" xfId="24424" builtinId="9" hidden="1"/>
    <cellStyle name="Lien hypertexte visité" xfId="24600" builtinId="9" hidden="1"/>
    <cellStyle name="Lien hypertexte visité" xfId="24458" builtinId="9" hidden="1"/>
    <cellStyle name="Lien hypertexte visité" xfId="24290" builtinId="9" hidden="1"/>
    <cellStyle name="Lien hypertexte visité" xfId="24114" builtinId="9" hidden="1"/>
    <cellStyle name="Lien hypertexte visité" xfId="23946" builtinId="9" hidden="1"/>
    <cellStyle name="Lien hypertexte visité" xfId="23778" builtinId="9" hidden="1"/>
    <cellStyle name="Lien hypertexte visité" xfId="23602" builtinId="9" hidden="1"/>
    <cellStyle name="Lien hypertexte visité" xfId="23434" builtinId="9" hidden="1"/>
    <cellStyle name="Lien hypertexte visité" xfId="23266" builtinId="9" hidden="1"/>
    <cellStyle name="Lien hypertexte visité" xfId="23090" builtinId="9" hidden="1"/>
    <cellStyle name="Lien hypertexte visité" xfId="22922" builtinId="9" hidden="1"/>
    <cellStyle name="Lien hypertexte visité" xfId="22754" builtinId="9" hidden="1"/>
    <cellStyle name="Lien hypertexte visité" xfId="22578" builtinId="9" hidden="1"/>
    <cellStyle name="Lien hypertexte visité" xfId="22410" builtinId="9" hidden="1"/>
    <cellStyle name="Lien hypertexte visité" xfId="22242" builtinId="9" hidden="1"/>
    <cellStyle name="Lien hypertexte visité" xfId="22066" builtinId="9" hidden="1"/>
    <cellStyle name="Lien hypertexte visité" xfId="21898" builtinId="9" hidden="1"/>
    <cellStyle name="Lien hypertexte visité" xfId="21730" builtinId="9" hidden="1"/>
    <cellStyle name="Lien hypertexte visité" xfId="21554" builtinId="9" hidden="1"/>
    <cellStyle name="Lien hypertexte visité" xfId="21386" builtinId="9" hidden="1"/>
    <cellStyle name="Lien hypertexte visité" xfId="21218" builtinId="9" hidden="1"/>
    <cellStyle name="Lien hypertexte visité" xfId="21042" builtinId="9" hidden="1"/>
    <cellStyle name="Lien hypertexte visité" xfId="20874" builtinId="9" hidden="1"/>
    <cellStyle name="Lien hypertexte visité" xfId="20706" builtinId="9" hidden="1"/>
    <cellStyle name="Lien hypertexte visité" xfId="20530" builtinId="9" hidden="1"/>
    <cellStyle name="Lien hypertexte visité" xfId="20362" builtinId="9" hidden="1"/>
    <cellStyle name="Lien hypertexte visité" xfId="20194" builtinId="9" hidden="1"/>
    <cellStyle name="Lien hypertexte visité" xfId="20018" builtinId="9" hidden="1"/>
    <cellStyle name="Lien hypertexte visité" xfId="19850" builtinId="9" hidden="1"/>
    <cellStyle name="Lien hypertexte visité" xfId="19682" builtinId="9" hidden="1"/>
    <cellStyle name="Lien hypertexte visité" xfId="19506" builtinId="9" hidden="1"/>
    <cellStyle name="Lien hypertexte visité" xfId="19338" builtinId="9" hidden="1"/>
    <cellStyle name="Lien hypertexte visité" xfId="19170" builtinId="9" hidden="1"/>
    <cellStyle name="Lien hypertexte visité" xfId="18994" builtinId="9" hidden="1"/>
    <cellStyle name="Lien hypertexte visité" xfId="18826" builtinId="9" hidden="1"/>
    <cellStyle name="Lien hypertexte visité" xfId="18658" builtinId="9" hidden="1"/>
    <cellStyle name="Lien hypertexte visité" xfId="18482" builtinId="9" hidden="1"/>
    <cellStyle name="Lien hypertexte visité" xfId="18320" builtinId="9" hidden="1"/>
    <cellStyle name="Lien hypertexte visité" xfId="18163" builtinId="9" hidden="1"/>
    <cellStyle name="Lien hypertexte visité" xfId="17987" builtinId="9" hidden="1"/>
    <cellStyle name="Lien hypertexte visité" xfId="17819" builtinId="9" hidden="1"/>
    <cellStyle name="Lien hypertexte visité" xfId="17651" builtinId="9" hidden="1"/>
    <cellStyle name="Lien hypertexte visité" xfId="17475" builtinId="9" hidden="1"/>
    <cellStyle name="Lien hypertexte visité" xfId="17323" builtinId="9" hidden="1"/>
    <cellStyle name="Lien hypertexte visité" xfId="17835" builtinId="9" hidden="1"/>
    <cellStyle name="Lien hypertexte visité" xfId="18330" builtinId="9" hidden="1"/>
    <cellStyle name="Lien hypertexte visité" xfId="18842" builtinId="9" hidden="1"/>
    <cellStyle name="Lien hypertexte visité" xfId="19354" builtinId="9" hidden="1"/>
    <cellStyle name="Lien hypertexte visité" xfId="19866" builtinId="9" hidden="1"/>
    <cellStyle name="Lien hypertexte visité" xfId="20378" builtinId="9" hidden="1"/>
    <cellStyle name="Lien hypertexte visité" xfId="20890" builtinId="9" hidden="1"/>
    <cellStyle name="Lien hypertexte visité" xfId="21402" builtinId="9" hidden="1"/>
    <cellStyle name="Lien hypertexte visité" xfId="21914" builtinId="9" hidden="1"/>
    <cellStyle name="Lien hypertexte visité" xfId="22426" builtinId="9" hidden="1"/>
    <cellStyle name="Lien hypertexte visité" xfId="22938" builtinId="9" hidden="1"/>
    <cellStyle name="Lien hypertexte visité" xfId="23450" builtinId="9" hidden="1"/>
    <cellStyle name="Lien hypertexte visité" xfId="23962" builtinId="9" hidden="1"/>
    <cellStyle name="Lien hypertexte visité" xfId="24474" builtinId="9" hidden="1"/>
    <cellStyle name="Lien hypertexte visité" xfId="24240" builtinId="9" hidden="1"/>
    <cellStyle name="Lien hypertexte visité" xfId="23728" builtinId="9" hidden="1"/>
    <cellStyle name="Lien hypertexte visité" xfId="23216" builtinId="9" hidden="1"/>
    <cellStyle name="Lien hypertexte visité" xfId="22704" builtinId="9" hidden="1"/>
    <cellStyle name="Lien hypertexte visité" xfId="22192" builtinId="9" hidden="1"/>
    <cellStyle name="Lien hypertexte visité" xfId="21680" builtinId="9" hidden="1"/>
    <cellStyle name="Lien hypertexte visité" xfId="21168" builtinId="9" hidden="1"/>
    <cellStyle name="Lien hypertexte visité" xfId="20656" builtinId="9" hidden="1"/>
    <cellStyle name="Lien hypertexte visité" xfId="20144" builtinId="9" hidden="1"/>
    <cellStyle name="Lien hypertexte visité" xfId="19632" builtinId="9" hidden="1"/>
    <cellStyle name="Lien hypertexte visité" xfId="19120" builtinId="9" hidden="1"/>
    <cellStyle name="Lien hypertexte visité" xfId="18608" builtinId="9" hidden="1"/>
    <cellStyle name="Lien hypertexte visité" xfId="18113" builtinId="9" hidden="1"/>
    <cellStyle name="Lien hypertexte visité" xfId="17601" builtinId="9" hidden="1"/>
    <cellStyle name="Lien hypertexte visité" xfId="17089" builtinId="9" hidden="1"/>
    <cellStyle name="Lien hypertexte visité" xfId="16577" builtinId="9" hidden="1"/>
    <cellStyle name="Lien hypertexte visité" xfId="16065" builtinId="9" hidden="1"/>
    <cellStyle name="Lien hypertexte visité" xfId="15553" builtinId="9" hidden="1"/>
    <cellStyle name="Lien hypertexte visité" xfId="15041" builtinId="9" hidden="1"/>
    <cellStyle name="Lien hypertexte visité" xfId="14529" builtinId="9" hidden="1"/>
    <cellStyle name="Lien hypertexte visité" xfId="14266" builtinId="9" hidden="1"/>
    <cellStyle name="Lien hypertexte visité" xfId="14010" builtinId="9" hidden="1"/>
    <cellStyle name="Lien hypertexte visité" xfId="13754" builtinId="9" hidden="1"/>
    <cellStyle name="Lien hypertexte visité" xfId="13498" builtinId="9" hidden="1"/>
    <cellStyle name="Lien hypertexte visité" xfId="13242" builtinId="9" hidden="1"/>
    <cellStyle name="Lien hypertexte visité" xfId="12986" builtinId="9" hidden="1"/>
    <cellStyle name="Lien hypertexte visité" xfId="12730" builtinId="9" hidden="1"/>
    <cellStyle name="Lien hypertexte visité" xfId="12474" builtinId="9" hidden="1"/>
    <cellStyle name="Lien hypertexte visité" xfId="12218" builtinId="9" hidden="1"/>
    <cellStyle name="Lien hypertexte visité" xfId="11962" builtinId="9" hidden="1"/>
    <cellStyle name="Lien hypertexte visité" xfId="11706" builtinId="9" hidden="1"/>
    <cellStyle name="Lien hypertexte visité" xfId="11450" builtinId="9" hidden="1"/>
    <cellStyle name="Lien hypertexte visité" xfId="11290" builtinId="9" hidden="1"/>
    <cellStyle name="Lien hypertexte visité" xfId="11386" builtinId="9" hidden="1"/>
    <cellStyle name="Lien hypertexte visité" xfId="11482" builtinId="9" hidden="1"/>
    <cellStyle name="Lien hypertexte visité" xfId="11546" builtinId="9" hidden="1"/>
    <cellStyle name="Lien hypertexte visité" xfId="11642" builtinId="9" hidden="1"/>
    <cellStyle name="Lien hypertexte visité" xfId="11738" builtinId="9" hidden="1"/>
    <cellStyle name="Lien hypertexte visité" xfId="11802" builtinId="9" hidden="1"/>
    <cellStyle name="Lien hypertexte visité" xfId="11898" builtinId="9" hidden="1"/>
    <cellStyle name="Lien hypertexte visité" xfId="11994" builtinId="9" hidden="1"/>
    <cellStyle name="Lien hypertexte visité" xfId="12058" builtinId="9" hidden="1"/>
    <cellStyle name="Lien hypertexte visité" xfId="12154" builtinId="9" hidden="1"/>
    <cellStyle name="Lien hypertexte visité" xfId="12250" builtinId="9" hidden="1"/>
    <cellStyle name="Lien hypertexte visité" xfId="12314" builtinId="9" hidden="1"/>
    <cellStyle name="Lien hypertexte visité" xfId="12410" builtinId="9" hidden="1"/>
    <cellStyle name="Lien hypertexte visité" xfId="12506" builtinId="9" hidden="1"/>
    <cellStyle name="Lien hypertexte visité" xfId="12570" builtinId="9" hidden="1"/>
    <cellStyle name="Lien hypertexte visité" xfId="12666" builtinId="9" hidden="1"/>
    <cellStyle name="Lien hypertexte visité" xfId="12762" builtinId="9" hidden="1"/>
    <cellStyle name="Lien hypertexte visité" xfId="12826" builtinId="9" hidden="1"/>
    <cellStyle name="Lien hypertexte visité" xfId="12922" builtinId="9" hidden="1"/>
    <cellStyle name="Lien hypertexte visité" xfId="13018" builtinId="9" hidden="1"/>
    <cellStyle name="Lien hypertexte visité" xfId="13082" builtinId="9" hidden="1"/>
    <cellStyle name="Lien hypertexte visité" xfId="13178" builtinId="9" hidden="1"/>
    <cellStyle name="Lien hypertexte visité" xfId="13274" builtinId="9" hidden="1"/>
    <cellStyle name="Lien hypertexte visité" xfId="13338" builtinId="9" hidden="1"/>
    <cellStyle name="Lien hypertexte visité" xfId="13434" builtinId="9" hidden="1"/>
    <cellStyle name="Lien hypertexte visité" xfId="13530" builtinId="9" hidden="1"/>
    <cellStyle name="Lien hypertexte visité" xfId="13594" builtinId="9" hidden="1"/>
    <cellStyle name="Lien hypertexte visité" xfId="13690" builtinId="9" hidden="1"/>
    <cellStyle name="Lien hypertexte visité" xfId="13786" builtinId="9" hidden="1"/>
    <cellStyle name="Lien hypertexte visité" xfId="13850" builtinId="9" hidden="1"/>
    <cellStyle name="Lien hypertexte visité" xfId="13946" builtinId="9" hidden="1"/>
    <cellStyle name="Lien hypertexte visité" xfId="14042" builtinId="9" hidden="1"/>
    <cellStyle name="Lien hypertexte visité" xfId="14106" builtinId="9" hidden="1"/>
    <cellStyle name="Lien hypertexte visité" xfId="14202" builtinId="9" hidden="1"/>
    <cellStyle name="Lien hypertexte visité" xfId="14298" builtinId="9" hidden="1"/>
    <cellStyle name="Lien hypertexte visité" xfId="14362" builtinId="9" hidden="1"/>
    <cellStyle name="Lien hypertexte visité" xfId="14458" builtinId="9" hidden="1"/>
    <cellStyle name="Lien hypertexte visité" xfId="14593" builtinId="9" hidden="1"/>
    <cellStyle name="Lien hypertexte visité" xfId="14721" builtinId="9" hidden="1"/>
    <cellStyle name="Lien hypertexte visité" xfId="14913" builtinId="9" hidden="1"/>
    <cellStyle name="Lien hypertexte visité" xfId="15105" builtinId="9" hidden="1"/>
    <cellStyle name="Lien hypertexte visité" xfId="15233" builtinId="9" hidden="1"/>
    <cellStyle name="Lien hypertexte visité" xfId="15425" builtinId="9" hidden="1"/>
    <cellStyle name="Lien hypertexte visité" xfId="15617" builtinId="9" hidden="1"/>
    <cellStyle name="Lien hypertexte visité" xfId="15745" builtinId="9" hidden="1"/>
    <cellStyle name="Lien hypertexte visité" xfId="15937" builtinId="9" hidden="1"/>
    <cellStyle name="Lien hypertexte visité" xfId="16129" builtinId="9" hidden="1"/>
    <cellStyle name="Lien hypertexte visité" xfId="16257" builtinId="9" hidden="1"/>
    <cellStyle name="Lien hypertexte visité" xfId="16449" builtinId="9" hidden="1"/>
    <cellStyle name="Lien hypertexte visité" xfId="16641" builtinId="9" hidden="1"/>
    <cellStyle name="Lien hypertexte visité" xfId="16769" builtinId="9" hidden="1"/>
    <cellStyle name="Lien hypertexte visité" xfId="16961" builtinId="9" hidden="1"/>
    <cellStyle name="Lien hypertexte visité" xfId="17153" builtinId="9" hidden="1"/>
    <cellStyle name="Lien hypertexte visité" xfId="17281" builtinId="9" hidden="1"/>
    <cellStyle name="Lien hypertexte visité" xfId="17473" builtinId="9" hidden="1"/>
    <cellStyle name="Lien hypertexte visité" xfId="17665" builtinId="9" hidden="1"/>
    <cellStyle name="Lien hypertexte visité" xfId="17793" builtinId="9" hidden="1"/>
    <cellStyle name="Lien hypertexte visité" xfId="17985" builtinId="9" hidden="1"/>
    <cellStyle name="Lien hypertexte visité" xfId="18177" builtinId="9" hidden="1"/>
    <cellStyle name="Lien hypertexte visité" xfId="18305" builtinId="9" hidden="1"/>
    <cellStyle name="Lien hypertexte visité" xfId="18480" builtinId="9" hidden="1"/>
    <cellStyle name="Lien hypertexte visité" xfId="18672" builtinId="9" hidden="1"/>
    <cellStyle name="Lien hypertexte visité" xfId="18800" builtinId="9" hidden="1"/>
    <cellStyle name="Lien hypertexte visité" xfId="18992" builtinId="9" hidden="1"/>
    <cellStyle name="Lien hypertexte visité" xfId="19184" builtinId="9" hidden="1"/>
    <cellStyle name="Lien hypertexte visité" xfId="19312" builtinId="9" hidden="1"/>
    <cellStyle name="Lien hypertexte visité" xfId="19504" builtinId="9" hidden="1"/>
    <cellStyle name="Lien hypertexte visité" xfId="19696" builtinId="9" hidden="1"/>
    <cellStyle name="Lien hypertexte visité" xfId="19824" builtinId="9" hidden="1"/>
    <cellStyle name="Lien hypertexte visité" xfId="20016" builtinId="9" hidden="1"/>
    <cellStyle name="Lien hypertexte visité" xfId="20208" builtinId="9" hidden="1"/>
    <cellStyle name="Lien hypertexte visité" xfId="20336" builtinId="9" hidden="1"/>
    <cellStyle name="Lien hypertexte visité" xfId="20528" builtinId="9" hidden="1"/>
    <cellStyle name="Lien hypertexte visité" xfId="20720" builtinId="9" hidden="1"/>
    <cellStyle name="Lien hypertexte visité" xfId="20848" builtinId="9" hidden="1"/>
    <cellStyle name="Lien hypertexte visité" xfId="21040" builtinId="9" hidden="1"/>
    <cellStyle name="Lien hypertexte visité" xfId="21232" builtinId="9" hidden="1"/>
    <cellStyle name="Lien hypertexte visité" xfId="21360" builtinId="9" hidden="1"/>
    <cellStyle name="Lien hypertexte visité" xfId="21552" builtinId="9" hidden="1"/>
    <cellStyle name="Lien hypertexte visité" xfId="21744" builtinId="9" hidden="1"/>
    <cellStyle name="Lien hypertexte visité" xfId="21872" builtinId="9" hidden="1"/>
    <cellStyle name="Lien hypertexte visité" xfId="22064" builtinId="9" hidden="1"/>
    <cellStyle name="Lien hypertexte visité" xfId="22256" builtinId="9" hidden="1"/>
    <cellStyle name="Lien hypertexte visité" xfId="22384" builtinId="9" hidden="1"/>
    <cellStyle name="Lien hypertexte visité" xfId="22576" builtinId="9" hidden="1"/>
    <cellStyle name="Lien hypertexte visité" xfId="22768" builtinId="9" hidden="1"/>
    <cellStyle name="Lien hypertexte visité" xfId="22896" builtinId="9" hidden="1"/>
    <cellStyle name="Lien hypertexte visité" xfId="23088" builtinId="9" hidden="1"/>
    <cellStyle name="Lien hypertexte visité" xfId="23280" builtinId="9" hidden="1"/>
    <cellStyle name="Lien hypertexte visité" xfId="23408" builtinId="9" hidden="1"/>
    <cellStyle name="Lien hypertexte visité" xfId="23600" builtinId="9" hidden="1"/>
    <cellStyle name="Lien hypertexte visité" xfId="23792" builtinId="9" hidden="1"/>
    <cellStyle name="Lien hypertexte visité" xfId="23920" builtinId="9" hidden="1"/>
    <cellStyle name="Lien hypertexte visité" xfId="24112" builtinId="9" hidden="1"/>
    <cellStyle name="Lien hypertexte visité" xfId="24304" builtinId="9" hidden="1"/>
    <cellStyle name="Lien hypertexte visité" xfId="24432" builtinId="9" hidden="1"/>
    <cellStyle name="Lien hypertexte visité" xfId="24602" builtinId="9" hidden="1"/>
    <cellStyle name="Lien hypertexte visité" xfId="24410" builtinId="9" hidden="1"/>
    <cellStyle name="Lien hypertexte visité" xfId="24282" builtinId="9" hidden="1"/>
    <cellStyle name="Lien hypertexte visité" xfId="24090" builtinId="9" hidden="1"/>
    <cellStyle name="Lien hypertexte visité" xfId="23898" builtinId="9" hidden="1"/>
    <cellStyle name="Lien hypertexte visité" xfId="23770" builtinId="9" hidden="1"/>
    <cellStyle name="Lien hypertexte visité" xfId="23578" builtinId="9" hidden="1"/>
    <cellStyle name="Lien hypertexte visité" xfId="23386" builtinId="9" hidden="1"/>
    <cellStyle name="Lien hypertexte visité" xfId="23258" builtinId="9" hidden="1"/>
    <cellStyle name="Lien hypertexte visité" xfId="23066" builtinId="9" hidden="1"/>
    <cellStyle name="Lien hypertexte visité" xfId="22874" builtinId="9" hidden="1"/>
    <cellStyle name="Lien hypertexte visité" xfId="22746" builtinId="9" hidden="1"/>
    <cellStyle name="Lien hypertexte visité" xfId="22554" builtinId="9" hidden="1"/>
    <cellStyle name="Lien hypertexte visité" xfId="22362" builtinId="9" hidden="1"/>
    <cellStyle name="Lien hypertexte visité" xfId="22234" builtinId="9" hidden="1"/>
    <cellStyle name="Lien hypertexte visité" xfId="22042" builtinId="9" hidden="1"/>
    <cellStyle name="Lien hypertexte visité" xfId="21850" builtinId="9" hidden="1"/>
    <cellStyle name="Lien hypertexte visité" xfId="21722" builtinId="9" hidden="1"/>
    <cellStyle name="Lien hypertexte visité" xfId="21530" builtinId="9" hidden="1"/>
    <cellStyle name="Lien hypertexte visité" xfId="21338" builtinId="9" hidden="1"/>
    <cellStyle name="Lien hypertexte visité" xfId="21210" builtinId="9" hidden="1"/>
    <cellStyle name="Lien hypertexte visité" xfId="21018" builtinId="9" hidden="1"/>
    <cellStyle name="Lien hypertexte visité" xfId="20826" builtinId="9" hidden="1"/>
    <cellStyle name="Lien hypertexte visité" xfId="20698" builtinId="9" hidden="1"/>
    <cellStyle name="Lien hypertexte visité" xfId="20506" builtinId="9" hidden="1"/>
    <cellStyle name="Lien hypertexte visité" xfId="20314" builtinId="9" hidden="1"/>
    <cellStyle name="Lien hypertexte visité" xfId="20186" builtinId="9" hidden="1"/>
    <cellStyle name="Lien hypertexte visité" xfId="19994" builtinId="9" hidden="1"/>
    <cellStyle name="Lien hypertexte visité" xfId="19802" builtinId="9" hidden="1"/>
    <cellStyle name="Lien hypertexte visité" xfId="19674" builtinId="9" hidden="1"/>
    <cellStyle name="Lien hypertexte visité" xfId="19482" builtinId="9" hidden="1"/>
    <cellStyle name="Lien hypertexte visité" xfId="19290" builtinId="9" hidden="1"/>
    <cellStyle name="Lien hypertexte visité" xfId="19162" builtinId="9" hidden="1"/>
    <cellStyle name="Lien hypertexte visité" xfId="18970" builtinId="9" hidden="1"/>
    <cellStyle name="Lien hypertexte visité" xfId="18778" builtinId="9" hidden="1"/>
    <cellStyle name="Lien hypertexte visité" xfId="18650" builtinId="9" hidden="1"/>
    <cellStyle name="Lien hypertexte visité" xfId="18458" builtinId="9" hidden="1"/>
    <cellStyle name="Lien hypertexte visité" xfId="18283" builtinId="9" hidden="1"/>
    <cellStyle name="Lien hypertexte visité" xfId="18155" builtinId="9" hidden="1"/>
    <cellStyle name="Lien hypertexte visité" xfId="17963" builtinId="9" hidden="1"/>
    <cellStyle name="Lien hypertexte visité" xfId="17771" builtinId="9" hidden="1"/>
    <cellStyle name="Lien hypertexte visité" xfId="17643" builtinId="9" hidden="1"/>
    <cellStyle name="Lien hypertexte visité" xfId="17451" builtinId="9" hidden="1"/>
    <cellStyle name="Lien hypertexte visité" xfId="17331" builtinId="9" hidden="1"/>
    <cellStyle name="Lien hypertexte visité" xfId="17371" builtinId="9" hidden="1"/>
    <cellStyle name="Lien hypertexte visité" xfId="17435" builtinId="9" hidden="1"/>
    <cellStyle name="Lien hypertexte visité" xfId="17499" builtinId="9" hidden="1"/>
    <cellStyle name="Lien hypertexte visité" xfId="17539" builtinId="9" hidden="1"/>
    <cellStyle name="Lien hypertexte visité" xfId="17603" builtinId="9" hidden="1"/>
    <cellStyle name="Lien hypertexte visité" xfId="17667" builtinId="9" hidden="1"/>
    <cellStyle name="Lien hypertexte visité" xfId="17715" builtinId="9" hidden="1"/>
    <cellStyle name="Lien hypertexte visité" xfId="17779" builtinId="9" hidden="1"/>
    <cellStyle name="Lien hypertexte visité" xfId="17843" builtinId="9" hidden="1"/>
    <cellStyle name="Lien hypertexte visité" xfId="17883" builtinId="9" hidden="1"/>
    <cellStyle name="Lien hypertexte visité" xfId="17947" builtinId="9" hidden="1"/>
    <cellStyle name="Lien hypertexte visité" xfId="18011" builtinId="9" hidden="1"/>
    <cellStyle name="Lien hypertexte visité" xfId="18051" builtinId="9" hidden="1"/>
    <cellStyle name="Lien hypertexte visité" xfId="18115" builtinId="9" hidden="1"/>
    <cellStyle name="Lien hypertexte visité" xfId="18179" builtinId="9" hidden="1"/>
    <cellStyle name="Lien hypertexte visité" xfId="18227" builtinId="9" hidden="1"/>
    <cellStyle name="Lien hypertexte visité" xfId="18291" builtinId="9" hidden="1"/>
    <cellStyle name="Lien hypertexte visité" xfId="18338" builtinId="9" hidden="1"/>
    <cellStyle name="Lien hypertexte visité" xfId="18378" builtinId="9" hidden="1"/>
    <cellStyle name="Lien hypertexte visité" xfId="18442" builtinId="9" hidden="1"/>
    <cellStyle name="Lien hypertexte visité" xfId="18506" builtinId="9" hidden="1"/>
    <cellStyle name="Lien hypertexte visité" xfId="18546" builtinId="9" hidden="1"/>
    <cellStyle name="Lien hypertexte visité" xfId="18610" builtinId="9" hidden="1"/>
    <cellStyle name="Lien hypertexte visité" xfId="18674" builtinId="9" hidden="1"/>
    <cellStyle name="Lien hypertexte visité" xfId="18722" builtinId="9" hidden="1"/>
    <cellStyle name="Lien hypertexte visité" xfId="18786" builtinId="9" hidden="1"/>
    <cellStyle name="Lien hypertexte visité" xfId="18850" builtinId="9" hidden="1"/>
    <cellStyle name="Lien hypertexte visité" xfId="18890" builtinId="9" hidden="1"/>
    <cellStyle name="Lien hypertexte visité" xfId="18954" builtinId="9" hidden="1"/>
    <cellStyle name="Lien hypertexte visité" xfId="19018" builtinId="9" hidden="1"/>
    <cellStyle name="Lien hypertexte visité" xfId="19058" builtinId="9" hidden="1"/>
    <cellStyle name="Lien hypertexte visité" xfId="19122" builtinId="9" hidden="1"/>
    <cellStyle name="Lien hypertexte visité" xfId="19186" builtinId="9" hidden="1"/>
    <cellStyle name="Lien hypertexte visité" xfId="19234" builtinId="9" hidden="1"/>
    <cellStyle name="Lien hypertexte visité" xfId="19298" builtinId="9" hidden="1"/>
    <cellStyle name="Lien hypertexte visité" xfId="19362" builtinId="9" hidden="1"/>
    <cellStyle name="Lien hypertexte visité" xfId="19402" builtinId="9" hidden="1"/>
    <cellStyle name="Lien hypertexte visité" xfId="19466" builtinId="9" hidden="1"/>
    <cellStyle name="Lien hypertexte visité" xfId="19530" builtinId="9" hidden="1"/>
    <cellStyle name="Lien hypertexte visité" xfId="19570" builtinId="9" hidden="1"/>
    <cellStyle name="Lien hypertexte visité" xfId="19634" builtinId="9" hidden="1"/>
    <cellStyle name="Lien hypertexte visité" xfId="19698" builtinId="9" hidden="1"/>
    <cellStyle name="Lien hypertexte visité" xfId="19746" builtinId="9" hidden="1"/>
    <cellStyle name="Lien hypertexte visité" xfId="19810" builtinId="9" hidden="1"/>
    <cellStyle name="Lien hypertexte visité" xfId="19874" builtinId="9" hidden="1"/>
    <cellStyle name="Lien hypertexte visité" xfId="19914" builtinId="9" hidden="1"/>
    <cellStyle name="Lien hypertexte visité" xfId="19978" builtinId="9" hidden="1"/>
    <cellStyle name="Lien hypertexte visité" xfId="20042" builtinId="9" hidden="1"/>
    <cellStyle name="Lien hypertexte visité" xfId="20082" builtinId="9" hidden="1"/>
    <cellStyle name="Lien hypertexte visité" xfId="20146" builtinId="9" hidden="1"/>
    <cellStyle name="Lien hypertexte visité" xfId="20210" builtinId="9" hidden="1"/>
    <cellStyle name="Lien hypertexte visité" xfId="20258" builtinId="9" hidden="1"/>
    <cellStyle name="Lien hypertexte visité" xfId="20322" builtinId="9" hidden="1"/>
    <cellStyle name="Lien hypertexte visité" xfId="20386" builtinId="9" hidden="1"/>
    <cellStyle name="Lien hypertexte visité" xfId="20426" builtinId="9" hidden="1"/>
    <cellStyle name="Lien hypertexte visité" xfId="20490" builtinId="9" hidden="1"/>
    <cellStyle name="Lien hypertexte visité" xfId="20554" builtinId="9" hidden="1"/>
    <cellStyle name="Lien hypertexte visité" xfId="20594" builtinId="9" hidden="1"/>
    <cellStyle name="Lien hypertexte visité" xfId="20658" builtinId="9" hidden="1"/>
    <cellStyle name="Lien hypertexte visité" xfId="20722" builtinId="9" hidden="1"/>
    <cellStyle name="Lien hypertexte visité" xfId="20770" builtinId="9" hidden="1"/>
    <cellStyle name="Lien hypertexte visité" xfId="20834" builtinId="9" hidden="1"/>
    <cellStyle name="Lien hypertexte visité" xfId="20898" builtinId="9" hidden="1"/>
    <cellStyle name="Lien hypertexte visité" xfId="20938" builtinId="9" hidden="1"/>
    <cellStyle name="Lien hypertexte visité" xfId="21002" builtinId="9" hidden="1"/>
    <cellStyle name="Lien hypertexte visité" xfId="21066" builtinId="9" hidden="1"/>
    <cellStyle name="Lien hypertexte visité" xfId="21106" builtinId="9" hidden="1"/>
    <cellStyle name="Lien hypertexte visité" xfId="21170" builtinId="9" hidden="1"/>
    <cellStyle name="Lien hypertexte visité" xfId="21234" builtinId="9" hidden="1"/>
    <cellStyle name="Lien hypertexte visité" xfId="21282" builtinId="9" hidden="1"/>
    <cellStyle name="Lien hypertexte visité" xfId="21346" builtinId="9" hidden="1"/>
    <cellStyle name="Lien hypertexte visité" xfId="21410" builtinId="9" hidden="1"/>
    <cellStyle name="Lien hypertexte visité" xfId="21450" builtinId="9" hidden="1"/>
    <cellStyle name="Lien hypertexte visité" xfId="21514" builtinId="9" hidden="1"/>
    <cellStyle name="Lien hypertexte visité" xfId="21578" builtinId="9" hidden="1"/>
    <cellStyle name="Lien hypertexte visité" xfId="21618" builtinId="9" hidden="1"/>
    <cellStyle name="Lien hypertexte visité" xfId="21682" builtinId="9" hidden="1"/>
    <cellStyle name="Lien hypertexte visité" xfId="21746" builtinId="9" hidden="1"/>
    <cellStyle name="Lien hypertexte visité" xfId="21794" builtinId="9" hidden="1"/>
    <cellStyle name="Lien hypertexte visité" xfId="21858" builtinId="9" hidden="1"/>
    <cellStyle name="Lien hypertexte visité" xfId="21922" builtinId="9" hidden="1"/>
    <cellStyle name="Lien hypertexte visité" xfId="21962" builtinId="9" hidden="1"/>
    <cellStyle name="Lien hypertexte visité" xfId="22026" builtinId="9" hidden="1"/>
    <cellStyle name="Lien hypertexte visité" xfId="22090" builtinId="9" hidden="1"/>
    <cellStyle name="Lien hypertexte visité" xfId="22130" builtinId="9" hidden="1"/>
    <cellStyle name="Lien hypertexte visité" xfId="22194" builtinId="9" hidden="1"/>
    <cellStyle name="Lien hypertexte visité" xfId="22258" builtinId="9" hidden="1"/>
    <cellStyle name="Lien hypertexte visité" xfId="22306" builtinId="9" hidden="1"/>
    <cellStyle name="Lien hypertexte visité" xfId="22370" builtinId="9" hidden="1"/>
    <cellStyle name="Lien hypertexte visité" xfId="22434" builtinId="9" hidden="1"/>
    <cellStyle name="Lien hypertexte visité" xfId="22474" builtinId="9" hidden="1"/>
    <cellStyle name="Lien hypertexte visité" xfId="22538" builtinId="9" hidden="1"/>
    <cellStyle name="Lien hypertexte visité" xfId="22602" builtinId="9" hidden="1"/>
    <cellStyle name="Lien hypertexte visité" xfId="22642" builtinId="9" hidden="1"/>
    <cellStyle name="Lien hypertexte visité" xfId="22706" builtinId="9" hidden="1"/>
    <cellStyle name="Lien hypertexte visité" xfId="22770" builtinId="9" hidden="1"/>
    <cellStyle name="Lien hypertexte visité" xfId="22818" builtinId="9" hidden="1"/>
    <cellStyle name="Lien hypertexte visité" xfId="22882" builtinId="9" hidden="1"/>
    <cellStyle name="Lien hypertexte visité" xfId="22946" builtinId="9" hidden="1"/>
    <cellStyle name="Lien hypertexte visité" xfId="22986" builtinId="9" hidden="1"/>
    <cellStyle name="Lien hypertexte visité" xfId="23050" builtinId="9" hidden="1"/>
    <cellStyle name="Lien hypertexte visité" xfId="23114" builtinId="9" hidden="1"/>
    <cellStyle name="Lien hypertexte visité" xfId="23154" builtinId="9" hidden="1"/>
    <cellStyle name="Lien hypertexte visité" xfId="23218" builtinId="9" hidden="1"/>
    <cellStyle name="Lien hypertexte visité" xfId="23282" builtinId="9" hidden="1"/>
    <cellStyle name="Lien hypertexte visité" xfId="23330" builtinId="9" hidden="1"/>
    <cellStyle name="Lien hypertexte visité" xfId="23394" builtinId="9" hidden="1"/>
    <cellStyle name="Lien hypertexte visité" xfId="23458" builtinId="9" hidden="1"/>
    <cellStyle name="Lien hypertexte visité" xfId="23498" builtinId="9" hidden="1"/>
    <cellStyle name="Lien hypertexte visité" xfId="23562" builtinId="9" hidden="1"/>
    <cellStyle name="Lien hypertexte visité" xfId="23626" builtinId="9" hidden="1"/>
    <cellStyle name="Lien hypertexte visité" xfId="23666" builtinId="9" hidden="1"/>
    <cellStyle name="Lien hypertexte visité" xfId="23730" builtinId="9" hidden="1"/>
    <cellStyle name="Lien hypertexte visité" xfId="23794" builtinId="9" hidden="1"/>
    <cellStyle name="Lien hypertexte visité" xfId="23842" builtinId="9" hidden="1"/>
    <cellStyle name="Lien hypertexte visité" xfId="23906" builtinId="9" hidden="1"/>
    <cellStyle name="Lien hypertexte visité" xfId="23970" builtinId="9" hidden="1"/>
    <cellStyle name="Lien hypertexte visité" xfId="24010" builtinId="9" hidden="1"/>
    <cellStyle name="Lien hypertexte visité" xfId="24074" builtinId="9" hidden="1"/>
    <cellStyle name="Lien hypertexte visité" xfId="24138" builtinId="9" hidden="1"/>
    <cellStyle name="Lien hypertexte visité" xfId="24178" builtinId="9" hidden="1"/>
    <cellStyle name="Lien hypertexte visité" xfId="24242" builtinId="9" hidden="1"/>
    <cellStyle name="Lien hypertexte visité" xfId="24306" builtinId="9" hidden="1"/>
    <cellStyle name="Lien hypertexte visité" xfId="24354" builtinId="9" hidden="1"/>
    <cellStyle name="Lien hypertexte visité" xfId="24418" builtinId="9" hidden="1"/>
    <cellStyle name="Lien hypertexte visité" xfId="24482" builtinId="9" hidden="1"/>
    <cellStyle name="Lien hypertexte visité" xfId="24522" builtinId="9" hidden="1"/>
    <cellStyle name="Lien hypertexte visité" xfId="24586" builtinId="9" hidden="1"/>
    <cellStyle name="Lien hypertexte visité" xfId="24576" builtinId="9" hidden="1"/>
    <cellStyle name="Lien hypertexte visité" xfId="24536" builtinId="9" hidden="1"/>
    <cellStyle name="Lien hypertexte visité" xfId="24472" builtinId="9" hidden="1"/>
    <cellStyle name="Lien hypertexte visité" xfId="24408" builtinId="9" hidden="1"/>
    <cellStyle name="Lien hypertexte visité" xfId="24360" builtinId="9" hidden="1"/>
    <cellStyle name="Lien hypertexte visité" xfId="24296" builtinId="9" hidden="1"/>
    <cellStyle name="Lien hypertexte visité" xfId="24232" builtinId="9" hidden="1"/>
    <cellStyle name="Lien hypertexte visité" xfId="24192" builtinId="9" hidden="1"/>
    <cellStyle name="Lien hypertexte visité" xfId="24128" builtinId="9" hidden="1"/>
    <cellStyle name="Lien hypertexte visité" xfId="24064" builtinId="9" hidden="1"/>
    <cellStyle name="Lien hypertexte visité" xfId="24024" builtinId="9" hidden="1"/>
    <cellStyle name="Lien hypertexte visité" xfId="23960" builtinId="9" hidden="1"/>
    <cellStyle name="Lien hypertexte visité" xfId="23896" builtinId="9" hidden="1"/>
    <cellStyle name="Lien hypertexte visité" xfId="23848" builtinId="9" hidden="1"/>
    <cellStyle name="Lien hypertexte visité" xfId="23784" builtinId="9" hidden="1"/>
    <cellStyle name="Lien hypertexte visité" xfId="23720" builtinId="9" hidden="1"/>
    <cellStyle name="Lien hypertexte visité" xfId="23680" builtinId="9" hidden="1"/>
    <cellStyle name="Lien hypertexte visité" xfId="23616" builtinId="9" hidden="1"/>
    <cellStyle name="Lien hypertexte visité" xfId="23552" builtinId="9" hidden="1"/>
    <cellStyle name="Lien hypertexte visité" xfId="23512" builtinId="9" hidden="1"/>
    <cellStyle name="Lien hypertexte visité" xfId="23448" builtinId="9" hidden="1"/>
    <cellStyle name="Lien hypertexte visité" xfId="23384" builtinId="9" hidden="1"/>
    <cellStyle name="Lien hypertexte visité" xfId="23336" builtinId="9" hidden="1"/>
    <cellStyle name="Lien hypertexte visité" xfId="23272" builtinId="9" hidden="1"/>
    <cellStyle name="Lien hypertexte visité" xfId="23208" builtinId="9" hidden="1"/>
    <cellStyle name="Lien hypertexte visité" xfId="23168" builtinId="9" hidden="1"/>
    <cellStyle name="Lien hypertexte visité" xfId="23104" builtinId="9" hidden="1"/>
    <cellStyle name="Lien hypertexte visité" xfId="23040" builtinId="9" hidden="1"/>
    <cellStyle name="Lien hypertexte visité" xfId="23000" builtinId="9" hidden="1"/>
    <cellStyle name="Lien hypertexte visité" xfId="22936" builtinId="9" hidden="1"/>
    <cellStyle name="Lien hypertexte visité" xfId="22872" builtinId="9" hidden="1"/>
    <cellStyle name="Lien hypertexte visité" xfId="22824" builtinId="9" hidden="1"/>
    <cellStyle name="Lien hypertexte visité" xfId="22760" builtinId="9" hidden="1"/>
    <cellStyle name="Lien hypertexte visité" xfId="22696" builtinId="9" hidden="1"/>
    <cellStyle name="Lien hypertexte visité" xfId="22656" builtinId="9" hidden="1"/>
    <cellStyle name="Lien hypertexte visité" xfId="22592" builtinId="9" hidden="1"/>
    <cellStyle name="Lien hypertexte visité" xfId="22528" builtinId="9" hidden="1"/>
    <cellStyle name="Lien hypertexte visité" xfId="22488" builtinId="9" hidden="1"/>
    <cellStyle name="Lien hypertexte visité" xfId="22424" builtinId="9" hidden="1"/>
    <cellStyle name="Lien hypertexte visité" xfId="22360" builtinId="9" hidden="1"/>
    <cellStyle name="Lien hypertexte visité" xfId="22312" builtinId="9" hidden="1"/>
    <cellStyle name="Lien hypertexte visité" xfId="22248" builtinId="9" hidden="1"/>
    <cellStyle name="Lien hypertexte visité" xfId="22184" builtinId="9" hidden="1"/>
    <cellStyle name="Lien hypertexte visité" xfId="22144" builtinId="9" hidden="1"/>
    <cellStyle name="Lien hypertexte visité" xfId="22080" builtinId="9" hidden="1"/>
    <cellStyle name="Lien hypertexte visité" xfId="22016" builtinId="9" hidden="1"/>
    <cellStyle name="Lien hypertexte visité" xfId="21976" builtinId="9" hidden="1"/>
    <cellStyle name="Lien hypertexte visité" xfId="21912" builtinId="9" hidden="1"/>
    <cellStyle name="Lien hypertexte visité" xfId="21848" builtinId="9" hidden="1"/>
    <cellStyle name="Lien hypertexte visité" xfId="21800" builtinId="9" hidden="1"/>
    <cellStyle name="Lien hypertexte visité" xfId="21736" builtinId="9" hidden="1"/>
    <cellStyle name="Lien hypertexte visité" xfId="21672" builtinId="9" hidden="1"/>
    <cellStyle name="Lien hypertexte visité" xfId="21632" builtinId="9" hidden="1"/>
    <cellStyle name="Lien hypertexte visité" xfId="21568" builtinId="9" hidden="1"/>
    <cellStyle name="Lien hypertexte visité" xfId="21504" builtinId="9" hidden="1"/>
    <cellStyle name="Lien hypertexte visité" xfId="21464" builtinId="9" hidden="1"/>
    <cellStyle name="Lien hypertexte visité" xfId="21400" builtinId="9" hidden="1"/>
    <cellStyle name="Lien hypertexte visité" xfId="21336" builtinId="9" hidden="1"/>
    <cellStyle name="Lien hypertexte visité" xfId="21288" builtinId="9" hidden="1"/>
    <cellStyle name="Lien hypertexte visité" xfId="21224" builtinId="9" hidden="1"/>
    <cellStyle name="Lien hypertexte visité" xfId="21160" builtinId="9" hidden="1"/>
    <cellStyle name="Lien hypertexte visité" xfId="21120" builtinId="9" hidden="1"/>
    <cellStyle name="Lien hypertexte visité" xfId="21056" builtinId="9" hidden="1"/>
    <cellStyle name="Lien hypertexte visité" xfId="20992" builtinId="9" hidden="1"/>
    <cellStyle name="Lien hypertexte visité" xfId="20952" builtinId="9" hidden="1"/>
    <cellStyle name="Lien hypertexte visité" xfId="20888" builtinId="9" hidden="1"/>
    <cellStyle name="Lien hypertexte visité" xfId="20824" builtinId="9" hidden="1"/>
    <cellStyle name="Lien hypertexte visité" xfId="20776" builtinId="9" hidden="1"/>
    <cellStyle name="Lien hypertexte visité" xfId="20712" builtinId="9" hidden="1"/>
    <cellStyle name="Lien hypertexte visité" xfId="20648" builtinId="9" hidden="1"/>
    <cellStyle name="Lien hypertexte visité" xfId="20608" builtinId="9" hidden="1"/>
    <cellStyle name="Lien hypertexte visité" xfId="20544" builtinId="9" hidden="1"/>
    <cellStyle name="Lien hypertexte visité" xfId="20480" builtinId="9" hidden="1"/>
    <cellStyle name="Lien hypertexte visité" xfId="20440" builtinId="9" hidden="1"/>
    <cellStyle name="Lien hypertexte visité" xfId="20376" builtinId="9" hidden="1"/>
    <cellStyle name="Lien hypertexte visité" xfId="20312" builtinId="9" hidden="1"/>
    <cellStyle name="Lien hypertexte visité" xfId="20264" builtinId="9" hidden="1"/>
    <cellStyle name="Lien hypertexte visité" xfId="20200" builtinId="9" hidden="1"/>
    <cellStyle name="Lien hypertexte visité" xfId="20136" builtinId="9" hidden="1"/>
    <cellStyle name="Lien hypertexte visité" xfId="20096" builtinId="9" hidden="1"/>
    <cellStyle name="Lien hypertexte visité" xfId="20032" builtinId="9" hidden="1"/>
    <cellStyle name="Lien hypertexte visité" xfId="19968" builtinId="9" hidden="1"/>
    <cellStyle name="Lien hypertexte visité" xfId="19928" builtinId="9" hidden="1"/>
    <cellStyle name="Lien hypertexte visité" xfId="19864" builtinId="9" hidden="1"/>
    <cellStyle name="Lien hypertexte visité" xfId="19800" builtinId="9" hidden="1"/>
    <cellStyle name="Lien hypertexte visité" xfId="19752" builtinId="9" hidden="1"/>
    <cellStyle name="Lien hypertexte visité" xfId="19688" builtinId="9" hidden="1"/>
    <cellStyle name="Lien hypertexte visité" xfId="19624" builtinId="9" hidden="1"/>
    <cellStyle name="Lien hypertexte visité" xfId="19584" builtinId="9" hidden="1"/>
    <cellStyle name="Lien hypertexte visité" xfId="19520" builtinId="9" hidden="1"/>
    <cellStyle name="Lien hypertexte visité" xfId="19456" builtinId="9" hidden="1"/>
    <cellStyle name="Lien hypertexte visité" xfId="19416" builtinId="9" hidden="1"/>
    <cellStyle name="Lien hypertexte visité" xfId="19352" builtinId="9" hidden="1"/>
    <cellStyle name="Lien hypertexte visité" xfId="19288" builtinId="9" hidden="1"/>
    <cellStyle name="Lien hypertexte visité" xfId="19240" builtinId="9" hidden="1"/>
    <cellStyle name="Lien hypertexte visité" xfId="19176" builtinId="9" hidden="1"/>
    <cellStyle name="Lien hypertexte visité" xfId="19112" builtinId="9" hidden="1"/>
    <cellStyle name="Lien hypertexte visité" xfId="19072" builtinId="9" hidden="1"/>
    <cellStyle name="Lien hypertexte visité" xfId="19008" builtinId="9" hidden="1"/>
    <cellStyle name="Lien hypertexte visité" xfId="18944" builtinId="9" hidden="1"/>
    <cellStyle name="Lien hypertexte visité" xfId="18904" builtinId="9" hidden="1"/>
    <cellStyle name="Lien hypertexte visité" xfId="18840" builtinId="9" hidden="1"/>
    <cellStyle name="Lien hypertexte visité" xfId="18776" builtinId="9" hidden="1"/>
    <cellStyle name="Lien hypertexte visité" xfId="18728" builtinId="9" hidden="1"/>
    <cellStyle name="Lien hypertexte visité" xfId="18664" builtinId="9" hidden="1"/>
    <cellStyle name="Lien hypertexte visité" xfId="18600" builtinId="9" hidden="1"/>
    <cellStyle name="Lien hypertexte visité" xfId="18560" builtinId="9" hidden="1"/>
    <cellStyle name="Lien hypertexte visité" xfId="18496" builtinId="9" hidden="1"/>
    <cellStyle name="Lien hypertexte visité" xfId="18432" builtinId="9" hidden="1"/>
    <cellStyle name="Lien hypertexte visité" xfId="18392" builtinId="9" hidden="1"/>
    <cellStyle name="Lien hypertexte visité" xfId="18328" builtinId="9" hidden="1"/>
    <cellStyle name="Lien hypertexte visité" xfId="18281" builtinId="9" hidden="1"/>
    <cellStyle name="Lien hypertexte visité" xfId="18233" builtinId="9" hidden="1"/>
    <cellStyle name="Lien hypertexte visité" xfId="18169" builtinId="9" hidden="1"/>
    <cellStyle name="Lien hypertexte visité" xfId="18105" builtinId="9" hidden="1"/>
    <cellStyle name="Lien hypertexte visité" xfId="18065" builtinId="9" hidden="1"/>
    <cellStyle name="Lien hypertexte visité" xfId="18001" builtinId="9" hidden="1"/>
    <cellStyle name="Lien hypertexte visité" xfId="17937" builtinId="9" hidden="1"/>
    <cellStyle name="Lien hypertexte visité" xfId="17897" builtinId="9" hidden="1"/>
    <cellStyle name="Lien hypertexte visité" xfId="17833" builtinId="9" hidden="1"/>
    <cellStyle name="Lien hypertexte visité" xfId="17769" builtinId="9" hidden="1"/>
    <cellStyle name="Lien hypertexte visité" xfId="17721" builtinId="9" hidden="1"/>
    <cellStyle name="Lien hypertexte visité" xfId="17657" builtinId="9" hidden="1"/>
    <cellStyle name="Lien hypertexte visité" xfId="17593" builtinId="9" hidden="1"/>
    <cellStyle name="Lien hypertexte visité" xfId="17553" builtinId="9" hidden="1"/>
    <cellStyle name="Lien hypertexte visité" xfId="17489" builtinId="9" hidden="1"/>
    <cellStyle name="Lien hypertexte visité" xfId="17425" builtinId="9" hidden="1"/>
    <cellStyle name="Lien hypertexte visité" xfId="17385" builtinId="9" hidden="1"/>
    <cellStyle name="Lien hypertexte visité" xfId="17321" builtinId="9" hidden="1"/>
    <cellStyle name="Lien hypertexte visité" xfId="17257" builtinId="9" hidden="1"/>
    <cellStyle name="Lien hypertexte visité" xfId="17209" builtinId="9" hidden="1"/>
    <cellStyle name="Lien hypertexte visité" xfId="17145" builtinId="9" hidden="1"/>
    <cellStyle name="Lien hypertexte visité" xfId="17081" builtinId="9" hidden="1"/>
    <cellStyle name="Lien hypertexte visité" xfId="17041" builtinId="9" hidden="1"/>
    <cellStyle name="Lien hypertexte visité" xfId="16977" builtinId="9" hidden="1"/>
    <cellStyle name="Lien hypertexte visité" xfId="16913" builtinId="9" hidden="1"/>
    <cellStyle name="Lien hypertexte visité" xfId="16873" builtinId="9" hidden="1"/>
    <cellStyle name="Lien hypertexte visité" xfId="16809" builtinId="9" hidden="1"/>
    <cellStyle name="Lien hypertexte visité" xfId="16745" builtinId="9" hidden="1"/>
    <cellStyle name="Lien hypertexte visité" xfId="16697" builtinId="9" hidden="1"/>
    <cellStyle name="Lien hypertexte visité" xfId="16633" builtinId="9" hidden="1"/>
    <cellStyle name="Lien hypertexte visité" xfId="16569" builtinId="9" hidden="1"/>
    <cellStyle name="Lien hypertexte visité" xfId="16529" builtinId="9" hidden="1"/>
    <cellStyle name="Lien hypertexte visité" xfId="16465" builtinId="9" hidden="1"/>
    <cellStyle name="Lien hypertexte visité" xfId="16401" builtinId="9" hidden="1"/>
    <cellStyle name="Lien hypertexte visité" xfId="16361" builtinId="9" hidden="1"/>
    <cellStyle name="Lien hypertexte visité" xfId="16297" builtinId="9" hidden="1"/>
    <cellStyle name="Lien hypertexte visité" xfId="16233" builtinId="9" hidden="1"/>
    <cellStyle name="Lien hypertexte visité" xfId="16185" builtinId="9" hidden="1"/>
    <cellStyle name="Lien hypertexte visité" xfId="16121" builtinId="9" hidden="1"/>
    <cellStyle name="Lien hypertexte visité" xfId="16057" builtinId="9" hidden="1"/>
    <cellStyle name="Lien hypertexte visité" xfId="16017" builtinId="9" hidden="1"/>
    <cellStyle name="Lien hypertexte visité" xfId="15953" builtinId="9" hidden="1"/>
    <cellStyle name="Lien hypertexte visité" xfId="15889" builtinId="9" hidden="1"/>
    <cellStyle name="Lien hypertexte visité" xfId="15849" builtinId="9" hidden="1"/>
    <cellStyle name="Lien hypertexte visité" xfId="15785" builtinId="9" hidden="1"/>
    <cellStyle name="Lien hypertexte visité" xfId="15721" builtinId="9" hidden="1"/>
    <cellStyle name="Lien hypertexte visité" xfId="15673" builtinId="9" hidden="1"/>
    <cellStyle name="Lien hypertexte visité" xfId="15609" builtinId="9" hidden="1"/>
    <cellStyle name="Lien hypertexte visité" xfId="15545" builtinId="9" hidden="1"/>
    <cellStyle name="Lien hypertexte visité" xfId="15505" builtinId="9" hidden="1"/>
    <cellStyle name="Lien hypertexte visité" xfId="15441" builtinId="9" hidden="1"/>
    <cellStyle name="Lien hypertexte visité" xfId="15377" builtinId="9" hidden="1"/>
    <cellStyle name="Lien hypertexte visité" xfId="15337" builtinId="9" hidden="1"/>
    <cellStyle name="Lien hypertexte visité" xfId="15273" builtinId="9" hidden="1"/>
    <cellStyle name="Lien hypertexte visité" xfId="15209" builtinId="9" hidden="1"/>
    <cellStyle name="Lien hypertexte visité" xfId="15161" builtinId="9" hidden="1"/>
    <cellStyle name="Lien hypertexte visité" xfId="15097" builtinId="9" hidden="1"/>
    <cellStyle name="Lien hypertexte visité" xfId="15033" builtinId="9" hidden="1"/>
    <cellStyle name="Lien hypertexte visité" xfId="14993" builtinId="9" hidden="1"/>
    <cellStyle name="Lien hypertexte visité" xfId="14929" builtinId="9" hidden="1"/>
    <cellStyle name="Lien hypertexte visité" xfId="14865" builtinId="9" hidden="1"/>
    <cellStyle name="Lien hypertexte visité" xfId="14825" builtinId="9" hidden="1"/>
    <cellStyle name="Lien hypertexte visité" xfId="14761" builtinId="9" hidden="1"/>
    <cellStyle name="Lien hypertexte visité" xfId="14697" builtinId="9" hidden="1"/>
    <cellStyle name="Lien hypertexte visité" xfId="14649" builtinId="9" hidden="1"/>
    <cellStyle name="Lien hypertexte visité" xfId="14585" builtinId="9" hidden="1"/>
    <cellStyle name="Lien hypertexte visité" xfId="14521" builtinId="9" hidden="1"/>
    <cellStyle name="Lien hypertexte visité" xfId="14498" builtinId="9" hidden="1"/>
    <cellStyle name="Lien hypertexte visité" xfId="14466" builtinId="9" hidden="1"/>
    <cellStyle name="Lien hypertexte visité" xfId="14434" builtinId="9" hidden="1"/>
    <cellStyle name="Lien hypertexte visité" xfId="14414" builtinId="9" hidden="1"/>
    <cellStyle name="Lien hypertexte visité" xfId="14382" builtinId="9" hidden="1"/>
    <cellStyle name="Lien hypertexte visité" xfId="14350" builtinId="9" hidden="1"/>
    <cellStyle name="Lien hypertexte visité" xfId="14326" builtinId="9" hidden="1"/>
    <cellStyle name="Lien hypertexte visité" xfId="14294" builtinId="9" hidden="1"/>
    <cellStyle name="Lien hypertexte visité" xfId="14262" builtinId="9" hidden="1"/>
    <cellStyle name="Lien hypertexte visité" xfId="14242" builtinId="9" hidden="1"/>
    <cellStyle name="Lien hypertexte visité" xfId="14210" builtinId="9" hidden="1"/>
    <cellStyle name="Lien hypertexte visité" xfId="14178" builtinId="9" hidden="1"/>
    <cellStyle name="Lien hypertexte visité" xfId="14158" builtinId="9" hidden="1"/>
    <cellStyle name="Lien hypertexte visité" xfId="14126" builtinId="9" hidden="1"/>
    <cellStyle name="Lien hypertexte visité" xfId="14094" builtinId="9" hidden="1"/>
    <cellStyle name="Lien hypertexte visité" xfId="14070" builtinId="9" hidden="1"/>
    <cellStyle name="Lien hypertexte visité" xfId="14038" builtinId="9" hidden="1"/>
    <cellStyle name="Lien hypertexte visité" xfId="14006" builtinId="9" hidden="1"/>
    <cellStyle name="Lien hypertexte visité" xfId="13986" builtinId="9" hidden="1"/>
    <cellStyle name="Lien hypertexte visité" xfId="13954" builtinId="9" hidden="1"/>
    <cellStyle name="Lien hypertexte visité" xfId="13922" builtinId="9" hidden="1"/>
    <cellStyle name="Lien hypertexte visité" xfId="13902" builtinId="9" hidden="1"/>
    <cellStyle name="Lien hypertexte visité" xfId="13870" builtinId="9" hidden="1"/>
    <cellStyle name="Lien hypertexte visité" xfId="13838" builtinId="9" hidden="1"/>
    <cellStyle name="Lien hypertexte visité" xfId="13814" builtinId="9" hidden="1"/>
    <cellStyle name="Lien hypertexte visité" xfId="13782" builtinId="9" hidden="1"/>
    <cellStyle name="Lien hypertexte visité" xfId="13750" builtinId="9" hidden="1"/>
    <cellStyle name="Lien hypertexte visité" xfId="13730" builtinId="9" hidden="1"/>
    <cellStyle name="Lien hypertexte visité" xfId="13698" builtinId="9" hidden="1"/>
    <cellStyle name="Lien hypertexte visité" xfId="13666" builtinId="9" hidden="1"/>
    <cellStyle name="Lien hypertexte visité" xfId="13646" builtinId="9" hidden="1"/>
    <cellStyle name="Lien hypertexte visité" xfId="13614" builtinId="9" hidden="1"/>
    <cellStyle name="Lien hypertexte visité" xfId="13582" builtinId="9" hidden="1"/>
    <cellStyle name="Lien hypertexte visité" xfId="13558" builtinId="9" hidden="1"/>
    <cellStyle name="Lien hypertexte visité" xfId="13526" builtinId="9" hidden="1"/>
    <cellStyle name="Lien hypertexte visité" xfId="13494" builtinId="9" hidden="1"/>
    <cellStyle name="Lien hypertexte visité" xfId="13474" builtinId="9" hidden="1"/>
    <cellStyle name="Lien hypertexte visité" xfId="13442" builtinId="9" hidden="1"/>
    <cellStyle name="Lien hypertexte visité" xfId="13410" builtinId="9" hidden="1"/>
    <cellStyle name="Lien hypertexte visité" xfId="13390" builtinId="9" hidden="1"/>
    <cellStyle name="Lien hypertexte visité" xfId="13358" builtinId="9" hidden="1"/>
    <cellStyle name="Lien hypertexte visité" xfId="13326" builtinId="9" hidden="1"/>
    <cellStyle name="Lien hypertexte visité" xfId="13302" builtinId="9" hidden="1"/>
    <cellStyle name="Lien hypertexte visité" xfId="13270" builtinId="9" hidden="1"/>
    <cellStyle name="Lien hypertexte visité" xfId="13238" builtinId="9" hidden="1"/>
    <cellStyle name="Lien hypertexte visité" xfId="13218" builtinId="9" hidden="1"/>
    <cellStyle name="Lien hypertexte visité" xfId="13186" builtinId="9" hidden="1"/>
    <cellStyle name="Lien hypertexte visité" xfId="13154" builtinId="9" hidden="1"/>
    <cellStyle name="Lien hypertexte visité" xfId="13134" builtinId="9" hidden="1"/>
    <cellStyle name="Lien hypertexte visité" xfId="13102" builtinId="9" hidden="1"/>
    <cellStyle name="Lien hypertexte visité" xfId="13070" builtinId="9" hidden="1"/>
    <cellStyle name="Lien hypertexte visité" xfId="13046" builtinId="9" hidden="1"/>
    <cellStyle name="Lien hypertexte visité" xfId="13014" builtinId="9" hidden="1"/>
    <cellStyle name="Lien hypertexte visité" xfId="12982" builtinId="9" hidden="1"/>
    <cellStyle name="Lien hypertexte visité" xfId="12962" builtinId="9" hidden="1"/>
    <cellStyle name="Lien hypertexte visité" xfId="12930" builtinId="9" hidden="1"/>
    <cellStyle name="Lien hypertexte visité" xfId="12898" builtinId="9" hidden="1"/>
    <cellStyle name="Lien hypertexte visité" xfId="12878" builtinId="9" hidden="1"/>
    <cellStyle name="Lien hypertexte visité" xfId="12846" builtinId="9" hidden="1"/>
    <cellStyle name="Lien hypertexte visité" xfId="12814" builtinId="9" hidden="1"/>
    <cellStyle name="Lien hypertexte visité" xfId="12790" builtinId="9" hidden="1"/>
    <cellStyle name="Lien hypertexte visité" xfId="12758" builtinId="9" hidden="1"/>
    <cellStyle name="Lien hypertexte visité" xfId="12726" builtinId="9" hidden="1"/>
    <cellStyle name="Lien hypertexte visité" xfId="12706" builtinId="9" hidden="1"/>
    <cellStyle name="Lien hypertexte visité" xfId="12674" builtinId="9" hidden="1"/>
    <cellStyle name="Lien hypertexte visité" xfId="12642" builtinId="9" hidden="1"/>
    <cellStyle name="Lien hypertexte visité" xfId="12622" builtinId="9" hidden="1"/>
    <cellStyle name="Lien hypertexte visité" xfId="12590" builtinId="9" hidden="1"/>
    <cellStyle name="Lien hypertexte visité" xfId="12558" builtinId="9" hidden="1"/>
    <cellStyle name="Lien hypertexte visité" xfId="12534" builtinId="9" hidden="1"/>
    <cellStyle name="Lien hypertexte visité" xfId="12502" builtinId="9" hidden="1"/>
    <cellStyle name="Lien hypertexte visité" xfId="12470" builtinId="9" hidden="1"/>
    <cellStyle name="Lien hypertexte visité" xfId="12450" builtinId="9" hidden="1"/>
    <cellStyle name="Lien hypertexte visité" xfId="12418" builtinId="9" hidden="1"/>
    <cellStyle name="Lien hypertexte visité" xfId="12386" builtinId="9" hidden="1"/>
    <cellStyle name="Lien hypertexte visité" xfId="12366" builtinId="9" hidden="1"/>
    <cellStyle name="Lien hypertexte visité" xfId="12334" builtinId="9" hidden="1"/>
    <cellStyle name="Lien hypertexte visité" xfId="12302" builtinId="9" hidden="1"/>
    <cellStyle name="Lien hypertexte visité" xfId="12278" builtinId="9" hidden="1"/>
    <cellStyle name="Lien hypertexte visité" xfId="12246" builtinId="9" hidden="1"/>
    <cellStyle name="Lien hypertexte visité" xfId="12214" builtinId="9" hidden="1"/>
    <cellStyle name="Lien hypertexte visité" xfId="12194" builtinId="9" hidden="1"/>
    <cellStyle name="Lien hypertexte visité" xfId="12162" builtinId="9" hidden="1"/>
    <cellStyle name="Lien hypertexte visité" xfId="12130" builtinId="9" hidden="1"/>
    <cellStyle name="Lien hypertexte visité" xfId="12110" builtinId="9" hidden="1"/>
    <cellStyle name="Lien hypertexte visité" xfId="12078" builtinId="9" hidden="1"/>
    <cellStyle name="Lien hypertexte visité" xfId="12046" builtinId="9" hidden="1"/>
    <cellStyle name="Lien hypertexte visité" xfId="12022" builtinId="9" hidden="1"/>
    <cellStyle name="Lien hypertexte visité" xfId="11990" builtinId="9" hidden="1"/>
    <cellStyle name="Lien hypertexte visité" xfId="11958" builtinId="9" hidden="1"/>
    <cellStyle name="Lien hypertexte visité" xfId="11938" builtinId="9" hidden="1"/>
    <cellStyle name="Lien hypertexte visité" xfId="11906" builtinId="9" hidden="1"/>
    <cellStyle name="Lien hypertexte visité" xfId="11874" builtinId="9" hidden="1"/>
    <cellStyle name="Lien hypertexte visité" xfId="11854" builtinId="9" hidden="1"/>
    <cellStyle name="Lien hypertexte visité" xfId="11822" builtinId="9" hidden="1"/>
    <cellStyle name="Lien hypertexte visité" xfId="11790" builtinId="9" hidden="1"/>
    <cellStyle name="Lien hypertexte visité" xfId="11766" builtinId="9" hidden="1"/>
    <cellStyle name="Lien hypertexte visité" xfId="11734" builtinId="9" hidden="1"/>
    <cellStyle name="Lien hypertexte visité" xfId="11702" builtinId="9" hidden="1"/>
    <cellStyle name="Lien hypertexte visité" xfId="11682" builtinId="9" hidden="1"/>
    <cellStyle name="Lien hypertexte visité" xfId="11650" builtinId="9" hidden="1"/>
    <cellStyle name="Lien hypertexte visité" xfId="11618" builtinId="9" hidden="1"/>
    <cellStyle name="Lien hypertexte visité" xfId="11598" builtinId="9" hidden="1"/>
    <cellStyle name="Lien hypertexte visité" xfId="11566" builtinId="9" hidden="1"/>
    <cellStyle name="Lien hypertexte visité" xfId="11534" builtinId="9" hidden="1"/>
    <cellStyle name="Lien hypertexte visité" xfId="11510" builtinId="9" hidden="1"/>
    <cellStyle name="Lien hypertexte visité" xfId="11478" builtinId="9" hidden="1"/>
    <cellStyle name="Lien hypertexte visité" xfId="11446" builtinId="9" hidden="1"/>
    <cellStyle name="Lien hypertexte visité" xfId="11426" builtinId="9" hidden="1"/>
    <cellStyle name="Lien hypertexte visité" xfId="11394" builtinId="9" hidden="1"/>
    <cellStyle name="Lien hypertexte visité" xfId="11362" builtinId="9" hidden="1"/>
    <cellStyle name="Lien hypertexte visité" xfId="11342" builtinId="9" hidden="1"/>
    <cellStyle name="Lien hypertexte visité" xfId="11310" builtinId="9" hidden="1"/>
    <cellStyle name="Lien hypertexte visité" xfId="11278" builtinId="9" hidden="1"/>
    <cellStyle name="Lien hypertexte visité" xfId="11254" builtinId="9" hidden="1"/>
    <cellStyle name="Lien hypertexte visité" xfId="11222" builtinId="9" hidden="1"/>
    <cellStyle name="Lien hypertexte visité" xfId="11190" builtinId="9" hidden="1"/>
    <cellStyle name="Lien hypertexte visité" xfId="11170" builtinId="9" hidden="1"/>
    <cellStyle name="Lien hypertexte visité" xfId="11138" builtinId="9" hidden="1"/>
    <cellStyle name="Lien hypertexte visité" xfId="11106" builtinId="9" hidden="1"/>
    <cellStyle name="Lien hypertexte visité" xfId="11086" builtinId="9" hidden="1"/>
    <cellStyle name="Lien hypertexte visité" xfId="11054" builtinId="9" hidden="1"/>
    <cellStyle name="Lien hypertexte visité" xfId="11022" builtinId="9" hidden="1"/>
    <cellStyle name="Lien hypertexte visité" xfId="10998" builtinId="9" hidden="1"/>
    <cellStyle name="Lien hypertexte visité" xfId="10966" builtinId="9" hidden="1"/>
    <cellStyle name="Lien hypertexte visité" xfId="10934" builtinId="9" hidden="1"/>
    <cellStyle name="Lien hypertexte visité" xfId="10914" builtinId="9" hidden="1"/>
    <cellStyle name="Lien hypertexte visité" xfId="10882" builtinId="9" hidden="1"/>
    <cellStyle name="Lien hypertexte visité" xfId="10850" builtinId="9" hidden="1"/>
    <cellStyle name="Lien hypertexte visité" xfId="10830" builtinId="9" hidden="1"/>
    <cellStyle name="Lien hypertexte visité" xfId="10798" builtinId="9" hidden="1"/>
    <cellStyle name="Lien hypertexte visité" xfId="10766" builtinId="9" hidden="1"/>
    <cellStyle name="Lien hypertexte visité" xfId="10742" builtinId="9" hidden="1"/>
    <cellStyle name="Lien hypertexte visité" xfId="10710" builtinId="9" hidden="1"/>
    <cellStyle name="Lien hypertexte visité" xfId="10678" builtinId="9" hidden="1"/>
    <cellStyle name="Lien hypertexte visité" xfId="10658" builtinId="9" hidden="1"/>
    <cellStyle name="Lien hypertexte visité" xfId="10626" builtinId="9" hidden="1"/>
    <cellStyle name="Lien hypertexte visité" xfId="10594" builtinId="9" hidden="1"/>
    <cellStyle name="Lien hypertexte visité" xfId="10574" builtinId="9" hidden="1"/>
    <cellStyle name="Lien hypertexte visité" xfId="10542" builtinId="9" hidden="1"/>
    <cellStyle name="Lien hypertexte visité" xfId="10510" builtinId="9" hidden="1"/>
    <cellStyle name="Lien hypertexte visité" xfId="10486" builtinId="9" hidden="1"/>
    <cellStyle name="Lien hypertexte visité" xfId="10454" builtinId="9" hidden="1"/>
    <cellStyle name="Lien hypertexte visité" xfId="10422" builtinId="9" hidden="1"/>
    <cellStyle name="Lien hypertexte visité" xfId="10402" builtinId="9" hidden="1"/>
    <cellStyle name="Lien hypertexte visité" xfId="10370" builtinId="9" hidden="1"/>
    <cellStyle name="Lien hypertexte visité" xfId="10338" builtinId="9" hidden="1"/>
    <cellStyle name="Lien hypertexte visité" xfId="10318" builtinId="9" hidden="1"/>
    <cellStyle name="Lien hypertexte visité" xfId="10286" builtinId="9" hidden="1"/>
    <cellStyle name="Lien hypertexte visité" xfId="10254" builtinId="9" hidden="1"/>
    <cellStyle name="Lien hypertexte visité" xfId="10230" builtinId="9" hidden="1"/>
    <cellStyle name="Lien hypertexte visité" xfId="10198" builtinId="9" hidden="1"/>
    <cellStyle name="Lien hypertexte visité" xfId="10166" builtinId="9" hidden="1"/>
    <cellStyle name="Lien hypertexte visité" xfId="10146" builtinId="9" hidden="1"/>
    <cellStyle name="Lien hypertexte visité" xfId="10114" builtinId="9" hidden="1"/>
    <cellStyle name="Lien hypertexte visité" xfId="10082" builtinId="9" hidden="1"/>
    <cellStyle name="Lien hypertexte visité" xfId="10062" builtinId="9" hidden="1"/>
    <cellStyle name="Lien hypertexte visité" xfId="10030" builtinId="9" hidden="1"/>
    <cellStyle name="Lien hypertexte visité" xfId="9998" builtinId="9" hidden="1"/>
    <cellStyle name="Lien hypertexte visité" xfId="9974" builtinId="9" hidden="1"/>
    <cellStyle name="Lien hypertexte visité" xfId="9942" builtinId="9" hidden="1"/>
    <cellStyle name="Lien hypertexte visité" xfId="9910" builtinId="9" hidden="1"/>
    <cellStyle name="Lien hypertexte visité" xfId="9890" builtinId="9" hidden="1"/>
    <cellStyle name="Lien hypertexte visité" xfId="9858" builtinId="9" hidden="1"/>
    <cellStyle name="Lien hypertexte visité" xfId="9826" builtinId="9" hidden="1"/>
    <cellStyle name="Lien hypertexte visité" xfId="9806" builtinId="9" hidden="1"/>
    <cellStyle name="Lien hypertexte visité" xfId="9774" builtinId="9" hidden="1"/>
    <cellStyle name="Lien hypertexte visité" xfId="9742" builtinId="9" hidden="1"/>
    <cellStyle name="Lien hypertexte visité" xfId="9718" builtinId="9" hidden="1"/>
    <cellStyle name="Lien hypertexte visité" xfId="9686" builtinId="9" hidden="1"/>
    <cellStyle name="Lien hypertexte visité" xfId="9654" builtinId="9" hidden="1"/>
    <cellStyle name="Lien hypertexte visité" xfId="9634" builtinId="9" hidden="1"/>
    <cellStyle name="Lien hypertexte visité" xfId="9602" builtinId="9" hidden="1"/>
    <cellStyle name="Lien hypertexte visité" xfId="9570" builtinId="9" hidden="1"/>
    <cellStyle name="Lien hypertexte visité" xfId="9550" builtinId="9" hidden="1"/>
    <cellStyle name="Lien hypertexte visité" xfId="9518" builtinId="9" hidden="1"/>
    <cellStyle name="Lien hypertexte visité" xfId="9486" builtinId="9" hidden="1"/>
    <cellStyle name="Lien hypertexte visité" xfId="9462" builtinId="9" hidden="1"/>
    <cellStyle name="Lien hypertexte visité" xfId="9430" builtinId="9" hidden="1"/>
    <cellStyle name="Lien hypertexte visité" xfId="9398" builtinId="9" hidden="1"/>
    <cellStyle name="Lien hypertexte visité" xfId="9378" builtinId="9" hidden="1"/>
    <cellStyle name="Lien hypertexte visité" xfId="9346" builtinId="9" hidden="1"/>
    <cellStyle name="Lien hypertexte visité" xfId="9314" builtinId="9" hidden="1"/>
    <cellStyle name="Lien hypertexte visité" xfId="9294" builtinId="9" hidden="1"/>
    <cellStyle name="Lien hypertexte visité" xfId="9262" builtinId="9" hidden="1"/>
    <cellStyle name="Lien hypertexte visité" xfId="9230" builtinId="9" hidden="1"/>
    <cellStyle name="Lien hypertexte visité" xfId="9206" builtinId="9" hidden="1"/>
    <cellStyle name="Lien hypertexte visité" xfId="9174" builtinId="9" hidden="1"/>
    <cellStyle name="Lien hypertexte visité" xfId="9142" builtinId="9" hidden="1"/>
    <cellStyle name="Lien hypertexte visité" xfId="9122" builtinId="9" hidden="1"/>
    <cellStyle name="Lien hypertexte visité" xfId="9090" builtinId="9" hidden="1"/>
    <cellStyle name="Lien hypertexte visité" xfId="9058" builtinId="9" hidden="1"/>
    <cellStyle name="Lien hypertexte visité" xfId="9038" builtinId="9" hidden="1"/>
    <cellStyle name="Lien hypertexte visité" xfId="9006" builtinId="9" hidden="1"/>
    <cellStyle name="Lien hypertexte visité" xfId="8974" builtinId="9" hidden="1"/>
    <cellStyle name="Lien hypertexte visité" xfId="8950" builtinId="9" hidden="1"/>
    <cellStyle name="Lien hypertexte visité" xfId="8918" builtinId="9" hidden="1"/>
    <cellStyle name="Lien hypertexte visité" xfId="8886" builtinId="9" hidden="1"/>
    <cellStyle name="Lien hypertexte visité" xfId="8866" builtinId="9" hidden="1"/>
    <cellStyle name="Lien hypertexte visité" xfId="8834" builtinId="9" hidden="1"/>
    <cellStyle name="Lien hypertexte visité" xfId="8802" builtinId="9" hidden="1"/>
    <cellStyle name="Lien hypertexte visité" xfId="8782" builtinId="9" hidden="1"/>
    <cellStyle name="Lien hypertexte visité" xfId="8750" builtinId="9" hidden="1"/>
    <cellStyle name="Lien hypertexte visité" xfId="8718" builtinId="9" hidden="1"/>
    <cellStyle name="Lien hypertexte visité" xfId="8694" builtinId="9" hidden="1"/>
    <cellStyle name="Lien hypertexte visité" xfId="8662" builtinId="9" hidden="1"/>
    <cellStyle name="Lien hypertexte visité" xfId="8630" builtinId="9" hidden="1"/>
    <cellStyle name="Lien hypertexte visité" xfId="8610" builtinId="9" hidden="1"/>
    <cellStyle name="Lien hypertexte visité" xfId="8578" builtinId="9" hidden="1"/>
    <cellStyle name="Lien hypertexte visité" xfId="8546" builtinId="9" hidden="1"/>
    <cellStyle name="Lien hypertexte visité" xfId="8526" builtinId="9" hidden="1"/>
    <cellStyle name="Lien hypertexte visité" xfId="8494" builtinId="9" hidden="1"/>
    <cellStyle name="Lien hypertexte visité" xfId="8462" builtinId="9" hidden="1"/>
    <cellStyle name="Lien hypertexte visité" xfId="8438" builtinId="9" hidden="1"/>
    <cellStyle name="Lien hypertexte visité" xfId="8406" builtinId="9" hidden="1"/>
    <cellStyle name="Lien hypertexte visité" xfId="8374" builtinId="9" hidden="1"/>
    <cellStyle name="Lien hypertexte visité" xfId="8354" builtinId="9" hidden="1"/>
    <cellStyle name="Lien hypertexte visité" xfId="8322" builtinId="9" hidden="1"/>
    <cellStyle name="Lien hypertexte visité" xfId="8290" builtinId="9" hidden="1"/>
    <cellStyle name="Lien hypertexte visité" xfId="8270" builtinId="9" hidden="1"/>
    <cellStyle name="Lien hypertexte visité" xfId="8238" builtinId="9" hidden="1"/>
    <cellStyle name="Lien hypertexte visité" xfId="17275" builtinId="9" hidden="1"/>
    <cellStyle name="Lien hypertexte visité" xfId="17211" builtinId="9" hidden="1"/>
    <cellStyle name="Lien hypertexte visité" xfId="17115" builtinId="9" hidden="1"/>
    <cellStyle name="Lien hypertexte visité" xfId="17019" builtinId="9" hidden="1"/>
    <cellStyle name="Lien hypertexte visité" xfId="16955" builtinId="9" hidden="1"/>
    <cellStyle name="Lien hypertexte visité" xfId="16859" builtinId="9" hidden="1"/>
    <cellStyle name="Lien hypertexte visité" xfId="16763" builtinId="9" hidden="1"/>
    <cellStyle name="Lien hypertexte visité" xfId="16699" builtinId="9" hidden="1"/>
    <cellStyle name="Lien hypertexte visité" xfId="16603" builtinId="9" hidden="1"/>
    <cellStyle name="Lien hypertexte visité" xfId="16507" builtinId="9" hidden="1"/>
    <cellStyle name="Lien hypertexte visité" xfId="16443" builtinId="9" hidden="1"/>
    <cellStyle name="Lien hypertexte visité" xfId="16347" builtinId="9" hidden="1"/>
    <cellStyle name="Lien hypertexte visité" xfId="16251" builtinId="9" hidden="1"/>
    <cellStyle name="Lien hypertexte visité" xfId="16187" builtinId="9" hidden="1"/>
    <cellStyle name="Lien hypertexte visité" xfId="16091" builtinId="9" hidden="1"/>
    <cellStyle name="Lien hypertexte visité" xfId="15995" builtinId="9" hidden="1"/>
    <cellStyle name="Lien hypertexte visité" xfId="15931" builtinId="9" hidden="1"/>
    <cellStyle name="Lien hypertexte visité" xfId="15835" builtinId="9" hidden="1"/>
    <cellStyle name="Lien hypertexte visité" xfId="15739" builtinId="9" hidden="1"/>
    <cellStyle name="Lien hypertexte visité" xfId="15675" builtinId="9" hidden="1"/>
    <cellStyle name="Lien hypertexte visité" xfId="15579" builtinId="9" hidden="1"/>
    <cellStyle name="Lien hypertexte visité" xfId="15483" builtinId="9" hidden="1"/>
    <cellStyle name="Lien hypertexte visité" xfId="15419" builtinId="9" hidden="1"/>
    <cellStyle name="Lien hypertexte visité" xfId="15323" builtinId="9" hidden="1"/>
    <cellStyle name="Lien hypertexte visité" xfId="15227" builtinId="9" hidden="1"/>
    <cellStyle name="Lien hypertexte visité" xfId="15163" builtinId="9" hidden="1"/>
    <cellStyle name="Lien hypertexte visité" xfId="15067" builtinId="9" hidden="1"/>
    <cellStyle name="Lien hypertexte visité" xfId="14971" builtinId="9" hidden="1"/>
    <cellStyle name="Lien hypertexte visité" xfId="14907" builtinId="9" hidden="1"/>
    <cellStyle name="Lien hypertexte visité" xfId="14811" builtinId="9" hidden="1"/>
    <cellStyle name="Lien hypertexte visité" xfId="14715" builtinId="9" hidden="1"/>
    <cellStyle name="Lien hypertexte visité" xfId="14651" builtinId="9" hidden="1"/>
    <cellStyle name="Lien hypertexte visité" xfId="14555" builtinId="9" hidden="1"/>
    <cellStyle name="Lien hypertexte visité" xfId="14487" builtinId="9" hidden="1"/>
    <cellStyle name="Lien hypertexte visité" xfId="14455" builtinId="9" hidden="1"/>
    <cellStyle name="Lien hypertexte visité" xfId="14407" builtinId="9" hidden="1"/>
    <cellStyle name="Lien hypertexte visité" xfId="14359" builtinId="9" hidden="1"/>
    <cellStyle name="Lien hypertexte visité" xfId="14327" builtinId="9" hidden="1"/>
    <cellStyle name="Lien hypertexte visité" xfId="14279" builtinId="9" hidden="1"/>
    <cellStyle name="Lien hypertexte visité" xfId="14231" builtinId="9" hidden="1"/>
    <cellStyle name="Lien hypertexte visité" xfId="14199" builtinId="9" hidden="1"/>
    <cellStyle name="Lien hypertexte visité" xfId="14151" builtinId="9" hidden="1"/>
    <cellStyle name="Lien hypertexte visité" xfId="14103" builtinId="9" hidden="1"/>
    <cellStyle name="Lien hypertexte visité" xfId="14071" builtinId="9" hidden="1"/>
    <cellStyle name="Lien hypertexte visité" xfId="14023" builtinId="9" hidden="1"/>
    <cellStyle name="Lien hypertexte visité" xfId="13975" builtinId="9" hidden="1"/>
    <cellStyle name="Lien hypertexte visité" xfId="13943" builtinId="9" hidden="1"/>
    <cellStyle name="Lien hypertexte visité" xfId="13895" builtinId="9" hidden="1"/>
    <cellStyle name="Lien hypertexte visité" xfId="13847" builtinId="9" hidden="1"/>
    <cellStyle name="Lien hypertexte visité" xfId="13815" builtinId="9" hidden="1"/>
    <cellStyle name="Lien hypertexte visité" xfId="13767" builtinId="9" hidden="1"/>
    <cellStyle name="Lien hypertexte visité" xfId="13719" builtinId="9" hidden="1"/>
    <cellStyle name="Lien hypertexte visité" xfId="13687" builtinId="9" hidden="1"/>
    <cellStyle name="Lien hypertexte visité" xfId="13639" builtinId="9" hidden="1"/>
    <cellStyle name="Lien hypertexte visité" xfId="13591" builtinId="9" hidden="1"/>
    <cellStyle name="Lien hypertexte visité" xfId="13559" builtinId="9" hidden="1"/>
    <cellStyle name="Lien hypertexte visité" xfId="13511" builtinId="9" hidden="1"/>
    <cellStyle name="Lien hypertexte visité" xfId="13463" builtinId="9" hidden="1"/>
    <cellStyle name="Lien hypertexte visité" xfId="13431" builtinId="9" hidden="1"/>
    <cellStyle name="Lien hypertexte visité" xfId="13383" builtinId="9" hidden="1"/>
    <cellStyle name="Lien hypertexte visité" xfId="13335" builtinId="9" hidden="1"/>
    <cellStyle name="Lien hypertexte visité" xfId="13303" builtinId="9" hidden="1"/>
    <cellStyle name="Lien hypertexte visité" xfId="13255" builtinId="9" hidden="1"/>
    <cellStyle name="Lien hypertexte visité" xfId="13207" builtinId="9" hidden="1"/>
    <cellStyle name="Lien hypertexte visité" xfId="13175" builtinId="9" hidden="1"/>
    <cellStyle name="Lien hypertexte visité" xfId="13127" builtinId="9" hidden="1"/>
    <cellStyle name="Lien hypertexte visité" xfId="13079" builtinId="9" hidden="1"/>
    <cellStyle name="Lien hypertexte visité" xfId="13047" builtinId="9" hidden="1"/>
    <cellStyle name="Lien hypertexte visité" xfId="12999" builtinId="9" hidden="1"/>
    <cellStyle name="Lien hypertexte visité" xfId="12951" builtinId="9" hidden="1"/>
    <cellStyle name="Lien hypertexte visité" xfId="12919" builtinId="9" hidden="1"/>
    <cellStyle name="Lien hypertexte visité" xfId="12871" builtinId="9" hidden="1"/>
    <cellStyle name="Lien hypertexte visité" xfId="12823" builtinId="9" hidden="1"/>
    <cellStyle name="Lien hypertexte visité" xfId="12791" builtinId="9" hidden="1"/>
    <cellStyle name="Lien hypertexte visité" xfId="12743" builtinId="9" hidden="1"/>
    <cellStyle name="Lien hypertexte visité" xfId="12695" builtinId="9" hidden="1"/>
    <cellStyle name="Lien hypertexte visité" xfId="12663" builtinId="9" hidden="1"/>
    <cellStyle name="Lien hypertexte visité" xfId="12615" builtinId="9" hidden="1"/>
    <cellStyle name="Lien hypertexte visité" xfId="12567" builtinId="9" hidden="1"/>
    <cellStyle name="Lien hypertexte visité" xfId="12535" builtinId="9" hidden="1"/>
    <cellStyle name="Lien hypertexte visité" xfId="12487" builtinId="9" hidden="1"/>
    <cellStyle name="Lien hypertexte visité" xfId="12439" builtinId="9" hidden="1"/>
    <cellStyle name="Lien hypertexte visité" xfId="12407" builtinId="9" hidden="1"/>
    <cellStyle name="Lien hypertexte visité" xfId="12359" builtinId="9" hidden="1"/>
    <cellStyle name="Lien hypertexte visité" xfId="12311" builtinId="9" hidden="1"/>
    <cellStyle name="Lien hypertexte visité" xfId="12279" builtinId="9" hidden="1"/>
    <cellStyle name="Lien hypertexte visité" xfId="12231" builtinId="9" hidden="1"/>
    <cellStyle name="Lien hypertexte visité" xfId="12183" builtinId="9" hidden="1"/>
    <cellStyle name="Lien hypertexte visité" xfId="12151" builtinId="9" hidden="1"/>
    <cellStyle name="Lien hypertexte visité" xfId="12103" builtinId="9" hidden="1"/>
    <cellStyle name="Lien hypertexte visité" xfId="12055" builtinId="9" hidden="1"/>
    <cellStyle name="Lien hypertexte visité" xfId="12023" builtinId="9" hidden="1"/>
    <cellStyle name="Lien hypertexte visité" xfId="11975" builtinId="9" hidden="1"/>
    <cellStyle name="Lien hypertexte visité" xfId="11927" builtinId="9" hidden="1"/>
    <cellStyle name="Lien hypertexte visité" xfId="11895" builtinId="9" hidden="1"/>
    <cellStyle name="Lien hypertexte visité" xfId="11847" builtinId="9" hidden="1"/>
    <cellStyle name="Lien hypertexte visité" xfId="11799" builtinId="9" hidden="1"/>
    <cellStyle name="Lien hypertexte visité" xfId="11767" builtinId="9" hidden="1"/>
    <cellStyle name="Lien hypertexte visité" xfId="11719" builtinId="9" hidden="1"/>
    <cellStyle name="Lien hypertexte visité" xfId="11671" builtinId="9" hidden="1"/>
    <cellStyle name="Lien hypertexte visité" xfId="11639" builtinId="9" hidden="1"/>
    <cellStyle name="Lien hypertexte visité" xfId="11591" builtinId="9" hidden="1"/>
    <cellStyle name="Lien hypertexte visité" xfId="11543" builtinId="9" hidden="1"/>
    <cellStyle name="Lien hypertexte visité" xfId="11511" builtinId="9" hidden="1"/>
    <cellStyle name="Lien hypertexte visité" xfId="11463" builtinId="9" hidden="1"/>
    <cellStyle name="Lien hypertexte visité" xfId="11415" builtinId="9" hidden="1"/>
    <cellStyle name="Lien hypertexte visité" xfId="11383" builtinId="9" hidden="1"/>
    <cellStyle name="Lien hypertexte visité" xfId="11335" builtinId="9" hidden="1"/>
    <cellStyle name="Lien hypertexte visité" xfId="11287" builtinId="9" hidden="1"/>
    <cellStyle name="Lien hypertexte visité" xfId="11255" builtinId="9" hidden="1"/>
    <cellStyle name="Lien hypertexte visité" xfId="11207" builtinId="9" hidden="1"/>
    <cellStyle name="Lien hypertexte visité" xfId="11159" builtinId="9" hidden="1"/>
    <cellStyle name="Lien hypertexte visité" xfId="11127" builtinId="9" hidden="1"/>
    <cellStyle name="Lien hypertexte visité" xfId="11079" builtinId="9" hidden="1"/>
    <cellStyle name="Lien hypertexte visité" xfId="11031" builtinId="9" hidden="1"/>
    <cellStyle name="Lien hypertexte visité" xfId="10999" builtinId="9" hidden="1"/>
    <cellStyle name="Lien hypertexte visité" xfId="10951" builtinId="9" hidden="1"/>
    <cellStyle name="Lien hypertexte visité" xfId="10903" builtinId="9" hidden="1"/>
    <cellStyle name="Lien hypertexte visité" xfId="10871" builtinId="9" hidden="1"/>
    <cellStyle name="Lien hypertexte visité" xfId="10823" builtinId="9" hidden="1"/>
    <cellStyle name="Lien hypertexte visité" xfId="10775" builtinId="9" hidden="1"/>
    <cellStyle name="Lien hypertexte visité" xfId="10743" builtinId="9" hidden="1"/>
    <cellStyle name="Lien hypertexte visité" xfId="10695" builtinId="9" hidden="1"/>
    <cellStyle name="Lien hypertexte visité" xfId="10647" builtinId="9" hidden="1"/>
    <cellStyle name="Lien hypertexte visité" xfId="10615" builtinId="9" hidden="1"/>
    <cellStyle name="Lien hypertexte visité" xfId="10567" builtinId="9" hidden="1"/>
    <cellStyle name="Lien hypertexte visité" xfId="10519" builtinId="9" hidden="1"/>
    <cellStyle name="Lien hypertexte visité" xfId="10487" builtinId="9" hidden="1"/>
    <cellStyle name="Lien hypertexte visité" xfId="10439" builtinId="9" hidden="1"/>
    <cellStyle name="Lien hypertexte visité" xfId="10391" builtinId="9" hidden="1"/>
    <cellStyle name="Lien hypertexte visité" xfId="10359" builtinId="9" hidden="1"/>
    <cellStyle name="Lien hypertexte visité" xfId="10311" builtinId="9" hidden="1"/>
    <cellStyle name="Lien hypertexte visité" xfId="10263" builtinId="9" hidden="1"/>
    <cellStyle name="Lien hypertexte visité" xfId="10231" builtinId="9" hidden="1"/>
    <cellStyle name="Lien hypertexte visité" xfId="10183" builtinId="9" hidden="1"/>
    <cellStyle name="Lien hypertexte visité" xfId="10135" builtinId="9" hidden="1"/>
    <cellStyle name="Lien hypertexte visité" xfId="10103" builtinId="9" hidden="1"/>
    <cellStyle name="Lien hypertexte visité" xfId="10055" builtinId="9" hidden="1"/>
    <cellStyle name="Lien hypertexte visité" xfId="10007" builtinId="9" hidden="1"/>
    <cellStyle name="Lien hypertexte visité" xfId="9975" builtinId="9" hidden="1"/>
    <cellStyle name="Lien hypertexte visité" xfId="9927" builtinId="9" hidden="1"/>
    <cellStyle name="Lien hypertexte visité" xfId="9879" builtinId="9" hidden="1"/>
    <cellStyle name="Lien hypertexte visité" xfId="9847" builtinId="9" hidden="1"/>
    <cellStyle name="Lien hypertexte visité" xfId="9799" builtinId="9" hidden="1"/>
    <cellStyle name="Lien hypertexte visité" xfId="9751" builtinId="9" hidden="1"/>
    <cellStyle name="Lien hypertexte visité" xfId="9719" builtinId="9" hidden="1"/>
    <cellStyle name="Lien hypertexte visité" xfId="9671" builtinId="9" hidden="1"/>
    <cellStyle name="Lien hypertexte visité" xfId="9623" builtinId="9" hidden="1"/>
    <cellStyle name="Lien hypertexte visité" xfId="9591" builtinId="9" hidden="1"/>
    <cellStyle name="Lien hypertexte visité" xfId="9543" builtinId="9" hidden="1"/>
    <cellStyle name="Lien hypertexte visité" xfId="9495" builtinId="9" hidden="1"/>
    <cellStyle name="Lien hypertexte visité" xfId="9463" builtinId="9" hidden="1"/>
    <cellStyle name="Lien hypertexte visité" xfId="9415" builtinId="9" hidden="1"/>
    <cellStyle name="Lien hypertexte visité" xfId="9367" builtinId="9" hidden="1"/>
    <cellStyle name="Lien hypertexte visité" xfId="9335" builtinId="9" hidden="1"/>
    <cellStyle name="Lien hypertexte visité" xfId="9287" builtinId="9" hidden="1"/>
    <cellStyle name="Lien hypertexte visité" xfId="9239" builtinId="9" hidden="1"/>
    <cellStyle name="Lien hypertexte visité" xfId="9207" builtinId="9" hidden="1"/>
    <cellStyle name="Lien hypertexte visité" xfId="9159" builtinId="9" hidden="1"/>
    <cellStyle name="Lien hypertexte visité" xfId="9111" builtinId="9" hidden="1"/>
    <cellStyle name="Lien hypertexte visité" xfId="9079" builtinId="9" hidden="1"/>
    <cellStyle name="Lien hypertexte visité" xfId="9031" builtinId="9" hidden="1"/>
    <cellStyle name="Lien hypertexte visité" xfId="8983" builtinId="9" hidden="1"/>
    <cellStyle name="Lien hypertexte visité" xfId="8951" builtinId="9" hidden="1"/>
    <cellStyle name="Lien hypertexte visité" xfId="8903" builtinId="9" hidden="1"/>
    <cellStyle name="Lien hypertexte visité" xfId="8855" builtinId="9" hidden="1"/>
    <cellStyle name="Lien hypertexte visité" xfId="8823" builtinId="9" hidden="1"/>
    <cellStyle name="Lien hypertexte visité" xfId="8775" builtinId="9" hidden="1"/>
    <cellStyle name="Lien hypertexte visité" xfId="8727" builtinId="9" hidden="1"/>
    <cellStyle name="Lien hypertexte visité" xfId="8695" builtinId="9" hidden="1"/>
    <cellStyle name="Lien hypertexte visité" xfId="8647" builtinId="9" hidden="1"/>
    <cellStyle name="Lien hypertexte visité" xfId="8599" builtinId="9" hidden="1"/>
    <cellStyle name="Lien hypertexte visité" xfId="8567" builtinId="9" hidden="1"/>
    <cellStyle name="Lien hypertexte visité" xfId="8519" builtinId="9" hidden="1"/>
    <cellStyle name="Lien hypertexte visité" xfId="8471" builtinId="9" hidden="1"/>
    <cellStyle name="Lien hypertexte visité" xfId="8439" builtinId="9" hidden="1"/>
    <cellStyle name="Lien hypertexte visité" xfId="8391" builtinId="9" hidden="1"/>
    <cellStyle name="Lien hypertexte visité" xfId="8343" builtinId="9" hidden="1"/>
    <cellStyle name="Lien hypertexte visité" xfId="8311" builtinId="9" hidden="1"/>
    <cellStyle name="Lien hypertexte visité" xfId="8263" builtinId="9" hidden="1"/>
    <cellStyle name="Lien hypertexte visité" xfId="8215" builtinId="9" hidden="1"/>
    <cellStyle name="Lien hypertexte visité" xfId="8183" builtinId="9" hidden="1"/>
    <cellStyle name="Lien hypertexte visité" xfId="8135" builtinId="9" hidden="1"/>
    <cellStyle name="Lien hypertexte visité" xfId="8087" builtinId="9" hidden="1"/>
    <cellStyle name="Lien hypertexte visité" xfId="8055" builtinId="9" hidden="1"/>
    <cellStyle name="Lien hypertexte visité" xfId="8007" builtinId="9" hidden="1"/>
    <cellStyle name="Lien hypertexte visité" xfId="7959" builtinId="9" hidden="1"/>
    <cellStyle name="Lien hypertexte visité" xfId="7927" builtinId="9" hidden="1"/>
    <cellStyle name="Lien hypertexte visité" xfId="7879" builtinId="9" hidden="1"/>
    <cellStyle name="Lien hypertexte visité" xfId="7831" builtinId="9" hidden="1"/>
    <cellStyle name="Lien hypertexte visité" xfId="7798" builtinId="9" hidden="1"/>
    <cellStyle name="Lien hypertexte visité" xfId="7750" builtinId="9" hidden="1"/>
    <cellStyle name="Lien hypertexte visité" xfId="7702" builtinId="9" hidden="1"/>
    <cellStyle name="Lien hypertexte visité" xfId="7670" builtinId="9" hidden="1"/>
    <cellStyle name="Lien hypertexte visité" xfId="7622" builtinId="9" hidden="1"/>
    <cellStyle name="Lien hypertexte visité" xfId="7574" builtinId="9" hidden="1"/>
    <cellStyle name="Lien hypertexte visité" xfId="7542" builtinId="9" hidden="1"/>
    <cellStyle name="Lien hypertexte visité" xfId="7494" builtinId="9" hidden="1"/>
    <cellStyle name="Lien hypertexte visité" xfId="7446" builtinId="9" hidden="1"/>
    <cellStyle name="Lien hypertexte visité" xfId="7414" builtinId="9" hidden="1"/>
    <cellStyle name="Lien hypertexte visité" xfId="7366" builtinId="9" hidden="1"/>
    <cellStyle name="Lien hypertexte visité" xfId="7318" builtinId="9" hidden="1"/>
    <cellStyle name="Lien hypertexte visité" xfId="7286" builtinId="9" hidden="1"/>
    <cellStyle name="Lien hypertexte visité" xfId="7238" builtinId="9" hidden="1"/>
    <cellStyle name="Lien hypertexte visité" xfId="7190" builtinId="9" hidden="1"/>
    <cellStyle name="Lien hypertexte visité" xfId="7158" builtinId="9" hidden="1"/>
    <cellStyle name="Lien hypertexte visité" xfId="7110" builtinId="9" hidden="1"/>
    <cellStyle name="Lien hypertexte visité" xfId="7062" builtinId="9" hidden="1"/>
    <cellStyle name="Lien hypertexte visité" xfId="7030" builtinId="9" hidden="1"/>
    <cellStyle name="Lien hypertexte visité" xfId="6982" builtinId="9" hidden="1"/>
    <cellStyle name="Lien hypertexte visité" xfId="6934" builtinId="9" hidden="1"/>
    <cellStyle name="Lien hypertexte visité" xfId="6902" builtinId="9" hidden="1"/>
    <cellStyle name="Lien hypertexte visité" xfId="6854" builtinId="9" hidden="1"/>
    <cellStyle name="Lien hypertexte visité" xfId="6806" builtinId="9" hidden="1"/>
    <cellStyle name="Lien hypertexte visité" xfId="6774" builtinId="9" hidden="1"/>
    <cellStyle name="Lien hypertexte visité" xfId="6726" builtinId="9" hidden="1"/>
    <cellStyle name="Lien hypertexte visité" xfId="6678" builtinId="9" hidden="1"/>
    <cellStyle name="Lien hypertexte visité" xfId="6646" builtinId="9" hidden="1"/>
    <cellStyle name="Lien hypertexte visité" xfId="6598" builtinId="9" hidden="1"/>
    <cellStyle name="Lien hypertexte visité" xfId="6550" builtinId="9" hidden="1"/>
    <cellStyle name="Lien hypertexte visité" xfId="6518" builtinId="9" hidden="1"/>
    <cellStyle name="Lien hypertexte visité" xfId="6470" builtinId="9" hidden="1"/>
    <cellStyle name="Lien hypertexte visité" xfId="6422" builtinId="9" hidden="1"/>
    <cellStyle name="Lien hypertexte visité" xfId="6390" builtinId="9" hidden="1"/>
    <cellStyle name="Lien hypertexte visité" xfId="6342" builtinId="9" hidden="1"/>
    <cellStyle name="Lien hypertexte visité" xfId="6294" builtinId="9" hidden="1"/>
    <cellStyle name="Lien hypertexte visité" xfId="6262" builtinId="9" hidden="1"/>
    <cellStyle name="Lien hypertexte visité" xfId="6214" builtinId="9" hidden="1"/>
    <cellStyle name="Lien hypertexte visité" xfId="6166" builtinId="9" hidden="1"/>
    <cellStyle name="Lien hypertexte visité" xfId="6134" builtinId="9" hidden="1"/>
    <cellStyle name="Lien hypertexte visité" xfId="6086" builtinId="9" hidden="1"/>
    <cellStyle name="Lien hypertexte visité" xfId="6038" builtinId="9" hidden="1"/>
    <cellStyle name="Lien hypertexte visité" xfId="6006" builtinId="9" hidden="1"/>
    <cellStyle name="Lien hypertexte visité" xfId="5958" builtinId="9" hidden="1"/>
    <cellStyle name="Lien hypertexte visité" xfId="5910" builtinId="9" hidden="1"/>
    <cellStyle name="Lien hypertexte visité" xfId="5878" builtinId="9" hidden="1"/>
    <cellStyle name="Lien hypertexte visité" xfId="5830" builtinId="9" hidden="1"/>
    <cellStyle name="Lien hypertexte visité" xfId="5782" builtinId="9" hidden="1"/>
    <cellStyle name="Lien hypertexte visité" xfId="5750" builtinId="9" hidden="1"/>
    <cellStyle name="Lien hypertexte visité" xfId="5702" builtinId="9" hidden="1"/>
    <cellStyle name="Lien hypertexte visité" xfId="5654" builtinId="9" hidden="1"/>
    <cellStyle name="Lien hypertexte visité" xfId="5622" builtinId="9" hidden="1"/>
    <cellStyle name="Lien hypertexte visité" xfId="5574" builtinId="9" hidden="1"/>
    <cellStyle name="Lien hypertexte visité" xfId="5526" builtinId="9" hidden="1"/>
    <cellStyle name="Lien hypertexte visité" xfId="5494" builtinId="9" hidden="1"/>
    <cellStyle name="Lien hypertexte visité" xfId="5446" builtinId="9" hidden="1"/>
    <cellStyle name="Lien hypertexte visité" xfId="5398" builtinId="9" hidden="1"/>
    <cellStyle name="Lien hypertexte visité" xfId="5366" builtinId="9" hidden="1"/>
    <cellStyle name="Lien hypertexte visité" xfId="5318" builtinId="9" hidden="1"/>
    <cellStyle name="Lien hypertexte visité" xfId="5270" builtinId="9" hidden="1"/>
    <cellStyle name="Lien hypertexte visité" xfId="5238" builtinId="9" hidden="1"/>
    <cellStyle name="Lien hypertexte visité" xfId="5190" builtinId="9" hidden="1"/>
    <cellStyle name="Lien hypertexte visité" xfId="5142" builtinId="9" hidden="1"/>
    <cellStyle name="Lien hypertexte visité" xfId="5110" builtinId="9" hidden="1"/>
    <cellStyle name="Lien hypertexte visité" xfId="5062" builtinId="9" hidden="1"/>
    <cellStyle name="Lien hypertexte visité" xfId="5014" builtinId="9" hidden="1"/>
    <cellStyle name="Lien hypertexte visité" xfId="4982" builtinId="9" hidden="1"/>
    <cellStyle name="Lien hypertexte visité" xfId="4934" builtinId="9" hidden="1"/>
    <cellStyle name="Lien hypertexte visité" xfId="4886" builtinId="9" hidden="1"/>
    <cellStyle name="Lien hypertexte visité" xfId="4854" builtinId="9" hidden="1"/>
    <cellStyle name="Lien hypertexte visité" xfId="4806" builtinId="9" hidden="1"/>
    <cellStyle name="Lien hypertexte visité" xfId="4758" builtinId="9" hidden="1"/>
    <cellStyle name="Lien hypertexte visité" xfId="4726" builtinId="9" hidden="1"/>
    <cellStyle name="Lien hypertexte visité" xfId="4678" builtinId="9" hidden="1"/>
    <cellStyle name="Lien hypertexte visité" xfId="4630" builtinId="9" hidden="1"/>
    <cellStyle name="Lien hypertexte visité" xfId="4598" builtinId="9" hidden="1"/>
    <cellStyle name="Lien hypertexte visité" xfId="4550" builtinId="9" hidden="1"/>
    <cellStyle name="Lien hypertexte visité" xfId="4502" builtinId="9" hidden="1"/>
    <cellStyle name="Lien hypertexte visité" xfId="4470" builtinId="9" hidden="1"/>
    <cellStyle name="Lien hypertexte visité" xfId="4422" builtinId="9" hidden="1"/>
    <cellStyle name="Lien hypertexte visité" xfId="4374" builtinId="9" hidden="1"/>
    <cellStyle name="Lien hypertexte visité" xfId="4342" builtinId="9" hidden="1"/>
    <cellStyle name="Lien hypertexte visité" xfId="4294" builtinId="9" hidden="1"/>
    <cellStyle name="Lien hypertexte visité" xfId="4246" builtinId="9" hidden="1"/>
    <cellStyle name="Lien hypertexte visité" xfId="4214" builtinId="9" hidden="1"/>
    <cellStyle name="Lien hypertexte visité" xfId="4166" builtinId="9" hidden="1"/>
    <cellStyle name="Lien hypertexte visité" xfId="4118" builtinId="9" hidden="1"/>
    <cellStyle name="Lien hypertexte visité" xfId="4086" builtinId="9" hidden="1"/>
    <cellStyle name="Lien hypertexte visité" xfId="4038" builtinId="9" hidden="1"/>
    <cellStyle name="Lien hypertexte visité" xfId="3990" builtinId="9" hidden="1"/>
    <cellStyle name="Lien hypertexte visité" xfId="3958" builtinId="9" hidden="1"/>
    <cellStyle name="Lien hypertexte visité" xfId="3914" builtinId="9" hidden="1"/>
    <cellStyle name="Lien hypertexte visité" xfId="3865" builtinId="9" hidden="1"/>
    <cellStyle name="Lien hypertexte visité" xfId="3833" builtinId="9" hidden="1"/>
    <cellStyle name="Lien hypertexte visité" xfId="3785" builtinId="9" hidden="1"/>
    <cellStyle name="Lien hypertexte visité" xfId="3737" builtinId="9" hidden="1"/>
    <cellStyle name="Lien hypertexte visité" xfId="3705" builtinId="9" hidden="1"/>
    <cellStyle name="Lien hypertexte visité" xfId="3649" builtinId="9" hidden="1"/>
    <cellStyle name="Lien hypertexte visité" xfId="3601" builtinId="9" hidden="1"/>
    <cellStyle name="Lien hypertexte visité" xfId="3569" builtinId="9" hidden="1"/>
    <cellStyle name="Lien hypertexte visité" xfId="3520" builtinId="9" hidden="1"/>
    <cellStyle name="Lien hypertexte visité" xfId="3472" builtinId="9" hidden="1"/>
    <cellStyle name="Lien hypertexte visité" xfId="3440" builtinId="9" hidden="1"/>
    <cellStyle name="Lien hypertexte visité" xfId="3392" builtinId="9" hidden="1"/>
    <cellStyle name="Lien hypertexte visité" xfId="3344" builtinId="9" hidden="1"/>
    <cellStyle name="Lien hypertexte visité" xfId="3312" builtinId="9" hidden="1"/>
    <cellStyle name="Lien hypertexte visité" xfId="3264" builtinId="9" hidden="1"/>
    <cellStyle name="Lien hypertexte visité" xfId="3216" builtinId="9" hidden="1"/>
    <cellStyle name="Lien hypertexte visité" xfId="3184" builtinId="9" hidden="1"/>
    <cellStyle name="Lien hypertexte visité" xfId="3136" builtinId="9" hidden="1"/>
    <cellStyle name="Lien hypertexte visité" xfId="3088" builtinId="9" hidden="1"/>
    <cellStyle name="Lien hypertexte visité" xfId="3056" builtinId="9" hidden="1"/>
    <cellStyle name="Lien hypertexte visité" xfId="3008" builtinId="9" hidden="1"/>
    <cellStyle name="Lien hypertexte visité" xfId="2960" builtinId="9" hidden="1"/>
    <cellStyle name="Lien hypertexte visité" xfId="2928" builtinId="9" hidden="1"/>
    <cellStyle name="Lien hypertexte visité" xfId="2880" builtinId="9" hidden="1"/>
    <cellStyle name="Lien hypertexte visité" xfId="2832" builtinId="9" hidden="1"/>
    <cellStyle name="Lien hypertexte visité" xfId="2800" builtinId="9" hidden="1"/>
    <cellStyle name="Lien hypertexte visité" xfId="2752" builtinId="9" hidden="1"/>
    <cellStyle name="Lien hypertexte visité" xfId="2704" builtinId="9" hidden="1"/>
    <cellStyle name="Lien hypertexte visité" xfId="2672" builtinId="9" hidden="1"/>
    <cellStyle name="Lien hypertexte visité" xfId="2624" builtinId="9" hidden="1"/>
    <cellStyle name="Lien hypertexte visité" xfId="2576" builtinId="9" hidden="1"/>
    <cellStyle name="Lien hypertexte visité" xfId="2544" builtinId="9" hidden="1"/>
    <cellStyle name="Lien hypertexte visité" xfId="2496" builtinId="9" hidden="1"/>
    <cellStyle name="Lien hypertexte visité" xfId="2448" builtinId="9" hidden="1"/>
    <cellStyle name="Lien hypertexte visité" xfId="2416" builtinId="9" hidden="1"/>
    <cellStyle name="Lien hypertexte visité" xfId="2368" builtinId="9" hidden="1"/>
    <cellStyle name="Lien hypertexte visité" xfId="2320" builtinId="9" hidden="1"/>
    <cellStyle name="Lien hypertexte visité" xfId="2288" builtinId="9" hidden="1"/>
    <cellStyle name="Lien hypertexte visité" xfId="2240" builtinId="9" hidden="1"/>
    <cellStyle name="Lien hypertexte visité" xfId="2192" builtinId="9" hidden="1"/>
    <cellStyle name="Lien hypertexte visité" xfId="2160" builtinId="9" hidden="1"/>
    <cellStyle name="Lien hypertexte visité" xfId="2112" builtinId="9" hidden="1"/>
    <cellStyle name="Lien hypertexte visité" xfId="2064" builtinId="9" hidden="1"/>
    <cellStyle name="Lien hypertexte visité" xfId="2032" builtinId="9" hidden="1"/>
    <cellStyle name="Lien hypertexte visité" xfId="1984" builtinId="9" hidden="1"/>
    <cellStyle name="Lien hypertexte visité" xfId="1936" builtinId="9" hidden="1"/>
    <cellStyle name="Lien hypertexte visité" xfId="1904" builtinId="9" hidden="1"/>
    <cellStyle name="Lien hypertexte visité" xfId="1856" builtinId="9" hidden="1"/>
    <cellStyle name="Lien hypertexte visité" xfId="1808" builtinId="9" hidden="1"/>
    <cellStyle name="Lien hypertexte visité" xfId="1776" builtinId="9" hidden="1"/>
    <cellStyle name="Lien hypertexte visité" xfId="1728" builtinId="9" hidden="1"/>
    <cellStyle name="Lien hypertexte visité" xfId="1680" builtinId="9" hidden="1"/>
    <cellStyle name="Lien hypertexte visité" xfId="1648" builtinId="9" hidden="1"/>
    <cellStyle name="Lien hypertexte visité" xfId="1600" builtinId="9" hidden="1"/>
    <cellStyle name="Lien hypertexte visité" xfId="1552" builtinId="9" hidden="1"/>
    <cellStyle name="Lien hypertexte visité" xfId="1520" builtinId="9" hidden="1"/>
    <cellStyle name="Lien hypertexte visité" xfId="1471" builtinId="9" hidden="1"/>
    <cellStyle name="Lien hypertexte visité" xfId="1423" builtinId="9" hidden="1"/>
    <cellStyle name="Lien hypertexte visité" xfId="1391" builtinId="9" hidden="1"/>
    <cellStyle name="Lien hypertexte visité" xfId="1343" builtinId="9" hidden="1"/>
    <cellStyle name="Lien hypertexte visité" xfId="1295" builtinId="9" hidden="1"/>
    <cellStyle name="Lien hypertexte visité" xfId="1263" builtinId="9" hidden="1"/>
    <cellStyle name="Lien hypertexte visité" xfId="1215" builtinId="9" hidden="1"/>
    <cellStyle name="Lien hypertexte visité" xfId="1167" builtinId="9" hidden="1"/>
    <cellStyle name="Lien hypertexte visité" xfId="1107" builtinId="9" hidden="1"/>
    <cellStyle name="Lien hypertexte visité" xfId="1011" builtinId="9" hidden="1"/>
    <cellStyle name="Lien hypertexte visité" xfId="915" builtinId="9" hidden="1"/>
    <cellStyle name="Lien hypertexte visité" xfId="851" builtinId="9" hidden="1"/>
    <cellStyle name="Lien hypertexte visité" xfId="755" builtinId="9" hidden="1"/>
    <cellStyle name="Lien hypertexte visité" xfId="659" builtinId="9" hidden="1"/>
    <cellStyle name="Lien hypertexte visité" xfId="595" builtinId="9" hidden="1"/>
    <cellStyle name="Lien hypertexte visité" xfId="499" builtinId="9" hidden="1"/>
    <cellStyle name="Lien hypertexte visité" xfId="403" builtinId="9" hidden="1"/>
    <cellStyle name="Lien hypertexte visité" xfId="339" builtinId="9" hidden="1"/>
    <cellStyle name="Lien hypertexte visité" xfId="243" builtinId="9" hidden="1"/>
    <cellStyle name="Lien hypertexte visité" xfId="147" builtinId="9" hidden="1"/>
    <cellStyle name="Lien hypertexte visité" xfId="91" builtinId="9" hidden="1"/>
    <cellStyle name="Lien hypertexte visité" xfId="4" builtinId="9" hidden="1"/>
    <cellStyle name="Lien hypertexte visité" xfId="93" builtinId="9" hidden="1"/>
    <cellStyle name="Lien hypertexte visité" xfId="143" builtinId="9" hidden="1"/>
    <cellStyle name="Lien hypertexte visité" xfId="239" builtinId="9" hidden="1"/>
    <cellStyle name="Lien hypertexte visité" xfId="335" builtinId="9" hidden="1"/>
    <cellStyle name="Lien hypertexte visité" xfId="399" builtinId="9" hidden="1"/>
    <cellStyle name="Lien hypertexte visité" xfId="495" builtinId="9" hidden="1"/>
    <cellStyle name="Lien hypertexte visité" xfId="591" builtinId="9" hidden="1"/>
    <cellStyle name="Lien hypertexte visité" xfId="655" builtinId="9" hidden="1"/>
    <cellStyle name="Lien hypertexte visité" xfId="751" builtinId="9" hidden="1"/>
    <cellStyle name="Lien hypertexte visité" xfId="847" builtinId="9" hidden="1"/>
    <cellStyle name="Lien hypertexte visité" xfId="911" builtinId="9" hidden="1"/>
    <cellStyle name="Lien hypertexte visité" xfId="1007" builtinId="9" hidden="1"/>
    <cellStyle name="Lien hypertexte visité" xfId="1103" builtinId="9" hidden="1"/>
    <cellStyle name="Lien hypertexte visité" xfId="1165" builtinId="9" hidden="1"/>
    <cellStyle name="Lien hypertexte visité" xfId="1213" builtinId="9" hidden="1"/>
    <cellStyle name="Lien hypertexte visité" xfId="1261" builtinId="9" hidden="1"/>
    <cellStyle name="Lien hypertexte visité" xfId="1293" builtinId="9" hidden="1"/>
    <cellStyle name="Lien hypertexte visité" xfId="1341" builtinId="9" hidden="1"/>
    <cellStyle name="Lien hypertexte visité" xfId="1389" builtinId="9" hidden="1"/>
    <cellStyle name="Lien hypertexte visité" xfId="1421" builtinId="9" hidden="1"/>
    <cellStyle name="Lien hypertexte visité" xfId="1469" builtinId="9" hidden="1"/>
    <cellStyle name="Lien hypertexte visité" xfId="1518" builtinId="9" hidden="1"/>
    <cellStyle name="Lien hypertexte visité" xfId="1550" builtinId="9" hidden="1"/>
    <cellStyle name="Lien hypertexte visité" xfId="1598" builtinId="9" hidden="1"/>
    <cellStyle name="Lien hypertexte visité" xfId="1646" builtinId="9" hidden="1"/>
    <cellStyle name="Lien hypertexte visité" xfId="1678" builtinId="9" hidden="1"/>
    <cellStyle name="Lien hypertexte visité" xfId="1726" builtinId="9" hidden="1"/>
    <cellStyle name="Lien hypertexte visité" xfId="1774" builtinId="9" hidden="1"/>
    <cellStyle name="Lien hypertexte visité" xfId="1806" builtinId="9" hidden="1"/>
    <cellStyle name="Lien hypertexte visité" xfId="1854" builtinId="9" hidden="1"/>
    <cellStyle name="Lien hypertexte visité" xfId="1902" builtinId="9" hidden="1"/>
    <cellStyle name="Lien hypertexte visité" xfId="1934" builtinId="9" hidden="1"/>
    <cellStyle name="Lien hypertexte visité" xfId="1982" builtinId="9" hidden="1"/>
    <cellStyle name="Lien hypertexte visité" xfId="2030" builtinId="9" hidden="1"/>
    <cellStyle name="Lien hypertexte visité" xfId="2062" builtinId="9" hidden="1"/>
    <cellStyle name="Lien hypertexte visité" xfId="2110" builtinId="9" hidden="1"/>
    <cellStyle name="Lien hypertexte visité" xfId="2158" builtinId="9" hidden="1"/>
    <cellStyle name="Lien hypertexte visité" xfId="2190" builtinId="9" hidden="1"/>
    <cellStyle name="Lien hypertexte visité" xfId="2238" builtinId="9" hidden="1"/>
    <cellStyle name="Lien hypertexte visité" xfId="2286" builtinId="9" hidden="1"/>
    <cellStyle name="Lien hypertexte visité" xfId="2318" builtinId="9" hidden="1"/>
    <cellStyle name="Lien hypertexte visité" xfId="2366" builtinId="9" hidden="1"/>
    <cellStyle name="Lien hypertexte visité" xfId="2414" builtinId="9" hidden="1"/>
    <cellStyle name="Lien hypertexte visité" xfId="2446" builtinId="9" hidden="1"/>
    <cellStyle name="Lien hypertexte visité" xfId="2494" builtinId="9" hidden="1"/>
    <cellStyle name="Lien hypertexte visité" xfId="2542" builtinId="9" hidden="1"/>
    <cellStyle name="Lien hypertexte visité" xfId="2574" builtinId="9" hidden="1"/>
    <cellStyle name="Lien hypertexte visité" xfId="2622" builtinId="9" hidden="1"/>
    <cellStyle name="Lien hypertexte visité" xfId="2670" builtinId="9" hidden="1"/>
    <cellStyle name="Lien hypertexte visité" xfId="2702" builtinId="9" hidden="1"/>
    <cellStyle name="Lien hypertexte visité" xfId="2750" builtinId="9" hidden="1"/>
    <cellStyle name="Lien hypertexte visité" xfId="2798" builtinId="9" hidden="1"/>
    <cellStyle name="Lien hypertexte visité" xfId="2830" builtinId="9" hidden="1"/>
    <cellStyle name="Lien hypertexte visité" xfId="2878" builtinId="9" hidden="1"/>
    <cellStyle name="Lien hypertexte visité" xfId="2926" builtinId="9" hidden="1"/>
    <cellStyle name="Lien hypertexte visité" xfId="2958" builtinId="9" hidden="1"/>
    <cellStyle name="Lien hypertexte visité" xfId="3006" builtinId="9" hidden="1"/>
    <cellStyle name="Lien hypertexte visité" xfId="3054" builtinId="9" hidden="1"/>
    <cellStyle name="Lien hypertexte visité" xfId="3086" builtinId="9" hidden="1"/>
    <cellStyle name="Lien hypertexte visité" xfId="3134" builtinId="9" hidden="1"/>
    <cellStyle name="Lien hypertexte visité" xfId="3182" builtinId="9" hidden="1"/>
    <cellStyle name="Lien hypertexte visité" xfId="3214" builtinId="9" hidden="1"/>
    <cellStyle name="Lien hypertexte visité" xfId="3262" builtinId="9" hidden="1"/>
    <cellStyle name="Lien hypertexte visité" xfId="3310" builtinId="9" hidden="1"/>
    <cellStyle name="Lien hypertexte visité" xfId="3342" builtinId="9" hidden="1"/>
    <cellStyle name="Lien hypertexte visité" xfId="3390" builtinId="9" hidden="1"/>
    <cellStyle name="Lien hypertexte visité" xfId="3438" builtinId="9" hidden="1"/>
    <cellStyle name="Lien hypertexte visité" xfId="3470" builtinId="9" hidden="1"/>
    <cellStyle name="Lien hypertexte visité" xfId="3518" builtinId="9" hidden="1"/>
    <cellStyle name="Lien hypertexte visité" xfId="3567" builtinId="9" hidden="1"/>
    <cellStyle name="Lien hypertexte visité" xfId="3599" builtinId="9" hidden="1"/>
    <cellStyle name="Lien hypertexte visité" xfId="3647" builtinId="9" hidden="1"/>
    <cellStyle name="Lien hypertexte visité" xfId="3703" builtinId="9" hidden="1"/>
    <cellStyle name="Lien hypertexte visité" xfId="3735" builtinId="9" hidden="1"/>
    <cellStyle name="Lien hypertexte visité" xfId="3783" builtinId="9" hidden="1"/>
    <cellStyle name="Lien hypertexte visité" xfId="3831" builtinId="9" hidden="1"/>
    <cellStyle name="Lien hypertexte visité" xfId="3863" builtinId="9" hidden="1"/>
    <cellStyle name="Lien hypertexte visité" xfId="3912" builtinId="9" hidden="1"/>
    <cellStyle name="Lien hypertexte visité" xfId="3956" builtinId="9" hidden="1"/>
    <cellStyle name="Lien hypertexte visité" xfId="3988" builtinId="9" hidden="1"/>
    <cellStyle name="Lien hypertexte visité" xfId="4036" builtinId="9" hidden="1"/>
    <cellStyle name="Lien hypertexte visité" xfId="4084" builtinId="9" hidden="1"/>
    <cellStyle name="Lien hypertexte visité" xfId="4116" builtinId="9" hidden="1"/>
    <cellStyle name="Lien hypertexte visité" xfId="4164" builtinId="9" hidden="1"/>
    <cellStyle name="Lien hypertexte visité" xfId="4212" builtinId="9" hidden="1"/>
    <cellStyle name="Lien hypertexte visité" xfId="4244" builtinId="9" hidden="1"/>
    <cellStyle name="Lien hypertexte visité" xfId="4292" builtinId="9" hidden="1"/>
    <cellStyle name="Lien hypertexte visité" xfId="4340" builtinId="9" hidden="1"/>
    <cellStyle name="Lien hypertexte visité" xfId="4372" builtinId="9" hidden="1"/>
    <cellStyle name="Lien hypertexte visité" xfId="4420" builtinId="9" hidden="1"/>
    <cellStyle name="Lien hypertexte visité" xfId="4468" builtinId="9" hidden="1"/>
    <cellStyle name="Lien hypertexte visité" xfId="4500" builtinId="9" hidden="1"/>
    <cellStyle name="Lien hypertexte visité" xfId="4548" builtinId="9" hidden="1"/>
    <cellStyle name="Lien hypertexte visité" xfId="4596" builtinId="9" hidden="1"/>
    <cellStyle name="Lien hypertexte visité" xfId="4628" builtinId="9" hidden="1"/>
    <cellStyle name="Lien hypertexte visité" xfId="4676" builtinId="9" hidden="1"/>
    <cellStyle name="Lien hypertexte visité" xfId="4724" builtinId="9" hidden="1"/>
    <cellStyle name="Lien hypertexte visité" xfId="4756" builtinId="9" hidden="1"/>
    <cellStyle name="Lien hypertexte visité" xfId="4804" builtinId="9" hidden="1"/>
    <cellStyle name="Lien hypertexte visité" xfId="4852" builtinId="9" hidden="1"/>
    <cellStyle name="Lien hypertexte visité" xfId="4884" builtinId="9" hidden="1"/>
    <cellStyle name="Lien hypertexte visité" xfId="4932" builtinId="9" hidden="1"/>
    <cellStyle name="Lien hypertexte visité" xfId="4980" builtinId="9" hidden="1"/>
    <cellStyle name="Lien hypertexte visité" xfId="5012" builtinId="9" hidden="1"/>
    <cellStyle name="Lien hypertexte visité" xfId="5060" builtinId="9" hidden="1"/>
    <cellStyle name="Lien hypertexte visité" xfId="5108" builtinId="9" hidden="1"/>
    <cellStyle name="Lien hypertexte visité" xfId="5140" builtinId="9" hidden="1"/>
    <cellStyle name="Lien hypertexte visité" xfId="5188" builtinId="9" hidden="1"/>
    <cellStyle name="Lien hypertexte visité" xfId="5236" builtinId="9" hidden="1"/>
    <cellStyle name="Lien hypertexte visité" xfId="5268" builtinId="9" hidden="1"/>
    <cellStyle name="Lien hypertexte visité" xfId="5316" builtinId="9" hidden="1"/>
    <cellStyle name="Lien hypertexte visité" xfId="5364" builtinId="9" hidden="1"/>
    <cellStyle name="Lien hypertexte visité" xfId="5396" builtinId="9" hidden="1"/>
    <cellStyle name="Lien hypertexte visité" xfId="5444" builtinId="9" hidden="1"/>
    <cellStyle name="Lien hypertexte visité" xfId="5492" builtinId="9" hidden="1"/>
    <cellStyle name="Lien hypertexte visité" xfId="5524" builtinId="9" hidden="1"/>
    <cellStyle name="Lien hypertexte visité" xfId="5572" builtinId="9" hidden="1"/>
    <cellStyle name="Lien hypertexte visité" xfId="5620" builtinId="9" hidden="1"/>
    <cellStyle name="Lien hypertexte visité" xfId="5652" builtinId="9" hidden="1"/>
    <cellStyle name="Lien hypertexte visité" xfId="5700" builtinId="9" hidden="1"/>
    <cellStyle name="Lien hypertexte visité" xfId="5748" builtinId="9" hidden="1"/>
    <cellStyle name="Lien hypertexte visité" xfId="5780" builtinId="9" hidden="1"/>
    <cellStyle name="Lien hypertexte visité" xfId="5828" builtinId="9" hidden="1"/>
    <cellStyle name="Lien hypertexte visité" xfId="5876" builtinId="9" hidden="1"/>
    <cellStyle name="Lien hypertexte visité" xfId="5908" builtinId="9" hidden="1"/>
    <cellStyle name="Lien hypertexte visité" xfId="5956" builtinId="9" hidden="1"/>
    <cellStyle name="Lien hypertexte visité" xfId="6004" builtinId="9" hidden="1"/>
    <cellStyle name="Lien hypertexte visité" xfId="6036" builtinId="9" hidden="1"/>
    <cellStyle name="Lien hypertexte visité" xfId="6084" builtinId="9" hidden="1"/>
    <cellStyle name="Lien hypertexte visité" xfId="6132" builtinId="9" hidden="1"/>
    <cellStyle name="Lien hypertexte visité" xfId="6164" builtinId="9" hidden="1"/>
    <cellStyle name="Lien hypertexte visité" xfId="6212" builtinId="9" hidden="1"/>
    <cellStyle name="Lien hypertexte visité" xfId="6260" builtinId="9" hidden="1"/>
    <cellStyle name="Lien hypertexte visité" xfId="6292" builtinId="9" hidden="1"/>
    <cellStyle name="Lien hypertexte visité" xfId="6340" builtinId="9" hidden="1"/>
    <cellStyle name="Lien hypertexte visité" xfId="6388" builtinId="9" hidden="1"/>
    <cellStyle name="Lien hypertexte visité" xfId="6420" builtinId="9" hidden="1"/>
    <cellStyle name="Lien hypertexte visité" xfId="6468" builtinId="9" hidden="1"/>
    <cellStyle name="Lien hypertexte visité" xfId="6516" builtinId="9" hidden="1"/>
    <cellStyle name="Lien hypertexte visité" xfId="6548" builtinId="9" hidden="1"/>
    <cellStyle name="Lien hypertexte visité" xfId="6596" builtinId="9" hidden="1"/>
    <cellStyle name="Lien hypertexte visité" xfId="6644" builtinId="9" hidden="1"/>
    <cellStyle name="Lien hypertexte visité" xfId="6676" builtinId="9" hidden="1"/>
    <cellStyle name="Lien hypertexte visité" xfId="6724" builtinId="9" hidden="1"/>
    <cellStyle name="Lien hypertexte visité" xfId="6772" builtinId="9" hidden="1"/>
    <cellStyle name="Lien hypertexte visité" xfId="6804" builtinId="9" hidden="1"/>
    <cellStyle name="Lien hypertexte visité" xfId="6852" builtinId="9" hidden="1"/>
    <cellStyle name="Lien hypertexte visité" xfId="6900" builtinId="9" hidden="1"/>
    <cellStyle name="Lien hypertexte visité" xfId="6932" builtinId="9" hidden="1"/>
    <cellStyle name="Lien hypertexte visité" xfId="6980" builtinId="9" hidden="1"/>
    <cellStyle name="Lien hypertexte visité" xfId="7028" builtinId="9" hidden="1"/>
    <cellStyle name="Lien hypertexte visité" xfId="7060" builtinId="9" hidden="1"/>
    <cellStyle name="Lien hypertexte visité" xfId="7108" builtinId="9" hidden="1"/>
    <cellStyle name="Lien hypertexte visité" xfId="7156" builtinId="9" hidden="1"/>
    <cellStyle name="Lien hypertexte visité" xfId="7188" builtinId="9" hidden="1"/>
    <cellStyle name="Lien hypertexte visité" xfId="7236" builtinId="9" hidden="1"/>
    <cellStyle name="Lien hypertexte visité" xfId="7284" builtinId="9" hidden="1"/>
    <cellStyle name="Lien hypertexte visité" xfId="7316" builtinId="9" hidden="1"/>
    <cellStyle name="Lien hypertexte visité" xfId="7364" builtinId="9" hidden="1"/>
    <cellStyle name="Lien hypertexte visité" xfId="7412" builtinId="9" hidden="1"/>
    <cellStyle name="Lien hypertexte visité" xfId="7444" builtinId="9" hidden="1"/>
    <cellStyle name="Lien hypertexte visité" xfId="7492" builtinId="9" hidden="1"/>
    <cellStyle name="Lien hypertexte visité" xfId="7540" builtinId="9" hidden="1"/>
    <cellStyle name="Lien hypertexte visité" xfId="7572" builtinId="9" hidden="1"/>
    <cellStyle name="Lien hypertexte visité" xfId="7620" builtinId="9" hidden="1"/>
    <cellStyle name="Lien hypertexte visité" xfId="7668" builtinId="9" hidden="1"/>
    <cellStyle name="Lien hypertexte visité" xfId="7700" builtinId="9" hidden="1"/>
    <cellStyle name="Lien hypertexte visité" xfId="7748" builtinId="9" hidden="1"/>
    <cellStyle name="Lien hypertexte visité" xfId="7796" builtinId="9" hidden="1"/>
    <cellStyle name="Lien hypertexte visité" xfId="7829" builtinId="9" hidden="1"/>
    <cellStyle name="Lien hypertexte visité" xfId="7877" builtinId="9" hidden="1"/>
    <cellStyle name="Lien hypertexte visité" xfId="7925" builtinId="9" hidden="1"/>
    <cellStyle name="Lien hypertexte visité" xfId="7957" builtinId="9" hidden="1"/>
    <cellStyle name="Lien hypertexte visité" xfId="8005" builtinId="9" hidden="1"/>
    <cellStyle name="Lien hypertexte visité" xfId="8053" builtinId="9" hidden="1"/>
    <cellStyle name="Lien hypertexte visité" xfId="8085" builtinId="9" hidden="1"/>
    <cellStyle name="Lien hypertexte visité" xfId="8133" builtinId="9" hidden="1"/>
    <cellStyle name="Lien hypertexte visité" xfId="8181" builtinId="9" hidden="1"/>
    <cellStyle name="Lien hypertexte visité" xfId="8213" builtinId="9" hidden="1"/>
    <cellStyle name="Lien hypertexte visité" xfId="8261" builtinId="9" hidden="1"/>
    <cellStyle name="Lien hypertexte visité" xfId="8309" builtinId="9" hidden="1"/>
    <cellStyle name="Lien hypertexte visité" xfId="8341" builtinId="9" hidden="1"/>
    <cellStyle name="Lien hypertexte visité" xfId="8389" builtinId="9" hidden="1"/>
    <cellStyle name="Lien hypertexte visité" xfId="8437" builtinId="9" hidden="1"/>
    <cellStyle name="Lien hypertexte visité" xfId="8469" builtinId="9" hidden="1"/>
    <cellStyle name="Lien hypertexte visité" xfId="8517" builtinId="9" hidden="1"/>
    <cellStyle name="Lien hypertexte visité" xfId="8565" builtinId="9" hidden="1"/>
    <cellStyle name="Lien hypertexte visité" xfId="8597" builtinId="9" hidden="1"/>
    <cellStyle name="Lien hypertexte visité" xfId="8645" builtinId="9" hidden="1"/>
    <cellStyle name="Lien hypertexte visité" xfId="8693" builtinId="9" hidden="1"/>
    <cellStyle name="Lien hypertexte visité" xfId="8725" builtinId="9" hidden="1"/>
    <cellStyle name="Lien hypertexte visité" xfId="8773" builtinId="9" hidden="1"/>
    <cellStyle name="Lien hypertexte visité" xfId="8821" builtinId="9" hidden="1"/>
    <cellStyle name="Lien hypertexte visité" xfId="8853" builtinId="9" hidden="1"/>
    <cellStyle name="Lien hypertexte visité" xfId="8901" builtinId="9" hidden="1"/>
    <cellStyle name="Lien hypertexte visité" xfId="8949" builtinId="9" hidden="1"/>
    <cellStyle name="Lien hypertexte visité" xfId="8981" builtinId="9" hidden="1"/>
    <cellStyle name="Lien hypertexte visité" xfId="9029" builtinId="9" hidden="1"/>
    <cellStyle name="Lien hypertexte visité" xfId="9077" builtinId="9" hidden="1"/>
    <cellStyle name="Lien hypertexte visité" xfId="9109" builtinId="9" hidden="1"/>
    <cellStyle name="Lien hypertexte visité" xfId="9157" builtinId="9" hidden="1"/>
    <cellStyle name="Lien hypertexte visité" xfId="9205" builtinId="9" hidden="1"/>
    <cellStyle name="Lien hypertexte visité" xfId="9237" builtinId="9" hidden="1"/>
    <cellStyle name="Lien hypertexte visité" xfId="9285" builtinId="9" hidden="1"/>
    <cellStyle name="Lien hypertexte visité" xfId="9333" builtinId="9" hidden="1"/>
    <cellStyle name="Lien hypertexte visité" xfId="9365" builtinId="9" hidden="1"/>
    <cellStyle name="Lien hypertexte visité" xfId="9413" builtinId="9" hidden="1"/>
    <cellStyle name="Lien hypertexte visité" xfId="9461" builtinId="9" hidden="1"/>
    <cellStyle name="Lien hypertexte visité" xfId="9493" builtinId="9" hidden="1"/>
    <cellStyle name="Lien hypertexte visité" xfId="9541" builtinId="9" hidden="1"/>
    <cellStyle name="Lien hypertexte visité" xfId="9589" builtinId="9" hidden="1"/>
    <cellStyle name="Lien hypertexte visité" xfId="9621" builtinId="9" hidden="1"/>
    <cellStyle name="Lien hypertexte visité" xfId="9669" builtinId="9" hidden="1"/>
    <cellStyle name="Lien hypertexte visité" xfId="9717" builtinId="9" hidden="1"/>
    <cellStyle name="Lien hypertexte visité" xfId="9749" builtinId="9" hidden="1"/>
    <cellStyle name="Lien hypertexte visité" xfId="9797" builtinId="9" hidden="1"/>
    <cellStyle name="Lien hypertexte visité" xfId="9845" builtinId="9" hidden="1"/>
    <cellStyle name="Lien hypertexte visité" xfId="9877" builtinId="9" hidden="1"/>
    <cellStyle name="Lien hypertexte visité" xfId="9925" builtinId="9" hidden="1"/>
    <cellStyle name="Lien hypertexte visité" xfId="9973" builtinId="9" hidden="1"/>
    <cellStyle name="Lien hypertexte visité" xfId="10005" builtinId="9" hidden="1"/>
    <cellStyle name="Lien hypertexte visité" xfId="10053" builtinId="9" hidden="1"/>
    <cellStyle name="Lien hypertexte visité" xfId="10101" builtinId="9" hidden="1"/>
    <cellStyle name="Lien hypertexte visité" xfId="10133" builtinId="9" hidden="1"/>
    <cellStyle name="Lien hypertexte visité" xfId="10181" builtinId="9" hidden="1"/>
    <cellStyle name="Lien hypertexte visité" xfId="10229" builtinId="9" hidden="1"/>
    <cellStyle name="Lien hypertexte visité" xfId="10261" builtinId="9" hidden="1"/>
    <cellStyle name="Lien hypertexte visité" xfId="10309" builtinId="9" hidden="1"/>
    <cellStyle name="Lien hypertexte visité" xfId="10357" builtinId="9" hidden="1"/>
    <cellStyle name="Lien hypertexte visité" xfId="10389" builtinId="9" hidden="1"/>
    <cellStyle name="Lien hypertexte visité" xfId="10437" builtinId="9" hidden="1"/>
    <cellStyle name="Lien hypertexte visité" xfId="10485" builtinId="9" hidden="1"/>
    <cellStyle name="Lien hypertexte visité" xfId="10517" builtinId="9" hidden="1"/>
    <cellStyle name="Lien hypertexte visité" xfId="10565" builtinId="9" hidden="1"/>
    <cellStyle name="Lien hypertexte visité" xfId="10613" builtinId="9" hidden="1"/>
    <cellStyle name="Lien hypertexte visité" xfId="10645" builtinId="9" hidden="1"/>
    <cellStyle name="Lien hypertexte visité" xfId="10693" builtinId="9" hidden="1"/>
    <cellStyle name="Lien hypertexte visité" xfId="10741" builtinId="9" hidden="1"/>
    <cellStyle name="Lien hypertexte visité" xfId="10773" builtinId="9" hidden="1"/>
    <cellStyle name="Lien hypertexte visité" xfId="10821" builtinId="9" hidden="1"/>
    <cellStyle name="Lien hypertexte visité" xfId="10869" builtinId="9" hidden="1"/>
    <cellStyle name="Lien hypertexte visité" xfId="10901" builtinId="9" hidden="1"/>
    <cellStyle name="Lien hypertexte visité" xfId="10949" builtinId="9" hidden="1"/>
    <cellStyle name="Lien hypertexte visité" xfId="10997" builtinId="9" hidden="1"/>
    <cellStyle name="Lien hypertexte visité" xfId="11029" builtinId="9" hidden="1"/>
    <cellStyle name="Lien hypertexte visité" xfId="11077" builtinId="9" hidden="1"/>
    <cellStyle name="Lien hypertexte visité" xfId="11125" builtinId="9" hidden="1"/>
    <cellStyle name="Lien hypertexte visité" xfId="11157" builtinId="9" hidden="1"/>
    <cellStyle name="Lien hypertexte visité" xfId="11205" builtinId="9" hidden="1"/>
    <cellStyle name="Lien hypertexte visité" xfId="11253" builtinId="9" hidden="1"/>
    <cellStyle name="Lien hypertexte visité" xfId="11285" builtinId="9" hidden="1"/>
    <cellStyle name="Lien hypertexte visité" xfId="11333" builtinId="9" hidden="1"/>
    <cellStyle name="Lien hypertexte visité" xfId="11381" builtinId="9" hidden="1"/>
    <cellStyle name="Lien hypertexte visité" xfId="11413" builtinId="9" hidden="1"/>
    <cellStyle name="Lien hypertexte visité" xfId="11461" builtinId="9" hidden="1"/>
    <cellStyle name="Lien hypertexte visité" xfId="11509" builtinId="9" hidden="1"/>
    <cellStyle name="Lien hypertexte visité" xfId="11541" builtinId="9" hidden="1"/>
    <cellStyle name="Lien hypertexte visité" xfId="11589" builtinId="9" hidden="1"/>
    <cellStyle name="Lien hypertexte visité" xfId="11637" builtinId="9" hidden="1"/>
    <cellStyle name="Lien hypertexte visité" xfId="11669" builtinId="9" hidden="1"/>
    <cellStyle name="Lien hypertexte visité" xfId="11717" builtinId="9" hidden="1"/>
    <cellStyle name="Lien hypertexte visité" xfId="11765" builtinId="9" hidden="1"/>
    <cellStyle name="Lien hypertexte visité" xfId="11797" builtinId="9" hidden="1"/>
    <cellStyle name="Lien hypertexte visité" xfId="11845" builtinId="9" hidden="1"/>
    <cellStyle name="Lien hypertexte visité" xfId="11893" builtinId="9" hidden="1"/>
    <cellStyle name="Lien hypertexte visité" xfId="11925" builtinId="9" hidden="1"/>
    <cellStyle name="Lien hypertexte visité" xfId="11973" builtinId="9" hidden="1"/>
    <cellStyle name="Lien hypertexte visité" xfId="12021" builtinId="9" hidden="1"/>
    <cellStyle name="Lien hypertexte visité" xfId="12053" builtinId="9" hidden="1"/>
    <cellStyle name="Lien hypertexte visité" xfId="12101" builtinId="9" hidden="1"/>
    <cellStyle name="Lien hypertexte visité" xfId="12149" builtinId="9" hidden="1"/>
    <cellStyle name="Lien hypertexte visité" xfId="12181" builtinId="9" hidden="1"/>
    <cellStyle name="Lien hypertexte visité" xfId="12229" builtinId="9" hidden="1"/>
    <cellStyle name="Lien hypertexte visité" xfId="12277" builtinId="9" hidden="1"/>
    <cellStyle name="Lien hypertexte visité" xfId="12309" builtinId="9" hidden="1"/>
    <cellStyle name="Lien hypertexte visité" xfId="12357" builtinId="9" hidden="1"/>
    <cellStyle name="Lien hypertexte visité" xfId="12405" builtinId="9" hidden="1"/>
    <cellStyle name="Lien hypertexte visité" xfId="12437" builtinId="9" hidden="1"/>
    <cellStyle name="Lien hypertexte visité" xfId="12485" builtinId="9" hidden="1"/>
    <cellStyle name="Lien hypertexte visité" xfId="12533" builtinId="9" hidden="1"/>
    <cellStyle name="Lien hypertexte visité" xfId="12565" builtinId="9" hidden="1"/>
    <cellStyle name="Lien hypertexte visité" xfId="12613" builtinId="9" hidden="1"/>
    <cellStyle name="Lien hypertexte visité" xfId="12661" builtinId="9" hidden="1"/>
    <cellStyle name="Lien hypertexte visité" xfId="12693" builtinId="9" hidden="1"/>
    <cellStyle name="Lien hypertexte visité" xfId="12741" builtinId="9" hidden="1"/>
    <cellStyle name="Lien hypertexte visité" xfId="12789" builtinId="9" hidden="1"/>
    <cellStyle name="Lien hypertexte visité" xfId="12821" builtinId="9" hidden="1"/>
    <cellStyle name="Lien hypertexte visité" xfId="12869" builtinId="9" hidden="1"/>
    <cellStyle name="Lien hypertexte visité" xfId="12917" builtinId="9" hidden="1"/>
    <cellStyle name="Lien hypertexte visité" xfId="12949" builtinId="9" hidden="1"/>
    <cellStyle name="Lien hypertexte visité" xfId="12997" builtinId="9" hidden="1"/>
    <cellStyle name="Lien hypertexte visité" xfId="13045" builtinId="9" hidden="1"/>
    <cellStyle name="Lien hypertexte visité" xfId="13077" builtinId="9" hidden="1"/>
    <cellStyle name="Lien hypertexte visité" xfId="13125" builtinId="9" hidden="1"/>
    <cellStyle name="Lien hypertexte visité" xfId="13173" builtinId="9" hidden="1"/>
    <cellStyle name="Lien hypertexte visité" xfId="13205" builtinId="9" hidden="1"/>
    <cellStyle name="Lien hypertexte visité" xfId="13253" builtinId="9" hidden="1"/>
    <cellStyle name="Lien hypertexte visité" xfId="13301" builtinId="9" hidden="1"/>
    <cellStyle name="Lien hypertexte visité" xfId="13333" builtinId="9" hidden="1"/>
    <cellStyle name="Lien hypertexte visité" xfId="13381" builtinId="9" hidden="1"/>
    <cellStyle name="Lien hypertexte visité" xfId="13429" builtinId="9" hidden="1"/>
    <cellStyle name="Lien hypertexte visité" xfId="13461" builtinId="9" hidden="1"/>
    <cellStyle name="Lien hypertexte visité" xfId="13509" builtinId="9" hidden="1"/>
    <cellStyle name="Lien hypertexte visité" xfId="13557" builtinId="9" hidden="1"/>
    <cellStyle name="Lien hypertexte visité" xfId="13589" builtinId="9" hidden="1"/>
    <cellStyle name="Lien hypertexte visité" xfId="13637" builtinId="9" hidden="1"/>
    <cellStyle name="Lien hypertexte visité" xfId="13685" builtinId="9" hidden="1"/>
    <cellStyle name="Lien hypertexte visité" xfId="13717" builtinId="9" hidden="1"/>
    <cellStyle name="Lien hypertexte visité" xfId="13765" builtinId="9" hidden="1"/>
    <cellStyle name="Lien hypertexte visité" xfId="13813" builtinId="9" hidden="1"/>
    <cellStyle name="Lien hypertexte visité" xfId="13845" builtinId="9" hidden="1"/>
    <cellStyle name="Lien hypertexte visité" xfId="13893" builtinId="9" hidden="1"/>
    <cellStyle name="Lien hypertexte visité" xfId="13941" builtinId="9" hidden="1"/>
    <cellStyle name="Lien hypertexte visité" xfId="13973" builtinId="9" hidden="1"/>
    <cellStyle name="Lien hypertexte visité" xfId="14021" builtinId="9" hidden="1"/>
    <cellStyle name="Lien hypertexte visité" xfId="14069" builtinId="9" hidden="1"/>
    <cellStyle name="Lien hypertexte visité" xfId="14101" builtinId="9" hidden="1"/>
    <cellStyle name="Lien hypertexte visité" xfId="14149" builtinId="9" hidden="1"/>
    <cellStyle name="Lien hypertexte visité" xfId="14197" builtinId="9" hidden="1"/>
    <cellStyle name="Lien hypertexte visité" xfId="14229" builtinId="9" hidden="1"/>
    <cellStyle name="Lien hypertexte visité" xfId="14277" builtinId="9" hidden="1"/>
    <cellStyle name="Lien hypertexte visité" xfId="14325" builtinId="9" hidden="1"/>
    <cellStyle name="Lien hypertexte visité" xfId="14357" builtinId="9" hidden="1"/>
    <cellStyle name="Lien hypertexte visité" xfId="14405" builtinId="9" hidden="1"/>
    <cellStyle name="Lien hypertexte visité" xfId="14453" builtinId="9" hidden="1"/>
    <cellStyle name="Lien hypertexte visité" xfId="14485" builtinId="9" hidden="1"/>
    <cellStyle name="Lien hypertexte visité" xfId="14551" builtinId="9" hidden="1"/>
    <cellStyle name="Lien hypertexte visité" xfId="14647" builtinId="9" hidden="1"/>
    <cellStyle name="Lien hypertexte visité" xfId="14711" builtinId="9" hidden="1"/>
    <cellStyle name="Lien hypertexte visité" xfId="14807" builtinId="9" hidden="1"/>
    <cellStyle name="Lien hypertexte visité" xfId="14903" builtinId="9" hidden="1"/>
    <cellStyle name="Lien hypertexte visité" xfId="14967" builtinId="9" hidden="1"/>
    <cellStyle name="Lien hypertexte visité" xfId="15063" builtinId="9" hidden="1"/>
    <cellStyle name="Lien hypertexte visité" xfId="15159" builtinId="9" hidden="1"/>
    <cellStyle name="Lien hypertexte visité" xfId="15223" builtinId="9" hidden="1"/>
    <cellStyle name="Lien hypertexte visité" xfId="15319" builtinId="9" hidden="1"/>
    <cellStyle name="Lien hypertexte visité" xfId="15415" builtinId="9" hidden="1"/>
    <cellStyle name="Lien hypertexte visité" xfId="15479" builtinId="9" hidden="1"/>
    <cellStyle name="Lien hypertexte visité" xfId="15575" builtinId="9" hidden="1"/>
    <cellStyle name="Lien hypertexte visité" xfId="15671" builtinId="9" hidden="1"/>
    <cellStyle name="Lien hypertexte visité" xfId="15735" builtinId="9" hidden="1"/>
    <cellStyle name="Lien hypertexte visité" xfId="15831" builtinId="9" hidden="1"/>
    <cellStyle name="Lien hypertexte visité" xfId="15927" builtinId="9" hidden="1"/>
    <cellStyle name="Lien hypertexte visité" xfId="15991" builtinId="9" hidden="1"/>
    <cellStyle name="Lien hypertexte visité" xfId="16087" builtinId="9" hidden="1"/>
    <cellStyle name="Lien hypertexte visité" xfId="16183" builtinId="9" hidden="1"/>
    <cellStyle name="Lien hypertexte visité" xfId="16247" builtinId="9" hidden="1"/>
    <cellStyle name="Lien hypertexte visité" xfId="16343" builtinId="9" hidden="1"/>
    <cellStyle name="Lien hypertexte visité" xfId="16439" builtinId="9" hidden="1"/>
    <cellStyle name="Lien hypertexte visité" xfId="16503" builtinId="9" hidden="1"/>
    <cellStyle name="Lien hypertexte visité" xfId="16599" builtinId="9" hidden="1"/>
    <cellStyle name="Lien hypertexte visité" xfId="16695" builtinId="9" hidden="1"/>
    <cellStyle name="Lien hypertexte visité" xfId="16759" builtinId="9" hidden="1"/>
    <cellStyle name="Lien hypertexte visité" xfId="16855" builtinId="9" hidden="1"/>
    <cellStyle name="Lien hypertexte visité" xfId="16951" builtinId="9" hidden="1"/>
    <cellStyle name="Lien hypertexte visité" xfId="17015" builtinId="9" hidden="1"/>
    <cellStyle name="Lien hypertexte visité" xfId="17111" builtinId="9" hidden="1"/>
    <cellStyle name="Lien hypertexte visité" xfId="17207" builtinId="9" hidden="1"/>
    <cellStyle name="Lien hypertexte visité" xfId="17271" builtinId="9" hidden="1"/>
    <cellStyle name="Lien hypertexte visité" xfId="17367" builtinId="9" hidden="1"/>
    <cellStyle name="Lien hypertexte visité" xfId="17463" builtinId="9" hidden="1"/>
    <cellStyle name="Lien hypertexte visité" xfId="17527" builtinId="9" hidden="1"/>
    <cellStyle name="Lien hypertexte visité" xfId="17623" builtinId="9" hidden="1"/>
    <cellStyle name="Lien hypertexte visité" xfId="17719" builtinId="9" hidden="1"/>
    <cellStyle name="Lien hypertexte visité" xfId="17783" builtinId="9" hidden="1"/>
    <cellStyle name="Lien hypertexte visité" xfId="17879" builtinId="9" hidden="1"/>
    <cellStyle name="Lien hypertexte visité" xfId="17975" builtinId="9" hidden="1"/>
    <cellStyle name="Lien hypertexte visité" xfId="18039" builtinId="9" hidden="1"/>
    <cellStyle name="Lien hypertexte visité" xfId="18135" builtinId="9" hidden="1"/>
    <cellStyle name="Lien hypertexte visité" xfId="18231" builtinId="9" hidden="1"/>
    <cellStyle name="Lien hypertexte visité" xfId="18295" builtinId="9" hidden="1"/>
    <cellStyle name="Lien hypertexte visité" xfId="18374" builtinId="9" hidden="1"/>
    <cellStyle name="Lien hypertexte visité" xfId="18470" builtinId="9" hidden="1"/>
    <cellStyle name="Lien hypertexte visité" xfId="18534" builtinId="9" hidden="1"/>
    <cellStyle name="Lien hypertexte visité" xfId="18630" builtinId="9" hidden="1"/>
    <cellStyle name="Lien hypertexte visité" xfId="18726" builtinId="9" hidden="1"/>
    <cellStyle name="Lien hypertexte visité" xfId="18790" builtinId="9" hidden="1"/>
    <cellStyle name="Lien hypertexte visité" xfId="18886" builtinId="9" hidden="1"/>
    <cellStyle name="Lien hypertexte visité" xfId="18982" builtinId="9" hidden="1"/>
    <cellStyle name="Lien hypertexte visité" xfId="19046" builtinId="9" hidden="1"/>
    <cellStyle name="Lien hypertexte visité" xfId="11194" builtinId="9" hidden="1"/>
    <cellStyle name="Lien hypertexte visité" xfId="11066" builtinId="9" hidden="1"/>
    <cellStyle name="Lien hypertexte visité" xfId="10938" builtinId="9" hidden="1"/>
    <cellStyle name="Lien hypertexte visité" xfId="10810" builtinId="9" hidden="1"/>
    <cellStyle name="Lien hypertexte visité" xfId="10682" builtinId="9" hidden="1"/>
    <cellStyle name="Lien hypertexte visité" xfId="10554" builtinId="9" hidden="1"/>
    <cellStyle name="Lien hypertexte visité" xfId="10426" builtinId="9" hidden="1"/>
    <cellStyle name="Lien hypertexte visité" xfId="10298" builtinId="9" hidden="1"/>
    <cellStyle name="Lien hypertexte visité" xfId="10170" builtinId="9" hidden="1"/>
    <cellStyle name="Lien hypertexte visité" xfId="10042" builtinId="9" hidden="1"/>
    <cellStyle name="Lien hypertexte visité" xfId="9914" builtinId="9" hidden="1"/>
    <cellStyle name="Lien hypertexte visité" xfId="9786" builtinId="9" hidden="1"/>
    <cellStyle name="Lien hypertexte visité" xfId="9658" builtinId="9" hidden="1"/>
    <cellStyle name="Lien hypertexte visité" xfId="9530" builtinId="9" hidden="1"/>
    <cellStyle name="Lien hypertexte visité" xfId="9402" builtinId="9" hidden="1"/>
    <cellStyle name="Lien hypertexte visité" xfId="9274" builtinId="9" hidden="1"/>
    <cellStyle name="Lien hypertexte visité" xfId="9146" builtinId="9" hidden="1"/>
    <cellStyle name="Lien hypertexte visité" xfId="9018" builtinId="9" hidden="1"/>
    <cellStyle name="Lien hypertexte visité" xfId="8890" builtinId="9" hidden="1"/>
    <cellStyle name="Lien hypertexte visité" xfId="8762" builtinId="9" hidden="1"/>
    <cellStyle name="Lien hypertexte visité" xfId="8634" builtinId="9" hidden="1"/>
    <cellStyle name="Lien hypertexte visité" xfId="8506" builtinId="9" hidden="1"/>
    <cellStyle name="Lien hypertexte visité" xfId="8378" builtinId="9" hidden="1"/>
    <cellStyle name="Lien hypertexte visité" xfId="8250" builtinId="9" hidden="1"/>
    <cellStyle name="Lien hypertexte visité" xfId="3953" builtinId="9" hidden="1"/>
    <cellStyle name="Lien hypertexte visité" xfId="3989" builtinId="9" hidden="1"/>
    <cellStyle name="Lien hypertexte visité" xfId="4025" builtinId="9" hidden="1"/>
    <cellStyle name="Lien hypertexte visité" xfId="4061" builtinId="9" hidden="1"/>
    <cellStyle name="Lien hypertexte visité" xfId="4097" builtinId="9" hidden="1"/>
    <cellStyle name="Lien hypertexte visité" xfId="4133" builtinId="9" hidden="1"/>
    <cellStyle name="Lien hypertexte visité" xfId="4173" builtinId="9" hidden="1"/>
    <cellStyle name="Lien hypertexte visité" xfId="4209" builtinId="9" hidden="1"/>
    <cellStyle name="Lien hypertexte visité" xfId="4245" builtinId="9" hidden="1"/>
    <cellStyle name="Lien hypertexte visité" xfId="4281" builtinId="9" hidden="1"/>
    <cellStyle name="Lien hypertexte visité" xfId="4317" builtinId="9" hidden="1"/>
    <cellStyle name="Lien hypertexte visité" xfId="4353" builtinId="9" hidden="1"/>
    <cellStyle name="Lien hypertexte visité" xfId="4389" builtinId="9" hidden="1"/>
    <cellStyle name="Lien hypertexte visité" xfId="4429" builtinId="9" hidden="1"/>
    <cellStyle name="Lien hypertexte visité" xfId="4465" builtinId="9" hidden="1"/>
    <cellStyle name="Lien hypertexte visité" xfId="4501" builtinId="9" hidden="1"/>
    <cellStyle name="Lien hypertexte visité" xfId="4537" builtinId="9" hidden="1"/>
    <cellStyle name="Lien hypertexte visité" xfId="4573" builtinId="9" hidden="1"/>
    <cellStyle name="Lien hypertexte visité" xfId="4609" builtinId="9" hidden="1"/>
    <cellStyle name="Lien hypertexte visité" xfId="4645" builtinId="9" hidden="1"/>
    <cellStyle name="Lien hypertexte visité" xfId="4685" builtinId="9" hidden="1"/>
    <cellStyle name="Lien hypertexte visité" xfId="4721" builtinId="9" hidden="1"/>
    <cellStyle name="Lien hypertexte visité" xfId="4757" builtinId="9" hidden="1"/>
    <cellStyle name="Lien hypertexte visité" xfId="4793" builtinId="9" hidden="1"/>
    <cellStyle name="Lien hypertexte visité" xfId="4829" builtinId="9" hidden="1"/>
    <cellStyle name="Lien hypertexte visité" xfId="4865" builtinId="9" hidden="1"/>
    <cellStyle name="Lien hypertexte visité" xfId="4901" builtinId="9" hidden="1"/>
    <cellStyle name="Lien hypertexte visité" xfId="4941" builtinId="9" hidden="1"/>
    <cellStyle name="Lien hypertexte visité" xfId="4977" builtinId="9" hidden="1"/>
    <cellStyle name="Lien hypertexte visité" xfId="5013" builtinId="9" hidden="1"/>
    <cellStyle name="Lien hypertexte visité" xfId="5049" builtinId="9" hidden="1"/>
    <cellStyle name="Lien hypertexte visité" xfId="5085" builtinId="9" hidden="1"/>
    <cellStyle name="Lien hypertexte visité" xfId="5121" builtinId="9" hidden="1"/>
    <cellStyle name="Lien hypertexte visité" xfId="5157" builtinId="9" hidden="1"/>
    <cellStyle name="Lien hypertexte visité" xfId="5197" builtinId="9" hidden="1"/>
    <cellStyle name="Lien hypertexte visité" xfId="5233" builtinId="9" hidden="1"/>
    <cellStyle name="Lien hypertexte visité" xfId="5269" builtinId="9" hidden="1"/>
    <cellStyle name="Lien hypertexte visité" xfId="5305" builtinId="9" hidden="1"/>
    <cellStyle name="Lien hypertexte visité" xfId="5341" builtinId="9" hidden="1"/>
    <cellStyle name="Lien hypertexte visité" xfId="5377" builtinId="9" hidden="1"/>
    <cellStyle name="Lien hypertexte visité" xfId="5413" builtinId="9" hidden="1"/>
    <cellStyle name="Lien hypertexte visité" xfId="5453" builtinId="9" hidden="1"/>
    <cellStyle name="Lien hypertexte visité" xfId="5489" builtinId="9" hidden="1"/>
    <cellStyle name="Lien hypertexte visité" xfId="5525" builtinId="9" hidden="1"/>
    <cellStyle name="Lien hypertexte visité" xfId="5561" builtinId="9" hidden="1"/>
    <cellStyle name="Lien hypertexte visité" xfId="5597" builtinId="9" hidden="1"/>
    <cellStyle name="Lien hypertexte visité" xfId="5633" builtinId="9" hidden="1"/>
    <cellStyle name="Lien hypertexte visité" xfId="5669" builtinId="9" hidden="1"/>
    <cellStyle name="Lien hypertexte visité" xfId="5709" builtinId="9" hidden="1"/>
    <cellStyle name="Lien hypertexte visité" xfId="5745" builtinId="9" hidden="1"/>
    <cellStyle name="Lien hypertexte visité" xfId="5781" builtinId="9" hidden="1"/>
    <cellStyle name="Lien hypertexte visité" xfId="5817" builtinId="9" hidden="1"/>
    <cellStyle name="Lien hypertexte visité" xfId="5853" builtinId="9" hidden="1"/>
    <cellStyle name="Lien hypertexte visité" xfId="5889" builtinId="9" hidden="1"/>
    <cellStyle name="Lien hypertexte visité" xfId="5925" builtinId="9" hidden="1"/>
    <cellStyle name="Lien hypertexte visité" xfId="5965" builtinId="9" hidden="1"/>
    <cellStyle name="Lien hypertexte visité" xfId="6001" builtinId="9" hidden="1"/>
    <cellStyle name="Lien hypertexte visité" xfId="6037" builtinId="9" hidden="1"/>
    <cellStyle name="Lien hypertexte visité" xfId="6073" builtinId="9" hidden="1"/>
    <cellStyle name="Lien hypertexte visité" xfId="6109" builtinId="9" hidden="1"/>
    <cellStyle name="Lien hypertexte visité" xfId="6145" builtinId="9" hidden="1"/>
    <cellStyle name="Lien hypertexte visité" xfId="6181" builtinId="9" hidden="1"/>
    <cellStyle name="Lien hypertexte visité" xfId="6221" builtinId="9" hidden="1"/>
    <cellStyle name="Lien hypertexte visité" xfId="6257" builtinId="9" hidden="1"/>
    <cellStyle name="Lien hypertexte visité" xfId="6293" builtinId="9" hidden="1"/>
    <cellStyle name="Lien hypertexte visité" xfId="6329" builtinId="9" hidden="1"/>
    <cellStyle name="Lien hypertexte visité" xfId="6365" builtinId="9" hidden="1"/>
    <cellStyle name="Lien hypertexte visité" xfId="6401" builtinId="9" hidden="1"/>
    <cellStyle name="Lien hypertexte visité" xfId="6437" builtinId="9" hidden="1"/>
    <cellStyle name="Lien hypertexte visité" xfId="6477" builtinId="9" hidden="1"/>
    <cellStyle name="Lien hypertexte visité" xfId="6513" builtinId="9" hidden="1"/>
    <cellStyle name="Lien hypertexte visité" xfId="6549" builtinId="9" hidden="1"/>
    <cellStyle name="Lien hypertexte visité" xfId="6585" builtinId="9" hidden="1"/>
    <cellStyle name="Lien hypertexte visité" xfId="6621" builtinId="9" hidden="1"/>
    <cellStyle name="Lien hypertexte visité" xfId="6657" builtinId="9" hidden="1"/>
    <cellStyle name="Lien hypertexte visité" xfId="6693" builtinId="9" hidden="1"/>
    <cellStyle name="Lien hypertexte visité" xfId="6733" builtinId="9" hidden="1"/>
    <cellStyle name="Lien hypertexte visité" xfId="6769" builtinId="9" hidden="1"/>
    <cellStyle name="Lien hypertexte visité" xfId="6805" builtinId="9" hidden="1"/>
    <cellStyle name="Lien hypertexte visité" xfId="6841" builtinId="9" hidden="1"/>
    <cellStyle name="Lien hypertexte visité" xfId="6877" builtinId="9" hidden="1"/>
    <cellStyle name="Lien hypertexte visité" xfId="6913" builtinId="9" hidden="1"/>
    <cellStyle name="Lien hypertexte visité" xfId="6949" builtinId="9" hidden="1"/>
    <cellStyle name="Lien hypertexte visité" xfId="6989" builtinId="9" hidden="1"/>
    <cellStyle name="Lien hypertexte visité" xfId="7025" builtinId="9" hidden="1"/>
    <cellStyle name="Lien hypertexte visité" xfId="7061" builtinId="9" hidden="1"/>
    <cellStyle name="Lien hypertexte visité" xfId="7097" builtinId="9" hidden="1"/>
    <cellStyle name="Lien hypertexte visité" xfId="7133" builtinId="9" hidden="1"/>
    <cellStyle name="Lien hypertexte visité" xfId="7169" builtinId="9" hidden="1"/>
    <cellStyle name="Lien hypertexte visité" xfId="7205" builtinId="9" hidden="1"/>
    <cellStyle name="Lien hypertexte visité" xfId="7245" builtinId="9" hidden="1"/>
    <cellStyle name="Lien hypertexte visité" xfId="7281" builtinId="9" hidden="1"/>
    <cellStyle name="Lien hypertexte visité" xfId="7317" builtinId="9" hidden="1"/>
    <cellStyle name="Lien hypertexte visité" xfId="7353" builtinId="9" hidden="1"/>
    <cellStyle name="Lien hypertexte visité" xfId="7389" builtinId="9" hidden="1"/>
    <cellStyle name="Lien hypertexte visité" xfId="7425" builtinId="9" hidden="1"/>
    <cellStyle name="Lien hypertexte visité" xfId="7461" builtinId="9" hidden="1"/>
    <cellStyle name="Lien hypertexte visité" xfId="7501" builtinId="9" hidden="1"/>
    <cellStyle name="Lien hypertexte visité" xfId="7537" builtinId="9" hidden="1"/>
    <cellStyle name="Lien hypertexte visité" xfId="7573" builtinId="9" hidden="1"/>
    <cellStyle name="Lien hypertexte visité" xfId="7609" builtinId="9" hidden="1"/>
    <cellStyle name="Lien hypertexte visité" xfId="7645" builtinId="9" hidden="1"/>
    <cellStyle name="Lien hypertexte visité" xfId="7681" builtinId="9" hidden="1"/>
    <cellStyle name="Lien hypertexte visité" xfId="7717" builtinId="9" hidden="1"/>
    <cellStyle name="Lien hypertexte visité" xfId="7757" builtinId="9" hidden="1"/>
    <cellStyle name="Lien hypertexte visité" xfId="7793" builtinId="9" hidden="1"/>
    <cellStyle name="Lien hypertexte visité" xfId="7830" builtinId="9" hidden="1"/>
    <cellStyle name="Lien hypertexte visité" xfId="7866" builtinId="9" hidden="1"/>
    <cellStyle name="Lien hypertexte visité" xfId="7902" builtinId="9" hidden="1"/>
    <cellStyle name="Lien hypertexte visité" xfId="7938" builtinId="9" hidden="1"/>
    <cellStyle name="Lien hypertexte visité" xfId="7974" builtinId="9" hidden="1"/>
    <cellStyle name="Lien hypertexte visité" xfId="8014" builtinId="9" hidden="1"/>
    <cellStyle name="Lien hypertexte visité" xfId="8050" builtinId="9" hidden="1"/>
    <cellStyle name="Lien hypertexte visité" xfId="8086" builtinId="9" hidden="1"/>
    <cellStyle name="Lien hypertexte visité" xfId="8122" builtinId="9" hidden="1"/>
    <cellStyle name="Lien hypertexte visité" xfId="8158" builtinId="9" hidden="1"/>
    <cellStyle name="Lien hypertexte visité" xfId="8194" builtinId="9" hidden="1"/>
    <cellStyle name="Lien hypertexte visité" xfId="8106" builtinId="9" hidden="1"/>
    <cellStyle name="Lien hypertexte visité" xfId="7850" builtinId="9" hidden="1"/>
    <cellStyle name="Lien hypertexte visité" xfId="7593" builtinId="9" hidden="1"/>
    <cellStyle name="Lien hypertexte visité" xfId="7337" builtinId="9" hidden="1"/>
    <cellStyle name="Lien hypertexte visité" xfId="7081" builtinId="9" hidden="1"/>
    <cellStyle name="Lien hypertexte visité" xfId="6825" builtinId="9" hidden="1"/>
    <cellStyle name="Lien hypertexte visité" xfId="6569" builtinId="9" hidden="1"/>
    <cellStyle name="Lien hypertexte visité" xfId="6313" builtinId="9" hidden="1"/>
    <cellStyle name="Lien hypertexte visité" xfId="6057" builtinId="9" hidden="1"/>
    <cellStyle name="Lien hypertexte visité" xfId="5801" builtinId="9" hidden="1"/>
    <cellStyle name="Lien hypertexte visité" xfId="5545" builtinId="9" hidden="1"/>
    <cellStyle name="Lien hypertexte visité" xfId="5289" builtinId="9" hidden="1"/>
    <cellStyle name="Lien hypertexte visité" xfId="5033" builtinId="9" hidden="1"/>
    <cellStyle name="Lien hypertexte visité" xfId="4777" builtinId="9" hidden="1"/>
    <cellStyle name="Lien hypertexte visité" xfId="4521" builtinId="9" hidden="1"/>
    <cellStyle name="Lien hypertexte visité" xfId="4265" builtinId="9" hidden="1"/>
    <cellStyle name="Lien hypertexte visité" xfId="4009" builtinId="9" hidden="1"/>
    <cellStyle name="Lien hypertexte visité" xfId="2227" builtinId="9" hidden="1"/>
    <cellStyle name="Lien hypertexte visité" xfId="2263" builtinId="9" hidden="1"/>
    <cellStyle name="Lien hypertexte visité" xfId="2295" builtinId="9" hidden="1"/>
    <cellStyle name="Lien hypertexte visité" xfId="2331" builtinId="9" hidden="1"/>
    <cellStyle name="Lien hypertexte visité" xfId="2363" builtinId="9" hidden="1"/>
    <cellStyle name="Lien hypertexte visité" xfId="2399" builtinId="9" hidden="1"/>
    <cellStyle name="Lien hypertexte visité" xfId="2431" builtinId="9" hidden="1"/>
    <cellStyle name="Lien hypertexte visité" xfId="2467" builtinId="9" hidden="1"/>
    <cellStyle name="Lien hypertexte visité" xfId="2503" builtinId="9" hidden="1"/>
    <cellStyle name="Lien hypertexte visité" xfId="2535" builtinId="9" hidden="1"/>
    <cellStyle name="Lien hypertexte visité" xfId="2571" builtinId="9" hidden="1"/>
    <cellStyle name="Lien hypertexte visité" xfId="2603" builtinId="9" hidden="1"/>
    <cellStyle name="Lien hypertexte visité" xfId="2639" builtinId="9" hidden="1"/>
    <cellStyle name="Lien hypertexte visité" xfId="2671" builtinId="9" hidden="1"/>
    <cellStyle name="Lien hypertexte visité" xfId="2707" builtinId="9" hidden="1"/>
    <cellStyle name="Lien hypertexte visité" xfId="2739" builtinId="9" hidden="1"/>
    <cellStyle name="Lien hypertexte visité" xfId="2775" builtinId="9" hidden="1"/>
    <cellStyle name="Lien hypertexte visité" xfId="2807" builtinId="9" hidden="1"/>
    <cellStyle name="Lien hypertexte visité" xfId="2843" builtinId="9" hidden="1"/>
    <cellStyle name="Lien hypertexte visité" xfId="2875" builtinId="9" hidden="1"/>
    <cellStyle name="Lien hypertexte visité" xfId="2911" builtinId="9" hidden="1"/>
    <cellStyle name="Lien hypertexte visité" xfId="2943" builtinId="9" hidden="1"/>
    <cellStyle name="Lien hypertexte visité" xfId="2979" builtinId="9" hidden="1"/>
    <cellStyle name="Lien hypertexte visité" xfId="3015" builtinId="9" hidden="1"/>
    <cellStyle name="Lien hypertexte visité" xfId="3047" builtinId="9" hidden="1"/>
    <cellStyle name="Lien hypertexte visité" xfId="3083" builtinId="9" hidden="1"/>
    <cellStyle name="Lien hypertexte visité" xfId="3115" builtinId="9" hidden="1"/>
    <cellStyle name="Lien hypertexte visité" xfId="3151" builtinId="9" hidden="1"/>
    <cellStyle name="Lien hypertexte visité" xfId="3183" builtinId="9" hidden="1"/>
    <cellStyle name="Lien hypertexte visité" xfId="3219" builtinId="9" hidden="1"/>
    <cellStyle name="Lien hypertexte visité" xfId="3251" builtinId="9" hidden="1"/>
    <cellStyle name="Lien hypertexte visité" xfId="3287" builtinId="9" hidden="1"/>
    <cellStyle name="Lien hypertexte visité" xfId="3319" builtinId="9" hidden="1"/>
    <cellStyle name="Lien hypertexte visité" xfId="3355" builtinId="9" hidden="1"/>
    <cellStyle name="Lien hypertexte visité" xfId="3387" builtinId="9" hidden="1"/>
    <cellStyle name="Lien hypertexte visité" xfId="3423" builtinId="9" hidden="1"/>
    <cellStyle name="Lien hypertexte visité" xfId="3455" builtinId="9" hidden="1"/>
    <cellStyle name="Lien hypertexte visité" xfId="3491" builtinId="9" hidden="1"/>
    <cellStyle name="Lien hypertexte visité" xfId="3527" builtinId="9" hidden="1"/>
    <cellStyle name="Lien hypertexte visité" xfId="3560" builtinId="9" hidden="1"/>
    <cellStyle name="Lien hypertexte visité" xfId="3596" builtinId="9" hidden="1"/>
    <cellStyle name="Lien hypertexte visité" xfId="3628" builtinId="9" hidden="1"/>
    <cellStyle name="Lien hypertexte visité" xfId="3669" builtinId="9" hidden="1"/>
    <cellStyle name="Lien hypertexte visité" xfId="3704" builtinId="9" hidden="1"/>
    <cellStyle name="Lien hypertexte visité" xfId="3740" builtinId="9" hidden="1"/>
    <cellStyle name="Lien hypertexte visité" xfId="3772" builtinId="9" hidden="1"/>
    <cellStyle name="Lien hypertexte visité" xfId="3808" builtinId="9" hidden="1"/>
    <cellStyle name="Lien hypertexte visité" xfId="3840" builtinId="9" hidden="1"/>
    <cellStyle name="Lien hypertexte visité" xfId="3876" builtinId="9" hidden="1"/>
    <cellStyle name="Lien hypertexte visité" xfId="3909" builtinId="9" hidden="1"/>
    <cellStyle name="Lien hypertexte visité" xfId="3724" builtinId="9" hidden="1"/>
    <cellStyle name="Lien hypertexte visité" xfId="3203" builtinId="9" hidden="1"/>
    <cellStyle name="Lien hypertexte visité" xfId="2691" builtinId="9" hidden="1"/>
    <cellStyle name="Lien hypertexte visité" xfId="1430" builtinId="9" hidden="1"/>
    <cellStyle name="Lien hypertexte visité" xfId="1462" builtinId="9" hidden="1"/>
    <cellStyle name="Lien hypertexte visité" xfId="1499" builtinId="9" hidden="1"/>
    <cellStyle name="Lien hypertexte visité" xfId="1531" builtinId="9" hidden="1"/>
    <cellStyle name="Lien hypertexte visité" xfId="1563" builtinId="9" hidden="1"/>
    <cellStyle name="Lien hypertexte visité" xfId="1595" builtinId="9" hidden="1"/>
    <cellStyle name="Lien hypertexte visité" xfId="1631" builtinId="9" hidden="1"/>
    <cellStyle name="Lien hypertexte visité" xfId="1663" builtinId="9" hidden="1"/>
    <cellStyle name="Lien hypertexte visité" xfId="1695" builtinId="9" hidden="1"/>
    <cellStyle name="Lien hypertexte visité" xfId="1727" builtinId="9" hidden="1"/>
    <cellStyle name="Lien hypertexte visité" xfId="1763" builtinId="9" hidden="1"/>
    <cellStyle name="Lien hypertexte visité" xfId="1795" builtinId="9" hidden="1"/>
    <cellStyle name="Lien hypertexte visité" xfId="1827" builtinId="9" hidden="1"/>
    <cellStyle name="Lien hypertexte visité" xfId="1863" builtinId="9" hidden="1"/>
    <cellStyle name="Lien hypertexte visité" xfId="1895" builtinId="9" hidden="1"/>
    <cellStyle name="Lien hypertexte visité" xfId="1927" builtinId="9" hidden="1"/>
    <cellStyle name="Lien hypertexte visité" xfId="1959" builtinId="9" hidden="1"/>
    <cellStyle name="Lien hypertexte visité" xfId="1995" builtinId="9" hidden="1"/>
    <cellStyle name="Lien hypertexte visité" xfId="2027" builtinId="9" hidden="1"/>
    <cellStyle name="Lien hypertexte visité" xfId="2059" builtinId="9" hidden="1"/>
    <cellStyle name="Lien hypertexte visité" xfId="2091" builtinId="9" hidden="1"/>
    <cellStyle name="Lien hypertexte visité" xfId="2127" builtinId="9" hidden="1"/>
    <cellStyle name="Lien hypertexte visité" xfId="2159" builtinId="9" hidden="1"/>
    <cellStyle name="Lien hypertexte visité" xfId="2191" builtinId="9" hidden="1"/>
    <cellStyle name="Lien hypertexte visité" xfId="1603" builtinId="9" hidden="1"/>
    <cellStyle name="Lien hypertexte visité" xfId="1009" builtinId="9" hidden="1"/>
    <cellStyle name="Lien hypertexte visité" xfId="1073" builtinId="9" hidden="1"/>
    <cellStyle name="Lien hypertexte visité" xfId="1137" builtinId="9" hidden="1"/>
    <cellStyle name="Lien hypertexte visité" xfId="1182" builtinId="9" hidden="1"/>
    <cellStyle name="Lien hypertexte visité" xfId="1214" builtinId="9" hidden="1"/>
    <cellStyle name="Lien hypertexte visité" xfId="1250" builtinId="9" hidden="1"/>
    <cellStyle name="Lien hypertexte visité" xfId="1282" builtinId="9" hidden="1"/>
    <cellStyle name="Lien hypertexte visité" xfId="1314" builtinId="9" hidden="1"/>
    <cellStyle name="Lien hypertexte visité" xfId="1346" builtinId="9" hidden="1"/>
    <cellStyle name="Lien hypertexte visité" xfId="1378" builtinId="9" hidden="1"/>
    <cellStyle name="Lien hypertexte visité" xfId="1410" builtinId="9" hidden="1"/>
    <cellStyle name="Lien hypertexte visité" xfId="617" builtinId="9" hidden="1"/>
    <cellStyle name="Lien hypertexte visité" xfId="681" builtinId="9" hidden="1"/>
    <cellStyle name="Lien hypertexte visité" xfId="745" builtinId="9" hidden="1"/>
    <cellStyle name="Lien hypertexte visité" xfId="809" builtinId="9" hidden="1"/>
    <cellStyle name="Lien hypertexte visité" xfId="873" builtinId="9" hidden="1"/>
    <cellStyle name="Lien hypertexte visité" xfId="937" builtinId="9" hidden="1"/>
    <cellStyle name="Lien hypertexte visité" xfId="465" builtinId="9" hidden="1"/>
    <cellStyle name="Lien hypertexte visité" xfId="529" builtinId="9" hidden="1"/>
    <cellStyle name="Lien hypertexte visité" xfId="593" builtinId="9" hidden="1"/>
    <cellStyle name="Lien hypertexte visité" xfId="393" builtinId="9" hidden="1"/>
    <cellStyle name="Lien hypertexte visité" xfId="321" builtinId="9" hidden="1"/>
    <cellStyle name="Lien hypertexte visité" xfId="257" builtinId="9" hidden="1"/>
    <cellStyle name="Lien hypertexte visité" xfId="297" builtinId="9" hidden="1"/>
    <cellStyle name="Lien hypertexte visité" xfId="369" builtinId="9" hidden="1"/>
    <cellStyle name="Lien hypertexte visité" xfId="569" builtinId="9" hidden="1"/>
    <cellStyle name="Lien hypertexte visité" xfId="505" builtinId="9" hidden="1"/>
    <cellStyle name="Lien hypertexte visité" xfId="441" builtinId="9" hidden="1"/>
    <cellStyle name="Lien hypertexte visité" xfId="913" builtinId="9" hidden="1"/>
    <cellStyle name="Lien hypertexte visité" xfId="849" builtinId="9" hidden="1"/>
    <cellStyle name="Lien hypertexte visité" xfId="785" builtinId="9" hidden="1"/>
    <cellStyle name="Lien hypertexte visité" xfId="721" builtinId="9" hidden="1"/>
    <cellStyle name="Lien hypertexte visité" xfId="657" builtinId="9" hidden="1"/>
    <cellStyle name="Lien hypertexte visité" xfId="1218" builtinId="9" hidden="1"/>
    <cellStyle name="Lien hypertexte visité" xfId="1398" builtinId="9" hidden="1"/>
    <cellStyle name="Lien hypertexte visité" xfId="1366" builtinId="9" hidden="1"/>
    <cellStyle name="Lien hypertexte visité" xfId="1334" builtinId="9" hidden="1"/>
    <cellStyle name="Lien hypertexte visité" xfId="1302" builtinId="9" hidden="1"/>
    <cellStyle name="Lien hypertexte visité" xfId="1270" builtinId="9" hidden="1"/>
    <cellStyle name="Lien hypertexte visité" xfId="1238" builtinId="9" hidden="1"/>
    <cellStyle name="Lien hypertexte visité" xfId="1202" builtinId="9" hidden="1"/>
    <cellStyle name="Lien hypertexte visité" xfId="1170" builtinId="9" hidden="1"/>
    <cellStyle name="Lien hypertexte visité" xfId="1113" builtinId="9" hidden="1"/>
    <cellStyle name="Lien hypertexte visité" xfId="1049" builtinId="9" hidden="1"/>
    <cellStyle name="Lien hypertexte visité" xfId="985" builtinId="9" hidden="1"/>
    <cellStyle name="Lien hypertexte visité" xfId="1987" builtinId="9" hidden="1"/>
    <cellStyle name="Lien hypertexte visité" xfId="2179" builtinId="9" hidden="1"/>
    <cellStyle name="Lien hypertexte visité" xfId="2147" builtinId="9" hidden="1"/>
    <cellStyle name="Lien hypertexte visité" xfId="2111" builtinId="9" hidden="1"/>
    <cellStyle name="Lien hypertexte visité" xfId="2079" builtinId="9" hidden="1"/>
    <cellStyle name="Lien hypertexte visité" xfId="2047" builtinId="9" hidden="1"/>
    <cellStyle name="Lien hypertexte visité" xfId="2015" builtinId="9" hidden="1"/>
    <cellStyle name="Lien hypertexte visité" xfId="1979" builtinId="9" hidden="1"/>
    <cellStyle name="Lien hypertexte visité" xfId="1947" builtinId="9" hidden="1"/>
    <cellStyle name="Lien hypertexte visité" xfId="1915" builtinId="9" hidden="1"/>
    <cellStyle name="Lien hypertexte visité" xfId="1883" builtinId="9" hidden="1"/>
    <cellStyle name="Lien hypertexte visité" xfId="1847" builtinId="9" hidden="1"/>
    <cellStyle name="Lien hypertexte visité" xfId="1815" builtinId="9" hidden="1"/>
    <cellStyle name="Lien hypertexte visité" xfId="1783" builtinId="9" hidden="1"/>
    <cellStyle name="Lien hypertexte visité" xfId="1751" builtinId="9" hidden="1"/>
    <cellStyle name="Lien hypertexte visité" xfId="1715" builtinId="9" hidden="1"/>
    <cellStyle name="Lien hypertexte visité" xfId="1683" builtinId="9" hidden="1"/>
    <cellStyle name="Lien hypertexte visité" xfId="1651" builtinId="9" hidden="1"/>
    <cellStyle name="Lien hypertexte visité" xfId="1619" builtinId="9" hidden="1"/>
    <cellStyle name="Lien hypertexte visité" xfId="1583" builtinId="9" hidden="1"/>
    <cellStyle name="Lien hypertexte visité" xfId="1551" builtinId="9" hidden="1"/>
    <cellStyle name="Lien hypertexte visité" xfId="1519" builtinId="9" hidden="1"/>
    <cellStyle name="Lien hypertexte visité" xfId="1486" builtinId="9" hidden="1"/>
    <cellStyle name="Lien hypertexte visité" xfId="1450" builtinId="9" hidden="1"/>
    <cellStyle name="Lien hypertexte visité" xfId="2371" builtinId="9" hidden="1"/>
    <cellStyle name="Lien hypertexte visité" xfId="2883" builtinId="9" hidden="1"/>
    <cellStyle name="Lien hypertexte visité" xfId="3395" builtinId="9" hidden="1"/>
    <cellStyle name="Lien hypertexte visité" xfId="3917" builtinId="9" hidden="1"/>
    <cellStyle name="Lien hypertexte visité" xfId="3897" builtinId="9" hidden="1"/>
    <cellStyle name="Lien hypertexte visité" xfId="3864" builtinId="9" hidden="1"/>
    <cellStyle name="Lien hypertexte visité" xfId="3828" builtinId="9" hidden="1"/>
    <cellStyle name="Lien hypertexte visité" xfId="3796" builtinId="9" hidden="1"/>
    <cellStyle name="Lien hypertexte visité" xfId="3760" builtinId="9" hidden="1"/>
    <cellStyle name="Lien hypertexte visité" xfId="3728" builtinId="9" hidden="1"/>
    <cellStyle name="Lien hypertexte visité" xfId="3691" builtinId="9" hidden="1"/>
    <cellStyle name="Lien hypertexte visité" xfId="3648" builtinId="9" hidden="1"/>
    <cellStyle name="Lien hypertexte visité" xfId="3616" builtinId="9" hidden="1"/>
    <cellStyle name="Lien hypertexte visité" xfId="3580" builtinId="9" hidden="1"/>
    <cellStyle name="Lien hypertexte visité" xfId="3547" builtinId="9" hidden="1"/>
    <cellStyle name="Lien hypertexte visité" xfId="3511" builtinId="9" hidden="1"/>
    <cellStyle name="Lien hypertexte visité" xfId="3479" builtinId="9" hidden="1"/>
    <cellStyle name="Lien hypertexte visité" xfId="3443" builtinId="9" hidden="1"/>
    <cellStyle name="Lien hypertexte visité" xfId="3411" builtinId="9" hidden="1"/>
    <cellStyle name="Lien hypertexte visité" xfId="3375" builtinId="9" hidden="1"/>
    <cellStyle name="Lien hypertexte visité" xfId="3343" builtinId="9" hidden="1"/>
    <cellStyle name="Lien hypertexte visité" xfId="3307" builtinId="9" hidden="1"/>
    <cellStyle name="Lien hypertexte visité" xfId="3275" builtinId="9" hidden="1"/>
    <cellStyle name="Lien hypertexte visité" xfId="3239" builtinId="9" hidden="1"/>
    <cellStyle name="Lien hypertexte visité" xfId="3207" builtinId="9" hidden="1"/>
    <cellStyle name="Lien hypertexte visité" xfId="3171" builtinId="9" hidden="1"/>
    <cellStyle name="Lien hypertexte visité" xfId="3135" builtinId="9" hidden="1"/>
    <cellStyle name="Lien hypertexte visité" xfId="3103" builtinId="9" hidden="1"/>
    <cellStyle name="Lien hypertexte visité" xfId="3067" builtinId="9" hidden="1"/>
    <cellStyle name="Lien hypertexte visité" xfId="3035" builtinId="9" hidden="1"/>
    <cellStyle name="Lien hypertexte visité" xfId="2999" builtinId="9" hidden="1"/>
    <cellStyle name="Lien hypertexte visité" xfId="2967" builtinId="9" hidden="1"/>
    <cellStyle name="Lien hypertexte visité" xfId="2931" builtinId="9" hidden="1"/>
    <cellStyle name="Lien hypertexte visité" xfId="2899" builtinId="9" hidden="1"/>
    <cellStyle name="Lien hypertexte visité" xfId="2863" builtinId="9" hidden="1"/>
    <cellStyle name="Lien hypertexte visité" xfId="2831" builtinId="9" hidden="1"/>
    <cellStyle name="Lien hypertexte visité" xfId="2795" builtinId="9" hidden="1"/>
    <cellStyle name="Lien hypertexte visité" xfId="2763" builtinId="9" hidden="1"/>
    <cellStyle name="Lien hypertexte visité" xfId="2727" builtinId="9" hidden="1"/>
    <cellStyle name="Lien hypertexte visité" xfId="2695" builtinId="9" hidden="1"/>
    <cellStyle name="Lien hypertexte visité" xfId="2659" builtinId="9" hidden="1"/>
    <cellStyle name="Lien hypertexte visité" xfId="2623" builtinId="9" hidden="1"/>
    <cellStyle name="Lien hypertexte visité" xfId="2591" builtinId="9" hidden="1"/>
    <cellStyle name="Lien hypertexte visité" xfId="2555" builtinId="9" hidden="1"/>
    <cellStyle name="Lien hypertexte visité" xfId="2523" builtinId="9" hidden="1"/>
    <cellStyle name="Lien hypertexte visité" xfId="2487" builtinId="9" hidden="1"/>
    <cellStyle name="Lien hypertexte visité" xfId="2455" builtinId="9" hidden="1"/>
    <cellStyle name="Lien hypertexte visité" xfId="2419" builtinId="9" hidden="1"/>
    <cellStyle name="Lien hypertexte visité" xfId="2387" builtinId="9" hidden="1"/>
    <cellStyle name="Lien hypertexte visité" xfId="2351" builtinId="9" hidden="1"/>
    <cellStyle name="Lien hypertexte visité" xfId="2319" builtinId="9" hidden="1"/>
    <cellStyle name="Lien hypertexte visité" xfId="2283" builtinId="9" hidden="1"/>
    <cellStyle name="Lien hypertexte visité" xfId="2251" builtinId="9" hidden="1"/>
    <cellStyle name="Lien hypertexte visité" xfId="2215" builtinId="9" hidden="1"/>
    <cellStyle name="Lien hypertexte visité" xfId="4105" builtinId="9" hidden="1"/>
    <cellStyle name="Lien hypertexte visité" xfId="4361" builtinId="9" hidden="1"/>
    <cellStyle name="Lien hypertexte visité" xfId="4617" builtinId="9" hidden="1"/>
    <cellStyle name="Lien hypertexte visité" xfId="4873" builtinId="9" hidden="1"/>
    <cellStyle name="Lien hypertexte visité" xfId="5129" builtinId="9" hidden="1"/>
    <cellStyle name="Lien hypertexte visité" xfId="5385" builtinId="9" hidden="1"/>
    <cellStyle name="Lien hypertexte visité" xfId="5641" builtinId="9" hidden="1"/>
    <cellStyle name="Lien hypertexte visité" xfId="5897" builtinId="9" hidden="1"/>
    <cellStyle name="Lien hypertexte visité" xfId="6153" builtinId="9" hidden="1"/>
    <cellStyle name="Lien hypertexte visité" xfId="6409" builtinId="9" hidden="1"/>
    <cellStyle name="Lien hypertexte visité" xfId="6665" builtinId="9" hidden="1"/>
    <cellStyle name="Lien hypertexte visité" xfId="6921" builtinId="9" hidden="1"/>
    <cellStyle name="Lien hypertexte visité" xfId="7177" builtinId="9" hidden="1"/>
    <cellStyle name="Lien hypertexte visité" xfId="7433" builtinId="9" hidden="1"/>
    <cellStyle name="Lien hypertexte visité" xfId="7689" builtinId="9" hidden="1"/>
    <cellStyle name="Lien hypertexte visité" xfId="7946" builtinId="9" hidden="1"/>
    <cellStyle name="Lien hypertexte visité" xfId="8202" builtinId="9" hidden="1"/>
    <cellStyle name="Lien hypertexte visité" xfId="8182" builtinId="9" hidden="1"/>
    <cellStyle name="Lien hypertexte visité" xfId="8146" builtinId="9" hidden="1"/>
    <cellStyle name="Lien hypertexte visité" xfId="8110" builtinId="9" hidden="1"/>
    <cellStyle name="Lien hypertexte visité" xfId="8070" builtinId="9" hidden="1"/>
    <cellStyle name="Lien hypertexte visité" xfId="8034" builtinId="9" hidden="1"/>
    <cellStyle name="Lien hypertexte visité" xfId="7998" builtinId="9" hidden="1"/>
    <cellStyle name="Lien hypertexte visité" xfId="7962" builtinId="9" hidden="1"/>
    <cellStyle name="Lien hypertexte visité" xfId="7926" builtinId="9" hidden="1"/>
    <cellStyle name="Lien hypertexte visité" xfId="7890" builtinId="9" hidden="1"/>
    <cellStyle name="Lien hypertexte visité" xfId="7854" builtinId="9" hidden="1"/>
    <cellStyle name="Lien hypertexte visité" xfId="7814" builtinId="9" hidden="1"/>
    <cellStyle name="Lien hypertexte visité" xfId="7777" builtinId="9" hidden="1"/>
    <cellStyle name="Lien hypertexte visité" xfId="7741" builtinId="9" hidden="1"/>
    <cellStyle name="Lien hypertexte visité" xfId="7705" builtinId="9" hidden="1"/>
    <cellStyle name="Lien hypertexte visité" xfId="7669" builtinId="9" hidden="1"/>
    <cellStyle name="Lien hypertexte visité" xfId="7633" builtinId="9" hidden="1"/>
    <cellStyle name="Lien hypertexte visité" xfId="7597" builtinId="9" hidden="1"/>
    <cellStyle name="Lien hypertexte visité" xfId="7557" builtinId="9" hidden="1"/>
    <cellStyle name="Lien hypertexte visité" xfId="7521" builtinId="9" hidden="1"/>
    <cellStyle name="Lien hypertexte visité" xfId="7485" builtinId="9" hidden="1"/>
    <cellStyle name="Lien hypertexte visité" xfId="7449" builtinId="9" hidden="1"/>
    <cellStyle name="Lien hypertexte visité" xfId="7413" builtinId="9" hidden="1"/>
    <cellStyle name="Lien hypertexte visité" xfId="7377" builtinId="9" hidden="1"/>
    <cellStyle name="Lien hypertexte visité" xfId="7341" builtinId="9" hidden="1"/>
    <cellStyle name="Lien hypertexte visité" xfId="7301" builtinId="9" hidden="1"/>
    <cellStyle name="Lien hypertexte visité" xfId="7265" builtinId="9" hidden="1"/>
    <cellStyle name="Lien hypertexte visité" xfId="7229" builtinId="9" hidden="1"/>
    <cellStyle name="Lien hypertexte visité" xfId="7193" builtinId="9" hidden="1"/>
    <cellStyle name="Lien hypertexte visité" xfId="7157" builtinId="9" hidden="1"/>
    <cellStyle name="Lien hypertexte visité" xfId="7121" builtinId="9" hidden="1"/>
    <cellStyle name="Lien hypertexte visité" xfId="7085" builtinId="9" hidden="1"/>
    <cellStyle name="Lien hypertexte visité" xfId="7045" builtinId="9" hidden="1"/>
    <cellStyle name="Lien hypertexte visité" xfId="7009" builtinId="9" hidden="1"/>
    <cellStyle name="Lien hypertexte visité" xfId="6973" builtinId="9" hidden="1"/>
    <cellStyle name="Lien hypertexte visité" xfId="6937" builtinId="9" hidden="1"/>
    <cellStyle name="Lien hypertexte visité" xfId="6901" builtinId="9" hidden="1"/>
    <cellStyle name="Lien hypertexte visité" xfId="6865" builtinId="9" hidden="1"/>
    <cellStyle name="Lien hypertexte visité" xfId="6829" builtinId="9" hidden="1"/>
    <cellStyle name="Lien hypertexte visité" xfId="6789" builtinId="9" hidden="1"/>
    <cellStyle name="Lien hypertexte visité" xfId="6753" builtinId="9" hidden="1"/>
    <cellStyle name="Lien hypertexte visité" xfId="6717" builtinId="9" hidden="1"/>
    <cellStyle name="Lien hypertexte visité" xfId="6681" builtinId="9" hidden="1"/>
    <cellStyle name="Lien hypertexte visité" xfId="6645" builtinId="9" hidden="1"/>
    <cellStyle name="Lien hypertexte visité" xfId="6609" builtinId="9" hidden="1"/>
    <cellStyle name="Lien hypertexte visité" xfId="6573" builtinId="9" hidden="1"/>
    <cellStyle name="Lien hypertexte visité" xfId="6533" builtinId="9" hidden="1"/>
    <cellStyle name="Lien hypertexte visité" xfId="6497" builtinId="9" hidden="1"/>
    <cellStyle name="Lien hypertexte visité" xfId="6461" builtinId="9" hidden="1"/>
    <cellStyle name="Lien hypertexte visité" xfId="6425" builtinId="9" hidden="1"/>
    <cellStyle name="Lien hypertexte visité" xfId="6389" builtinId="9" hidden="1"/>
    <cellStyle name="Lien hypertexte visité" xfId="6353" builtinId="9" hidden="1"/>
    <cellStyle name="Lien hypertexte visité" xfId="6317" builtinId="9" hidden="1"/>
    <cellStyle name="Lien hypertexte visité" xfId="6277" builtinId="9" hidden="1"/>
    <cellStyle name="Lien hypertexte visité" xfId="6241" builtinId="9" hidden="1"/>
    <cellStyle name="Lien hypertexte visité" xfId="6205" builtinId="9" hidden="1"/>
    <cellStyle name="Lien hypertexte visité" xfId="6169" builtinId="9" hidden="1"/>
    <cellStyle name="Lien hypertexte visité" xfId="6133" builtinId="9" hidden="1"/>
    <cellStyle name="Lien hypertexte visité" xfId="6097" builtinId="9" hidden="1"/>
    <cellStyle name="Lien hypertexte visité" xfId="6061" builtinId="9" hidden="1"/>
    <cellStyle name="Lien hypertexte visité" xfId="6021" builtinId="9" hidden="1"/>
    <cellStyle name="Lien hypertexte visité" xfId="5985" builtinId="9" hidden="1"/>
    <cellStyle name="Lien hypertexte visité" xfId="5949" builtinId="9" hidden="1"/>
    <cellStyle name="Lien hypertexte visité" xfId="5913" builtinId="9" hidden="1"/>
    <cellStyle name="Lien hypertexte visité" xfId="5877" builtinId="9" hidden="1"/>
    <cellStyle name="Lien hypertexte visité" xfId="5841" builtinId="9" hidden="1"/>
    <cellStyle name="Lien hypertexte visité" xfId="5805" builtinId="9" hidden="1"/>
    <cellStyle name="Lien hypertexte visité" xfId="5765" builtinId="9" hidden="1"/>
    <cellStyle name="Lien hypertexte visité" xfId="5729" builtinId="9" hidden="1"/>
    <cellStyle name="Lien hypertexte visité" xfId="5693" builtinId="9" hidden="1"/>
    <cellStyle name="Lien hypertexte visité" xfId="5657" builtinId="9" hidden="1"/>
    <cellStyle name="Lien hypertexte visité" xfId="5621" builtinId="9" hidden="1"/>
    <cellStyle name="Lien hypertexte visité" xfId="5585" builtinId="9" hidden="1"/>
    <cellStyle name="Lien hypertexte visité" xfId="5549" builtinId="9" hidden="1"/>
    <cellStyle name="Lien hypertexte visité" xfId="5509" builtinId="9" hidden="1"/>
    <cellStyle name="Lien hypertexte visité" xfId="5473" builtinId="9" hidden="1"/>
    <cellStyle name="Lien hypertexte visité" xfId="5437" builtinId="9" hidden="1"/>
    <cellStyle name="Lien hypertexte visité" xfId="5401" builtinId="9" hidden="1"/>
    <cellStyle name="Lien hypertexte visité" xfId="5365" builtinId="9" hidden="1"/>
    <cellStyle name="Lien hypertexte visité" xfId="5329" builtinId="9" hidden="1"/>
    <cellStyle name="Lien hypertexte visité" xfId="5293" builtinId="9" hidden="1"/>
    <cellStyle name="Lien hypertexte visité" xfId="5253" builtinId="9" hidden="1"/>
    <cellStyle name="Lien hypertexte visité" xfId="5217" builtinId="9" hidden="1"/>
    <cellStyle name="Lien hypertexte visité" xfId="5181" builtinId="9" hidden="1"/>
    <cellStyle name="Lien hypertexte visité" xfId="5145" builtinId="9" hidden="1"/>
    <cellStyle name="Lien hypertexte visité" xfId="5109" builtinId="9" hidden="1"/>
    <cellStyle name="Lien hypertexte visité" xfId="5073" builtinId="9" hidden="1"/>
    <cellStyle name="Lien hypertexte visité" xfId="5037" builtinId="9" hidden="1"/>
    <cellStyle name="Lien hypertexte visité" xfId="4997" builtinId="9" hidden="1"/>
    <cellStyle name="Lien hypertexte visité" xfId="4961" builtinId="9" hidden="1"/>
    <cellStyle name="Lien hypertexte visité" xfId="4925" builtinId="9" hidden="1"/>
    <cellStyle name="Lien hypertexte visité" xfId="4889" builtinId="9" hidden="1"/>
    <cellStyle name="Lien hypertexte visité" xfId="4853" builtinId="9" hidden="1"/>
    <cellStyle name="Lien hypertexte visité" xfId="4817" builtinId="9" hidden="1"/>
    <cellStyle name="Lien hypertexte visité" xfId="4781" builtinId="9" hidden="1"/>
    <cellStyle name="Lien hypertexte visité" xfId="4741" builtinId="9" hidden="1"/>
    <cellStyle name="Lien hypertexte visité" xfId="4705" builtinId="9" hidden="1"/>
    <cellStyle name="Lien hypertexte visité" xfId="4669" builtinId="9" hidden="1"/>
    <cellStyle name="Lien hypertexte visité" xfId="4633" builtinId="9" hidden="1"/>
    <cellStyle name="Lien hypertexte visité" xfId="4597" builtinId="9" hidden="1"/>
    <cellStyle name="Lien hypertexte visité" xfId="4561" builtinId="9" hidden="1"/>
    <cellStyle name="Lien hypertexte visité" xfId="4525" builtinId="9" hidden="1"/>
    <cellStyle name="Lien hypertexte visité" xfId="4485" builtinId="9" hidden="1"/>
    <cellStyle name="Lien hypertexte visité" xfId="4449" builtinId="9" hidden="1"/>
    <cellStyle name="Lien hypertexte visité" xfId="4413" builtinId="9" hidden="1"/>
    <cellStyle name="Lien hypertexte visité" xfId="4377" builtinId="9" hidden="1"/>
    <cellStyle name="Lien hypertexte visité" xfId="4341" builtinId="9" hidden="1"/>
    <cellStyle name="Lien hypertexte visité" xfId="4305" builtinId="9" hidden="1"/>
    <cellStyle name="Lien hypertexte visité" xfId="4269" builtinId="9" hidden="1"/>
    <cellStyle name="Lien hypertexte visité" xfId="4229" builtinId="9" hidden="1"/>
    <cellStyle name="Lien hypertexte visité" xfId="4193" builtinId="9" hidden="1"/>
    <cellStyle name="Lien hypertexte visité" xfId="4157" builtinId="9" hidden="1"/>
    <cellStyle name="Lien hypertexte visité" xfId="4121" builtinId="9" hidden="1"/>
    <cellStyle name="Lien hypertexte visité" xfId="4085" builtinId="9" hidden="1"/>
    <cellStyle name="Lien hypertexte visité" xfId="4049" builtinId="9" hidden="1"/>
    <cellStyle name="Lien hypertexte visité" xfId="4013" builtinId="9" hidden="1"/>
    <cellStyle name="Lien hypertexte visité" xfId="3973" builtinId="9" hidden="1"/>
    <cellStyle name="Lien hypertexte visité" xfId="3937" builtinId="9" hidden="1"/>
    <cellStyle name="Lien hypertexte visité" xfId="8298" builtinId="9" hidden="1"/>
    <cellStyle name="Lien hypertexte visité" xfId="8426" builtinId="9" hidden="1"/>
    <cellStyle name="Lien hypertexte visité" xfId="8554" builtinId="9" hidden="1"/>
    <cellStyle name="Lien hypertexte visité" xfId="8682" builtinId="9" hidden="1"/>
    <cellStyle name="Lien hypertexte visité" xfId="8810" builtinId="9" hidden="1"/>
    <cellStyle name="Lien hypertexte visité" xfId="8938" builtinId="9" hidden="1"/>
    <cellStyle name="Lien hypertexte visité" xfId="9066" builtinId="9" hidden="1"/>
    <cellStyle name="Lien hypertexte visité" xfId="9194" builtinId="9" hidden="1"/>
    <cellStyle name="Lien hypertexte visité" xfId="9322" builtinId="9" hidden="1"/>
    <cellStyle name="Lien hypertexte visité" xfId="9450" builtinId="9" hidden="1"/>
    <cellStyle name="Lien hypertexte visité" xfId="9578" builtinId="9" hidden="1"/>
    <cellStyle name="Lien hypertexte visité" xfId="9706" builtinId="9" hidden="1"/>
    <cellStyle name="Lien hypertexte visité" xfId="9834" builtinId="9" hidden="1"/>
    <cellStyle name="Lien hypertexte visité" xfId="9962" builtinId="9" hidden="1"/>
    <cellStyle name="Lien hypertexte visité" xfId="10090" builtinId="9" hidden="1"/>
    <cellStyle name="Lien hypertexte visité" xfId="10218" builtinId="9" hidden="1"/>
    <cellStyle name="Lien hypertexte visité" xfId="10346" builtinId="9" hidden="1"/>
    <cellStyle name="Lien hypertexte visité" xfId="10474" builtinId="9" hidden="1"/>
    <cellStyle name="Lien hypertexte visité" xfId="10602" builtinId="9" hidden="1"/>
    <cellStyle name="Lien hypertexte visité" xfId="10730" builtinId="9" hidden="1"/>
    <cellStyle name="Lien hypertexte visité" xfId="10858" builtinId="9" hidden="1"/>
    <cellStyle name="Lien hypertexte visité" xfId="10986" builtinId="9" hidden="1"/>
    <cellStyle name="Lien hypertexte visité" xfId="11114" builtinId="9" hidden="1"/>
    <cellStyle name="Lien hypertexte visité" xfId="11242" builtinId="9" hidden="1"/>
    <cellStyle name="Lien hypertexte visité" xfId="11370" builtinId="9" hidden="1"/>
    <cellStyle name="Lien hypertexte visité" xfId="11498" builtinId="9" hidden="1"/>
    <cellStyle name="Lien hypertexte visité" xfId="11626" builtinId="9" hidden="1"/>
    <cellStyle name="Lien hypertexte visité" xfId="11754" builtinId="9" hidden="1"/>
    <cellStyle name="Lien hypertexte visité" xfId="11882" builtinId="9" hidden="1"/>
    <cellStyle name="Lien hypertexte visité" xfId="12010" builtinId="9" hidden="1"/>
    <cellStyle name="Lien hypertexte visité" xfId="12138" builtinId="9" hidden="1"/>
    <cellStyle name="Lien hypertexte visité" xfId="12266" builtinId="9" hidden="1"/>
    <cellStyle name="Lien hypertexte visité" xfId="12394" builtinId="9" hidden="1"/>
    <cellStyle name="Lien hypertexte visité" xfId="12522" builtinId="9" hidden="1"/>
    <cellStyle name="Lien hypertexte visité" xfId="12650" builtinId="9" hidden="1"/>
    <cellStyle name="Lien hypertexte visité" xfId="12778" builtinId="9" hidden="1"/>
    <cellStyle name="Lien hypertexte visité" xfId="12906" builtinId="9" hidden="1"/>
    <cellStyle name="Lien hypertexte visité" xfId="13034" builtinId="9" hidden="1"/>
    <cellStyle name="Lien hypertexte visité" xfId="13162" builtinId="9" hidden="1"/>
    <cellStyle name="Lien hypertexte visité" xfId="13290" builtinId="9" hidden="1"/>
    <cellStyle name="Lien hypertexte visité" xfId="13418" builtinId="9" hidden="1"/>
    <cellStyle name="Lien hypertexte visité" xfId="13546" builtinId="9" hidden="1"/>
    <cellStyle name="Lien hypertexte visité" xfId="13674" builtinId="9" hidden="1"/>
    <cellStyle name="Lien hypertexte visité" xfId="13802" builtinId="9" hidden="1"/>
    <cellStyle name="Lien hypertexte visité" xfId="13930" builtinId="9" hidden="1"/>
    <cellStyle name="Lien hypertexte visité" xfId="14058" builtinId="9" hidden="1"/>
    <cellStyle name="Lien hypertexte visité" xfId="14186" builtinId="9" hidden="1"/>
    <cellStyle name="Lien hypertexte visité" xfId="14314" builtinId="9" hidden="1"/>
    <cellStyle name="Lien hypertexte visité" xfId="14442" builtinId="9" hidden="1"/>
    <cellStyle name="Lien hypertexte visité" xfId="14625" builtinId="9" hidden="1"/>
    <cellStyle name="Lien hypertexte visité" xfId="14881" builtinId="9" hidden="1"/>
    <cellStyle name="Lien hypertexte visité" xfId="15137" builtinId="9" hidden="1"/>
    <cellStyle name="Lien hypertexte visité" xfId="15393" builtinId="9" hidden="1"/>
    <cellStyle name="Lien hypertexte visité" xfId="15649" builtinId="9" hidden="1"/>
    <cellStyle name="Lien hypertexte visité" xfId="15905" builtinId="9" hidden="1"/>
    <cellStyle name="Lien hypertexte visité" xfId="16161" builtinId="9" hidden="1"/>
    <cellStyle name="Lien hypertexte visité" xfId="16417" builtinId="9" hidden="1"/>
    <cellStyle name="Lien hypertexte visité" xfId="16673" builtinId="9" hidden="1"/>
    <cellStyle name="Lien hypertexte visité" xfId="16929" builtinId="9" hidden="1"/>
    <cellStyle name="Lien hypertexte visité" xfId="17185" builtinId="9" hidden="1"/>
    <cellStyle name="Lien hypertexte visité" xfId="17441" builtinId="9" hidden="1"/>
    <cellStyle name="Lien hypertexte visité" xfId="17697" builtinId="9" hidden="1"/>
    <cellStyle name="Lien hypertexte visité" xfId="17953" builtinId="9" hidden="1"/>
    <cellStyle name="Lien hypertexte visité" xfId="18209" builtinId="9" hidden="1"/>
    <cellStyle name="Lien hypertexte visité" xfId="18448" builtinId="9" hidden="1"/>
    <cellStyle name="Lien hypertexte visité" xfId="18704" builtinId="9" hidden="1"/>
    <cellStyle name="Lien hypertexte visité" xfId="18960" builtinId="9" hidden="1"/>
    <cellStyle name="Lien hypertexte visité" xfId="19216" builtinId="9" hidden="1"/>
    <cellStyle name="Lien hypertexte visité" xfId="19472" builtinId="9" hidden="1"/>
    <cellStyle name="Lien hypertexte visité" xfId="19728" builtinId="9" hidden="1"/>
    <cellStyle name="Lien hypertexte visité" xfId="19984" builtinId="9" hidden="1"/>
    <cellStyle name="Lien hypertexte visité" xfId="20240" builtinId="9" hidden="1"/>
    <cellStyle name="Lien hypertexte visité" xfId="20496" builtinId="9" hidden="1"/>
    <cellStyle name="Lien hypertexte visité" xfId="20752" builtinId="9" hidden="1"/>
    <cellStyle name="Lien hypertexte visité" xfId="21008" builtinId="9" hidden="1"/>
    <cellStyle name="Lien hypertexte visité" xfId="21264" builtinId="9" hidden="1"/>
    <cellStyle name="Lien hypertexte visité" xfId="21520" builtinId="9" hidden="1"/>
    <cellStyle name="Lien hypertexte visité" xfId="21776" builtinId="9" hidden="1"/>
    <cellStyle name="Lien hypertexte visité" xfId="22032" builtinId="9" hidden="1"/>
    <cellStyle name="Lien hypertexte visité" xfId="22288" builtinId="9" hidden="1"/>
    <cellStyle name="Lien hypertexte visité" xfId="22544" builtinId="9" hidden="1"/>
    <cellStyle name="Lien hypertexte visité" xfId="22800" builtinId="9" hidden="1"/>
    <cellStyle name="Lien hypertexte visité" xfId="23056" builtinId="9" hidden="1"/>
    <cellStyle name="Lien hypertexte visité" xfId="23312" builtinId="9" hidden="1"/>
    <cellStyle name="Lien hypertexte visité" xfId="23568" builtinId="9" hidden="1"/>
    <cellStyle name="Lien hypertexte visité" xfId="23824" builtinId="9" hidden="1"/>
    <cellStyle name="Lien hypertexte visité" xfId="24080" builtinId="9" hidden="1"/>
    <cellStyle name="Lien hypertexte visité" xfId="24336" builtinId="9" hidden="1"/>
    <cellStyle name="Lien hypertexte visité" xfId="24592" builtinId="9" hidden="1"/>
    <cellStyle name="Lien hypertexte visité" xfId="24378" builtinId="9" hidden="1"/>
    <cellStyle name="Lien hypertexte visité" xfId="24122" builtinId="9" hidden="1"/>
    <cellStyle name="Lien hypertexte visité" xfId="23866" builtinId="9" hidden="1"/>
    <cellStyle name="Lien hypertexte visité" xfId="23610" builtinId="9" hidden="1"/>
    <cellStyle name="Lien hypertexte visité" xfId="23354" builtinId="9" hidden="1"/>
    <cellStyle name="Lien hypertexte visité" xfId="23098" builtinId="9" hidden="1"/>
    <cellStyle name="Lien hypertexte visité" xfId="22842" builtinId="9" hidden="1"/>
    <cellStyle name="Lien hypertexte visité" xfId="22586" builtinId="9" hidden="1"/>
    <cellStyle name="Lien hypertexte visité" xfId="22330" builtinId="9" hidden="1"/>
    <cellStyle name="Lien hypertexte visité" xfId="22074" builtinId="9" hidden="1"/>
    <cellStyle name="Lien hypertexte visité" xfId="21818" builtinId="9" hidden="1"/>
    <cellStyle name="Lien hypertexte visité" xfId="21562" builtinId="9" hidden="1"/>
    <cellStyle name="Lien hypertexte visité" xfId="21306" builtinId="9" hidden="1"/>
    <cellStyle name="Lien hypertexte visité" xfId="21050" builtinId="9" hidden="1"/>
    <cellStyle name="Lien hypertexte visité" xfId="20794" builtinId="9" hidden="1"/>
    <cellStyle name="Lien hypertexte visité" xfId="20538" builtinId="9" hidden="1"/>
    <cellStyle name="Lien hypertexte visité" xfId="20282" builtinId="9" hidden="1"/>
    <cellStyle name="Lien hypertexte visité" xfId="20026" builtinId="9" hidden="1"/>
    <cellStyle name="Lien hypertexte visité" xfId="19770" builtinId="9" hidden="1"/>
    <cellStyle name="Lien hypertexte visité" xfId="19514" builtinId="9" hidden="1"/>
    <cellStyle name="Lien hypertexte visité" xfId="19258" builtinId="9" hidden="1"/>
    <cellStyle name="Lien hypertexte visité" xfId="19002" builtinId="9" hidden="1"/>
    <cellStyle name="Lien hypertexte visité" xfId="18746" builtinId="9" hidden="1"/>
    <cellStyle name="Lien hypertexte visité" xfId="18490" builtinId="9" hidden="1"/>
    <cellStyle name="Lien hypertexte visité" xfId="18251" builtinId="9" hidden="1"/>
    <cellStyle name="Lien hypertexte visité" xfId="17995" builtinId="9" hidden="1"/>
    <cellStyle name="Lien hypertexte visité" xfId="17739" builtinId="9" hidden="1"/>
    <cellStyle name="Lien hypertexte visité" xfId="17483" builtinId="9" hidden="1"/>
    <cellStyle name="Lien hypertexte visité" xfId="17339" builtinId="9" hidden="1"/>
    <cellStyle name="Lien hypertexte visité" xfId="17427" builtinId="9" hidden="1"/>
    <cellStyle name="Lien hypertexte visité" xfId="17507" builtinId="9" hidden="1"/>
    <cellStyle name="Lien hypertexte visité" xfId="17595" builtinId="9" hidden="1"/>
    <cellStyle name="Lien hypertexte visité" xfId="17683" builtinId="9" hidden="1"/>
    <cellStyle name="Lien hypertexte visité" xfId="17763" builtinId="9" hidden="1"/>
    <cellStyle name="Lien hypertexte visité" xfId="17851" builtinId="9" hidden="1"/>
    <cellStyle name="Lien hypertexte visité" xfId="17939" builtinId="9" hidden="1"/>
    <cellStyle name="Lien hypertexte visité" xfId="18019" builtinId="9" hidden="1"/>
    <cellStyle name="Lien hypertexte visité" xfId="18107" builtinId="9" hidden="1"/>
    <cellStyle name="Lien hypertexte visité" xfId="18195" builtinId="9" hidden="1"/>
    <cellStyle name="Lien hypertexte visité" xfId="18275" builtinId="9" hidden="1"/>
    <cellStyle name="Lien hypertexte visité" xfId="18346" builtinId="9" hidden="1"/>
    <cellStyle name="Lien hypertexte visité" xfId="18434" builtinId="9" hidden="1"/>
    <cellStyle name="Lien hypertexte visité" xfId="18514" builtinId="9" hidden="1"/>
    <cellStyle name="Lien hypertexte visité" xfId="18602" builtinId="9" hidden="1"/>
    <cellStyle name="Lien hypertexte visité" xfId="18690" builtinId="9" hidden="1"/>
    <cellStyle name="Lien hypertexte visité" xfId="18770" builtinId="9" hidden="1"/>
    <cellStyle name="Lien hypertexte visité" xfId="18858" builtinId="9" hidden="1"/>
    <cellStyle name="Lien hypertexte visité" xfId="18946" builtinId="9" hidden="1"/>
    <cellStyle name="Lien hypertexte visité" xfId="19026" builtinId="9" hidden="1"/>
    <cellStyle name="Lien hypertexte visité" xfId="19114" builtinId="9" hidden="1"/>
    <cellStyle name="Lien hypertexte visité" xfId="19202" builtinId="9" hidden="1"/>
    <cellStyle name="Lien hypertexte visité" xfId="19282" builtinId="9" hidden="1"/>
    <cellStyle name="Lien hypertexte visité" xfId="19370" builtinId="9" hidden="1"/>
    <cellStyle name="Lien hypertexte visité" xfId="19458" builtinId="9" hidden="1"/>
    <cellStyle name="Lien hypertexte visité" xfId="19538" builtinId="9" hidden="1"/>
    <cellStyle name="Lien hypertexte visité" xfId="19626" builtinId="9" hidden="1"/>
    <cellStyle name="Lien hypertexte visité" xfId="19714" builtinId="9" hidden="1"/>
    <cellStyle name="Lien hypertexte visité" xfId="19794" builtinId="9" hidden="1"/>
    <cellStyle name="Lien hypertexte visité" xfId="19882" builtinId="9" hidden="1"/>
    <cellStyle name="Lien hypertexte visité" xfId="19970" builtinId="9" hidden="1"/>
    <cellStyle name="Lien hypertexte visité" xfId="20050" builtinId="9" hidden="1"/>
    <cellStyle name="Lien hypertexte visité" xfId="20138" builtinId="9" hidden="1"/>
    <cellStyle name="Lien hypertexte visité" xfId="20226" builtinId="9" hidden="1"/>
    <cellStyle name="Lien hypertexte visité" xfId="20306" builtinId="9" hidden="1"/>
    <cellStyle name="Lien hypertexte visité" xfId="20394" builtinId="9" hidden="1"/>
    <cellStyle name="Lien hypertexte visité" xfId="20482" builtinId="9" hidden="1"/>
    <cellStyle name="Lien hypertexte visité" xfId="20562" builtinId="9" hidden="1"/>
    <cellStyle name="Lien hypertexte visité" xfId="20650" builtinId="9" hidden="1"/>
    <cellStyle name="Lien hypertexte visité" xfId="20738" builtinId="9" hidden="1"/>
    <cellStyle name="Lien hypertexte visité" xfId="20818" builtinId="9" hidden="1"/>
    <cellStyle name="Lien hypertexte visité" xfId="20906" builtinId="9" hidden="1"/>
    <cellStyle name="Lien hypertexte visité" xfId="20994" builtinId="9" hidden="1"/>
    <cellStyle name="Lien hypertexte visité" xfId="21074" builtinId="9" hidden="1"/>
    <cellStyle name="Lien hypertexte visité" xfId="21162" builtinId="9" hidden="1"/>
    <cellStyle name="Lien hypertexte visité" xfId="21250" builtinId="9" hidden="1"/>
    <cellStyle name="Lien hypertexte visité" xfId="21330" builtinId="9" hidden="1"/>
    <cellStyle name="Lien hypertexte visité" xfId="21418" builtinId="9" hidden="1"/>
    <cellStyle name="Lien hypertexte visité" xfId="21506" builtinId="9" hidden="1"/>
    <cellStyle name="Lien hypertexte visité" xfId="21586" builtinId="9" hidden="1"/>
    <cellStyle name="Lien hypertexte visité" xfId="21674" builtinId="9" hidden="1"/>
    <cellStyle name="Lien hypertexte visité" xfId="21762" builtinId="9" hidden="1"/>
    <cellStyle name="Lien hypertexte visité" xfId="21842" builtinId="9" hidden="1"/>
    <cellStyle name="Lien hypertexte visité" xfId="21930" builtinId="9" hidden="1"/>
    <cellStyle name="Lien hypertexte visité" xfId="22018" builtinId="9" hidden="1"/>
    <cellStyle name="Lien hypertexte visité" xfId="22098" builtinId="9" hidden="1"/>
    <cellStyle name="Lien hypertexte visité" xfId="22186" builtinId="9" hidden="1"/>
    <cellStyle name="Lien hypertexte visité" xfId="22274" builtinId="9" hidden="1"/>
    <cellStyle name="Lien hypertexte visité" xfId="22354" builtinId="9" hidden="1"/>
    <cellStyle name="Lien hypertexte visité" xfId="22442" builtinId="9" hidden="1"/>
    <cellStyle name="Lien hypertexte visité" xfId="22530" builtinId="9" hidden="1"/>
    <cellStyle name="Lien hypertexte visité" xfId="22610" builtinId="9" hidden="1"/>
    <cellStyle name="Lien hypertexte visité" xfId="22698" builtinId="9" hidden="1"/>
    <cellStyle name="Lien hypertexte visité" xfId="22786" builtinId="9" hidden="1"/>
    <cellStyle name="Lien hypertexte visité" xfId="22866" builtinId="9" hidden="1"/>
    <cellStyle name="Lien hypertexte visité" xfId="22954" builtinId="9" hidden="1"/>
    <cellStyle name="Lien hypertexte visité" xfId="23042" builtinId="9" hidden="1"/>
    <cellStyle name="Lien hypertexte visité" xfId="23122" builtinId="9" hidden="1"/>
    <cellStyle name="Lien hypertexte visité" xfId="23210" builtinId="9" hidden="1"/>
    <cellStyle name="Lien hypertexte visité" xfId="23298" builtinId="9" hidden="1"/>
    <cellStyle name="Lien hypertexte visité" xfId="23378" builtinId="9" hidden="1"/>
    <cellStyle name="Lien hypertexte visité" xfId="23466" builtinId="9" hidden="1"/>
    <cellStyle name="Lien hypertexte visité" xfId="23554" builtinId="9" hidden="1"/>
    <cellStyle name="Lien hypertexte visité" xfId="23634" builtinId="9" hidden="1"/>
    <cellStyle name="Lien hypertexte visité" xfId="23722" builtinId="9" hidden="1"/>
    <cellStyle name="Lien hypertexte visité" xfId="23810" builtinId="9" hidden="1"/>
    <cellStyle name="Lien hypertexte visité" xfId="23890" builtinId="9" hidden="1"/>
    <cellStyle name="Lien hypertexte visité" xfId="23978" builtinId="9" hidden="1"/>
    <cellStyle name="Lien hypertexte visité" xfId="24066" builtinId="9" hidden="1"/>
    <cellStyle name="Lien hypertexte visité" xfId="24146" builtinId="9" hidden="1"/>
    <cellStyle name="Lien hypertexte visité" xfId="24234" builtinId="9" hidden="1"/>
    <cellStyle name="Lien hypertexte visité" xfId="24322" builtinId="9" hidden="1"/>
    <cellStyle name="Lien hypertexte visité" xfId="24402" builtinId="9" hidden="1"/>
    <cellStyle name="Lien hypertexte visité" xfId="24490" builtinId="9" hidden="1"/>
    <cellStyle name="Lien hypertexte visité" xfId="24578" builtinId="9" hidden="1"/>
    <cellStyle name="Lien hypertexte visité" xfId="24568" builtinId="9" hidden="1"/>
    <cellStyle name="Lien hypertexte visité" xfId="24480" builtinId="9" hidden="1"/>
    <cellStyle name="Lien hypertexte visité" xfId="24392" builtinId="9" hidden="1"/>
    <cellStyle name="Lien hypertexte visité" xfId="24312" builtinId="9" hidden="1"/>
    <cellStyle name="Lien hypertexte visité" xfId="24224" builtinId="9" hidden="1"/>
    <cellStyle name="Lien hypertexte visité" xfId="24136" builtinId="9" hidden="1"/>
    <cellStyle name="Lien hypertexte visité" xfId="24056" builtinId="9" hidden="1"/>
    <cellStyle name="Lien hypertexte visité" xfId="23968" builtinId="9" hidden="1"/>
    <cellStyle name="Lien hypertexte visité" xfId="23880" builtinId="9" hidden="1"/>
    <cellStyle name="Lien hypertexte visité" xfId="23800" builtinId="9" hidden="1"/>
    <cellStyle name="Lien hypertexte visité" xfId="23712" builtinId="9" hidden="1"/>
    <cellStyle name="Lien hypertexte visité" xfId="23624" builtinId="9" hidden="1"/>
    <cellStyle name="Lien hypertexte visité" xfId="23544" builtinId="9" hidden="1"/>
    <cellStyle name="Lien hypertexte visité" xfId="23456" builtinId="9" hidden="1"/>
    <cellStyle name="Lien hypertexte visité" xfId="23368" builtinId="9" hidden="1"/>
    <cellStyle name="Lien hypertexte visité" xfId="23288" builtinId="9" hidden="1"/>
    <cellStyle name="Lien hypertexte visité" xfId="23200" builtinId="9" hidden="1"/>
    <cellStyle name="Lien hypertexte visité" xfId="23112" builtinId="9" hidden="1"/>
    <cellStyle name="Lien hypertexte visité" xfId="23032" builtinId="9" hidden="1"/>
    <cellStyle name="Lien hypertexte visité" xfId="22944" builtinId="9" hidden="1"/>
    <cellStyle name="Lien hypertexte visité" xfId="22856" builtinId="9" hidden="1"/>
    <cellStyle name="Lien hypertexte visité" xfId="22776" builtinId="9" hidden="1"/>
    <cellStyle name="Lien hypertexte visité" xfId="22688" builtinId="9" hidden="1"/>
    <cellStyle name="Lien hypertexte visité" xfId="22600" builtinId="9" hidden="1"/>
    <cellStyle name="Lien hypertexte visité" xfId="22520" builtinId="9" hidden="1"/>
    <cellStyle name="Lien hypertexte visité" xfId="22432" builtinId="9" hidden="1"/>
    <cellStyle name="Lien hypertexte visité" xfId="22344" builtinId="9" hidden="1"/>
    <cellStyle name="Lien hypertexte visité" xfId="22264" builtinId="9" hidden="1"/>
    <cellStyle name="Lien hypertexte visité" xfId="22176" builtinId="9" hidden="1"/>
    <cellStyle name="Lien hypertexte visité" xfId="22088" builtinId="9" hidden="1"/>
    <cellStyle name="Lien hypertexte visité" xfId="22008" builtinId="9" hidden="1"/>
    <cellStyle name="Lien hypertexte visité" xfId="21920" builtinId="9" hidden="1"/>
    <cellStyle name="Lien hypertexte visité" xfId="21832" builtinId="9" hidden="1"/>
    <cellStyle name="Lien hypertexte visité" xfId="21752" builtinId="9" hidden="1"/>
    <cellStyle name="Lien hypertexte visité" xfId="21664" builtinId="9" hidden="1"/>
    <cellStyle name="Lien hypertexte visité" xfId="21576" builtinId="9" hidden="1"/>
    <cellStyle name="Lien hypertexte visité" xfId="21496" builtinId="9" hidden="1"/>
    <cellStyle name="Lien hypertexte visité" xfId="21408" builtinId="9" hidden="1"/>
    <cellStyle name="Lien hypertexte visité" xfId="21320" builtinId="9" hidden="1"/>
    <cellStyle name="Lien hypertexte visité" xfId="21240" builtinId="9" hidden="1"/>
    <cellStyle name="Lien hypertexte visité" xfId="21152" builtinId="9" hidden="1"/>
    <cellStyle name="Lien hypertexte visité" xfId="21064" builtinId="9" hidden="1"/>
    <cellStyle name="Lien hypertexte visité" xfId="20984" builtinId="9" hidden="1"/>
    <cellStyle name="Lien hypertexte visité" xfId="20896" builtinId="9" hidden="1"/>
    <cellStyle name="Lien hypertexte visité" xfId="20808" builtinId="9" hidden="1"/>
    <cellStyle name="Lien hypertexte visité" xfId="20728" builtinId="9" hidden="1"/>
    <cellStyle name="Lien hypertexte visité" xfId="20640" builtinId="9" hidden="1"/>
    <cellStyle name="Lien hypertexte visité" xfId="20552" builtinId="9" hidden="1"/>
    <cellStyle name="Lien hypertexte visité" xfId="20472" builtinId="9" hidden="1"/>
    <cellStyle name="Lien hypertexte visité" xfId="20384" builtinId="9" hidden="1"/>
    <cellStyle name="Lien hypertexte visité" xfId="20296" builtinId="9" hidden="1"/>
    <cellStyle name="Lien hypertexte visité" xfId="20216" builtinId="9" hidden="1"/>
    <cellStyle name="Lien hypertexte visité" xfId="20128" builtinId="9" hidden="1"/>
    <cellStyle name="Lien hypertexte visité" xfId="20040" builtinId="9" hidden="1"/>
    <cellStyle name="Lien hypertexte visité" xfId="19960" builtinId="9" hidden="1"/>
    <cellStyle name="Lien hypertexte visité" xfId="19872" builtinId="9" hidden="1"/>
    <cellStyle name="Lien hypertexte visité" xfId="19784" builtinId="9" hidden="1"/>
    <cellStyle name="Lien hypertexte visité" xfId="19704" builtinId="9" hidden="1"/>
    <cellStyle name="Lien hypertexte visité" xfId="19616" builtinId="9" hidden="1"/>
    <cellStyle name="Lien hypertexte visité" xfId="19528" builtinId="9" hidden="1"/>
    <cellStyle name="Lien hypertexte visité" xfId="19448" builtinId="9" hidden="1"/>
    <cellStyle name="Lien hypertexte visité" xfId="19360" builtinId="9" hidden="1"/>
    <cellStyle name="Lien hypertexte visité" xfId="19272" builtinId="9" hidden="1"/>
    <cellStyle name="Lien hypertexte visité" xfId="19192" builtinId="9" hidden="1"/>
    <cellStyle name="Lien hypertexte visité" xfId="19104" builtinId="9" hidden="1"/>
    <cellStyle name="Lien hypertexte visité" xfId="19016" builtinId="9" hidden="1"/>
    <cellStyle name="Lien hypertexte visité" xfId="18936" builtinId="9" hidden="1"/>
    <cellStyle name="Lien hypertexte visité" xfId="18848" builtinId="9" hidden="1"/>
    <cellStyle name="Lien hypertexte visité" xfId="18760" builtinId="9" hidden="1"/>
    <cellStyle name="Lien hypertexte visité" xfId="18680" builtinId="9" hidden="1"/>
    <cellStyle name="Lien hypertexte visité" xfId="18592" builtinId="9" hidden="1"/>
    <cellStyle name="Lien hypertexte visité" xfId="18504" builtinId="9" hidden="1"/>
    <cellStyle name="Lien hypertexte visité" xfId="18424" builtinId="9" hidden="1"/>
    <cellStyle name="Lien hypertexte visité" xfId="18336" builtinId="9" hidden="1"/>
    <cellStyle name="Lien hypertexte visité" xfId="18265" builtinId="9" hidden="1"/>
    <cellStyle name="Lien hypertexte visité" xfId="18185" builtinId="9" hidden="1"/>
    <cellStyle name="Lien hypertexte visité" xfId="18097" builtinId="9" hidden="1"/>
    <cellStyle name="Lien hypertexte visité" xfId="18009" builtinId="9" hidden="1"/>
    <cellStyle name="Lien hypertexte visité" xfId="17929" builtinId="9" hidden="1"/>
    <cellStyle name="Lien hypertexte visité" xfId="17841" builtinId="9" hidden="1"/>
    <cellStyle name="Lien hypertexte visité" xfId="17753" builtinId="9" hidden="1"/>
    <cellStyle name="Lien hypertexte visité" xfId="17673" builtinId="9" hidden="1"/>
    <cellStyle name="Lien hypertexte visité" xfId="17585" builtinId="9" hidden="1"/>
    <cellStyle name="Lien hypertexte visité" xfId="17497" builtinId="9" hidden="1"/>
    <cellStyle name="Lien hypertexte visité" xfId="17417" builtinId="9" hidden="1"/>
    <cellStyle name="Lien hypertexte visité" xfId="17329" builtinId="9" hidden="1"/>
    <cellStyle name="Lien hypertexte visité" xfId="17241" builtinId="9" hidden="1"/>
    <cellStyle name="Lien hypertexte visité" xfId="17161" builtinId="9" hidden="1"/>
    <cellStyle name="Lien hypertexte visité" xfId="17073" builtinId="9" hidden="1"/>
    <cellStyle name="Lien hypertexte visité" xfId="16985" builtinId="9" hidden="1"/>
    <cellStyle name="Lien hypertexte visité" xfId="16905" builtinId="9" hidden="1"/>
    <cellStyle name="Lien hypertexte visité" xfId="16817" builtinId="9" hidden="1"/>
    <cellStyle name="Lien hypertexte visité" xfId="16729" builtinId="9" hidden="1"/>
    <cellStyle name="Lien hypertexte visité" xfId="16649" builtinId="9" hidden="1"/>
    <cellStyle name="Lien hypertexte visité" xfId="16561" builtinId="9" hidden="1"/>
    <cellStyle name="Lien hypertexte visité" xfId="16473" builtinId="9" hidden="1"/>
    <cellStyle name="Lien hypertexte visité" xfId="16393" builtinId="9" hidden="1"/>
    <cellStyle name="Lien hypertexte visité" xfId="16305" builtinId="9" hidden="1"/>
    <cellStyle name="Lien hypertexte visité" xfId="16217" builtinId="9" hidden="1"/>
    <cellStyle name="Lien hypertexte visité" xfId="16137" builtinId="9" hidden="1"/>
    <cellStyle name="Lien hypertexte visité" xfId="16049" builtinId="9" hidden="1"/>
    <cellStyle name="Lien hypertexte visité" xfId="15961" builtinId="9" hidden="1"/>
    <cellStyle name="Lien hypertexte visité" xfId="15881" builtinId="9" hidden="1"/>
    <cellStyle name="Lien hypertexte visité" xfId="15793" builtinId="9" hidden="1"/>
    <cellStyle name="Lien hypertexte visité" xfId="15705" builtinId="9" hidden="1"/>
    <cellStyle name="Lien hypertexte visité" xfId="15625" builtinId="9" hidden="1"/>
    <cellStyle name="Lien hypertexte visité" xfId="15537" builtinId="9" hidden="1"/>
    <cellStyle name="Lien hypertexte visité" xfId="15449" builtinId="9" hidden="1"/>
    <cellStyle name="Lien hypertexte visité" xfId="15369" builtinId="9" hidden="1"/>
    <cellStyle name="Lien hypertexte visité" xfId="15281" builtinId="9" hidden="1"/>
    <cellStyle name="Lien hypertexte visité" xfId="15193" builtinId="9" hidden="1"/>
    <cellStyle name="Lien hypertexte visité" xfId="15113" builtinId="9" hidden="1"/>
    <cellStyle name="Lien hypertexte visité" xfId="15025" builtinId="9" hidden="1"/>
    <cellStyle name="Lien hypertexte visité" xfId="14937" builtinId="9" hidden="1"/>
    <cellStyle name="Lien hypertexte visité" xfId="14857" builtinId="9" hidden="1"/>
    <cellStyle name="Lien hypertexte visité" xfId="14769" builtinId="9" hidden="1"/>
    <cellStyle name="Lien hypertexte visité" xfId="14681" builtinId="9" hidden="1"/>
    <cellStyle name="Lien hypertexte visité" xfId="14601" builtinId="9" hidden="1"/>
    <cellStyle name="Lien hypertexte visité" xfId="14514" builtinId="9" hidden="1"/>
    <cellStyle name="Lien hypertexte visité" xfId="14470" builtinId="9" hidden="1"/>
    <cellStyle name="Lien hypertexte visité" xfId="14430" builtinId="9" hidden="1"/>
    <cellStyle name="Lien hypertexte visité" xfId="14386" builtinId="9" hidden="1"/>
    <cellStyle name="Lien hypertexte visité" xfId="14342" builtinId="9" hidden="1"/>
    <cellStyle name="Lien hypertexte visité" xfId="14302" builtinId="9" hidden="1"/>
    <cellStyle name="Lien hypertexte visité" xfId="14258" builtinId="9" hidden="1"/>
    <cellStyle name="Lien hypertexte visité" xfId="14214" builtinId="9" hidden="1"/>
    <cellStyle name="Lien hypertexte visité" xfId="14174" builtinId="9" hidden="1"/>
    <cellStyle name="Lien hypertexte visité" xfId="14130" builtinId="9" hidden="1"/>
    <cellStyle name="Lien hypertexte visité" xfId="14086" builtinId="9" hidden="1"/>
    <cellStyle name="Lien hypertexte visité" xfId="14046" builtinId="9" hidden="1"/>
    <cellStyle name="Lien hypertexte visité" xfId="14002" builtinId="9" hidden="1"/>
    <cellStyle name="Lien hypertexte visité" xfId="13958" builtinId="9" hidden="1"/>
    <cellStyle name="Lien hypertexte visité" xfId="13918" builtinId="9" hidden="1"/>
    <cellStyle name="Lien hypertexte visité" xfId="13874" builtinId="9" hidden="1"/>
    <cellStyle name="Lien hypertexte visité" xfId="13830" builtinId="9" hidden="1"/>
    <cellStyle name="Lien hypertexte visité" xfId="13790" builtinId="9" hidden="1"/>
    <cellStyle name="Lien hypertexte visité" xfId="13746" builtinId="9" hidden="1"/>
    <cellStyle name="Lien hypertexte visité" xfId="13702" builtinId="9" hidden="1"/>
    <cellStyle name="Lien hypertexte visité" xfId="13662" builtinId="9" hidden="1"/>
    <cellStyle name="Lien hypertexte visité" xfId="13618" builtinId="9" hidden="1"/>
    <cellStyle name="Lien hypertexte visité" xfId="13574" builtinId="9" hidden="1"/>
    <cellStyle name="Lien hypertexte visité" xfId="13534" builtinId="9" hidden="1"/>
    <cellStyle name="Lien hypertexte visité" xfId="13490" builtinId="9" hidden="1"/>
    <cellStyle name="Lien hypertexte visité" xfId="13446" builtinId="9" hidden="1"/>
    <cellStyle name="Lien hypertexte visité" xfId="13406" builtinId="9" hidden="1"/>
    <cellStyle name="Lien hypertexte visité" xfId="13362" builtinId="9" hidden="1"/>
    <cellStyle name="Lien hypertexte visité" xfId="13318" builtinId="9" hidden="1"/>
    <cellStyle name="Lien hypertexte visité" xfId="13278" builtinId="9" hidden="1"/>
    <cellStyle name="Lien hypertexte visité" xfId="13234" builtinId="9" hidden="1"/>
    <cellStyle name="Lien hypertexte visité" xfId="13190" builtinId="9" hidden="1"/>
    <cellStyle name="Lien hypertexte visité" xfId="13150" builtinId="9" hidden="1"/>
    <cellStyle name="Lien hypertexte visité" xfId="13106" builtinId="9" hidden="1"/>
    <cellStyle name="Lien hypertexte visité" xfId="13062" builtinId="9" hidden="1"/>
    <cellStyle name="Lien hypertexte visité" xfId="13022" builtinId="9" hidden="1"/>
    <cellStyle name="Lien hypertexte visité" xfId="12978" builtinId="9" hidden="1"/>
    <cellStyle name="Lien hypertexte visité" xfId="12934" builtinId="9" hidden="1"/>
    <cellStyle name="Lien hypertexte visité" xfId="12894" builtinId="9" hidden="1"/>
    <cellStyle name="Lien hypertexte visité" xfId="12850" builtinId="9" hidden="1"/>
    <cellStyle name="Lien hypertexte visité" xfId="12806" builtinId="9" hidden="1"/>
    <cellStyle name="Lien hypertexte visité" xfId="12766" builtinId="9" hidden="1"/>
    <cellStyle name="Lien hypertexte visité" xfId="12722" builtinId="9" hidden="1"/>
    <cellStyle name="Lien hypertexte visité" xfId="12678" builtinId="9" hidden="1"/>
    <cellStyle name="Lien hypertexte visité" xfId="12638" builtinId="9" hidden="1"/>
    <cellStyle name="Lien hypertexte visité" xfId="12594" builtinId="9" hidden="1"/>
    <cellStyle name="Lien hypertexte visité" xfId="12550" builtinId="9" hidden="1"/>
    <cellStyle name="Lien hypertexte visité" xfId="12510" builtinId="9" hidden="1"/>
    <cellStyle name="Lien hypertexte visité" xfId="12466" builtinId="9" hidden="1"/>
    <cellStyle name="Lien hypertexte visité" xfId="12422" builtinId="9" hidden="1"/>
    <cellStyle name="Lien hypertexte visité" xfId="12382" builtinId="9" hidden="1"/>
    <cellStyle name="Lien hypertexte visité" xfId="12338" builtinId="9" hidden="1"/>
    <cellStyle name="Lien hypertexte visité" xfId="12294" builtinId="9" hidden="1"/>
    <cellStyle name="Lien hypertexte visité" xfId="12254" builtinId="9" hidden="1"/>
    <cellStyle name="Lien hypertexte visité" xfId="12210" builtinId="9" hidden="1"/>
    <cellStyle name="Lien hypertexte visité" xfId="12166" builtinId="9" hidden="1"/>
    <cellStyle name="Lien hypertexte visité" xfId="12126" builtinId="9" hidden="1"/>
    <cellStyle name="Lien hypertexte visité" xfId="12082" builtinId="9" hidden="1"/>
    <cellStyle name="Lien hypertexte visité" xfId="12038" builtinId="9" hidden="1"/>
    <cellStyle name="Lien hypertexte visité" xfId="11998" builtinId="9" hidden="1"/>
    <cellStyle name="Lien hypertexte visité" xfId="11954" builtinId="9" hidden="1"/>
    <cellStyle name="Lien hypertexte visité" xfId="11910" builtinId="9" hidden="1"/>
    <cellStyle name="Lien hypertexte visité" xfId="11870" builtinId="9" hidden="1"/>
    <cellStyle name="Lien hypertexte visité" xfId="11826" builtinId="9" hidden="1"/>
    <cellStyle name="Lien hypertexte visité" xfId="11782" builtinId="9" hidden="1"/>
    <cellStyle name="Lien hypertexte visité" xfId="11742" builtinId="9" hidden="1"/>
    <cellStyle name="Lien hypertexte visité" xfId="11698" builtinId="9" hidden="1"/>
    <cellStyle name="Lien hypertexte visité" xfId="11654" builtinId="9" hidden="1"/>
    <cellStyle name="Lien hypertexte visité" xfId="11614" builtinId="9" hidden="1"/>
    <cellStyle name="Lien hypertexte visité" xfId="11570" builtinId="9" hidden="1"/>
    <cellStyle name="Lien hypertexte visité" xfId="11526" builtinId="9" hidden="1"/>
    <cellStyle name="Lien hypertexte visité" xfId="11486" builtinId="9" hidden="1"/>
    <cellStyle name="Lien hypertexte visité" xfId="11442" builtinId="9" hidden="1"/>
    <cellStyle name="Lien hypertexte visité" xfId="11398" builtinId="9" hidden="1"/>
    <cellStyle name="Lien hypertexte visité" xfId="11358" builtinId="9" hidden="1"/>
    <cellStyle name="Lien hypertexte visité" xfId="11314" builtinId="9" hidden="1"/>
    <cellStyle name="Lien hypertexte visité" xfId="11270" builtinId="9" hidden="1"/>
    <cellStyle name="Lien hypertexte visité" xfId="11230" builtinId="9" hidden="1"/>
    <cellStyle name="Lien hypertexte visité" xfId="11186" builtinId="9" hidden="1"/>
    <cellStyle name="Lien hypertexte visité" xfId="11142" builtinId="9" hidden="1"/>
    <cellStyle name="Lien hypertexte visité" xfId="11102" builtinId="9" hidden="1"/>
    <cellStyle name="Lien hypertexte visité" xfId="11058" builtinId="9" hidden="1"/>
    <cellStyle name="Lien hypertexte visité" xfId="11014" builtinId="9" hidden="1"/>
    <cellStyle name="Lien hypertexte visité" xfId="10974" builtinId="9" hidden="1"/>
    <cellStyle name="Lien hypertexte visité" xfId="10930" builtinId="9" hidden="1"/>
    <cellStyle name="Lien hypertexte visité" xfId="10886" builtinId="9" hidden="1"/>
    <cellStyle name="Lien hypertexte visité" xfId="10846" builtinId="9" hidden="1"/>
    <cellStyle name="Lien hypertexte visité" xfId="10802" builtinId="9" hidden="1"/>
    <cellStyle name="Lien hypertexte visité" xfId="10758" builtinId="9" hidden="1"/>
    <cellStyle name="Lien hypertexte visité" xfId="10718" builtinId="9" hidden="1"/>
    <cellStyle name="Lien hypertexte visité" xfId="10674" builtinId="9" hidden="1"/>
    <cellStyle name="Lien hypertexte visité" xfId="10630" builtinId="9" hidden="1"/>
    <cellStyle name="Lien hypertexte visité" xfId="10590" builtinId="9" hidden="1"/>
    <cellStyle name="Lien hypertexte visité" xfId="10546" builtinId="9" hidden="1"/>
    <cellStyle name="Lien hypertexte visité" xfId="10502" builtinId="9" hidden="1"/>
    <cellStyle name="Lien hypertexte visité" xfId="10462" builtinId="9" hidden="1"/>
    <cellStyle name="Lien hypertexte visité" xfId="10418" builtinId="9" hidden="1"/>
    <cellStyle name="Lien hypertexte visité" xfId="10374" builtinId="9" hidden="1"/>
    <cellStyle name="Lien hypertexte visité" xfId="10334" builtinId="9" hidden="1"/>
    <cellStyle name="Lien hypertexte visité" xfId="10290" builtinId="9" hidden="1"/>
    <cellStyle name="Lien hypertexte visité" xfId="10246" builtinId="9" hidden="1"/>
    <cellStyle name="Lien hypertexte visité" xfId="10206" builtinId="9" hidden="1"/>
    <cellStyle name="Lien hypertexte visité" xfId="10162" builtinId="9" hidden="1"/>
    <cellStyle name="Lien hypertexte visité" xfId="10118" builtinId="9" hidden="1"/>
    <cellStyle name="Lien hypertexte visité" xfId="10078" builtinId="9" hidden="1"/>
    <cellStyle name="Lien hypertexte visité" xfId="10034" builtinId="9" hidden="1"/>
    <cellStyle name="Lien hypertexte visité" xfId="9990" builtinId="9" hidden="1"/>
    <cellStyle name="Lien hypertexte visité" xfId="9950" builtinId="9" hidden="1"/>
    <cellStyle name="Lien hypertexte visité" xfId="9906" builtinId="9" hidden="1"/>
    <cellStyle name="Lien hypertexte visité" xfId="9862" builtinId="9" hidden="1"/>
    <cellStyle name="Lien hypertexte visité" xfId="9822" builtinId="9" hidden="1"/>
    <cellStyle name="Lien hypertexte visité" xfId="9778" builtinId="9" hidden="1"/>
    <cellStyle name="Lien hypertexte visité" xfId="9734" builtinId="9" hidden="1"/>
    <cellStyle name="Lien hypertexte visité" xfId="9694" builtinId="9" hidden="1"/>
    <cellStyle name="Lien hypertexte visité" xfId="9650" builtinId="9" hidden="1"/>
    <cellStyle name="Lien hypertexte visité" xfId="9606" builtinId="9" hidden="1"/>
    <cellStyle name="Lien hypertexte visité" xfId="9566" builtinId="9" hidden="1"/>
    <cellStyle name="Lien hypertexte visité" xfId="9522" builtinId="9" hidden="1"/>
    <cellStyle name="Lien hypertexte visité" xfId="9478" builtinId="9" hidden="1"/>
    <cellStyle name="Lien hypertexte visité" xfId="9438" builtinId="9" hidden="1"/>
    <cellStyle name="Lien hypertexte visité" xfId="9394" builtinId="9" hidden="1"/>
    <cellStyle name="Lien hypertexte visité" xfId="9350" builtinId="9" hidden="1"/>
    <cellStyle name="Lien hypertexte visité" xfId="9310" builtinId="9" hidden="1"/>
    <cellStyle name="Lien hypertexte visité" xfId="9266" builtinId="9" hidden="1"/>
    <cellStyle name="Lien hypertexte visité" xfId="9222" builtinId="9" hidden="1"/>
    <cellStyle name="Lien hypertexte visité" xfId="9182" builtinId="9" hidden="1"/>
    <cellStyle name="Lien hypertexte visité" xfId="9138" builtinId="9" hidden="1"/>
    <cellStyle name="Lien hypertexte visité" xfId="9094" builtinId="9" hidden="1"/>
    <cellStyle name="Lien hypertexte visité" xfId="9054" builtinId="9" hidden="1"/>
    <cellStyle name="Lien hypertexte visité" xfId="9010" builtinId="9" hidden="1"/>
    <cellStyle name="Lien hypertexte visité" xfId="8966" builtinId="9" hidden="1"/>
    <cellStyle name="Lien hypertexte visité" xfId="8926" builtinId="9" hidden="1"/>
    <cellStyle name="Lien hypertexte visité" xfId="8882" builtinId="9" hidden="1"/>
    <cellStyle name="Lien hypertexte visité" xfId="8838" builtinId="9" hidden="1"/>
    <cellStyle name="Lien hypertexte visité" xfId="8798" builtinId="9" hidden="1"/>
    <cellStyle name="Lien hypertexte visité" xfId="8754" builtinId="9" hidden="1"/>
    <cellStyle name="Lien hypertexte visité" xfId="8710" builtinId="9" hidden="1"/>
    <cellStyle name="Lien hypertexte visité" xfId="8670" builtinId="9" hidden="1"/>
    <cellStyle name="Lien hypertexte visité" xfId="8626" builtinId="9" hidden="1"/>
    <cellStyle name="Lien hypertexte visité" xfId="8582" builtinId="9" hidden="1"/>
    <cellStyle name="Lien hypertexte visité" xfId="8542" builtinId="9" hidden="1"/>
    <cellStyle name="Lien hypertexte visité" xfId="8498" builtinId="9" hidden="1"/>
    <cellStyle name="Lien hypertexte visité" xfId="8454" builtinId="9" hidden="1"/>
    <cellStyle name="Lien hypertexte visité" xfId="8414" builtinId="9" hidden="1"/>
    <cellStyle name="Lien hypertexte visité" xfId="8370" builtinId="9" hidden="1"/>
    <cellStyle name="Lien hypertexte visité" xfId="8326" builtinId="9" hidden="1"/>
    <cellStyle name="Lien hypertexte visité" xfId="8286" builtinId="9" hidden="1"/>
    <cellStyle name="Lien hypertexte visité" xfId="8242" builtinId="9" hidden="1"/>
    <cellStyle name="Lien hypertexte visité" xfId="17259" builtinId="9" hidden="1"/>
    <cellStyle name="Lien hypertexte visité" xfId="17131" builtinId="9" hidden="1"/>
    <cellStyle name="Lien hypertexte visité" xfId="17003" builtinId="9" hidden="1"/>
    <cellStyle name="Lien hypertexte visité" xfId="16875" builtinId="9" hidden="1"/>
    <cellStyle name="Lien hypertexte visité" xfId="16747" builtinId="9" hidden="1"/>
    <cellStyle name="Lien hypertexte visité" xfId="16619" builtinId="9" hidden="1"/>
    <cellStyle name="Lien hypertexte visité" xfId="16491" builtinId="9" hidden="1"/>
    <cellStyle name="Lien hypertexte visité" xfId="16363" builtinId="9" hidden="1"/>
    <cellStyle name="Lien hypertexte visité" xfId="16235" builtinId="9" hidden="1"/>
    <cellStyle name="Lien hypertexte visité" xfId="16107" builtinId="9" hidden="1"/>
    <cellStyle name="Lien hypertexte visité" xfId="15979" builtinId="9" hidden="1"/>
    <cellStyle name="Lien hypertexte visité" xfId="15851" builtinId="9" hidden="1"/>
    <cellStyle name="Lien hypertexte visité" xfId="15723" builtinId="9" hidden="1"/>
    <cellStyle name="Lien hypertexte visité" xfId="15595" builtinId="9" hidden="1"/>
    <cellStyle name="Lien hypertexte visité" xfId="15467" builtinId="9" hidden="1"/>
    <cellStyle name="Lien hypertexte visité" xfId="15339" builtinId="9" hidden="1"/>
    <cellStyle name="Lien hypertexte visité" xfId="15211" builtinId="9" hidden="1"/>
    <cellStyle name="Lien hypertexte visité" xfId="15083" builtinId="9" hidden="1"/>
    <cellStyle name="Lien hypertexte visité" xfId="14955" builtinId="9" hidden="1"/>
    <cellStyle name="Lien hypertexte visité" xfId="14827" builtinId="9" hidden="1"/>
    <cellStyle name="Lien hypertexte visité" xfId="14699" builtinId="9" hidden="1"/>
    <cellStyle name="Lien hypertexte visité" xfId="14571" builtinId="9" hidden="1"/>
    <cellStyle name="Lien hypertexte visité" xfId="14479" builtinId="9" hidden="1"/>
    <cellStyle name="Lien hypertexte visité" xfId="14415" builtinId="9" hidden="1"/>
    <cellStyle name="Lien hypertexte visité" xfId="14351" builtinId="9" hidden="1"/>
    <cellStyle name="Lien hypertexte visité" xfId="14287" builtinId="9" hidden="1"/>
    <cellStyle name="Lien hypertexte visité" xfId="14223" builtinId="9" hidden="1"/>
    <cellStyle name="Lien hypertexte visité" xfId="14159" builtinId="9" hidden="1"/>
    <cellStyle name="Lien hypertexte visité" xfId="14095" builtinId="9" hidden="1"/>
    <cellStyle name="Lien hypertexte visité" xfId="14031" builtinId="9" hidden="1"/>
    <cellStyle name="Lien hypertexte visité" xfId="13967" builtinId="9" hidden="1"/>
    <cellStyle name="Lien hypertexte visité" xfId="13903" builtinId="9" hidden="1"/>
    <cellStyle name="Lien hypertexte visité" xfId="13839" builtinId="9" hidden="1"/>
    <cellStyle name="Lien hypertexte visité" xfId="13775" builtinId="9" hidden="1"/>
    <cellStyle name="Lien hypertexte visité" xfId="13711" builtinId="9" hidden="1"/>
    <cellStyle name="Lien hypertexte visité" xfId="13647" builtinId="9" hidden="1"/>
    <cellStyle name="Lien hypertexte visité" xfId="13583" builtinId="9" hidden="1"/>
    <cellStyle name="Lien hypertexte visité" xfId="13519" builtinId="9" hidden="1"/>
    <cellStyle name="Lien hypertexte visité" xfId="13455" builtinId="9" hidden="1"/>
    <cellStyle name="Lien hypertexte visité" xfId="13391" builtinId="9" hidden="1"/>
    <cellStyle name="Lien hypertexte visité" xfId="13327" builtinId="9" hidden="1"/>
    <cellStyle name="Lien hypertexte visité" xfId="13263" builtinId="9" hidden="1"/>
    <cellStyle name="Lien hypertexte visité" xfId="13199" builtinId="9" hidden="1"/>
    <cellStyle name="Lien hypertexte visité" xfId="13135" builtinId="9" hidden="1"/>
    <cellStyle name="Lien hypertexte visité" xfId="13071" builtinId="9" hidden="1"/>
    <cellStyle name="Lien hypertexte visité" xfId="13007" builtinId="9" hidden="1"/>
    <cellStyle name="Lien hypertexte visité" xfId="12943" builtinId="9" hidden="1"/>
    <cellStyle name="Lien hypertexte visité" xfId="12879" builtinId="9" hidden="1"/>
    <cellStyle name="Lien hypertexte visité" xfId="12815" builtinId="9" hidden="1"/>
    <cellStyle name="Lien hypertexte visité" xfId="12751" builtinId="9" hidden="1"/>
    <cellStyle name="Lien hypertexte visité" xfId="12687" builtinId="9" hidden="1"/>
    <cellStyle name="Lien hypertexte visité" xfId="12623" builtinId="9" hidden="1"/>
    <cellStyle name="Lien hypertexte visité" xfId="12559" builtinId="9" hidden="1"/>
    <cellStyle name="Lien hypertexte visité" xfId="12495" builtinId="9" hidden="1"/>
    <cellStyle name="Lien hypertexte visité" xfId="12431" builtinId="9" hidden="1"/>
    <cellStyle name="Lien hypertexte visité" xfId="12367" builtinId="9" hidden="1"/>
    <cellStyle name="Lien hypertexte visité" xfId="12303" builtinId="9" hidden="1"/>
    <cellStyle name="Lien hypertexte visité" xfId="12239" builtinId="9" hidden="1"/>
    <cellStyle name="Lien hypertexte visité" xfId="12175" builtinId="9" hidden="1"/>
    <cellStyle name="Lien hypertexte visité" xfId="12111" builtinId="9" hidden="1"/>
    <cellStyle name="Lien hypertexte visité" xfId="12047" builtinId="9" hidden="1"/>
    <cellStyle name="Lien hypertexte visité" xfId="11983" builtinId="9" hidden="1"/>
    <cellStyle name="Lien hypertexte visité" xfId="11919" builtinId="9" hidden="1"/>
    <cellStyle name="Lien hypertexte visité" xfId="11855" builtinId="9" hidden="1"/>
    <cellStyle name="Lien hypertexte visité" xfId="11791" builtinId="9" hidden="1"/>
    <cellStyle name="Lien hypertexte visité" xfId="11727" builtinId="9" hidden="1"/>
    <cellStyle name="Lien hypertexte visité" xfId="11663" builtinId="9" hidden="1"/>
    <cellStyle name="Lien hypertexte visité" xfId="11599" builtinId="9" hidden="1"/>
    <cellStyle name="Lien hypertexte visité" xfId="11535" builtinId="9" hidden="1"/>
    <cellStyle name="Lien hypertexte visité" xfId="11471" builtinId="9" hidden="1"/>
    <cellStyle name="Lien hypertexte visité" xfId="11407" builtinId="9" hidden="1"/>
    <cellStyle name="Lien hypertexte visité" xfId="11343" builtinId="9" hidden="1"/>
    <cellStyle name="Lien hypertexte visité" xfId="11279" builtinId="9" hidden="1"/>
    <cellStyle name="Lien hypertexte visité" xfId="11215" builtinId="9" hidden="1"/>
    <cellStyle name="Lien hypertexte visité" xfId="11151" builtinId="9" hidden="1"/>
    <cellStyle name="Lien hypertexte visité" xfId="11087" builtinId="9" hidden="1"/>
    <cellStyle name="Lien hypertexte visité" xfId="11023" builtinId="9" hidden="1"/>
    <cellStyle name="Lien hypertexte visité" xfId="10959" builtinId="9" hidden="1"/>
    <cellStyle name="Lien hypertexte visité" xfId="10895" builtinId="9" hidden="1"/>
    <cellStyle name="Lien hypertexte visité" xfId="10831" builtinId="9" hidden="1"/>
    <cellStyle name="Lien hypertexte visité" xfId="10767" builtinId="9" hidden="1"/>
    <cellStyle name="Lien hypertexte visité" xfId="10703" builtinId="9" hidden="1"/>
    <cellStyle name="Lien hypertexte visité" xfId="10639" builtinId="9" hidden="1"/>
    <cellStyle name="Lien hypertexte visité" xfId="10575" builtinId="9" hidden="1"/>
    <cellStyle name="Lien hypertexte visité" xfId="10511" builtinId="9" hidden="1"/>
    <cellStyle name="Lien hypertexte visité" xfId="10447" builtinId="9" hidden="1"/>
    <cellStyle name="Lien hypertexte visité" xfId="10383" builtinId="9" hidden="1"/>
    <cellStyle name="Lien hypertexte visité" xfId="10319" builtinId="9" hidden="1"/>
    <cellStyle name="Lien hypertexte visité" xfId="10255" builtinId="9" hidden="1"/>
    <cellStyle name="Lien hypertexte visité" xfId="10191" builtinId="9" hidden="1"/>
    <cellStyle name="Lien hypertexte visité" xfId="10127" builtinId="9" hidden="1"/>
    <cellStyle name="Lien hypertexte visité" xfId="10063" builtinId="9" hidden="1"/>
    <cellStyle name="Lien hypertexte visité" xfId="9999" builtinId="9" hidden="1"/>
    <cellStyle name="Lien hypertexte visité" xfId="9935" builtinId="9" hidden="1"/>
    <cellStyle name="Lien hypertexte visité" xfId="9871" builtinId="9" hidden="1"/>
    <cellStyle name="Lien hypertexte visité" xfId="9807" builtinId="9" hidden="1"/>
    <cellStyle name="Lien hypertexte visité" xfId="9743" builtinId="9" hidden="1"/>
    <cellStyle name="Lien hypertexte visité" xfId="9679" builtinId="9" hidden="1"/>
    <cellStyle name="Lien hypertexte visité" xfId="9615" builtinId="9" hidden="1"/>
    <cellStyle name="Lien hypertexte visité" xfId="9551" builtinId="9" hidden="1"/>
    <cellStyle name="Lien hypertexte visité" xfId="9487" builtinId="9" hidden="1"/>
    <cellStyle name="Lien hypertexte visité" xfId="9423" builtinId="9" hidden="1"/>
    <cellStyle name="Lien hypertexte visité" xfId="9359" builtinId="9" hidden="1"/>
    <cellStyle name="Lien hypertexte visité" xfId="9295" builtinId="9" hidden="1"/>
    <cellStyle name="Lien hypertexte visité" xfId="9231" builtinId="9" hidden="1"/>
    <cellStyle name="Lien hypertexte visité" xfId="9167" builtinId="9" hidden="1"/>
    <cellStyle name="Lien hypertexte visité" xfId="9103" builtinId="9" hidden="1"/>
    <cellStyle name="Lien hypertexte visité" xfId="9039" builtinId="9" hidden="1"/>
    <cellStyle name="Lien hypertexte visité" xfId="8975" builtinId="9" hidden="1"/>
    <cellStyle name="Lien hypertexte visité" xfId="8911" builtinId="9" hidden="1"/>
    <cellStyle name="Lien hypertexte visité" xfId="8847" builtinId="9" hidden="1"/>
    <cellStyle name="Lien hypertexte visité" xfId="8783" builtinId="9" hidden="1"/>
    <cellStyle name="Lien hypertexte visité" xfId="8719" builtinId="9" hidden="1"/>
    <cellStyle name="Lien hypertexte visité" xfId="8655" builtinId="9" hidden="1"/>
    <cellStyle name="Lien hypertexte visité" xfId="8591" builtinId="9" hidden="1"/>
    <cellStyle name="Lien hypertexte visité" xfId="8527" builtinId="9" hidden="1"/>
    <cellStyle name="Lien hypertexte visité" xfId="8463" builtinId="9" hidden="1"/>
    <cellStyle name="Lien hypertexte visité" xfId="8399" builtinId="9" hidden="1"/>
    <cellStyle name="Lien hypertexte visité" xfId="8335" builtinId="9" hidden="1"/>
    <cellStyle name="Lien hypertexte visité" xfId="8271" builtinId="9" hidden="1"/>
    <cellStyle name="Lien hypertexte visité" xfId="8207" builtinId="9" hidden="1"/>
    <cellStyle name="Lien hypertexte visité" xfId="8143" builtinId="9" hidden="1"/>
    <cellStyle name="Lien hypertexte visité" xfId="8079" builtinId="9" hidden="1"/>
    <cellStyle name="Lien hypertexte visité" xfId="8015" builtinId="9" hidden="1"/>
    <cellStyle name="Lien hypertexte visité" xfId="7951" builtinId="9" hidden="1"/>
    <cellStyle name="Lien hypertexte visité" xfId="7887" builtinId="9" hidden="1"/>
    <cellStyle name="Lien hypertexte visité" xfId="7823" builtinId="9" hidden="1"/>
    <cellStyle name="Lien hypertexte visité" xfId="7758" builtinId="9" hidden="1"/>
    <cellStyle name="Lien hypertexte visité" xfId="7694" builtinId="9" hidden="1"/>
    <cellStyle name="Lien hypertexte visité" xfId="7630" builtinId="9" hidden="1"/>
    <cellStyle name="Lien hypertexte visité" xfId="7566" builtinId="9" hidden="1"/>
    <cellStyle name="Lien hypertexte visité" xfId="7502" builtinId="9" hidden="1"/>
    <cellStyle name="Lien hypertexte visité" xfId="7438" builtinId="9" hidden="1"/>
    <cellStyle name="Lien hypertexte visité" xfId="7374" builtinId="9" hidden="1"/>
    <cellStyle name="Lien hypertexte visité" xfId="7310" builtinId="9" hidden="1"/>
    <cellStyle name="Lien hypertexte visité" xfId="7246" builtinId="9" hidden="1"/>
    <cellStyle name="Lien hypertexte visité" xfId="7182" builtinId="9" hidden="1"/>
    <cellStyle name="Lien hypertexte visité" xfId="7118" builtinId="9" hidden="1"/>
    <cellStyle name="Lien hypertexte visité" xfId="7054" builtinId="9" hidden="1"/>
    <cellStyle name="Lien hypertexte visité" xfId="6990" builtinId="9" hidden="1"/>
    <cellStyle name="Lien hypertexte visité" xfId="6926" builtinId="9" hidden="1"/>
    <cellStyle name="Lien hypertexte visité" xfId="6862" builtinId="9" hidden="1"/>
    <cellStyle name="Lien hypertexte visité" xfId="6798" builtinId="9" hidden="1"/>
    <cellStyle name="Lien hypertexte visité" xfId="6734" builtinId="9" hidden="1"/>
    <cellStyle name="Lien hypertexte visité" xfId="6670" builtinId="9" hidden="1"/>
    <cellStyle name="Lien hypertexte visité" xfId="6606" builtinId="9" hidden="1"/>
    <cellStyle name="Lien hypertexte visité" xfId="6542" builtinId="9" hidden="1"/>
    <cellStyle name="Lien hypertexte visité" xfId="6478" builtinId="9" hidden="1"/>
    <cellStyle name="Lien hypertexte visité" xfId="6414" builtinId="9" hidden="1"/>
    <cellStyle name="Lien hypertexte visité" xfId="6350" builtinId="9" hidden="1"/>
    <cellStyle name="Lien hypertexte visité" xfId="6286" builtinId="9" hidden="1"/>
    <cellStyle name="Lien hypertexte visité" xfId="6222" builtinId="9" hidden="1"/>
    <cellStyle name="Lien hypertexte visité" xfId="6158" builtinId="9" hidden="1"/>
    <cellStyle name="Lien hypertexte visité" xfId="6094" builtinId="9" hidden="1"/>
    <cellStyle name="Lien hypertexte visité" xfId="6030" builtinId="9" hidden="1"/>
    <cellStyle name="Lien hypertexte visité" xfId="5966" builtinId="9" hidden="1"/>
    <cellStyle name="Lien hypertexte visité" xfId="5902" builtinId="9" hidden="1"/>
    <cellStyle name="Lien hypertexte visité" xfId="5838" builtinId="9" hidden="1"/>
    <cellStyle name="Lien hypertexte visité" xfId="5774" builtinId="9" hidden="1"/>
    <cellStyle name="Lien hypertexte visité" xfId="5710" builtinId="9" hidden="1"/>
    <cellStyle name="Lien hypertexte visité" xfId="5646" builtinId="9" hidden="1"/>
    <cellStyle name="Lien hypertexte visité" xfId="5582" builtinId="9" hidden="1"/>
    <cellStyle name="Lien hypertexte visité" xfId="5518" builtinId="9" hidden="1"/>
    <cellStyle name="Lien hypertexte visité" xfId="5454" builtinId="9" hidden="1"/>
    <cellStyle name="Lien hypertexte visité" xfId="5390" builtinId="9" hidden="1"/>
    <cellStyle name="Lien hypertexte visité" xfId="5326" builtinId="9" hidden="1"/>
    <cellStyle name="Lien hypertexte visité" xfId="5262" builtinId="9" hidden="1"/>
    <cellStyle name="Lien hypertexte visité" xfId="5198" builtinId="9" hidden="1"/>
    <cellStyle name="Lien hypertexte visité" xfId="5134" builtinId="9" hidden="1"/>
    <cellStyle name="Lien hypertexte visité" xfId="5070" builtinId="9" hidden="1"/>
    <cellStyle name="Lien hypertexte visité" xfId="5006" builtinId="9" hidden="1"/>
    <cellStyle name="Lien hypertexte visité" xfId="4942" builtinId="9" hidden="1"/>
    <cellStyle name="Lien hypertexte visité" xfId="4878" builtinId="9" hidden="1"/>
    <cellStyle name="Lien hypertexte visité" xfId="4814" builtinId="9" hidden="1"/>
    <cellStyle name="Lien hypertexte visité" xfId="4750" builtinId="9" hidden="1"/>
    <cellStyle name="Lien hypertexte visité" xfId="4686" builtinId="9" hidden="1"/>
    <cellStyle name="Lien hypertexte visité" xfId="4622" builtinId="9" hidden="1"/>
    <cellStyle name="Lien hypertexte visité" xfId="4558" builtinId="9" hidden="1"/>
    <cellStyle name="Lien hypertexte visité" xfId="4494" builtinId="9" hidden="1"/>
    <cellStyle name="Lien hypertexte visité" xfId="4430" builtinId="9" hidden="1"/>
    <cellStyle name="Lien hypertexte visité" xfId="4366" builtinId="9" hidden="1"/>
    <cellStyle name="Lien hypertexte visité" xfId="4302" builtinId="9" hidden="1"/>
    <cellStyle name="Lien hypertexte visité" xfId="4238" builtinId="9" hidden="1"/>
    <cellStyle name="Lien hypertexte visité" xfId="4174" builtinId="9" hidden="1"/>
    <cellStyle name="Lien hypertexte visité" xfId="4110" builtinId="9" hidden="1"/>
    <cellStyle name="Lien hypertexte visité" xfId="4046" builtinId="9" hidden="1"/>
    <cellStyle name="Lien hypertexte visité" xfId="3982" builtinId="9" hidden="1"/>
    <cellStyle name="Lien hypertexte visité" xfId="3922" builtinId="9" hidden="1"/>
    <cellStyle name="Lien hypertexte visité" xfId="3857" builtinId="9" hidden="1"/>
    <cellStyle name="Lien hypertexte visité" xfId="3793" builtinId="9" hidden="1"/>
    <cellStyle name="Lien hypertexte visité" xfId="3729" builtinId="9" hidden="1"/>
    <cellStyle name="Lien hypertexte visité" xfId="3659" builtinId="9" hidden="1"/>
    <cellStyle name="Lien hypertexte visité" xfId="3593" builtinId="9" hidden="1"/>
    <cellStyle name="Lien hypertexte visité" xfId="3528" builtinId="9" hidden="1"/>
    <cellStyle name="Lien hypertexte visité" xfId="3464" builtinId="9" hidden="1"/>
    <cellStyle name="Lien hypertexte visité" xfId="3400" builtinId="9" hidden="1"/>
    <cellStyle name="Lien hypertexte visité" xfId="3336" builtinId="9" hidden="1"/>
    <cellStyle name="Lien hypertexte visité" xfId="3272" builtinId="9" hidden="1"/>
    <cellStyle name="Lien hypertexte visité" xfId="3208" builtinId="9" hidden="1"/>
    <cellStyle name="Lien hypertexte visité" xfId="3144" builtinId="9" hidden="1"/>
    <cellStyle name="Lien hypertexte visité" xfId="3080" builtinId="9" hidden="1"/>
    <cellStyle name="Lien hypertexte visité" xfId="3016" builtinId="9" hidden="1"/>
    <cellStyle name="Lien hypertexte visité" xfId="2952" builtinId="9" hidden="1"/>
    <cellStyle name="Lien hypertexte visité" xfId="2888" builtinId="9" hidden="1"/>
    <cellStyle name="Lien hypertexte visité" xfId="2824" builtinId="9" hidden="1"/>
    <cellStyle name="Lien hypertexte visité" xfId="2760" builtinId="9" hidden="1"/>
    <cellStyle name="Lien hypertexte visité" xfId="2696" builtinId="9" hidden="1"/>
    <cellStyle name="Lien hypertexte visité" xfId="2632" builtinId="9" hidden="1"/>
    <cellStyle name="Lien hypertexte visité" xfId="2568" builtinId="9" hidden="1"/>
    <cellStyle name="Lien hypertexte visité" xfId="2504" builtinId="9" hidden="1"/>
    <cellStyle name="Lien hypertexte visité" xfId="2440" builtinId="9" hidden="1"/>
    <cellStyle name="Lien hypertexte visité" xfId="2376" builtinId="9" hidden="1"/>
    <cellStyle name="Lien hypertexte visité" xfId="2312" builtinId="9" hidden="1"/>
    <cellStyle name="Lien hypertexte visité" xfId="2248" builtinId="9" hidden="1"/>
    <cellStyle name="Lien hypertexte visité" xfId="2184" builtinId="9" hidden="1"/>
    <cellStyle name="Lien hypertexte visité" xfId="2120" builtinId="9" hidden="1"/>
    <cellStyle name="Lien hypertexte visité" xfId="2056" builtinId="9" hidden="1"/>
    <cellStyle name="Lien hypertexte visité" xfId="1992" builtinId="9" hidden="1"/>
    <cellStyle name="Lien hypertexte visité" xfId="1928" builtinId="9" hidden="1"/>
    <cellStyle name="Lien hypertexte visité" xfId="1864" builtinId="9" hidden="1"/>
    <cellStyle name="Lien hypertexte visité" xfId="1800" builtinId="9" hidden="1"/>
    <cellStyle name="Lien hypertexte visité" xfId="1736" builtinId="9" hidden="1"/>
    <cellStyle name="Lien hypertexte visité" xfId="1672" builtinId="9" hidden="1"/>
    <cellStyle name="Lien hypertexte visité" xfId="1608" builtinId="9" hidden="1"/>
    <cellStyle name="Lien hypertexte visité" xfId="1544" builtinId="9" hidden="1"/>
    <cellStyle name="Lien hypertexte visité" xfId="1479" builtinId="9" hidden="1"/>
    <cellStyle name="Lien hypertexte visité" xfId="1415" builtinId="9" hidden="1"/>
    <cellStyle name="Lien hypertexte visité" xfId="1351" builtinId="9" hidden="1"/>
    <cellStyle name="Lien hypertexte visité" xfId="1287" builtinId="9" hidden="1"/>
    <cellStyle name="Lien hypertexte visité" xfId="1223" builtinId="9" hidden="1"/>
    <cellStyle name="Lien hypertexte visité" xfId="1159" builtinId="9" hidden="1"/>
    <cellStyle name="Lien hypertexte visité" xfId="1027" builtinId="9" hidden="1"/>
    <cellStyle name="Lien hypertexte visité" xfId="899" builtinId="9" hidden="1"/>
    <cellStyle name="Lien hypertexte visité" xfId="771" builtinId="9" hidden="1"/>
    <cellStyle name="Lien hypertexte visité" xfId="643" builtinId="9" hidden="1"/>
    <cellStyle name="Lien hypertexte visité" xfId="515" builtinId="9" hidden="1"/>
    <cellStyle name="Lien hypertexte visité" xfId="387" builtinId="9" hidden="1"/>
    <cellStyle name="Lien hypertexte visité" xfId="259" builtinId="9" hidden="1"/>
    <cellStyle name="Lien hypertexte visité" xfId="131" builtinId="9" hidden="1"/>
    <cellStyle name="Lien hypertexte visité" xfId="63" builtinId="9" hidden="1"/>
    <cellStyle name="Lien hypertexte visité" xfId="83" builtinId="9" hidden="1"/>
    <cellStyle name="Lien hypertexte visité" xfId="223" builtinId="9" hidden="1"/>
    <cellStyle name="Lien hypertexte visité" xfId="351" builtinId="9" hidden="1"/>
    <cellStyle name="Lien hypertexte visité" xfId="479" builtinId="9" hidden="1"/>
    <cellStyle name="Lien hypertexte visité" xfId="607" builtinId="9" hidden="1"/>
    <cellStyle name="Lien hypertexte visité" xfId="735" builtinId="9" hidden="1"/>
    <cellStyle name="Lien hypertexte visité" xfId="863" builtinId="9" hidden="1"/>
    <cellStyle name="Lien hypertexte visité" xfId="991" builtinId="9" hidden="1"/>
    <cellStyle name="Lien hypertexte visité" xfId="1119" builtinId="9" hidden="1"/>
    <cellStyle name="Lien hypertexte visité" xfId="1205" builtinId="9" hidden="1"/>
    <cellStyle name="Lien hypertexte visité" xfId="1269" builtinId="9" hidden="1"/>
    <cellStyle name="Lien hypertexte visité" xfId="1333" builtinId="9" hidden="1"/>
    <cellStyle name="Lien hypertexte visité" xfId="1397" builtinId="9" hidden="1"/>
    <cellStyle name="Lien hypertexte visité" xfId="1461" builtinId="9" hidden="1"/>
    <cellStyle name="Lien hypertexte visité" xfId="1526" builtinId="9" hidden="1"/>
    <cellStyle name="Lien hypertexte visité" xfId="1590" builtinId="9" hidden="1"/>
    <cellStyle name="Lien hypertexte visité" xfId="1654" builtinId="9" hidden="1"/>
    <cellStyle name="Lien hypertexte visité" xfId="1718" builtinId="9" hidden="1"/>
    <cellStyle name="Lien hypertexte visité" xfId="1782" builtinId="9" hidden="1"/>
    <cellStyle name="Lien hypertexte visité" xfId="1846" builtinId="9" hidden="1"/>
    <cellStyle name="Lien hypertexte visité" xfId="1910" builtinId="9" hidden="1"/>
    <cellStyle name="Lien hypertexte visité" xfId="1974" builtinId="9" hidden="1"/>
    <cellStyle name="Lien hypertexte visité" xfId="2038" builtinId="9" hidden="1"/>
    <cellStyle name="Lien hypertexte visité" xfId="2102" builtinId="9" hidden="1"/>
    <cellStyle name="Lien hypertexte visité" xfId="2166" builtinId="9" hidden="1"/>
    <cellStyle name="Lien hypertexte visité" xfId="2230" builtinId="9" hidden="1"/>
    <cellStyle name="Lien hypertexte visité" xfId="2294" builtinId="9" hidden="1"/>
    <cellStyle name="Lien hypertexte visité" xfId="2358" builtinId="9" hidden="1"/>
    <cellStyle name="Lien hypertexte visité" xfId="2422" builtinId="9" hidden="1"/>
    <cellStyle name="Lien hypertexte visité" xfId="2486" builtinId="9" hidden="1"/>
    <cellStyle name="Lien hypertexte visité" xfId="2550" builtinId="9" hidden="1"/>
    <cellStyle name="Lien hypertexte visité" xfId="2614" builtinId="9" hidden="1"/>
    <cellStyle name="Lien hypertexte visité" xfId="2678" builtinId="9" hidden="1"/>
    <cellStyle name="Lien hypertexte visité" xfId="2742" builtinId="9" hidden="1"/>
    <cellStyle name="Lien hypertexte visité" xfId="2806" builtinId="9" hidden="1"/>
    <cellStyle name="Lien hypertexte visité" xfId="2870" builtinId="9" hidden="1"/>
    <cellStyle name="Lien hypertexte visité" xfId="2934" builtinId="9" hidden="1"/>
    <cellStyle name="Lien hypertexte visité" xfId="2998" builtinId="9" hidden="1"/>
    <cellStyle name="Lien hypertexte visité" xfId="3062" builtinId="9" hidden="1"/>
    <cellStyle name="Lien hypertexte visité" xfId="3126" builtinId="9" hidden="1"/>
    <cellStyle name="Lien hypertexte visité" xfId="3190" builtinId="9" hidden="1"/>
    <cellStyle name="Lien hypertexte visité" xfId="3254" builtinId="9" hidden="1"/>
    <cellStyle name="Lien hypertexte visité" xfId="3318" builtinId="9" hidden="1"/>
    <cellStyle name="Lien hypertexte visité" xfId="3382" builtinId="9" hidden="1"/>
    <cellStyle name="Lien hypertexte visité" xfId="3446" builtinId="9" hidden="1"/>
    <cellStyle name="Lien hypertexte visité" xfId="3510" builtinId="9" hidden="1"/>
    <cellStyle name="Lien hypertexte visité" xfId="3575" builtinId="9" hidden="1"/>
    <cellStyle name="Lien hypertexte visité" xfId="3639" builtinId="9" hidden="1"/>
    <cellStyle name="Lien hypertexte visité" xfId="3711" builtinId="9" hidden="1"/>
    <cellStyle name="Lien hypertexte visité" xfId="3775" builtinId="9" hidden="1"/>
    <cellStyle name="Lien hypertexte visité" xfId="3839" builtinId="9" hidden="1"/>
    <cellStyle name="Lien hypertexte visité" xfId="3904" builtinId="9" hidden="1"/>
    <cellStyle name="Lien hypertexte visité" xfId="3964" builtinId="9" hidden="1"/>
    <cellStyle name="Lien hypertexte visité" xfId="4028" builtinId="9" hidden="1"/>
    <cellStyle name="Lien hypertexte visité" xfId="4092" builtinId="9" hidden="1"/>
    <cellStyle name="Lien hypertexte visité" xfId="4156" builtinId="9" hidden="1"/>
    <cellStyle name="Lien hypertexte visité" xfId="4220" builtinId="9" hidden="1"/>
    <cellStyle name="Lien hypertexte visité" xfId="4284" builtinId="9" hidden="1"/>
    <cellStyle name="Lien hypertexte visité" xfId="4348" builtinId="9" hidden="1"/>
    <cellStyle name="Lien hypertexte visité" xfId="4412" builtinId="9" hidden="1"/>
    <cellStyle name="Lien hypertexte visité" xfId="4476" builtinId="9" hidden="1"/>
    <cellStyle name="Lien hypertexte visité" xfId="4540" builtinId="9" hidden="1"/>
    <cellStyle name="Lien hypertexte visité" xfId="4604" builtinId="9" hidden="1"/>
    <cellStyle name="Lien hypertexte visité" xfId="4668" builtinId="9" hidden="1"/>
    <cellStyle name="Lien hypertexte visité" xfId="4732" builtinId="9" hidden="1"/>
    <cellStyle name="Lien hypertexte visité" xfId="4796" builtinId="9" hidden="1"/>
    <cellStyle name="Lien hypertexte visité" xfId="4860" builtinId="9" hidden="1"/>
    <cellStyle name="Lien hypertexte visité" xfId="4924" builtinId="9" hidden="1"/>
    <cellStyle name="Lien hypertexte visité" xfId="4988" builtinId="9" hidden="1"/>
    <cellStyle name="Lien hypertexte visité" xfId="5052" builtinId="9" hidden="1"/>
    <cellStyle name="Lien hypertexte visité" xfId="5116" builtinId="9" hidden="1"/>
    <cellStyle name="Lien hypertexte visité" xfId="5180" builtinId="9" hidden="1"/>
    <cellStyle name="Lien hypertexte visité" xfId="5244" builtinId="9" hidden="1"/>
    <cellStyle name="Lien hypertexte visité" xfId="5308" builtinId="9" hidden="1"/>
    <cellStyle name="Lien hypertexte visité" xfId="5372" builtinId="9" hidden="1"/>
    <cellStyle name="Lien hypertexte visité" xfId="5436" builtinId="9" hidden="1"/>
    <cellStyle name="Lien hypertexte visité" xfId="5500" builtinId="9" hidden="1"/>
    <cellStyle name="Lien hypertexte visité" xfId="5564" builtinId="9" hidden="1"/>
    <cellStyle name="Lien hypertexte visité" xfId="5628" builtinId="9" hidden="1"/>
    <cellStyle name="Lien hypertexte visité" xfId="5692" builtinId="9" hidden="1"/>
    <cellStyle name="Lien hypertexte visité" xfId="5756" builtinId="9" hidden="1"/>
    <cellStyle name="Lien hypertexte visité" xfId="5820" builtinId="9" hidden="1"/>
    <cellStyle name="Lien hypertexte visité" xfId="5884" builtinId="9" hidden="1"/>
    <cellStyle name="Lien hypertexte visité" xfId="5948" builtinId="9" hidden="1"/>
    <cellStyle name="Lien hypertexte visité" xfId="6012" builtinId="9" hidden="1"/>
    <cellStyle name="Lien hypertexte visité" xfId="6076" builtinId="9" hidden="1"/>
    <cellStyle name="Lien hypertexte visité" xfId="6140" builtinId="9" hidden="1"/>
    <cellStyle name="Lien hypertexte visité" xfId="6204" builtinId="9" hidden="1"/>
    <cellStyle name="Lien hypertexte visité" xfId="6268" builtinId="9" hidden="1"/>
    <cellStyle name="Lien hypertexte visité" xfId="6332" builtinId="9" hidden="1"/>
    <cellStyle name="Lien hypertexte visité" xfId="6396" builtinId="9" hidden="1"/>
    <cellStyle name="Lien hypertexte visité" xfId="6460" builtinId="9" hidden="1"/>
    <cellStyle name="Lien hypertexte visité" xfId="6524" builtinId="9" hidden="1"/>
    <cellStyle name="Lien hypertexte visité" xfId="6588" builtinId="9" hidden="1"/>
    <cellStyle name="Lien hypertexte visité" xfId="6652" builtinId="9" hidden="1"/>
    <cellStyle name="Lien hypertexte visité" xfId="6716" builtinId="9" hidden="1"/>
    <cellStyle name="Lien hypertexte visité" xfId="6780" builtinId="9" hidden="1"/>
    <cellStyle name="Lien hypertexte visité" xfId="6844" builtinId="9" hidden="1"/>
    <cellStyle name="Lien hypertexte visité" xfId="6908" builtinId="9" hidden="1"/>
    <cellStyle name="Lien hypertexte visité" xfId="6972" builtinId="9" hidden="1"/>
    <cellStyle name="Lien hypertexte visité" xfId="7036" builtinId="9" hidden="1"/>
    <cellStyle name="Lien hypertexte visité" xfId="7100" builtinId="9" hidden="1"/>
    <cellStyle name="Lien hypertexte visité" xfId="7164" builtinId="9" hidden="1"/>
    <cellStyle name="Lien hypertexte visité" xfId="7228" builtinId="9" hidden="1"/>
    <cellStyle name="Lien hypertexte visité" xfId="7292" builtinId="9" hidden="1"/>
    <cellStyle name="Lien hypertexte visité" xfId="7356" builtinId="9" hidden="1"/>
    <cellStyle name="Lien hypertexte visité" xfId="7420" builtinId="9" hidden="1"/>
    <cellStyle name="Lien hypertexte visité" xfId="7484" builtinId="9" hidden="1"/>
    <cellStyle name="Lien hypertexte visité" xfId="7548" builtinId="9" hidden="1"/>
    <cellStyle name="Lien hypertexte visité" xfId="7612" builtinId="9" hidden="1"/>
    <cellStyle name="Lien hypertexte visité" xfId="7676" builtinId="9" hidden="1"/>
    <cellStyle name="Lien hypertexte visité" xfId="7740" builtinId="9" hidden="1"/>
    <cellStyle name="Lien hypertexte visité" xfId="7804" builtinId="9" hidden="1"/>
    <cellStyle name="Lien hypertexte visité" xfId="7869" builtinId="9" hidden="1"/>
    <cellStyle name="Lien hypertexte visité" xfId="7933" builtinId="9" hidden="1"/>
    <cellStyle name="Lien hypertexte visité" xfId="7997" builtinId="9" hidden="1"/>
    <cellStyle name="Lien hypertexte visité" xfId="8061" builtinId="9" hidden="1"/>
    <cellStyle name="Lien hypertexte visité" xfId="8125" builtinId="9" hidden="1"/>
    <cellStyle name="Lien hypertexte visité" xfId="8189" builtinId="9" hidden="1"/>
    <cellStyle name="Lien hypertexte visité" xfId="8253" builtinId="9" hidden="1"/>
    <cellStyle name="Lien hypertexte visité" xfId="8317" builtinId="9" hidden="1"/>
    <cellStyle name="Lien hypertexte visité" xfId="8381" builtinId="9" hidden="1"/>
    <cellStyle name="Lien hypertexte visité" xfId="8445" builtinId="9" hidden="1"/>
    <cellStyle name="Lien hypertexte visité" xfId="8509" builtinId="9" hidden="1"/>
    <cellStyle name="Lien hypertexte visité" xfId="8573" builtinId="9" hidden="1"/>
    <cellStyle name="Lien hypertexte visité" xfId="8637" builtinId="9" hidden="1"/>
    <cellStyle name="Lien hypertexte visité" xfId="8701" builtinId="9" hidden="1"/>
    <cellStyle name="Lien hypertexte visité" xfId="8765" builtinId="9" hidden="1"/>
    <cellStyle name="Lien hypertexte visité" xfId="8829" builtinId="9" hidden="1"/>
    <cellStyle name="Lien hypertexte visité" xfId="8893" builtinId="9" hidden="1"/>
    <cellStyle name="Lien hypertexte visité" xfId="8957" builtinId="9" hidden="1"/>
    <cellStyle name="Lien hypertexte visité" xfId="9021" builtinId="9" hidden="1"/>
    <cellStyle name="Lien hypertexte visité" xfId="9085" builtinId="9" hidden="1"/>
    <cellStyle name="Lien hypertexte visité" xfId="9149" builtinId="9" hidden="1"/>
    <cellStyle name="Lien hypertexte visité" xfId="9213" builtinId="9" hidden="1"/>
    <cellStyle name="Lien hypertexte visité" xfId="9277" builtinId="9" hidden="1"/>
    <cellStyle name="Lien hypertexte visité" xfId="9341" builtinId="9" hidden="1"/>
    <cellStyle name="Lien hypertexte visité" xfId="9405" builtinId="9" hidden="1"/>
    <cellStyle name="Lien hypertexte visité" xfId="9469" builtinId="9" hidden="1"/>
    <cellStyle name="Lien hypertexte visité" xfId="9533" builtinId="9" hidden="1"/>
    <cellStyle name="Lien hypertexte visité" xfId="9597" builtinId="9" hidden="1"/>
    <cellStyle name="Lien hypertexte visité" xfId="9661" builtinId="9" hidden="1"/>
    <cellStyle name="Lien hypertexte visité" xfId="9725" builtinId="9" hidden="1"/>
    <cellStyle name="Lien hypertexte visité" xfId="9789" builtinId="9" hidden="1"/>
    <cellStyle name="Lien hypertexte visité" xfId="9853" builtinId="9" hidden="1"/>
    <cellStyle name="Lien hypertexte visité" xfId="9917" builtinId="9" hidden="1"/>
    <cellStyle name="Lien hypertexte visité" xfId="9981" builtinId="9" hidden="1"/>
    <cellStyle name="Lien hypertexte visité" xfId="10045" builtinId="9" hidden="1"/>
    <cellStyle name="Lien hypertexte visité" xfId="10109" builtinId="9" hidden="1"/>
    <cellStyle name="Lien hypertexte visité" xfId="10173" builtinId="9" hidden="1"/>
    <cellStyle name="Lien hypertexte visité" xfId="10237" builtinId="9" hidden="1"/>
    <cellStyle name="Lien hypertexte visité" xfId="10301" builtinId="9" hidden="1"/>
    <cellStyle name="Lien hypertexte visité" xfId="10365" builtinId="9" hidden="1"/>
    <cellStyle name="Lien hypertexte visité" xfId="10429" builtinId="9" hidden="1"/>
    <cellStyle name="Lien hypertexte visité" xfId="10493" builtinId="9" hidden="1"/>
    <cellStyle name="Lien hypertexte visité" xfId="10557" builtinId="9" hidden="1"/>
    <cellStyle name="Lien hypertexte visité" xfId="10621" builtinId="9" hidden="1"/>
    <cellStyle name="Lien hypertexte visité" xfId="10685" builtinId="9" hidden="1"/>
    <cellStyle name="Lien hypertexte visité" xfId="10749" builtinId="9" hidden="1"/>
    <cellStyle name="Lien hypertexte visité" xfId="10813" builtinId="9" hidden="1"/>
    <cellStyle name="Lien hypertexte visité" xfId="10877" builtinId="9" hidden="1"/>
    <cellStyle name="Lien hypertexte visité" xfId="10941" builtinId="9" hidden="1"/>
    <cellStyle name="Lien hypertexte visité" xfId="11005" builtinId="9" hidden="1"/>
    <cellStyle name="Lien hypertexte visité" xfId="11069" builtinId="9" hidden="1"/>
    <cellStyle name="Lien hypertexte visité" xfId="11133" builtinId="9" hidden="1"/>
    <cellStyle name="Lien hypertexte visité" xfId="11197" builtinId="9" hidden="1"/>
    <cellStyle name="Lien hypertexte visité" xfId="11261" builtinId="9" hidden="1"/>
    <cellStyle name="Lien hypertexte visité" xfId="11325" builtinId="9" hidden="1"/>
    <cellStyle name="Lien hypertexte visité" xfId="11389" builtinId="9" hidden="1"/>
    <cellStyle name="Lien hypertexte visité" xfId="11453" builtinId="9" hidden="1"/>
    <cellStyle name="Lien hypertexte visité" xfId="11517" builtinId="9" hidden="1"/>
    <cellStyle name="Lien hypertexte visité" xfId="11581" builtinId="9" hidden="1"/>
    <cellStyle name="Lien hypertexte visité" xfId="11645" builtinId="9" hidden="1"/>
    <cellStyle name="Lien hypertexte visité" xfId="11709" builtinId="9" hidden="1"/>
    <cellStyle name="Lien hypertexte visité" xfId="11773" builtinId="9" hidden="1"/>
    <cellStyle name="Lien hypertexte visité" xfId="11837" builtinId="9" hidden="1"/>
    <cellStyle name="Lien hypertexte visité" xfId="11901" builtinId="9" hidden="1"/>
    <cellStyle name="Lien hypertexte visité" xfId="11965" builtinId="9" hidden="1"/>
    <cellStyle name="Lien hypertexte visité" xfId="12029" builtinId="9" hidden="1"/>
    <cellStyle name="Lien hypertexte visité" xfId="12093" builtinId="9" hidden="1"/>
    <cellStyle name="Lien hypertexte visité" xfId="12157" builtinId="9" hidden="1"/>
    <cellStyle name="Lien hypertexte visité" xfId="12221" builtinId="9" hidden="1"/>
    <cellStyle name="Lien hypertexte visité" xfId="12285" builtinId="9" hidden="1"/>
    <cellStyle name="Lien hypertexte visité" xfId="12349" builtinId="9" hidden="1"/>
    <cellStyle name="Lien hypertexte visité" xfId="12413" builtinId="9" hidden="1"/>
    <cellStyle name="Lien hypertexte visité" xfId="12477" builtinId="9" hidden="1"/>
    <cellStyle name="Lien hypertexte visité" xfId="12541" builtinId="9" hidden="1"/>
    <cellStyle name="Lien hypertexte visité" xfId="12605" builtinId="9" hidden="1"/>
    <cellStyle name="Lien hypertexte visité" xfId="12669" builtinId="9" hidden="1"/>
    <cellStyle name="Lien hypertexte visité" xfId="12733" builtinId="9" hidden="1"/>
    <cellStyle name="Lien hypertexte visité" xfId="12797" builtinId="9" hidden="1"/>
    <cellStyle name="Lien hypertexte visité" xfId="12861" builtinId="9" hidden="1"/>
    <cellStyle name="Lien hypertexte visité" xfId="12925" builtinId="9" hidden="1"/>
    <cellStyle name="Lien hypertexte visité" xfId="12989" builtinId="9" hidden="1"/>
    <cellStyle name="Lien hypertexte visité" xfId="13053" builtinId="9" hidden="1"/>
    <cellStyle name="Lien hypertexte visité" xfId="13117" builtinId="9" hidden="1"/>
    <cellStyle name="Lien hypertexte visité" xfId="13181" builtinId="9" hidden="1"/>
    <cellStyle name="Lien hypertexte visité" xfId="13245" builtinId="9" hidden="1"/>
    <cellStyle name="Lien hypertexte visité" xfId="13309" builtinId="9" hidden="1"/>
    <cellStyle name="Lien hypertexte visité" xfId="13373" builtinId="9" hidden="1"/>
    <cellStyle name="Lien hypertexte visité" xfId="13437" builtinId="9" hidden="1"/>
    <cellStyle name="Lien hypertexte visité" xfId="13501" builtinId="9" hidden="1"/>
    <cellStyle name="Lien hypertexte visité" xfId="13565" builtinId="9" hidden="1"/>
    <cellStyle name="Lien hypertexte visité" xfId="13629" builtinId="9" hidden="1"/>
    <cellStyle name="Lien hypertexte visité" xfId="13693" builtinId="9" hidden="1"/>
    <cellStyle name="Lien hypertexte visité" xfId="13757" builtinId="9" hidden="1"/>
    <cellStyle name="Lien hypertexte visité" xfId="13821" builtinId="9" hidden="1"/>
    <cellStyle name="Lien hypertexte visité" xfId="13885" builtinId="9" hidden="1"/>
    <cellStyle name="Lien hypertexte visité" xfId="13949" builtinId="9" hidden="1"/>
    <cellStyle name="Lien hypertexte visité" xfId="14013" builtinId="9" hidden="1"/>
    <cellStyle name="Lien hypertexte visité" xfId="14077" builtinId="9" hidden="1"/>
    <cellStyle name="Lien hypertexte visité" xfId="14141" builtinId="9" hidden="1"/>
    <cellStyle name="Lien hypertexte visité" xfId="14205" builtinId="9" hidden="1"/>
    <cellStyle name="Lien hypertexte visité" xfId="14269" builtinId="9" hidden="1"/>
    <cellStyle name="Lien hypertexte visité" xfId="14333" builtinId="9" hidden="1"/>
    <cellStyle name="Lien hypertexte visité" xfId="14397" builtinId="9" hidden="1"/>
    <cellStyle name="Lien hypertexte visité" xfId="14461" builtinId="9" hidden="1"/>
    <cellStyle name="Lien hypertexte visité" xfId="14535" builtinId="9" hidden="1"/>
    <cellStyle name="Lien hypertexte visité" xfId="14663" builtinId="9" hidden="1"/>
    <cellStyle name="Lien hypertexte visité" xfId="14791" builtinId="9" hidden="1"/>
    <cellStyle name="Lien hypertexte visité" xfId="14919" builtinId="9" hidden="1"/>
    <cellStyle name="Lien hypertexte visité" xfId="15047" builtinId="9" hidden="1"/>
    <cellStyle name="Lien hypertexte visité" xfId="15175" builtinId="9" hidden="1"/>
    <cellStyle name="Lien hypertexte visité" xfId="15303" builtinId="9" hidden="1"/>
    <cellStyle name="Lien hypertexte visité" xfId="15431" builtinId="9" hidden="1"/>
    <cellStyle name="Lien hypertexte visité" xfId="15559" builtinId="9" hidden="1"/>
    <cellStyle name="Lien hypertexte visité" xfId="15687" builtinId="9" hidden="1"/>
    <cellStyle name="Lien hypertexte visité" xfId="15815" builtinId="9" hidden="1"/>
    <cellStyle name="Lien hypertexte visité" xfId="15943" builtinId="9" hidden="1"/>
    <cellStyle name="Lien hypertexte visité" xfId="16071" builtinId="9" hidden="1"/>
    <cellStyle name="Lien hypertexte visité" xfId="16199" builtinId="9" hidden="1"/>
    <cellStyle name="Lien hypertexte visité" xfId="16327" builtinId="9" hidden="1"/>
    <cellStyle name="Lien hypertexte visité" xfId="16455" builtinId="9" hidden="1"/>
    <cellStyle name="Lien hypertexte visité" xfId="16583" builtinId="9" hidden="1"/>
    <cellStyle name="Lien hypertexte visité" xfId="16711" builtinId="9" hidden="1"/>
    <cellStyle name="Lien hypertexte visité" xfId="16839" builtinId="9" hidden="1"/>
    <cellStyle name="Lien hypertexte visité" xfId="16967" builtinId="9" hidden="1"/>
    <cellStyle name="Lien hypertexte visité" xfId="17095" builtinId="9" hidden="1"/>
    <cellStyle name="Lien hypertexte visité" xfId="17223" builtinId="9" hidden="1"/>
    <cellStyle name="Lien hypertexte visité" xfId="17351" builtinId="9" hidden="1"/>
    <cellStyle name="Lien hypertexte visité" xfId="17479" builtinId="9" hidden="1"/>
    <cellStyle name="Lien hypertexte visité" xfId="17607" builtinId="9" hidden="1"/>
    <cellStyle name="Lien hypertexte visité" xfId="17735" builtinId="9" hidden="1"/>
    <cellStyle name="Lien hypertexte visité" xfId="17863" builtinId="9" hidden="1"/>
    <cellStyle name="Lien hypertexte visité" xfId="17991" builtinId="9" hidden="1"/>
    <cellStyle name="Lien hypertexte visité" xfId="18119" builtinId="9" hidden="1"/>
    <cellStyle name="Lien hypertexte visité" xfId="18247" builtinId="9" hidden="1"/>
    <cellStyle name="Lien hypertexte visité" xfId="18358" builtinId="9" hidden="1"/>
    <cellStyle name="Lien hypertexte visité" xfId="18486" builtinId="9" hidden="1"/>
    <cellStyle name="Lien hypertexte visité" xfId="18614" builtinId="9" hidden="1"/>
    <cellStyle name="Lien hypertexte visité" xfId="18742" builtinId="9" hidden="1"/>
    <cellStyle name="Lien hypertexte visité" xfId="18870" builtinId="9" hidden="1"/>
    <cellStyle name="Lien hypertexte visité" xfId="18998" builtinId="9" hidden="1"/>
    <cellStyle name="Lien hypertexte visité" xfId="19126" builtinId="9" hidden="1"/>
    <cellStyle name="Lien hypertexte visité" xfId="19254" builtinId="9" hidden="1"/>
    <cellStyle name="Lien hypertexte visité" xfId="19382" builtinId="9" hidden="1"/>
    <cellStyle name="Lien hypertexte visité" xfId="19510" builtinId="9" hidden="1"/>
    <cellStyle name="Lien hypertexte visité" xfId="19638" builtinId="9" hidden="1"/>
    <cellStyle name="Lien hypertexte visité" xfId="19766" builtinId="9" hidden="1"/>
    <cellStyle name="Lien hypertexte visité" xfId="19894" builtinId="9" hidden="1"/>
    <cellStyle name="Lien hypertexte visité" xfId="20022" builtinId="9" hidden="1"/>
    <cellStyle name="Lien hypertexte visité" xfId="20150" builtinId="9" hidden="1"/>
    <cellStyle name="Lien hypertexte visité" xfId="20278" builtinId="9" hidden="1"/>
    <cellStyle name="Lien hypertexte visité" xfId="20406" builtinId="9" hidden="1"/>
    <cellStyle name="Lien hypertexte visité" xfId="20534" builtinId="9" hidden="1"/>
    <cellStyle name="Lien hypertexte visité" xfId="20662" builtinId="9" hidden="1"/>
    <cellStyle name="Lien hypertexte visité" xfId="20790" builtinId="9" hidden="1"/>
    <cellStyle name="Lien hypertexte visité" xfId="20918" builtinId="9" hidden="1"/>
    <cellStyle name="Lien hypertexte visité" xfId="21046" builtinId="9" hidden="1"/>
    <cellStyle name="Lien hypertexte visité" xfId="21174" builtinId="9" hidden="1"/>
    <cellStyle name="Lien hypertexte visité" xfId="21302" builtinId="9" hidden="1"/>
    <cellStyle name="Lien hypertexte visité" xfId="21430" builtinId="9" hidden="1"/>
    <cellStyle name="Lien hypertexte visité" xfId="21558" builtinId="9" hidden="1"/>
    <cellStyle name="Lien hypertexte visité" xfId="21686" builtinId="9" hidden="1"/>
    <cellStyle name="Lien hypertexte visité" xfId="21814" builtinId="9" hidden="1"/>
    <cellStyle name="Lien hypertexte visité" xfId="21942" builtinId="9" hidden="1"/>
    <cellStyle name="Lien hypertexte visité" xfId="22070" builtinId="9" hidden="1"/>
    <cellStyle name="Lien hypertexte visité" xfId="22198" builtinId="9" hidden="1"/>
    <cellStyle name="Lien hypertexte visité" xfId="22326" builtinId="9" hidden="1"/>
    <cellStyle name="Lien hypertexte visité" xfId="22454" builtinId="9" hidden="1"/>
    <cellStyle name="Lien hypertexte visité" xfId="22582" builtinId="9" hidden="1"/>
    <cellStyle name="Lien hypertexte visité" xfId="22710" builtinId="9" hidden="1"/>
    <cellStyle name="Lien hypertexte visité" xfId="22838" builtinId="9" hidden="1"/>
    <cellStyle name="Lien hypertexte visité" xfId="22966" builtinId="9" hidden="1"/>
    <cellStyle name="Lien hypertexte visité" xfId="23094" builtinId="9" hidden="1"/>
    <cellStyle name="Lien hypertexte visité" xfId="23222" builtinId="9" hidden="1"/>
    <cellStyle name="Lien hypertexte visité" xfId="23350" builtinId="9" hidden="1"/>
    <cellStyle name="Lien hypertexte visité" xfId="23478" builtinId="9" hidden="1"/>
    <cellStyle name="Lien hypertexte visité" xfId="23606" builtinId="9" hidden="1"/>
    <cellStyle name="Lien hypertexte visité" xfId="23734" builtinId="9" hidden="1"/>
    <cellStyle name="Lien hypertexte visité" xfId="23862" builtinId="9" hidden="1"/>
    <cellStyle name="Lien hypertexte visité" xfId="23990" builtinId="9" hidden="1"/>
    <cellStyle name="Lien hypertexte visité" xfId="24118" builtinId="9" hidden="1"/>
    <cellStyle name="Lien hypertexte visité" xfId="24246" builtinId="9" hidden="1"/>
    <cellStyle name="Lien hypertexte visité" xfId="24374" builtinId="9" hidden="1"/>
    <cellStyle name="Lien hypertexte visité" xfId="24502" builtinId="9" hidden="1"/>
    <cellStyle name="Lien hypertexte visité" xfId="24596" builtinId="9" hidden="1"/>
    <cellStyle name="Lien hypertexte visité" xfId="24468" builtinId="9" hidden="1"/>
    <cellStyle name="Lien hypertexte visité" xfId="24340" builtinId="9" hidden="1"/>
    <cellStyle name="Lien hypertexte visité" xfId="24212" builtinId="9" hidden="1"/>
    <cellStyle name="Lien hypertexte visité" xfId="24084" builtinId="9" hidden="1"/>
    <cellStyle name="Lien hypertexte visité" xfId="23956" builtinId="9" hidden="1"/>
    <cellStyle name="Lien hypertexte visité" xfId="23828" builtinId="9" hidden="1"/>
    <cellStyle name="Lien hypertexte visité" xfId="23700" builtinId="9" hidden="1"/>
    <cellStyle name="Lien hypertexte visité" xfId="23572" builtinId="9" hidden="1"/>
    <cellStyle name="Lien hypertexte visité" xfId="23444" builtinId="9" hidden="1"/>
    <cellStyle name="Lien hypertexte visité" xfId="23316" builtinId="9" hidden="1"/>
    <cellStyle name="Lien hypertexte visité" xfId="23188" builtinId="9" hidden="1"/>
    <cellStyle name="Lien hypertexte visité" xfId="23060" builtinId="9" hidden="1"/>
    <cellStyle name="Lien hypertexte visité" xfId="22932" builtinId="9" hidden="1"/>
    <cellStyle name="Lien hypertexte visité" xfId="22804" builtinId="9" hidden="1"/>
    <cellStyle name="Lien hypertexte visité" xfId="22676" builtinId="9" hidden="1"/>
    <cellStyle name="Lien hypertexte visité" xfId="22548" builtinId="9" hidden="1"/>
    <cellStyle name="Lien hypertexte visité" xfId="22420" builtinId="9" hidden="1"/>
    <cellStyle name="Lien hypertexte visité" xfId="22292" builtinId="9" hidden="1"/>
    <cellStyle name="Lien hypertexte visité" xfId="22164" builtinId="9" hidden="1"/>
    <cellStyle name="Lien hypertexte visité" xfId="22036" builtinId="9" hidden="1"/>
    <cellStyle name="Lien hypertexte visité" xfId="21908" builtinId="9" hidden="1"/>
    <cellStyle name="Lien hypertexte visité" xfId="21780" builtinId="9" hidden="1"/>
    <cellStyle name="Lien hypertexte visité" xfId="21652" builtinId="9" hidden="1"/>
    <cellStyle name="Lien hypertexte visité" xfId="21524" builtinId="9" hidden="1"/>
    <cellStyle name="Lien hypertexte visité" xfId="21396" builtinId="9" hidden="1"/>
    <cellStyle name="Lien hypertexte visité" xfId="21268" builtinId="9" hidden="1"/>
    <cellStyle name="Lien hypertexte visité" xfId="21140" builtinId="9" hidden="1"/>
    <cellStyle name="Lien hypertexte visité" xfId="21012" builtinId="9" hidden="1"/>
    <cellStyle name="Lien hypertexte visité" xfId="20884" builtinId="9" hidden="1"/>
    <cellStyle name="Lien hypertexte visité" xfId="20756" builtinId="9" hidden="1"/>
    <cellStyle name="Lien hypertexte visité" xfId="20628" builtinId="9" hidden="1"/>
    <cellStyle name="Lien hypertexte visité" xfId="20500" builtinId="9" hidden="1"/>
    <cellStyle name="Lien hypertexte visité" xfId="20372" builtinId="9" hidden="1"/>
    <cellStyle name="Lien hypertexte visité" xfId="20244" builtinId="9" hidden="1"/>
    <cellStyle name="Lien hypertexte visité" xfId="20116" builtinId="9" hidden="1"/>
    <cellStyle name="Lien hypertexte visité" xfId="19988" builtinId="9" hidden="1"/>
    <cellStyle name="Lien hypertexte visité" xfId="19860" builtinId="9" hidden="1"/>
    <cellStyle name="Lien hypertexte visité" xfId="19732" builtinId="9" hidden="1"/>
    <cellStyle name="Lien hypertexte visité" xfId="19604" builtinId="9" hidden="1"/>
    <cellStyle name="Lien hypertexte visité" xfId="19476" builtinId="9" hidden="1"/>
    <cellStyle name="Lien hypertexte visité" xfId="19348" builtinId="9" hidden="1"/>
    <cellStyle name="Lien hypertexte visité" xfId="19220" builtinId="9" hidden="1"/>
    <cellStyle name="Lien hypertexte visité" xfId="19092" builtinId="9" hidden="1"/>
    <cellStyle name="Lien hypertexte visité" xfId="18964" builtinId="9" hidden="1"/>
    <cellStyle name="Lien hypertexte visité" xfId="18836" builtinId="9" hidden="1"/>
    <cellStyle name="Lien hypertexte visité" xfId="18708" builtinId="9" hidden="1"/>
    <cellStyle name="Lien hypertexte visité" xfId="18580" builtinId="9" hidden="1"/>
    <cellStyle name="Lien hypertexte visité" xfId="18452" builtinId="9" hidden="1"/>
    <cellStyle name="Lien hypertexte visité" xfId="18325" builtinId="9" hidden="1"/>
    <cellStyle name="Lien hypertexte visité" xfId="18213" builtinId="9" hidden="1"/>
    <cellStyle name="Lien hypertexte visité" xfId="18085" builtinId="9" hidden="1"/>
    <cellStyle name="Lien hypertexte visité" xfId="17957" builtinId="9" hidden="1"/>
    <cellStyle name="Lien hypertexte visité" xfId="17829" builtinId="9" hidden="1"/>
    <cellStyle name="Lien hypertexte visité" xfId="17701" builtinId="9" hidden="1"/>
    <cellStyle name="Lien hypertexte visité" xfId="17573" builtinId="9" hidden="1"/>
    <cellStyle name="Lien hypertexte visité" xfId="17445" builtinId="9" hidden="1"/>
    <cellStyle name="Lien hypertexte visité" xfId="17317" builtinId="9" hidden="1"/>
    <cellStyle name="Lien hypertexte visité" xfId="17189" builtinId="9" hidden="1"/>
    <cellStyle name="Lien hypertexte visité" xfId="17061" builtinId="9" hidden="1"/>
    <cellStyle name="Lien hypertexte visité" xfId="16933" builtinId="9" hidden="1"/>
    <cellStyle name="Lien hypertexte visité" xfId="16805" builtinId="9" hidden="1"/>
    <cellStyle name="Lien hypertexte visité" xfId="16677" builtinId="9" hidden="1"/>
    <cellStyle name="Lien hypertexte visité" xfId="16549" builtinId="9" hidden="1"/>
    <cellStyle name="Lien hypertexte visité" xfId="16421" builtinId="9" hidden="1"/>
    <cellStyle name="Lien hypertexte visité" xfId="16293" builtinId="9" hidden="1"/>
    <cellStyle name="Lien hypertexte visité" xfId="16165" builtinId="9" hidden="1"/>
    <cellStyle name="Lien hypertexte visité" xfId="16037" builtinId="9" hidden="1"/>
    <cellStyle name="Lien hypertexte visité" xfId="15909" builtinId="9" hidden="1"/>
    <cellStyle name="Lien hypertexte visité" xfId="15781" builtinId="9" hidden="1"/>
    <cellStyle name="Lien hypertexte visité" xfId="15653" builtinId="9" hidden="1"/>
    <cellStyle name="Lien hypertexte visité" xfId="15525" builtinId="9" hidden="1"/>
    <cellStyle name="Lien hypertexte visité" xfId="15397" builtinId="9" hidden="1"/>
    <cellStyle name="Lien hypertexte visité" xfId="15269" builtinId="9" hidden="1"/>
    <cellStyle name="Lien hypertexte visité" xfId="15141" builtinId="9" hidden="1"/>
    <cellStyle name="Lien hypertexte visité" xfId="15013" builtinId="9" hidden="1"/>
    <cellStyle name="Lien hypertexte visité" xfId="14885" builtinId="9" hidden="1"/>
    <cellStyle name="Lien hypertexte visité" xfId="14757" builtinId="9" hidden="1"/>
    <cellStyle name="Lien hypertexte visité" xfId="14629" builtinId="9" hidden="1"/>
    <cellStyle name="Lien hypertexte visité" xfId="14508" builtinId="9" hidden="1"/>
    <cellStyle name="Lien hypertexte visité" xfId="14444" builtinId="9" hidden="1"/>
    <cellStyle name="Lien hypertexte visité" xfId="14380" builtinId="9" hidden="1"/>
    <cellStyle name="Lien hypertexte visité" xfId="14316" builtinId="9" hidden="1"/>
    <cellStyle name="Lien hypertexte visité" xfId="14252" builtinId="9" hidden="1"/>
    <cellStyle name="Lien hypertexte visité" xfId="14188" builtinId="9" hidden="1"/>
    <cellStyle name="Lien hypertexte visité" xfId="14124" builtinId="9" hidden="1"/>
    <cellStyle name="Lien hypertexte visité" xfId="14060" builtinId="9" hidden="1"/>
    <cellStyle name="Lien hypertexte visité" xfId="13996" builtinId="9" hidden="1"/>
    <cellStyle name="Lien hypertexte visité" xfId="13932" builtinId="9" hidden="1"/>
    <cellStyle name="Lien hypertexte visité" xfId="13868" builtinId="9" hidden="1"/>
    <cellStyle name="Lien hypertexte visité" xfId="13804" builtinId="9" hidden="1"/>
    <cellStyle name="Lien hypertexte visité" xfId="13740" builtinId="9" hidden="1"/>
    <cellStyle name="Lien hypertexte visité" xfId="13676" builtinId="9" hidden="1"/>
    <cellStyle name="Lien hypertexte visité" xfId="13612" builtinId="9" hidden="1"/>
    <cellStyle name="Lien hypertexte visité" xfId="13548" builtinId="9" hidden="1"/>
    <cellStyle name="Lien hypertexte visité" xfId="13484" builtinId="9" hidden="1"/>
    <cellStyle name="Lien hypertexte visité" xfId="13420" builtinId="9" hidden="1"/>
    <cellStyle name="Lien hypertexte visité" xfId="13356" builtinId="9" hidden="1"/>
    <cellStyle name="Lien hypertexte visité" xfId="13292" builtinId="9" hidden="1"/>
    <cellStyle name="Lien hypertexte visité" xfId="13228" builtinId="9" hidden="1"/>
    <cellStyle name="Lien hypertexte visité" xfId="13164" builtinId="9" hidden="1"/>
    <cellStyle name="Lien hypertexte visité" xfId="13100" builtinId="9" hidden="1"/>
    <cellStyle name="Lien hypertexte visité" xfId="13036" builtinId="9" hidden="1"/>
    <cellStyle name="Lien hypertexte visité" xfId="12972" builtinId="9" hidden="1"/>
    <cellStyle name="Lien hypertexte visité" xfId="12908" builtinId="9" hidden="1"/>
    <cellStyle name="Lien hypertexte visité" xfId="12844" builtinId="9" hidden="1"/>
    <cellStyle name="Lien hypertexte visité" xfId="12780" builtinId="9" hidden="1"/>
    <cellStyle name="Lien hypertexte visité" xfId="12716" builtinId="9" hidden="1"/>
    <cellStyle name="Lien hypertexte visité" xfId="12652" builtinId="9" hidden="1"/>
    <cellStyle name="Lien hypertexte visité" xfId="12588" builtinId="9" hidden="1"/>
    <cellStyle name="Lien hypertexte visité" xfId="12524" builtinId="9" hidden="1"/>
    <cellStyle name="Lien hypertexte visité" xfId="12460" builtinId="9" hidden="1"/>
    <cellStyle name="Lien hypertexte visité" xfId="12396" builtinId="9" hidden="1"/>
    <cellStyle name="Lien hypertexte visité" xfId="12332" builtinId="9" hidden="1"/>
    <cellStyle name="Lien hypertexte visité" xfId="12268" builtinId="9" hidden="1"/>
    <cellStyle name="Lien hypertexte visité" xfId="12204" builtinId="9" hidden="1"/>
    <cellStyle name="Lien hypertexte visité" xfId="12140" builtinId="9" hidden="1"/>
    <cellStyle name="Lien hypertexte visité" xfId="12076" builtinId="9" hidden="1"/>
    <cellStyle name="Lien hypertexte visité" xfId="12012" builtinId="9" hidden="1"/>
    <cellStyle name="Lien hypertexte visité" xfId="11948" builtinId="9" hidden="1"/>
    <cellStyle name="Lien hypertexte visité" xfId="11884" builtinId="9" hidden="1"/>
    <cellStyle name="Lien hypertexte visité" xfId="11820" builtinId="9" hidden="1"/>
    <cellStyle name="Lien hypertexte visité" xfId="11756" builtinId="9" hidden="1"/>
    <cellStyle name="Lien hypertexte visité" xfId="11692" builtinId="9" hidden="1"/>
    <cellStyle name="Lien hypertexte visité" xfId="11628" builtinId="9" hidden="1"/>
    <cellStyle name="Lien hypertexte visité" xfId="11564" builtinId="9" hidden="1"/>
    <cellStyle name="Lien hypertexte visité" xfId="11500" builtinId="9" hidden="1"/>
    <cellStyle name="Lien hypertexte visité" xfId="11436" builtinId="9" hidden="1"/>
    <cellStyle name="Lien hypertexte visité" xfId="11372" builtinId="9" hidden="1"/>
    <cellStyle name="Lien hypertexte visité" xfId="11308" builtinId="9" hidden="1"/>
    <cellStyle name="Lien hypertexte visité" xfId="11244" builtinId="9" hidden="1"/>
    <cellStyle name="Lien hypertexte visité" xfId="11180" builtinId="9" hidden="1"/>
    <cellStyle name="Lien hypertexte visité" xfId="11116" builtinId="9" hidden="1"/>
    <cellStyle name="Lien hypertexte visité" xfId="11052" builtinId="9" hidden="1"/>
    <cellStyle name="Lien hypertexte visité" xfId="10988" builtinId="9" hidden="1"/>
    <cellStyle name="Lien hypertexte visité" xfId="10924" builtinId="9" hidden="1"/>
    <cellStyle name="Lien hypertexte visité" xfId="10860" builtinId="9" hidden="1"/>
    <cellStyle name="Lien hypertexte visité" xfId="10796" builtinId="9" hidden="1"/>
    <cellStyle name="Lien hypertexte visité" xfId="10732" builtinId="9" hidden="1"/>
    <cellStyle name="Lien hypertexte visité" xfId="10668" builtinId="9" hidden="1"/>
    <cellStyle name="Lien hypertexte visité" xfId="10604" builtinId="9" hidden="1"/>
    <cellStyle name="Lien hypertexte visité" xfId="10540" builtinId="9" hidden="1"/>
    <cellStyle name="Lien hypertexte visité" xfId="10476" builtinId="9" hidden="1"/>
    <cellStyle name="Lien hypertexte visité" xfId="10412" builtinId="9" hidden="1"/>
    <cellStyle name="Lien hypertexte visité" xfId="10348" builtinId="9" hidden="1"/>
    <cellStyle name="Lien hypertexte visité" xfId="10284" builtinId="9" hidden="1"/>
    <cellStyle name="Lien hypertexte visité" xfId="10220" builtinId="9" hidden="1"/>
    <cellStyle name="Lien hypertexte visité" xfId="10156" builtinId="9" hidden="1"/>
    <cellStyle name="Lien hypertexte visité" xfId="10092" builtinId="9" hidden="1"/>
    <cellStyle name="Lien hypertexte visité" xfId="10028" builtinId="9" hidden="1"/>
    <cellStyle name="Lien hypertexte visité" xfId="9964" builtinId="9" hidden="1"/>
    <cellStyle name="Lien hypertexte visité" xfId="9900" builtinId="9" hidden="1"/>
    <cellStyle name="Lien hypertexte visité" xfId="9836" builtinId="9" hidden="1"/>
    <cellStyle name="Lien hypertexte visité" xfId="9772" builtinId="9" hidden="1"/>
    <cellStyle name="Lien hypertexte visité" xfId="9708" builtinId="9" hidden="1"/>
    <cellStyle name="Lien hypertexte visité" xfId="9644" builtinId="9" hidden="1"/>
    <cellStyle name="Lien hypertexte visité" xfId="9580" builtinId="9" hidden="1"/>
    <cellStyle name="Lien hypertexte visité" xfId="9516" builtinId="9" hidden="1"/>
    <cellStyle name="Lien hypertexte visité" xfId="9452" builtinId="9" hidden="1"/>
    <cellStyle name="Lien hypertexte visité" xfId="9388" builtinId="9" hidden="1"/>
    <cellStyle name="Lien hypertexte visité" xfId="9324" builtinId="9" hidden="1"/>
    <cellStyle name="Lien hypertexte visité" xfId="9260" builtinId="9" hidden="1"/>
    <cellStyle name="Lien hypertexte visité" xfId="9196" builtinId="9" hidden="1"/>
    <cellStyle name="Lien hypertexte visité" xfId="9132" builtinId="9" hidden="1"/>
    <cellStyle name="Lien hypertexte visité" xfId="9068" builtinId="9" hidden="1"/>
    <cellStyle name="Lien hypertexte visité" xfId="9004" builtinId="9" hidden="1"/>
    <cellStyle name="Lien hypertexte visité" xfId="8940" builtinId="9" hidden="1"/>
    <cellStyle name="Lien hypertexte visité" xfId="8876" builtinId="9" hidden="1"/>
    <cellStyle name="Lien hypertexte visité" xfId="8812" builtinId="9" hidden="1"/>
    <cellStyle name="Lien hypertexte visité" xfId="8748" builtinId="9" hidden="1"/>
    <cellStyle name="Lien hypertexte visité" xfId="8684" builtinId="9" hidden="1"/>
    <cellStyle name="Lien hypertexte visité" xfId="8620" builtinId="9" hidden="1"/>
    <cellStyle name="Lien hypertexte visité" xfId="8556" builtinId="9" hidden="1"/>
    <cellStyle name="Lien hypertexte visité" xfId="8492" builtinId="9" hidden="1"/>
    <cellStyle name="Lien hypertexte visité" xfId="8428" builtinId="9" hidden="1"/>
    <cellStyle name="Lien hypertexte visité" xfId="8364" builtinId="9" hidden="1"/>
    <cellStyle name="Lien hypertexte visité" xfId="8300" builtinId="9" hidden="1"/>
    <cellStyle name="Lien hypertexte visité" xfId="8236" builtinId="9" hidden="1"/>
    <cellStyle name="Lien hypertexte visité" xfId="8172" builtinId="9" hidden="1"/>
    <cellStyle name="Lien hypertexte visité" xfId="8108" builtinId="9" hidden="1"/>
    <cellStyle name="Lien hypertexte visité" xfId="8044" builtinId="9" hidden="1"/>
    <cellStyle name="Lien hypertexte visité" xfId="7980" builtinId="9" hidden="1"/>
    <cellStyle name="Lien hypertexte visité" xfId="7916" builtinId="9" hidden="1"/>
    <cellStyle name="Lien hypertexte visité" xfId="7852" builtinId="9" hidden="1"/>
    <cellStyle name="Lien hypertexte visité" xfId="7787" builtinId="9" hidden="1"/>
    <cellStyle name="Lien hypertexte visité" xfId="7723" builtinId="9" hidden="1"/>
    <cellStyle name="Lien hypertexte visité" xfId="7659" builtinId="9" hidden="1"/>
    <cellStyle name="Lien hypertexte visité" xfId="7595" builtinId="9" hidden="1"/>
    <cellStyle name="Lien hypertexte visité" xfId="7531" builtinId="9" hidden="1"/>
    <cellStyle name="Lien hypertexte visité" xfId="7467" builtinId="9" hidden="1"/>
    <cellStyle name="Lien hypertexte visité" xfId="7403" builtinId="9" hidden="1"/>
    <cellStyle name="Lien hypertexte visité" xfId="7339" builtinId="9" hidden="1"/>
    <cellStyle name="Lien hypertexte visité" xfId="7275" builtinId="9" hidden="1"/>
    <cellStyle name="Lien hypertexte visité" xfId="7211" builtinId="9" hidden="1"/>
    <cellStyle name="Lien hypertexte visité" xfId="7147" builtinId="9" hidden="1"/>
    <cellStyle name="Lien hypertexte visité" xfId="7083" builtinId="9" hidden="1"/>
    <cellStyle name="Lien hypertexte visité" xfId="7019" builtinId="9" hidden="1"/>
    <cellStyle name="Lien hypertexte visité" xfId="6955" builtinId="9" hidden="1"/>
    <cellStyle name="Lien hypertexte visité" xfId="6891" builtinId="9" hidden="1"/>
    <cellStyle name="Lien hypertexte visité" xfId="6827" builtinId="9" hidden="1"/>
    <cellStyle name="Lien hypertexte visité" xfId="6763" builtinId="9" hidden="1"/>
    <cellStyle name="Lien hypertexte visité" xfId="6699" builtinId="9" hidden="1"/>
    <cellStyle name="Lien hypertexte visité" xfId="6635" builtinId="9" hidden="1"/>
    <cellStyle name="Lien hypertexte visité" xfId="6571" builtinId="9" hidden="1"/>
    <cellStyle name="Lien hypertexte visité" xfId="6507" builtinId="9" hidden="1"/>
    <cellStyle name="Lien hypertexte visité" xfId="6443" builtinId="9" hidden="1"/>
    <cellStyle name="Lien hypertexte visité" xfId="6379" builtinId="9" hidden="1"/>
    <cellStyle name="Lien hypertexte visité" xfId="6315" builtinId="9" hidden="1"/>
    <cellStyle name="Lien hypertexte visité" xfId="6251" builtinId="9" hidden="1"/>
    <cellStyle name="Lien hypertexte visité" xfId="6187" builtinId="9" hidden="1"/>
    <cellStyle name="Lien hypertexte visité" xfId="6123" builtinId="9" hidden="1"/>
    <cellStyle name="Lien hypertexte visité" xfId="6059" builtinId="9" hidden="1"/>
    <cellStyle name="Lien hypertexte visité" xfId="5995" builtinId="9" hidden="1"/>
    <cellStyle name="Lien hypertexte visité" xfId="5931" builtinId="9" hidden="1"/>
    <cellStyle name="Lien hypertexte visité" xfId="5867" builtinId="9" hidden="1"/>
    <cellStyle name="Lien hypertexte visité" xfId="5803" builtinId="9" hidden="1"/>
    <cellStyle name="Lien hypertexte visité" xfId="5739" builtinId="9" hidden="1"/>
    <cellStyle name="Lien hypertexte visité" xfId="5675" builtinId="9" hidden="1"/>
    <cellStyle name="Lien hypertexte visité" xfId="5611" builtinId="9" hidden="1"/>
    <cellStyle name="Lien hypertexte visité" xfId="5547" builtinId="9" hidden="1"/>
    <cellStyle name="Lien hypertexte visité" xfId="5483" builtinId="9" hidden="1"/>
    <cellStyle name="Lien hypertexte visité" xfId="5419" builtinId="9" hidden="1"/>
    <cellStyle name="Lien hypertexte visité" xfId="5355" builtinId="9" hidden="1"/>
    <cellStyle name="Lien hypertexte visité" xfId="5291" builtinId="9" hidden="1"/>
    <cellStyle name="Lien hypertexte visité" xfId="5227" builtinId="9" hidden="1"/>
    <cellStyle name="Lien hypertexte visité" xfId="5163" builtinId="9" hidden="1"/>
    <cellStyle name="Lien hypertexte visité" xfId="5099" builtinId="9" hidden="1"/>
    <cellStyle name="Lien hypertexte visité" xfId="5035" builtinId="9" hidden="1"/>
    <cellStyle name="Lien hypertexte visité" xfId="4971" builtinId="9" hidden="1"/>
    <cellStyle name="Lien hypertexte visité" xfId="4907" builtinId="9" hidden="1"/>
    <cellStyle name="Lien hypertexte visité" xfId="4843" builtinId="9" hidden="1"/>
    <cellStyle name="Lien hypertexte visité" xfId="4779" builtinId="9" hidden="1"/>
    <cellStyle name="Lien hypertexte visité" xfId="4715" builtinId="9" hidden="1"/>
    <cellStyle name="Lien hypertexte visité" xfId="4651" builtinId="9" hidden="1"/>
    <cellStyle name="Lien hypertexte visité" xfId="4587" builtinId="9" hidden="1"/>
    <cellStyle name="Lien hypertexte visité" xfId="4523" builtinId="9" hidden="1"/>
    <cellStyle name="Lien hypertexte visité" xfId="4459" builtinId="9" hidden="1"/>
    <cellStyle name="Lien hypertexte visité" xfId="4395" builtinId="9" hidden="1"/>
    <cellStyle name="Lien hypertexte visité" xfId="4331" builtinId="9" hidden="1"/>
    <cellStyle name="Lien hypertexte visité" xfId="4267" builtinId="9" hidden="1"/>
    <cellStyle name="Lien hypertexte visité" xfId="4203" builtinId="9" hidden="1"/>
    <cellStyle name="Lien hypertexte visité" xfId="4139" builtinId="9" hidden="1"/>
    <cellStyle name="Lien hypertexte visité" xfId="4075" builtinId="9" hidden="1"/>
    <cellStyle name="Lien hypertexte visité" xfId="4011" builtinId="9" hidden="1"/>
    <cellStyle name="Lien hypertexte visité" xfId="3947" builtinId="9" hidden="1"/>
    <cellStyle name="Lien hypertexte visité" xfId="3887" builtinId="9" hidden="1"/>
    <cellStyle name="Lien hypertexte visité" xfId="3822" builtinId="9" hidden="1"/>
    <cellStyle name="Lien hypertexte visité" xfId="3758" builtinId="9" hidden="1"/>
    <cellStyle name="Lien hypertexte visité" xfId="3693" builtinId="9" hidden="1"/>
    <cellStyle name="Lien hypertexte visité" xfId="3622" builtinId="9" hidden="1"/>
    <cellStyle name="Lien hypertexte visité" xfId="3558" builtinId="9" hidden="1"/>
    <cellStyle name="Lien hypertexte visité" xfId="3493" builtinId="9" hidden="1"/>
    <cellStyle name="Lien hypertexte visité" xfId="3429" builtinId="9" hidden="1"/>
    <cellStyle name="Lien hypertexte visité" xfId="3365" builtinId="9" hidden="1"/>
    <cellStyle name="Lien hypertexte visité" xfId="3301" builtinId="9" hidden="1"/>
    <cellStyle name="Lien hypertexte visité" xfId="3237" builtinId="9" hidden="1"/>
    <cellStyle name="Lien hypertexte visité" xfId="3173" builtinId="9" hidden="1"/>
    <cellStyle name="Lien hypertexte visité" xfId="3109" builtinId="9" hidden="1"/>
    <cellStyle name="Lien hypertexte visité" xfId="3045" builtinId="9" hidden="1"/>
    <cellStyle name="Lien hypertexte visité" xfId="2981" builtinId="9" hidden="1"/>
    <cellStyle name="Lien hypertexte visité" xfId="2917" builtinId="9" hidden="1"/>
    <cellStyle name="Lien hypertexte visité" xfId="2853" builtinId="9" hidden="1"/>
    <cellStyle name="Lien hypertexte visité" xfId="2789" builtinId="9" hidden="1"/>
    <cellStyle name="Lien hypertexte visité" xfId="2725" builtinId="9" hidden="1"/>
    <cellStyle name="Lien hypertexte visité" xfId="2661" builtinId="9" hidden="1"/>
    <cellStyle name="Lien hypertexte visité" xfId="2597" builtinId="9" hidden="1"/>
    <cellStyle name="Lien hypertexte visité" xfId="2533" builtinId="9" hidden="1"/>
    <cellStyle name="Lien hypertexte visité" xfId="2469" builtinId="9" hidden="1"/>
    <cellStyle name="Lien hypertexte visité" xfId="2405" builtinId="9" hidden="1"/>
    <cellStyle name="Lien hypertexte visité" xfId="2341" builtinId="9" hidden="1"/>
    <cellStyle name="Lien hypertexte visité" xfId="2277" builtinId="9" hidden="1"/>
    <cellStyle name="Lien hypertexte visité" xfId="2213" builtinId="9" hidden="1"/>
    <cellStyle name="Lien hypertexte visité" xfId="2150" builtinId="9" hidden="1"/>
    <cellStyle name="Lien hypertexte visité" xfId="2085" builtinId="9" hidden="1"/>
    <cellStyle name="Lien hypertexte visité" xfId="2021" builtinId="9" hidden="1"/>
    <cellStyle name="Lien hypertexte visité" xfId="1957" builtinId="9" hidden="1"/>
    <cellStyle name="Lien hypertexte visité" xfId="1893" builtinId="9" hidden="1"/>
    <cellStyle name="Lien hypertexte visité" xfId="1829" builtinId="9" hidden="1"/>
    <cellStyle name="Lien hypertexte visité" xfId="1765" builtinId="9" hidden="1"/>
    <cellStyle name="Lien hypertexte visité" xfId="1701" builtinId="9" hidden="1"/>
    <cellStyle name="Lien hypertexte visité" xfId="1637" builtinId="9" hidden="1"/>
    <cellStyle name="Lien hypertexte visité" xfId="1573" builtinId="9" hidden="1"/>
    <cellStyle name="Lien hypertexte visité" xfId="1509" builtinId="9" hidden="1"/>
    <cellStyle name="Lien hypertexte visité" xfId="1444" builtinId="9" hidden="1"/>
    <cellStyle name="Lien hypertexte visité" xfId="1380" builtinId="9" hidden="1"/>
    <cellStyle name="Lien hypertexte visité" xfId="1316" builtinId="9" hidden="1"/>
    <cellStyle name="Lien hypertexte visité" xfId="1252" builtinId="9" hidden="1"/>
    <cellStyle name="Lien hypertexte visité" xfId="1188" builtinId="9" hidden="1"/>
    <cellStyle name="Lien hypertexte visité" xfId="1085" builtinId="9" hidden="1"/>
    <cellStyle name="Lien hypertexte visité" xfId="957" builtinId="9" hidden="1"/>
    <cellStyle name="Lien hypertexte visité" xfId="829" builtinId="9" hidden="1"/>
    <cellStyle name="Lien hypertexte visité" xfId="701" builtinId="9" hidden="1"/>
    <cellStyle name="Lien hypertexte visité" xfId="573" builtinId="9" hidden="1"/>
    <cellStyle name="Lien hypertexte visité" xfId="445" builtinId="9" hidden="1"/>
    <cellStyle name="Lien hypertexte visité" xfId="317" builtinId="9" hidden="1"/>
    <cellStyle name="Lien hypertexte visité" xfId="193" builtinId="9" hidden="1"/>
    <cellStyle name="Lien hypertexte visité" xfId="133" builtinId="9" hidden="1"/>
    <cellStyle name="Lien hypertexte visité" xfId="149" builtinId="9" hidden="1"/>
    <cellStyle name="Lien hypertexte visité" xfId="209" builtinId="9" hidden="1"/>
    <cellStyle name="Lien hypertexte visité" xfId="293" builtinId="9" hidden="1"/>
    <cellStyle name="Lien hypertexte visité" xfId="421" builtinId="9" hidden="1"/>
    <cellStyle name="Lien hypertexte visité" xfId="549" builtinId="9" hidden="1"/>
    <cellStyle name="Lien hypertexte visité" xfId="677" builtinId="9" hidden="1"/>
    <cellStyle name="Lien hypertexte visité" xfId="805" builtinId="9" hidden="1"/>
    <cellStyle name="Lien hypertexte visité" xfId="933" builtinId="9" hidden="1"/>
    <cellStyle name="Lien hypertexte visité" xfId="1061" builtinId="9" hidden="1"/>
    <cellStyle name="Lien hypertexte visité" xfId="1176" builtinId="9" hidden="1"/>
    <cellStyle name="Lien hypertexte visité" xfId="1240" builtinId="9" hidden="1"/>
    <cellStyle name="Lien hypertexte visité" xfId="1304" builtinId="9" hidden="1"/>
    <cellStyle name="Lien hypertexte visité" xfId="1368" builtinId="9" hidden="1"/>
    <cellStyle name="Lien hypertexte visité" xfId="1432" builtinId="9" hidden="1"/>
    <cellStyle name="Lien hypertexte visité" xfId="1497" builtinId="9" hidden="1"/>
    <cellStyle name="Lien hypertexte visité" xfId="1561" builtinId="9" hidden="1"/>
    <cellStyle name="Lien hypertexte visité" xfId="1625" builtinId="9" hidden="1"/>
    <cellStyle name="Lien hypertexte visité" xfId="1689" builtinId="9" hidden="1"/>
    <cellStyle name="Lien hypertexte visité" xfId="1753" builtinId="9" hidden="1"/>
    <cellStyle name="Lien hypertexte visité" xfId="1817" builtinId="9" hidden="1"/>
    <cellStyle name="Lien hypertexte visité" xfId="1881" builtinId="9" hidden="1"/>
    <cellStyle name="Lien hypertexte visité" xfId="1945" builtinId="9" hidden="1"/>
    <cellStyle name="Lien hypertexte visité" xfId="2009" builtinId="9" hidden="1"/>
    <cellStyle name="Lien hypertexte visité" xfId="2073" builtinId="9" hidden="1"/>
    <cellStyle name="Lien hypertexte visité" xfId="2137" builtinId="9" hidden="1"/>
    <cellStyle name="Lien hypertexte visité" xfId="2202" builtinId="9" hidden="1"/>
    <cellStyle name="Lien hypertexte visité" xfId="2265" builtinId="9" hidden="1"/>
    <cellStyle name="Lien hypertexte visité" xfId="2329" builtinId="9" hidden="1"/>
    <cellStyle name="Lien hypertexte visité" xfId="2393" builtinId="9" hidden="1"/>
    <cellStyle name="Lien hypertexte visité" xfId="2457" builtinId="9" hidden="1"/>
    <cellStyle name="Lien hypertexte visité" xfId="2521" builtinId="9" hidden="1"/>
    <cellStyle name="Lien hypertexte visité" xfId="2585" builtinId="9" hidden="1"/>
    <cellStyle name="Lien hypertexte visité" xfId="2649" builtinId="9" hidden="1"/>
    <cellStyle name="Lien hypertexte visité" xfId="2713" builtinId="9" hidden="1"/>
    <cellStyle name="Lien hypertexte visité" xfId="2777" builtinId="9" hidden="1"/>
    <cellStyle name="Lien hypertexte visité" xfId="2841" builtinId="9" hidden="1"/>
    <cellStyle name="Lien hypertexte visité" xfId="2905" builtinId="9" hidden="1"/>
    <cellStyle name="Lien hypertexte visité" xfId="2969" builtinId="9" hidden="1"/>
    <cellStyle name="Lien hypertexte visité" xfId="3033" builtinId="9" hidden="1"/>
    <cellStyle name="Lien hypertexte visité" xfId="3097" builtinId="9" hidden="1"/>
    <cellStyle name="Lien hypertexte visité" xfId="3161" builtinId="9" hidden="1"/>
    <cellStyle name="Lien hypertexte visité" xfId="3225" builtinId="9" hidden="1"/>
    <cellStyle name="Lien hypertexte visité" xfId="3289" builtinId="9" hidden="1"/>
    <cellStyle name="Lien hypertexte visité" xfId="3353" builtinId="9" hidden="1"/>
    <cellStyle name="Lien hypertexte visité" xfId="3417" builtinId="9" hidden="1"/>
    <cellStyle name="Lien hypertexte visité" xfId="3481" builtinId="9" hidden="1"/>
    <cellStyle name="Lien hypertexte visité" xfId="3545" builtinId="9" hidden="1"/>
    <cellStyle name="Lien hypertexte visité" xfId="3610" builtinId="9" hidden="1"/>
    <cellStyle name="Lien hypertexte visité" xfId="3681" builtinId="9" hidden="1"/>
    <cellStyle name="Lien hypertexte visité" xfId="3746" builtinId="9" hidden="1"/>
    <cellStyle name="Lien hypertexte visité" xfId="3810" builtinId="9" hidden="1"/>
    <cellStyle name="Lien hypertexte visité" xfId="3874" builtinId="9" hidden="1"/>
    <cellStyle name="Lien hypertexte visité" xfId="3935" builtinId="9" hidden="1"/>
    <cellStyle name="Lien hypertexte visité" xfId="3999" builtinId="9" hidden="1"/>
    <cellStyle name="Lien hypertexte visité" xfId="4063" builtinId="9" hidden="1"/>
    <cellStyle name="Lien hypertexte visité" xfId="4127" builtinId="9" hidden="1"/>
    <cellStyle name="Lien hypertexte visité" xfId="4191" builtinId="9" hidden="1"/>
    <cellStyle name="Lien hypertexte visité" xfId="4255" builtinId="9" hidden="1"/>
    <cellStyle name="Lien hypertexte visité" xfId="4319" builtinId="9" hidden="1"/>
    <cellStyle name="Lien hypertexte visité" xfId="4383" builtinId="9" hidden="1"/>
    <cellStyle name="Lien hypertexte visité" xfId="4447" builtinId="9" hidden="1"/>
    <cellStyle name="Lien hypertexte visité" xfId="4511" builtinId="9" hidden="1"/>
    <cellStyle name="Lien hypertexte visité" xfId="4575" builtinId="9" hidden="1"/>
    <cellStyle name="Lien hypertexte visité" xfId="4639" builtinId="9" hidden="1"/>
    <cellStyle name="Lien hypertexte visité" xfId="4703" builtinId="9" hidden="1"/>
    <cellStyle name="Lien hypertexte visité" xfId="4767" builtinId="9" hidden="1"/>
    <cellStyle name="Lien hypertexte visité" xfId="4831" builtinId="9" hidden="1"/>
    <cellStyle name="Lien hypertexte visité" xfId="4895" builtinId="9" hidden="1"/>
    <cellStyle name="Lien hypertexte visité" xfId="4959" builtinId="9" hidden="1"/>
    <cellStyle name="Lien hypertexte visité" xfId="5023" builtinId="9" hidden="1"/>
    <cellStyle name="Lien hypertexte visité" xfId="5087" builtinId="9" hidden="1"/>
    <cellStyle name="Lien hypertexte visité" xfId="5151" builtinId="9" hidden="1"/>
    <cellStyle name="Lien hypertexte visité" xfId="5215" builtinId="9" hidden="1"/>
    <cellStyle name="Lien hypertexte visité" xfId="5279" builtinId="9" hidden="1"/>
    <cellStyle name="Lien hypertexte visité" xfId="5343" builtinId="9" hidden="1"/>
    <cellStyle name="Lien hypertexte visité" xfId="5407" builtinId="9" hidden="1"/>
    <cellStyle name="Lien hypertexte visité" xfId="5471" builtinId="9" hidden="1"/>
    <cellStyle name="Lien hypertexte visité" xfId="5535" builtinId="9" hidden="1"/>
    <cellStyle name="Lien hypertexte visité" xfId="5599" builtinId="9" hidden="1"/>
    <cellStyle name="Lien hypertexte visité" xfId="5663" builtinId="9" hidden="1"/>
    <cellStyle name="Lien hypertexte visité" xfId="5727" builtinId="9" hidden="1"/>
    <cellStyle name="Lien hypertexte visité" xfId="5791" builtinId="9" hidden="1"/>
    <cellStyle name="Lien hypertexte visité" xfId="5855" builtinId="9" hidden="1"/>
    <cellStyle name="Lien hypertexte visité" xfId="5919" builtinId="9" hidden="1"/>
    <cellStyle name="Lien hypertexte visité" xfId="5983" builtinId="9" hidden="1"/>
    <cellStyle name="Lien hypertexte visité" xfId="6047" builtinId="9" hidden="1"/>
    <cellStyle name="Lien hypertexte visité" xfId="6111" builtinId="9" hidden="1"/>
    <cellStyle name="Lien hypertexte visité" xfId="6175" builtinId="9" hidden="1"/>
    <cellStyle name="Lien hypertexte visité" xfId="6239" builtinId="9" hidden="1"/>
    <cellStyle name="Lien hypertexte visité" xfId="6303" builtinId="9" hidden="1"/>
    <cellStyle name="Lien hypertexte visité" xfId="6367" builtinId="9" hidden="1"/>
    <cellStyle name="Lien hypertexte visité" xfId="6431" builtinId="9" hidden="1"/>
    <cellStyle name="Lien hypertexte visité" xfId="6495" builtinId="9" hidden="1"/>
    <cellStyle name="Lien hypertexte visité" xfId="6559" builtinId="9" hidden="1"/>
    <cellStyle name="Lien hypertexte visité" xfId="6623" builtinId="9" hidden="1"/>
    <cellStyle name="Lien hypertexte visité" xfId="6687" builtinId="9" hidden="1"/>
    <cellStyle name="Lien hypertexte visité" xfId="6751" builtinId="9" hidden="1"/>
    <cellStyle name="Lien hypertexte visité" xfId="6815" builtinId="9" hidden="1"/>
    <cellStyle name="Lien hypertexte visité" xfId="6879" builtinId="9" hidden="1"/>
    <cellStyle name="Lien hypertexte visité" xfId="6943" builtinId="9" hidden="1"/>
    <cellStyle name="Lien hypertexte visité" xfId="7007" builtinId="9" hidden="1"/>
    <cellStyle name="Lien hypertexte visité" xfId="7071" builtinId="9" hidden="1"/>
    <cellStyle name="Lien hypertexte visité" xfId="7135" builtinId="9" hidden="1"/>
    <cellStyle name="Lien hypertexte visité" xfId="7199" builtinId="9" hidden="1"/>
    <cellStyle name="Lien hypertexte visité" xfId="7263" builtinId="9" hidden="1"/>
    <cellStyle name="Lien hypertexte visité" xfId="7327" builtinId="9" hidden="1"/>
    <cellStyle name="Lien hypertexte visité" xfId="7391" builtinId="9" hidden="1"/>
    <cellStyle name="Lien hypertexte visité" xfId="7455" builtinId="9" hidden="1"/>
    <cellStyle name="Lien hypertexte visité" xfId="7519" builtinId="9" hidden="1"/>
    <cellStyle name="Lien hypertexte visité" xfId="7583" builtinId="9" hidden="1"/>
    <cellStyle name="Lien hypertexte visité" xfId="7647" builtinId="9" hidden="1"/>
    <cellStyle name="Lien hypertexte visité" xfId="7711" builtinId="9" hidden="1"/>
    <cellStyle name="Lien hypertexte visité" xfId="7775" builtinId="9" hidden="1"/>
    <cellStyle name="Lien hypertexte visité" xfId="7840" builtinId="9" hidden="1"/>
    <cellStyle name="Lien hypertexte visité" xfId="7904" builtinId="9" hidden="1"/>
    <cellStyle name="Lien hypertexte visité" xfId="7968" builtinId="9" hidden="1"/>
    <cellStyle name="Lien hypertexte visité" xfId="8032" builtinId="9" hidden="1"/>
    <cellStyle name="Lien hypertexte visité" xfId="8096" builtinId="9" hidden="1"/>
    <cellStyle name="Lien hypertexte visité" xfId="8160" builtinId="9" hidden="1"/>
    <cellStyle name="Lien hypertexte visité" xfId="8224" builtinId="9" hidden="1"/>
    <cellStyle name="Lien hypertexte visité" xfId="8288" builtinId="9" hidden="1"/>
    <cellStyle name="Lien hypertexte visité" xfId="8352" builtinId="9" hidden="1"/>
    <cellStyle name="Lien hypertexte visité" xfId="8416" builtinId="9" hidden="1"/>
    <cellStyle name="Lien hypertexte visité" xfId="8480" builtinId="9" hidden="1"/>
    <cellStyle name="Lien hypertexte visité" xfId="8544" builtinId="9" hidden="1"/>
    <cellStyle name="Lien hypertexte visité" xfId="8608" builtinId="9" hidden="1"/>
    <cellStyle name="Lien hypertexte visité" xfId="8672" builtinId="9" hidden="1"/>
    <cellStyle name="Lien hypertexte visité" xfId="8736" builtinId="9" hidden="1"/>
    <cellStyle name="Lien hypertexte visité" xfId="8800" builtinId="9" hidden="1"/>
    <cellStyle name="Lien hypertexte visité" xfId="603" builtinId="9" hidden="1"/>
    <cellStyle name="Lien hypertexte visité" xfId="523" builtinId="9" hidden="1"/>
    <cellStyle name="Lien hypertexte visité" xfId="443" builtinId="9" hidden="1"/>
    <cellStyle name="Lien hypertexte visité" xfId="347" builtinId="9" hidden="1"/>
    <cellStyle name="Lien hypertexte visité" xfId="267" builtinId="9" hidden="1"/>
    <cellStyle name="Lien hypertexte visité" xfId="187" builtinId="9" hidden="1"/>
    <cellStyle name="Lien hypertexte visité" xfId="85" builtinId="9" hidden="1"/>
    <cellStyle name="Lien hypertexte visité" xfId="67" builtinId="9" hidden="1"/>
    <cellStyle name="Lien hypertexte visité" xfId="95" builtinId="9" hidden="1"/>
    <cellStyle name="Lien hypertexte visité" xfId="135" builtinId="9" hidden="1"/>
    <cellStyle name="Lien hypertexte visité" xfId="215" builtinId="9" hidden="1"/>
    <cellStyle name="Lien hypertexte visité" xfId="295" builtinId="9" hidden="1"/>
    <cellStyle name="Lien hypertexte visité" xfId="391" builtinId="9" hidden="1"/>
    <cellStyle name="Lien hypertexte visité" xfId="471" builtinId="9" hidden="1"/>
    <cellStyle name="Lien hypertexte visité" xfId="551" builtinId="9" hidden="1"/>
    <cellStyle name="Lien hypertexte visité" xfId="647" builtinId="9" hidden="1"/>
    <cellStyle name="Lien hypertexte visité" xfId="727" builtinId="9" hidden="1"/>
    <cellStyle name="Lien hypertexte visité" xfId="807" builtinId="9" hidden="1"/>
    <cellStyle name="Lien hypertexte visité" xfId="903" builtinId="9" hidden="1"/>
    <cellStyle name="Lien hypertexte visité" xfId="983" builtinId="9" hidden="1"/>
    <cellStyle name="Lien hypertexte visité" xfId="1063" builtinId="9" hidden="1"/>
    <cellStyle name="Lien hypertexte visité" xfId="1161" builtinId="9" hidden="1"/>
    <cellStyle name="Lien hypertexte visité" xfId="1201" builtinId="9" hidden="1"/>
    <cellStyle name="Lien hypertexte visité" xfId="1241" builtinId="9" hidden="1"/>
    <cellStyle name="Lien hypertexte visité" xfId="1289" builtinId="9" hidden="1"/>
    <cellStyle name="Lien hypertexte visité" xfId="1329" builtinId="9" hidden="1"/>
    <cellStyle name="Lien hypertexte visité" xfId="1369" builtinId="9" hidden="1"/>
    <cellStyle name="Lien hypertexte visité" xfId="1417" builtinId="9" hidden="1"/>
    <cellStyle name="Lien hypertexte visité" xfId="1457" builtinId="9" hidden="1"/>
    <cellStyle name="Lien hypertexte visité" xfId="1498" builtinId="9" hidden="1"/>
    <cellStyle name="Lien hypertexte visité" xfId="1546" builtinId="9" hidden="1"/>
    <cellStyle name="Lien hypertexte visité" xfId="1586" builtinId="9" hidden="1"/>
    <cellStyle name="Lien hypertexte visité" xfId="1626" builtinId="9" hidden="1"/>
    <cellStyle name="Lien hypertexte visité" xfId="1674" builtinId="9" hidden="1"/>
    <cellStyle name="Lien hypertexte visité" xfId="1714" builtinId="9" hidden="1"/>
    <cellStyle name="Lien hypertexte visité" xfId="1754" builtinId="9" hidden="1"/>
    <cellStyle name="Lien hypertexte visité" xfId="1802" builtinId="9" hidden="1"/>
    <cellStyle name="Lien hypertexte visité" xfId="1842" builtinId="9" hidden="1"/>
    <cellStyle name="Lien hypertexte visité" xfId="1882" builtinId="9" hidden="1"/>
    <cellStyle name="Lien hypertexte visité" xfId="1930" builtinId="9" hidden="1"/>
    <cellStyle name="Lien hypertexte visité" xfId="1970" builtinId="9" hidden="1"/>
    <cellStyle name="Lien hypertexte visité" xfId="2010" builtinId="9" hidden="1"/>
    <cellStyle name="Lien hypertexte visité" xfId="2058" builtinId="9" hidden="1"/>
    <cellStyle name="Lien hypertexte visité" xfId="2098" builtinId="9" hidden="1"/>
    <cellStyle name="Lien hypertexte visité" xfId="2138" builtinId="9" hidden="1"/>
    <cellStyle name="Lien hypertexte visité" xfId="2186" builtinId="9" hidden="1"/>
    <cellStyle name="Lien hypertexte visité" xfId="2226" builtinId="9" hidden="1"/>
    <cellStyle name="Lien hypertexte visité" xfId="2266" builtinId="9" hidden="1"/>
    <cellStyle name="Lien hypertexte visité" xfId="2314" builtinId="9" hidden="1"/>
    <cellStyle name="Lien hypertexte visité" xfId="2354" builtinId="9" hidden="1"/>
    <cellStyle name="Lien hypertexte visité" xfId="2394" builtinId="9" hidden="1"/>
    <cellStyle name="Lien hypertexte visité" xfId="2442" builtinId="9" hidden="1"/>
    <cellStyle name="Lien hypertexte visité" xfId="2482" builtinId="9" hidden="1"/>
    <cellStyle name="Lien hypertexte visité" xfId="2522" builtinId="9" hidden="1"/>
    <cellStyle name="Lien hypertexte visité" xfId="2570" builtinId="9" hidden="1"/>
    <cellStyle name="Lien hypertexte visité" xfId="2610" builtinId="9" hidden="1"/>
    <cellStyle name="Lien hypertexte visité" xfId="2650" builtinId="9" hidden="1"/>
    <cellStyle name="Lien hypertexte visité" xfId="2698" builtinId="9" hidden="1"/>
    <cellStyle name="Lien hypertexte visité" xfId="2738" builtinId="9" hidden="1"/>
    <cellStyle name="Lien hypertexte visité" xfId="2778" builtinId="9" hidden="1"/>
    <cellStyle name="Lien hypertexte visité" xfId="2826" builtinId="9" hidden="1"/>
    <cellStyle name="Lien hypertexte visité" xfId="2866" builtinId="9" hidden="1"/>
    <cellStyle name="Lien hypertexte visité" xfId="2906" builtinId="9" hidden="1"/>
    <cellStyle name="Lien hypertexte visité" xfId="2954" builtinId="9" hidden="1"/>
    <cellStyle name="Lien hypertexte visité" xfId="2994" builtinId="9" hidden="1"/>
    <cellStyle name="Lien hypertexte visité" xfId="3034" builtinId="9" hidden="1"/>
    <cellStyle name="Lien hypertexte visité" xfId="3082" builtinId="9" hidden="1"/>
    <cellStyle name="Lien hypertexte visité" xfId="3122" builtinId="9" hidden="1"/>
    <cellStyle name="Lien hypertexte visité" xfId="3162" builtinId="9" hidden="1"/>
    <cellStyle name="Lien hypertexte visité" xfId="3210" builtinId="9" hidden="1"/>
    <cellStyle name="Lien hypertexte visité" xfId="3250" builtinId="9" hidden="1"/>
    <cellStyle name="Lien hypertexte visité" xfId="3290" builtinId="9" hidden="1"/>
    <cellStyle name="Lien hypertexte visité" xfId="3338" builtinId="9" hidden="1"/>
    <cellStyle name="Lien hypertexte visité" xfId="3378" builtinId="9" hidden="1"/>
    <cellStyle name="Lien hypertexte visité" xfId="3418" builtinId="9" hidden="1"/>
    <cellStyle name="Lien hypertexte visité" xfId="3466" builtinId="9" hidden="1"/>
    <cellStyle name="Lien hypertexte visité" xfId="3506" builtinId="9" hidden="1"/>
    <cellStyle name="Lien hypertexte visité" xfId="3546" builtinId="9" hidden="1"/>
    <cellStyle name="Lien hypertexte visité" xfId="3595" builtinId="9" hidden="1"/>
    <cellStyle name="Lien hypertexte visité" xfId="3635" builtinId="9" hidden="1"/>
    <cellStyle name="Lien hypertexte visité" xfId="3682" builtinId="9" hidden="1"/>
    <cellStyle name="Lien hypertexte visité" xfId="3731" builtinId="9" hidden="1"/>
    <cellStyle name="Lien hypertexte visité" xfId="3771" builtinId="9" hidden="1"/>
    <cellStyle name="Lien hypertexte visité" xfId="3811" builtinId="9" hidden="1"/>
    <cellStyle name="Lien hypertexte visité" xfId="3859" builtinId="9" hidden="1"/>
    <cellStyle name="Lien hypertexte visité" xfId="3900" builtinId="9" hidden="1"/>
    <cellStyle name="Lien hypertexte visité" xfId="3936" builtinId="9" hidden="1"/>
    <cellStyle name="Lien hypertexte visité" xfId="3984" builtinId="9" hidden="1"/>
    <cellStyle name="Lien hypertexte visité" xfId="4024" builtinId="9" hidden="1"/>
    <cellStyle name="Lien hypertexte visité" xfId="4064" builtinId="9" hidden="1"/>
    <cellStyle name="Lien hypertexte visité" xfId="4112" builtinId="9" hidden="1"/>
    <cellStyle name="Lien hypertexte visité" xfId="4152" builtinId="9" hidden="1"/>
    <cellStyle name="Lien hypertexte visité" xfId="4192" builtinId="9" hidden="1"/>
    <cellStyle name="Lien hypertexte visité" xfId="4240" builtinId="9" hidden="1"/>
    <cellStyle name="Lien hypertexte visité" xfId="4280" builtinId="9" hidden="1"/>
    <cellStyle name="Lien hypertexte visité" xfId="4320" builtinId="9" hidden="1"/>
    <cellStyle name="Lien hypertexte visité" xfId="4368" builtinId="9" hidden="1"/>
    <cellStyle name="Lien hypertexte visité" xfId="4408" builtinId="9" hidden="1"/>
    <cellStyle name="Lien hypertexte visité" xfId="4448" builtinId="9" hidden="1"/>
    <cellStyle name="Lien hypertexte visité" xfId="4496" builtinId="9" hidden="1"/>
    <cellStyle name="Lien hypertexte visité" xfId="4536" builtinId="9" hidden="1"/>
    <cellStyle name="Lien hypertexte visité" xfId="4576" builtinId="9" hidden="1"/>
    <cellStyle name="Lien hypertexte visité" xfId="4624" builtinId="9" hidden="1"/>
    <cellStyle name="Lien hypertexte visité" xfId="4664" builtinId="9" hidden="1"/>
    <cellStyle name="Lien hypertexte visité" xfId="4704" builtinId="9" hidden="1"/>
    <cellStyle name="Lien hypertexte visité" xfId="4752" builtinId="9" hidden="1"/>
    <cellStyle name="Lien hypertexte visité" xfId="4792" builtinId="9" hidden="1"/>
    <cellStyle name="Lien hypertexte visité" xfId="4832" builtinId="9" hidden="1"/>
    <cellStyle name="Lien hypertexte visité" xfId="4880" builtinId="9" hidden="1"/>
    <cellStyle name="Lien hypertexte visité" xfId="4920" builtinId="9" hidden="1"/>
    <cellStyle name="Lien hypertexte visité" xfId="4960" builtinId="9" hidden="1"/>
    <cellStyle name="Lien hypertexte visité" xfId="5008" builtinId="9" hidden="1"/>
    <cellStyle name="Lien hypertexte visité" xfId="5048" builtinId="9" hidden="1"/>
    <cellStyle name="Lien hypertexte visité" xfId="5088" builtinId="9" hidden="1"/>
    <cellStyle name="Lien hypertexte visité" xfId="5136" builtinId="9" hidden="1"/>
    <cellStyle name="Lien hypertexte visité" xfId="5176" builtinId="9" hidden="1"/>
    <cellStyle name="Lien hypertexte visité" xfId="5216" builtinId="9" hidden="1"/>
    <cellStyle name="Lien hypertexte visité" xfId="5264" builtinId="9" hidden="1"/>
    <cellStyle name="Lien hypertexte visité" xfId="5304" builtinId="9" hidden="1"/>
    <cellStyle name="Lien hypertexte visité" xfId="5344" builtinId="9" hidden="1"/>
    <cellStyle name="Lien hypertexte visité" xfId="5392" builtinId="9" hidden="1"/>
    <cellStyle name="Lien hypertexte visité" xfId="5432" builtinId="9" hidden="1"/>
    <cellStyle name="Lien hypertexte visité" xfId="5472" builtinId="9" hidden="1"/>
    <cellStyle name="Lien hypertexte visité" xfId="5520" builtinId="9" hidden="1"/>
    <cellStyle name="Lien hypertexte visité" xfId="5560" builtinId="9" hidden="1"/>
    <cellStyle name="Lien hypertexte visité" xfId="5600" builtinId="9" hidden="1"/>
    <cellStyle name="Lien hypertexte visité" xfId="5648" builtinId="9" hidden="1"/>
    <cellStyle name="Lien hypertexte visité" xfId="5688" builtinId="9" hidden="1"/>
    <cellStyle name="Lien hypertexte visité" xfId="5728" builtinId="9" hidden="1"/>
    <cellStyle name="Lien hypertexte visité" xfId="5776" builtinId="9" hidden="1"/>
    <cellStyle name="Lien hypertexte visité" xfId="5816" builtinId="9" hidden="1"/>
    <cellStyle name="Lien hypertexte visité" xfId="5856" builtinId="9" hidden="1"/>
    <cellStyle name="Lien hypertexte visité" xfId="5904" builtinId="9" hidden="1"/>
    <cellStyle name="Lien hypertexte visité" xfId="5944" builtinId="9" hidden="1"/>
    <cellStyle name="Lien hypertexte visité" xfId="5984" builtinId="9" hidden="1"/>
    <cellStyle name="Lien hypertexte visité" xfId="6032" builtinId="9" hidden="1"/>
    <cellStyle name="Lien hypertexte visité" xfId="6072" builtinId="9" hidden="1"/>
    <cellStyle name="Lien hypertexte visité" xfId="6112" builtinId="9" hidden="1"/>
    <cellStyle name="Lien hypertexte visité" xfId="6160" builtinId="9" hidden="1"/>
    <cellStyle name="Lien hypertexte visité" xfId="6200" builtinId="9" hidden="1"/>
    <cellStyle name="Lien hypertexte visité" xfId="6240" builtinId="9" hidden="1"/>
    <cellStyle name="Lien hypertexte visité" xfId="6288" builtinId="9" hidden="1"/>
    <cellStyle name="Lien hypertexte visité" xfId="6328" builtinId="9" hidden="1"/>
    <cellStyle name="Lien hypertexte visité" xfId="6368" builtinId="9" hidden="1"/>
    <cellStyle name="Lien hypertexte visité" xfId="6416" builtinId="9" hidden="1"/>
    <cellStyle name="Lien hypertexte visité" xfId="6456" builtinId="9" hidden="1"/>
    <cellStyle name="Lien hypertexte visité" xfId="6496" builtinId="9" hidden="1"/>
    <cellStyle name="Lien hypertexte visité" xfId="6544" builtinId="9" hidden="1"/>
    <cellStyle name="Lien hypertexte visité" xfId="6584" builtinId="9" hidden="1"/>
    <cellStyle name="Lien hypertexte visité" xfId="6624" builtinId="9" hidden="1"/>
    <cellStyle name="Lien hypertexte visité" xfId="6672" builtinId="9" hidden="1"/>
    <cellStyle name="Lien hypertexte visité" xfId="6712" builtinId="9" hidden="1"/>
    <cellStyle name="Lien hypertexte visité" xfId="6752" builtinId="9" hidden="1"/>
    <cellStyle name="Lien hypertexte visité" xfId="6800" builtinId="9" hidden="1"/>
    <cellStyle name="Lien hypertexte visité" xfId="6840" builtinId="9" hidden="1"/>
    <cellStyle name="Lien hypertexte visité" xfId="6880" builtinId="9" hidden="1"/>
    <cellStyle name="Lien hypertexte visité" xfId="6928" builtinId="9" hidden="1"/>
    <cellStyle name="Lien hypertexte visité" xfId="6968" builtinId="9" hidden="1"/>
    <cellStyle name="Lien hypertexte visité" xfId="7008" builtinId="9" hidden="1"/>
    <cellStyle name="Lien hypertexte visité" xfId="7056" builtinId="9" hidden="1"/>
    <cellStyle name="Lien hypertexte visité" xfId="7096" builtinId="9" hidden="1"/>
    <cellStyle name="Lien hypertexte visité" xfId="7136" builtinId="9" hidden="1"/>
    <cellStyle name="Lien hypertexte visité" xfId="7184" builtinId="9" hidden="1"/>
    <cellStyle name="Lien hypertexte visité" xfId="7224" builtinId="9" hidden="1"/>
    <cellStyle name="Lien hypertexte visité" xfId="7264" builtinId="9" hidden="1"/>
    <cellStyle name="Lien hypertexte visité" xfId="7312" builtinId="9" hidden="1"/>
    <cellStyle name="Lien hypertexte visité" xfId="7352" builtinId="9" hidden="1"/>
    <cellStyle name="Lien hypertexte visité" xfId="7392" builtinId="9" hidden="1"/>
    <cellStyle name="Lien hypertexte visité" xfId="7440" builtinId="9" hidden="1"/>
    <cellStyle name="Lien hypertexte visité" xfId="7480" builtinId="9" hidden="1"/>
    <cellStyle name="Lien hypertexte visité" xfId="7520" builtinId="9" hidden="1"/>
    <cellStyle name="Lien hypertexte visité" xfId="7568" builtinId="9" hidden="1"/>
    <cellStyle name="Lien hypertexte visité" xfId="7608" builtinId="9" hidden="1"/>
    <cellStyle name="Lien hypertexte visité" xfId="7648" builtinId="9" hidden="1"/>
    <cellStyle name="Lien hypertexte visité" xfId="7696" builtinId="9" hidden="1"/>
    <cellStyle name="Lien hypertexte visité" xfId="7736" builtinId="9" hidden="1"/>
    <cellStyle name="Lien hypertexte visité" xfId="7776" builtinId="9" hidden="1"/>
    <cellStyle name="Lien hypertexte visité" xfId="7825" builtinId="9" hidden="1"/>
    <cellStyle name="Lien hypertexte visité" xfId="7865" builtinId="9" hidden="1"/>
    <cellStyle name="Lien hypertexte visité" xfId="7905" builtinId="9" hidden="1"/>
    <cellStyle name="Lien hypertexte visité" xfId="7953" builtinId="9" hidden="1"/>
    <cellStyle name="Lien hypertexte visité" xfId="7993" builtinId="9" hidden="1"/>
    <cellStyle name="Lien hypertexte visité" xfId="8033" builtinId="9" hidden="1"/>
    <cellStyle name="Lien hypertexte visité" xfId="8081" builtinId="9" hidden="1"/>
    <cellStyle name="Lien hypertexte visité" xfId="8121" builtinId="9" hidden="1"/>
    <cellStyle name="Lien hypertexte visité" xfId="8161" builtinId="9" hidden="1"/>
    <cellStyle name="Lien hypertexte visité" xfId="8209" builtinId="9" hidden="1"/>
    <cellStyle name="Lien hypertexte visité" xfId="8249" builtinId="9" hidden="1"/>
    <cellStyle name="Lien hypertexte visité" xfId="8289" builtinId="9" hidden="1"/>
    <cellStyle name="Lien hypertexte visité" xfId="8337" builtinId="9" hidden="1"/>
    <cellStyle name="Lien hypertexte visité" xfId="8377" builtinId="9" hidden="1"/>
    <cellStyle name="Lien hypertexte visité" xfId="8417" builtinId="9" hidden="1"/>
    <cellStyle name="Lien hypertexte visité" xfId="8465" builtinId="9" hidden="1"/>
    <cellStyle name="Lien hypertexte visité" xfId="8505" builtinId="9" hidden="1"/>
    <cellStyle name="Lien hypertexte visité" xfId="8545" builtinId="9" hidden="1"/>
    <cellStyle name="Lien hypertexte visité" xfId="8593" builtinId="9" hidden="1"/>
    <cellStyle name="Lien hypertexte visité" xfId="8633" builtinId="9" hidden="1"/>
    <cellStyle name="Lien hypertexte visité" xfId="8673" builtinId="9" hidden="1"/>
    <cellStyle name="Lien hypertexte visité" xfId="8721" builtinId="9" hidden="1"/>
    <cellStyle name="Lien hypertexte visité" xfId="8761" builtinId="9" hidden="1"/>
    <cellStyle name="Lien hypertexte visité" xfId="8801" builtinId="9" hidden="1"/>
    <cellStyle name="Lien hypertexte visité" xfId="8849" builtinId="9" hidden="1"/>
    <cellStyle name="Lien hypertexte visité" xfId="8889" builtinId="9" hidden="1"/>
    <cellStyle name="Lien hypertexte visité" xfId="8929" builtinId="9" hidden="1"/>
    <cellStyle name="Lien hypertexte visité" xfId="8977" builtinId="9" hidden="1"/>
    <cellStyle name="Lien hypertexte visité" xfId="9017" builtinId="9" hidden="1"/>
    <cellStyle name="Lien hypertexte visité" xfId="9057" builtinId="9" hidden="1"/>
    <cellStyle name="Lien hypertexte visité" xfId="9105" builtinId="9" hidden="1"/>
    <cellStyle name="Lien hypertexte visité" xfId="9145" builtinId="9" hidden="1"/>
    <cellStyle name="Lien hypertexte visité" xfId="9185" builtinId="9" hidden="1"/>
    <cellStyle name="Lien hypertexte visité" xfId="9233" builtinId="9" hidden="1"/>
    <cellStyle name="Lien hypertexte visité" xfId="9273" builtinId="9" hidden="1"/>
    <cellStyle name="Lien hypertexte visité" xfId="9313" builtinId="9" hidden="1"/>
    <cellStyle name="Lien hypertexte visité" xfId="9361" builtinId="9" hidden="1"/>
    <cellStyle name="Lien hypertexte visité" xfId="9401" builtinId="9" hidden="1"/>
    <cellStyle name="Lien hypertexte visité" xfId="9441" builtinId="9" hidden="1"/>
    <cellStyle name="Lien hypertexte visité" xfId="9489" builtinId="9" hidden="1"/>
    <cellStyle name="Lien hypertexte visité" xfId="9529" builtinId="9" hidden="1"/>
    <cellStyle name="Lien hypertexte visité" xfId="9569" builtinId="9" hidden="1"/>
    <cellStyle name="Lien hypertexte visité" xfId="9617" builtinId="9" hidden="1"/>
    <cellStyle name="Lien hypertexte visité" xfId="9657" builtinId="9" hidden="1"/>
    <cellStyle name="Lien hypertexte visité" xfId="9697" builtinId="9" hidden="1"/>
    <cellStyle name="Lien hypertexte visité" xfId="9745" builtinId="9" hidden="1"/>
    <cellStyle name="Lien hypertexte visité" xfId="9785" builtinId="9" hidden="1"/>
    <cellStyle name="Lien hypertexte visité" xfId="9825" builtinId="9" hidden="1"/>
    <cellStyle name="Lien hypertexte visité" xfId="9873" builtinId="9" hidden="1"/>
    <cellStyle name="Lien hypertexte visité" xfId="9913" builtinId="9" hidden="1"/>
    <cellStyle name="Lien hypertexte visité" xfId="9953" builtinId="9" hidden="1"/>
    <cellStyle name="Lien hypertexte visité" xfId="10001" builtinId="9" hidden="1"/>
    <cellStyle name="Lien hypertexte visité" xfId="10041" builtinId="9" hidden="1"/>
    <cellStyle name="Lien hypertexte visité" xfId="10081" builtinId="9" hidden="1"/>
    <cellStyle name="Lien hypertexte visité" xfId="10129" builtinId="9" hidden="1"/>
    <cellStyle name="Lien hypertexte visité" xfId="10169" builtinId="9" hidden="1"/>
    <cellStyle name="Lien hypertexte visité" xfId="10209" builtinId="9" hidden="1"/>
    <cellStyle name="Lien hypertexte visité" xfId="10257" builtinId="9" hidden="1"/>
    <cellStyle name="Lien hypertexte visité" xfId="10297" builtinId="9" hidden="1"/>
    <cellStyle name="Lien hypertexte visité" xfId="10337" builtinId="9" hidden="1"/>
    <cellStyle name="Lien hypertexte visité" xfId="10385" builtinId="9" hidden="1"/>
    <cellStyle name="Lien hypertexte visité" xfId="10425" builtinId="9" hidden="1"/>
    <cellStyle name="Lien hypertexte visité" xfId="10465" builtinId="9" hidden="1"/>
    <cellStyle name="Lien hypertexte visité" xfId="10513" builtinId="9" hidden="1"/>
    <cellStyle name="Lien hypertexte visité" xfId="10553" builtinId="9" hidden="1"/>
    <cellStyle name="Lien hypertexte visité" xfId="10593" builtinId="9" hidden="1"/>
    <cellStyle name="Lien hypertexte visité" xfId="10641" builtinId="9" hidden="1"/>
    <cellStyle name="Lien hypertexte visité" xfId="10681" builtinId="9" hidden="1"/>
    <cellStyle name="Lien hypertexte visité" xfId="10721" builtinId="9" hidden="1"/>
    <cellStyle name="Lien hypertexte visité" xfId="10769" builtinId="9" hidden="1"/>
    <cellStyle name="Lien hypertexte visité" xfId="10809" builtinId="9" hidden="1"/>
    <cellStyle name="Lien hypertexte visité" xfId="10849" builtinId="9" hidden="1"/>
    <cellStyle name="Lien hypertexte visité" xfId="10897" builtinId="9" hidden="1"/>
    <cellStyle name="Lien hypertexte visité" xfId="10937" builtinId="9" hidden="1"/>
    <cellStyle name="Lien hypertexte visité" xfId="10977" builtinId="9" hidden="1"/>
    <cellStyle name="Lien hypertexte visité" xfId="11025" builtinId="9" hidden="1"/>
    <cellStyle name="Lien hypertexte visité" xfId="11065" builtinId="9" hidden="1"/>
    <cellStyle name="Lien hypertexte visité" xfId="11105" builtinId="9" hidden="1"/>
    <cellStyle name="Lien hypertexte visité" xfId="11153" builtinId="9" hidden="1"/>
    <cellStyle name="Lien hypertexte visité" xfId="11193" builtinId="9" hidden="1"/>
    <cellStyle name="Lien hypertexte visité" xfId="11233" builtinId="9" hidden="1"/>
    <cellStyle name="Lien hypertexte visité" xfId="11281" builtinId="9" hidden="1"/>
    <cellStyle name="Lien hypertexte visité" xfId="11321" builtinId="9" hidden="1"/>
    <cellStyle name="Lien hypertexte visité" xfId="11361" builtinId="9" hidden="1"/>
    <cellStyle name="Lien hypertexte visité" xfId="11409" builtinId="9" hidden="1"/>
    <cellStyle name="Lien hypertexte visité" xfId="11449" builtinId="9" hidden="1"/>
    <cellStyle name="Lien hypertexte visité" xfId="11489" builtinId="9" hidden="1"/>
    <cellStyle name="Lien hypertexte visité" xfId="11537" builtinId="9" hidden="1"/>
    <cellStyle name="Lien hypertexte visité" xfId="11577" builtinId="9" hidden="1"/>
    <cellStyle name="Lien hypertexte visité" xfId="11617" builtinId="9" hidden="1"/>
    <cellStyle name="Lien hypertexte visité" xfId="11665" builtinId="9" hidden="1"/>
    <cellStyle name="Lien hypertexte visité" xfId="11705" builtinId="9" hidden="1"/>
    <cellStyle name="Lien hypertexte visité" xfId="11745" builtinId="9" hidden="1"/>
    <cellStyle name="Lien hypertexte visité" xfId="11793" builtinId="9" hidden="1"/>
    <cellStyle name="Lien hypertexte visité" xfId="11833" builtinId="9" hidden="1"/>
    <cellStyle name="Lien hypertexte visité" xfId="11873" builtinId="9" hidden="1"/>
    <cellStyle name="Lien hypertexte visité" xfId="11921" builtinId="9" hidden="1"/>
    <cellStyle name="Lien hypertexte visité" xfId="11961" builtinId="9" hidden="1"/>
    <cellStyle name="Lien hypertexte visité" xfId="12001" builtinId="9" hidden="1"/>
    <cellStyle name="Lien hypertexte visité" xfId="12049" builtinId="9" hidden="1"/>
    <cellStyle name="Lien hypertexte visité" xfId="12089" builtinId="9" hidden="1"/>
    <cellStyle name="Lien hypertexte visité" xfId="12129" builtinId="9" hidden="1"/>
    <cellStyle name="Lien hypertexte visité" xfId="12177" builtinId="9" hidden="1"/>
    <cellStyle name="Lien hypertexte visité" xfId="12217" builtinId="9" hidden="1"/>
    <cellStyle name="Lien hypertexte visité" xfId="12257" builtinId="9" hidden="1"/>
    <cellStyle name="Lien hypertexte visité" xfId="12305" builtinId="9" hidden="1"/>
    <cellStyle name="Lien hypertexte visité" xfId="12345" builtinId="9" hidden="1"/>
    <cellStyle name="Lien hypertexte visité" xfId="12385" builtinId="9" hidden="1"/>
    <cellStyle name="Lien hypertexte visité" xfId="12433" builtinId="9" hidden="1"/>
    <cellStyle name="Lien hypertexte visité" xfId="12473" builtinId="9" hidden="1"/>
    <cellStyle name="Lien hypertexte visité" xfId="12513" builtinId="9" hidden="1"/>
    <cellStyle name="Lien hypertexte visité" xfId="12561" builtinId="9" hidden="1"/>
    <cellStyle name="Lien hypertexte visité" xfId="12601" builtinId="9" hidden="1"/>
    <cellStyle name="Lien hypertexte visité" xfId="12641" builtinId="9" hidden="1"/>
    <cellStyle name="Lien hypertexte visité" xfId="12689" builtinId="9" hidden="1"/>
    <cellStyle name="Lien hypertexte visité" xfId="12729" builtinId="9" hidden="1"/>
    <cellStyle name="Lien hypertexte visité" xfId="12769" builtinId="9" hidden="1"/>
    <cellStyle name="Lien hypertexte visité" xfId="12817" builtinId="9" hidden="1"/>
    <cellStyle name="Lien hypertexte visité" xfId="12857" builtinId="9" hidden="1"/>
    <cellStyle name="Lien hypertexte visité" xfId="12897" builtinId="9" hidden="1"/>
    <cellStyle name="Lien hypertexte visité" xfId="12945" builtinId="9" hidden="1"/>
    <cellStyle name="Lien hypertexte visité" xfId="12985" builtinId="9" hidden="1"/>
    <cellStyle name="Lien hypertexte visité" xfId="13025" builtinId="9" hidden="1"/>
    <cellStyle name="Lien hypertexte visité" xfId="13073" builtinId="9" hidden="1"/>
    <cellStyle name="Lien hypertexte visité" xfId="13113" builtinId="9" hidden="1"/>
    <cellStyle name="Lien hypertexte visité" xfId="13153" builtinId="9" hidden="1"/>
    <cellStyle name="Lien hypertexte visité" xfId="13201" builtinId="9" hidden="1"/>
    <cellStyle name="Lien hypertexte visité" xfId="13241" builtinId="9" hidden="1"/>
    <cellStyle name="Lien hypertexte visité" xfId="13281" builtinId="9" hidden="1"/>
    <cellStyle name="Lien hypertexte visité" xfId="13329" builtinId="9" hidden="1"/>
    <cellStyle name="Lien hypertexte visité" xfId="13369" builtinId="9" hidden="1"/>
    <cellStyle name="Lien hypertexte visité" xfId="13409" builtinId="9" hidden="1"/>
    <cellStyle name="Lien hypertexte visité" xfId="13457" builtinId="9" hidden="1"/>
    <cellStyle name="Lien hypertexte visité" xfId="13497" builtinId="9" hidden="1"/>
    <cellStyle name="Lien hypertexte visité" xfId="13537" builtinId="9" hidden="1"/>
    <cellStyle name="Lien hypertexte visité" xfId="13585" builtinId="9" hidden="1"/>
    <cellStyle name="Lien hypertexte visité" xfId="13625" builtinId="9" hidden="1"/>
    <cellStyle name="Lien hypertexte visité" xfId="13665" builtinId="9" hidden="1"/>
    <cellStyle name="Lien hypertexte visité" xfId="13713" builtinId="9" hidden="1"/>
    <cellStyle name="Lien hypertexte visité" xfId="13753" builtinId="9" hidden="1"/>
    <cellStyle name="Lien hypertexte visité" xfId="13793" builtinId="9" hidden="1"/>
    <cellStyle name="Lien hypertexte visité" xfId="13841" builtinId="9" hidden="1"/>
    <cellStyle name="Lien hypertexte visité" xfId="13881" builtinId="9" hidden="1"/>
    <cellStyle name="Lien hypertexte visité" xfId="13921" builtinId="9" hidden="1"/>
    <cellStyle name="Lien hypertexte visité" xfId="13969" builtinId="9" hidden="1"/>
    <cellStyle name="Lien hypertexte visité" xfId="14009" builtinId="9" hidden="1"/>
    <cellStyle name="Lien hypertexte visité" xfId="14049" builtinId="9" hidden="1"/>
    <cellStyle name="Lien hypertexte visité" xfId="14097" builtinId="9" hidden="1"/>
    <cellStyle name="Lien hypertexte visité" xfId="14137" builtinId="9" hidden="1"/>
    <cellStyle name="Lien hypertexte visité" xfId="14177" builtinId="9" hidden="1"/>
    <cellStyle name="Lien hypertexte visité" xfId="14225" builtinId="9" hidden="1"/>
    <cellStyle name="Lien hypertexte visité" xfId="14265" builtinId="9" hidden="1"/>
    <cellStyle name="Lien hypertexte visité" xfId="14305" builtinId="9" hidden="1"/>
    <cellStyle name="Lien hypertexte visité" xfId="14353" builtinId="9" hidden="1"/>
    <cellStyle name="Lien hypertexte visité" xfId="14393" builtinId="9" hidden="1"/>
    <cellStyle name="Lien hypertexte visité" xfId="14433" builtinId="9" hidden="1"/>
    <cellStyle name="Lien hypertexte visité" xfId="14481" builtinId="9" hidden="1"/>
    <cellStyle name="Lien hypertexte visité" xfId="14527" builtinId="9" hidden="1"/>
    <cellStyle name="Lien hypertexte visité" xfId="14607" builtinId="9" hidden="1"/>
    <cellStyle name="Lien hypertexte visité" xfId="14703" builtinId="9" hidden="1"/>
    <cellStyle name="Lien hypertexte visité" xfId="14783" builtinId="9" hidden="1"/>
    <cellStyle name="Lien hypertexte visité" xfId="14863" builtinId="9" hidden="1"/>
    <cellStyle name="Lien hypertexte visité" xfId="14959" builtinId="9" hidden="1"/>
    <cellStyle name="Lien hypertexte visité" xfId="15039" builtinId="9" hidden="1"/>
    <cellStyle name="Lien hypertexte visité" xfId="15119" builtinId="9" hidden="1"/>
    <cellStyle name="Lien hypertexte visité" xfId="15215" builtinId="9" hidden="1"/>
    <cellStyle name="Lien hypertexte visité" xfId="15295" builtinId="9" hidden="1"/>
    <cellStyle name="Lien hypertexte visité" xfId="15375" builtinId="9" hidden="1"/>
    <cellStyle name="Lien hypertexte visité" xfId="15471" builtinId="9" hidden="1"/>
    <cellStyle name="Lien hypertexte visité" xfId="15551" builtinId="9" hidden="1"/>
    <cellStyle name="Lien hypertexte visité" xfId="15631" builtinId="9" hidden="1"/>
    <cellStyle name="Lien hypertexte visité" xfId="15727" builtinId="9" hidden="1"/>
    <cellStyle name="Lien hypertexte visité" xfId="15807" builtinId="9" hidden="1"/>
    <cellStyle name="Lien hypertexte visité" xfId="15887" builtinId="9" hidden="1"/>
    <cellStyle name="Lien hypertexte visité" xfId="15983" builtinId="9" hidden="1"/>
    <cellStyle name="Lien hypertexte visité" xfId="16063" builtinId="9" hidden="1"/>
    <cellStyle name="Lien hypertexte visité" xfId="16143" builtinId="9" hidden="1"/>
    <cellStyle name="Lien hypertexte visité" xfId="16239" builtinId="9" hidden="1"/>
    <cellStyle name="Lien hypertexte visité" xfId="16319" builtinId="9" hidden="1"/>
    <cellStyle name="Lien hypertexte visité" xfId="16399" builtinId="9" hidden="1"/>
    <cellStyle name="Lien hypertexte visité" xfId="16495" builtinId="9" hidden="1"/>
    <cellStyle name="Lien hypertexte visité" xfId="16575" builtinId="9" hidden="1"/>
    <cellStyle name="Lien hypertexte visité" xfId="16655" builtinId="9" hidden="1"/>
    <cellStyle name="Lien hypertexte visité" xfId="16751" builtinId="9" hidden="1"/>
    <cellStyle name="Lien hypertexte visité" xfId="16831" builtinId="9" hidden="1"/>
    <cellStyle name="Lien hypertexte visité" xfId="16911" builtinId="9" hidden="1"/>
    <cellStyle name="Lien hypertexte visité" xfId="17007" builtinId="9" hidden="1"/>
    <cellStyle name="Lien hypertexte visité" xfId="17087" builtinId="9" hidden="1"/>
    <cellStyle name="Lien hypertexte visité" xfId="17167" builtinId="9" hidden="1"/>
    <cellStyle name="Lien hypertexte visité" xfId="17263" builtinId="9" hidden="1"/>
    <cellStyle name="Lien hypertexte visité" xfId="17343" builtinId="9" hidden="1"/>
    <cellStyle name="Lien hypertexte visité" xfId="17423" builtinId="9" hidden="1"/>
    <cellStyle name="Lien hypertexte visité" xfId="17519" builtinId="9" hidden="1"/>
    <cellStyle name="Lien hypertexte visité" xfId="17599" builtinId="9" hidden="1"/>
    <cellStyle name="Lien hypertexte visité" xfId="17679" builtinId="9" hidden="1"/>
    <cellStyle name="Lien hypertexte visité" xfId="17775" builtinId="9" hidden="1"/>
    <cellStyle name="Lien hypertexte visité" xfId="17855" builtinId="9" hidden="1"/>
    <cellStyle name="Lien hypertexte visité" xfId="17935" builtinId="9" hidden="1"/>
    <cellStyle name="Lien hypertexte visité" xfId="18031" builtinId="9" hidden="1"/>
    <cellStyle name="Lien hypertexte visité" xfId="18111" builtinId="9" hidden="1"/>
    <cellStyle name="Lien hypertexte visité" xfId="18191" builtinId="9" hidden="1"/>
    <cellStyle name="Lien hypertexte visité" xfId="18287" builtinId="9" hidden="1"/>
    <cellStyle name="Lien hypertexte visité" xfId="18350" builtinId="9" hidden="1"/>
    <cellStyle name="Lien hypertexte visité" xfId="18430" builtinId="9" hidden="1"/>
    <cellStyle name="Lien hypertexte visité" xfId="18526" builtinId="9" hidden="1"/>
    <cellStyle name="Lien hypertexte visité" xfId="18606" builtinId="9" hidden="1"/>
    <cellStyle name="Lien hypertexte visité" xfId="18686" builtinId="9" hidden="1"/>
    <cellStyle name="Lien hypertexte visité" xfId="18782" builtinId="9" hidden="1"/>
    <cellStyle name="Lien hypertexte visité" xfId="18862" builtinId="9" hidden="1"/>
    <cellStyle name="Lien hypertexte visité" xfId="18942" builtinId="9" hidden="1"/>
    <cellStyle name="Lien hypertexte visité" xfId="19038" builtinId="9" hidden="1"/>
    <cellStyle name="Lien hypertexte visité" xfId="19118" builtinId="9" hidden="1"/>
    <cellStyle name="Lien hypertexte visité" xfId="19198" builtinId="9" hidden="1"/>
    <cellStyle name="Lien hypertexte visité" xfId="19294" builtinId="9" hidden="1"/>
    <cellStyle name="Lien hypertexte visité" xfId="19374" builtinId="9" hidden="1"/>
    <cellStyle name="Lien hypertexte visité" xfId="19454" builtinId="9" hidden="1"/>
    <cellStyle name="Lien hypertexte visité" xfId="19550" builtinId="9" hidden="1"/>
    <cellStyle name="Lien hypertexte visité" xfId="19630" builtinId="9" hidden="1"/>
    <cellStyle name="Lien hypertexte visité" xfId="19710" builtinId="9" hidden="1"/>
    <cellStyle name="Lien hypertexte visité" xfId="19806" builtinId="9" hidden="1"/>
    <cellStyle name="Lien hypertexte visité" xfId="19886" builtinId="9" hidden="1"/>
    <cellStyle name="Lien hypertexte visité" xfId="19966" builtinId="9" hidden="1"/>
    <cellStyle name="Lien hypertexte visité" xfId="20062" builtinId="9" hidden="1"/>
    <cellStyle name="Lien hypertexte visité" xfId="20142" builtinId="9" hidden="1"/>
    <cellStyle name="Lien hypertexte visité" xfId="20222" builtinId="9" hidden="1"/>
    <cellStyle name="Lien hypertexte visité" xfId="20318" builtinId="9" hidden="1"/>
    <cellStyle name="Lien hypertexte visité" xfId="20398" builtinId="9" hidden="1"/>
    <cellStyle name="Lien hypertexte visité" xfId="20478" builtinId="9" hidden="1"/>
    <cellStyle name="Lien hypertexte visité" xfId="20574" builtinId="9" hidden="1"/>
    <cellStyle name="Lien hypertexte visité" xfId="20654" builtinId="9" hidden="1"/>
    <cellStyle name="Lien hypertexte visité" xfId="20734" builtinId="9" hidden="1"/>
    <cellStyle name="Lien hypertexte visité" xfId="20830" builtinId="9" hidden="1"/>
    <cellStyle name="Lien hypertexte visité" xfId="20910" builtinId="9" hidden="1"/>
    <cellStyle name="Lien hypertexte visité" xfId="20990" builtinId="9" hidden="1"/>
    <cellStyle name="Lien hypertexte visité" xfId="21086" builtinId="9" hidden="1"/>
    <cellStyle name="Lien hypertexte visité" xfId="21166" builtinId="9" hidden="1"/>
    <cellStyle name="Lien hypertexte visité" xfId="21246" builtinId="9" hidden="1"/>
    <cellStyle name="Lien hypertexte visité" xfId="21342" builtinId="9" hidden="1"/>
    <cellStyle name="Lien hypertexte visité" xfId="21422" builtinId="9" hidden="1"/>
    <cellStyle name="Lien hypertexte visité" xfId="21502" builtinId="9" hidden="1"/>
    <cellStyle name="Lien hypertexte visité" xfId="21598" builtinId="9" hidden="1"/>
    <cellStyle name="Lien hypertexte visité" xfId="21678" builtinId="9" hidden="1"/>
    <cellStyle name="Lien hypertexte visité" xfId="21758" builtinId="9" hidden="1"/>
    <cellStyle name="Lien hypertexte visité" xfId="21854" builtinId="9" hidden="1"/>
    <cellStyle name="Lien hypertexte visité" xfId="21934" builtinId="9" hidden="1"/>
    <cellStyle name="Lien hypertexte visité" xfId="22014" builtinId="9" hidden="1"/>
    <cellStyle name="Lien hypertexte visité" xfId="22110" builtinId="9" hidden="1"/>
    <cellStyle name="Lien hypertexte visité" xfId="22190" builtinId="9" hidden="1"/>
    <cellStyle name="Lien hypertexte visité" xfId="22270" builtinId="9" hidden="1"/>
    <cellStyle name="Lien hypertexte visité" xfId="22366" builtinId="9" hidden="1"/>
    <cellStyle name="Lien hypertexte visité" xfId="22446" builtinId="9" hidden="1"/>
    <cellStyle name="Lien hypertexte visité" xfId="22526" builtinId="9" hidden="1"/>
    <cellStyle name="Lien hypertexte visité" xfId="22622" builtinId="9" hidden="1"/>
    <cellStyle name="Lien hypertexte visité" xfId="22702" builtinId="9" hidden="1"/>
    <cellStyle name="Lien hypertexte visité" xfId="22782" builtinId="9" hidden="1"/>
    <cellStyle name="Lien hypertexte visité" xfId="22878" builtinId="9" hidden="1"/>
    <cellStyle name="Lien hypertexte visité" xfId="22958" builtinId="9" hidden="1"/>
    <cellStyle name="Lien hypertexte visité" xfId="23038" builtinId="9" hidden="1"/>
    <cellStyle name="Lien hypertexte visité" xfId="23134" builtinId="9" hidden="1"/>
    <cellStyle name="Lien hypertexte visité" xfId="23214" builtinId="9" hidden="1"/>
    <cellStyle name="Lien hypertexte visité" xfId="23294" builtinId="9" hidden="1"/>
    <cellStyle name="Lien hypertexte visité" xfId="23390" builtinId="9" hidden="1"/>
    <cellStyle name="Lien hypertexte visité" xfId="23470" builtinId="9" hidden="1"/>
    <cellStyle name="Lien hypertexte visité" xfId="23550" builtinId="9" hidden="1"/>
    <cellStyle name="Lien hypertexte visité" xfId="23646" builtinId="9" hidden="1"/>
    <cellStyle name="Lien hypertexte visité" xfId="23726" builtinId="9" hidden="1"/>
    <cellStyle name="Lien hypertexte visité" xfId="23806" builtinId="9" hidden="1"/>
    <cellStyle name="Lien hypertexte visité" xfId="23902" builtinId="9" hidden="1"/>
    <cellStyle name="Lien hypertexte visité" xfId="23982" builtinId="9" hidden="1"/>
    <cellStyle name="Lien hypertexte visité" xfId="24062" builtinId="9" hidden="1"/>
    <cellStyle name="Lien hypertexte visité" xfId="24158" builtinId="9" hidden="1"/>
    <cellStyle name="Lien hypertexte visité" xfId="24238" builtinId="9" hidden="1"/>
    <cellStyle name="Lien hypertexte visité" xfId="24318" builtinId="9" hidden="1"/>
    <cellStyle name="Lien hypertexte visité" xfId="24414" builtinId="9" hidden="1"/>
    <cellStyle name="Lien hypertexte visité" xfId="24494" builtinId="9" hidden="1"/>
    <cellStyle name="Lien hypertexte visité" xfId="24574" builtinId="9" hidden="1"/>
    <cellStyle name="Lien hypertexte visité" xfId="24556" builtinId="9" hidden="1"/>
    <cellStyle name="Lien hypertexte visité" xfId="24476" builtinId="9" hidden="1"/>
    <cellStyle name="Lien hypertexte visité" xfId="24396" builtinId="9" hidden="1"/>
    <cellStyle name="Lien hypertexte visité" xfId="24300" builtinId="9" hidden="1"/>
    <cellStyle name="Lien hypertexte visité" xfId="24220" builtinId="9" hidden="1"/>
    <cellStyle name="Lien hypertexte visité" xfId="24140" builtinId="9" hidden="1"/>
    <cellStyle name="Lien hypertexte visité" xfId="24044" builtinId="9" hidden="1"/>
    <cellStyle name="Lien hypertexte visité" xfId="23964" builtinId="9" hidden="1"/>
    <cellStyle name="Lien hypertexte visité" xfId="23884" builtinId="9" hidden="1"/>
    <cellStyle name="Lien hypertexte visité" xfId="23788" builtinId="9" hidden="1"/>
    <cellStyle name="Lien hypertexte visité" xfId="23708" builtinId="9" hidden="1"/>
    <cellStyle name="Lien hypertexte visité" xfId="23628" builtinId="9" hidden="1"/>
    <cellStyle name="Lien hypertexte visité" xfId="23532" builtinId="9" hidden="1"/>
    <cellStyle name="Lien hypertexte visité" xfId="23452" builtinId="9" hidden="1"/>
    <cellStyle name="Lien hypertexte visité" xfId="23372" builtinId="9" hidden="1"/>
    <cellStyle name="Lien hypertexte visité" xfId="23276" builtinId="9" hidden="1"/>
    <cellStyle name="Lien hypertexte visité" xfId="23196" builtinId="9" hidden="1"/>
    <cellStyle name="Lien hypertexte visité" xfId="23116" builtinId="9" hidden="1"/>
    <cellStyle name="Lien hypertexte visité" xfId="23020" builtinId="9" hidden="1"/>
    <cellStyle name="Lien hypertexte visité" xfId="22940" builtinId="9" hidden="1"/>
    <cellStyle name="Lien hypertexte visité" xfId="22860" builtinId="9" hidden="1"/>
    <cellStyle name="Lien hypertexte visité" xfId="22764" builtinId="9" hidden="1"/>
    <cellStyle name="Lien hypertexte visité" xfId="22684" builtinId="9" hidden="1"/>
    <cellStyle name="Lien hypertexte visité" xfId="22604" builtinId="9" hidden="1"/>
    <cellStyle name="Lien hypertexte visité" xfId="22508" builtinId="9" hidden="1"/>
    <cellStyle name="Lien hypertexte visité" xfId="22428" builtinId="9" hidden="1"/>
    <cellStyle name="Lien hypertexte visité" xfId="22348" builtinId="9" hidden="1"/>
    <cellStyle name="Lien hypertexte visité" xfId="22252" builtinId="9" hidden="1"/>
    <cellStyle name="Lien hypertexte visité" xfId="22172" builtinId="9" hidden="1"/>
    <cellStyle name="Lien hypertexte visité" xfId="22092" builtinId="9" hidden="1"/>
    <cellStyle name="Lien hypertexte visité" xfId="21996" builtinId="9" hidden="1"/>
    <cellStyle name="Lien hypertexte visité" xfId="21916" builtinId="9" hidden="1"/>
    <cellStyle name="Lien hypertexte visité" xfId="21836" builtinId="9" hidden="1"/>
    <cellStyle name="Lien hypertexte visité" xfId="21740" builtinId="9" hidden="1"/>
    <cellStyle name="Lien hypertexte visité" xfId="21660" builtinId="9" hidden="1"/>
    <cellStyle name="Lien hypertexte visité" xfId="21580" builtinId="9" hidden="1"/>
    <cellStyle name="Lien hypertexte visité" xfId="21484" builtinId="9" hidden="1"/>
    <cellStyle name="Lien hypertexte visité" xfId="21404" builtinId="9" hidden="1"/>
    <cellStyle name="Lien hypertexte visité" xfId="21324" builtinId="9" hidden="1"/>
    <cellStyle name="Lien hypertexte visité" xfId="21228" builtinId="9" hidden="1"/>
    <cellStyle name="Lien hypertexte visité" xfId="21148" builtinId="9" hidden="1"/>
    <cellStyle name="Lien hypertexte visité" xfId="21068" builtinId="9" hidden="1"/>
    <cellStyle name="Lien hypertexte visité" xfId="20972" builtinId="9" hidden="1"/>
    <cellStyle name="Lien hypertexte visité" xfId="20892" builtinId="9" hidden="1"/>
    <cellStyle name="Lien hypertexte visité" xfId="20812" builtinId="9" hidden="1"/>
    <cellStyle name="Lien hypertexte visité" xfId="20716" builtinId="9" hidden="1"/>
    <cellStyle name="Lien hypertexte visité" xfId="20636" builtinId="9" hidden="1"/>
    <cellStyle name="Lien hypertexte visité" xfId="20556" builtinId="9" hidden="1"/>
    <cellStyle name="Lien hypertexte visité" xfId="20460" builtinId="9" hidden="1"/>
    <cellStyle name="Lien hypertexte visité" xfId="20380" builtinId="9" hidden="1"/>
    <cellStyle name="Lien hypertexte visité" xfId="20300" builtinId="9" hidden="1"/>
    <cellStyle name="Lien hypertexte visité" xfId="20204" builtinId="9" hidden="1"/>
    <cellStyle name="Lien hypertexte visité" xfId="20124" builtinId="9" hidden="1"/>
    <cellStyle name="Lien hypertexte visité" xfId="20044" builtinId="9" hidden="1"/>
    <cellStyle name="Lien hypertexte visité" xfId="19948" builtinId="9" hidden="1"/>
    <cellStyle name="Lien hypertexte visité" xfId="19868" builtinId="9" hidden="1"/>
    <cellStyle name="Lien hypertexte visité" xfId="19788" builtinId="9" hidden="1"/>
    <cellStyle name="Lien hypertexte visité" xfId="19692" builtinId="9" hidden="1"/>
    <cellStyle name="Lien hypertexte visité" xfId="19612" builtinId="9" hidden="1"/>
    <cellStyle name="Lien hypertexte visité" xfId="19532" builtinId="9" hidden="1"/>
    <cellStyle name="Lien hypertexte visité" xfId="19436" builtinId="9" hidden="1"/>
    <cellStyle name="Lien hypertexte visité" xfId="19356" builtinId="9" hidden="1"/>
    <cellStyle name="Lien hypertexte visité" xfId="19276" builtinId="9" hidden="1"/>
    <cellStyle name="Lien hypertexte visité" xfId="19180" builtinId="9" hidden="1"/>
    <cellStyle name="Lien hypertexte visité" xfId="19100" builtinId="9" hidden="1"/>
    <cellStyle name="Lien hypertexte visité" xfId="19020" builtinId="9" hidden="1"/>
    <cellStyle name="Lien hypertexte visité" xfId="18924" builtinId="9" hidden="1"/>
    <cellStyle name="Lien hypertexte visité" xfId="18844" builtinId="9" hidden="1"/>
    <cellStyle name="Lien hypertexte visité" xfId="18764" builtinId="9" hidden="1"/>
    <cellStyle name="Lien hypertexte visité" xfId="18668" builtinId="9" hidden="1"/>
    <cellStyle name="Lien hypertexte visité" xfId="18588" builtinId="9" hidden="1"/>
    <cellStyle name="Lien hypertexte visité" xfId="18508" builtinId="9" hidden="1"/>
    <cellStyle name="Lien hypertexte visité" xfId="18412" builtinId="9" hidden="1"/>
    <cellStyle name="Lien hypertexte visité" xfId="18332" builtinId="9" hidden="1"/>
    <cellStyle name="Lien hypertexte visité" xfId="18269" builtinId="9" hidden="1"/>
    <cellStyle name="Lien hypertexte visité" xfId="18173" builtinId="9" hidden="1"/>
    <cellStyle name="Lien hypertexte visité" xfId="18093" builtinId="9" hidden="1"/>
    <cellStyle name="Lien hypertexte visité" xfId="18013" builtinId="9" hidden="1"/>
    <cellStyle name="Lien hypertexte visité" xfId="17917" builtinId="9" hidden="1"/>
    <cellStyle name="Lien hypertexte visité" xfId="17837" builtinId="9" hidden="1"/>
    <cellStyle name="Lien hypertexte visité" xfId="17757" builtinId="9" hidden="1"/>
    <cellStyle name="Lien hypertexte visité" xfId="17661" builtinId="9" hidden="1"/>
    <cellStyle name="Lien hypertexte visité" xfId="17581" builtinId="9" hidden="1"/>
    <cellStyle name="Lien hypertexte visité" xfId="17501" builtinId="9" hidden="1"/>
    <cellStyle name="Lien hypertexte visité" xfId="17405" builtinId="9" hidden="1"/>
    <cellStyle name="Lien hypertexte visité" xfId="17325" builtinId="9" hidden="1"/>
    <cellStyle name="Lien hypertexte visité" xfId="17245" builtinId="9" hidden="1"/>
    <cellStyle name="Lien hypertexte visité" xfId="17149" builtinId="9" hidden="1"/>
    <cellStyle name="Lien hypertexte visité" xfId="17069" builtinId="9" hidden="1"/>
    <cellStyle name="Lien hypertexte visité" xfId="16989" builtinId="9" hidden="1"/>
    <cellStyle name="Lien hypertexte visité" xfId="16893" builtinId="9" hidden="1"/>
    <cellStyle name="Lien hypertexte visité" xfId="16813" builtinId="9" hidden="1"/>
    <cellStyle name="Lien hypertexte visité" xfId="16733" builtinId="9" hidden="1"/>
    <cellStyle name="Lien hypertexte visité" xfId="16637" builtinId="9" hidden="1"/>
    <cellStyle name="Lien hypertexte visité" xfId="16557" builtinId="9" hidden="1"/>
    <cellStyle name="Lien hypertexte visité" xfId="16477" builtinId="9" hidden="1"/>
    <cellStyle name="Lien hypertexte visité" xfId="16381" builtinId="9" hidden="1"/>
    <cellStyle name="Lien hypertexte visité" xfId="16301" builtinId="9" hidden="1"/>
    <cellStyle name="Lien hypertexte visité" xfId="16221" builtinId="9" hidden="1"/>
    <cellStyle name="Lien hypertexte visité" xfId="16125" builtinId="9" hidden="1"/>
    <cellStyle name="Lien hypertexte visité" xfId="16045" builtinId="9" hidden="1"/>
    <cellStyle name="Lien hypertexte visité" xfId="15965" builtinId="9" hidden="1"/>
    <cellStyle name="Lien hypertexte visité" xfId="15869" builtinId="9" hidden="1"/>
    <cellStyle name="Lien hypertexte visité" xfId="15789" builtinId="9" hidden="1"/>
    <cellStyle name="Lien hypertexte visité" xfId="15709" builtinId="9" hidden="1"/>
    <cellStyle name="Lien hypertexte visité" xfId="15613" builtinId="9" hidden="1"/>
    <cellStyle name="Lien hypertexte visité" xfId="15533" builtinId="9" hidden="1"/>
    <cellStyle name="Lien hypertexte visité" xfId="15453" builtinId="9" hidden="1"/>
    <cellStyle name="Lien hypertexte visité" xfId="15357" builtinId="9" hidden="1"/>
    <cellStyle name="Lien hypertexte visité" xfId="15277" builtinId="9" hidden="1"/>
    <cellStyle name="Lien hypertexte visité" xfId="15197" builtinId="9" hidden="1"/>
    <cellStyle name="Lien hypertexte visité" xfId="15101" builtinId="9" hidden="1"/>
    <cellStyle name="Lien hypertexte visité" xfId="15021" builtinId="9" hidden="1"/>
    <cellStyle name="Lien hypertexte visité" xfId="14941" builtinId="9" hidden="1"/>
    <cellStyle name="Lien hypertexte visité" xfId="14845" builtinId="9" hidden="1"/>
    <cellStyle name="Lien hypertexte visité" xfId="14765" builtinId="9" hidden="1"/>
    <cellStyle name="Lien hypertexte visité" xfId="14685" builtinId="9" hidden="1"/>
    <cellStyle name="Lien hypertexte visité" xfId="14589" builtinId="9" hidden="1"/>
    <cellStyle name="Lien hypertexte visité" xfId="14512" builtinId="9" hidden="1"/>
    <cellStyle name="Lien hypertexte visité" xfId="14472" builtinId="9" hidden="1"/>
    <cellStyle name="Lien hypertexte visité" xfId="14424" builtinId="9" hidden="1"/>
    <cellStyle name="Lien hypertexte visité" xfId="14384" builtinId="9" hidden="1"/>
    <cellStyle name="Lien hypertexte visité" xfId="14344" builtinId="9" hidden="1"/>
    <cellStyle name="Lien hypertexte visité" xfId="14296" builtinId="9" hidden="1"/>
    <cellStyle name="Lien hypertexte visité" xfId="14256" builtinId="9" hidden="1"/>
    <cellStyle name="Lien hypertexte visité" xfId="14216" builtinId="9" hidden="1"/>
    <cellStyle name="Lien hypertexte visité" xfId="14168" builtinId="9" hidden="1"/>
    <cellStyle name="Lien hypertexte visité" xfId="14128" builtinId="9" hidden="1"/>
    <cellStyle name="Lien hypertexte visité" xfId="14088" builtinId="9" hidden="1"/>
    <cellStyle name="Lien hypertexte visité" xfId="14040" builtinId="9" hidden="1"/>
    <cellStyle name="Lien hypertexte visité" xfId="14000" builtinId="9" hidden="1"/>
    <cellStyle name="Lien hypertexte visité" xfId="13960" builtinId="9" hidden="1"/>
    <cellStyle name="Lien hypertexte visité" xfId="13912" builtinId="9" hidden="1"/>
    <cellStyle name="Lien hypertexte visité" xfId="13872" builtinId="9" hidden="1"/>
    <cellStyle name="Lien hypertexte visité" xfId="13832" builtinId="9" hidden="1"/>
    <cellStyle name="Lien hypertexte visité" xfId="13784" builtinId="9" hidden="1"/>
    <cellStyle name="Lien hypertexte visité" xfId="13744" builtinId="9" hidden="1"/>
    <cellStyle name="Lien hypertexte visité" xfId="13704" builtinId="9" hidden="1"/>
    <cellStyle name="Lien hypertexte visité" xfId="13656" builtinId="9" hidden="1"/>
    <cellStyle name="Lien hypertexte visité" xfId="13616" builtinId="9" hidden="1"/>
    <cellStyle name="Lien hypertexte visité" xfId="13576" builtinId="9" hidden="1"/>
    <cellStyle name="Lien hypertexte visité" xfId="13528" builtinId="9" hidden="1"/>
    <cellStyle name="Lien hypertexte visité" xfId="13488" builtinId="9" hidden="1"/>
    <cellStyle name="Lien hypertexte visité" xfId="13448" builtinId="9" hidden="1"/>
    <cellStyle name="Lien hypertexte visité" xfId="13400" builtinId="9" hidden="1"/>
    <cellStyle name="Lien hypertexte visité" xfId="13360" builtinId="9" hidden="1"/>
    <cellStyle name="Lien hypertexte visité" xfId="13320" builtinId="9" hidden="1"/>
    <cellStyle name="Lien hypertexte visité" xfId="13272" builtinId="9" hidden="1"/>
    <cellStyle name="Lien hypertexte visité" xfId="13232" builtinId="9" hidden="1"/>
    <cellStyle name="Lien hypertexte visité" xfId="13192" builtinId="9" hidden="1"/>
    <cellStyle name="Lien hypertexte visité" xfId="13144" builtinId="9" hidden="1"/>
    <cellStyle name="Lien hypertexte visité" xfId="13104" builtinId="9" hidden="1"/>
    <cellStyle name="Lien hypertexte visité" xfId="13064" builtinId="9" hidden="1"/>
    <cellStyle name="Lien hypertexte visité" xfId="13016" builtinId="9" hidden="1"/>
    <cellStyle name="Lien hypertexte visité" xfId="12976" builtinId="9" hidden="1"/>
    <cellStyle name="Lien hypertexte visité" xfId="12936" builtinId="9" hidden="1"/>
    <cellStyle name="Lien hypertexte visité" xfId="12888" builtinId="9" hidden="1"/>
    <cellStyle name="Lien hypertexte visité" xfId="12848" builtinId="9" hidden="1"/>
    <cellStyle name="Lien hypertexte visité" xfId="12808" builtinId="9" hidden="1"/>
    <cellStyle name="Lien hypertexte visité" xfId="12760" builtinId="9" hidden="1"/>
    <cellStyle name="Lien hypertexte visité" xfId="12720" builtinId="9" hidden="1"/>
    <cellStyle name="Lien hypertexte visité" xfId="12680" builtinId="9" hidden="1"/>
    <cellStyle name="Lien hypertexte visité" xfId="12632" builtinId="9" hidden="1"/>
    <cellStyle name="Lien hypertexte visité" xfId="12592" builtinId="9" hidden="1"/>
    <cellStyle name="Lien hypertexte visité" xfId="12552" builtinId="9" hidden="1"/>
    <cellStyle name="Lien hypertexte visité" xfId="12504" builtinId="9" hidden="1"/>
    <cellStyle name="Lien hypertexte visité" xfId="12464" builtinId="9" hidden="1"/>
    <cellStyle name="Lien hypertexte visité" xfId="12424" builtinId="9" hidden="1"/>
    <cellStyle name="Lien hypertexte visité" xfId="12376" builtinId="9" hidden="1"/>
    <cellStyle name="Lien hypertexte visité" xfId="12336" builtinId="9" hidden="1"/>
    <cellStyle name="Lien hypertexte visité" xfId="12296" builtinId="9" hidden="1"/>
    <cellStyle name="Lien hypertexte visité" xfId="12248" builtinId="9" hidden="1"/>
    <cellStyle name="Lien hypertexte visité" xfId="12208" builtinId="9" hidden="1"/>
    <cellStyle name="Lien hypertexte visité" xfId="12168" builtinId="9" hidden="1"/>
    <cellStyle name="Lien hypertexte visité" xfId="12120" builtinId="9" hidden="1"/>
    <cellStyle name="Lien hypertexte visité" xfId="12080" builtinId="9" hidden="1"/>
    <cellStyle name="Lien hypertexte visité" xfId="12040" builtinId="9" hidden="1"/>
    <cellStyle name="Lien hypertexte visité" xfId="11992" builtinId="9" hidden="1"/>
    <cellStyle name="Lien hypertexte visité" xfId="11952" builtinId="9" hidden="1"/>
    <cellStyle name="Lien hypertexte visité" xfId="11912" builtinId="9" hidden="1"/>
    <cellStyle name="Lien hypertexte visité" xfId="11864" builtinId="9" hidden="1"/>
    <cellStyle name="Lien hypertexte visité" xfId="11824" builtinId="9" hidden="1"/>
    <cellStyle name="Lien hypertexte visité" xfId="11784" builtinId="9" hidden="1"/>
    <cellStyle name="Lien hypertexte visité" xfId="11736" builtinId="9" hidden="1"/>
    <cellStyle name="Lien hypertexte visité" xfId="11696" builtinId="9" hidden="1"/>
    <cellStyle name="Lien hypertexte visité" xfId="11656" builtinId="9" hidden="1"/>
    <cellStyle name="Lien hypertexte visité" xfId="11608" builtinId="9" hidden="1"/>
    <cellStyle name="Lien hypertexte visité" xfId="11568" builtinId="9" hidden="1"/>
    <cellStyle name="Lien hypertexte visité" xfId="11528" builtinId="9" hidden="1"/>
    <cellStyle name="Lien hypertexte visité" xfId="11480" builtinId="9" hidden="1"/>
    <cellStyle name="Lien hypertexte visité" xfId="11440" builtinId="9" hidden="1"/>
    <cellStyle name="Lien hypertexte visité" xfId="11400" builtinId="9" hidden="1"/>
    <cellStyle name="Lien hypertexte visité" xfId="11352" builtinId="9" hidden="1"/>
    <cellStyle name="Lien hypertexte visité" xfId="11312" builtinId="9" hidden="1"/>
    <cellStyle name="Lien hypertexte visité" xfId="11272" builtinId="9" hidden="1"/>
    <cellStyle name="Lien hypertexte visité" xfId="11224" builtinId="9" hidden="1"/>
    <cellStyle name="Lien hypertexte visité" xfId="11184" builtinId="9" hidden="1"/>
    <cellStyle name="Lien hypertexte visité" xfId="11144" builtinId="9" hidden="1"/>
    <cellStyle name="Lien hypertexte visité" xfId="11096" builtinId="9" hidden="1"/>
    <cellStyle name="Lien hypertexte visité" xfId="11056" builtinId="9" hidden="1"/>
    <cellStyle name="Lien hypertexte visité" xfId="11016" builtinId="9" hidden="1"/>
    <cellStyle name="Lien hypertexte visité" xfId="10968" builtinId="9" hidden="1"/>
    <cellStyle name="Lien hypertexte visité" xfId="10928" builtinId="9" hidden="1"/>
    <cellStyle name="Lien hypertexte visité" xfId="10888" builtinId="9" hidden="1"/>
    <cellStyle name="Lien hypertexte visité" xfId="10840" builtinId="9" hidden="1"/>
    <cellStyle name="Lien hypertexte visité" xfId="10800" builtinId="9" hidden="1"/>
    <cellStyle name="Lien hypertexte visité" xfId="10760" builtinId="9" hidden="1"/>
    <cellStyle name="Lien hypertexte visité" xfId="10712" builtinId="9" hidden="1"/>
    <cellStyle name="Lien hypertexte visité" xfId="10672" builtinId="9" hidden="1"/>
    <cellStyle name="Lien hypertexte visité" xfId="10632" builtinId="9" hidden="1"/>
    <cellStyle name="Lien hypertexte visité" xfId="10584" builtinId="9" hidden="1"/>
    <cellStyle name="Lien hypertexte visité" xfId="10544" builtinId="9" hidden="1"/>
    <cellStyle name="Lien hypertexte visité" xfId="10504" builtinId="9" hidden="1"/>
    <cellStyle name="Lien hypertexte visité" xfId="10456" builtinId="9" hidden="1"/>
    <cellStyle name="Lien hypertexte visité" xfId="10416" builtinId="9" hidden="1"/>
    <cellStyle name="Lien hypertexte visité" xfId="10376" builtinId="9" hidden="1"/>
    <cellStyle name="Lien hypertexte visité" xfId="10328" builtinId="9" hidden="1"/>
    <cellStyle name="Lien hypertexte visité" xfId="10288" builtinId="9" hidden="1"/>
    <cellStyle name="Lien hypertexte visité" xfId="10248" builtinId="9" hidden="1"/>
    <cellStyle name="Lien hypertexte visité" xfId="10200" builtinId="9" hidden="1"/>
    <cellStyle name="Lien hypertexte visité" xfId="10160" builtinId="9" hidden="1"/>
    <cellStyle name="Lien hypertexte visité" xfId="10120" builtinId="9" hidden="1"/>
    <cellStyle name="Lien hypertexte visité" xfId="10072" builtinId="9" hidden="1"/>
    <cellStyle name="Lien hypertexte visité" xfId="10032" builtinId="9" hidden="1"/>
    <cellStyle name="Lien hypertexte visité" xfId="9992" builtinId="9" hidden="1"/>
    <cellStyle name="Lien hypertexte visité" xfId="9944" builtinId="9" hidden="1"/>
    <cellStyle name="Lien hypertexte visité" xfId="9904" builtinId="9" hidden="1"/>
    <cellStyle name="Lien hypertexte visité" xfId="9864" builtinId="9" hidden="1"/>
    <cellStyle name="Lien hypertexte visité" xfId="9816" builtinId="9" hidden="1"/>
    <cellStyle name="Lien hypertexte visité" xfId="9776" builtinId="9" hidden="1"/>
    <cellStyle name="Lien hypertexte visité" xfId="9736" builtinId="9" hidden="1"/>
    <cellStyle name="Lien hypertexte visité" xfId="9688" builtinId="9" hidden="1"/>
    <cellStyle name="Lien hypertexte visité" xfId="9648" builtinId="9" hidden="1"/>
    <cellStyle name="Lien hypertexte visité" xfId="9608" builtinId="9" hidden="1"/>
    <cellStyle name="Lien hypertexte visité" xfId="9560" builtinId="9" hidden="1"/>
    <cellStyle name="Lien hypertexte visité" xfId="9520" builtinId="9" hidden="1"/>
    <cellStyle name="Lien hypertexte visité" xfId="9480" builtinId="9" hidden="1"/>
    <cellStyle name="Lien hypertexte visité" xfId="9432" builtinId="9" hidden="1"/>
    <cellStyle name="Lien hypertexte visité" xfId="9392" builtinId="9" hidden="1"/>
    <cellStyle name="Lien hypertexte visité" xfId="9352" builtinId="9" hidden="1"/>
    <cellStyle name="Lien hypertexte visité" xfId="9304" builtinId="9" hidden="1"/>
    <cellStyle name="Lien hypertexte visité" xfId="9264" builtinId="9" hidden="1"/>
    <cellStyle name="Lien hypertexte visité" xfId="9224" builtinId="9" hidden="1"/>
    <cellStyle name="Lien hypertexte visité" xfId="9176" builtinId="9" hidden="1"/>
    <cellStyle name="Lien hypertexte visité" xfId="9136" builtinId="9" hidden="1"/>
    <cellStyle name="Lien hypertexte visité" xfId="9096" builtinId="9" hidden="1"/>
    <cellStyle name="Lien hypertexte visité" xfId="9048" builtinId="9" hidden="1"/>
    <cellStyle name="Lien hypertexte visité" xfId="9008" builtinId="9" hidden="1"/>
    <cellStyle name="Lien hypertexte visité" xfId="8968" builtinId="9" hidden="1"/>
    <cellStyle name="Lien hypertexte visité" xfId="8920" builtinId="9" hidden="1"/>
    <cellStyle name="Lien hypertexte visité" xfId="8880" builtinId="9" hidden="1"/>
    <cellStyle name="Lien hypertexte visité" xfId="8896" builtinId="9" hidden="1"/>
    <cellStyle name="Lien hypertexte visité" xfId="9024" builtinId="9" hidden="1"/>
    <cellStyle name="Lien hypertexte visité" xfId="9152" builtinId="9" hidden="1"/>
    <cellStyle name="Lien hypertexte visité" xfId="9280" builtinId="9" hidden="1"/>
    <cellStyle name="Lien hypertexte visité" xfId="9408" builtinId="9" hidden="1"/>
    <cellStyle name="Lien hypertexte visité" xfId="9536" builtinId="9" hidden="1"/>
    <cellStyle name="Lien hypertexte visité" xfId="9664" builtinId="9" hidden="1"/>
    <cellStyle name="Lien hypertexte visité" xfId="9792" builtinId="9" hidden="1"/>
    <cellStyle name="Lien hypertexte visité" xfId="9920" builtinId="9" hidden="1"/>
    <cellStyle name="Lien hypertexte visité" xfId="10048" builtinId="9" hidden="1"/>
    <cellStyle name="Lien hypertexte visité" xfId="10176" builtinId="9" hidden="1"/>
    <cellStyle name="Lien hypertexte visité" xfId="10304" builtinId="9" hidden="1"/>
    <cellStyle name="Lien hypertexte visité" xfId="10432" builtinId="9" hidden="1"/>
    <cellStyle name="Lien hypertexte visité" xfId="10560" builtinId="9" hidden="1"/>
    <cellStyle name="Lien hypertexte visité" xfId="10688" builtinId="9" hidden="1"/>
    <cellStyle name="Lien hypertexte visité" xfId="10816" builtinId="9" hidden="1"/>
    <cellStyle name="Lien hypertexte visité" xfId="10944" builtinId="9" hidden="1"/>
    <cellStyle name="Lien hypertexte visité" xfId="11072" builtinId="9" hidden="1"/>
    <cellStyle name="Lien hypertexte visité" xfId="11200" builtinId="9" hidden="1"/>
    <cellStyle name="Lien hypertexte visité" xfId="11328" builtinId="9" hidden="1"/>
    <cellStyle name="Lien hypertexte visité" xfId="11456" builtinId="9" hidden="1"/>
    <cellStyle name="Lien hypertexte visité" xfId="11584" builtinId="9" hidden="1"/>
    <cellStyle name="Lien hypertexte visité" xfId="11712" builtinId="9" hidden="1"/>
    <cellStyle name="Lien hypertexte visité" xfId="11840" builtinId="9" hidden="1"/>
    <cellStyle name="Lien hypertexte visité" xfId="11968" builtinId="9" hidden="1"/>
    <cellStyle name="Lien hypertexte visité" xfId="12096" builtinId="9" hidden="1"/>
    <cellStyle name="Lien hypertexte visité" xfId="12224" builtinId="9" hidden="1"/>
    <cellStyle name="Lien hypertexte visité" xfId="12352" builtinId="9" hidden="1"/>
    <cellStyle name="Lien hypertexte visité" xfId="12480" builtinId="9" hidden="1"/>
    <cellStyle name="Lien hypertexte visité" xfId="12608" builtinId="9" hidden="1"/>
    <cellStyle name="Lien hypertexte visité" xfId="12736" builtinId="9" hidden="1"/>
    <cellStyle name="Lien hypertexte visité" xfId="12864" builtinId="9" hidden="1"/>
    <cellStyle name="Lien hypertexte visité" xfId="12992" builtinId="9" hidden="1"/>
    <cellStyle name="Lien hypertexte visité" xfId="13120" builtinId="9" hidden="1"/>
    <cellStyle name="Lien hypertexte visité" xfId="13248" builtinId="9" hidden="1"/>
    <cellStyle name="Lien hypertexte visité" xfId="13376" builtinId="9" hidden="1"/>
    <cellStyle name="Lien hypertexte visité" xfId="13504" builtinId="9" hidden="1"/>
    <cellStyle name="Lien hypertexte visité" xfId="13632" builtinId="9" hidden="1"/>
    <cellStyle name="Lien hypertexte visité" xfId="13760" builtinId="9" hidden="1"/>
    <cellStyle name="Lien hypertexte visité" xfId="13888" builtinId="9" hidden="1"/>
    <cellStyle name="Lien hypertexte visité" xfId="14016" builtinId="9" hidden="1"/>
    <cellStyle name="Lien hypertexte visité" xfId="14144" builtinId="9" hidden="1"/>
    <cellStyle name="Lien hypertexte visité" xfId="14272" builtinId="9" hidden="1"/>
    <cellStyle name="Lien hypertexte visité" xfId="14400" builtinId="9" hidden="1"/>
    <cellStyle name="Lien hypertexte visité" xfId="14541" builtinId="9" hidden="1"/>
    <cellStyle name="Lien hypertexte visité" xfId="14797" builtinId="9" hidden="1"/>
    <cellStyle name="Lien hypertexte visité" xfId="15053" builtinId="9" hidden="1"/>
    <cellStyle name="Lien hypertexte visité" xfId="15309" builtinId="9" hidden="1"/>
    <cellStyle name="Lien hypertexte visité" xfId="15565" builtinId="9" hidden="1"/>
    <cellStyle name="Lien hypertexte visité" xfId="15821" builtinId="9" hidden="1"/>
    <cellStyle name="Lien hypertexte visité" xfId="16077" builtinId="9" hidden="1"/>
    <cellStyle name="Lien hypertexte visité" xfId="16333" builtinId="9" hidden="1"/>
    <cellStyle name="Lien hypertexte visité" xfId="16589" builtinId="9" hidden="1"/>
    <cellStyle name="Lien hypertexte visité" xfId="16845" builtinId="9" hidden="1"/>
    <cellStyle name="Lien hypertexte visité" xfId="17101" builtinId="9" hidden="1"/>
    <cellStyle name="Lien hypertexte visité" xfId="17357" builtinId="9" hidden="1"/>
    <cellStyle name="Lien hypertexte visité" xfId="17613" builtinId="9" hidden="1"/>
    <cellStyle name="Lien hypertexte visité" xfId="17869" builtinId="9" hidden="1"/>
    <cellStyle name="Lien hypertexte visité" xfId="18125" builtinId="9" hidden="1"/>
    <cellStyle name="Lien hypertexte visité" xfId="18364" builtinId="9" hidden="1"/>
    <cellStyle name="Lien hypertexte visité" xfId="18620" builtinId="9" hidden="1"/>
    <cellStyle name="Lien hypertexte visité" xfId="18876" builtinId="9" hidden="1"/>
    <cellStyle name="Lien hypertexte visité" xfId="19132" builtinId="9" hidden="1"/>
    <cellStyle name="Lien hypertexte visité" xfId="19388" builtinId="9" hidden="1"/>
    <cellStyle name="Lien hypertexte visité" xfId="19644" builtinId="9" hidden="1"/>
    <cellStyle name="Lien hypertexte visité" xfId="19900" builtinId="9" hidden="1"/>
    <cellStyle name="Lien hypertexte visité" xfId="20156" builtinId="9" hidden="1"/>
    <cellStyle name="Lien hypertexte visité" xfId="20412" builtinId="9" hidden="1"/>
    <cellStyle name="Lien hypertexte visité" xfId="20668" builtinId="9" hidden="1"/>
    <cellStyle name="Lien hypertexte visité" xfId="20924" builtinId="9" hidden="1"/>
    <cellStyle name="Lien hypertexte visité" xfId="21180" builtinId="9" hidden="1"/>
    <cellStyle name="Lien hypertexte visité" xfId="21436" builtinId="9" hidden="1"/>
    <cellStyle name="Lien hypertexte visité" xfId="21692" builtinId="9" hidden="1"/>
    <cellStyle name="Lien hypertexte visité" xfId="21948" builtinId="9" hidden="1"/>
    <cellStyle name="Lien hypertexte visité" xfId="22204" builtinId="9" hidden="1"/>
    <cellStyle name="Lien hypertexte visité" xfId="22460" builtinId="9" hidden="1"/>
    <cellStyle name="Lien hypertexte visité" xfId="22716" builtinId="9" hidden="1"/>
    <cellStyle name="Lien hypertexte visité" xfId="22972" builtinId="9" hidden="1"/>
    <cellStyle name="Lien hypertexte visité" xfId="23228" builtinId="9" hidden="1"/>
    <cellStyle name="Lien hypertexte visité" xfId="23484" builtinId="9" hidden="1"/>
    <cellStyle name="Lien hypertexte visité" xfId="23740" builtinId="9" hidden="1"/>
    <cellStyle name="Lien hypertexte visité" xfId="23996" builtinId="9" hidden="1"/>
    <cellStyle name="Lien hypertexte visité" xfId="24252" builtinId="9" hidden="1"/>
    <cellStyle name="Lien hypertexte visité" xfId="24508" builtinId="9" hidden="1"/>
    <cellStyle name="Lien hypertexte visité" xfId="24462" builtinId="9" hidden="1"/>
    <cellStyle name="Lien hypertexte visité" xfId="24206" builtinId="9" hidden="1"/>
    <cellStyle name="Lien hypertexte visité" xfId="23950" builtinId="9" hidden="1"/>
    <cellStyle name="Lien hypertexte visité" xfId="23694" builtinId="9" hidden="1"/>
    <cellStyle name="Lien hypertexte visité" xfId="23438" builtinId="9" hidden="1"/>
    <cellStyle name="Lien hypertexte visité" xfId="23182" builtinId="9" hidden="1"/>
    <cellStyle name="Lien hypertexte visité" xfId="22926" builtinId="9" hidden="1"/>
    <cellStyle name="Lien hypertexte visité" xfId="22670" builtinId="9" hidden="1"/>
    <cellStyle name="Lien hypertexte visité" xfId="22414" builtinId="9" hidden="1"/>
    <cellStyle name="Lien hypertexte visité" xfId="22158" builtinId="9" hidden="1"/>
    <cellStyle name="Lien hypertexte visité" xfId="21902" builtinId="9" hidden="1"/>
    <cellStyle name="Lien hypertexte visité" xfId="21646" builtinId="9" hidden="1"/>
    <cellStyle name="Lien hypertexte visité" xfId="21390" builtinId="9" hidden="1"/>
    <cellStyle name="Lien hypertexte visité" xfId="21134" builtinId="9" hidden="1"/>
    <cellStyle name="Lien hypertexte visité" xfId="20878" builtinId="9" hidden="1"/>
    <cellStyle name="Lien hypertexte visité" xfId="20622" builtinId="9" hidden="1"/>
    <cellStyle name="Lien hypertexte visité" xfId="20366" builtinId="9" hidden="1"/>
    <cellStyle name="Lien hypertexte visité" xfId="20110" builtinId="9" hidden="1"/>
    <cellStyle name="Lien hypertexte visité" xfId="19854" builtinId="9" hidden="1"/>
    <cellStyle name="Lien hypertexte visité" xfId="19598" builtinId="9" hidden="1"/>
    <cellStyle name="Lien hypertexte visité" xfId="19342" builtinId="9" hidden="1"/>
    <cellStyle name="Lien hypertexte visité" xfId="19086" builtinId="9" hidden="1"/>
    <cellStyle name="Lien hypertexte visité" xfId="18830" builtinId="9" hidden="1"/>
    <cellStyle name="Lien hypertexte visité" xfId="18574" builtinId="9" hidden="1"/>
    <cellStyle name="Lien hypertexte visité" xfId="18322" builtinId="9" hidden="1"/>
    <cellStyle name="Lien hypertexte visité" xfId="18079" builtinId="9" hidden="1"/>
    <cellStyle name="Lien hypertexte visité" xfId="17823" builtinId="9" hidden="1"/>
    <cellStyle name="Lien hypertexte visité" xfId="17567" builtinId="9" hidden="1"/>
    <cellStyle name="Lien hypertexte visité" xfId="17311" builtinId="9" hidden="1"/>
    <cellStyle name="Lien hypertexte visité" xfId="17055" builtinId="9" hidden="1"/>
    <cellStyle name="Lien hypertexte visité" xfId="16799" builtinId="9" hidden="1"/>
    <cellStyle name="Lien hypertexte visité" xfId="16543" builtinId="9" hidden="1"/>
    <cellStyle name="Lien hypertexte visité" xfId="16287" builtinId="9" hidden="1"/>
    <cellStyle name="Lien hypertexte visité" xfId="16031" builtinId="9" hidden="1"/>
    <cellStyle name="Lien hypertexte visité" xfId="15775" builtinId="9" hidden="1"/>
    <cellStyle name="Lien hypertexte visité" xfId="15519" builtinId="9" hidden="1"/>
    <cellStyle name="Lien hypertexte visité" xfId="15263" builtinId="9" hidden="1"/>
    <cellStyle name="Lien hypertexte visité" xfId="15007" builtinId="9" hidden="1"/>
    <cellStyle name="Lien hypertexte visité" xfId="14751" builtinId="9" hidden="1"/>
    <cellStyle name="Lien hypertexte visité" xfId="14505" builtinId="9" hidden="1"/>
    <cellStyle name="Lien hypertexte visité" xfId="14377" builtinId="9" hidden="1"/>
    <cellStyle name="Lien hypertexte visité" xfId="14249" builtinId="9" hidden="1"/>
    <cellStyle name="Lien hypertexte visité" xfId="14121" builtinId="9" hidden="1"/>
    <cellStyle name="Lien hypertexte visité" xfId="13993" builtinId="9" hidden="1"/>
    <cellStyle name="Lien hypertexte visité" xfId="13865" builtinId="9" hidden="1"/>
    <cellStyle name="Lien hypertexte visité" xfId="13737" builtinId="9" hidden="1"/>
    <cellStyle name="Lien hypertexte visité" xfId="13609" builtinId="9" hidden="1"/>
    <cellStyle name="Lien hypertexte visité" xfId="13481" builtinId="9" hidden="1"/>
    <cellStyle name="Lien hypertexte visité" xfId="13353" builtinId="9" hidden="1"/>
    <cellStyle name="Lien hypertexte visité" xfId="13225" builtinId="9" hidden="1"/>
    <cellStyle name="Lien hypertexte visité" xfId="13097" builtinId="9" hidden="1"/>
    <cellStyle name="Lien hypertexte visité" xfId="12969" builtinId="9" hidden="1"/>
    <cellStyle name="Lien hypertexte visité" xfId="12841" builtinId="9" hidden="1"/>
    <cellStyle name="Lien hypertexte visité" xfId="12713" builtinId="9" hidden="1"/>
    <cellStyle name="Lien hypertexte visité" xfId="12585" builtinId="9" hidden="1"/>
    <cellStyle name="Lien hypertexte visité" xfId="12457" builtinId="9" hidden="1"/>
    <cellStyle name="Lien hypertexte visité" xfId="12329" builtinId="9" hidden="1"/>
    <cellStyle name="Lien hypertexte visité" xfId="12201" builtinId="9" hidden="1"/>
    <cellStyle name="Lien hypertexte visité" xfId="12073" builtinId="9" hidden="1"/>
    <cellStyle name="Lien hypertexte visité" xfId="11945" builtinId="9" hidden="1"/>
    <cellStyle name="Lien hypertexte visité" xfId="11817" builtinId="9" hidden="1"/>
    <cellStyle name="Lien hypertexte visité" xfId="11689" builtinId="9" hidden="1"/>
    <cellStyle name="Lien hypertexte visité" xfId="11561" builtinId="9" hidden="1"/>
    <cellStyle name="Lien hypertexte visité" xfId="11433" builtinId="9" hidden="1"/>
    <cellStyle name="Lien hypertexte visité" xfId="11305" builtinId="9" hidden="1"/>
    <cellStyle name="Lien hypertexte visité" xfId="11177" builtinId="9" hidden="1"/>
    <cellStyle name="Lien hypertexte visité" xfId="11049" builtinId="9" hidden="1"/>
    <cellStyle name="Lien hypertexte visité" xfId="10921" builtinId="9" hidden="1"/>
    <cellStyle name="Lien hypertexte visité" xfId="10793" builtinId="9" hidden="1"/>
    <cellStyle name="Lien hypertexte visité" xfId="10665" builtinId="9" hidden="1"/>
    <cellStyle name="Lien hypertexte visité" xfId="10537" builtinId="9" hidden="1"/>
    <cellStyle name="Lien hypertexte visité" xfId="10409" builtinId="9" hidden="1"/>
    <cellStyle name="Lien hypertexte visité" xfId="10281" builtinId="9" hidden="1"/>
    <cellStyle name="Lien hypertexte visité" xfId="10153" builtinId="9" hidden="1"/>
    <cellStyle name="Lien hypertexte visité" xfId="10025" builtinId="9" hidden="1"/>
    <cellStyle name="Lien hypertexte visité" xfId="9897" builtinId="9" hidden="1"/>
    <cellStyle name="Lien hypertexte visité" xfId="9769" builtinId="9" hidden="1"/>
    <cellStyle name="Lien hypertexte visité" xfId="9641" builtinId="9" hidden="1"/>
    <cellStyle name="Lien hypertexte visité" xfId="9513" builtinId="9" hidden="1"/>
    <cellStyle name="Lien hypertexte visité" xfId="9385" builtinId="9" hidden="1"/>
    <cellStyle name="Lien hypertexte visité" xfId="9257" builtinId="9" hidden="1"/>
    <cellStyle name="Lien hypertexte visité" xfId="9129" builtinId="9" hidden="1"/>
    <cellStyle name="Lien hypertexte visité" xfId="9001" builtinId="9" hidden="1"/>
    <cellStyle name="Lien hypertexte visité" xfId="8873" builtinId="9" hidden="1"/>
    <cellStyle name="Lien hypertexte visité" xfId="8745" builtinId="9" hidden="1"/>
    <cellStyle name="Lien hypertexte visité" xfId="8617" builtinId="9" hidden="1"/>
    <cellStyle name="Lien hypertexte visité" xfId="8489" builtinId="9" hidden="1"/>
    <cellStyle name="Lien hypertexte visité" xfId="8361" builtinId="9" hidden="1"/>
    <cellStyle name="Lien hypertexte visité" xfId="8233" builtinId="9" hidden="1"/>
    <cellStyle name="Lien hypertexte visité" xfId="8105" builtinId="9" hidden="1"/>
    <cellStyle name="Lien hypertexte visité" xfId="7977" builtinId="9" hidden="1"/>
    <cellStyle name="Lien hypertexte visité" xfId="7849" builtinId="9" hidden="1"/>
    <cellStyle name="Lien hypertexte visité" xfId="7720" builtinId="9" hidden="1"/>
    <cellStyle name="Lien hypertexte visité" xfId="7592" builtinId="9" hidden="1"/>
    <cellStyle name="Lien hypertexte visité" xfId="7464" builtinId="9" hidden="1"/>
    <cellStyle name="Lien hypertexte visité" xfId="7336" builtinId="9" hidden="1"/>
    <cellStyle name="Lien hypertexte visité" xfId="7208" builtinId="9" hidden="1"/>
    <cellStyle name="Lien hypertexte visité" xfId="7080" builtinId="9" hidden="1"/>
    <cellStyle name="Lien hypertexte visité" xfId="6952" builtinId="9" hidden="1"/>
    <cellStyle name="Lien hypertexte visité" xfId="6824" builtinId="9" hidden="1"/>
    <cellStyle name="Lien hypertexte visité" xfId="6696" builtinId="9" hidden="1"/>
    <cellStyle name="Lien hypertexte visité" xfId="6568" builtinId="9" hidden="1"/>
    <cellStyle name="Lien hypertexte visité" xfId="6440" builtinId="9" hidden="1"/>
    <cellStyle name="Lien hypertexte visité" xfId="6312" builtinId="9" hidden="1"/>
    <cellStyle name="Lien hypertexte visité" xfId="6184" builtinId="9" hidden="1"/>
    <cellStyle name="Lien hypertexte visité" xfId="6056" builtinId="9" hidden="1"/>
    <cellStyle name="Lien hypertexte visité" xfId="5928" builtinId="9" hidden="1"/>
    <cellStyle name="Lien hypertexte visité" xfId="5800" builtinId="9" hidden="1"/>
    <cellStyle name="Lien hypertexte visité" xfId="5672" builtinId="9" hidden="1"/>
    <cellStyle name="Lien hypertexte visité" xfId="5544" builtinId="9" hidden="1"/>
    <cellStyle name="Lien hypertexte visité" xfId="5416" builtinId="9" hidden="1"/>
    <cellStyle name="Lien hypertexte visité" xfId="5288" builtinId="9" hidden="1"/>
    <cellStyle name="Lien hypertexte visité" xfId="5160" builtinId="9" hidden="1"/>
    <cellStyle name="Lien hypertexte visité" xfId="5032" builtinId="9" hidden="1"/>
    <cellStyle name="Lien hypertexte visité" xfId="4904" builtinId="9" hidden="1"/>
    <cellStyle name="Lien hypertexte visité" xfId="4776" builtinId="9" hidden="1"/>
    <cellStyle name="Lien hypertexte visité" xfId="4648" builtinId="9" hidden="1"/>
    <cellStyle name="Lien hypertexte visité" xfId="4520" builtinId="9" hidden="1"/>
    <cellStyle name="Lien hypertexte visité" xfId="4392" builtinId="9" hidden="1"/>
    <cellStyle name="Lien hypertexte visité" xfId="4264" builtinId="9" hidden="1"/>
    <cellStyle name="Lien hypertexte visité" xfId="4136" builtinId="9" hidden="1"/>
    <cellStyle name="Lien hypertexte visité" xfId="4008" builtinId="9" hidden="1"/>
    <cellStyle name="Lien hypertexte visité" xfId="3883" builtinId="9" hidden="1"/>
    <cellStyle name="Lien hypertexte visité" xfId="3755" builtinId="9" hidden="1"/>
    <cellStyle name="Lien hypertexte visité" xfId="3619" builtinId="9" hidden="1"/>
    <cellStyle name="Lien hypertexte visité" xfId="3490" builtinId="9" hidden="1"/>
    <cellStyle name="Lien hypertexte visité" xfId="3362" builtinId="9" hidden="1"/>
    <cellStyle name="Lien hypertexte visité" xfId="3234" builtinId="9" hidden="1"/>
    <cellStyle name="Lien hypertexte visité" xfId="3106" builtinId="9" hidden="1"/>
    <cellStyle name="Lien hypertexte visité" xfId="2978" builtinId="9" hidden="1"/>
    <cellStyle name="Lien hypertexte visité" xfId="2850" builtinId="9" hidden="1"/>
    <cellStyle name="Lien hypertexte visité" xfId="2722" builtinId="9" hidden="1"/>
    <cellStyle name="Lien hypertexte visité" xfId="2594" builtinId="9" hidden="1"/>
    <cellStyle name="Lien hypertexte visité" xfId="2466" builtinId="9" hidden="1"/>
    <cellStyle name="Lien hypertexte visité" xfId="2338" builtinId="9" hidden="1"/>
    <cellStyle name="Lien hypertexte visité" xfId="2210" builtinId="9" hidden="1"/>
    <cellStyle name="Lien hypertexte visité" xfId="2082" builtinId="9" hidden="1"/>
    <cellStyle name="Lien hypertexte visité" xfId="1954" builtinId="9" hidden="1"/>
    <cellStyle name="Lien hypertexte visité" xfId="1826" builtinId="9" hidden="1"/>
    <cellStyle name="Lien hypertexte visité" xfId="1698" builtinId="9" hidden="1"/>
    <cellStyle name="Lien hypertexte visité" xfId="1570" builtinId="9" hidden="1"/>
    <cellStyle name="Lien hypertexte visité" xfId="1441" builtinId="9" hidden="1"/>
    <cellStyle name="Lien hypertexte visité" xfId="1313" builtinId="9" hidden="1"/>
    <cellStyle name="Lien hypertexte visité" xfId="1185" builtinId="9" hidden="1"/>
    <cellStyle name="Lien hypertexte visité" xfId="951" builtinId="9" hidden="1"/>
    <cellStyle name="Lien hypertexte visité" xfId="695" builtinId="9" hidden="1"/>
    <cellStyle name="Lien hypertexte visité" xfId="439" builtinId="9" hidden="1"/>
    <cellStyle name="Lien hypertexte visité" xfId="183" builtinId="9" hidden="1"/>
    <cellStyle name="Lien hypertexte visité" xfId="103" builtinId="9" hidden="1"/>
    <cellStyle name="Lien hypertexte visité" xfId="299" builtinId="9" hidden="1"/>
    <cellStyle name="Lien hypertexte visité" xfId="555" builtinId="9" hidden="1"/>
    <cellStyle name="Lien hypertexte visité" xfId="9459" builtinId="9" hidden="1"/>
    <cellStyle name="Lien hypertexte visité" xfId="9419" builtinId="9" hidden="1"/>
    <cellStyle name="Lien hypertexte visité" xfId="9387" builtinId="9" hidden="1"/>
    <cellStyle name="Lien hypertexte visité" xfId="9347" builtinId="9" hidden="1"/>
    <cellStyle name="Lien hypertexte visité" xfId="9307" builtinId="9" hidden="1"/>
    <cellStyle name="Lien hypertexte visité" xfId="9275" builtinId="9" hidden="1"/>
    <cellStyle name="Lien hypertexte visité" xfId="9235" builtinId="9" hidden="1"/>
    <cellStyle name="Lien hypertexte visité" xfId="9203" builtinId="9" hidden="1"/>
    <cellStyle name="Lien hypertexte visité" xfId="9163" builtinId="9" hidden="1"/>
    <cellStyle name="Lien hypertexte visité" xfId="9131" builtinId="9" hidden="1"/>
    <cellStyle name="Lien hypertexte visité" xfId="9091" builtinId="9" hidden="1"/>
    <cellStyle name="Lien hypertexte visité" xfId="9051" builtinId="9" hidden="1"/>
    <cellStyle name="Lien hypertexte visité" xfId="9019" builtinId="9" hidden="1"/>
    <cellStyle name="Lien hypertexte visité" xfId="8979" builtinId="9" hidden="1"/>
    <cellStyle name="Lien hypertexte visité" xfId="8947" builtinId="9" hidden="1"/>
    <cellStyle name="Lien hypertexte visité" xfId="8907" builtinId="9" hidden="1"/>
    <cellStyle name="Lien hypertexte visité" xfId="8875" builtinId="9" hidden="1"/>
    <cellStyle name="Lien hypertexte visité" xfId="8835" builtinId="9" hidden="1"/>
    <cellStyle name="Lien hypertexte visité" xfId="8795" builtinId="9" hidden="1"/>
    <cellStyle name="Lien hypertexte visité" xfId="8763" builtinId="9" hidden="1"/>
    <cellStyle name="Lien hypertexte visité" xfId="8723" builtinId="9" hidden="1"/>
    <cellStyle name="Lien hypertexte visité" xfId="8691" builtinId="9" hidden="1"/>
    <cellStyle name="Lien hypertexte visité" xfId="8651" builtinId="9" hidden="1"/>
    <cellStyle name="Lien hypertexte visité" xfId="8619" builtinId="9" hidden="1"/>
    <cellStyle name="Lien hypertexte visité" xfId="8579" builtinId="9" hidden="1"/>
    <cellStyle name="Lien hypertexte visité" xfId="8539" builtinId="9" hidden="1"/>
    <cellStyle name="Lien hypertexte visité" xfId="8507" builtinId="9" hidden="1"/>
    <cellStyle name="Lien hypertexte visité" xfId="8467" builtinId="9" hidden="1"/>
    <cellStyle name="Lien hypertexte visité" xfId="8435" builtinId="9" hidden="1"/>
    <cellStyle name="Lien hypertexte visité" xfId="8395" builtinId="9" hidden="1"/>
    <cellStyle name="Lien hypertexte visité" xfId="8363" builtinId="9" hidden="1"/>
    <cellStyle name="Lien hypertexte visité" xfId="8323" builtinId="9" hidden="1"/>
    <cellStyle name="Lien hypertexte visité" xfId="8283" builtinId="9" hidden="1"/>
    <cellStyle name="Lien hypertexte visité" xfId="8251" builtinId="9" hidden="1"/>
    <cellStyle name="Lien hypertexte visité" xfId="8211" builtinId="9" hidden="1"/>
    <cellStyle name="Lien hypertexte visité" xfId="8179" builtinId="9" hidden="1"/>
    <cellStyle name="Lien hypertexte visité" xfId="8139" builtinId="9" hidden="1"/>
    <cellStyle name="Lien hypertexte visité" xfId="8107" builtinId="9" hidden="1"/>
    <cellStyle name="Lien hypertexte visité" xfId="8067" builtinId="9" hidden="1"/>
    <cellStyle name="Lien hypertexte visité" xfId="8027" builtinId="9" hidden="1"/>
    <cellStyle name="Lien hypertexte visité" xfId="7995" builtinId="9" hidden="1"/>
    <cellStyle name="Lien hypertexte visité" xfId="7955" builtinId="9" hidden="1"/>
    <cellStyle name="Lien hypertexte visité" xfId="7923" builtinId="9" hidden="1"/>
    <cellStyle name="Lien hypertexte visité" xfId="7883" builtinId="9" hidden="1"/>
    <cellStyle name="Lien hypertexte visité" xfId="7851" builtinId="9" hidden="1"/>
    <cellStyle name="Lien hypertexte visité" xfId="7811" builtinId="9" hidden="1"/>
    <cellStyle name="Lien hypertexte visité" xfId="7770" builtinId="9" hidden="1"/>
    <cellStyle name="Lien hypertexte visité" xfId="7738" builtinId="9" hidden="1"/>
    <cellStyle name="Lien hypertexte visité" xfId="7698" builtinId="9" hidden="1"/>
    <cellStyle name="Lien hypertexte visité" xfId="7666" builtinId="9" hidden="1"/>
    <cellStyle name="Lien hypertexte visité" xfId="7626" builtinId="9" hidden="1"/>
    <cellStyle name="Lien hypertexte visité" xfId="7594" builtinId="9" hidden="1"/>
    <cellStyle name="Lien hypertexte visité" xfId="7554" builtinId="9" hidden="1"/>
    <cellStyle name="Lien hypertexte visité" xfId="7514" builtinId="9" hidden="1"/>
    <cellStyle name="Lien hypertexte visité" xfId="7482" builtinId="9" hidden="1"/>
    <cellStyle name="Lien hypertexte visité" xfId="7442" builtinId="9" hidden="1"/>
    <cellStyle name="Lien hypertexte visité" xfId="7410" builtinId="9" hidden="1"/>
    <cellStyle name="Lien hypertexte visité" xfId="7370" builtinId="9" hidden="1"/>
    <cellStyle name="Lien hypertexte visité" xfId="7338" builtinId="9" hidden="1"/>
    <cellStyle name="Lien hypertexte visité" xfId="7298" builtinId="9" hidden="1"/>
    <cellStyle name="Lien hypertexte visité" xfId="7258" builtinId="9" hidden="1"/>
    <cellStyle name="Lien hypertexte visité" xfId="7226" builtinId="9" hidden="1"/>
    <cellStyle name="Lien hypertexte visité" xfId="7186" builtinId="9" hidden="1"/>
    <cellStyle name="Lien hypertexte visité" xfId="7154" builtinId="9" hidden="1"/>
    <cellStyle name="Lien hypertexte visité" xfId="7114" builtinId="9" hidden="1"/>
    <cellStyle name="Lien hypertexte visité" xfId="7082" builtinId="9" hidden="1"/>
    <cellStyle name="Lien hypertexte visité" xfId="7042" builtinId="9" hidden="1"/>
    <cellStyle name="Lien hypertexte visité" xfId="7002" builtinId="9" hidden="1"/>
    <cellStyle name="Lien hypertexte visité" xfId="6970" builtinId="9" hidden="1"/>
    <cellStyle name="Lien hypertexte visité" xfId="6930" builtinId="9" hidden="1"/>
    <cellStyle name="Lien hypertexte visité" xfId="6898" builtinId="9" hidden="1"/>
    <cellStyle name="Lien hypertexte visité" xfId="6858" builtinId="9" hidden="1"/>
    <cellStyle name="Lien hypertexte visité" xfId="6826" builtinId="9" hidden="1"/>
    <cellStyle name="Lien hypertexte visité" xfId="6786" builtinId="9" hidden="1"/>
    <cellStyle name="Lien hypertexte visité" xfId="6746" builtinId="9" hidden="1"/>
    <cellStyle name="Lien hypertexte visité" xfId="6714" builtinId="9" hidden="1"/>
    <cellStyle name="Lien hypertexte visité" xfId="6674" builtinId="9" hidden="1"/>
    <cellStyle name="Lien hypertexte visité" xfId="6642" builtinId="9" hidden="1"/>
    <cellStyle name="Lien hypertexte visité" xfId="6602" builtinId="9" hidden="1"/>
    <cellStyle name="Lien hypertexte visité" xfId="6570" builtinId="9" hidden="1"/>
    <cellStyle name="Lien hypertexte visité" xfId="6530" builtinId="9" hidden="1"/>
    <cellStyle name="Lien hypertexte visité" xfId="6490" builtinId="9" hidden="1"/>
    <cellStyle name="Lien hypertexte visité" xfId="6458" builtinId="9" hidden="1"/>
    <cellStyle name="Lien hypertexte visité" xfId="6418" builtinId="9" hidden="1"/>
    <cellStyle name="Lien hypertexte visité" xfId="6386" builtinId="9" hidden="1"/>
    <cellStyle name="Lien hypertexte visité" xfId="6346" builtinId="9" hidden="1"/>
    <cellStyle name="Lien hypertexte visité" xfId="6314" builtinId="9" hidden="1"/>
    <cellStyle name="Lien hypertexte visité" xfId="6274" builtinId="9" hidden="1"/>
    <cellStyle name="Lien hypertexte visité" xfId="6234" builtinId="9" hidden="1"/>
    <cellStyle name="Lien hypertexte visité" xfId="6202" builtinId="9" hidden="1"/>
    <cellStyle name="Lien hypertexte visité" xfId="6162" builtinId="9" hidden="1"/>
    <cellStyle name="Lien hypertexte visité" xfId="6130" builtinId="9" hidden="1"/>
    <cellStyle name="Lien hypertexte visité" xfId="6090" builtinId="9" hidden="1"/>
    <cellStyle name="Lien hypertexte visité" xfId="6058" builtinId="9" hidden="1"/>
    <cellStyle name="Lien hypertexte visité" xfId="6018" builtinId="9" hidden="1"/>
    <cellStyle name="Lien hypertexte visité" xfId="5978" builtinId="9" hidden="1"/>
    <cellStyle name="Lien hypertexte visité" xfId="5946" builtinId="9" hidden="1"/>
    <cellStyle name="Lien hypertexte visité" xfId="5906" builtinId="9" hidden="1"/>
    <cellStyle name="Lien hypertexte visité" xfId="5874" builtinId="9" hidden="1"/>
    <cellStyle name="Lien hypertexte visité" xfId="5834" builtinId="9" hidden="1"/>
    <cellStyle name="Lien hypertexte visité" xfId="5802" builtinId="9" hidden="1"/>
    <cellStyle name="Lien hypertexte visité" xfId="5762" builtinId="9" hidden="1"/>
    <cellStyle name="Lien hypertexte visité" xfId="5722" builtinId="9" hidden="1"/>
    <cellStyle name="Lien hypertexte visité" xfId="5690" builtinId="9" hidden="1"/>
    <cellStyle name="Lien hypertexte visité" xfId="5650" builtinId="9" hidden="1"/>
    <cellStyle name="Lien hypertexte visité" xfId="5618" builtinId="9" hidden="1"/>
    <cellStyle name="Lien hypertexte visité" xfId="5578" builtinId="9" hidden="1"/>
    <cellStyle name="Lien hypertexte visité" xfId="5546" builtinId="9" hidden="1"/>
    <cellStyle name="Lien hypertexte visité" xfId="5506" builtinId="9" hidden="1"/>
    <cellStyle name="Lien hypertexte visité" xfId="5466" builtinId="9" hidden="1"/>
    <cellStyle name="Lien hypertexte visité" xfId="5434" builtinId="9" hidden="1"/>
    <cellStyle name="Lien hypertexte visité" xfId="5394" builtinId="9" hidden="1"/>
    <cellStyle name="Lien hypertexte visité" xfId="5362" builtinId="9" hidden="1"/>
    <cellStyle name="Lien hypertexte visité" xfId="5322" builtinId="9" hidden="1"/>
    <cellStyle name="Lien hypertexte visité" xfId="5290" builtinId="9" hidden="1"/>
    <cellStyle name="Lien hypertexte visité" xfId="5250" builtinId="9" hidden="1"/>
    <cellStyle name="Lien hypertexte visité" xfId="5210" builtinId="9" hidden="1"/>
    <cellStyle name="Lien hypertexte visité" xfId="5178" builtinId="9" hidden="1"/>
    <cellStyle name="Lien hypertexte visité" xfId="5138" builtinId="9" hidden="1"/>
    <cellStyle name="Lien hypertexte visité" xfId="5106" builtinId="9" hidden="1"/>
    <cellStyle name="Lien hypertexte visité" xfId="5066" builtinId="9" hidden="1"/>
    <cellStyle name="Lien hypertexte visité" xfId="5034" builtinId="9" hidden="1"/>
    <cellStyle name="Lien hypertexte visité" xfId="4994" builtinId="9" hidden="1"/>
    <cellStyle name="Lien hypertexte visité" xfId="4954" builtinId="9" hidden="1"/>
    <cellStyle name="Lien hypertexte visité" xfId="4922" builtinId="9" hidden="1"/>
    <cellStyle name="Lien hypertexte visité" xfId="4882" builtinId="9" hidden="1"/>
    <cellStyle name="Lien hypertexte visité" xfId="4850" builtinId="9" hidden="1"/>
    <cellStyle name="Lien hypertexte visité" xfId="4810" builtinId="9" hidden="1"/>
    <cellStyle name="Lien hypertexte visité" xfId="4778" builtinId="9" hidden="1"/>
    <cellStyle name="Lien hypertexte visité" xfId="4738" builtinId="9" hidden="1"/>
    <cellStyle name="Lien hypertexte visité" xfId="4698" builtinId="9" hidden="1"/>
    <cellStyle name="Lien hypertexte visité" xfId="4666" builtinId="9" hidden="1"/>
    <cellStyle name="Lien hypertexte visité" xfId="4626" builtinId="9" hidden="1"/>
    <cellStyle name="Lien hypertexte visité" xfId="4594" builtinId="9" hidden="1"/>
    <cellStyle name="Lien hypertexte visité" xfId="4554" builtinId="9" hidden="1"/>
    <cellStyle name="Lien hypertexte visité" xfId="4522" builtinId="9" hidden="1"/>
    <cellStyle name="Lien hypertexte visité" xfId="4482" builtinId="9" hidden="1"/>
    <cellStyle name="Lien hypertexte visité" xfId="4442" builtinId="9" hidden="1"/>
    <cellStyle name="Lien hypertexte visité" xfId="4410" builtinId="9" hidden="1"/>
    <cellStyle name="Lien hypertexte visité" xfId="4370" builtinId="9" hidden="1"/>
    <cellStyle name="Lien hypertexte visité" xfId="4338" builtinId="9" hidden="1"/>
    <cellStyle name="Lien hypertexte visité" xfId="4298" builtinId="9" hidden="1"/>
    <cellStyle name="Lien hypertexte visité" xfId="4266" builtinId="9" hidden="1"/>
    <cellStyle name="Lien hypertexte visité" xfId="4226" builtinId="9" hidden="1"/>
    <cellStyle name="Lien hypertexte visité" xfId="4186" builtinId="9" hidden="1"/>
    <cellStyle name="Lien hypertexte visité" xfId="4154" builtinId="9" hidden="1"/>
    <cellStyle name="Lien hypertexte visité" xfId="4114" builtinId="9" hidden="1"/>
    <cellStyle name="Lien hypertexte visité" xfId="4082" builtinId="9" hidden="1"/>
    <cellStyle name="Lien hypertexte visité" xfId="4042" builtinId="9" hidden="1"/>
    <cellStyle name="Lien hypertexte visité" xfId="4010" builtinId="9" hidden="1"/>
    <cellStyle name="Lien hypertexte visité" xfId="3970" builtinId="9" hidden="1"/>
    <cellStyle name="Lien hypertexte visité" xfId="3930" builtinId="9" hidden="1"/>
    <cellStyle name="Lien hypertexte visité" xfId="3902" builtinId="9" hidden="1"/>
    <cellStyle name="Lien hypertexte visité" xfId="3861" builtinId="9" hidden="1"/>
    <cellStyle name="Lien hypertexte visité" xfId="3829" builtinId="9" hidden="1"/>
    <cellStyle name="Lien hypertexte visité" xfId="3789" builtinId="9" hidden="1"/>
    <cellStyle name="Lien hypertexte visité" xfId="3757" builtinId="9" hidden="1"/>
    <cellStyle name="Lien hypertexte visité" xfId="3717" builtinId="9" hidden="1"/>
    <cellStyle name="Lien hypertexte visité" xfId="3676" builtinId="9" hidden="1"/>
    <cellStyle name="Lien hypertexte visité" xfId="3637" builtinId="9" hidden="1"/>
    <cellStyle name="Lien hypertexte visité" xfId="3597" builtinId="9" hidden="1"/>
    <cellStyle name="Lien hypertexte visité" xfId="3565" builtinId="9" hidden="1"/>
    <cellStyle name="Lien hypertexte visité" xfId="3524" builtinId="9" hidden="1"/>
    <cellStyle name="Lien hypertexte visité" xfId="3492" builtinId="9" hidden="1"/>
    <cellStyle name="Lien hypertexte visité" xfId="3452" builtinId="9" hidden="1"/>
    <cellStyle name="Lien hypertexte visité" xfId="3412" builtinId="9" hidden="1"/>
    <cellStyle name="Lien hypertexte visité" xfId="3380" builtinId="9" hidden="1"/>
    <cellStyle name="Lien hypertexte visité" xfId="3340" builtinId="9" hidden="1"/>
    <cellStyle name="Lien hypertexte visité" xfId="3308" builtinId="9" hidden="1"/>
    <cellStyle name="Lien hypertexte visité" xfId="3268" builtinId="9" hidden="1"/>
    <cellStyle name="Lien hypertexte visité" xfId="3236" builtinId="9" hidden="1"/>
    <cellStyle name="Lien hypertexte visité" xfId="3196" builtinId="9" hidden="1"/>
    <cellStyle name="Lien hypertexte visité" xfId="3156" builtinId="9" hidden="1"/>
    <cellStyle name="Lien hypertexte visité" xfId="3124" builtinId="9" hidden="1"/>
    <cellStyle name="Lien hypertexte visité" xfId="3084" builtinId="9" hidden="1"/>
    <cellStyle name="Lien hypertexte visité" xfId="3052" builtinId="9" hidden="1"/>
    <cellStyle name="Lien hypertexte visité" xfId="3012" builtinId="9" hidden="1"/>
    <cellStyle name="Lien hypertexte visité" xfId="2980" builtinId="9" hidden="1"/>
    <cellStyle name="Lien hypertexte visité" xfId="2940" builtinId="9" hidden="1"/>
    <cellStyle name="Lien hypertexte visité" xfId="2900" builtinId="9" hidden="1"/>
    <cellStyle name="Lien hypertexte visité" xfId="2868" builtinId="9" hidden="1"/>
    <cellStyle name="Lien hypertexte visité" xfId="2828" builtinId="9" hidden="1"/>
    <cellStyle name="Lien hypertexte visité" xfId="2796" builtinId="9" hidden="1"/>
    <cellStyle name="Lien hypertexte visité" xfId="2756" builtinId="9" hidden="1"/>
    <cellStyle name="Lien hypertexte visité" xfId="2724" builtinId="9" hidden="1"/>
    <cellStyle name="Lien hypertexte visité" xfId="2684" builtinId="9" hidden="1"/>
    <cellStyle name="Lien hypertexte visité" xfId="2644" builtinId="9" hidden="1"/>
    <cellStyle name="Lien hypertexte visité" xfId="2612" builtinId="9" hidden="1"/>
    <cellStyle name="Lien hypertexte visité" xfId="2572" builtinId="9" hidden="1"/>
    <cellStyle name="Lien hypertexte visité" xfId="2540" builtinId="9" hidden="1"/>
    <cellStyle name="Lien hypertexte visité" xfId="2500" builtinId="9" hidden="1"/>
    <cellStyle name="Lien hypertexte visité" xfId="2468" builtinId="9" hidden="1"/>
    <cellStyle name="Lien hypertexte visité" xfId="2428" builtinId="9" hidden="1"/>
    <cellStyle name="Lien hypertexte visité" xfId="2388" builtinId="9" hidden="1"/>
    <cellStyle name="Lien hypertexte visité" xfId="2356" builtinId="9" hidden="1"/>
    <cellStyle name="Lien hypertexte visité" xfId="2316" builtinId="9" hidden="1"/>
    <cellStyle name="Lien hypertexte visité" xfId="2284" builtinId="9" hidden="1"/>
    <cellStyle name="Lien hypertexte visité" xfId="2244" builtinId="9" hidden="1"/>
    <cellStyle name="Lien hypertexte visité" xfId="2212" builtinId="9" hidden="1"/>
    <cellStyle name="Lien hypertexte visité" xfId="2172" builtinId="9" hidden="1"/>
    <cellStyle name="Lien hypertexte visité" xfId="2132" builtinId="9" hidden="1"/>
    <cellStyle name="Lien hypertexte visité" xfId="2100" builtinId="9" hidden="1"/>
    <cellStyle name="Lien hypertexte visité" xfId="2060" builtinId="9" hidden="1"/>
    <cellStyle name="Lien hypertexte visité" xfId="2028" builtinId="9" hidden="1"/>
    <cellStyle name="Lien hypertexte visité" xfId="1988" builtinId="9" hidden="1"/>
    <cellStyle name="Lien hypertexte visité" xfId="1956" builtinId="9" hidden="1"/>
    <cellStyle name="Lien hypertexte visité" xfId="1916" builtinId="9" hidden="1"/>
    <cellStyle name="Lien hypertexte visité" xfId="1876" builtinId="9" hidden="1"/>
    <cellStyle name="Lien hypertexte visité" xfId="1844" builtinId="9" hidden="1"/>
    <cellStyle name="Lien hypertexte visité" xfId="1804" builtinId="9" hidden="1"/>
    <cellStyle name="Lien hypertexte visité" xfId="1772" builtinId="9" hidden="1"/>
    <cellStyle name="Lien hypertexte visité" xfId="1732" builtinId="9" hidden="1"/>
    <cellStyle name="Lien hypertexte visité" xfId="1700" builtinId="9" hidden="1"/>
    <cellStyle name="Lien hypertexte visité" xfId="1660" builtinId="9" hidden="1"/>
    <cellStyle name="Lien hypertexte visité" xfId="1620" builtinId="9" hidden="1"/>
    <cellStyle name="Lien hypertexte visité" xfId="1588" builtinId="9" hidden="1"/>
    <cellStyle name="Lien hypertexte visité" xfId="1548" builtinId="9" hidden="1"/>
    <cellStyle name="Lien hypertexte visité" xfId="1516" builtinId="9" hidden="1"/>
    <cellStyle name="Lien hypertexte visité" xfId="1475" builtinId="9" hidden="1"/>
    <cellStyle name="Lien hypertexte visité" xfId="1443" builtinId="9" hidden="1"/>
    <cellStyle name="Lien hypertexte visité" xfId="1403" builtinId="9" hidden="1"/>
    <cellStyle name="Lien hypertexte visité" xfId="1363" builtinId="9" hidden="1"/>
    <cellStyle name="Lien hypertexte visité" xfId="1331" builtinId="9" hidden="1"/>
    <cellStyle name="Lien hypertexte visité" xfId="1291" builtinId="9" hidden="1"/>
    <cellStyle name="Lien hypertexte visité" xfId="1259" builtinId="9" hidden="1"/>
    <cellStyle name="Lien hypertexte visité" xfId="1219" builtinId="9" hidden="1"/>
    <cellStyle name="Lien hypertexte visité" xfId="1187" builtinId="9" hidden="1"/>
    <cellStyle name="Lien hypertexte visité" xfId="1131" builtinId="9" hidden="1"/>
    <cellStyle name="Lien hypertexte visité" xfId="1051" builtinId="9" hidden="1"/>
    <cellStyle name="Lien hypertexte visité" xfId="987" builtinId="9" hidden="1"/>
    <cellStyle name="Lien hypertexte visité" xfId="907" builtinId="9" hidden="1"/>
    <cellStyle name="Lien hypertexte visité" xfId="843" builtinId="9" hidden="1"/>
    <cellStyle name="Lien hypertexte visité" xfId="763" builtinId="9" hidden="1"/>
    <cellStyle name="Lien hypertexte visité" xfId="699" builtinId="9" hidden="1"/>
    <cellStyle name="Lien hypertexte visité" xfId="683" builtinId="9" hidden="1"/>
    <cellStyle name="Lien hypertexte visité" xfId="1179" builtinId="9" hidden="1"/>
    <cellStyle name="Lien hypertexte visité" xfId="1435" builtinId="9" hidden="1"/>
    <cellStyle name="Lien hypertexte visité" xfId="1692" builtinId="9" hidden="1"/>
    <cellStyle name="Lien hypertexte visité" xfId="1948" builtinId="9" hidden="1"/>
    <cellStyle name="Lien hypertexte visité" xfId="2205" builtinId="9" hidden="1"/>
    <cellStyle name="Lien hypertexte visité" xfId="2460" builtinId="9" hidden="1"/>
    <cellStyle name="Lien hypertexte visité" xfId="2716" builtinId="9" hidden="1"/>
    <cellStyle name="Lien hypertexte visité" xfId="2972" builtinId="9" hidden="1"/>
    <cellStyle name="Lien hypertexte visité" xfId="3228" builtinId="9" hidden="1"/>
    <cellStyle name="Lien hypertexte visité" xfId="3484" builtinId="9" hidden="1"/>
    <cellStyle name="Lien hypertexte visité" xfId="3749" builtinId="9" hidden="1"/>
    <cellStyle name="Lien hypertexte visité" xfId="4002" builtinId="9" hidden="1"/>
    <cellStyle name="Lien hypertexte visité" xfId="4258" builtinId="9" hidden="1"/>
    <cellStyle name="Lien hypertexte visité" xfId="4514" builtinId="9" hidden="1"/>
    <cellStyle name="Lien hypertexte visité" xfId="4770" builtinId="9" hidden="1"/>
    <cellStyle name="Lien hypertexte visité" xfId="5026" builtinId="9" hidden="1"/>
    <cellStyle name="Lien hypertexte visité" xfId="5282" builtinId="9" hidden="1"/>
    <cellStyle name="Lien hypertexte visité" xfId="5538" builtinId="9" hidden="1"/>
    <cellStyle name="Lien hypertexte visité" xfId="5794" builtinId="9" hidden="1"/>
    <cellStyle name="Lien hypertexte visité" xfId="6050" builtinId="9" hidden="1"/>
    <cellStyle name="Lien hypertexte visité" xfId="6306" builtinId="9" hidden="1"/>
    <cellStyle name="Lien hypertexte visité" xfId="6562" builtinId="9" hidden="1"/>
    <cellStyle name="Lien hypertexte visité" xfId="6818" builtinId="9" hidden="1"/>
    <cellStyle name="Lien hypertexte visité" xfId="7074" builtinId="9" hidden="1"/>
    <cellStyle name="Lien hypertexte visité" xfId="7330" builtinId="9" hidden="1"/>
    <cellStyle name="Lien hypertexte visité" xfId="7586" builtinId="9" hidden="1"/>
    <cellStyle name="Lien hypertexte visité" xfId="7843" builtinId="9" hidden="1"/>
    <cellStyle name="Lien hypertexte visité" xfId="8099" builtinId="9" hidden="1"/>
    <cellStyle name="Lien hypertexte visité" xfId="8355" builtinId="9" hidden="1"/>
    <cellStyle name="Lien hypertexte visité" xfId="8611" builtinId="9" hidden="1"/>
    <cellStyle name="Lien hypertexte visité" xfId="8867" builtinId="9" hidden="1"/>
    <cellStyle name="Lien hypertexte visité" xfId="9123" builtinId="9" hidden="1"/>
    <cellStyle name="Lien hypertexte visité" xfId="9379" builtinId="9" hidden="1"/>
    <cellStyle name="Lien hypertexte visité" xfId="12891" builtinId="9" hidden="1"/>
    <cellStyle name="Lien hypertexte visité" xfId="12859" builtinId="9" hidden="1"/>
    <cellStyle name="Lien hypertexte visité" xfId="12819" builtinId="9" hidden="1"/>
    <cellStyle name="Lien hypertexte visité" xfId="12787" builtinId="9" hidden="1"/>
    <cellStyle name="Lien hypertexte visité" xfId="12755" builtinId="9" hidden="1"/>
    <cellStyle name="Lien hypertexte visité" xfId="12723" builtinId="9" hidden="1"/>
    <cellStyle name="Lien hypertexte visité" xfId="12683" builtinId="9" hidden="1"/>
    <cellStyle name="Lien hypertexte visité" xfId="12651" builtinId="9" hidden="1"/>
    <cellStyle name="Lien hypertexte visité" xfId="12619" builtinId="9" hidden="1"/>
    <cellStyle name="Lien hypertexte visité" xfId="12587" builtinId="9" hidden="1"/>
    <cellStyle name="Lien hypertexte visité" xfId="12547" builtinId="9" hidden="1"/>
    <cellStyle name="Lien hypertexte visité" xfId="12515" builtinId="9" hidden="1"/>
    <cellStyle name="Lien hypertexte visité" xfId="12483" builtinId="9" hidden="1"/>
    <cellStyle name="Lien hypertexte visité" xfId="12443" builtinId="9" hidden="1"/>
    <cellStyle name="Lien hypertexte visité" xfId="12411" builtinId="9" hidden="1"/>
    <cellStyle name="Lien hypertexte visité" xfId="12379" builtinId="9" hidden="1"/>
    <cellStyle name="Lien hypertexte visité" xfId="12347" builtinId="9" hidden="1"/>
    <cellStyle name="Lien hypertexte visité" xfId="12307" builtinId="9" hidden="1"/>
    <cellStyle name="Lien hypertexte visité" xfId="12275" builtinId="9" hidden="1"/>
    <cellStyle name="Lien hypertexte visité" xfId="12243" builtinId="9" hidden="1"/>
    <cellStyle name="Lien hypertexte visité" xfId="12211" builtinId="9" hidden="1"/>
    <cellStyle name="Lien hypertexte visité" xfId="12171" builtinId="9" hidden="1"/>
    <cellStyle name="Lien hypertexte visité" xfId="12139" builtinId="9" hidden="1"/>
    <cellStyle name="Lien hypertexte visité" xfId="12107" builtinId="9" hidden="1"/>
    <cellStyle name="Lien hypertexte visité" xfId="12075" builtinId="9" hidden="1"/>
    <cellStyle name="Lien hypertexte visité" xfId="12035" builtinId="9" hidden="1"/>
    <cellStyle name="Lien hypertexte visité" xfId="12003" builtinId="9" hidden="1"/>
    <cellStyle name="Lien hypertexte visité" xfId="11971" builtinId="9" hidden="1"/>
    <cellStyle name="Lien hypertexte visité" xfId="11931" builtinId="9" hidden="1"/>
    <cellStyle name="Lien hypertexte visité" xfId="11899" builtinId="9" hidden="1"/>
    <cellStyle name="Lien hypertexte visité" xfId="11867" builtinId="9" hidden="1"/>
    <cellStyle name="Lien hypertexte visité" xfId="11835" builtinId="9" hidden="1"/>
    <cellStyle name="Lien hypertexte visité" xfId="11795" builtinId="9" hidden="1"/>
    <cellStyle name="Lien hypertexte visité" xfId="11763" builtinId="9" hidden="1"/>
    <cellStyle name="Lien hypertexte visité" xfId="11731" builtinId="9" hidden="1"/>
    <cellStyle name="Lien hypertexte visité" xfId="11699" builtinId="9" hidden="1"/>
    <cellStyle name="Lien hypertexte visité" xfId="11659" builtinId="9" hidden="1"/>
    <cellStyle name="Lien hypertexte visité" xfId="11627" builtinId="9" hidden="1"/>
    <cellStyle name="Lien hypertexte visité" xfId="11595" builtinId="9" hidden="1"/>
    <cellStyle name="Lien hypertexte visité" xfId="11563" builtinId="9" hidden="1"/>
    <cellStyle name="Lien hypertexte visité" xfId="11523" builtinId="9" hidden="1"/>
    <cellStyle name="Lien hypertexte visité" xfId="11491" builtinId="9" hidden="1"/>
    <cellStyle name="Lien hypertexte visité" xfId="11459" builtinId="9" hidden="1"/>
    <cellStyle name="Lien hypertexte visité" xfId="11419" builtinId="9" hidden="1"/>
    <cellStyle name="Lien hypertexte visité" xfId="11387" builtinId="9" hidden="1"/>
    <cellStyle name="Lien hypertexte visité" xfId="11355" builtinId="9" hidden="1"/>
    <cellStyle name="Lien hypertexte visité" xfId="11323" builtinId="9" hidden="1"/>
    <cellStyle name="Lien hypertexte visité" xfId="11283" builtinId="9" hidden="1"/>
    <cellStyle name="Lien hypertexte visité" xfId="11251" builtinId="9" hidden="1"/>
    <cellStyle name="Lien hypertexte visité" xfId="11219" builtinId="9" hidden="1"/>
    <cellStyle name="Lien hypertexte visité" xfId="11187" builtinId="9" hidden="1"/>
    <cellStyle name="Lien hypertexte visité" xfId="11147" builtinId="9" hidden="1"/>
    <cellStyle name="Lien hypertexte visité" xfId="11115" builtinId="9" hidden="1"/>
    <cellStyle name="Lien hypertexte visité" xfId="11083" builtinId="9" hidden="1"/>
    <cellStyle name="Lien hypertexte visité" xfId="11051" builtinId="9" hidden="1"/>
    <cellStyle name="Lien hypertexte visité" xfId="11011" builtinId="9" hidden="1"/>
    <cellStyle name="Lien hypertexte visité" xfId="10979" builtinId="9" hidden="1"/>
    <cellStyle name="Lien hypertexte visité" xfId="10947" builtinId="9" hidden="1"/>
    <cellStyle name="Lien hypertexte visité" xfId="10907" builtinId="9" hidden="1"/>
    <cellStyle name="Lien hypertexte visité" xfId="10875" builtinId="9" hidden="1"/>
    <cellStyle name="Lien hypertexte visité" xfId="10843" builtinId="9" hidden="1"/>
    <cellStyle name="Lien hypertexte visité" xfId="10811" builtinId="9" hidden="1"/>
    <cellStyle name="Lien hypertexte visité" xfId="10771" builtinId="9" hidden="1"/>
    <cellStyle name="Lien hypertexte visité" xfId="10739" builtinId="9" hidden="1"/>
    <cellStyle name="Lien hypertexte visité" xfId="10707" builtinId="9" hidden="1"/>
    <cellStyle name="Lien hypertexte visité" xfId="10675" builtinId="9" hidden="1"/>
    <cellStyle name="Lien hypertexte visité" xfId="10635" builtinId="9" hidden="1"/>
    <cellStyle name="Lien hypertexte visité" xfId="10603" builtinId="9" hidden="1"/>
    <cellStyle name="Lien hypertexte visité" xfId="10571" builtinId="9" hidden="1"/>
    <cellStyle name="Lien hypertexte visité" xfId="10539" builtinId="9" hidden="1"/>
    <cellStyle name="Lien hypertexte visité" xfId="10499" builtinId="9" hidden="1"/>
    <cellStyle name="Lien hypertexte visité" xfId="10467" builtinId="9" hidden="1"/>
    <cellStyle name="Lien hypertexte visité" xfId="10435" builtinId="9" hidden="1"/>
    <cellStyle name="Lien hypertexte visité" xfId="10395" builtinId="9" hidden="1"/>
    <cellStyle name="Lien hypertexte visité" xfId="10363" builtinId="9" hidden="1"/>
    <cellStyle name="Lien hypertexte visité" xfId="10331" builtinId="9" hidden="1"/>
    <cellStyle name="Lien hypertexte visité" xfId="10299" builtinId="9" hidden="1"/>
    <cellStyle name="Lien hypertexte visité" xfId="10259" builtinId="9" hidden="1"/>
    <cellStyle name="Lien hypertexte visité" xfId="10227" builtinId="9" hidden="1"/>
    <cellStyle name="Lien hypertexte visité" xfId="10195" builtinId="9" hidden="1"/>
    <cellStyle name="Lien hypertexte visité" xfId="10163" builtinId="9" hidden="1"/>
    <cellStyle name="Lien hypertexte visité" xfId="10123" builtinId="9" hidden="1"/>
    <cellStyle name="Lien hypertexte visité" xfId="10091" builtinId="9" hidden="1"/>
    <cellStyle name="Lien hypertexte visité" xfId="10059" builtinId="9" hidden="1"/>
    <cellStyle name="Lien hypertexte visité" xfId="10027" builtinId="9" hidden="1"/>
    <cellStyle name="Lien hypertexte visité" xfId="9987" builtinId="9" hidden="1"/>
    <cellStyle name="Lien hypertexte visité" xfId="9955" builtinId="9" hidden="1"/>
    <cellStyle name="Lien hypertexte visité" xfId="9923" builtinId="9" hidden="1"/>
    <cellStyle name="Lien hypertexte visité" xfId="9883" builtinId="9" hidden="1"/>
    <cellStyle name="Lien hypertexte visité" xfId="9851" builtinId="9" hidden="1"/>
    <cellStyle name="Lien hypertexte visité" xfId="9819" builtinId="9" hidden="1"/>
    <cellStyle name="Lien hypertexte visité" xfId="9787" builtinId="9" hidden="1"/>
    <cellStyle name="Lien hypertexte visité" xfId="9747" builtinId="9" hidden="1"/>
    <cellStyle name="Lien hypertexte visité" xfId="9715" builtinId="9" hidden="1"/>
    <cellStyle name="Lien hypertexte visité" xfId="9683" builtinId="9" hidden="1"/>
    <cellStyle name="Lien hypertexte visité" xfId="9651" builtinId="9" hidden="1"/>
    <cellStyle name="Lien hypertexte visité" xfId="9611" builtinId="9" hidden="1"/>
    <cellStyle name="Lien hypertexte visité" xfId="9579" builtinId="9" hidden="1"/>
    <cellStyle name="Lien hypertexte visité" xfId="9547" builtinId="9" hidden="1"/>
    <cellStyle name="Lien hypertexte visité" xfId="9515" builtinId="9" hidden="1"/>
    <cellStyle name="Lien hypertexte visité" xfId="9507" builtinId="9" hidden="1"/>
    <cellStyle name="Lien hypertexte visité" xfId="10019" builtinId="9" hidden="1"/>
    <cellStyle name="Lien hypertexte visité" xfId="10531" builtinId="9" hidden="1"/>
    <cellStyle name="Lien hypertexte visité" xfId="11043" builtinId="9" hidden="1"/>
    <cellStyle name="Lien hypertexte visité" xfId="11555" builtinId="9" hidden="1"/>
    <cellStyle name="Lien hypertexte visité" xfId="12067" builtinId="9" hidden="1"/>
    <cellStyle name="Lien hypertexte visité" xfId="12579" builtinId="9" hidden="1"/>
    <cellStyle name="Lien hypertexte visité" xfId="14451" builtinId="9" hidden="1"/>
    <cellStyle name="Lien hypertexte visité" xfId="14419" builtinId="9" hidden="1"/>
    <cellStyle name="Lien hypertexte visité" xfId="14387" builtinId="9" hidden="1"/>
    <cellStyle name="Lien hypertexte visité" xfId="14347" builtinId="9" hidden="1"/>
    <cellStyle name="Lien hypertexte visité" xfId="14315" builtinId="9" hidden="1"/>
    <cellStyle name="Lien hypertexte visité" xfId="14283" builtinId="9" hidden="1"/>
    <cellStyle name="Lien hypertexte visité" xfId="14251" builtinId="9" hidden="1"/>
    <cellStyle name="Lien hypertexte visité" xfId="14219" builtinId="9" hidden="1"/>
    <cellStyle name="Lien hypertexte visité" xfId="14187" builtinId="9" hidden="1"/>
    <cellStyle name="Lien hypertexte visité" xfId="14155" builtinId="9" hidden="1"/>
    <cellStyle name="Lien hypertexte visité" xfId="14123" builtinId="9" hidden="1"/>
    <cellStyle name="Lien hypertexte visité" xfId="14083" builtinId="9" hidden="1"/>
    <cellStyle name="Lien hypertexte visité" xfId="14051" builtinId="9" hidden="1"/>
    <cellStyle name="Lien hypertexte visité" xfId="14019" builtinId="9" hidden="1"/>
    <cellStyle name="Lien hypertexte visité" xfId="13987" builtinId="9" hidden="1"/>
    <cellStyle name="Lien hypertexte visité" xfId="13955" builtinId="9" hidden="1"/>
    <cellStyle name="Lien hypertexte visité" xfId="13923" builtinId="9" hidden="1"/>
    <cellStyle name="Lien hypertexte visité" xfId="13891" builtinId="9" hidden="1"/>
    <cellStyle name="Lien hypertexte visité" xfId="13851" builtinId="9" hidden="1"/>
    <cellStyle name="Lien hypertexte visité" xfId="13819" builtinId="9" hidden="1"/>
    <cellStyle name="Lien hypertexte visité" xfId="13787" builtinId="9" hidden="1"/>
    <cellStyle name="Lien hypertexte visité" xfId="13755" builtinId="9" hidden="1"/>
    <cellStyle name="Lien hypertexte visité" xfId="13723" builtinId="9" hidden="1"/>
    <cellStyle name="Lien hypertexte visité" xfId="13691" builtinId="9" hidden="1"/>
    <cellStyle name="Lien hypertexte visité" xfId="13659" builtinId="9" hidden="1"/>
    <cellStyle name="Lien hypertexte visité" xfId="13627" builtinId="9" hidden="1"/>
    <cellStyle name="Lien hypertexte visité" xfId="13587" builtinId="9" hidden="1"/>
    <cellStyle name="Lien hypertexte visité" xfId="13555" builtinId="9" hidden="1"/>
    <cellStyle name="Lien hypertexte visité" xfId="13523" builtinId="9" hidden="1"/>
    <cellStyle name="Lien hypertexte visité" xfId="13491" builtinId="9" hidden="1"/>
    <cellStyle name="Lien hypertexte visité" xfId="13459" builtinId="9" hidden="1"/>
    <cellStyle name="Lien hypertexte visité" xfId="13427" builtinId="9" hidden="1"/>
    <cellStyle name="Lien hypertexte visité" xfId="13395" builtinId="9" hidden="1"/>
    <cellStyle name="Lien hypertexte visité" xfId="13363" builtinId="9" hidden="1"/>
    <cellStyle name="Lien hypertexte visité" xfId="13323" builtinId="9" hidden="1"/>
    <cellStyle name="Lien hypertexte visité" xfId="13291" builtinId="9" hidden="1"/>
    <cellStyle name="Lien hypertexte visité" xfId="13259" builtinId="9" hidden="1"/>
    <cellStyle name="Lien hypertexte visité" xfId="13227" builtinId="9" hidden="1"/>
    <cellStyle name="Lien hypertexte visité" xfId="13195" builtinId="9" hidden="1"/>
    <cellStyle name="Lien hypertexte visité" xfId="13163" builtinId="9" hidden="1"/>
    <cellStyle name="Lien hypertexte visité" xfId="13131" builtinId="9" hidden="1"/>
    <cellStyle name="Lien hypertexte visité" xfId="13099" builtinId="9" hidden="1"/>
    <cellStyle name="Lien hypertexte visité" xfId="13059" builtinId="9" hidden="1"/>
    <cellStyle name="Lien hypertexte visité" xfId="13027" builtinId="9" hidden="1"/>
    <cellStyle name="Lien hypertexte visité" xfId="12995" builtinId="9" hidden="1"/>
    <cellStyle name="Lien hypertexte visité" xfId="12963" builtinId="9" hidden="1"/>
    <cellStyle name="Lien hypertexte visité" xfId="12931" builtinId="9" hidden="1"/>
    <cellStyle name="Lien hypertexte visité" xfId="13347" builtinId="9" hidden="1"/>
    <cellStyle name="Lien hypertexte visité" xfId="14371" builtinId="9" hidden="1"/>
    <cellStyle name="Lien hypertexte visité" xfId="15827" builtinId="9" hidden="1"/>
    <cellStyle name="Lien hypertexte visité" xfId="15763" builtinId="9" hidden="1"/>
    <cellStyle name="Lien hypertexte visité" xfId="15699" builtinId="9" hidden="1"/>
    <cellStyle name="Lien hypertexte visité" xfId="15635" builtinId="9" hidden="1"/>
    <cellStyle name="Lien hypertexte visité" xfId="15571" builtinId="9" hidden="1"/>
    <cellStyle name="Lien hypertexte visité" xfId="15507" builtinId="9" hidden="1"/>
    <cellStyle name="Lien hypertexte visité" xfId="15443" builtinId="9" hidden="1"/>
    <cellStyle name="Lien hypertexte visité" xfId="15379" builtinId="9" hidden="1"/>
    <cellStyle name="Lien hypertexte visité" xfId="15315" builtinId="9" hidden="1"/>
    <cellStyle name="Lien hypertexte visité" xfId="15235" builtinId="9" hidden="1"/>
    <cellStyle name="Lien hypertexte visité" xfId="15171" builtinId="9" hidden="1"/>
    <cellStyle name="Lien hypertexte visité" xfId="15107" builtinId="9" hidden="1"/>
    <cellStyle name="Lien hypertexte visité" xfId="15043" builtinId="9" hidden="1"/>
    <cellStyle name="Lien hypertexte visité" xfId="14979" builtinId="9" hidden="1"/>
    <cellStyle name="Lien hypertexte visité" xfId="14915" builtinId="9" hidden="1"/>
    <cellStyle name="Lien hypertexte visité" xfId="14851" builtinId="9" hidden="1"/>
    <cellStyle name="Lien hypertexte visité" xfId="14787" builtinId="9" hidden="1"/>
    <cellStyle name="Lien hypertexte visité" xfId="14723" builtinId="9" hidden="1"/>
    <cellStyle name="Lien hypertexte visité" xfId="14659" builtinId="9" hidden="1"/>
    <cellStyle name="Lien hypertexte visité" xfId="14595" builtinId="9" hidden="1"/>
    <cellStyle name="Lien hypertexte visité" xfId="14531" builtinId="9" hidden="1"/>
    <cellStyle name="Lien hypertexte visité" xfId="14491" builtinId="9" hidden="1"/>
    <cellStyle name="Lien hypertexte visité" xfId="15251" builtinId="9" hidden="1"/>
    <cellStyle name="Lien hypertexte visité" xfId="16547" builtinId="9" hidden="1"/>
    <cellStyle name="Lien hypertexte visité" xfId="16483" builtinId="9" hidden="1"/>
    <cellStyle name="Lien hypertexte visité" xfId="16419" builtinId="9" hidden="1"/>
    <cellStyle name="Lien hypertexte visité" xfId="16355" builtinId="9" hidden="1"/>
    <cellStyle name="Lien hypertexte visité" xfId="16291" builtinId="9" hidden="1"/>
    <cellStyle name="Lien hypertexte visité" xfId="16227" builtinId="9" hidden="1"/>
    <cellStyle name="Lien hypertexte visité" xfId="16163" builtinId="9" hidden="1"/>
    <cellStyle name="Lien hypertexte visité" xfId="16099" builtinId="9" hidden="1"/>
    <cellStyle name="Lien hypertexte visité" xfId="16035" builtinId="9" hidden="1"/>
    <cellStyle name="Lien hypertexte visité" xfId="15971" builtinId="9" hidden="1"/>
    <cellStyle name="Lien hypertexte visité" xfId="15907" builtinId="9" hidden="1"/>
    <cellStyle name="Lien hypertexte visité" xfId="16915" builtinId="9" hidden="1"/>
    <cellStyle name="Lien hypertexte visité" xfId="16851" builtinId="9" hidden="1"/>
    <cellStyle name="Lien hypertexte visité" xfId="16787" builtinId="9" hidden="1"/>
    <cellStyle name="Lien hypertexte visité" xfId="16723" builtinId="9" hidden="1"/>
    <cellStyle name="Lien hypertexte visité" xfId="16659" builtinId="9" hidden="1"/>
    <cellStyle name="Lien hypertexte visité" xfId="17123" builtinId="9" hidden="1"/>
    <cellStyle name="Lien hypertexte visité" xfId="17059" builtinId="9" hidden="1"/>
    <cellStyle name="Lien hypertexte visité" xfId="16995" builtinId="9" hidden="1"/>
    <cellStyle name="Lien hypertexte visité" xfId="17203" builtinId="9" hidden="1"/>
    <cellStyle name="Lien hypertexte visité" xfId="17139" builtinId="9" hidden="1"/>
    <cellStyle name="Lien hypertexte visité" xfId="17283" builtinId="9" hidden="1"/>
    <cellStyle name="Lien hypertexte visité" xfId="17235" builtinId="9" hidden="1"/>
    <cellStyle name="Lien hypertexte visité" xfId="17155" builtinId="9" hidden="1"/>
    <cellStyle name="Lien hypertexte visité" xfId="17219" builtinId="9" hidden="1"/>
    <cellStyle name="Lien hypertexte visité" xfId="17011" builtinId="9" hidden="1"/>
    <cellStyle name="Lien hypertexte visité" xfId="17075" builtinId="9" hidden="1"/>
    <cellStyle name="Lien hypertexte visité" xfId="16611" builtinId="9" hidden="1"/>
    <cellStyle name="Lien hypertexte visité" xfId="16675" builtinId="9" hidden="1"/>
    <cellStyle name="Lien hypertexte visité" xfId="16739" builtinId="9" hidden="1"/>
    <cellStyle name="Lien hypertexte visité" xfId="16803" builtinId="9" hidden="1"/>
    <cellStyle name="Lien hypertexte visité" xfId="16867" builtinId="9" hidden="1"/>
    <cellStyle name="Lien hypertexte visité" xfId="16931" builtinId="9" hidden="1"/>
    <cellStyle name="Lien hypertexte visité" xfId="15923" builtinId="9" hidden="1"/>
    <cellStyle name="Lien hypertexte visité" xfId="15987" builtinId="9" hidden="1"/>
    <cellStyle name="Lien hypertexte visité" xfId="16051" builtinId="9" hidden="1"/>
    <cellStyle name="Lien hypertexte visité" xfId="16115" builtinId="9" hidden="1"/>
    <cellStyle name="Lien hypertexte visité" xfId="16179" builtinId="9" hidden="1"/>
    <cellStyle name="Lien hypertexte visité" xfId="16243" builtinId="9" hidden="1"/>
    <cellStyle name="Lien hypertexte visité" xfId="16307" builtinId="9" hidden="1"/>
    <cellStyle name="Lien hypertexte visité" xfId="16371" builtinId="9" hidden="1"/>
    <cellStyle name="Lien hypertexte visité" xfId="16435" builtinId="9" hidden="1"/>
    <cellStyle name="Lien hypertexte visité" xfId="16499" builtinId="9" hidden="1"/>
    <cellStyle name="Lien hypertexte visité" xfId="16563" builtinId="9" hidden="1"/>
    <cellStyle name="Lien hypertexte visité" xfId="14467" builtinId="9" hidden="1"/>
    <cellStyle name="Lien hypertexte visité" xfId="14499" builtinId="9" hidden="1"/>
    <cellStyle name="Lien hypertexte visité" xfId="14547" builtinId="9" hidden="1"/>
    <cellStyle name="Lien hypertexte visité" xfId="14611" builtinId="9" hidden="1"/>
    <cellStyle name="Lien hypertexte visité" xfId="14675" builtinId="9" hidden="1"/>
    <cellStyle name="Lien hypertexte visité" xfId="14739" builtinId="9" hidden="1"/>
    <cellStyle name="Lien hypertexte visité" xfId="14803" builtinId="9" hidden="1"/>
    <cellStyle name="Lien hypertexte visité" xfId="14867" builtinId="9" hidden="1"/>
    <cellStyle name="Lien hypertexte visité" xfId="14931" builtinId="9" hidden="1"/>
    <cellStyle name="Lien hypertexte visité" xfId="14995" builtinId="9" hidden="1"/>
    <cellStyle name="Lien hypertexte visité" xfId="15059" builtinId="9" hidden="1"/>
    <cellStyle name="Lien hypertexte visité" xfId="15123" builtinId="9" hidden="1"/>
    <cellStyle name="Lien hypertexte visité" xfId="15187" builtinId="9" hidden="1"/>
    <cellStyle name="Lien hypertexte visité" xfId="15267" builtinId="9" hidden="1"/>
    <cellStyle name="Lien hypertexte visité" xfId="15331" builtinId="9" hidden="1"/>
    <cellStyle name="Lien hypertexte visité" xfId="15395" builtinId="9" hidden="1"/>
    <cellStyle name="Lien hypertexte visité" xfId="15459" builtinId="9" hidden="1"/>
    <cellStyle name="Lien hypertexte visité" xfId="15523" builtinId="9" hidden="1"/>
    <cellStyle name="Lien hypertexte visité" xfId="15587" builtinId="9" hidden="1"/>
    <cellStyle name="Lien hypertexte visité" xfId="15651" builtinId="9" hidden="1"/>
    <cellStyle name="Lien hypertexte visité" xfId="15715" builtinId="9" hidden="1"/>
    <cellStyle name="Lien hypertexte visité" xfId="15779" builtinId="9" hidden="1"/>
    <cellStyle name="Lien hypertexte visité" xfId="15843" builtinId="9" hidden="1"/>
    <cellStyle name="Lien hypertexte visité" xfId="14115" builtinId="9" hidden="1"/>
    <cellStyle name="Lien hypertexte visité" xfId="13091" builtinId="9" hidden="1"/>
    <cellStyle name="Lien hypertexte visité" xfId="12939" builtinId="9" hidden="1"/>
    <cellStyle name="Lien hypertexte visité" xfId="12971" builtinId="9" hidden="1"/>
    <cellStyle name="Lien hypertexte visité" xfId="13003" builtinId="9" hidden="1"/>
    <cellStyle name="Lien hypertexte visité" xfId="13035" builtinId="9" hidden="1"/>
    <cellStyle name="Lien hypertexte visité" xfId="13067" builtinId="9" hidden="1"/>
    <cellStyle name="Lien hypertexte visité" xfId="13107" builtinId="9" hidden="1"/>
    <cellStyle name="Lien hypertexte visité" xfId="13139" builtinId="9" hidden="1"/>
    <cellStyle name="Lien hypertexte visité" xfId="13171" builtinId="9" hidden="1"/>
    <cellStyle name="Lien hypertexte visité" xfId="13203" builtinId="9" hidden="1"/>
    <cellStyle name="Lien hypertexte visité" xfId="13235" builtinId="9" hidden="1"/>
    <cellStyle name="Lien hypertexte visité" xfId="13267" builtinId="9" hidden="1"/>
    <cellStyle name="Lien hypertexte visité" xfId="13299" builtinId="9" hidden="1"/>
    <cellStyle name="Lien hypertexte visité" xfId="13331" builtinId="9" hidden="1"/>
    <cellStyle name="Lien hypertexte visité" xfId="13371" builtinId="9" hidden="1"/>
    <cellStyle name="Lien hypertexte visité" xfId="13403" builtinId="9" hidden="1"/>
    <cellStyle name="Lien hypertexte visité" xfId="13435" builtinId="9" hidden="1"/>
    <cellStyle name="Lien hypertexte visité" xfId="13467" builtinId="9" hidden="1"/>
    <cellStyle name="Lien hypertexte visité" xfId="13499" builtinId="9" hidden="1"/>
    <cellStyle name="Lien hypertexte visité" xfId="13531" builtinId="9" hidden="1"/>
    <cellStyle name="Lien hypertexte visité" xfId="13563" builtinId="9" hidden="1"/>
    <cellStyle name="Lien hypertexte visité" xfId="13595" builtinId="9" hidden="1"/>
    <cellStyle name="Lien hypertexte visité" xfId="13635" builtinId="9" hidden="1"/>
    <cellStyle name="Lien hypertexte visité" xfId="13667" builtinId="9" hidden="1"/>
    <cellStyle name="Lien hypertexte visité" xfId="13699" builtinId="9" hidden="1"/>
    <cellStyle name="Lien hypertexte visité" xfId="13731" builtinId="9" hidden="1"/>
    <cellStyle name="Lien hypertexte visité" xfId="13763" builtinId="9" hidden="1"/>
    <cellStyle name="Lien hypertexte visité" xfId="13795" builtinId="9" hidden="1"/>
    <cellStyle name="Lien hypertexte visité" xfId="13827" builtinId="9" hidden="1"/>
    <cellStyle name="Lien hypertexte visité" xfId="13867" builtinId="9" hidden="1"/>
    <cellStyle name="Lien hypertexte visité" xfId="13899" builtinId="9" hidden="1"/>
    <cellStyle name="Lien hypertexte visité" xfId="13931" builtinId="9" hidden="1"/>
    <cellStyle name="Lien hypertexte visité" xfId="13963" builtinId="9" hidden="1"/>
    <cellStyle name="Lien hypertexte visité" xfId="13995" builtinId="9" hidden="1"/>
    <cellStyle name="Lien hypertexte visité" xfId="14027" builtinId="9" hidden="1"/>
    <cellStyle name="Lien hypertexte visité" xfId="14059" builtinId="9" hidden="1"/>
    <cellStyle name="Lien hypertexte visité" xfId="14091" builtinId="9" hidden="1"/>
    <cellStyle name="Lien hypertexte visité" xfId="14131" builtinId="9" hidden="1"/>
    <cellStyle name="Lien hypertexte visité" xfId="14163" builtinId="9" hidden="1"/>
    <cellStyle name="Lien hypertexte visité" xfId="14195" builtinId="9" hidden="1"/>
    <cellStyle name="Lien hypertexte visité" xfId="14227" builtinId="9" hidden="1"/>
    <cellStyle name="Lien hypertexte visité" xfId="14259" builtinId="9" hidden="1"/>
    <cellStyle name="Lien hypertexte visité" xfId="14291" builtinId="9" hidden="1"/>
    <cellStyle name="Lien hypertexte visité" xfId="14323" builtinId="9" hidden="1"/>
    <cellStyle name="Lien hypertexte visité" xfId="14355" builtinId="9" hidden="1"/>
    <cellStyle name="Lien hypertexte visité" xfId="14395" builtinId="9" hidden="1"/>
    <cellStyle name="Lien hypertexte visité" xfId="14427" builtinId="9" hidden="1"/>
    <cellStyle name="Lien hypertexte visité" xfId="14459" builtinId="9" hidden="1"/>
    <cellStyle name="Lien hypertexte visité" xfId="12451" builtinId="9" hidden="1"/>
    <cellStyle name="Lien hypertexte visité" xfId="11939" builtinId="9" hidden="1"/>
    <cellStyle name="Lien hypertexte visité" xfId="11427" builtinId="9" hidden="1"/>
    <cellStyle name="Lien hypertexte visité" xfId="10915" builtinId="9" hidden="1"/>
    <cellStyle name="Lien hypertexte visité" xfId="10403" builtinId="9" hidden="1"/>
    <cellStyle name="Lien hypertexte visité" xfId="9891" builtinId="9" hidden="1"/>
    <cellStyle name="Lien hypertexte visité" xfId="9483" builtinId="9" hidden="1"/>
    <cellStyle name="Lien hypertexte visité" xfId="9523" builtinId="9" hidden="1"/>
    <cellStyle name="Lien hypertexte visité" xfId="9555" builtinId="9" hidden="1"/>
    <cellStyle name="Lien hypertexte visité" xfId="9587" builtinId="9" hidden="1"/>
    <cellStyle name="Lien hypertexte visité" xfId="9619" builtinId="9" hidden="1"/>
    <cellStyle name="Lien hypertexte visité" xfId="9659" builtinId="9" hidden="1"/>
    <cellStyle name="Lien hypertexte visité" xfId="9691" builtinId="9" hidden="1"/>
    <cellStyle name="Lien hypertexte visité" xfId="9723" builtinId="9" hidden="1"/>
    <cellStyle name="Lien hypertexte visité" xfId="9755" builtinId="9" hidden="1"/>
    <cellStyle name="Lien hypertexte visité" xfId="9795" builtinId="9" hidden="1"/>
    <cellStyle name="Lien hypertexte visité" xfId="9827" builtinId="9" hidden="1"/>
    <cellStyle name="Lien hypertexte visité" xfId="9859" builtinId="9" hidden="1"/>
    <cellStyle name="Lien hypertexte visité" xfId="9899" builtinId="9" hidden="1"/>
    <cellStyle name="Lien hypertexte visité" xfId="9931" builtinId="9" hidden="1"/>
    <cellStyle name="Lien hypertexte visité" xfId="9963" builtinId="9" hidden="1"/>
    <cellStyle name="Lien hypertexte visité" xfId="9995" builtinId="9" hidden="1"/>
    <cellStyle name="Lien hypertexte visité" xfId="10035" builtinId="9" hidden="1"/>
    <cellStyle name="Lien hypertexte visité" xfId="10067" builtinId="9" hidden="1"/>
    <cellStyle name="Lien hypertexte visité" xfId="10099" builtinId="9" hidden="1"/>
    <cellStyle name="Lien hypertexte visité" xfId="10131" builtinId="9" hidden="1"/>
    <cellStyle name="Lien hypertexte visité" xfId="10171" builtinId="9" hidden="1"/>
    <cellStyle name="Lien hypertexte visité" xfId="10203" builtinId="9" hidden="1"/>
    <cellStyle name="Lien hypertexte visité" xfId="10235" builtinId="9" hidden="1"/>
    <cellStyle name="Lien hypertexte visité" xfId="10267" builtinId="9" hidden="1"/>
    <cellStyle name="Lien hypertexte visité" xfId="10307" builtinId="9" hidden="1"/>
    <cellStyle name="Lien hypertexte visité" xfId="10339" builtinId="9" hidden="1"/>
    <cellStyle name="Lien hypertexte visité" xfId="10371" builtinId="9" hidden="1"/>
    <cellStyle name="Lien hypertexte visité" xfId="10411" builtinId="9" hidden="1"/>
    <cellStyle name="Lien hypertexte visité" xfId="10443" builtinId="9" hidden="1"/>
    <cellStyle name="Lien hypertexte visité" xfId="10475" builtinId="9" hidden="1"/>
    <cellStyle name="Lien hypertexte visité" xfId="10507" builtinId="9" hidden="1"/>
    <cellStyle name="Lien hypertexte visité" xfId="10547" builtinId="9" hidden="1"/>
    <cellStyle name="Lien hypertexte visité" xfId="10579" builtinId="9" hidden="1"/>
    <cellStyle name="Lien hypertexte visité" xfId="10611" builtinId="9" hidden="1"/>
    <cellStyle name="Lien hypertexte visité" xfId="10643" builtinId="9" hidden="1"/>
    <cellStyle name="Lien hypertexte visité" xfId="10683" builtinId="9" hidden="1"/>
    <cellStyle name="Lien hypertexte visité" xfId="10715" builtinId="9" hidden="1"/>
    <cellStyle name="Lien hypertexte visité" xfId="10747" builtinId="9" hidden="1"/>
    <cellStyle name="Lien hypertexte visité" xfId="10779" builtinId="9" hidden="1"/>
    <cellStyle name="Lien hypertexte visité" xfId="10819" builtinId="9" hidden="1"/>
    <cellStyle name="Lien hypertexte visité" xfId="10851" builtinId="9" hidden="1"/>
    <cellStyle name="Lien hypertexte visité" xfId="10883" builtinId="9" hidden="1"/>
    <cellStyle name="Lien hypertexte visité" xfId="10923" builtinId="9" hidden="1"/>
    <cellStyle name="Lien hypertexte visité" xfId="10955" builtinId="9" hidden="1"/>
    <cellStyle name="Lien hypertexte visité" xfId="10987" builtinId="9" hidden="1"/>
    <cellStyle name="Lien hypertexte visité" xfId="11019" builtinId="9" hidden="1"/>
    <cellStyle name="Lien hypertexte visité" xfId="11059" builtinId="9" hidden="1"/>
    <cellStyle name="Lien hypertexte visité" xfId="11091" builtinId="9" hidden="1"/>
    <cellStyle name="Lien hypertexte visité" xfId="11123" builtinId="9" hidden="1"/>
    <cellStyle name="Lien hypertexte visité" xfId="11155" builtinId="9" hidden="1"/>
    <cellStyle name="Lien hypertexte visité" xfId="11195" builtinId="9" hidden="1"/>
    <cellStyle name="Lien hypertexte visité" xfId="11227" builtinId="9" hidden="1"/>
    <cellStyle name="Lien hypertexte visité" xfId="11259" builtinId="9" hidden="1"/>
    <cellStyle name="Lien hypertexte visité" xfId="11291" builtinId="9" hidden="1"/>
    <cellStyle name="Lien hypertexte visité" xfId="11331" builtinId="9" hidden="1"/>
    <cellStyle name="Lien hypertexte visité" xfId="11363" builtinId="9" hidden="1"/>
    <cellStyle name="Lien hypertexte visité" xfId="11395" builtinId="9" hidden="1"/>
    <cellStyle name="Lien hypertexte visité" xfId="11435" builtinId="9" hidden="1"/>
    <cellStyle name="Lien hypertexte visité" xfId="11467" builtinId="9" hidden="1"/>
    <cellStyle name="Lien hypertexte visité" xfId="11499" builtinId="9" hidden="1"/>
    <cellStyle name="Lien hypertexte visité" xfId="11531" builtinId="9" hidden="1"/>
    <cellStyle name="Lien hypertexte visité" xfId="11571" builtinId="9" hidden="1"/>
    <cellStyle name="Lien hypertexte visité" xfId="11603" builtinId="9" hidden="1"/>
    <cellStyle name="Lien hypertexte visité" xfId="11635" builtinId="9" hidden="1"/>
    <cellStyle name="Lien hypertexte visité" xfId="11667" builtinId="9" hidden="1"/>
    <cellStyle name="Lien hypertexte visité" xfId="11707" builtinId="9" hidden="1"/>
    <cellStyle name="Lien hypertexte visité" xfId="11739" builtinId="9" hidden="1"/>
    <cellStyle name="Lien hypertexte visité" xfId="11771" builtinId="9" hidden="1"/>
    <cellStyle name="Lien hypertexte visité" xfId="11803" builtinId="9" hidden="1"/>
    <cellStyle name="Lien hypertexte visité" xfId="11843" builtinId="9" hidden="1"/>
    <cellStyle name="Lien hypertexte visité" xfId="11875" builtinId="9" hidden="1"/>
    <cellStyle name="Lien hypertexte visité" xfId="11907" builtinId="9" hidden="1"/>
    <cellStyle name="Lien hypertexte visité" xfId="11947" builtinId="9" hidden="1"/>
    <cellStyle name="Lien hypertexte visité" xfId="11979" builtinId="9" hidden="1"/>
    <cellStyle name="Lien hypertexte visité" xfId="12011" builtinId="9" hidden="1"/>
    <cellStyle name="Lien hypertexte visité" xfId="12043" builtinId="9" hidden="1"/>
    <cellStyle name="Lien hypertexte visité" xfId="12083" builtinId="9" hidden="1"/>
    <cellStyle name="Lien hypertexte visité" xfId="12115" builtinId="9" hidden="1"/>
    <cellStyle name="Lien hypertexte visité" xfId="12147" builtinId="9" hidden="1"/>
    <cellStyle name="Lien hypertexte visité" xfId="12179" builtinId="9" hidden="1"/>
    <cellStyle name="Lien hypertexte visité" xfId="12219" builtinId="9" hidden="1"/>
    <cellStyle name="Lien hypertexte visité" xfId="12251" builtinId="9" hidden="1"/>
    <cellStyle name="Lien hypertexte visité" xfId="12283" builtinId="9" hidden="1"/>
    <cellStyle name="Lien hypertexte visité" xfId="12315" builtinId="9" hidden="1"/>
    <cellStyle name="Lien hypertexte visité" xfId="12355" builtinId="9" hidden="1"/>
    <cellStyle name="Lien hypertexte visité" xfId="12387" builtinId="9" hidden="1"/>
    <cellStyle name="Lien hypertexte visité" xfId="12419" builtinId="9" hidden="1"/>
    <cellStyle name="Lien hypertexte visité" xfId="12459" builtinId="9" hidden="1"/>
    <cellStyle name="Lien hypertexte visité" xfId="12491" builtinId="9" hidden="1"/>
    <cellStyle name="Lien hypertexte visité" xfId="12523" builtinId="9" hidden="1"/>
    <cellStyle name="Lien hypertexte visité" xfId="12555" builtinId="9" hidden="1"/>
    <cellStyle name="Lien hypertexte visité" xfId="12595" builtinId="9" hidden="1"/>
    <cellStyle name="Lien hypertexte visité" xfId="12627" builtinId="9" hidden="1"/>
    <cellStyle name="Lien hypertexte visité" xfId="12659" builtinId="9" hidden="1"/>
    <cellStyle name="Lien hypertexte visité" xfId="12691" builtinId="9" hidden="1"/>
    <cellStyle name="Lien hypertexte visité" xfId="12731" builtinId="9" hidden="1"/>
    <cellStyle name="Lien hypertexte visité" xfId="12763" builtinId="9" hidden="1"/>
    <cellStyle name="Lien hypertexte visité" xfId="12795" builtinId="9" hidden="1"/>
    <cellStyle name="Lien hypertexte visité" xfId="12827" builtinId="9" hidden="1"/>
    <cellStyle name="Lien hypertexte visité" xfId="12867" builtinId="9" hidden="1"/>
    <cellStyle name="Lien hypertexte visité" xfId="12899" builtinId="9" hidden="1"/>
    <cellStyle name="Lien hypertexte visité" xfId="9315" builtinId="9" hidden="1"/>
    <cellStyle name="Lien hypertexte visité" xfId="9059" builtinId="9" hidden="1"/>
    <cellStyle name="Lien hypertexte visité" xfId="8803" builtinId="9" hidden="1"/>
    <cellStyle name="Lien hypertexte visité" xfId="8547" builtinId="9" hidden="1"/>
    <cellStyle name="Lien hypertexte visité" xfId="8291" builtinId="9" hidden="1"/>
    <cellStyle name="Lien hypertexte visité" xfId="8035" builtinId="9" hidden="1"/>
    <cellStyle name="Lien hypertexte visité" xfId="7778" builtinId="9" hidden="1"/>
    <cellStyle name="Lien hypertexte visité" xfId="7522" builtinId="9" hidden="1"/>
    <cellStyle name="Lien hypertexte visité" xfId="7266" builtinId="9" hidden="1"/>
    <cellStyle name="Lien hypertexte visité" xfId="7010" builtinId="9" hidden="1"/>
    <cellStyle name="Lien hypertexte visité" xfId="6754" builtinId="9" hidden="1"/>
    <cellStyle name="Lien hypertexte visité" xfId="6498" builtinId="9" hidden="1"/>
    <cellStyle name="Lien hypertexte visité" xfId="6242" builtinId="9" hidden="1"/>
    <cellStyle name="Lien hypertexte visité" xfId="5986" builtinId="9" hidden="1"/>
    <cellStyle name="Lien hypertexte visité" xfId="5730" builtinId="9" hidden="1"/>
    <cellStyle name="Lien hypertexte visité" xfId="5474" builtinId="9" hidden="1"/>
    <cellStyle name="Lien hypertexte visité" xfId="5218" builtinId="9" hidden="1"/>
    <cellStyle name="Lien hypertexte visité" xfId="4962" builtinId="9" hidden="1"/>
    <cellStyle name="Lien hypertexte visité" xfId="4706" builtinId="9" hidden="1"/>
    <cellStyle name="Lien hypertexte visité" xfId="4450" builtinId="9" hidden="1"/>
    <cellStyle name="Lien hypertexte visité" xfId="4194" builtinId="9" hidden="1"/>
    <cellStyle name="Lien hypertexte visité" xfId="3938" builtinId="9" hidden="1"/>
    <cellStyle name="Lien hypertexte visité" xfId="3684" builtinId="9" hidden="1"/>
    <cellStyle name="Lien hypertexte visité" xfId="3420" builtinId="9" hidden="1"/>
    <cellStyle name="Lien hypertexte visité" xfId="3164" builtinId="9" hidden="1"/>
    <cellStyle name="Lien hypertexte visité" xfId="2908" builtinId="9" hidden="1"/>
    <cellStyle name="Lien hypertexte visité" xfId="2652" builtinId="9" hidden="1"/>
    <cellStyle name="Lien hypertexte visité" xfId="2396" builtinId="9" hidden="1"/>
    <cellStyle name="Lien hypertexte visité" xfId="2140" builtinId="9" hidden="1"/>
    <cellStyle name="Lien hypertexte visité" xfId="1884" builtinId="9" hidden="1"/>
    <cellStyle name="Lien hypertexte visité" xfId="1628" builtinId="9" hidden="1"/>
    <cellStyle name="Lien hypertexte visité" xfId="1371" builtinId="9" hidden="1"/>
    <cellStyle name="Lien hypertexte visité" xfId="1067" builtinId="9" hidden="1"/>
    <cellStyle name="Lien hypertexte visité" xfId="635" builtinId="9" hidden="1"/>
    <cellStyle name="Lien hypertexte visité" xfId="715" builtinId="9" hidden="1"/>
    <cellStyle name="Lien hypertexte visité" xfId="779" builtinId="9" hidden="1"/>
    <cellStyle name="Lien hypertexte visité" xfId="859" builtinId="9" hidden="1"/>
    <cellStyle name="Lien hypertexte visité" xfId="923" builtinId="9" hidden="1"/>
    <cellStyle name="Lien hypertexte visité" xfId="1003" builtinId="9" hidden="1"/>
    <cellStyle name="Lien hypertexte visité" xfId="1083" builtinId="9" hidden="1"/>
    <cellStyle name="Lien hypertexte visité" xfId="1147" builtinId="9" hidden="1"/>
    <cellStyle name="Lien hypertexte visité" xfId="1195" builtinId="9" hidden="1"/>
    <cellStyle name="Lien hypertexte visité" xfId="1227" builtinId="9" hidden="1"/>
    <cellStyle name="Lien hypertexte visité" xfId="1267" builtinId="9" hidden="1"/>
    <cellStyle name="Lien hypertexte visité" xfId="1299" builtinId="9" hidden="1"/>
    <cellStyle name="Lien hypertexte visité" xfId="1339" builtinId="9" hidden="1"/>
    <cellStyle name="Lien hypertexte visité" xfId="1379" builtinId="9" hidden="1"/>
    <cellStyle name="Lien hypertexte visité" xfId="1411" builtinId="9" hidden="1"/>
    <cellStyle name="Lien hypertexte visité" xfId="1451" builtinId="9" hidden="1"/>
    <cellStyle name="Lien hypertexte visité" xfId="1483" builtinId="9" hidden="1"/>
    <cellStyle name="Lien hypertexte visité" xfId="1524" builtinId="9" hidden="1"/>
    <cellStyle name="Lien hypertexte visité" xfId="1556" builtinId="9" hidden="1"/>
    <cellStyle name="Lien hypertexte visité" xfId="1596" builtinId="9" hidden="1"/>
    <cellStyle name="Lien hypertexte visité" xfId="1636" builtinId="9" hidden="1"/>
    <cellStyle name="Lien hypertexte visité" xfId="1668" builtinId="9" hidden="1"/>
    <cellStyle name="Lien hypertexte visité" xfId="1708" builtinId="9" hidden="1"/>
    <cellStyle name="Lien hypertexte visité" xfId="1740" builtinId="9" hidden="1"/>
    <cellStyle name="Lien hypertexte visité" xfId="1780" builtinId="9" hidden="1"/>
    <cellStyle name="Lien hypertexte visité" xfId="1812" builtinId="9" hidden="1"/>
    <cellStyle name="Lien hypertexte visité" xfId="1852" builtinId="9" hidden="1"/>
    <cellStyle name="Lien hypertexte visité" xfId="1892" builtinId="9" hidden="1"/>
    <cellStyle name="Lien hypertexte visité" xfId="1924" builtinId="9" hidden="1"/>
    <cellStyle name="Lien hypertexte visité" xfId="1964" builtinId="9" hidden="1"/>
    <cellStyle name="Lien hypertexte visité" xfId="1996" builtinId="9" hidden="1"/>
    <cellStyle name="Lien hypertexte visité" xfId="2036" builtinId="9" hidden="1"/>
    <cellStyle name="Lien hypertexte visité" xfId="2068" builtinId="9" hidden="1"/>
    <cellStyle name="Lien hypertexte visité" xfId="2108" builtinId="9" hidden="1"/>
    <cellStyle name="Lien hypertexte visité" xfId="2148" builtinId="9" hidden="1"/>
    <cellStyle name="Lien hypertexte visité" xfId="2180" builtinId="9" hidden="1"/>
    <cellStyle name="Lien hypertexte visité" xfId="2220" builtinId="9" hidden="1"/>
    <cellStyle name="Lien hypertexte visité" xfId="2252" builtinId="9" hidden="1"/>
    <cellStyle name="Lien hypertexte visité" xfId="2292" builtinId="9" hidden="1"/>
    <cellStyle name="Lien hypertexte visité" xfId="2324" builtinId="9" hidden="1"/>
    <cellStyle name="Lien hypertexte visité" xfId="2364" builtinId="9" hidden="1"/>
    <cellStyle name="Lien hypertexte visité" xfId="2404" builtinId="9" hidden="1"/>
    <cellStyle name="Lien hypertexte visité" xfId="2436" builtinId="9" hidden="1"/>
    <cellStyle name="Lien hypertexte visité" xfId="2476" builtinId="9" hidden="1"/>
    <cellStyle name="Lien hypertexte visité" xfId="2508" builtinId="9" hidden="1"/>
    <cellStyle name="Lien hypertexte visité" xfId="2548" builtinId="9" hidden="1"/>
    <cellStyle name="Lien hypertexte visité" xfId="2580" builtinId="9" hidden="1"/>
    <cellStyle name="Lien hypertexte visité" xfId="2620" builtinId="9" hidden="1"/>
    <cellStyle name="Lien hypertexte visité" xfId="2660" builtinId="9" hidden="1"/>
    <cellStyle name="Lien hypertexte visité" xfId="2692" builtinId="9" hidden="1"/>
    <cellStyle name="Lien hypertexte visité" xfId="2732" builtinId="9" hidden="1"/>
    <cellStyle name="Lien hypertexte visité" xfId="2764" builtinId="9" hidden="1"/>
    <cellStyle name="Lien hypertexte visité" xfId="2804" builtinId="9" hidden="1"/>
    <cellStyle name="Lien hypertexte visité" xfId="2836" builtinId="9" hidden="1"/>
    <cellStyle name="Lien hypertexte visité" xfId="2876" builtinId="9" hidden="1"/>
    <cellStyle name="Lien hypertexte visité" xfId="2916" builtinId="9" hidden="1"/>
    <cellStyle name="Lien hypertexte visité" xfId="2948" builtinId="9" hidden="1"/>
    <cellStyle name="Lien hypertexte visité" xfId="2988" builtinId="9" hidden="1"/>
    <cellStyle name="Lien hypertexte visité" xfId="3020" builtinId="9" hidden="1"/>
    <cellStyle name="Lien hypertexte visité" xfId="3060" builtinId="9" hidden="1"/>
    <cellStyle name="Lien hypertexte visité" xfId="3092" builtinId="9" hidden="1"/>
    <cellStyle name="Lien hypertexte visité" xfId="3132" builtinId="9" hidden="1"/>
    <cellStyle name="Lien hypertexte visité" xfId="3172" builtinId="9" hidden="1"/>
    <cellStyle name="Lien hypertexte visité" xfId="3204" builtinId="9" hidden="1"/>
    <cellStyle name="Lien hypertexte visité" xfId="3244" builtinId="9" hidden="1"/>
    <cellStyle name="Lien hypertexte visité" xfId="3276" builtinId="9" hidden="1"/>
    <cellStyle name="Lien hypertexte visité" xfId="3316" builtinId="9" hidden="1"/>
    <cellStyle name="Lien hypertexte visité" xfId="3348" builtinId="9" hidden="1"/>
    <cellStyle name="Lien hypertexte visité" xfId="3388" builtinId="9" hidden="1"/>
    <cellStyle name="Lien hypertexte visité" xfId="3428" builtinId="9" hidden="1"/>
    <cellStyle name="Lien hypertexte visité" xfId="3460" builtinId="9" hidden="1"/>
    <cellStyle name="Lien hypertexte visité" xfId="3500" builtinId="9" hidden="1"/>
    <cellStyle name="Lien hypertexte visité" xfId="3532" builtinId="9" hidden="1"/>
    <cellStyle name="Lien hypertexte visité" xfId="3573" builtinId="9" hidden="1"/>
    <cellStyle name="Lien hypertexte visité" xfId="3605" builtinId="9" hidden="1"/>
    <cellStyle name="Lien hypertexte visité" xfId="3645" builtinId="9" hidden="1"/>
    <cellStyle name="Lien hypertexte visité" xfId="3692" builtinId="9" hidden="1"/>
    <cellStyle name="Lien hypertexte visité" xfId="3725" builtinId="9" hidden="1"/>
    <cellStyle name="Lien hypertexte visité" xfId="3765" builtinId="9" hidden="1"/>
    <cellStyle name="Lien hypertexte visité" xfId="3797" builtinId="9" hidden="1"/>
    <cellStyle name="Lien hypertexte visité" xfId="3837" builtinId="9" hidden="1"/>
    <cellStyle name="Lien hypertexte visité" xfId="3869" builtinId="9" hidden="1"/>
    <cellStyle name="Lien hypertexte visité" xfId="3910" builtinId="9" hidden="1"/>
    <cellStyle name="Lien hypertexte visité" xfId="3946" builtinId="9" hidden="1"/>
    <cellStyle name="Lien hypertexte visité" xfId="3978" builtinId="9" hidden="1"/>
    <cellStyle name="Lien hypertexte visité" xfId="4018" builtinId="9" hidden="1"/>
    <cellStyle name="Lien hypertexte visité" xfId="4050" builtinId="9" hidden="1"/>
    <cellStyle name="Lien hypertexte visité" xfId="4090" builtinId="9" hidden="1"/>
    <cellStyle name="Lien hypertexte visité" xfId="4122" builtinId="9" hidden="1"/>
    <cellStyle name="Lien hypertexte visité" xfId="4162" builtinId="9" hidden="1"/>
    <cellStyle name="Lien hypertexte visité" xfId="4202" builtinId="9" hidden="1"/>
    <cellStyle name="Lien hypertexte visité" xfId="4234" builtinId="9" hidden="1"/>
    <cellStyle name="Lien hypertexte visité" xfId="4274" builtinId="9" hidden="1"/>
    <cellStyle name="Lien hypertexte visité" xfId="4306" builtinId="9" hidden="1"/>
    <cellStyle name="Lien hypertexte visité" xfId="4346" builtinId="9" hidden="1"/>
    <cellStyle name="Lien hypertexte visité" xfId="4378" builtinId="9" hidden="1"/>
    <cellStyle name="Lien hypertexte visité" xfId="4418" builtinId="9" hidden="1"/>
    <cellStyle name="Lien hypertexte visité" xfId="4458" builtinId="9" hidden="1"/>
    <cellStyle name="Lien hypertexte visité" xfId="4490" builtinId="9" hidden="1"/>
    <cellStyle name="Lien hypertexte visité" xfId="4530" builtinId="9" hidden="1"/>
    <cellStyle name="Lien hypertexte visité" xfId="4562" builtinId="9" hidden="1"/>
    <cellStyle name="Lien hypertexte visité" xfId="4602" builtinId="9" hidden="1"/>
    <cellStyle name="Lien hypertexte visité" xfId="4634" builtinId="9" hidden="1"/>
    <cellStyle name="Lien hypertexte visité" xfId="4674" builtinId="9" hidden="1"/>
    <cellStyle name="Lien hypertexte visité" xfId="4714" builtinId="9" hidden="1"/>
    <cellStyle name="Lien hypertexte visité" xfId="4746" builtinId="9" hidden="1"/>
    <cellStyle name="Lien hypertexte visité" xfId="4786" builtinId="9" hidden="1"/>
    <cellStyle name="Lien hypertexte visité" xfId="4818" builtinId="9" hidden="1"/>
    <cellStyle name="Lien hypertexte visité" xfId="4858" builtinId="9" hidden="1"/>
    <cellStyle name="Lien hypertexte visité" xfId="4890" builtinId="9" hidden="1"/>
    <cellStyle name="Lien hypertexte visité" xfId="4930" builtinId="9" hidden="1"/>
    <cellStyle name="Lien hypertexte visité" xfId="4970" builtinId="9" hidden="1"/>
    <cellStyle name="Lien hypertexte visité" xfId="5002" builtinId="9" hidden="1"/>
    <cellStyle name="Lien hypertexte visité" xfId="5042" builtinId="9" hidden="1"/>
    <cellStyle name="Lien hypertexte visité" xfId="5074" builtinId="9" hidden="1"/>
    <cellStyle name="Lien hypertexte visité" xfId="5114" builtinId="9" hidden="1"/>
    <cellStyle name="Lien hypertexte visité" xfId="5146" builtinId="9" hidden="1"/>
    <cellStyle name="Lien hypertexte visité" xfId="5186" builtinId="9" hidden="1"/>
    <cellStyle name="Lien hypertexte visité" xfId="5226" builtinId="9" hidden="1"/>
    <cellStyle name="Lien hypertexte visité" xfId="5258" builtinId="9" hidden="1"/>
    <cellStyle name="Lien hypertexte visité" xfId="5298" builtinId="9" hidden="1"/>
    <cellStyle name="Lien hypertexte visité" xfId="5330" builtinId="9" hidden="1"/>
    <cellStyle name="Lien hypertexte visité" xfId="5370" builtinId="9" hidden="1"/>
    <cellStyle name="Lien hypertexte visité" xfId="5402" builtinId="9" hidden="1"/>
    <cellStyle name="Lien hypertexte visité" xfId="5442" builtinId="9" hidden="1"/>
    <cellStyle name="Lien hypertexte visité" xfId="5482" builtinId="9" hidden="1"/>
    <cellStyle name="Lien hypertexte visité" xfId="5514" builtinId="9" hidden="1"/>
    <cellStyle name="Lien hypertexte visité" xfId="5554" builtinId="9" hidden="1"/>
    <cellStyle name="Lien hypertexte visité" xfId="5586" builtinId="9" hidden="1"/>
    <cellStyle name="Lien hypertexte visité" xfId="5626" builtinId="9" hidden="1"/>
    <cellStyle name="Lien hypertexte visité" xfId="5658" builtinId="9" hidden="1"/>
    <cellStyle name="Lien hypertexte visité" xfId="5698" builtinId="9" hidden="1"/>
    <cellStyle name="Lien hypertexte visité" xfId="5738" builtinId="9" hidden="1"/>
    <cellStyle name="Lien hypertexte visité" xfId="5770" builtinId="9" hidden="1"/>
    <cellStyle name="Lien hypertexte visité" xfId="5810" builtinId="9" hidden="1"/>
    <cellStyle name="Lien hypertexte visité" xfId="5842" builtinId="9" hidden="1"/>
    <cellStyle name="Lien hypertexte visité" xfId="5882" builtinId="9" hidden="1"/>
    <cellStyle name="Lien hypertexte visité" xfId="5914" builtinId="9" hidden="1"/>
    <cellStyle name="Lien hypertexte visité" xfId="5954" builtinId="9" hidden="1"/>
    <cellStyle name="Lien hypertexte visité" xfId="5994" builtinId="9" hidden="1"/>
    <cellStyle name="Lien hypertexte visité" xfId="6026" builtinId="9" hidden="1"/>
    <cellStyle name="Lien hypertexte visité" xfId="6066" builtinId="9" hidden="1"/>
    <cellStyle name="Lien hypertexte visité" xfId="6098" builtinId="9" hidden="1"/>
    <cellStyle name="Lien hypertexte visité" xfId="6138" builtinId="9" hidden="1"/>
    <cellStyle name="Lien hypertexte visité" xfId="6170" builtinId="9" hidden="1"/>
    <cellStyle name="Lien hypertexte visité" xfId="6210" builtinId="9" hidden="1"/>
    <cellStyle name="Lien hypertexte visité" xfId="6250" builtinId="9" hidden="1"/>
    <cellStyle name="Lien hypertexte visité" xfId="6282" builtinId="9" hidden="1"/>
    <cellStyle name="Lien hypertexte visité" xfId="6322" builtinId="9" hidden="1"/>
    <cellStyle name="Lien hypertexte visité" xfId="6354" builtinId="9" hidden="1"/>
    <cellStyle name="Lien hypertexte visité" xfId="6394" builtinId="9" hidden="1"/>
    <cellStyle name="Lien hypertexte visité" xfId="6426" builtinId="9" hidden="1"/>
    <cellStyle name="Lien hypertexte visité" xfId="6466" builtinId="9" hidden="1"/>
    <cellStyle name="Lien hypertexte visité" xfId="6506" builtinId="9" hidden="1"/>
    <cellStyle name="Lien hypertexte visité" xfId="6538" builtinId="9" hidden="1"/>
    <cellStyle name="Lien hypertexte visité" xfId="6578" builtinId="9" hidden="1"/>
    <cellStyle name="Lien hypertexte visité" xfId="6610" builtinId="9" hidden="1"/>
    <cellStyle name="Lien hypertexte visité" xfId="6650" builtinId="9" hidden="1"/>
    <cellStyle name="Lien hypertexte visité" xfId="6682" builtinId="9" hidden="1"/>
    <cellStyle name="Lien hypertexte visité" xfId="6722" builtinId="9" hidden="1"/>
    <cellStyle name="Lien hypertexte visité" xfId="6762" builtinId="9" hidden="1"/>
    <cellStyle name="Lien hypertexte visité" xfId="6794" builtinId="9" hidden="1"/>
    <cellStyle name="Lien hypertexte visité" xfId="6834" builtinId="9" hidden="1"/>
    <cellStyle name="Lien hypertexte visité" xfId="6866" builtinId="9" hidden="1"/>
    <cellStyle name="Lien hypertexte visité" xfId="6906" builtinId="9" hidden="1"/>
    <cellStyle name="Lien hypertexte visité" xfId="6938" builtinId="9" hidden="1"/>
    <cellStyle name="Lien hypertexte visité" xfId="6978" builtinId="9" hidden="1"/>
    <cellStyle name="Lien hypertexte visité" xfId="7018" builtinId="9" hidden="1"/>
    <cellStyle name="Lien hypertexte visité" xfId="7050" builtinId="9" hidden="1"/>
    <cellStyle name="Lien hypertexte visité" xfId="7090" builtinId="9" hidden="1"/>
    <cellStyle name="Lien hypertexte visité" xfId="7122" builtinId="9" hidden="1"/>
    <cellStyle name="Lien hypertexte visité" xfId="7162" builtinId="9" hidden="1"/>
    <cellStyle name="Lien hypertexte visité" xfId="7194" builtinId="9" hidden="1"/>
    <cellStyle name="Lien hypertexte visité" xfId="7234" builtinId="9" hidden="1"/>
    <cellStyle name="Lien hypertexte visité" xfId="7274" builtinId="9" hidden="1"/>
    <cellStyle name="Lien hypertexte visité" xfId="7306" builtinId="9" hidden="1"/>
    <cellStyle name="Lien hypertexte visité" xfId="7346" builtinId="9" hidden="1"/>
    <cellStyle name="Lien hypertexte visité" xfId="7378" builtinId="9" hidden="1"/>
    <cellStyle name="Lien hypertexte visité" xfId="7418" builtinId="9" hidden="1"/>
    <cellStyle name="Lien hypertexte visité" xfId="7450" builtinId="9" hidden="1"/>
    <cellStyle name="Lien hypertexte visité" xfId="7490" builtinId="9" hidden="1"/>
    <cellStyle name="Lien hypertexte visité" xfId="7530" builtinId="9" hidden="1"/>
    <cellStyle name="Lien hypertexte visité" xfId="7562" builtinId="9" hidden="1"/>
    <cellStyle name="Lien hypertexte visité" xfId="7602" builtinId="9" hidden="1"/>
    <cellStyle name="Lien hypertexte visité" xfId="7634" builtinId="9" hidden="1"/>
    <cellStyle name="Lien hypertexte visité" xfId="7674" builtinId="9" hidden="1"/>
    <cellStyle name="Lien hypertexte visité" xfId="7706" builtinId="9" hidden="1"/>
    <cellStyle name="Lien hypertexte visité" xfId="7746" builtinId="9" hidden="1"/>
    <cellStyle name="Lien hypertexte visité" xfId="7786" builtinId="9" hidden="1"/>
    <cellStyle name="Lien hypertexte visité" xfId="7819" builtinId="9" hidden="1"/>
    <cellStyle name="Lien hypertexte visité" xfId="7859" builtinId="9" hidden="1"/>
    <cellStyle name="Lien hypertexte visité" xfId="7891" builtinId="9" hidden="1"/>
    <cellStyle name="Lien hypertexte visité" xfId="7931" builtinId="9" hidden="1"/>
    <cellStyle name="Lien hypertexte visité" xfId="7963" builtinId="9" hidden="1"/>
    <cellStyle name="Lien hypertexte visité" xfId="8003" builtinId="9" hidden="1"/>
    <cellStyle name="Lien hypertexte visité" xfId="8043" builtinId="9" hidden="1"/>
    <cellStyle name="Lien hypertexte visité" xfId="8075" builtinId="9" hidden="1"/>
    <cellStyle name="Lien hypertexte visité" xfId="8115" builtinId="9" hidden="1"/>
    <cellStyle name="Lien hypertexte visité" xfId="8147" builtinId="9" hidden="1"/>
    <cellStyle name="Lien hypertexte visité" xfId="8187" builtinId="9" hidden="1"/>
    <cellStyle name="Lien hypertexte visité" xfId="8219" builtinId="9" hidden="1"/>
    <cellStyle name="Lien hypertexte visité" xfId="8259" builtinId="9" hidden="1"/>
    <cellStyle name="Lien hypertexte visité" xfId="8299" builtinId="9" hidden="1"/>
    <cellStyle name="Lien hypertexte visité" xfId="8331" builtinId="9" hidden="1"/>
    <cellStyle name="Lien hypertexte visité" xfId="8371" builtinId="9" hidden="1"/>
    <cellStyle name="Lien hypertexte visité" xfId="8403" builtinId="9" hidden="1"/>
    <cellStyle name="Lien hypertexte visité" xfId="8443" builtinId="9" hidden="1"/>
    <cellStyle name="Lien hypertexte visité" xfId="8475" builtinId="9" hidden="1"/>
    <cellStyle name="Lien hypertexte visité" xfId="8515" builtinId="9" hidden="1"/>
    <cellStyle name="Lien hypertexte visité" xfId="8555" builtinId="9" hidden="1"/>
    <cellStyle name="Lien hypertexte visité" xfId="8587" builtinId="9" hidden="1"/>
    <cellStyle name="Lien hypertexte visité" xfId="8627" builtinId="9" hidden="1"/>
    <cellStyle name="Lien hypertexte visité" xfId="8659" builtinId="9" hidden="1"/>
    <cellStyle name="Lien hypertexte visité" xfId="8699" builtinId="9" hidden="1"/>
    <cellStyle name="Lien hypertexte visité" xfId="8731" builtinId="9" hidden="1"/>
    <cellStyle name="Lien hypertexte visité" xfId="8771" builtinId="9" hidden="1"/>
    <cellStyle name="Lien hypertexte visité" xfId="8811" builtinId="9" hidden="1"/>
    <cellStyle name="Lien hypertexte visité" xfId="8843" builtinId="9" hidden="1"/>
    <cellStyle name="Lien hypertexte visité" xfId="8883" builtinId="9" hidden="1"/>
    <cellStyle name="Lien hypertexte visité" xfId="8915" builtinId="9" hidden="1"/>
    <cellStyle name="Lien hypertexte visité" xfId="8955" builtinId="9" hidden="1"/>
    <cellStyle name="Lien hypertexte visité" xfId="8987" builtinId="9" hidden="1"/>
    <cellStyle name="Lien hypertexte visité" xfId="9027" builtinId="9" hidden="1"/>
    <cellStyle name="Lien hypertexte visité" xfId="9067" builtinId="9" hidden="1"/>
    <cellStyle name="Lien hypertexte visité" xfId="9099" builtinId="9" hidden="1"/>
    <cellStyle name="Lien hypertexte visité" xfId="9139" builtinId="9" hidden="1"/>
    <cellStyle name="Lien hypertexte visité" xfId="9171" builtinId="9" hidden="1"/>
    <cellStyle name="Lien hypertexte visité" xfId="9211" builtinId="9" hidden="1"/>
    <cellStyle name="Lien hypertexte visité" xfId="9243" builtinId="9" hidden="1"/>
    <cellStyle name="Lien hypertexte visité" xfId="9283" builtinId="9" hidden="1"/>
    <cellStyle name="Lien hypertexte visité" xfId="9323" builtinId="9" hidden="1"/>
    <cellStyle name="Lien hypertexte visité" xfId="9355" builtinId="9" hidden="1"/>
    <cellStyle name="Lien hypertexte visité" xfId="9395" builtinId="9" hidden="1"/>
    <cellStyle name="Lien hypertexte visité" xfId="9427" builtinId="9" hidden="1"/>
    <cellStyle name="Lien hypertexte visité" xfId="9467" builtinId="9" hidden="1"/>
    <cellStyle name="Lien hypertexte visité" xfId="491" builtinId="9" hidden="1"/>
    <cellStyle name="Lien hypertexte visité" xfId="235" builtinId="9" hidden="1"/>
    <cellStyle name="Lien hypertexte visité" xfId="53" builtinId="9" hidden="1"/>
    <cellStyle name="Lien hypertexte visité" xfId="247" builtinId="9" hidden="1"/>
    <cellStyle name="Lien hypertexte visité" xfId="503" builtinId="9" hidden="1"/>
    <cellStyle name="Lien hypertexte visité" xfId="759" builtinId="9" hidden="1"/>
    <cellStyle name="Lien hypertexte visité" xfId="1015" builtinId="9" hidden="1"/>
    <cellStyle name="Lien hypertexte visité" xfId="1217" builtinId="9" hidden="1"/>
    <cellStyle name="Lien hypertexte visité" xfId="1345" builtinId="9" hidden="1"/>
    <cellStyle name="Lien hypertexte visité" xfId="1473" builtinId="9" hidden="1"/>
    <cellStyle name="Lien hypertexte visité" xfId="1602" builtinId="9" hidden="1"/>
    <cellStyle name="Lien hypertexte visité" xfId="1730" builtinId="9" hidden="1"/>
    <cellStyle name="Lien hypertexte visité" xfId="1858" builtinId="9" hidden="1"/>
    <cellStyle name="Lien hypertexte visité" xfId="1986" builtinId="9" hidden="1"/>
    <cellStyle name="Lien hypertexte visité" xfId="2114" builtinId="9" hidden="1"/>
    <cellStyle name="Lien hypertexte visité" xfId="2242" builtinId="9" hidden="1"/>
    <cellStyle name="Lien hypertexte visité" xfId="2370" builtinId="9" hidden="1"/>
    <cellStyle name="Lien hypertexte visité" xfId="2498" builtinId="9" hidden="1"/>
    <cellStyle name="Lien hypertexte visité" xfId="2626" builtinId="9" hidden="1"/>
    <cellStyle name="Lien hypertexte visité" xfId="2754" builtinId="9" hidden="1"/>
    <cellStyle name="Lien hypertexte visité" xfId="2882" builtinId="9" hidden="1"/>
    <cellStyle name="Lien hypertexte visité" xfId="3010" builtinId="9" hidden="1"/>
    <cellStyle name="Lien hypertexte visité" xfId="3138" builtinId="9" hidden="1"/>
    <cellStyle name="Lien hypertexte visité" xfId="3266" builtinId="9" hidden="1"/>
    <cellStyle name="Lien hypertexte visité" xfId="3394" builtinId="9" hidden="1"/>
    <cellStyle name="Lien hypertexte visité" xfId="3522" builtinId="9" hidden="1"/>
    <cellStyle name="Lien hypertexte visité" xfId="3651" builtinId="9" hidden="1"/>
    <cellStyle name="Lien hypertexte visité" xfId="3787" builtinId="9" hidden="1"/>
    <cellStyle name="Lien hypertexte visité" xfId="3916" builtinId="9" hidden="1"/>
    <cellStyle name="Lien hypertexte visité" xfId="4040" builtinId="9" hidden="1"/>
    <cellStyle name="Lien hypertexte visité" xfId="4168" builtinId="9" hidden="1"/>
    <cellStyle name="Lien hypertexte visité" xfId="4296" builtinId="9" hidden="1"/>
    <cellStyle name="Lien hypertexte visité" xfId="4424" builtinId="9" hidden="1"/>
    <cellStyle name="Lien hypertexte visité" xfId="4552" builtinId="9" hidden="1"/>
    <cellStyle name="Lien hypertexte visité" xfId="4680" builtinId="9" hidden="1"/>
    <cellStyle name="Lien hypertexte visité" xfId="4808" builtinId="9" hidden="1"/>
    <cellStyle name="Lien hypertexte visité" xfId="4936" builtinId="9" hidden="1"/>
    <cellStyle name="Lien hypertexte visité" xfId="5064" builtinId="9" hidden="1"/>
    <cellStyle name="Lien hypertexte visité" xfId="5192" builtinId="9" hidden="1"/>
    <cellStyle name="Lien hypertexte visité" xfId="5320" builtinId="9" hidden="1"/>
    <cellStyle name="Lien hypertexte visité" xfId="5448" builtinId="9" hidden="1"/>
    <cellStyle name="Lien hypertexte visité" xfId="5576" builtinId="9" hidden="1"/>
    <cellStyle name="Lien hypertexte visité" xfId="5704" builtinId="9" hidden="1"/>
    <cellStyle name="Lien hypertexte visité" xfId="5832" builtinId="9" hidden="1"/>
    <cellStyle name="Lien hypertexte visité" xfId="5960" builtinId="9" hidden="1"/>
    <cellStyle name="Lien hypertexte visité" xfId="6088" builtinId="9" hidden="1"/>
    <cellStyle name="Lien hypertexte visité" xfId="6216" builtinId="9" hidden="1"/>
    <cellStyle name="Lien hypertexte visité" xfId="6344" builtinId="9" hidden="1"/>
    <cellStyle name="Lien hypertexte visité" xfId="9214" builtinId="9" hidden="1"/>
    <cellStyle name="Lien hypertexte visité" xfId="9190" builtinId="9" hidden="1"/>
    <cellStyle name="Lien hypertexte visité" xfId="9170" builtinId="9" hidden="1"/>
    <cellStyle name="Lien hypertexte visité" xfId="9126" builtinId="9" hidden="1"/>
    <cellStyle name="Lien hypertexte visité" xfId="9106" builtinId="9" hidden="1"/>
    <cellStyle name="Lien hypertexte visité" xfId="9086" builtinId="9" hidden="1"/>
    <cellStyle name="Lien hypertexte visité" xfId="9042" builtinId="9" hidden="1"/>
    <cellStyle name="Lien hypertexte visité" xfId="9022" builtinId="9" hidden="1"/>
    <cellStyle name="Lien hypertexte visité" xfId="8998" builtinId="9" hidden="1"/>
    <cellStyle name="Lien hypertexte visité" xfId="8958" builtinId="9" hidden="1"/>
    <cellStyle name="Lien hypertexte visité" xfId="8934" builtinId="9" hidden="1"/>
    <cellStyle name="Lien hypertexte visité" xfId="8914" builtinId="9" hidden="1"/>
    <cellStyle name="Lien hypertexte visité" xfId="8870" builtinId="9" hidden="1"/>
    <cellStyle name="Lien hypertexte visité" xfId="8850" builtinId="9" hidden="1"/>
    <cellStyle name="Lien hypertexte visité" xfId="8830" builtinId="9" hidden="1"/>
    <cellStyle name="Lien hypertexte visité" xfId="8786" builtinId="9" hidden="1"/>
    <cellStyle name="Lien hypertexte visité" xfId="8766" builtinId="9" hidden="1"/>
    <cellStyle name="Lien hypertexte visité" xfId="8742" builtinId="9" hidden="1"/>
    <cellStyle name="Lien hypertexte visité" xfId="8702" builtinId="9" hidden="1"/>
    <cellStyle name="Lien hypertexte visité" xfId="8678" builtinId="9" hidden="1"/>
    <cellStyle name="Lien hypertexte visité" xfId="8658" builtinId="9" hidden="1"/>
    <cellStyle name="Lien hypertexte visité" xfId="8614" builtinId="9" hidden="1"/>
    <cellStyle name="Lien hypertexte visité" xfId="8594" builtinId="9" hidden="1"/>
    <cellStyle name="Lien hypertexte visité" xfId="8574" builtinId="9" hidden="1"/>
    <cellStyle name="Lien hypertexte visité" xfId="8530" builtinId="9" hidden="1"/>
    <cellStyle name="Lien hypertexte visité" xfId="8510" builtinId="9" hidden="1"/>
    <cellStyle name="Lien hypertexte visité" xfId="8486" builtinId="9" hidden="1"/>
    <cellStyle name="Lien hypertexte visité" xfId="8446" builtinId="9" hidden="1"/>
    <cellStyle name="Lien hypertexte visité" xfId="8422" builtinId="9" hidden="1"/>
    <cellStyle name="Lien hypertexte visité" xfId="8402" builtinId="9" hidden="1"/>
    <cellStyle name="Lien hypertexte visité" xfId="8358" builtinId="9" hidden="1"/>
    <cellStyle name="Lien hypertexte visité" xfId="8338" builtinId="9" hidden="1"/>
    <cellStyle name="Lien hypertexte visité" xfId="8318" builtinId="9" hidden="1"/>
    <cellStyle name="Lien hypertexte visité" xfId="8274" builtinId="9" hidden="1"/>
    <cellStyle name="Lien hypertexte visité" xfId="8254" builtinId="9" hidden="1"/>
    <cellStyle name="Lien hypertexte visité" xfId="8230" builtinId="9" hidden="1"/>
    <cellStyle name="Lien hypertexte visité" xfId="17227" builtinId="9" hidden="1"/>
    <cellStyle name="Lien hypertexte visité" xfId="17163" builtinId="9" hidden="1"/>
    <cellStyle name="Lien hypertexte visité" xfId="17099" builtinId="9" hidden="1"/>
    <cellStyle name="Lien hypertexte visité" xfId="16971" builtinId="9" hidden="1"/>
    <cellStyle name="Lien hypertexte visité" xfId="16907" builtinId="9" hidden="1"/>
    <cellStyle name="Lien hypertexte visité" xfId="16843" builtinId="9" hidden="1"/>
    <cellStyle name="Lien hypertexte visité" xfId="16715" builtinId="9" hidden="1"/>
    <cellStyle name="Lien hypertexte visité" xfId="16651" builtinId="9" hidden="1"/>
    <cellStyle name="Lien hypertexte visité" xfId="16587" builtinId="9" hidden="1"/>
    <cellStyle name="Lien hypertexte visité" xfId="16459" builtinId="9" hidden="1"/>
    <cellStyle name="Lien hypertexte visité" xfId="16395" builtinId="9" hidden="1"/>
    <cellStyle name="Lien hypertexte visité" xfId="16331" builtinId="9" hidden="1"/>
    <cellStyle name="Lien hypertexte visité" xfId="16203" builtinId="9" hidden="1"/>
    <cellStyle name="Lien hypertexte visité" xfId="16139" builtinId="9" hidden="1"/>
    <cellStyle name="Lien hypertexte visité" xfId="16075" builtinId="9" hidden="1"/>
    <cellStyle name="Lien hypertexte visité" xfId="15947" builtinId="9" hidden="1"/>
    <cellStyle name="Lien hypertexte visité" xfId="15883" builtinId="9" hidden="1"/>
    <cellStyle name="Lien hypertexte visité" xfId="15819" builtinId="9" hidden="1"/>
    <cellStyle name="Lien hypertexte visité" xfId="15691" builtinId="9" hidden="1"/>
    <cellStyle name="Lien hypertexte visité" xfId="15627" builtinId="9" hidden="1"/>
    <cellStyle name="Lien hypertexte visité" xfId="15563" builtinId="9" hidden="1"/>
    <cellStyle name="Lien hypertexte visité" xfId="15435" builtinId="9" hidden="1"/>
    <cellStyle name="Lien hypertexte visité" xfId="15371" builtinId="9" hidden="1"/>
    <cellStyle name="Lien hypertexte visité" xfId="15307" builtinId="9" hidden="1"/>
    <cellStyle name="Lien hypertexte visité" xfId="15179" builtinId="9" hidden="1"/>
    <cellStyle name="Lien hypertexte visité" xfId="15115" builtinId="9" hidden="1"/>
    <cellStyle name="Lien hypertexte visité" xfId="15051" builtinId="9" hidden="1"/>
    <cellStyle name="Lien hypertexte visité" xfId="14923" builtinId="9" hidden="1"/>
    <cellStyle name="Lien hypertexte visité" xfId="14859" builtinId="9" hidden="1"/>
    <cellStyle name="Lien hypertexte visité" xfId="14795" builtinId="9" hidden="1"/>
    <cellStyle name="Lien hypertexte visité" xfId="14667" builtinId="9" hidden="1"/>
    <cellStyle name="Lien hypertexte visité" xfId="14603" builtinId="9" hidden="1"/>
    <cellStyle name="Lien hypertexte visité" xfId="14539" builtinId="9" hidden="1"/>
    <cellStyle name="Lien hypertexte visité" xfId="14463" builtinId="9" hidden="1"/>
    <cellStyle name="Lien hypertexte visité" xfId="14431" builtinId="9" hidden="1"/>
    <cellStyle name="Lien hypertexte visité" xfId="14399" builtinId="9" hidden="1"/>
    <cellStyle name="Lien hypertexte visité" xfId="14335" builtinId="9" hidden="1"/>
    <cellStyle name="Lien hypertexte visité" xfId="14303" builtinId="9" hidden="1"/>
    <cellStyle name="Lien hypertexte visité" xfId="14271" builtinId="9" hidden="1"/>
    <cellStyle name="Lien hypertexte visité" xfId="14207" builtinId="9" hidden="1"/>
    <cellStyle name="Lien hypertexte visité" xfId="14175" builtinId="9" hidden="1"/>
    <cellStyle name="Lien hypertexte visité" xfId="14143" builtinId="9" hidden="1"/>
    <cellStyle name="Lien hypertexte visité" xfId="14079" builtinId="9" hidden="1"/>
    <cellStyle name="Lien hypertexte visité" xfId="14047" builtinId="9" hidden="1"/>
    <cellStyle name="Lien hypertexte visité" xfId="14015" builtinId="9" hidden="1"/>
    <cellStyle name="Lien hypertexte visité" xfId="13951" builtinId="9" hidden="1"/>
    <cellStyle name="Lien hypertexte visité" xfId="13919" builtinId="9" hidden="1"/>
    <cellStyle name="Lien hypertexte visité" xfId="13887" builtinId="9" hidden="1"/>
    <cellStyle name="Lien hypertexte visité" xfId="13823" builtinId="9" hidden="1"/>
    <cellStyle name="Lien hypertexte visité" xfId="13791" builtinId="9" hidden="1"/>
    <cellStyle name="Lien hypertexte visité" xfId="13759" builtinId="9" hidden="1"/>
    <cellStyle name="Lien hypertexte visité" xfId="13695" builtinId="9" hidden="1"/>
    <cellStyle name="Lien hypertexte visité" xfId="13663" builtinId="9" hidden="1"/>
    <cellStyle name="Lien hypertexte visité" xfId="13631" builtinId="9" hidden="1"/>
    <cellStyle name="Lien hypertexte visité" xfId="13567" builtinId="9" hidden="1"/>
    <cellStyle name="Lien hypertexte visité" xfId="13535" builtinId="9" hidden="1"/>
    <cellStyle name="Lien hypertexte visité" xfId="13503" builtinId="9" hidden="1"/>
    <cellStyle name="Lien hypertexte visité" xfId="13439" builtinId="9" hidden="1"/>
    <cellStyle name="Lien hypertexte visité" xfId="13407" builtinId="9" hidden="1"/>
    <cellStyle name="Lien hypertexte visité" xfId="13375" builtinId="9" hidden="1"/>
    <cellStyle name="Lien hypertexte visité" xfId="13311" builtinId="9" hidden="1"/>
    <cellStyle name="Lien hypertexte visité" xfId="13279" builtinId="9" hidden="1"/>
    <cellStyle name="Lien hypertexte visité" xfId="13247" builtinId="9" hidden="1"/>
    <cellStyle name="Lien hypertexte visité" xfId="13183" builtinId="9" hidden="1"/>
    <cellStyle name="Lien hypertexte visité" xfId="13151" builtinId="9" hidden="1"/>
    <cellStyle name="Lien hypertexte visité" xfId="13119" builtinId="9" hidden="1"/>
    <cellStyle name="Lien hypertexte visité" xfId="13055" builtinId="9" hidden="1"/>
    <cellStyle name="Lien hypertexte visité" xfId="13023" builtinId="9" hidden="1"/>
    <cellStyle name="Lien hypertexte visité" xfId="12991" builtinId="9" hidden="1"/>
    <cellStyle name="Lien hypertexte visité" xfId="12927" builtinId="9" hidden="1"/>
    <cellStyle name="Lien hypertexte visité" xfId="12895" builtinId="9" hidden="1"/>
    <cellStyle name="Lien hypertexte visité" xfId="12863" builtinId="9" hidden="1"/>
    <cellStyle name="Lien hypertexte visité" xfId="12799" builtinId="9" hidden="1"/>
    <cellStyle name="Lien hypertexte visité" xfId="12767" builtinId="9" hidden="1"/>
    <cellStyle name="Lien hypertexte visité" xfId="12735" builtinId="9" hidden="1"/>
    <cellStyle name="Lien hypertexte visité" xfId="12671" builtinId="9" hidden="1"/>
    <cellStyle name="Lien hypertexte visité" xfId="12639" builtinId="9" hidden="1"/>
    <cellStyle name="Lien hypertexte visité" xfId="12607" builtinId="9" hidden="1"/>
    <cellStyle name="Lien hypertexte visité" xfId="12543" builtinId="9" hidden="1"/>
    <cellStyle name="Lien hypertexte visité" xfId="12511" builtinId="9" hidden="1"/>
    <cellStyle name="Lien hypertexte visité" xfId="12479" builtinId="9" hidden="1"/>
    <cellStyle name="Lien hypertexte visité" xfId="12415" builtinId="9" hidden="1"/>
    <cellStyle name="Lien hypertexte visité" xfId="12383" builtinId="9" hidden="1"/>
    <cellStyle name="Lien hypertexte visité" xfId="12351" builtinId="9" hidden="1"/>
    <cellStyle name="Lien hypertexte visité" xfId="12287" builtinId="9" hidden="1"/>
    <cellStyle name="Lien hypertexte visité" xfId="12255" builtinId="9" hidden="1"/>
    <cellStyle name="Lien hypertexte visité" xfId="12223" builtinId="9" hidden="1"/>
    <cellStyle name="Lien hypertexte visité" xfId="12159" builtinId="9" hidden="1"/>
    <cellStyle name="Lien hypertexte visité" xfId="12127" builtinId="9" hidden="1"/>
    <cellStyle name="Lien hypertexte visité" xfId="12095" builtinId="9" hidden="1"/>
    <cellStyle name="Lien hypertexte visité" xfId="12031" builtinId="9" hidden="1"/>
    <cellStyle name="Lien hypertexte visité" xfId="11999" builtinId="9" hidden="1"/>
    <cellStyle name="Lien hypertexte visité" xfId="11967" builtinId="9" hidden="1"/>
    <cellStyle name="Lien hypertexte visité" xfId="11903" builtinId="9" hidden="1"/>
    <cellStyle name="Lien hypertexte visité" xfId="11871" builtinId="9" hidden="1"/>
    <cellStyle name="Lien hypertexte visité" xfId="11839" builtinId="9" hidden="1"/>
    <cellStyle name="Lien hypertexte visité" xfId="11775" builtinId="9" hidden="1"/>
    <cellStyle name="Lien hypertexte visité" xfId="11743" builtinId="9" hidden="1"/>
    <cellStyle name="Lien hypertexte visité" xfId="11711" builtinId="9" hidden="1"/>
    <cellStyle name="Lien hypertexte visité" xfId="11647" builtinId="9" hidden="1"/>
    <cellStyle name="Lien hypertexte visité" xfId="11615" builtinId="9" hidden="1"/>
    <cellStyle name="Lien hypertexte visité" xfId="11583" builtinId="9" hidden="1"/>
    <cellStyle name="Lien hypertexte visité" xfId="11519" builtinId="9" hidden="1"/>
    <cellStyle name="Lien hypertexte visité" xfId="11487" builtinId="9" hidden="1"/>
    <cellStyle name="Lien hypertexte visité" xfId="11455" builtinId="9" hidden="1"/>
    <cellStyle name="Lien hypertexte visité" xfId="11391" builtinId="9" hidden="1"/>
    <cellStyle name="Lien hypertexte visité" xfId="11359" builtinId="9" hidden="1"/>
    <cellStyle name="Lien hypertexte visité" xfId="11327" builtinId="9" hidden="1"/>
    <cellStyle name="Lien hypertexte visité" xfId="11263" builtinId="9" hidden="1"/>
    <cellStyle name="Lien hypertexte visité" xfId="11231" builtinId="9" hidden="1"/>
    <cellStyle name="Lien hypertexte visité" xfId="11199" builtinId="9" hidden="1"/>
    <cellStyle name="Lien hypertexte visité" xfId="11135" builtinId="9" hidden="1"/>
    <cellStyle name="Lien hypertexte visité" xfId="11103" builtinId="9" hidden="1"/>
    <cellStyle name="Lien hypertexte visité" xfId="11071" builtinId="9" hidden="1"/>
    <cellStyle name="Lien hypertexte visité" xfId="11007" builtinId="9" hidden="1"/>
    <cellStyle name="Lien hypertexte visité" xfId="10975" builtinId="9" hidden="1"/>
    <cellStyle name="Lien hypertexte visité" xfId="10943" builtinId="9" hidden="1"/>
    <cellStyle name="Lien hypertexte visité" xfId="10879" builtinId="9" hidden="1"/>
    <cellStyle name="Lien hypertexte visité" xfId="10847" builtinId="9" hidden="1"/>
    <cellStyle name="Lien hypertexte visité" xfId="10815" builtinId="9" hidden="1"/>
    <cellStyle name="Lien hypertexte visité" xfId="10751" builtinId="9" hidden="1"/>
    <cellStyle name="Lien hypertexte visité" xfId="10719" builtinId="9" hidden="1"/>
    <cellStyle name="Lien hypertexte visité" xfId="10687" builtinId="9" hidden="1"/>
    <cellStyle name="Lien hypertexte visité" xfId="10623" builtinId="9" hidden="1"/>
    <cellStyle name="Lien hypertexte visité" xfId="10591" builtinId="9" hidden="1"/>
    <cellStyle name="Lien hypertexte visité" xfId="10559" builtinId="9" hidden="1"/>
    <cellStyle name="Lien hypertexte visité" xfId="10495" builtinId="9" hidden="1"/>
    <cellStyle name="Lien hypertexte visité" xfId="10463" builtinId="9" hidden="1"/>
    <cellStyle name="Lien hypertexte visité" xfId="10431" builtinId="9" hidden="1"/>
    <cellStyle name="Lien hypertexte visité" xfId="10367" builtinId="9" hidden="1"/>
    <cellStyle name="Lien hypertexte visité" xfId="10335" builtinId="9" hidden="1"/>
    <cellStyle name="Lien hypertexte visité" xfId="10303" builtinId="9" hidden="1"/>
    <cellStyle name="Lien hypertexte visité" xfId="10239" builtinId="9" hidden="1"/>
    <cellStyle name="Lien hypertexte visité" xfId="10207" builtinId="9" hidden="1"/>
    <cellStyle name="Lien hypertexte visité" xfId="10175" builtinId="9" hidden="1"/>
    <cellStyle name="Lien hypertexte visité" xfId="10111" builtinId="9" hidden="1"/>
    <cellStyle name="Lien hypertexte visité" xfId="10079" builtinId="9" hidden="1"/>
    <cellStyle name="Lien hypertexte visité" xfId="10047" builtinId="9" hidden="1"/>
    <cellStyle name="Lien hypertexte visité" xfId="9983" builtinId="9" hidden="1"/>
    <cellStyle name="Lien hypertexte visité" xfId="9951" builtinId="9" hidden="1"/>
    <cellStyle name="Lien hypertexte visité" xfId="9919" builtinId="9" hidden="1"/>
    <cellStyle name="Lien hypertexte visité" xfId="9855" builtinId="9" hidden="1"/>
    <cellStyle name="Lien hypertexte visité" xfId="9823" builtinId="9" hidden="1"/>
    <cellStyle name="Lien hypertexte visité" xfId="9791" builtinId="9" hidden="1"/>
    <cellStyle name="Lien hypertexte visité" xfId="9727" builtinId="9" hidden="1"/>
    <cellStyle name="Lien hypertexte visité" xfId="9695" builtinId="9" hidden="1"/>
    <cellStyle name="Lien hypertexte visité" xfId="9663" builtinId="9" hidden="1"/>
    <cellStyle name="Lien hypertexte visité" xfId="9599" builtinId="9" hidden="1"/>
    <cellStyle name="Lien hypertexte visité" xfId="9567" builtinId="9" hidden="1"/>
    <cellStyle name="Lien hypertexte visité" xfId="9535" builtinId="9" hidden="1"/>
    <cellStyle name="Lien hypertexte visité" xfId="9471" builtinId="9" hidden="1"/>
    <cellStyle name="Lien hypertexte visité" xfId="9439" builtinId="9" hidden="1"/>
    <cellStyle name="Lien hypertexte visité" xfId="9407" builtinId="9" hidden="1"/>
    <cellStyle name="Lien hypertexte visité" xfId="9343" builtinId="9" hidden="1"/>
    <cellStyle name="Lien hypertexte visité" xfId="9311" builtinId="9" hidden="1"/>
    <cellStyle name="Lien hypertexte visité" xfId="9279" builtinId="9" hidden="1"/>
    <cellStyle name="Lien hypertexte visité" xfId="9215" builtinId="9" hidden="1"/>
    <cellStyle name="Lien hypertexte visité" xfId="9183" builtinId="9" hidden="1"/>
    <cellStyle name="Lien hypertexte visité" xfId="9151" builtinId="9" hidden="1"/>
    <cellStyle name="Lien hypertexte visité" xfId="9087" builtinId="9" hidden="1"/>
    <cellStyle name="Lien hypertexte visité" xfId="9055" builtinId="9" hidden="1"/>
    <cellStyle name="Lien hypertexte visité" xfId="9023" builtinId="9" hidden="1"/>
    <cellStyle name="Lien hypertexte visité" xfId="8959" builtinId="9" hidden="1"/>
    <cellStyle name="Lien hypertexte visité" xfId="8927" builtinId="9" hidden="1"/>
    <cellStyle name="Lien hypertexte visité" xfId="8895" builtinId="9" hidden="1"/>
    <cellStyle name="Lien hypertexte visité" xfId="8831" builtinId="9" hidden="1"/>
    <cellStyle name="Lien hypertexte visité" xfId="8799" builtinId="9" hidden="1"/>
    <cellStyle name="Lien hypertexte visité" xfId="8767" builtinId="9" hidden="1"/>
    <cellStyle name="Lien hypertexte visité" xfId="8703" builtinId="9" hidden="1"/>
    <cellStyle name="Lien hypertexte visité" xfId="8671" builtinId="9" hidden="1"/>
    <cellStyle name="Lien hypertexte visité" xfId="8639" builtinId="9" hidden="1"/>
    <cellStyle name="Lien hypertexte visité" xfId="8575" builtinId="9" hidden="1"/>
    <cellStyle name="Lien hypertexte visité" xfId="8543" builtinId="9" hidden="1"/>
    <cellStyle name="Lien hypertexte visité" xfId="8511" builtinId="9" hidden="1"/>
    <cellStyle name="Lien hypertexte visité" xfId="8447" builtinId="9" hidden="1"/>
    <cellStyle name="Lien hypertexte visité" xfId="8415" builtinId="9" hidden="1"/>
    <cellStyle name="Lien hypertexte visité" xfId="8383" builtinId="9" hidden="1"/>
    <cellStyle name="Lien hypertexte visité" xfId="8319" builtinId="9" hidden="1"/>
    <cellStyle name="Lien hypertexte visité" xfId="8287" builtinId="9" hidden="1"/>
    <cellStyle name="Lien hypertexte visité" xfId="8255" builtinId="9" hidden="1"/>
    <cellStyle name="Lien hypertexte visité" xfId="8191" builtinId="9" hidden="1"/>
    <cellStyle name="Lien hypertexte visité" xfId="8159" builtinId="9" hidden="1"/>
    <cellStyle name="Lien hypertexte visité" xfId="8127" builtinId="9" hidden="1"/>
    <cellStyle name="Lien hypertexte visité" xfId="8063" builtinId="9" hidden="1"/>
    <cellStyle name="Lien hypertexte visité" xfId="8031" builtinId="9" hidden="1"/>
    <cellStyle name="Lien hypertexte visité" xfId="7999" builtinId="9" hidden="1"/>
    <cellStyle name="Lien hypertexte visité" xfId="7935" builtinId="9" hidden="1"/>
    <cellStyle name="Lien hypertexte visité" xfId="7903" builtinId="9" hidden="1"/>
    <cellStyle name="Lien hypertexte visité" xfId="7871" builtinId="9" hidden="1"/>
    <cellStyle name="Lien hypertexte visité" xfId="7806" builtinId="9" hidden="1"/>
    <cellStyle name="Lien hypertexte visité" xfId="7774" builtinId="9" hidden="1"/>
    <cellStyle name="Lien hypertexte visité" xfId="7742" builtinId="9" hidden="1"/>
    <cellStyle name="Lien hypertexte visité" xfId="7678" builtinId="9" hidden="1"/>
    <cellStyle name="Lien hypertexte visité" xfId="7646" builtinId="9" hidden="1"/>
    <cellStyle name="Lien hypertexte visité" xfId="7614" builtinId="9" hidden="1"/>
    <cellStyle name="Lien hypertexte visité" xfId="7550" builtinId="9" hidden="1"/>
    <cellStyle name="Lien hypertexte visité" xfId="7518" builtinId="9" hidden="1"/>
    <cellStyle name="Lien hypertexte visité" xfId="7486" builtinId="9" hidden="1"/>
    <cellStyle name="Lien hypertexte visité" xfId="7422" builtinId="9" hidden="1"/>
    <cellStyle name="Lien hypertexte visité" xfId="7390" builtinId="9" hidden="1"/>
    <cellStyle name="Lien hypertexte visité" xfId="7358" builtinId="9" hidden="1"/>
    <cellStyle name="Lien hypertexte visité" xfId="7294" builtinId="9" hidden="1"/>
    <cellStyle name="Lien hypertexte visité" xfId="7262" builtinId="9" hidden="1"/>
    <cellStyle name="Lien hypertexte visité" xfId="7230" builtinId="9" hidden="1"/>
    <cellStyle name="Lien hypertexte visité" xfId="7166" builtinId="9" hidden="1"/>
    <cellStyle name="Lien hypertexte visité" xfId="7134" builtinId="9" hidden="1"/>
    <cellStyle name="Lien hypertexte visité" xfId="7102" builtinId="9" hidden="1"/>
    <cellStyle name="Lien hypertexte visité" xfId="7038" builtinId="9" hidden="1"/>
    <cellStyle name="Lien hypertexte visité" xfId="7006" builtinId="9" hidden="1"/>
    <cellStyle name="Lien hypertexte visité" xfId="6974" builtinId="9" hidden="1"/>
    <cellStyle name="Lien hypertexte visité" xfId="6910" builtinId="9" hidden="1"/>
    <cellStyle name="Lien hypertexte visité" xfId="6878" builtinId="9" hidden="1"/>
    <cellStyle name="Lien hypertexte visité" xfId="6846" builtinId="9" hidden="1"/>
    <cellStyle name="Lien hypertexte visité" xfId="6782" builtinId="9" hidden="1"/>
    <cellStyle name="Lien hypertexte visité" xfId="6750" builtinId="9" hidden="1"/>
    <cellStyle name="Lien hypertexte visité" xfId="6718" builtinId="9" hidden="1"/>
    <cellStyle name="Lien hypertexte visité" xfId="6654" builtinId="9" hidden="1"/>
    <cellStyle name="Lien hypertexte visité" xfId="6622" builtinId="9" hidden="1"/>
    <cellStyle name="Lien hypertexte visité" xfId="6590" builtinId="9" hidden="1"/>
    <cellStyle name="Lien hypertexte visité" xfId="6526" builtinId="9" hidden="1"/>
    <cellStyle name="Lien hypertexte visité" xfId="6494" builtinId="9" hidden="1"/>
    <cellStyle name="Lien hypertexte visité" xfId="6462" builtinId="9" hidden="1"/>
    <cellStyle name="Lien hypertexte visité" xfId="6398" builtinId="9" hidden="1"/>
    <cellStyle name="Lien hypertexte visité" xfId="6366" builtinId="9" hidden="1"/>
    <cellStyle name="Lien hypertexte visité" xfId="6334" builtinId="9" hidden="1"/>
    <cellStyle name="Lien hypertexte visité" xfId="6270" builtinId="9" hidden="1"/>
    <cellStyle name="Lien hypertexte visité" xfId="6238" builtinId="9" hidden="1"/>
    <cellStyle name="Lien hypertexte visité" xfId="6206" builtinId="9" hidden="1"/>
    <cellStyle name="Lien hypertexte visité" xfId="6142" builtinId="9" hidden="1"/>
    <cellStyle name="Lien hypertexte visité" xfId="6110" builtinId="9" hidden="1"/>
    <cellStyle name="Lien hypertexte visité" xfId="6078" builtinId="9" hidden="1"/>
    <cellStyle name="Lien hypertexte visité" xfId="6014" builtinId="9" hidden="1"/>
    <cellStyle name="Lien hypertexte visité" xfId="5982" builtinId="9" hidden="1"/>
    <cellStyle name="Lien hypertexte visité" xfId="5950" builtinId="9" hidden="1"/>
    <cellStyle name="Lien hypertexte visité" xfId="5886" builtinId="9" hidden="1"/>
    <cellStyle name="Lien hypertexte visité" xfId="5854" builtinId="9" hidden="1"/>
    <cellStyle name="Lien hypertexte visité" xfId="5822" builtinId="9" hidden="1"/>
    <cellStyle name="Lien hypertexte visité" xfId="5758" builtinId="9" hidden="1"/>
    <cellStyle name="Lien hypertexte visité" xfId="5726" builtinId="9" hidden="1"/>
    <cellStyle name="Lien hypertexte visité" xfId="5694" builtinId="9" hidden="1"/>
    <cellStyle name="Lien hypertexte visité" xfId="5630" builtinId="9" hidden="1"/>
    <cellStyle name="Lien hypertexte visité" xfId="5598" builtinId="9" hidden="1"/>
    <cellStyle name="Lien hypertexte visité" xfId="5566" builtinId="9" hidden="1"/>
    <cellStyle name="Lien hypertexte visité" xfId="5502" builtinId="9" hidden="1"/>
    <cellStyle name="Lien hypertexte visité" xfId="5470" builtinId="9" hidden="1"/>
    <cellStyle name="Lien hypertexte visité" xfId="5438" builtinId="9" hidden="1"/>
    <cellStyle name="Lien hypertexte visité" xfId="5374" builtinId="9" hidden="1"/>
    <cellStyle name="Lien hypertexte visité" xfId="5342" builtinId="9" hidden="1"/>
    <cellStyle name="Lien hypertexte visité" xfId="5310" builtinId="9" hidden="1"/>
    <cellStyle name="Lien hypertexte visité" xfId="5246" builtinId="9" hidden="1"/>
    <cellStyle name="Lien hypertexte visité" xfId="5214" builtinId="9" hidden="1"/>
    <cellStyle name="Lien hypertexte visité" xfId="5182" builtinId="9" hidden="1"/>
    <cellStyle name="Lien hypertexte visité" xfId="5118" builtinId="9" hidden="1"/>
    <cellStyle name="Lien hypertexte visité" xfId="5086" builtinId="9" hidden="1"/>
    <cellStyle name="Lien hypertexte visité" xfId="5054" builtinId="9" hidden="1"/>
    <cellStyle name="Lien hypertexte visité" xfId="4990" builtinId="9" hidden="1"/>
    <cellStyle name="Lien hypertexte visité" xfId="4958" builtinId="9" hidden="1"/>
    <cellStyle name="Lien hypertexte visité" xfId="4926" builtinId="9" hidden="1"/>
    <cellStyle name="Lien hypertexte visité" xfId="4862" builtinId="9" hidden="1"/>
    <cellStyle name="Lien hypertexte visité" xfId="4830" builtinId="9" hidden="1"/>
    <cellStyle name="Lien hypertexte visité" xfId="4798" builtinId="9" hidden="1"/>
    <cellStyle name="Lien hypertexte visité" xfId="4734" builtinId="9" hidden="1"/>
    <cellStyle name="Lien hypertexte visité" xfId="4702" builtinId="9" hidden="1"/>
    <cellStyle name="Lien hypertexte visité" xfId="4670" builtinId="9" hidden="1"/>
    <cellStyle name="Lien hypertexte visité" xfId="4606" builtinId="9" hidden="1"/>
    <cellStyle name="Lien hypertexte visité" xfId="4574" builtinId="9" hidden="1"/>
    <cellStyle name="Lien hypertexte visité" xfId="4542" builtinId="9" hidden="1"/>
    <cellStyle name="Lien hypertexte visité" xfId="4478" builtinId="9" hidden="1"/>
    <cellStyle name="Lien hypertexte visité" xfId="4446" builtinId="9" hidden="1"/>
    <cellStyle name="Lien hypertexte visité" xfId="4414" builtinId="9" hidden="1"/>
    <cellStyle name="Lien hypertexte visité" xfId="4350" builtinId="9" hidden="1"/>
    <cellStyle name="Lien hypertexte visité" xfId="4318" builtinId="9" hidden="1"/>
    <cellStyle name="Lien hypertexte visité" xfId="4286" builtinId="9" hidden="1"/>
    <cellStyle name="Lien hypertexte visité" xfId="4222" builtinId="9" hidden="1"/>
    <cellStyle name="Lien hypertexte visité" xfId="4190" builtinId="9" hidden="1"/>
    <cellStyle name="Lien hypertexte visité" xfId="4158" builtinId="9" hidden="1"/>
    <cellStyle name="Lien hypertexte visité" xfId="4094" builtinId="9" hidden="1"/>
    <cellStyle name="Lien hypertexte visité" xfId="4062" builtinId="9" hidden="1"/>
    <cellStyle name="Lien hypertexte visité" xfId="4030" builtinId="9" hidden="1"/>
    <cellStyle name="Lien hypertexte visité" xfId="3966" builtinId="9" hidden="1"/>
    <cellStyle name="Lien hypertexte visité" xfId="3934" builtinId="9" hidden="1"/>
    <cellStyle name="Lien hypertexte visité" xfId="3906" builtinId="9" hidden="1"/>
    <cellStyle name="Lien hypertexte visité" xfId="3841" builtinId="9" hidden="1"/>
    <cellStyle name="Lien hypertexte visité" xfId="3809" builtinId="9" hidden="1"/>
    <cellStyle name="Lien hypertexte visité" xfId="3777" builtinId="9" hidden="1"/>
    <cellStyle name="Lien hypertexte visité" xfId="3713" builtinId="9" hidden="1"/>
    <cellStyle name="Lien hypertexte visité" xfId="3680" builtinId="9" hidden="1"/>
    <cellStyle name="Lien hypertexte visité" xfId="3641" builtinId="9" hidden="1"/>
    <cellStyle name="Lien hypertexte visité" xfId="3577" builtinId="9" hidden="1"/>
    <cellStyle name="Lien hypertexte visité" xfId="3544" builtinId="9" hidden="1"/>
    <cellStyle name="Lien hypertexte visité" xfId="3512" builtinId="9" hidden="1"/>
    <cellStyle name="Lien hypertexte visité" xfId="3448" builtinId="9" hidden="1"/>
    <cellStyle name="Lien hypertexte visité" xfId="3416" builtinId="9" hidden="1"/>
    <cellStyle name="Lien hypertexte visité" xfId="3384" builtinId="9" hidden="1"/>
    <cellStyle name="Lien hypertexte visité" xfId="3320" builtinId="9" hidden="1"/>
    <cellStyle name="Lien hypertexte visité" xfId="3288" builtinId="9" hidden="1"/>
    <cellStyle name="Lien hypertexte visité" xfId="3256" builtinId="9" hidden="1"/>
    <cellStyle name="Lien hypertexte visité" xfId="3192" builtinId="9" hidden="1"/>
    <cellStyle name="Lien hypertexte visité" xfId="3160" builtinId="9" hidden="1"/>
    <cellStyle name="Lien hypertexte visité" xfId="3128" builtinId="9" hidden="1"/>
    <cellStyle name="Lien hypertexte visité" xfId="3064" builtinId="9" hidden="1"/>
    <cellStyle name="Lien hypertexte visité" xfId="3032" builtinId="9" hidden="1"/>
    <cellStyle name="Lien hypertexte visité" xfId="3000" builtinId="9" hidden="1"/>
    <cellStyle name="Lien hypertexte visité" xfId="2936" builtinId="9" hidden="1"/>
    <cellStyle name="Lien hypertexte visité" xfId="2904" builtinId="9" hidden="1"/>
    <cellStyle name="Lien hypertexte visité" xfId="2872" builtinId="9" hidden="1"/>
    <cellStyle name="Lien hypertexte visité" xfId="2808" builtinId="9" hidden="1"/>
    <cellStyle name="Lien hypertexte visité" xfId="2776" builtinId="9" hidden="1"/>
    <cellStyle name="Lien hypertexte visité" xfId="2744" builtinId="9" hidden="1"/>
    <cellStyle name="Lien hypertexte visité" xfId="2680" builtinId="9" hidden="1"/>
    <cellStyle name="Lien hypertexte visité" xfId="2648" builtinId="9" hidden="1"/>
    <cellStyle name="Lien hypertexte visité" xfId="2616" builtinId="9" hidden="1"/>
    <cellStyle name="Lien hypertexte visité" xfId="2552" builtinId="9" hidden="1"/>
    <cellStyle name="Lien hypertexte visité" xfId="2520" builtinId="9" hidden="1"/>
    <cellStyle name="Lien hypertexte visité" xfId="2488" builtinId="9" hidden="1"/>
    <cellStyle name="Lien hypertexte visité" xfId="2424" builtinId="9" hidden="1"/>
    <cellStyle name="Lien hypertexte visité" xfId="2392" builtinId="9" hidden="1"/>
    <cellStyle name="Lien hypertexte visité" xfId="2360" builtinId="9" hidden="1"/>
    <cellStyle name="Lien hypertexte visité" xfId="2296" builtinId="9" hidden="1"/>
    <cellStyle name="Lien hypertexte visité" xfId="2264" builtinId="9" hidden="1"/>
    <cellStyle name="Lien hypertexte visité" xfId="2232" builtinId="9" hidden="1"/>
    <cellStyle name="Lien hypertexte visité" xfId="2168" builtinId="9" hidden="1"/>
    <cellStyle name="Lien hypertexte visité" xfId="2136" builtinId="9" hidden="1"/>
    <cellStyle name="Lien hypertexte visité" xfId="2104" builtinId="9" hidden="1"/>
    <cellStyle name="Lien hypertexte visité" xfId="2040" builtinId="9" hidden="1"/>
    <cellStyle name="Lien hypertexte visité" xfId="2008" builtinId="9" hidden="1"/>
    <cellStyle name="Lien hypertexte visité" xfId="1976" builtinId="9" hidden="1"/>
    <cellStyle name="Lien hypertexte visité" xfId="1912" builtinId="9" hidden="1"/>
    <cellStyle name="Lien hypertexte visité" xfId="1880" builtinId="9" hidden="1"/>
    <cellStyle name="Lien hypertexte visité" xfId="1848" builtinId="9" hidden="1"/>
    <cellStyle name="Lien hypertexte visité" xfId="1784" builtinId="9" hidden="1"/>
    <cellStyle name="Lien hypertexte visité" xfId="1752" builtinId="9" hidden="1"/>
    <cellStyle name="Lien hypertexte visité" xfId="1720" builtinId="9" hidden="1"/>
    <cellStyle name="Lien hypertexte visité" xfId="1656" builtinId="9" hidden="1"/>
    <cellStyle name="Lien hypertexte visité" xfId="1624" builtinId="9" hidden="1"/>
    <cellStyle name="Lien hypertexte visité" xfId="1592" builtinId="9" hidden="1"/>
    <cellStyle name="Lien hypertexte visité" xfId="1528" builtinId="9" hidden="1"/>
    <cellStyle name="Lien hypertexte visité" xfId="1496" builtinId="9" hidden="1"/>
    <cellStyle name="Lien hypertexte visité" xfId="1463" builtinId="9" hidden="1"/>
    <cellStyle name="Lien hypertexte visité" xfId="1399" builtinId="9" hidden="1"/>
    <cellStyle name="Lien hypertexte visité" xfId="1367" builtinId="9" hidden="1"/>
    <cellStyle name="Lien hypertexte visité" xfId="1335" builtinId="9" hidden="1"/>
    <cellStyle name="Lien hypertexte visité" xfId="1271" builtinId="9" hidden="1"/>
    <cellStyle name="Lien hypertexte visité" xfId="1239" builtinId="9" hidden="1"/>
    <cellStyle name="Lien hypertexte visité" xfId="1207" builtinId="9" hidden="1"/>
    <cellStyle name="Lien hypertexte visité" xfId="1123" builtinId="9" hidden="1"/>
    <cellStyle name="Lien hypertexte visité" xfId="1059" builtinId="9" hidden="1"/>
    <cellStyle name="Lien hypertexte visité" xfId="995" builtinId="9" hidden="1"/>
    <cellStyle name="Lien hypertexte visité" xfId="867" builtinId="9" hidden="1"/>
    <cellStyle name="Lien hypertexte visité" xfId="803" builtinId="9" hidden="1"/>
    <cellStyle name="Lien hypertexte visité" xfId="739" builtinId="9" hidden="1"/>
    <cellStyle name="Lien hypertexte visité" xfId="611" builtinId="9" hidden="1"/>
    <cellStyle name="Lien hypertexte visité" xfId="547" builtinId="9" hidden="1"/>
    <cellStyle name="Lien hypertexte visité" xfId="483" builtinId="9" hidden="1"/>
    <cellStyle name="Lien hypertexte visité" xfId="355" builtinId="9" hidden="1"/>
    <cellStyle name="Lien hypertexte visité" xfId="291" builtinId="9" hidden="1"/>
    <cellStyle name="Lien hypertexte visité" xfId="227" builtinId="9" hidden="1"/>
    <cellStyle name="Lien hypertexte visité" xfId="81" builtinId="9" hidden="1"/>
    <cellStyle name="Lien hypertexte visité" xfId="87" builtinId="9" hidden="1"/>
    <cellStyle name="Lien hypertexte visité" xfId="55" builtinId="9" hidden="1"/>
    <cellStyle name="Lien hypertexte visité" xfId="127" builtinId="9" hidden="1"/>
    <cellStyle name="Lien hypertexte visité" xfId="191" builtinId="9" hidden="1"/>
    <cellStyle name="Lien hypertexte visité" xfId="255" builtinId="9" hidden="1"/>
    <cellStyle name="Lien hypertexte visité" xfId="383" builtinId="9" hidden="1"/>
    <cellStyle name="Lien hypertexte visité" xfId="447" builtinId="9" hidden="1"/>
    <cellStyle name="Lien hypertexte visité" xfId="511" builtinId="9" hidden="1"/>
    <cellStyle name="Lien hypertexte visité" xfId="639" builtinId="9" hidden="1"/>
    <cellStyle name="Lien hypertexte visité" xfId="703" builtinId="9" hidden="1"/>
    <cellStyle name="Lien hypertexte visité" xfId="767" builtinId="9" hidden="1"/>
    <cellStyle name="Lien hypertexte visité" xfId="895" builtinId="9" hidden="1"/>
    <cellStyle name="Lien hypertexte visité" xfId="959" builtinId="9" hidden="1"/>
    <cellStyle name="Lien hypertexte visité" xfId="1023" builtinId="9" hidden="1"/>
    <cellStyle name="Lien hypertexte visité" xfId="1151" builtinId="9" hidden="1" customBuiltin="1"/>
    <cellStyle name="Lien hypertexte visité" xfId="1189" builtinId="9" hidden="1"/>
    <cellStyle name="Lien hypertexte visité" xfId="1221" builtinId="9" hidden="1"/>
    <cellStyle name="Lien hypertexte visité" xfId="1285" builtinId="9" hidden="1"/>
    <cellStyle name="Lien hypertexte visité" xfId="1317" builtinId="9" hidden="1"/>
    <cellStyle name="Lien hypertexte visité" xfId="1349" builtinId="9" hidden="1"/>
    <cellStyle name="Lien hypertexte visité" xfId="1413" builtinId="9" hidden="1"/>
    <cellStyle name="Lien hypertexte visité" xfId="1445" builtinId="9" hidden="1"/>
    <cellStyle name="Lien hypertexte visité" xfId="1477" builtinId="9" hidden="1"/>
    <cellStyle name="Lien hypertexte visité" xfId="1542" builtinId="9" hidden="1"/>
    <cellStyle name="Lien hypertexte visité" xfId="1574" builtinId="9" hidden="1"/>
    <cellStyle name="Lien hypertexte visité" xfId="1606" builtinId="9" hidden="1"/>
    <cellStyle name="Lien hypertexte visité" xfId="1670" builtinId="9" hidden="1"/>
    <cellStyle name="Lien hypertexte visité" xfId="1702" builtinId="9" hidden="1"/>
    <cellStyle name="Lien hypertexte visité" xfId="1734" builtinId="9" hidden="1"/>
    <cellStyle name="Lien hypertexte visité" xfId="1798" builtinId="9" hidden="1"/>
    <cellStyle name="Lien hypertexte visité" xfId="1830" builtinId="9" hidden="1"/>
    <cellStyle name="Lien hypertexte visité" xfId="1862" builtinId="9" hidden="1"/>
    <cellStyle name="Lien hypertexte visité" xfId="1926" builtinId="9" hidden="1"/>
    <cellStyle name="Lien hypertexte visité" xfId="1958" builtinId="9" hidden="1"/>
    <cellStyle name="Lien hypertexte visité" xfId="1990" builtinId="9" hidden="1"/>
    <cellStyle name="Lien hypertexte visité" xfId="2054" builtinId="9" hidden="1"/>
    <cellStyle name="Lien hypertexte visité" xfId="2086" builtinId="9" hidden="1"/>
    <cellStyle name="Lien hypertexte visité" xfId="2118" builtinId="9" hidden="1"/>
    <cellStyle name="Lien hypertexte visité" xfId="2182" builtinId="9" hidden="1"/>
    <cellStyle name="Lien hypertexte visité" xfId="2214" builtinId="9" hidden="1"/>
    <cellStyle name="Lien hypertexte visité" xfId="2246" builtinId="9" hidden="1"/>
    <cellStyle name="Lien hypertexte visité" xfId="2310" builtinId="9" hidden="1"/>
    <cellStyle name="Lien hypertexte visité" xfId="2342" builtinId="9" hidden="1"/>
    <cellStyle name="Lien hypertexte visité" xfId="2374" builtinId="9" hidden="1"/>
    <cellStyle name="Lien hypertexte visité" xfId="2438" builtinId="9" hidden="1"/>
    <cellStyle name="Lien hypertexte visité" xfId="2470" builtinId="9" hidden="1"/>
    <cellStyle name="Lien hypertexte visité" xfId="2502" builtinId="9" hidden="1"/>
    <cellStyle name="Lien hypertexte visité" xfId="2566" builtinId="9" hidden="1"/>
    <cellStyle name="Lien hypertexte visité" xfId="2598" builtinId="9" hidden="1"/>
    <cellStyle name="Lien hypertexte visité" xfId="2630" builtinId="9" hidden="1"/>
    <cellStyle name="Lien hypertexte visité" xfId="2694" builtinId="9" hidden="1"/>
    <cellStyle name="Lien hypertexte visité" xfId="2726" builtinId="9" hidden="1"/>
    <cellStyle name="Lien hypertexte visité" xfId="2758" builtinId="9" hidden="1"/>
    <cellStyle name="Lien hypertexte visité" xfId="2822" builtinId="9" hidden="1"/>
    <cellStyle name="Lien hypertexte visité" xfId="2854" builtinId="9" hidden="1"/>
    <cellStyle name="Lien hypertexte visité" xfId="2886" builtinId="9" hidden="1"/>
    <cellStyle name="Lien hypertexte visité" xfId="2950" builtinId="9" hidden="1"/>
    <cellStyle name="Lien hypertexte visité" xfId="2982" builtinId="9" hidden="1"/>
    <cellStyle name="Lien hypertexte visité" xfId="3014" builtinId="9" hidden="1"/>
    <cellStyle name="Lien hypertexte visité" xfId="3078" builtinId="9" hidden="1"/>
    <cellStyle name="Lien hypertexte visité" xfId="3110" builtinId="9" hidden="1"/>
    <cellStyle name="Lien hypertexte visité" xfId="3142" builtinId="9" hidden="1"/>
    <cellStyle name="Lien hypertexte visité" xfId="3206" builtinId="9" hidden="1"/>
    <cellStyle name="Lien hypertexte visité" xfId="3238" builtinId="9" hidden="1"/>
    <cellStyle name="Lien hypertexte visité" xfId="3270" builtinId="9" hidden="1"/>
    <cellStyle name="Lien hypertexte visité" xfId="3334" builtinId="9" hidden="1"/>
    <cellStyle name="Lien hypertexte visité" xfId="3366" builtinId="9" hidden="1"/>
    <cellStyle name="Lien hypertexte visité" xfId="3398" builtinId="9" hidden="1"/>
    <cellStyle name="Lien hypertexte visité" xfId="3462" builtinId="9" hidden="1"/>
    <cellStyle name="Lien hypertexte visité" xfId="3494" builtinId="9" hidden="1"/>
    <cellStyle name="Lien hypertexte visité" xfId="3526" builtinId="9" hidden="1"/>
    <cellStyle name="Lien hypertexte visité" xfId="3591" builtinId="9" hidden="1"/>
    <cellStyle name="Lien hypertexte visité" xfId="3623" builtinId="9" hidden="1"/>
    <cellStyle name="Lien hypertexte visité" xfId="3657" builtinId="9" hidden="1"/>
    <cellStyle name="Lien hypertexte visité" xfId="3727" builtinId="9" hidden="1"/>
    <cellStyle name="Lien hypertexte visité" xfId="3759" builtinId="9" hidden="1"/>
    <cellStyle name="Lien hypertexte visité" xfId="3791" builtinId="9" hidden="1"/>
    <cellStyle name="Lien hypertexte visité" xfId="3855" builtinId="9" hidden="1"/>
    <cellStyle name="Lien hypertexte visité" xfId="3888" builtinId="9" hidden="1"/>
    <cellStyle name="Lien hypertexte visité" xfId="3920" builtinId="9" hidden="1"/>
    <cellStyle name="Lien hypertexte visité" xfId="3980" builtinId="9" hidden="1"/>
    <cellStyle name="Lien hypertexte visité" xfId="4012" builtinId="9" hidden="1"/>
    <cellStyle name="Lien hypertexte visité" xfId="4044" builtinId="9" hidden="1"/>
    <cellStyle name="Lien hypertexte visité" xfId="4108" builtinId="9" hidden="1"/>
    <cellStyle name="Lien hypertexte visité" xfId="4140" builtinId="9" hidden="1"/>
    <cellStyle name="Lien hypertexte visité" xfId="4172" builtinId="9" hidden="1"/>
    <cellStyle name="Lien hypertexte visité" xfId="4236" builtinId="9" hidden="1"/>
    <cellStyle name="Lien hypertexte visité" xfId="4268" builtinId="9" hidden="1"/>
    <cellStyle name="Lien hypertexte visité" xfId="4300" builtinId="9" hidden="1"/>
    <cellStyle name="Lien hypertexte visité" xfId="4364" builtinId="9" hidden="1"/>
    <cellStyle name="Lien hypertexte visité" xfId="4396" builtinId="9" hidden="1"/>
    <cellStyle name="Lien hypertexte visité" xfId="4428" builtinId="9" hidden="1"/>
    <cellStyle name="Lien hypertexte visité" xfId="4492" builtinId="9" hidden="1"/>
    <cellStyle name="Lien hypertexte visité" xfId="4524" builtinId="9" hidden="1"/>
    <cellStyle name="Lien hypertexte visité" xfId="4556" builtinId="9" hidden="1"/>
    <cellStyle name="Lien hypertexte visité" xfId="4620" builtinId="9" hidden="1"/>
    <cellStyle name="Lien hypertexte visité" xfId="4652" builtinId="9" hidden="1"/>
    <cellStyle name="Lien hypertexte visité" xfId="4684" builtinId="9" hidden="1"/>
    <cellStyle name="Lien hypertexte visité" xfId="4748" builtinId="9" hidden="1"/>
    <cellStyle name="Lien hypertexte visité" xfId="4780" builtinId="9" hidden="1"/>
    <cellStyle name="Lien hypertexte visité" xfId="4812" builtinId="9" hidden="1"/>
    <cellStyle name="Lien hypertexte visité" xfId="4876" builtinId="9" hidden="1"/>
    <cellStyle name="Lien hypertexte visité" xfId="4908" builtinId="9" hidden="1"/>
    <cellStyle name="Lien hypertexte visité" xfId="4940" builtinId="9" hidden="1"/>
    <cellStyle name="Lien hypertexte visité" xfId="5004" builtinId="9" hidden="1"/>
    <cellStyle name="Lien hypertexte visité" xfId="5036" builtinId="9" hidden="1"/>
    <cellStyle name="Lien hypertexte visité" xfId="5068" builtinId="9" hidden="1"/>
    <cellStyle name="Lien hypertexte visité" xfId="5132" builtinId="9" hidden="1"/>
    <cellStyle name="Lien hypertexte visité" xfId="5164" builtinId="9" hidden="1"/>
    <cellStyle name="Lien hypertexte visité" xfId="5196" builtinId="9" hidden="1"/>
    <cellStyle name="Lien hypertexte visité" xfId="5260" builtinId="9" hidden="1"/>
    <cellStyle name="Lien hypertexte visité" xfId="5292" builtinId="9" hidden="1"/>
    <cellStyle name="Lien hypertexte visité" xfId="5324" builtinId="9" hidden="1"/>
    <cellStyle name="Lien hypertexte visité" xfId="5388" builtinId="9" hidden="1"/>
    <cellStyle name="Lien hypertexte visité" xfId="5420" builtinId="9" hidden="1"/>
    <cellStyle name="Lien hypertexte visité" xfId="5452" builtinId="9" hidden="1"/>
    <cellStyle name="Lien hypertexte visité" xfId="5516" builtinId="9" hidden="1"/>
    <cellStyle name="Lien hypertexte visité" xfId="5548" builtinId="9" hidden="1"/>
    <cellStyle name="Lien hypertexte visité" xfId="5580" builtinId="9" hidden="1"/>
    <cellStyle name="Lien hypertexte visité" xfId="5644" builtinId="9" hidden="1"/>
    <cellStyle name="Lien hypertexte visité" xfId="5676" builtinId="9" hidden="1"/>
    <cellStyle name="Lien hypertexte visité" xfId="5708" builtinId="9" hidden="1"/>
    <cellStyle name="Lien hypertexte visité" xfId="5772" builtinId="9" hidden="1"/>
    <cellStyle name="Lien hypertexte visité" xfId="5804" builtinId="9" hidden="1"/>
    <cellStyle name="Lien hypertexte visité" xfId="5836" builtinId="9" hidden="1"/>
    <cellStyle name="Lien hypertexte visité" xfId="5900" builtinId="9" hidden="1"/>
    <cellStyle name="Lien hypertexte visité" xfId="5932" builtinId="9" hidden="1"/>
    <cellStyle name="Lien hypertexte visité" xfId="5964" builtinId="9" hidden="1"/>
    <cellStyle name="Lien hypertexte visité" xfId="6028" builtinId="9" hidden="1"/>
    <cellStyle name="Lien hypertexte visité" xfId="6060" builtinId="9" hidden="1"/>
    <cellStyle name="Lien hypertexte visité" xfId="6092" builtinId="9" hidden="1"/>
    <cellStyle name="Lien hypertexte visité" xfId="6156" builtinId="9" hidden="1"/>
    <cellStyle name="Lien hypertexte visité" xfId="6188" builtinId="9" hidden="1"/>
    <cellStyle name="Lien hypertexte visité" xfId="6220" builtinId="9" hidden="1"/>
    <cellStyle name="Lien hypertexte visité" xfId="6284" builtinId="9" hidden="1"/>
    <cellStyle name="Lien hypertexte visité" xfId="6316" builtinId="9" hidden="1"/>
    <cellStyle name="Lien hypertexte visité" xfId="6348" builtinId="9" hidden="1"/>
    <cellStyle name="Lien hypertexte visité" xfId="6412" builtinId="9" hidden="1"/>
    <cellStyle name="Lien hypertexte visité" xfId="6444" builtinId="9" hidden="1"/>
    <cellStyle name="Lien hypertexte visité" xfId="6476" builtinId="9" hidden="1"/>
    <cellStyle name="Lien hypertexte visité" xfId="6540" builtinId="9" hidden="1"/>
    <cellStyle name="Lien hypertexte visité" xfId="6572" builtinId="9" hidden="1"/>
    <cellStyle name="Lien hypertexte visité" xfId="6604" builtinId="9" hidden="1"/>
    <cellStyle name="Lien hypertexte visité" xfId="6668" builtinId="9" hidden="1"/>
    <cellStyle name="Lien hypertexte visité" xfId="6700" builtinId="9" hidden="1"/>
    <cellStyle name="Lien hypertexte visité" xfId="6732" builtinId="9" hidden="1"/>
    <cellStyle name="Lien hypertexte visité" xfId="6796" builtinId="9" hidden="1"/>
    <cellStyle name="Lien hypertexte visité" xfId="6828" builtinId="9" hidden="1"/>
    <cellStyle name="Lien hypertexte visité" xfId="6860" builtinId="9" hidden="1"/>
    <cellStyle name="Lien hypertexte visité" xfId="6924" builtinId="9" hidden="1"/>
    <cellStyle name="Lien hypertexte visité" xfId="6956" builtinId="9" hidden="1"/>
    <cellStyle name="Lien hypertexte visité" xfId="6988" builtinId="9" hidden="1"/>
    <cellStyle name="Lien hypertexte visité" xfId="7052" builtinId="9" hidden="1"/>
    <cellStyle name="Lien hypertexte visité" xfId="7084" builtinId="9" hidden="1"/>
    <cellStyle name="Lien hypertexte visité" xfId="7116" builtinId="9" hidden="1"/>
    <cellStyle name="Lien hypertexte visité" xfId="7180" builtinId="9" hidden="1"/>
    <cellStyle name="Lien hypertexte visité" xfId="7212" builtinId="9" hidden="1"/>
    <cellStyle name="Lien hypertexte visité" xfId="7244" builtinId="9" hidden="1"/>
    <cellStyle name="Lien hypertexte visité" xfId="7308" builtinId="9" hidden="1"/>
    <cellStyle name="Lien hypertexte visité" xfId="7340" builtinId="9" hidden="1"/>
    <cellStyle name="Lien hypertexte visité" xfId="7372" builtinId="9" hidden="1"/>
    <cellStyle name="Lien hypertexte visité" xfId="7436" builtinId="9" hidden="1"/>
    <cellStyle name="Lien hypertexte visité" xfId="7468" builtinId="9" hidden="1"/>
    <cellStyle name="Lien hypertexte visité" xfId="7500" builtinId="9" hidden="1"/>
    <cellStyle name="Lien hypertexte visité" xfId="7564" builtinId="9" hidden="1"/>
    <cellStyle name="Lien hypertexte visité" xfId="7596" builtinId="9" hidden="1"/>
    <cellStyle name="Lien hypertexte visité" xfId="7628" builtinId="9" hidden="1"/>
    <cellStyle name="Lien hypertexte visité" xfId="7692" builtinId="9" hidden="1"/>
    <cellStyle name="Lien hypertexte visité" xfId="7724" builtinId="9" hidden="1"/>
    <cellStyle name="Lien hypertexte visité" xfId="7756" builtinId="9" hidden="1"/>
    <cellStyle name="Lien hypertexte visité" xfId="7821" builtinId="9" hidden="1"/>
    <cellStyle name="Lien hypertexte visité" xfId="7853" builtinId="9" hidden="1"/>
    <cellStyle name="Lien hypertexte visité" xfId="7885" builtinId="9" hidden="1"/>
    <cellStyle name="Lien hypertexte visité" xfId="7949" builtinId="9" hidden="1"/>
    <cellStyle name="Lien hypertexte visité" xfId="7981" builtinId="9" hidden="1"/>
    <cellStyle name="Lien hypertexte visité" xfId="8013" builtinId="9" hidden="1"/>
    <cellStyle name="Lien hypertexte visité" xfId="8077" builtinId="9" hidden="1"/>
    <cellStyle name="Lien hypertexte visité" xfId="8109" builtinId="9" hidden="1"/>
    <cellStyle name="Lien hypertexte visité" xfId="8141" builtinId="9" hidden="1"/>
    <cellStyle name="Lien hypertexte visité" xfId="8205" builtinId="9" hidden="1"/>
    <cellStyle name="Lien hypertexte visité" xfId="8237" builtinId="9" hidden="1"/>
    <cellStyle name="Lien hypertexte visité" xfId="8269" builtinId="9" hidden="1"/>
    <cellStyle name="Lien hypertexte visité" xfId="8333" builtinId="9" hidden="1"/>
    <cellStyle name="Lien hypertexte visité" xfId="8365" builtinId="9" hidden="1"/>
    <cellStyle name="Lien hypertexte visité" xfId="8397" builtinId="9" hidden="1"/>
    <cellStyle name="Lien hypertexte visité" xfId="8461" builtinId="9" hidden="1"/>
    <cellStyle name="Lien hypertexte visité" xfId="8493" builtinId="9" hidden="1"/>
    <cellStyle name="Lien hypertexte visité" xfId="8525" builtinId="9" hidden="1"/>
    <cellStyle name="Lien hypertexte visité" xfId="8589" builtinId="9" hidden="1"/>
    <cellStyle name="Lien hypertexte visité" xfId="8621" builtinId="9" hidden="1"/>
    <cellStyle name="Lien hypertexte visité" xfId="8653" builtinId="9" hidden="1"/>
    <cellStyle name="Lien hypertexte visité" xfId="8717" builtinId="9" hidden="1"/>
    <cellStyle name="Lien hypertexte visité" xfId="8749" builtinId="9" hidden="1"/>
    <cellStyle name="Lien hypertexte visité" xfId="8781" builtinId="9" hidden="1"/>
    <cellStyle name="Lien hypertexte visité" xfId="8845" builtinId="9" hidden="1"/>
    <cellStyle name="Lien hypertexte visité" xfId="8877" builtinId="9" hidden="1"/>
    <cellStyle name="Lien hypertexte visité" xfId="8909" builtinId="9" hidden="1"/>
    <cellStyle name="Lien hypertexte visité" xfId="8973" builtinId="9" hidden="1"/>
    <cellStyle name="Lien hypertexte visité" xfId="9005" builtinId="9" hidden="1"/>
    <cellStyle name="Lien hypertexte visité" xfId="9037" builtinId="9" hidden="1"/>
    <cellStyle name="Lien hypertexte visité" xfId="9101" builtinId="9" hidden="1"/>
    <cellStyle name="Lien hypertexte visité" xfId="9133" builtinId="9" hidden="1"/>
    <cellStyle name="Lien hypertexte visité" xfId="9165" builtinId="9" hidden="1"/>
    <cellStyle name="Lien hypertexte visité" xfId="9229" builtinId="9" hidden="1"/>
    <cellStyle name="Lien hypertexte visité" xfId="9261" builtinId="9" hidden="1"/>
    <cellStyle name="Lien hypertexte visité" xfId="9293" builtinId="9" hidden="1"/>
    <cellStyle name="Lien hypertexte visité" xfId="9357" builtinId="9" hidden="1"/>
    <cellStyle name="Lien hypertexte visité" xfId="9389" builtinId="9" hidden="1"/>
    <cellStyle name="Lien hypertexte visité" xfId="9421" builtinId="9" hidden="1"/>
    <cellStyle name="Lien hypertexte visité" xfId="9485" builtinId="9" hidden="1"/>
    <cellStyle name="Lien hypertexte visité" xfId="9517" builtinId="9" hidden="1"/>
    <cellStyle name="Lien hypertexte visité" xfId="9549" builtinId="9" hidden="1"/>
    <cellStyle name="Lien hypertexte visité" xfId="9613" builtinId="9" hidden="1"/>
    <cellStyle name="Lien hypertexte visité" xfId="9645" builtinId="9" hidden="1"/>
    <cellStyle name="Lien hypertexte visité" xfId="9677" builtinId="9" hidden="1"/>
    <cellStyle name="Lien hypertexte visité" xfId="9741" builtinId="9" hidden="1"/>
    <cellStyle name="Lien hypertexte visité" xfId="9773" builtinId="9" hidden="1"/>
    <cellStyle name="Lien hypertexte visité" xfId="9805" builtinId="9" hidden="1"/>
    <cellStyle name="Lien hypertexte visité" xfId="9869" builtinId="9" hidden="1"/>
    <cellStyle name="Lien hypertexte visité" xfId="9901" builtinId="9" hidden="1"/>
    <cellStyle name="Lien hypertexte visité" xfId="9933" builtinId="9" hidden="1"/>
    <cellStyle name="Lien hypertexte visité" xfId="9997" builtinId="9" hidden="1"/>
    <cellStyle name="Lien hypertexte visité" xfId="10029" builtinId="9" hidden="1"/>
    <cellStyle name="Lien hypertexte visité" xfId="10061" builtinId="9" hidden="1"/>
    <cellStyle name="Lien hypertexte visité" xfId="10125" builtinId="9" hidden="1"/>
    <cellStyle name="Lien hypertexte visité" xfId="10157" builtinId="9" hidden="1"/>
    <cellStyle name="Lien hypertexte visité" xfId="10189" builtinId="9" hidden="1"/>
    <cellStyle name="Lien hypertexte visité" xfId="10253" builtinId="9" hidden="1"/>
    <cellStyle name="Lien hypertexte visité" xfId="10285" builtinId="9" hidden="1"/>
    <cellStyle name="Lien hypertexte visité" xfId="10317" builtinId="9" hidden="1"/>
    <cellStyle name="Lien hypertexte visité" xfId="10381" builtinId="9" hidden="1"/>
    <cellStyle name="Lien hypertexte visité" xfId="10413" builtinId="9" hidden="1"/>
    <cellStyle name="Lien hypertexte visité" xfId="10445" builtinId="9" hidden="1"/>
    <cellStyle name="Lien hypertexte visité" xfId="10509" builtinId="9" hidden="1"/>
    <cellStyle name="Lien hypertexte visité" xfId="10541" builtinId="9" hidden="1"/>
    <cellStyle name="Lien hypertexte visité" xfId="10573" builtinId="9" hidden="1"/>
    <cellStyle name="Lien hypertexte visité" xfId="10637" builtinId="9" hidden="1"/>
    <cellStyle name="Lien hypertexte visité" xfId="10669" builtinId="9" hidden="1"/>
    <cellStyle name="Lien hypertexte visité" xfId="10701" builtinId="9" hidden="1"/>
    <cellStyle name="Lien hypertexte visité" xfId="10765" builtinId="9" hidden="1"/>
    <cellStyle name="Lien hypertexte visité" xfId="10797" builtinId="9" hidden="1"/>
    <cellStyle name="Lien hypertexte visité" xfId="10829" builtinId="9" hidden="1"/>
    <cellStyle name="Lien hypertexte visité" xfId="10893" builtinId="9" hidden="1"/>
    <cellStyle name="Lien hypertexte visité" xfId="10925" builtinId="9" hidden="1"/>
    <cellStyle name="Lien hypertexte visité" xfId="10957" builtinId="9" hidden="1"/>
    <cellStyle name="Lien hypertexte visité" xfId="11021" builtinId="9" hidden="1"/>
    <cellStyle name="Lien hypertexte visité" xfId="11053" builtinId="9" hidden="1"/>
    <cellStyle name="Lien hypertexte visité" xfId="11085" builtinId="9" hidden="1"/>
    <cellStyle name="Lien hypertexte visité" xfId="11149" builtinId="9" hidden="1"/>
    <cellStyle name="Lien hypertexte visité" xfId="11181" builtinId="9" hidden="1"/>
    <cellStyle name="Lien hypertexte visité" xfId="11213" builtinId="9" hidden="1"/>
    <cellStyle name="Lien hypertexte visité" xfId="11277" builtinId="9" hidden="1"/>
    <cellStyle name="Lien hypertexte visité" xfId="11309" builtinId="9" hidden="1"/>
    <cellStyle name="Lien hypertexte visité" xfId="11341" builtinId="9" hidden="1"/>
    <cellStyle name="Lien hypertexte visité" xfId="11405" builtinId="9" hidden="1"/>
    <cellStyle name="Lien hypertexte visité" xfId="11437" builtinId="9" hidden="1"/>
    <cellStyle name="Lien hypertexte visité" xfId="11469" builtinId="9" hidden="1"/>
    <cellStyle name="Lien hypertexte visité" xfId="11533" builtinId="9" hidden="1"/>
    <cellStyle name="Lien hypertexte visité" xfId="11565" builtinId="9" hidden="1"/>
    <cellStyle name="Lien hypertexte visité" xfId="11597" builtinId="9" hidden="1"/>
    <cellStyle name="Lien hypertexte visité" xfId="11661" builtinId="9" hidden="1"/>
    <cellStyle name="Lien hypertexte visité" xfId="11693" builtinId="9" hidden="1"/>
    <cellStyle name="Lien hypertexte visité" xfId="11725" builtinId="9" hidden="1"/>
    <cellStyle name="Lien hypertexte visité" xfId="11789" builtinId="9" hidden="1"/>
    <cellStyle name="Lien hypertexte visité" xfId="11821" builtinId="9" hidden="1"/>
    <cellStyle name="Lien hypertexte visité" xfId="11853" builtinId="9" hidden="1"/>
    <cellStyle name="Lien hypertexte visité" xfId="11917" builtinId="9" hidden="1"/>
    <cellStyle name="Lien hypertexte visité" xfId="11949" builtinId="9" hidden="1"/>
    <cellStyle name="Lien hypertexte visité" xfId="11981" builtinId="9" hidden="1"/>
    <cellStyle name="Lien hypertexte visité" xfId="12045" builtinId="9" hidden="1"/>
    <cellStyle name="Lien hypertexte visité" xfId="12077" builtinId="9" hidden="1"/>
    <cellStyle name="Lien hypertexte visité" xfId="12109" builtinId="9" hidden="1"/>
    <cellStyle name="Lien hypertexte visité" xfId="12173" builtinId="9" hidden="1"/>
    <cellStyle name="Lien hypertexte visité" xfId="12205" builtinId="9" hidden="1"/>
    <cellStyle name="Lien hypertexte visité" xfId="12237" builtinId="9" hidden="1"/>
    <cellStyle name="Lien hypertexte visité" xfId="12301" builtinId="9" hidden="1"/>
    <cellStyle name="Lien hypertexte visité" xfId="12333" builtinId="9" hidden="1"/>
    <cellStyle name="Lien hypertexte visité" xfId="12365" builtinId="9" hidden="1"/>
    <cellStyle name="Lien hypertexte visité" xfId="12429" builtinId="9" hidden="1"/>
    <cellStyle name="Lien hypertexte visité" xfId="12461" builtinId="9" hidden="1"/>
    <cellStyle name="Lien hypertexte visité" xfId="12493" builtinId="9" hidden="1"/>
    <cellStyle name="Lien hypertexte visité" xfId="12557" builtinId="9" hidden="1"/>
    <cellStyle name="Lien hypertexte visité" xfId="12589" builtinId="9" hidden="1"/>
    <cellStyle name="Lien hypertexte visité" xfId="12621" builtinId="9" hidden="1"/>
    <cellStyle name="Lien hypertexte visité" xfId="12685" builtinId="9" hidden="1"/>
    <cellStyle name="Lien hypertexte visité" xfId="12717" builtinId="9" hidden="1"/>
    <cellStyle name="Lien hypertexte visité" xfId="12749" builtinId="9" hidden="1"/>
    <cellStyle name="Lien hypertexte visité" xfId="12813" builtinId="9" hidden="1"/>
    <cellStyle name="Lien hypertexte visité" xfId="12845" builtinId="9" hidden="1"/>
    <cellStyle name="Lien hypertexte visité" xfId="12877" builtinId="9" hidden="1"/>
    <cellStyle name="Lien hypertexte visité" xfId="12941" builtinId="9" hidden="1"/>
    <cellStyle name="Lien hypertexte visité" xfId="12973" builtinId="9" hidden="1"/>
    <cellStyle name="Lien hypertexte visité" xfId="13005" builtinId="9" hidden="1"/>
    <cellStyle name="Lien hypertexte visité" xfId="13069" builtinId="9" hidden="1"/>
    <cellStyle name="Lien hypertexte visité" xfId="13101" builtinId="9" hidden="1"/>
    <cellStyle name="Lien hypertexte visité" xfId="13133" builtinId="9" hidden="1"/>
    <cellStyle name="Lien hypertexte visité" xfId="13197" builtinId="9" hidden="1"/>
    <cellStyle name="Lien hypertexte visité" xfId="13229" builtinId="9" hidden="1"/>
    <cellStyle name="Lien hypertexte visité" xfId="13261" builtinId="9" hidden="1"/>
    <cellStyle name="Lien hypertexte visité" xfId="13325" builtinId="9" hidden="1"/>
    <cellStyle name="Lien hypertexte visité" xfId="13357" builtinId="9" hidden="1"/>
    <cellStyle name="Lien hypertexte visité" xfId="13389" builtinId="9" hidden="1"/>
    <cellStyle name="Lien hypertexte visité" xfId="13453" builtinId="9" hidden="1"/>
    <cellStyle name="Lien hypertexte visité" xfId="13485" builtinId="9" hidden="1"/>
    <cellStyle name="Lien hypertexte visité" xfId="13517" builtinId="9" hidden="1"/>
    <cellStyle name="Lien hypertexte visité" xfId="13581" builtinId="9" hidden="1"/>
    <cellStyle name="Lien hypertexte visité" xfId="13613" builtinId="9" hidden="1"/>
    <cellStyle name="Lien hypertexte visité" xfId="13645" builtinId="9" hidden="1"/>
    <cellStyle name="Lien hypertexte visité" xfId="13709" builtinId="9" hidden="1"/>
    <cellStyle name="Lien hypertexte visité" xfId="13741" builtinId="9" hidden="1"/>
    <cellStyle name="Lien hypertexte visité" xfId="13773" builtinId="9" hidden="1"/>
    <cellStyle name="Lien hypertexte visité" xfId="13837" builtinId="9" hidden="1"/>
    <cellStyle name="Lien hypertexte visité" xfId="13869" builtinId="9" hidden="1"/>
    <cellStyle name="Lien hypertexte visité" xfId="13901" builtinId="9" hidden="1"/>
    <cellStyle name="Lien hypertexte visité" xfId="13965" builtinId="9" hidden="1"/>
    <cellStyle name="Lien hypertexte visité" xfId="13997" builtinId="9" hidden="1"/>
    <cellStyle name="Lien hypertexte visité" xfId="14029" builtinId="9" hidden="1"/>
    <cellStyle name="Lien hypertexte visité" xfId="14093" builtinId="9" hidden="1"/>
    <cellStyle name="Lien hypertexte visité" xfId="14125" builtinId="9" hidden="1"/>
    <cellStyle name="Lien hypertexte visité" xfId="14157" builtinId="9" hidden="1"/>
    <cellStyle name="Lien hypertexte visité" xfId="14221" builtinId="9" hidden="1"/>
    <cellStyle name="Lien hypertexte visité" xfId="14253" builtinId="9" hidden="1"/>
    <cellStyle name="Lien hypertexte visité" xfId="14285" builtinId="9" hidden="1"/>
    <cellStyle name="Lien hypertexte visité" xfId="14349" builtinId="9" hidden="1"/>
    <cellStyle name="Lien hypertexte visité" xfId="14381" builtinId="9" hidden="1"/>
    <cellStyle name="Lien hypertexte visité" xfId="14413" builtinId="9" hidden="1"/>
    <cellStyle name="Lien hypertexte visité" xfId="14477" builtinId="9" hidden="1"/>
    <cellStyle name="Lien hypertexte visité" xfId="14509" builtinId="9" hidden="1"/>
    <cellStyle name="Lien hypertexte visité" xfId="14567" builtinId="9" hidden="1"/>
    <cellStyle name="Lien hypertexte visité" xfId="14695" builtinId="9" hidden="1"/>
    <cellStyle name="Lien hypertexte visité" xfId="14759" builtinId="9" hidden="1"/>
    <cellStyle name="Lien hypertexte visité" xfId="14823" builtinId="9" hidden="1"/>
    <cellStyle name="Lien hypertexte visité" xfId="14951" builtinId="9" hidden="1"/>
    <cellStyle name="Lien hypertexte visité" xfId="15015" builtinId="9" hidden="1"/>
    <cellStyle name="Lien hypertexte visité" xfId="15079" builtinId="9" hidden="1"/>
    <cellStyle name="Lien hypertexte visité" xfId="15207" builtinId="9" hidden="1"/>
    <cellStyle name="Lien hypertexte visité" xfId="15271" builtinId="9" hidden="1"/>
    <cellStyle name="Lien hypertexte visité" xfId="15335" builtinId="9" hidden="1"/>
    <cellStyle name="Lien hypertexte visité" xfId="15463" builtinId="9" hidden="1"/>
    <cellStyle name="Lien hypertexte visité" xfId="15527" builtinId="9" hidden="1"/>
    <cellStyle name="Lien hypertexte visité" xfId="15591" builtinId="9" hidden="1"/>
    <cellStyle name="Lien hypertexte visité" xfId="15719" builtinId="9" hidden="1"/>
    <cellStyle name="Lien hypertexte visité" xfId="15783" builtinId="9" hidden="1"/>
    <cellStyle name="Lien hypertexte visité" xfId="15847" builtinId="9" hidden="1"/>
    <cellStyle name="Lien hypertexte visité" xfId="15975" builtinId="9" hidden="1"/>
    <cellStyle name="Lien hypertexte visité" xfId="16039" builtinId="9" hidden="1"/>
    <cellStyle name="Lien hypertexte visité" xfId="16103" builtinId="9" hidden="1"/>
    <cellStyle name="Lien hypertexte visité" xfId="16231" builtinId="9" hidden="1"/>
    <cellStyle name="Lien hypertexte visité" xfId="16295" builtinId="9" hidden="1"/>
    <cellStyle name="Lien hypertexte visité" xfId="16359" builtinId="9" hidden="1"/>
    <cellStyle name="Lien hypertexte visité" xfId="16487" builtinId="9" hidden="1"/>
    <cellStyle name="Lien hypertexte visité" xfId="16551" builtinId="9" hidden="1"/>
    <cellStyle name="Lien hypertexte visité" xfId="16615" builtinId="9" hidden="1"/>
    <cellStyle name="Lien hypertexte visité" xfId="16743" builtinId="9" hidden="1"/>
    <cellStyle name="Lien hypertexte visité" xfId="16807" builtinId="9" hidden="1"/>
    <cellStyle name="Lien hypertexte visité" xfId="16871" builtinId="9" hidden="1"/>
    <cellStyle name="Lien hypertexte visité" xfId="16999" builtinId="9" hidden="1"/>
    <cellStyle name="Lien hypertexte visité" xfId="17063" builtinId="9" hidden="1"/>
    <cellStyle name="Lien hypertexte visité" xfId="17127" builtinId="9" hidden="1"/>
    <cellStyle name="Lien hypertexte visité" xfId="17255" builtinId="9" hidden="1"/>
    <cellStyle name="Lien hypertexte visité" xfId="17319" builtinId="9" hidden="1"/>
    <cellStyle name="Lien hypertexte visité" xfId="17383" builtinId="9" hidden="1"/>
    <cellStyle name="Lien hypertexte visité" xfId="17511" builtinId="9" hidden="1"/>
    <cellStyle name="Lien hypertexte visité" xfId="17575" builtinId="9" hidden="1"/>
    <cellStyle name="Lien hypertexte visité" xfId="17639" builtinId="9" hidden="1"/>
    <cellStyle name="Lien hypertexte visité" xfId="17767" builtinId="9" hidden="1"/>
    <cellStyle name="Lien hypertexte visité" xfId="17831" builtinId="9" hidden="1"/>
    <cellStyle name="Lien hypertexte visité" xfId="17895" builtinId="9" hidden="1"/>
    <cellStyle name="Lien hypertexte visité" xfId="18023" builtinId="9" hidden="1"/>
    <cellStyle name="Lien hypertexte visité" xfId="18087" builtinId="9" hidden="1"/>
    <cellStyle name="Lien hypertexte visité" xfId="18151" builtinId="9" hidden="1"/>
    <cellStyle name="Lien hypertexte visité" xfId="18279" builtinId="9" hidden="1"/>
    <cellStyle name="Lien hypertexte visité" xfId="18326" builtinId="9" hidden="1"/>
    <cellStyle name="Lien hypertexte visité" xfId="18390" builtinId="9" hidden="1"/>
    <cellStyle name="Lien hypertexte visité" xfId="18518" builtinId="9" hidden="1"/>
    <cellStyle name="Lien hypertexte visité" xfId="18582" builtinId="9" hidden="1"/>
    <cellStyle name="Lien hypertexte visité" xfId="18646" builtinId="9" hidden="1"/>
    <cellStyle name="Lien hypertexte visité" xfId="18774" builtinId="9" hidden="1"/>
    <cellStyle name="Lien hypertexte visité" xfId="18838" builtinId="9" hidden="1"/>
    <cellStyle name="Lien hypertexte visité" xfId="18902" builtinId="9" hidden="1"/>
    <cellStyle name="Lien hypertexte visité" xfId="19030" builtinId="9" hidden="1"/>
    <cellStyle name="Lien hypertexte visité" xfId="19094" builtinId="9" hidden="1"/>
    <cellStyle name="Lien hypertexte visité" xfId="19158" builtinId="9" hidden="1"/>
    <cellStyle name="Lien hypertexte visité" xfId="19286" builtinId="9" hidden="1"/>
    <cellStyle name="Lien hypertexte visité" xfId="19350" builtinId="9" hidden="1"/>
    <cellStyle name="Lien hypertexte visité" xfId="19414" builtinId="9" hidden="1"/>
    <cellStyle name="Lien hypertexte visité" xfId="19542" builtinId="9" hidden="1"/>
    <cellStyle name="Lien hypertexte visité" xfId="19606" builtinId="9" hidden="1"/>
    <cellStyle name="Lien hypertexte visité" xfId="19670" builtinId="9" hidden="1"/>
    <cellStyle name="Lien hypertexte visité" xfId="19798" builtinId="9" hidden="1"/>
    <cellStyle name="Lien hypertexte visité" xfId="19862" builtinId="9" hidden="1"/>
    <cellStyle name="Lien hypertexte visité" xfId="19926" builtinId="9" hidden="1"/>
    <cellStyle name="Lien hypertexte visité" xfId="20054" builtinId="9" hidden="1"/>
    <cellStyle name="Lien hypertexte visité" xfId="20118" builtinId="9" hidden="1"/>
    <cellStyle name="Lien hypertexte visité" xfId="20182" builtinId="9" hidden="1"/>
    <cellStyle name="Lien hypertexte visité" xfId="20310" builtinId="9" hidden="1"/>
    <cellStyle name="Lien hypertexte visité" xfId="20374" builtinId="9" hidden="1"/>
    <cellStyle name="Lien hypertexte visité" xfId="20438" builtinId="9" hidden="1"/>
    <cellStyle name="Lien hypertexte visité" xfId="20566" builtinId="9" hidden="1"/>
    <cellStyle name="Lien hypertexte visité" xfId="20630" builtinId="9" hidden="1"/>
    <cellStyle name="Lien hypertexte visité" xfId="20694" builtinId="9" hidden="1"/>
    <cellStyle name="Lien hypertexte visité" xfId="20822" builtinId="9" hidden="1"/>
    <cellStyle name="Lien hypertexte visité" xfId="20886" builtinId="9" hidden="1"/>
    <cellStyle name="Lien hypertexte visité" xfId="20950" builtinId="9" hidden="1"/>
    <cellStyle name="Lien hypertexte visité" xfId="21078" builtinId="9" hidden="1"/>
    <cellStyle name="Lien hypertexte visité" xfId="21142" builtinId="9" hidden="1"/>
    <cellStyle name="Lien hypertexte visité" xfId="21206" builtinId="9" hidden="1"/>
    <cellStyle name="Lien hypertexte visité" xfId="21334" builtinId="9" hidden="1"/>
    <cellStyle name="Lien hypertexte visité" xfId="21398" builtinId="9" hidden="1"/>
    <cellStyle name="Lien hypertexte visité" xfId="21462" builtinId="9" hidden="1"/>
    <cellStyle name="Lien hypertexte visité" xfId="21590" builtinId="9" hidden="1"/>
    <cellStyle name="Lien hypertexte visité" xfId="21654" builtinId="9" hidden="1"/>
    <cellStyle name="Lien hypertexte visité" xfId="21718" builtinId="9" hidden="1"/>
    <cellStyle name="Lien hypertexte visité" xfId="21846" builtinId="9" hidden="1"/>
    <cellStyle name="Lien hypertexte visité" xfId="21910" builtinId="9" hidden="1"/>
    <cellStyle name="Lien hypertexte visité" xfId="21974" builtinId="9" hidden="1"/>
    <cellStyle name="Lien hypertexte visité" xfId="22102" builtinId="9" hidden="1"/>
    <cellStyle name="Lien hypertexte visité" xfId="22166" builtinId="9" hidden="1"/>
    <cellStyle name="Lien hypertexte visité" xfId="22230" builtinId="9" hidden="1"/>
    <cellStyle name="Lien hypertexte visité" xfId="22358" builtinId="9" hidden="1"/>
    <cellStyle name="Lien hypertexte visité" xfId="22422" builtinId="9" hidden="1"/>
    <cellStyle name="Lien hypertexte visité" xfId="22486" builtinId="9" hidden="1"/>
    <cellStyle name="Lien hypertexte visité" xfId="22614" builtinId="9" hidden="1"/>
    <cellStyle name="Lien hypertexte visité" xfId="22678" builtinId="9" hidden="1"/>
    <cellStyle name="Lien hypertexte visité" xfId="22742" builtinId="9" hidden="1"/>
    <cellStyle name="Lien hypertexte visité" xfId="22870" builtinId="9" hidden="1"/>
    <cellStyle name="Lien hypertexte visité" xfId="22934" builtinId="9" hidden="1"/>
    <cellStyle name="Lien hypertexte visité" xfId="22998" builtinId="9" hidden="1"/>
    <cellStyle name="Lien hypertexte visité" xfId="23126" builtinId="9" hidden="1"/>
    <cellStyle name="Lien hypertexte visité" xfId="23190" builtinId="9" hidden="1"/>
    <cellStyle name="Lien hypertexte visité" xfId="23254" builtinId="9" hidden="1"/>
    <cellStyle name="Lien hypertexte visité" xfId="23382" builtinId="9" hidden="1"/>
    <cellStyle name="Lien hypertexte visité" xfId="23446" builtinId="9" hidden="1"/>
    <cellStyle name="Lien hypertexte visité" xfId="23510" builtinId="9" hidden="1"/>
    <cellStyle name="Lien hypertexte visité" xfId="23638" builtinId="9" hidden="1"/>
    <cellStyle name="Lien hypertexte visité" xfId="23702" builtinId="9" hidden="1"/>
    <cellStyle name="Lien hypertexte visité" xfId="23766" builtinId="9" hidden="1"/>
    <cellStyle name="Lien hypertexte visité" xfId="23894" builtinId="9" hidden="1"/>
    <cellStyle name="Lien hypertexte visité" xfId="23958" builtinId="9" hidden="1"/>
    <cellStyle name="Lien hypertexte visité" xfId="24022" builtinId="9" hidden="1"/>
    <cellStyle name="Lien hypertexte visité" xfId="24150" builtinId="9" hidden="1"/>
    <cellStyle name="Lien hypertexte visité" xfId="24214" builtinId="9" hidden="1"/>
    <cellStyle name="Lien hypertexte visité" xfId="24278" builtinId="9" hidden="1"/>
    <cellStyle name="Lien hypertexte visité" xfId="24406" builtinId="9" hidden="1"/>
    <cellStyle name="Lien hypertexte visité" xfId="24470" builtinId="9" hidden="1"/>
    <cellStyle name="Lien hypertexte visité" xfId="24534" builtinId="9" hidden="1"/>
    <cellStyle name="Lien hypertexte visité" xfId="24564" builtinId="9" hidden="1"/>
    <cellStyle name="Lien hypertexte visité" xfId="24500" builtinId="9" hidden="1"/>
    <cellStyle name="Lien hypertexte visité" xfId="24436" builtinId="9" hidden="1"/>
    <cellStyle name="Lien hypertexte visité" xfId="24308" builtinId="9" hidden="1"/>
    <cellStyle name="Lien hypertexte visité" xfId="24244" builtinId="9" hidden="1"/>
    <cellStyle name="Lien hypertexte visité" xfId="24180" builtinId="9" hidden="1"/>
    <cellStyle name="Lien hypertexte visité" xfId="24052" builtinId="9" hidden="1"/>
    <cellStyle name="Lien hypertexte visité" xfId="23988" builtinId="9" hidden="1"/>
    <cellStyle name="Lien hypertexte visité" xfId="23924" builtinId="9" hidden="1"/>
    <cellStyle name="Lien hypertexte visité" xfId="23796" builtinId="9" hidden="1"/>
    <cellStyle name="Lien hypertexte visité" xfId="23732" builtinId="9" hidden="1"/>
    <cellStyle name="Lien hypertexte visité" xfId="23668" builtinId="9" hidden="1"/>
    <cellStyle name="Lien hypertexte visité" xfId="23540" builtinId="9" hidden="1"/>
    <cellStyle name="Lien hypertexte visité" xfId="23476" builtinId="9" hidden="1"/>
    <cellStyle name="Lien hypertexte visité" xfId="23412" builtinId="9" hidden="1"/>
    <cellStyle name="Lien hypertexte visité" xfId="23284" builtinId="9" hidden="1"/>
    <cellStyle name="Lien hypertexte visité" xfId="23220" builtinId="9" hidden="1"/>
    <cellStyle name="Lien hypertexte visité" xfId="23156" builtinId="9" hidden="1"/>
    <cellStyle name="Lien hypertexte visité" xfId="23028" builtinId="9" hidden="1"/>
    <cellStyle name="Lien hypertexte visité" xfId="22964" builtinId="9" hidden="1"/>
    <cellStyle name="Lien hypertexte visité" xfId="22900" builtinId="9" hidden="1"/>
    <cellStyle name="Lien hypertexte visité" xfId="22772" builtinId="9" hidden="1"/>
    <cellStyle name="Lien hypertexte visité" xfId="22708" builtinId="9" hidden="1"/>
    <cellStyle name="Lien hypertexte visité" xfId="22644" builtinId="9" hidden="1"/>
    <cellStyle name="Lien hypertexte visité" xfId="22516" builtinId="9" hidden="1"/>
    <cellStyle name="Lien hypertexte visité" xfId="22452" builtinId="9" hidden="1"/>
    <cellStyle name="Lien hypertexte visité" xfId="22388" builtinId="9" hidden="1"/>
    <cellStyle name="Lien hypertexte visité" xfId="22260" builtinId="9" hidden="1"/>
    <cellStyle name="Lien hypertexte visité" xfId="22196" builtinId="9" hidden="1"/>
    <cellStyle name="Lien hypertexte visité" xfId="22132" builtinId="9" hidden="1"/>
    <cellStyle name="Lien hypertexte visité" xfId="22004" builtinId="9" hidden="1"/>
    <cellStyle name="Lien hypertexte visité" xfId="21940" builtinId="9" hidden="1"/>
    <cellStyle name="Lien hypertexte visité" xfId="21876" builtinId="9" hidden="1"/>
    <cellStyle name="Lien hypertexte visité" xfId="21748" builtinId="9" hidden="1"/>
    <cellStyle name="Lien hypertexte visité" xfId="21684" builtinId="9" hidden="1"/>
    <cellStyle name="Lien hypertexte visité" xfId="21620" builtinId="9" hidden="1"/>
    <cellStyle name="Lien hypertexte visité" xfId="21492" builtinId="9" hidden="1"/>
    <cellStyle name="Lien hypertexte visité" xfId="21428" builtinId="9" hidden="1"/>
    <cellStyle name="Lien hypertexte visité" xfId="21364" builtinId="9" hidden="1"/>
    <cellStyle name="Lien hypertexte visité" xfId="21236" builtinId="9" hidden="1"/>
    <cellStyle name="Lien hypertexte visité" xfId="21172" builtinId="9" hidden="1"/>
    <cellStyle name="Lien hypertexte visité" xfId="21108" builtinId="9" hidden="1"/>
    <cellStyle name="Lien hypertexte visité" xfId="20980" builtinId="9" hidden="1"/>
    <cellStyle name="Lien hypertexte visité" xfId="20916" builtinId="9" hidden="1"/>
    <cellStyle name="Lien hypertexte visité" xfId="20852" builtinId="9" hidden="1"/>
    <cellStyle name="Lien hypertexte visité" xfId="20724" builtinId="9" hidden="1"/>
    <cellStyle name="Lien hypertexte visité" xfId="20660" builtinId="9" hidden="1"/>
    <cellStyle name="Lien hypertexte visité" xfId="20596" builtinId="9" hidden="1"/>
    <cellStyle name="Lien hypertexte visité" xfId="20468" builtinId="9" hidden="1"/>
    <cellStyle name="Lien hypertexte visité" xfId="20404" builtinId="9" hidden="1"/>
    <cellStyle name="Lien hypertexte visité" xfId="20340" builtinId="9" hidden="1"/>
    <cellStyle name="Lien hypertexte visité" xfId="20212" builtinId="9" hidden="1"/>
    <cellStyle name="Lien hypertexte visité" xfId="20148" builtinId="9" hidden="1"/>
    <cellStyle name="Lien hypertexte visité" xfId="20084" builtinId="9" hidden="1"/>
    <cellStyle name="Lien hypertexte visité" xfId="19956" builtinId="9" hidden="1"/>
    <cellStyle name="Lien hypertexte visité" xfId="19892" builtinId="9" hidden="1"/>
    <cellStyle name="Lien hypertexte visité" xfId="19828" builtinId="9" hidden="1"/>
    <cellStyle name="Lien hypertexte visité" xfId="19700" builtinId="9" hidden="1"/>
    <cellStyle name="Lien hypertexte visité" xfId="19636" builtinId="9" hidden="1"/>
    <cellStyle name="Lien hypertexte visité" xfId="19572" builtinId="9" hidden="1"/>
    <cellStyle name="Lien hypertexte visité" xfId="19444" builtinId="9" hidden="1"/>
    <cellStyle name="Lien hypertexte visité" xfId="19380" builtinId="9" hidden="1"/>
    <cellStyle name="Lien hypertexte visité" xfId="19316" builtinId="9" hidden="1"/>
    <cellStyle name="Lien hypertexte visité" xfId="19188" builtinId="9" hidden="1"/>
    <cellStyle name="Lien hypertexte visité" xfId="19124" builtinId="9" hidden="1"/>
    <cellStyle name="Lien hypertexte visité" xfId="19060" builtinId="9" hidden="1"/>
    <cellStyle name="Lien hypertexte visité" xfId="18932" builtinId="9" hidden="1"/>
    <cellStyle name="Lien hypertexte visité" xfId="18868" builtinId="9" hidden="1"/>
    <cellStyle name="Lien hypertexte visité" xfId="18804" builtinId="9" hidden="1"/>
    <cellStyle name="Lien hypertexte visité" xfId="18676" builtinId="9" hidden="1"/>
    <cellStyle name="Lien hypertexte visité" xfId="18612" builtinId="9" hidden="1"/>
    <cellStyle name="Lien hypertexte visité" xfId="18548" builtinId="9" hidden="1"/>
    <cellStyle name="Lien hypertexte visité" xfId="18420" builtinId="9" hidden="1"/>
    <cellStyle name="Lien hypertexte visité" xfId="18356" builtinId="9" hidden="1"/>
    <cellStyle name="Lien hypertexte visité" xfId="18309" builtinId="9" hidden="1"/>
    <cellStyle name="Lien hypertexte visité" xfId="18181" builtinId="9" hidden="1"/>
    <cellStyle name="Lien hypertexte visité" xfId="18117" builtinId="9" hidden="1"/>
    <cellStyle name="Lien hypertexte visité" xfId="18053" builtinId="9" hidden="1"/>
    <cellStyle name="Lien hypertexte visité" xfId="17925" builtinId="9" hidden="1"/>
    <cellStyle name="Lien hypertexte visité" xfId="17861" builtinId="9" hidden="1"/>
    <cellStyle name="Lien hypertexte visité" xfId="17797" builtinId="9" hidden="1"/>
    <cellStyle name="Lien hypertexte visité" xfId="17669" builtinId="9" hidden="1"/>
    <cellStyle name="Lien hypertexte visité" xfId="17605" builtinId="9" hidden="1"/>
    <cellStyle name="Lien hypertexte visité" xfId="17541" builtinId="9" hidden="1"/>
    <cellStyle name="Lien hypertexte visité" xfId="17413" builtinId="9" hidden="1"/>
    <cellStyle name="Lien hypertexte visité" xfId="17349" builtinId="9" hidden="1"/>
    <cellStyle name="Lien hypertexte visité" xfId="17285" builtinId="9" hidden="1"/>
    <cellStyle name="Lien hypertexte visité" xfId="17157" builtinId="9" hidden="1"/>
    <cellStyle name="Lien hypertexte visité" xfId="17093" builtinId="9" hidden="1"/>
    <cellStyle name="Lien hypertexte visité" xfId="17029" builtinId="9" hidden="1"/>
    <cellStyle name="Lien hypertexte visité" xfId="16901" builtinId="9" hidden="1"/>
    <cellStyle name="Lien hypertexte visité" xfId="16837" builtinId="9" hidden="1"/>
    <cellStyle name="Lien hypertexte visité" xfId="16773" builtinId="9" hidden="1"/>
    <cellStyle name="Lien hypertexte visité" xfId="16645" builtinId="9" hidden="1"/>
    <cellStyle name="Lien hypertexte visité" xfId="16581" builtinId="9" hidden="1"/>
    <cellStyle name="Lien hypertexte visité" xfId="16517" builtinId="9" hidden="1"/>
    <cellStyle name="Lien hypertexte visité" xfId="16389" builtinId="9" hidden="1"/>
    <cellStyle name="Lien hypertexte visité" xfId="16325" builtinId="9" hidden="1"/>
    <cellStyle name="Lien hypertexte visité" xfId="16261" builtinId="9" hidden="1"/>
    <cellStyle name="Lien hypertexte visité" xfId="16133" builtinId="9" hidden="1"/>
    <cellStyle name="Lien hypertexte visité" xfId="16069" builtinId="9" hidden="1"/>
    <cellStyle name="Lien hypertexte visité" xfId="16005" builtinId="9" hidden="1"/>
    <cellStyle name="Lien hypertexte visité" xfId="15877" builtinId="9" hidden="1"/>
    <cellStyle name="Lien hypertexte visité" xfId="15813" builtinId="9" hidden="1"/>
    <cellStyle name="Lien hypertexte visité" xfId="15749" builtinId="9" hidden="1"/>
    <cellStyle name="Lien hypertexte visité" xfId="15621" builtinId="9" hidden="1"/>
    <cellStyle name="Lien hypertexte visité" xfId="15557" builtinId="9" hidden="1"/>
    <cellStyle name="Lien hypertexte visité" xfId="15493" builtinId="9" hidden="1"/>
    <cellStyle name="Lien hypertexte visité" xfId="15365" builtinId="9" hidden="1"/>
    <cellStyle name="Lien hypertexte visité" xfId="15301" builtinId="9" hidden="1"/>
    <cellStyle name="Lien hypertexte visité" xfId="15237" builtinId="9" hidden="1"/>
    <cellStyle name="Lien hypertexte visité" xfId="15109" builtinId="9" hidden="1"/>
    <cellStyle name="Lien hypertexte visité" xfId="15045" builtinId="9" hidden="1"/>
    <cellStyle name="Lien hypertexte visité" xfId="14981" builtinId="9" hidden="1"/>
    <cellStyle name="Lien hypertexte visité" xfId="14853" builtinId="9" hidden="1"/>
    <cellStyle name="Lien hypertexte visité" xfId="14789" builtinId="9" hidden="1"/>
    <cellStyle name="Lien hypertexte visité" xfId="14725" builtinId="9" hidden="1"/>
    <cellStyle name="Lien hypertexte visité" xfId="14597" builtinId="9" hidden="1"/>
    <cellStyle name="Lien hypertexte visité" xfId="14533" builtinId="9" hidden="1"/>
    <cellStyle name="Lien hypertexte visité" xfId="14492" builtinId="9" hidden="1"/>
    <cellStyle name="Lien hypertexte visité" xfId="14428" builtinId="9" hidden="1"/>
    <cellStyle name="Lien hypertexte visité" xfId="14396" builtinId="9" hidden="1"/>
    <cellStyle name="Lien hypertexte visité" xfId="14364" builtinId="9" hidden="1"/>
    <cellStyle name="Lien hypertexte visité" xfId="14300" builtinId="9" hidden="1"/>
    <cellStyle name="Lien hypertexte visité" xfId="14268" builtinId="9" hidden="1"/>
    <cellStyle name="Lien hypertexte visité" xfId="14236" builtinId="9" hidden="1"/>
    <cellStyle name="Lien hypertexte visité" xfId="14172" builtinId="9" hidden="1"/>
    <cellStyle name="Lien hypertexte visité" xfId="14140" builtinId="9" hidden="1"/>
    <cellStyle name="Lien hypertexte visité" xfId="14108" builtinId="9" hidden="1"/>
    <cellStyle name="Lien hypertexte visité" xfId="14044" builtinId="9" hidden="1"/>
    <cellStyle name="Lien hypertexte visité" xfId="14012" builtinId="9" hidden="1"/>
    <cellStyle name="Lien hypertexte visité" xfId="13980" builtinId="9" hidden="1"/>
    <cellStyle name="Lien hypertexte visité" xfId="13916" builtinId="9" hidden="1"/>
    <cellStyle name="Lien hypertexte visité" xfId="13884" builtinId="9" hidden="1"/>
    <cellStyle name="Lien hypertexte visité" xfId="13852" builtinId="9" hidden="1"/>
    <cellStyle name="Lien hypertexte visité" xfId="13788" builtinId="9" hidden="1"/>
    <cellStyle name="Lien hypertexte visité" xfId="13756" builtinId="9" hidden="1"/>
    <cellStyle name="Lien hypertexte visité" xfId="13724" builtinId="9" hidden="1"/>
    <cellStyle name="Lien hypertexte visité" xfId="13660" builtinId="9" hidden="1"/>
    <cellStyle name="Lien hypertexte visité" xfId="13628" builtinId="9" hidden="1"/>
    <cellStyle name="Lien hypertexte visité" xfId="13596" builtinId="9" hidden="1"/>
    <cellStyle name="Lien hypertexte visité" xfId="13532" builtinId="9" hidden="1"/>
    <cellStyle name="Lien hypertexte visité" xfId="13500" builtinId="9" hidden="1"/>
    <cellStyle name="Lien hypertexte visité" xfId="13468" builtinId="9" hidden="1"/>
    <cellStyle name="Lien hypertexte visité" xfId="13404" builtinId="9" hidden="1"/>
    <cellStyle name="Lien hypertexte visité" xfId="13372" builtinId="9" hidden="1"/>
    <cellStyle name="Lien hypertexte visité" xfId="13340" builtinId="9" hidden="1"/>
    <cellStyle name="Lien hypertexte visité" xfId="13276" builtinId="9" hidden="1"/>
    <cellStyle name="Lien hypertexte visité" xfId="13244" builtinId="9" hidden="1"/>
    <cellStyle name="Lien hypertexte visité" xfId="13212" builtinId="9" hidden="1"/>
    <cellStyle name="Lien hypertexte visité" xfId="13148" builtinId="9" hidden="1"/>
    <cellStyle name="Lien hypertexte visité" xfId="13116" builtinId="9" hidden="1"/>
    <cellStyle name="Lien hypertexte visité" xfId="13084" builtinId="9" hidden="1"/>
    <cellStyle name="Lien hypertexte visité" xfId="13020" builtinId="9" hidden="1"/>
    <cellStyle name="Lien hypertexte visité" xfId="12988" builtinId="9" hidden="1"/>
    <cellStyle name="Lien hypertexte visité" xfId="12956" builtinId="9" hidden="1"/>
    <cellStyle name="Lien hypertexte visité" xfId="12892" builtinId="9" hidden="1"/>
    <cellStyle name="Lien hypertexte visité" xfId="12860" builtinId="9" hidden="1"/>
    <cellStyle name="Lien hypertexte visité" xfId="12828" builtinId="9" hidden="1"/>
    <cellStyle name="Lien hypertexte visité" xfId="12764" builtinId="9" hidden="1"/>
    <cellStyle name="Lien hypertexte visité" xfId="12732" builtinId="9" hidden="1"/>
    <cellStyle name="Lien hypertexte visité" xfId="12700" builtinId="9" hidden="1"/>
    <cellStyle name="Lien hypertexte visité" xfId="12636" builtinId="9" hidden="1"/>
    <cellStyle name="Lien hypertexte visité" xfId="12604" builtinId="9" hidden="1"/>
    <cellStyle name="Lien hypertexte visité" xfId="12572" builtinId="9" hidden="1"/>
    <cellStyle name="Lien hypertexte visité" xfId="12508" builtinId="9" hidden="1"/>
    <cellStyle name="Lien hypertexte visité" xfId="12476" builtinId="9" hidden="1"/>
    <cellStyle name="Lien hypertexte visité" xfId="12444" builtinId="9" hidden="1"/>
    <cellStyle name="Lien hypertexte visité" xfId="12380" builtinId="9" hidden="1"/>
    <cellStyle name="Lien hypertexte visité" xfId="12348" builtinId="9" hidden="1"/>
    <cellStyle name="Lien hypertexte visité" xfId="12316" builtinId="9" hidden="1"/>
    <cellStyle name="Lien hypertexte visité" xfId="12252" builtinId="9" hidden="1"/>
    <cellStyle name="Lien hypertexte visité" xfId="12220" builtinId="9" hidden="1"/>
    <cellStyle name="Lien hypertexte visité" xfId="12188" builtinId="9" hidden="1"/>
    <cellStyle name="Lien hypertexte visité" xfId="12124" builtinId="9" hidden="1"/>
    <cellStyle name="Lien hypertexte visité" xfId="12092" builtinId="9" hidden="1"/>
    <cellStyle name="Lien hypertexte visité" xfId="12060" builtinId="9" hidden="1"/>
    <cellStyle name="Lien hypertexte visité" xfId="11996" builtinId="9" hidden="1"/>
    <cellStyle name="Lien hypertexte visité" xfId="11964" builtinId="9" hidden="1"/>
    <cellStyle name="Lien hypertexte visité" xfId="11932" builtinId="9" hidden="1"/>
    <cellStyle name="Lien hypertexte visité" xfId="11868" builtinId="9" hidden="1"/>
    <cellStyle name="Lien hypertexte visité" xfId="11836" builtinId="9" hidden="1"/>
    <cellStyle name="Lien hypertexte visité" xfId="11804" builtinId="9" hidden="1"/>
    <cellStyle name="Lien hypertexte visité" xfId="11740" builtinId="9" hidden="1"/>
    <cellStyle name="Lien hypertexte visité" xfId="11708" builtinId="9" hidden="1"/>
    <cellStyle name="Lien hypertexte visité" xfId="11676" builtinId="9" hidden="1"/>
    <cellStyle name="Lien hypertexte visité" xfId="11612" builtinId="9" hidden="1"/>
    <cellStyle name="Lien hypertexte visité" xfId="11580" builtinId="9" hidden="1"/>
    <cellStyle name="Lien hypertexte visité" xfId="11548" builtinId="9" hidden="1"/>
    <cellStyle name="Lien hypertexte visité" xfId="11484" builtinId="9" hidden="1"/>
    <cellStyle name="Lien hypertexte visité" xfId="11452" builtinId="9" hidden="1"/>
    <cellStyle name="Lien hypertexte visité" xfId="11420" builtinId="9" hidden="1"/>
    <cellStyle name="Lien hypertexte visité" xfId="11356" builtinId="9" hidden="1"/>
    <cellStyle name="Lien hypertexte visité" xfId="11324" builtinId="9" hidden="1"/>
    <cellStyle name="Lien hypertexte visité" xfId="11292" builtinId="9" hidden="1"/>
    <cellStyle name="Lien hypertexte visité" xfId="11228" builtinId="9" hidden="1"/>
    <cellStyle name="Lien hypertexte visité" xfId="11196" builtinId="9" hidden="1"/>
    <cellStyle name="Lien hypertexte visité" xfId="11164" builtinId="9" hidden="1"/>
    <cellStyle name="Lien hypertexte visité" xfId="11100" builtinId="9" hidden="1"/>
    <cellStyle name="Lien hypertexte visité" xfId="11068" builtinId="9" hidden="1"/>
    <cellStyle name="Lien hypertexte visité" xfId="11036" builtinId="9" hidden="1"/>
    <cellStyle name="Lien hypertexte visité" xfId="10972" builtinId="9" hidden="1"/>
    <cellStyle name="Lien hypertexte visité" xfId="10940" builtinId="9" hidden="1"/>
    <cellStyle name="Lien hypertexte visité" xfId="10908" builtinId="9" hidden="1"/>
    <cellStyle name="Lien hypertexte visité" xfId="10844" builtinId="9" hidden="1"/>
    <cellStyle name="Lien hypertexte visité" xfId="10812" builtinId="9" hidden="1"/>
    <cellStyle name="Lien hypertexte visité" xfId="10780" builtinId="9" hidden="1"/>
    <cellStyle name="Lien hypertexte visité" xfId="10716" builtinId="9" hidden="1"/>
    <cellStyle name="Lien hypertexte visité" xfId="10684" builtinId="9" hidden="1"/>
    <cellStyle name="Lien hypertexte visité" xfId="10652" builtinId="9" hidden="1"/>
    <cellStyle name="Lien hypertexte visité" xfId="10588" builtinId="9" hidden="1"/>
    <cellStyle name="Lien hypertexte visité" xfId="10556" builtinId="9" hidden="1"/>
    <cellStyle name="Lien hypertexte visité" xfId="10524" builtinId="9" hidden="1"/>
    <cellStyle name="Lien hypertexte visité" xfId="10460" builtinId="9" hidden="1"/>
    <cellStyle name="Lien hypertexte visité" xfId="10428" builtinId="9" hidden="1"/>
    <cellStyle name="Lien hypertexte visité" xfId="10396" builtinId="9" hidden="1"/>
    <cellStyle name="Lien hypertexte visité" xfId="10332" builtinId="9" hidden="1"/>
    <cellStyle name="Lien hypertexte visité" xfId="10300" builtinId="9" hidden="1"/>
    <cellStyle name="Lien hypertexte visité" xfId="10268" builtinId="9" hidden="1"/>
    <cellStyle name="Lien hypertexte visité" xfId="10204" builtinId="9" hidden="1"/>
    <cellStyle name="Lien hypertexte visité" xfId="10172" builtinId="9" hidden="1"/>
    <cellStyle name="Lien hypertexte visité" xfId="10140" builtinId="9" hidden="1"/>
    <cellStyle name="Lien hypertexte visité" xfId="10076" builtinId="9" hidden="1"/>
    <cellStyle name="Lien hypertexte visité" xfId="10044" builtinId="9" hidden="1"/>
    <cellStyle name="Lien hypertexte visité" xfId="10012" builtinId="9" hidden="1"/>
    <cellStyle name="Lien hypertexte visité" xfId="9948" builtinId="9" hidden="1"/>
    <cellStyle name="Lien hypertexte visité" xfId="9916" builtinId="9" hidden="1"/>
    <cellStyle name="Lien hypertexte visité" xfId="9884" builtinId="9" hidden="1"/>
    <cellStyle name="Lien hypertexte visité" xfId="9820" builtinId="9" hidden="1"/>
    <cellStyle name="Lien hypertexte visité" xfId="9788" builtinId="9" hidden="1"/>
    <cellStyle name="Lien hypertexte visité" xfId="9756" builtinId="9" hidden="1"/>
    <cellStyle name="Lien hypertexte visité" xfId="9692" builtinId="9" hidden="1"/>
    <cellStyle name="Lien hypertexte visité" xfId="9660" builtinId="9" hidden="1"/>
    <cellStyle name="Lien hypertexte visité" xfId="9628" builtinId="9" hidden="1"/>
    <cellStyle name="Lien hypertexte visité" xfId="9564" builtinId="9" hidden="1"/>
    <cellStyle name="Lien hypertexte visité" xfId="9532" builtinId="9" hidden="1"/>
    <cellStyle name="Lien hypertexte visité" xfId="9500" builtinId="9" hidden="1"/>
    <cellStyle name="Lien hypertexte visité" xfId="9436" builtinId="9" hidden="1"/>
    <cellStyle name="Lien hypertexte visité" xfId="9404" builtinId="9" hidden="1"/>
    <cellStyle name="Lien hypertexte visité" xfId="9372" builtinId="9" hidden="1"/>
    <cellStyle name="Lien hypertexte visité" xfId="9308" builtinId="9" hidden="1"/>
    <cellStyle name="Lien hypertexte visité" xfId="9276" builtinId="9" hidden="1"/>
    <cellStyle name="Lien hypertexte visité" xfId="9244" builtinId="9" hidden="1"/>
    <cellStyle name="Lien hypertexte visité" xfId="9180" builtinId="9" hidden="1"/>
    <cellStyle name="Lien hypertexte visité" xfId="9148" builtinId="9" hidden="1"/>
    <cellStyle name="Lien hypertexte visité" xfId="9116" builtinId="9" hidden="1"/>
    <cellStyle name="Lien hypertexte visité" xfId="9052" builtinId="9" hidden="1"/>
    <cellStyle name="Lien hypertexte visité" xfId="9020" builtinId="9" hidden="1"/>
    <cellStyle name="Lien hypertexte visité" xfId="8988" builtinId="9" hidden="1"/>
    <cellStyle name="Lien hypertexte visité" xfId="8924" builtinId="9" hidden="1"/>
    <cellStyle name="Lien hypertexte visité" xfId="8892" builtinId="9" hidden="1"/>
    <cellStyle name="Lien hypertexte visité" xfId="8860" builtinId="9" hidden="1"/>
    <cellStyle name="Lien hypertexte visité" xfId="8796" builtinId="9" hidden="1"/>
    <cellStyle name="Lien hypertexte visité" xfId="8764" builtinId="9" hidden="1"/>
    <cellStyle name="Lien hypertexte visité" xfId="8732" builtinId="9" hidden="1"/>
    <cellStyle name="Lien hypertexte visité" xfId="8668" builtinId="9" hidden="1"/>
    <cellStyle name="Lien hypertexte visité" xfId="8636" builtinId="9" hidden="1"/>
    <cellStyle name="Lien hypertexte visité" xfId="8604" builtinId="9" hidden="1"/>
    <cellStyle name="Lien hypertexte visité" xfId="8540" builtinId="9" hidden="1"/>
    <cellStyle name="Lien hypertexte visité" xfId="8508" builtinId="9" hidden="1"/>
    <cellStyle name="Lien hypertexte visité" xfId="8476" builtinId="9" hidden="1"/>
    <cellStyle name="Lien hypertexte visité" xfId="8412" builtinId="9" hidden="1"/>
    <cellStyle name="Lien hypertexte visité" xfId="8380" builtinId="9" hidden="1"/>
    <cellStyle name="Lien hypertexte visité" xfId="8348" builtinId="9" hidden="1"/>
    <cellStyle name="Lien hypertexte visité" xfId="8284" builtinId="9" hidden="1"/>
    <cellStyle name="Lien hypertexte visité" xfId="8252" builtinId="9" hidden="1"/>
    <cellStyle name="Lien hypertexte visité" xfId="8220" builtinId="9" hidden="1"/>
    <cellStyle name="Lien hypertexte visité" xfId="8156" builtinId="9" hidden="1"/>
    <cellStyle name="Lien hypertexte visité" xfId="8124" builtinId="9" hidden="1"/>
    <cellStyle name="Lien hypertexte visité" xfId="8092" builtinId="9" hidden="1"/>
    <cellStyle name="Lien hypertexte visité" xfId="8028" builtinId="9" hidden="1"/>
    <cellStyle name="Lien hypertexte visité" xfId="7996" builtinId="9" hidden="1"/>
    <cellStyle name="Lien hypertexte visité" xfId="7964" builtinId="9" hidden="1"/>
    <cellStyle name="Lien hypertexte visité" xfId="7900" builtinId="9" hidden="1"/>
    <cellStyle name="Lien hypertexte visité" xfId="7868" builtinId="9" hidden="1"/>
    <cellStyle name="Lien hypertexte visité" xfId="7836" builtinId="9" hidden="1"/>
    <cellStyle name="Lien hypertexte visité" xfId="7771" builtinId="9" hidden="1"/>
    <cellStyle name="Lien hypertexte visité" xfId="7739" builtinId="9" hidden="1"/>
    <cellStyle name="Lien hypertexte visité" xfId="7707" builtinId="9" hidden="1"/>
    <cellStyle name="Lien hypertexte visité" xfId="7643" builtinId="9" hidden="1"/>
    <cellStyle name="Lien hypertexte visité" xfId="7611" builtinId="9" hidden="1"/>
    <cellStyle name="Lien hypertexte visité" xfId="7579" builtinId="9" hidden="1"/>
    <cellStyle name="Lien hypertexte visité" xfId="7515" builtinId="9" hidden="1"/>
    <cellStyle name="Lien hypertexte visité" xfId="7483" builtinId="9" hidden="1"/>
    <cellStyle name="Lien hypertexte visité" xfId="7451" builtinId="9" hidden="1"/>
    <cellStyle name="Lien hypertexte visité" xfId="7387" builtinId="9" hidden="1"/>
    <cellStyle name="Lien hypertexte visité" xfId="7355" builtinId="9" hidden="1"/>
    <cellStyle name="Lien hypertexte visité" xfId="7323" builtinId="9" hidden="1"/>
    <cellStyle name="Lien hypertexte visité" xfId="7259" builtinId="9" hidden="1"/>
    <cellStyle name="Lien hypertexte visité" xfId="7227" builtinId="9" hidden="1"/>
    <cellStyle name="Lien hypertexte visité" xfId="7195" builtinId="9" hidden="1"/>
    <cellStyle name="Lien hypertexte visité" xfId="7131" builtinId="9" hidden="1"/>
    <cellStyle name="Lien hypertexte visité" xfId="7099" builtinId="9" hidden="1"/>
    <cellStyle name="Lien hypertexte visité" xfId="7067" builtinId="9" hidden="1"/>
    <cellStyle name="Lien hypertexte visité" xfId="7003" builtinId="9" hidden="1"/>
    <cellStyle name="Lien hypertexte visité" xfId="6971" builtinId="9" hidden="1"/>
    <cellStyle name="Lien hypertexte visité" xfId="6939" builtinId="9" hidden="1"/>
    <cellStyle name="Lien hypertexte visité" xfId="6875" builtinId="9" hidden="1"/>
    <cellStyle name="Lien hypertexte visité" xfId="6843" builtinId="9" hidden="1"/>
    <cellStyle name="Lien hypertexte visité" xfId="6811" builtinId="9" hidden="1"/>
    <cellStyle name="Lien hypertexte visité" xfId="6747" builtinId="9" hidden="1"/>
    <cellStyle name="Lien hypertexte visité" xfId="6715" builtinId="9" hidden="1"/>
    <cellStyle name="Lien hypertexte visité" xfId="6683" builtinId="9" hidden="1"/>
    <cellStyle name="Lien hypertexte visité" xfId="6619" builtinId="9" hidden="1"/>
    <cellStyle name="Lien hypertexte visité" xfId="6587" builtinId="9" hidden="1"/>
    <cellStyle name="Lien hypertexte visité" xfId="6555" builtinId="9" hidden="1"/>
    <cellStyle name="Lien hypertexte visité" xfId="6491" builtinId="9" hidden="1"/>
    <cellStyle name="Lien hypertexte visité" xfId="6459" builtinId="9" hidden="1"/>
    <cellStyle name="Lien hypertexte visité" xfId="6427" builtinId="9" hidden="1"/>
    <cellStyle name="Lien hypertexte visité" xfId="6363" builtinId="9" hidden="1"/>
    <cellStyle name="Lien hypertexte visité" xfId="6331" builtinId="9" hidden="1"/>
    <cellStyle name="Lien hypertexte visité" xfId="6299" builtinId="9" hidden="1"/>
    <cellStyle name="Lien hypertexte visité" xfId="6235" builtinId="9" hidden="1"/>
    <cellStyle name="Lien hypertexte visité" xfId="6203" builtinId="9" hidden="1"/>
    <cellStyle name="Lien hypertexte visité" xfId="6171" builtinId="9" hidden="1"/>
    <cellStyle name="Lien hypertexte visité" xfId="6107" builtinId="9" hidden="1"/>
    <cellStyle name="Lien hypertexte visité" xfId="6075" builtinId="9" hidden="1"/>
    <cellStyle name="Lien hypertexte visité" xfId="6043" builtinId="9" hidden="1"/>
    <cellStyle name="Lien hypertexte visité" xfId="5979" builtinId="9" hidden="1"/>
    <cellStyle name="Lien hypertexte visité" xfId="5947" builtinId="9" hidden="1"/>
    <cellStyle name="Lien hypertexte visité" xfId="5915" builtinId="9" hidden="1"/>
    <cellStyle name="Lien hypertexte visité" xfId="5851" builtinId="9" hidden="1"/>
    <cellStyle name="Lien hypertexte visité" xfId="5819" builtinId="9" hidden="1"/>
    <cellStyle name="Lien hypertexte visité" xfId="5787" builtinId="9" hidden="1"/>
    <cellStyle name="Lien hypertexte visité" xfId="5723" builtinId="9" hidden="1"/>
    <cellStyle name="Lien hypertexte visité" xfId="5691" builtinId="9" hidden="1"/>
    <cellStyle name="Lien hypertexte visité" xfId="5659" builtinId="9" hidden="1"/>
    <cellStyle name="Lien hypertexte visité" xfId="5595" builtinId="9" hidden="1"/>
    <cellStyle name="Lien hypertexte visité" xfId="5563" builtinId="9" hidden="1"/>
    <cellStyle name="Lien hypertexte visité" xfId="5531" builtinId="9" hidden="1"/>
    <cellStyle name="Lien hypertexte visité" xfId="5467" builtinId="9" hidden="1"/>
    <cellStyle name="Lien hypertexte visité" xfId="5435" builtinId="9" hidden="1"/>
    <cellStyle name="Lien hypertexte visité" xfId="5403" builtinId="9" hidden="1"/>
    <cellStyle name="Lien hypertexte visité" xfId="5339" builtinId="9" hidden="1"/>
    <cellStyle name="Lien hypertexte visité" xfId="5307" builtinId="9" hidden="1"/>
    <cellStyle name="Lien hypertexte visité" xfId="5275" builtinId="9" hidden="1"/>
    <cellStyle name="Lien hypertexte visité" xfId="5211" builtinId="9" hidden="1"/>
    <cellStyle name="Lien hypertexte visité" xfId="5179" builtinId="9" hidden="1"/>
    <cellStyle name="Lien hypertexte visité" xfId="5147" builtinId="9" hidden="1"/>
    <cellStyle name="Lien hypertexte visité" xfId="5083" builtinId="9" hidden="1"/>
    <cellStyle name="Lien hypertexte visité" xfId="5051" builtinId="9" hidden="1"/>
    <cellStyle name="Lien hypertexte visité" xfId="5019" builtinId="9" hidden="1"/>
    <cellStyle name="Lien hypertexte visité" xfId="4955" builtinId="9" hidden="1"/>
    <cellStyle name="Lien hypertexte visité" xfId="4923" builtinId="9" hidden="1"/>
    <cellStyle name="Lien hypertexte visité" xfId="4891" builtinId="9" hidden="1"/>
    <cellStyle name="Lien hypertexte visité" xfId="4827" builtinId="9" hidden="1"/>
    <cellStyle name="Lien hypertexte visité" xfId="4795" builtinId="9" hidden="1"/>
    <cellStyle name="Lien hypertexte visité" xfId="4763" builtinId="9" hidden="1"/>
    <cellStyle name="Lien hypertexte visité" xfId="4699" builtinId="9" hidden="1"/>
    <cellStyle name="Lien hypertexte visité" xfId="4667" builtinId="9" hidden="1"/>
    <cellStyle name="Lien hypertexte visité" xfId="4635" builtinId="9" hidden="1"/>
    <cellStyle name="Lien hypertexte visité" xfId="4571" builtinId="9" hidden="1"/>
    <cellStyle name="Lien hypertexte visité" xfId="4539" builtinId="9" hidden="1"/>
    <cellStyle name="Lien hypertexte visité" xfId="4507" builtinId="9" hidden="1"/>
    <cellStyle name="Lien hypertexte visité" xfId="4443" builtinId="9" hidden="1"/>
    <cellStyle name="Lien hypertexte visité" xfId="4411" builtinId="9" hidden="1"/>
    <cellStyle name="Lien hypertexte visité" xfId="4379" builtinId="9" hidden="1"/>
    <cellStyle name="Lien hypertexte visité" xfId="4315" builtinId="9" hidden="1"/>
    <cellStyle name="Lien hypertexte visité" xfId="4283" builtinId="9" hidden="1"/>
    <cellStyle name="Lien hypertexte visité" xfId="4251" builtinId="9" hidden="1"/>
    <cellStyle name="Lien hypertexte visité" xfId="4187" builtinId="9" hidden="1"/>
    <cellStyle name="Lien hypertexte visité" xfId="4155" builtinId="9" hidden="1"/>
    <cellStyle name="Lien hypertexte visité" xfId="4123" builtinId="9" hidden="1"/>
    <cellStyle name="Lien hypertexte visité" xfId="4059" builtinId="9" hidden="1"/>
    <cellStyle name="Lien hypertexte visité" xfId="4027" builtinId="9" hidden="1"/>
    <cellStyle name="Lien hypertexte visité" xfId="3995" builtinId="9" hidden="1"/>
    <cellStyle name="Lien hypertexte visité" xfId="3931" builtinId="9" hidden="1"/>
    <cellStyle name="Lien hypertexte visité" xfId="3903" builtinId="9" hidden="1"/>
    <cellStyle name="Lien hypertexte visité" xfId="3870" builtinId="9" hidden="1"/>
    <cellStyle name="Lien hypertexte visité" xfId="3806" builtinId="9" hidden="1"/>
    <cellStyle name="Lien hypertexte visité" xfId="3774" builtinId="9" hidden="1"/>
    <cellStyle name="Lien hypertexte visité" xfId="3742" builtinId="9" hidden="1"/>
    <cellStyle name="Lien hypertexte visité" xfId="3677" builtinId="9" hidden="1"/>
    <cellStyle name="Lien hypertexte visité" xfId="3638" builtinId="9" hidden="1"/>
    <cellStyle name="Lien hypertexte visité" xfId="3606" builtinId="9" hidden="1"/>
    <cellStyle name="Lien hypertexte visité" xfId="3541" builtinId="9" hidden="1"/>
    <cellStyle name="Lien hypertexte visité" xfId="3509" builtinId="9" hidden="1"/>
    <cellStyle name="Lien hypertexte visité" xfId="3477" builtinId="9" hidden="1"/>
    <cellStyle name="Lien hypertexte visité" xfId="3413" builtinId="9" hidden="1"/>
    <cellStyle name="Lien hypertexte visité" xfId="3381" builtinId="9" hidden="1"/>
    <cellStyle name="Lien hypertexte visité" xfId="3349" builtinId="9" hidden="1"/>
    <cellStyle name="Lien hypertexte visité" xfId="3285" builtinId="9" hidden="1"/>
    <cellStyle name="Lien hypertexte visité" xfId="3253" builtinId="9" hidden="1"/>
    <cellStyle name="Lien hypertexte visité" xfId="3221" builtinId="9" hidden="1"/>
    <cellStyle name="Lien hypertexte visité" xfId="3157" builtinId="9" hidden="1"/>
    <cellStyle name="Lien hypertexte visité" xfId="3125" builtinId="9" hidden="1"/>
    <cellStyle name="Lien hypertexte visité" xfId="3093" builtinId="9" hidden="1"/>
    <cellStyle name="Lien hypertexte visité" xfId="3029" builtinId="9" hidden="1"/>
    <cellStyle name="Lien hypertexte visité" xfId="2997" builtinId="9" hidden="1"/>
    <cellStyle name="Lien hypertexte visité" xfId="2965" builtinId="9" hidden="1"/>
    <cellStyle name="Lien hypertexte visité" xfId="2901" builtinId="9" hidden="1"/>
    <cellStyle name="Lien hypertexte visité" xfId="2869" builtinId="9" hidden="1"/>
    <cellStyle name="Lien hypertexte visité" xfId="2837" builtinId="9" hidden="1"/>
    <cellStyle name="Lien hypertexte visité" xfId="2773" builtinId="9" hidden="1"/>
    <cellStyle name="Lien hypertexte visité" xfId="2741" builtinId="9" hidden="1"/>
    <cellStyle name="Lien hypertexte visité" xfId="2709" builtinId="9" hidden="1"/>
    <cellStyle name="Lien hypertexte visité" xfId="2645" builtinId="9" hidden="1"/>
    <cellStyle name="Lien hypertexte visité" xfId="2613" builtinId="9" hidden="1"/>
    <cellStyle name="Lien hypertexte visité" xfId="2581" builtinId="9" hidden="1"/>
    <cellStyle name="Lien hypertexte visité" xfId="2517" builtinId="9" hidden="1"/>
    <cellStyle name="Lien hypertexte visité" xfId="2485" builtinId="9" hidden="1"/>
    <cellStyle name="Lien hypertexte visité" xfId="2453" builtinId="9" hidden="1"/>
    <cellStyle name="Lien hypertexte visité" xfId="2389" builtinId="9" hidden="1"/>
    <cellStyle name="Lien hypertexte visité" xfId="2357" builtinId="9" hidden="1"/>
    <cellStyle name="Lien hypertexte visité" xfId="2325" builtinId="9" hidden="1"/>
    <cellStyle name="Lien hypertexte visité" xfId="2261" builtinId="9" hidden="1"/>
    <cellStyle name="Lien hypertexte visité" xfId="2229" builtinId="9" hidden="1"/>
    <cellStyle name="Lien hypertexte visité" xfId="2197" builtinId="9" hidden="1"/>
    <cellStyle name="Lien hypertexte visité" xfId="2133" builtinId="9" hidden="1"/>
    <cellStyle name="Lien hypertexte visité" xfId="2101" builtinId="9" hidden="1"/>
    <cellStyle name="Lien hypertexte visité" xfId="2069" builtinId="9" hidden="1"/>
    <cellStyle name="Lien hypertexte visité" xfId="2005" builtinId="9" hidden="1"/>
    <cellStyle name="Lien hypertexte visité" xfId="1973" builtinId="9" hidden="1"/>
    <cellStyle name="Lien hypertexte visité" xfId="1941" builtinId="9" hidden="1"/>
    <cellStyle name="Lien hypertexte visité" xfId="1877" builtinId="9" hidden="1"/>
    <cellStyle name="Lien hypertexte visité" xfId="1845" builtinId="9" hidden="1"/>
    <cellStyle name="Lien hypertexte visité" xfId="1813" builtinId="9" hidden="1"/>
    <cellStyle name="Lien hypertexte visité" xfId="1749" builtinId="9" hidden="1"/>
    <cellStyle name="Lien hypertexte visité" xfId="1717" builtinId="9" hidden="1"/>
    <cellStyle name="Lien hypertexte visité" xfId="1685" builtinId="9" hidden="1"/>
    <cellStyle name="Lien hypertexte visité" xfId="1621" builtinId="9" hidden="1"/>
    <cellStyle name="Lien hypertexte visité" xfId="1589" builtinId="9" hidden="1"/>
    <cellStyle name="Lien hypertexte visité" xfId="1557" builtinId="9" hidden="1"/>
    <cellStyle name="Lien hypertexte visité" xfId="1492" builtinId="9" hidden="1"/>
    <cellStyle name="Lien hypertexte visité" xfId="1460" builtinId="9" hidden="1"/>
    <cellStyle name="Lien hypertexte visité" xfId="1428" builtinId="9" hidden="1"/>
    <cellStyle name="Lien hypertexte visité" xfId="1364" builtinId="9" hidden="1"/>
    <cellStyle name="Lien hypertexte visité" xfId="1332" builtinId="9" hidden="1"/>
    <cellStyle name="Lien hypertexte visité" xfId="1300" builtinId="9" hidden="1"/>
    <cellStyle name="Lien hypertexte visité" xfId="1236" builtinId="9" hidden="1"/>
    <cellStyle name="Lien hypertexte visité" xfId="1204" builtinId="9" hidden="1"/>
    <cellStyle name="Lien hypertexte visité" xfId="1172" builtinId="9" hidden="1"/>
    <cellStyle name="Lien hypertexte visité" xfId="1053" builtinId="9" hidden="1"/>
    <cellStyle name="Lien hypertexte visité" xfId="989" builtinId="9" hidden="1"/>
    <cellStyle name="Lien hypertexte visité" xfId="925" builtinId="9" hidden="1"/>
    <cellStyle name="Lien hypertexte visité" xfId="797" builtinId="9" hidden="1"/>
    <cellStyle name="Lien hypertexte visité" xfId="733" builtinId="9" hidden="1"/>
    <cellStyle name="Lien hypertexte visité" xfId="669" builtinId="9" hidden="1"/>
    <cellStyle name="Lien hypertexte visité" xfId="541" builtinId="9" hidden="1"/>
    <cellStyle name="Lien hypertexte visité" xfId="477" builtinId="9" hidden="1"/>
    <cellStyle name="Lien hypertexte visité" xfId="413" builtinId="9" hidden="1"/>
    <cellStyle name="Lien hypertexte visité" xfId="285" builtinId="9" hidden="1"/>
    <cellStyle name="Lien hypertexte visité" xfId="169" builtinId="9" hidden="1"/>
    <cellStyle name="Lien hypertexte visité" xfId="213" builtinId="9" hidden="1"/>
    <cellStyle name="Lien hypertexte visité" xfId="153" builtinId="9" hidden="1"/>
    <cellStyle name="Lien hypertexte visité" xfId="129" builtinId="9" hidden="1"/>
    <cellStyle name="Lien hypertexte visité" xfId="157" builtinId="9" hidden="1"/>
    <cellStyle name="Lien hypertexte visité" xfId="185" builtinId="9" hidden="1"/>
    <cellStyle name="Lien hypertexte visité" xfId="261" builtinId="9" hidden="1"/>
    <cellStyle name="Lien hypertexte visité" xfId="325" builtinId="9" hidden="1"/>
    <cellStyle name="Lien hypertexte visité" xfId="453" builtinId="9" hidden="1"/>
    <cellStyle name="Lien hypertexte visité" xfId="517" builtinId="9" hidden="1"/>
    <cellStyle name="Lien hypertexte visité" xfId="581" builtinId="9" hidden="1"/>
    <cellStyle name="Lien hypertexte visité" xfId="709" builtinId="9" hidden="1"/>
    <cellStyle name="Lien hypertexte visité" xfId="773" builtinId="9" hidden="1"/>
    <cellStyle name="Lien hypertexte visité" xfId="837" builtinId="9" hidden="1"/>
    <cellStyle name="Lien hypertexte visité" xfId="965" builtinId="9" hidden="1"/>
    <cellStyle name="Lien hypertexte visité" xfId="1029" builtinId="9" hidden="1"/>
    <cellStyle name="Lien hypertexte visité" xfId="1093" builtinId="9" hidden="1"/>
    <cellStyle name="Lien hypertexte visité" xfId="1192" builtinId="9" hidden="1"/>
    <cellStyle name="Lien hypertexte visité" xfId="1224" builtinId="9" hidden="1"/>
    <cellStyle name="Lien hypertexte visité" xfId="1256" builtinId="9" hidden="1"/>
    <cellStyle name="Lien hypertexte visité" xfId="1320" builtinId="9" hidden="1"/>
    <cellStyle name="Lien hypertexte visité" xfId="1352" builtinId="9" hidden="1"/>
    <cellStyle name="Lien hypertexte visité" xfId="1384" builtinId="9" hidden="1"/>
    <cellStyle name="Lien hypertexte visité" xfId="1448" builtinId="9" hidden="1"/>
    <cellStyle name="Lien hypertexte visité" xfId="1480" builtinId="9" hidden="1"/>
    <cellStyle name="Lien hypertexte visité" xfId="1513" builtinId="9" hidden="1"/>
    <cellStyle name="Lien hypertexte visité" xfId="1577" builtinId="9" hidden="1"/>
    <cellStyle name="Lien hypertexte visité" xfId="1609" builtinId="9" hidden="1"/>
    <cellStyle name="Lien hypertexte visité" xfId="1641" builtinId="9" hidden="1"/>
    <cellStyle name="Lien hypertexte visité" xfId="1705" builtinId="9" hidden="1"/>
    <cellStyle name="Lien hypertexte visité" xfId="1737" builtinId="9" hidden="1"/>
    <cellStyle name="Lien hypertexte visité" xfId="1769" builtinId="9" hidden="1"/>
    <cellStyle name="Lien hypertexte visité" xfId="1833" builtinId="9" hidden="1"/>
    <cellStyle name="Lien hypertexte visité" xfId="1865" builtinId="9" hidden="1"/>
    <cellStyle name="Lien hypertexte visité" xfId="1897" builtinId="9" hidden="1"/>
    <cellStyle name="Lien hypertexte visité" xfId="1961" builtinId="9" hidden="1"/>
    <cellStyle name="Lien hypertexte visité" xfId="1993" builtinId="9" hidden="1"/>
    <cellStyle name="Lien hypertexte visité" xfId="2025" builtinId="9" hidden="1"/>
    <cellStyle name="Lien hypertexte visité" xfId="2089" builtinId="9" hidden="1"/>
    <cellStyle name="Lien hypertexte visité" xfId="2121" builtinId="9" hidden="1"/>
    <cellStyle name="Lien hypertexte visité" xfId="2153" builtinId="9" hidden="1"/>
    <cellStyle name="Lien hypertexte visité" xfId="2217" builtinId="9" hidden="1"/>
    <cellStyle name="Lien hypertexte visité" xfId="2249" builtinId="9" hidden="1"/>
    <cellStyle name="Lien hypertexte visité" xfId="2281" builtinId="9" hidden="1"/>
    <cellStyle name="Lien hypertexte visité" xfId="2345" builtinId="9" hidden="1"/>
    <cellStyle name="Lien hypertexte visité" xfId="2377" builtinId="9" hidden="1"/>
    <cellStyle name="Lien hypertexte visité" xfId="2409" builtinId="9" hidden="1"/>
    <cellStyle name="Lien hypertexte visité" xfId="2473" builtinId="9" hidden="1"/>
    <cellStyle name="Lien hypertexte visité" xfId="2505" builtinId="9" hidden="1"/>
    <cellStyle name="Lien hypertexte visité" xfId="2537" builtinId="9" hidden="1"/>
    <cellStyle name="Lien hypertexte visité" xfId="2601" builtinId="9" hidden="1"/>
    <cellStyle name="Lien hypertexte visité" xfId="2633" builtinId="9" hidden="1"/>
    <cellStyle name="Lien hypertexte visité" xfId="2665" builtinId="9" hidden="1"/>
    <cellStyle name="Lien hypertexte visité" xfId="2729" builtinId="9" hidden="1"/>
    <cellStyle name="Lien hypertexte visité" xfId="2761" builtinId="9" hidden="1"/>
    <cellStyle name="Lien hypertexte visité" xfId="2793" builtinId="9" hidden="1"/>
    <cellStyle name="Lien hypertexte visité" xfId="2857" builtinId="9" hidden="1"/>
    <cellStyle name="Lien hypertexte visité" xfId="2889" builtinId="9" hidden="1"/>
    <cellStyle name="Lien hypertexte visité" xfId="2921" builtinId="9" hidden="1"/>
    <cellStyle name="Lien hypertexte visité" xfId="2985" builtinId="9" hidden="1"/>
    <cellStyle name="Lien hypertexte visité" xfId="3017" builtinId="9" hidden="1"/>
    <cellStyle name="Lien hypertexte visité" xfId="3049" builtinId="9" hidden="1"/>
    <cellStyle name="Lien hypertexte visité" xfId="3113" builtinId="9" hidden="1"/>
    <cellStyle name="Lien hypertexte visité" xfId="3145" builtinId="9" hidden="1"/>
    <cellStyle name="Lien hypertexte visité" xfId="3177" builtinId="9" hidden="1"/>
    <cellStyle name="Lien hypertexte visité" xfId="3241" builtinId="9" hidden="1"/>
    <cellStyle name="Lien hypertexte visité" xfId="3273" builtinId="9" hidden="1"/>
    <cellStyle name="Lien hypertexte visité" xfId="3305" builtinId="9" hidden="1"/>
    <cellStyle name="Lien hypertexte visité" xfId="3369" builtinId="9" hidden="1"/>
    <cellStyle name="Lien hypertexte visité" xfId="3401" builtinId="9" hidden="1"/>
    <cellStyle name="Lien hypertexte visité" xfId="3433" builtinId="9" hidden="1"/>
    <cellStyle name="Lien hypertexte visité" xfId="3497" builtinId="9" hidden="1"/>
    <cellStyle name="Lien hypertexte visité" xfId="3529" builtinId="9" hidden="1"/>
    <cellStyle name="Lien hypertexte visité" xfId="3562" builtinId="9" hidden="1"/>
    <cellStyle name="Lien hypertexte visité" xfId="3626" builtinId="9" hidden="1"/>
    <cellStyle name="Lien hypertexte visité" xfId="3660" builtinId="9" hidden="1"/>
    <cellStyle name="Lien hypertexte visité" xfId="3698" builtinId="9" hidden="1"/>
    <cellStyle name="Lien hypertexte visité" xfId="3762" builtinId="9" hidden="1"/>
    <cellStyle name="Lien hypertexte visité" xfId="3794" builtinId="9" hidden="1"/>
    <cellStyle name="Lien hypertexte visité" xfId="3826" builtinId="9" hidden="1"/>
    <cellStyle name="Lien hypertexte visité" xfId="3891" builtinId="9" hidden="1"/>
    <cellStyle name="Lien hypertexte visité" xfId="3923" builtinId="9" hidden="1"/>
    <cellStyle name="Lien hypertexte visité" xfId="3951" builtinId="9" hidden="1"/>
    <cellStyle name="Lien hypertexte visité" xfId="4015" builtinId="9" hidden="1"/>
    <cellStyle name="Lien hypertexte visité" xfId="4047" builtinId="9" hidden="1"/>
    <cellStyle name="Lien hypertexte visité" xfId="4079" builtinId="9" hidden="1"/>
    <cellStyle name="Lien hypertexte visité" xfId="4143" builtinId="9" hidden="1"/>
    <cellStyle name="Lien hypertexte visité" xfId="4175" builtinId="9" hidden="1"/>
    <cellStyle name="Lien hypertexte visité" xfId="4207" builtinId="9" hidden="1"/>
    <cellStyle name="Lien hypertexte visité" xfId="4271" builtinId="9" hidden="1"/>
    <cellStyle name="Lien hypertexte visité" xfId="4303" builtinId="9" hidden="1"/>
    <cellStyle name="Lien hypertexte visité" xfId="4335" builtinId="9" hidden="1"/>
    <cellStyle name="Lien hypertexte visité" xfId="4399" builtinId="9" hidden="1"/>
    <cellStyle name="Lien hypertexte visité" xfId="4431" builtinId="9" hidden="1"/>
    <cellStyle name="Lien hypertexte visité" xfId="4463" builtinId="9" hidden="1"/>
    <cellStyle name="Lien hypertexte visité" xfId="4527" builtinId="9" hidden="1"/>
    <cellStyle name="Lien hypertexte visité" xfId="4559" builtinId="9" hidden="1"/>
    <cellStyle name="Lien hypertexte visité" xfId="4591" builtinId="9" hidden="1"/>
    <cellStyle name="Lien hypertexte visité" xfId="4655" builtinId="9" hidden="1"/>
    <cellStyle name="Lien hypertexte visité" xfId="4687" builtinId="9" hidden="1"/>
    <cellStyle name="Lien hypertexte visité" xfId="4719" builtinId="9" hidden="1"/>
    <cellStyle name="Lien hypertexte visité" xfId="4783" builtinId="9" hidden="1"/>
    <cellStyle name="Lien hypertexte visité" xfId="4815" builtinId="9" hidden="1"/>
    <cellStyle name="Lien hypertexte visité" xfId="4847" builtinId="9" hidden="1"/>
    <cellStyle name="Lien hypertexte visité" xfId="4911" builtinId="9" hidden="1"/>
    <cellStyle name="Lien hypertexte visité" xfId="4943" builtinId="9" hidden="1"/>
    <cellStyle name="Lien hypertexte visité" xfId="4975" builtinId="9" hidden="1"/>
    <cellStyle name="Lien hypertexte visité" xfId="5039" builtinId="9" hidden="1"/>
    <cellStyle name="Lien hypertexte visité" xfId="5071" builtinId="9" hidden="1"/>
    <cellStyle name="Lien hypertexte visité" xfId="5103" builtinId="9" hidden="1"/>
    <cellStyle name="Lien hypertexte visité" xfId="5167" builtinId="9" hidden="1"/>
    <cellStyle name="Lien hypertexte visité" xfId="5199" builtinId="9" hidden="1"/>
    <cellStyle name="Lien hypertexte visité" xfId="5231" builtinId="9" hidden="1"/>
    <cellStyle name="Lien hypertexte visité" xfId="5295" builtinId="9" hidden="1"/>
    <cellStyle name="Lien hypertexte visité" xfId="5327" builtinId="9" hidden="1"/>
    <cellStyle name="Lien hypertexte visité" xfId="5359" builtinId="9" hidden="1"/>
    <cellStyle name="Lien hypertexte visité" xfId="5423" builtinId="9" hidden="1"/>
    <cellStyle name="Lien hypertexte visité" xfId="5455" builtinId="9" hidden="1"/>
    <cellStyle name="Lien hypertexte visité" xfId="5487" builtinId="9" hidden="1"/>
    <cellStyle name="Lien hypertexte visité" xfId="5551" builtinId="9" hidden="1"/>
    <cellStyle name="Lien hypertexte visité" xfId="5583" builtinId="9" hidden="1"/>
    <cellStyle name="Lien hypertexte visité" xfId="5615" builtinId="9" hidden="1"/>
    <cellStyle name="Lien hypertexte visité" xfId="5679" builtinId="9" hidden="1"/>
    <cellStyle name="Lien hypertexte visité" xfId="5711" builtinId="9" hidden="1"/>
    <cellStyle name="Lien hypertexte visité" xfId="5743" builtinId="9" hidden="1"/>
    <cellStyle name="Lien hypertexte visité" xfId="5807" builtinId="9" hidden="1"/>
    <cellStyle name="Lien hypertexte visité" xfId="5839" builtinId="9" hidden="1"/>
    <cellStyle name="Lien hypertexte visité" xfId="5871" builtinId="9" hidden="1"/>
    <cellStyle name="Lien hypertexte visité" xfId="5935" builtinId="9" hidden="1"/>
    <cellStyle name="Lien hypertexte visité" xfId="5967" builtinId="9" hidden="1"/>
    <cellStyle name="Lien hypertexte visité" xfId="5999" builtinId="9" hidden="1"/>
    <cellStyle name="Lien hypertexte visité" xfId="6063" builtinId="9" hidden="1"/>
    <cellStyle name="Lien hypertexte visité" xfId="6095" builtinId="9" hidden="1"/>
    <cellStyle name="Lien hypertexte visité" xfId="6127" builtinId="9" hidden="1"/>
    <cellStyle name="Lien hypertexte visité" xfId="6191" builtinId="9" hidden="1"/>
    <cellStyle name="Lien hypertexte visité" xfId="6223" builtinId="9" hidden="1"/>
    <cellStyle name="Lien hypertexte visité" xfId="6255" builtinId="9" hidden="1"/>
    <cellStyle name="Lien hypertexte visité" xfId="6319" builtinId="9" hidden="1"/>
    <cellStyle name="Lien hypertexte visité" xfId="6351" builtinId="9" hidden="1"/>
    <cellStyle name="Lien hypertexte visité" xfId="6383" builtinId="9" hidden="1"/>
    <cellStyle name="Lien hypertexte visité" xfId="6447" builtinId="9" hidden="1"/>
    <cellStyle name="Lien hypertexte visité" xfId="6479" builtinId="9" hidden="1"/>
    <cellStyle name="Lien hypertexte visité" xfId="6511" builtinId="9" hidden="1"/>
    <cellStyle name="Lien hypertexte visité" xfId="6575" builtinId="9" hidden="1"/>
    <cellStyle name="Lien hypertexte visité" xfId="6607" builtinId="9" hidden="1"/>
    <cellStyle name="Lien hypertexte visité" xfId="6639" builtinId="9" hidden="1"/>
    <cellStyle name="Lien hypertexte visité" xfId="6703" builtinId="9" hidden="1"/>
    <cellStyle name="Lien hypertexte visité" xfId="6735" builtinId="9" hidden="1"/>
    <cellStyle name="Lien hypertexte visité" xfId="6767" builtinId="9" hidden="1"/>
    <cellStyle name="Lien hypertexte visité" xfId="6831" builtinId="9" hidden="1"/>
    <cellStyle name="Lien hypertexte visité" xfId="6863" builtinId="9" hidden="1"/>
    <cellStyle name="Lien hypertexte visité" xfId="6895" builtinId="9" hidden="1"/>
    <cellStyle name="Lien hypertexte visité" xfId="6959" builtinId="9" hidden="1"/>
    <cellStyle name="Lien hypertexte visité" xfId="6991" builtinId="9" hidden="1"/>
    <cellStyle name="Lien hypertexte visité" xfId="7023" builtinId="9" hidden="1"/>
    <cellStyle name="Lien hypertexte visité" xfId="7087" builtinId="9" hidden="1"/>
    <cellStyle name="Lien hypertexte visité" xfId="7119" builtinId="9" hidden="1"/>
    <cellStyle name="Lien hypertexte visité" xfId="7151" builtinId="9" hidden="1"/>
    <cellStyle name="Lien hypertexte visité" xfId="7215" builtinId="9" hidden="1"/>
    <cellStyle name="Lien hypertexte visité" xfId="7247" builtinId="9" hidden="1"/>
    <cellStyle name="Lien hypertexte visité" xfId="7279" builtinId="9" hidden="1"/>
    <cellStyle name="Lien hypertexte visité" xfId="7343" builtinId="9" hidden="1"/>
    <cellStyle name="Lien hypertexte visité" xfId="7375" builtinId="9" hidden="1"/>
    <cellStyle name="Lien hypertexte visité" xfId="7407" builtinId="9" hidden="1"/>
    <cellStyle name="Lien hypertexte visité" xfId="7471" builtinId="9" hidden="1"/>
    <cellStyle name="Lien hypertexte visité" xfId="7503" builtinId="9" hidden="1"/>
    <cellStyle name="Lien hypertexte visité" xfId="7535" builtinId="9" hidden="1"/>
    <cellStyle name="Lien hypertexte visité" xfId="7599" builtinId="9" hidden="1"/>
    <cellStyle name="Lien hypertexte visité" xfId="7631" builtinId="9" hidden="1"/>
    <cellStyle name="Lien hypertexte visité" xfId="7663" builtinId="9" hidden="1"/>
    <cellStyle name="Lien hypertexte visité" xfId="7727" builtinId="9" hidden="1"/>
    <cellStyle name="Lien hypertexte visité" xfId="7759" builtinId="9" hidden="1"/>
    <cellStyle name="Lien hypertexte visité" xfId="7791" builtinId="9" hidden="1"/>
    <cellStyle name="Lien hypertexte visité" xfId="7856" builtinId="9" hidden="1"/>
    <cellStyle name="Lien hypertexte visité" xfId="7888" builtinId="9" hidden="1"/>
    <cellStyle name="Lien hypertexte visité" xfId="7920" builtinId="9" hidden="1"/>
    <cellStyle name="Lien hypertexte visité" xfId="7984" builtinId="9" hidden="1"/>
    <cellStyle name="Lien hypertexte visité" xfId="8016" builtinId="9" hidden="1"/>
    <cellStyle name="Lien hypertexte visité" xfId="8048" builtinId="9" hidden="1"/>
    <cellStyle name="Lien hypertexte visité" xfId="8112" builtinId="9" hidden="1"/>
    <cellStyle name="Lien hypertexte visité" xfId="8144" builtinId="9" hidden="1"/>
    <cellStyle name="Lien hypertexte visité" xfId="8176" builtinId="9" hidden="1"/>
    <cellStyle name="Lien hypertexte visité" xfId="8240" builtinId="9" hidden="1"/>
    <cellStyle name="Lien hypertexte visité" xfId="8272" builtinId="9" hidden="1"/>
    <cellStyle name="Lien hypertexte visité" xfId="8304" builtinId="9" hidden="1"/>
    <cellStyle name="Lien hypertexte visité" xfId="8368" builtinId="9" hidden="1"/>
    <cellStyle name="Lien hypertexte visité" xfId="8400" builtinId="9" hidden="1"/>
    <cellStyle name="Lien hypertexte visité" xfId="8432" builtinId="9" hidden="1"/>
    <cellStyle name="Lien hypertexte visité" xfId="8496" builtinId="9" hidden="1"/>
    <cellStyle name="Lien hypertexte visité" xfId="8528" builtinId="9" hidden="1"/>
    <cellStyle name="Lien hypertexte visité" xfId="8560" builtinId="9" hidden="1"/>
    <cellStyle name="Lien hypertexte visité" xfId="8624" builtinId="9" hidden="1"/>
    <cellStyle name="Lien hypertexte visité" xfId="8656" builtinId="9" hidden="1"/>
    <cellStyle name="Lien hypertexte visité" xfId="8688" builtinId="9" hidden="1"/>
    <cellStyle name="Lien hypertexte visité" xfId="8752" builtinId="9" hidden="1"/>
    <cellStyle name="Lien hypertexte visité" xfId="8784" builtinId="9" hidden="1"/>
    <cellStyle name="Lien hypertexte visité" xfId="8816" builtinId="9" hidden="1"/>
    <cellStyle name="Lien hypertexte visité" xfId="587" builtinId="9" hidden="1"/>
    <cellStyle name="Lien hypertexte visité" xfId="539" builtinId="9" hidden="1"/>
    <cellStyle name="Lien hypertexte visité" xfId="507" builtinId="9" hidden="1"/>
    <cellStyle name="Lien hypertexte visité" xfId="411" builtinId="9" hidden="1"/>
    <cellStyle name="Lien hypertexte visité" xfId="379" builtinId="9" hidden="1"/>
    <cellStyle name="Lien hypertexte visité" xfId="331" builtinId="9" hidden="1"/>
    <cellStyle name="Lien hypertexte visité" xfId="251" builtinId="9" hidden="1"/>
    <cellStyle name="Lien hypertexte visité" xfId="203" builtinId="9" hidden="1"/>
    <cellStyle name="Lien hypertexte visité" xfId="155" builtinId="9" hidden="1"/>
    <cellStyle name="Lien hypertexte visité" xfId="97" builtinId="9" hidden="1"/>
    <cellStyle name="Lien hypertexte visité" xfId="71" builtinId="9" hidden="1"/>
    <cellStyle name="Lien hypertexte visité" xfId="57" builtinId="9" hidden="1"/>
    <cellStyle name="Lien hypertexte visité" xfId="99" builtinId="9" hidden="1"/>
    <cellStyle name="Lien hypertexte visité" xfId="77" builtinId="9" hidden="1"/>
    <cellStyle name="Lien hypertexte visité" xfId="151" builtinId="9" hidden="1"/>
    <cellStyle name="Lien hypertexte visité" xfId="231" builtinId="9" hidden="1"/>
    <cellStyle name="Lien hypertexte visité" xfId="279" builtinId="9" hidden="1"/>
    <cellStyle name="Lien hypertexte visité" xfId="327" builtinId="9" hidden="1"/>
    <cellStyle name="Lien hypertexte visité" xfId="407" builtinId="9" hidden="1"/>
    <cellStyle name="Lien hypertexte visité" xfId="455" builtinId="9" hidden="1"/>
    <cellStyle name="Lien hypertexte visité" xfId="487" builtinId="9" hidden="1"/>
    <cellStyle name="Lien hypertexte visité" xfId="583" builtinId="9" hidden="1"/>
    <cellStyle name="Lien hypertexte visité" xfId="615" builtinId="9" hidden="1"/>
    <cellStyle name="Lien hypertexte visité" xfId="663" builtinId="9" hidden="1"/>
    <cellStyle name="Lien hypertexte visité" xfId="743" builtinId="9" hidden="1"/>
    <cellStyle name="Lien hypertexte visité" xfId="791" builtinId="9" hidden="1"/>
    <cellStyle name="Lien hypertexte visité" xfId="839" builtinId="9" hidden="1"/>
    <cellStyle name="Lien hypertexte visité" xfId="919" builtinId="9" hidden="1"/>
    <cellStyle name="Lien hypertexte visité" xfId="967" builtinId="9" hidden="1"/>
    <cellStyle name="Lien hypertexte visité" xfId="999" builtinId="9" hidden="1"/>
    <cellStyle name="Lien hypertexte visité" xfId="1095" builtinId="9" hidden="1"/>
    <cellStyle name="Lien hypertexte visité" xfId="1127" builtinId="9" hidden="1"/>
    <cellStyle name="Lien hypertexte visité" xfId="1169" builtinId="9" hidden="1"/>
    <cellStyle name="Lien hypertexte visité" xfId="1209" builtinId="9" hidden="1"/>
    <cellStyle name="Lien hypertexte visité" xfId="1233" builtinId="9" hidden="1"/>
    <cellStyle name="Lien hypertexte visité" xfId="1257" builtinId="9" hidden="1"/>
    <cellStyle name="Lien hypertexte visité" xfId="1297" builtinId="9" hidden="1"/>
    <cellStyle name="Lien hypertexte visité" xfId="1321" builtinId="9" hidden="1"/>
    <cellStyle name="Lien hypertexte visité" xfId="1337" builtinId="9" hidden="1"/>
    <cellStyle name="Lien hypertexte visité" xfId="1385" builtinId="9" hidden="1"/>
    <cellStyle name="Lien hypertexte visité" xfId="1401" builtinId="9" hidden="1"/>
    <cellStyle name="Lien hypertexte visité" xfId="1425" builtinId="9" hidden="1"/>
    <cellStyle name="Lien hypertexte visité" xfId="1465" builtinId="9" hidden="1"/>
    <cellStyle name="Lien hypertexte visité" xfId="1489" builtinId="9" hidden="1"/>
    <cellStyle name="Lien hypertexte visité" xfId="1514" builtinId="9" hidden="1"/>
    <cellStyle name="Lien hypertexte visité" xfId="1554" builtinId="9" hidden="1"/>
    <cellStyle name="Lien hypertexte visité" xfId="1578" builtinId="9" hidden="1"/>
    <cellStyle name="Lien hypertexte visité" xfId="1594" builtinId="9" hidden="1"/>
    <cellStyle name="Lien hypertexte visité" xfId="1642" builtinId="9" hidden="1"/>
    <cellStyle name="Lien hypertexte visité" xfId="1658" builtinId="9" hidden="1"/>
    <cellStyle name="Lien hypertexte visité" xfId="1682" builtinId="9" hidden="1"/>
    <cellStyle name="Lien hypertexte visité" xfId="1722" builtinId="9" hidden="1"/>
    <cellStyle name="Lien hypertexte visité" xfId="1746" builtinId="9" hidden="1"/>
    <cellStyle name="Lien hypertexte visité" xfId="1770" builtinId="9" hidden="1"/>
    <cellStyle name="Lien hypertexte visité" xfId="1810" builtinId="9" hidden="1"/>
    <cellStyle name="Lien hypertexte visité" xfId="1834" builtinId="9" hidden="1"/>
    <cellStyle name="Lien hypertexte visité" xfId="1850" builtinId="9" hidden="1"/>
    <cellStyle name="Lien hypertexte visité" xfId="1898" builtinId="9" hidden="1"/>
    <cellStyle name="Lien hypertexte visité" xfId="1914" builtinId="9" hidden="1"/>
    <cellStyle name="Lien hypertexte visité" xfId="1938" builtinId="9" hidden="1"/>
    <cellStyle name="Lien hypertexte visité" xfId="1978" builtinId="9" hidden="1"/>
    <cellStyle name="Lien hypertexte visité" xfId="2002" builtinId="9" hidden="1"/>
    <cellStyle name="Lien hypertexte visité" xfId="2026" builtinId="9" hidden="1"/>
    <cellStyle name="Lien hypertexte visité" xfId="2066" builtinId="9" hidden="1"/>
    <cellStyle name="Lien hypertexte visité" xfId="2090" builtinId="9" hidden="1"/>
    <cellStyle name="Lien hypertexte visité" xfId="2106" builtinId="9" hidden="1"/>
    <cellStyle name="Lien hypertexte visité" xfId="2154" builtinId="9" hidden="1"/>
    <cellStyle name="Lien hypertexte visité" xfId="2170" builtinId="9" hidden="1"/>
    <cellStyle name="Lien hypertexte visité" xfId="2194" builtinId="9" hidden="1"/>
    <cellStyle name="Lien hypertexte visité" xfId="2234" builtinId="9" hidden="1"/>
    <cellStyle name="Lien hypertexte visité" xfId="2258" builtinId="9" hidden="1"/>
    <cellStyle name="Lien hypertexte visité" xfId="2282" builtinId="9" hidden="1"/>
    <cellStyle name="Lien hypertexte visité" xfId="2322" builtinId="9" hidden="1"/>
    <cellStyle name="Lien hypertexte visité" xfId="2346" builtinId="9" hidden="1"/>
    <cellStyle name="Lien hypertexte visité" xfId="2362" builtinId="9" hidden="1"/>
    <cellStyle name="Lien hypertexte visité" xfId="2410" builtinId="9" hidden="1"/>
    <cellStyle name="Lien hypertexte visité" xfId="2426" builtinId="9" hidden="1"/>
    <cellStyle name="Lien hypertexte visité" xfId="2450" builtinId="9" hidden="1"/>
    <cellStyle name="Lien hypertexte visité" xfId="2490" builtinId="9" hidden="1"/>
    <cellStyle name="Lien hypertexte visité" xfId="2514" builtinId="9" hidden="1"/>
    <cellStyle name="Lien hypertexte visité" xfId="2538" builtinId="9" hidden="1"/>
    <cellStyle name="Lien hypertexte visité" xfId="2578" builtinId="9" hidden="1"/>
    <cellStyle name="Lien hypertexte visité" xfId="2602" builtinId="9" hidden="1"/>
    <cellStyle name="Lien hypertexte visité" xfId="2618" builtinId="9" hidden="1"/>
    <cellStyle name="Lien hypertexte visité" xfId="2666" builtinId="9" hidden="1"/>
    <cellStyle name="Lien hypertexte visité" xfId="2682" builtinId="9" hidden="1"/>
    <cellStyle name="Lien hypertexte visité" xfId="2706" builtinId="9" hidden="1"/>
    <cellStyle name="Lien hypertexte visité" xfId="2746" builtinId="9" hidden="1"/>
    <cellStyle name="Lien hypertexte visité" xfId="2770" builtinId="9" hidden="1"/>
    <cellStyle name="Lien hypertexte visité" xfId="2794" builtinId="9" hidden="1"/>
    <cellStyle name="Lien hypertexte visité" xfId="2834" builtinId="9" hidden="1"/>
    <cellStyle name="Lien hypertexte visité" xfId="2858" builtinId="9" hidden="1"/>
    <cellStyle name="Lien hypertexte visité" xfId="2874" builtinId="9" hidden="1"/>
    <cellStyle name="Lien hypertexte visité" xfId="2922" builtinId="9" hidden="1"/>
    <cellStyle name="Lien hypertexte visité" xfId="2938" builtinId="9" hidden="1"/>
    <cellStyle name="Lien hypertexte visité" xfId="2962" builtinId="9" hidden="1"/>
    <cellStyle name="Lien hypertexte visité" xfId="3002" builtinId="9" hidden="1"/>
    <cellStyle name="Lien hypertexte visité" xfId="3026" builtinId="9" hidden="1"/>
    <cellStyle name="Lien hypertexte visité" xfId="3050" builtinId="9" hidden="1"/>
    <cellStyle name="Lien hypertexte visité" xfId="3090" builtinId="9" hidden="1"/>
    <cellStyle name="Lien hypertexte visité" xfId="3114" builtinId="9" hidden="1"/>
    <cellStyle name="Lien hypertexte visité" xfId="3130" builtinId="9" hidden="1"/>
    <cellStyle name="Lien hypertexte visité" xfId="3178" builtinId="9" hidden="1"/>
    <cellStyle name="Lien hypertexte visité" xfId="3194" builtinId="9" hidden="1"/>
    <cellStyle name="Lien hypertexte visité" xfId="3218" builtinId="9" hidden="1"/>
    <cellStyle name="Lien hypertexte visité" xfId="3258" builtinId="9" hidden="1"/>
    <cellStyle name="Lien hypertexte visité" xfId="3282" builtinId="9" hidden="1"/>
    <cellStyle name="Lien hypertexte visité" xfId="3306" builtinId="9" hidden="1"/>
    <cellStyle name="Lien hypertexte visité" xfId="3346" builtinId="9" hidden="1"/>
    <cellStyle name="Lien hypertexte visité" xfId="3370" builtinId="9" hidden="1"/>
    <cellStyle name="Lien hypertexte visité" xfId="3386" builtinId="9" hidden="1"/>
    <cellStyle name="Lien hypertexte visité" xfId="3434" builtinId="9" hidden="1"/>
    <cellStyle name="Lien hypertexte visité" xfId="3450" builtinId="9" hidden="1"/>
    <cellStyle name="Lien hypertexte visité" xfId="3474" builtinId="9" hidden="1"/>
    <cellStyle name="Lien hypertexte visité" xfId="3514" builtinId="9" hidden="1"/>
    <cellStyle name="Lien hypertexte visité" xfId="3538" builtinId="9" hidden="1"/>
    <cellStyle name="Lien hypertexte visité" xfId="3563" builtinId="9" hidden="1"/>
    <cellStyle name="Lien hypertexte visité" xfId="3603" builtinId="9" hidden="1"/>
    <cellStyle name="Lien hypertexte visité" xfId="3627" builtinId="9" hidden="1"/>
    <cellStyle name="Lien hypertexte visité" xfId="3643" builtinId="9" hidden="1"/>
    <cellStyle name="Lien hypertexte visité" xfId="3699" builtinId="9" hidden="1"/>
    <cellStyle name="Lien hypertexte visité" xfId="3715" builtinId="9" hidden="1"/>
    <cellStyle name="Lien hypertexte visité" xfId="3739" builtinId="9" hidden="1"/>
    <cellStyle name="Lien hypertexte visité" xfId="3779" builtinId="9" hidden="1"/>
    <cellStyle name="Lien hypertexte visité" xfId="3803" builtinId="9" hidden="1"/>
    <cellStyle name="Lien hypertexte visité" xfId="3827" builtinId="9" hidden="1"/>
    <cellStyle name="Lien hypertexte visité" xfId="3867" builtinId="9" hidden="1"/>
    <cellStyle name="Lien hypertexte visité" xfId="3892" builtinId="9" hidden="1"/>
    <cellStyle name="Lien hypertexte visité" xfId="3908" builtinId="9" hidden="1"/>
    <cellStyle name="Lien hypertexte visité" xfId="3952" builtinId="9" hidden="1"/>
    <cellStyle name="Lien hypertexte visité" xfId="3968" builtinId="9" hidden="1"/>
    <cellStyle name="Lien hypertexte visité" xfId="3992" builtinId="9" hidden="1"/>
    <cellStyle name="Lien hypertexte visité" xfId="4032" builtinId="9" hidden="1"/>
    <cellStyle name="Lien hypertexte visité" xfId="4056" builtinId="9" hidden="1"/>
    <cellStyle name="Lien hypertexte visité" xfId="4080" builtinId="9" hidden="1"/>
    <cellStyle name="Lien hypertexte visité" xfId="4120" builtinId="9" hidden="1"/>
    <cellStyle name="Lien hypertexte visité" xfId="4144" builtinId="9" hidden="1"/>
    <cellStyle name="Lien hypertexte visité" xfId="4160" builtinId="9" hidden="1"/>
    <cellStyle name="Lien hypertexte visité" xfId="4208" builtinId="9" hidden="1"/>
    <cellStyle name="Lien hypertexte visité" xfId="4224" builtinId="9" hidden="1"/>
    <cellStyle name="Lien hypertexte visité" xfId="4248" builtinId="9" hidden="1"/>
    <cellStyle name="Lien hypertexte visité" xfId="4288" builtinId="9" hidden="1"/>
    <cellStyle name="Lien hypertexte visité" xfId="4312" builtinId="9" hidden="1"/>
    <cellStyle name="Lien hypertexte visité" xfId="4336" builtinId="9" hidden="1"/>
    <cellStyle name="Lien hypertexte visité" xfId="4376" builtinId="9" hidden="1"/>
    <cellStyle name="Lien hypertexte visité" xfId="4400" builtinId="9" hidden="1"/>
    <cellStyle name="Lien hypertexte visité" xfId="4416" builtinId="9" hidden="1"/>
    <cellStyle name="Lien hypertexte visité" xfId="4464" builtinId="9" hidden="1"/>
    <cellStyle name="Lien hypertexte visité" xfId="4480" builtinId="9" hidden="1"/>
    <cellStyle name="Lien hypertexte visité" xfId="4504" builtinId="9" hidden="1"/>
    <cellStyle name="Lien hypertexte visité" xfId="4544" builtinId="9" hidden="1"/>
    <cellStyle name="Lien hypertexte visité" xfId="4568" builtinId="9" hidden="1"/>
    <cellStyle name="Lien hypertexte visité" xfId="4592" builtinId="9" hidden="1"/>
    <cellStyle name="Lien hypertexte visité" xfId="4632" builtinId="9" hidden="1"/>
    <cellStyle name="Lien hypertexte visité" xfId="4656" builtinId="9" hidden="1"/>
    <cellStyle name="Lien hypertexte visité" xfId="4672" builtinId="9" hidden="1"/>
    <cellStyle name="Lien hypertexte visité" xfId="4720" builtinId="9" hidden="1"/>
    <cellStyle name="Lien hypertexte visité" xfId="4736" builtinId="9" hidden="1"/>
    <cellStyle name="Lien hypertexte visité" xfId="4760" builtinId="9" hidden="1"/>
    <cellStyle name="Lien hypertexte visité" xfId="4800" builtinId="9" hidden="1"/>
    <cellStyle name="Lien hypertexte visité" xfId="4824" builtinId="9" hidden="1"/>
    <cellStyle name="Lien hypertexte visité" xfId="4848" builtinId="9" hidden="1"/>
    <cellStyle name="Lien hypertexte visité" xfId="4888" builtinId="9" hidden="1"/>
    <cellStyle name="Lien hypertexte visité" xfId="4912" builtinId="9" hidden="1"/>
    <cellStyle name="Lien hypertexte visité" xfId="4928" builtinId="9" hidden="1"/>
    <cellStyle name="Lien hypertexte visité" xfId="4976" builtinId="9" hidden="1"/>
    <cellStyle name="Lien hypertexte visité" xfId="4992" builtinId="9" hidden="1"/>
    <cellStyle name="Lien hypertexte visité" xfId="5016" builtinId="9" hidden="1"/>
    <cellStyle name="Lien hypertexte visité" xfId="5056" builtinId="9" hidden="1"/>
    <cellStyle name="Lien hypertexte visité" xfId="5080" builtinId="9" hidden="1"/>
    <cellStyle name="Lien hypertexte visité" xfId="5104" builtinId="9" hidden="1"/>
    <cellStyle name="Lien hypertexte visité" xfId="5144" builtinId="9" hidden="1"/>
    <cellStyle name="Lien hypertexte visité" xfId="5168" builtinId="9" hidden="1"/>
    <cellStyle name="Lien hypertexte visité" xfId="5184" builtinId="9" hidden="1"/>
    <cellStyle name="Lien hypertexte visité" xfId="5232" builtinId="9" hidden="1"/>
    <cellStyle name="Lien hypertexte visité" xfId="5248" builtinId="9" hidden="1"/>
    <cellStyle name="Lien hypertexte visité" xfId="5272" builtinId="9" hidden="1"/>
    <cellStyle name="Lien hypertexte visité" xfId="5312" builtinId="9" hidden="1"/>
    <cellStyle name="Lien hypertexte visité" xfId="5336" builtinId="9" hidden="1"/>
    <cellStyle name="Lien hypertexte visité" xfId="5360" builtinId="9" hidden="1"/>
    <cellStyle name="Lien hypertexte visité" xfId="5400" builtinId="9" hidden="1"/>
    <cellStyle name="Lien hypertexte visité" xfId="5424" builtinId="9" hidden="1"/>
    <cellStyle name="Lien hypertexte visité" xfId="5440" builtinId="9" hidden="1"/>
    <cellStyle name="Lien hypertexte visité" xfId="5488" builtinId="9" hidden="1"/>
    <cellStyle name="Lien hypertexte visité" xfId="5504" builtinId="9" hidden="1"/>
    <cellStyle name="Lien hypertexte visité" xfId="5528" builtinId="9" hidden="1"/>
    <cellStyle name="Lien hypertexte visité" xfId="5568" builtinId="9" hidden="1"/>
    <cellStyle name="Lien hypertexte visité" xfId="5592" builtinId="9" hidden="1"/>
    <cellStyle name="Lien hypertexte visité" xfId="5616" builtinId="9" hidden="1"/>
    <cellStyle name="Lien hypertexte visité" xfId="5656" builtinId="9" hidden="1"/>
    <cellStyle name="Lien hypertexte visité" xfId="5680" builtinId="9" hidden="1"/>
    <cellStyle name="Lien hypertexte visité" xfId="5696" builtinId="9" hidden="1"/>
    <cellStyle name="Lien hypertexte visité" xfId="5744" builtinId="9" hidden="1"/>
    <cellStyle name="Lien hypertexte visité" xfId="5760" builtinId="9" hidden="1"/>
    <cellStyle name="Lien hypertexte visité" xfId="5784" builtinId="9" hidden="1"/>
    <cellStyle name="Lien hypertexte visité" xfId="5824" builtinId="9" hidden="1"/>
    <cellStyle name="Lien hypertexte visité" xfId="5848" builtinId="9" hidden="1"/>
    <cellStyle name="Lien hypertexte visité" xfId="5872" builtinId="9" hidden="1"/>
    <cellStyle name="Lien hypertexte visité" xfId="5912" builtinId="9" hidden="1"/>
    <cellStyle name="Lien hypertexte visité" xfId="5936" builtinId="9" hidden="1"/>
    <cellStyle name="Lien hypertexte visité" xfId="5952" builtinId="9" hidden="1"/>
    <cellStyle name="Lien hypertexte visité" xfId="6000" builtinId="9" hidden="1"/>
    <cellStyle name="Lien hypertexte visité" xfId="6016" builtinId="9" hidden="1"/>
    <cellStyle name="Lien hypertexte visité" xfId="6040" builtinId="9" hidden="1"/>
    <cellStyle name="Lien hypertexte visité" xfId="6080" builtinId="9" hidden="1"/>
    <cellStyle name="Lien hypertexte visité" xfId="6104" builtinId="9" hidden="1"/>
    <cellStyle name="Lien hypertexte visité" xfId="6128" builtinId="9" hidden="1"/>
    <cellStyle name="Lien hypertexte visité" xfId="6168" builtinId="9" hidden="1"/>
    <cellStyle name="Lien hypertexte visité" xfId="6192" builtinId="9" hidden="1"/>
    <cellStyle name="Lien hypertexte visité" xfId="6208" builtinId="9" hidden="1"/>
    <cellStyle name="Lien hypertexte visité" xfId="6256" builtinId="9" hidden="1"/>
    <cellStyle name="Lien hypertexte visité" xfId="6272" builtinId="9" hidden="1"/>
    <cellStyle name="Lien hypertexte visité" xfId="6296" builtinId="9" hidden="1"/>
    <cellStyle name="Lien hypertexte visité" xfId="6336" builtinId="9" hidden="1"/>
    <cellStyle name="Lien hypertexte visité" xfId="6360" builtinId="9" hidden="1"/>
    <cellStyle name="Lien hypertexte visité" xfId="6384" builtinId="9" hidden="1"/>
    <cellStyle name="Lien hypertexte visité" xfId="6424" builtinId="9" hidden="1"/>
    <cellStyle name="Lien hypertexte visité" xfId="6448" builtinId="9" hidden="1"/>
    <cellStyle name="Lien hypertexte visité" xfId="6464" builtinId="9" hidden="1"/>
    <cellStyle name="Lien hypertexte visité" xfId="6512" builtinId="9" hidden="1"/>
    <cellStyle name="Lien hypertexte visité" xfId="6528" builtinId="9" hidden="1"/>
    <cellStyle name="Lien hypertexte visité" xfId="6552" builtinId="9" hidden="1"/>
    <cellStyle name="Lien hypertexte visité" xfId="6592" builtinId="9" hidden="1"/>
    <cellStyle name="Lien hypertexte visité" xfId="6616" builtinId="9" hidden="1"/>
    <cellStyle name="Lien hypertexte visité" xfId="6640" builtinId="9" hidden="1"/>
    <cellStyle name="Lien hypertexte visité" xfId="6680" builtinId="9" hidden="1"/>
    <cellStyle name="Lien hypertexte visité" xfId="6704" builtinId="9" hidden="1"/>
    <cellStyle name="Lien hypertexte visité" xfId="6720" builtinId="9" hidden="1"/>
    <cellStyle name="Lien hypertexte visité" xfId="6768" builtinId="9" hidden="1"/>
    <cellStyle name="Lien hypertexte visité" xfId="6784" builtinId="9" hidden="1"/>
    <cellStyle name="Lien hypertexte visité" xfId="6808" builtinId="9" hidden="1"/>
    <cellStyle name="Lien hypertexte visité" xfId="6848" builtinId="9" hidden="1"/>
    <cellStyle name="Lien hypertexte visité" xfId="6872" builtinId="9" hidden="1"/>
    <cellStyle name="Lien hypertexte visité" xfId="6896" builtinId="9" hidden="1"/>
    <cellStyle name="Lien hypertexte visité" xfId="6936" builtinId="9" hidden="1"/>
    <cellStyle name="Lien hypertexte visité" xfId="6960" builtinId="9" hidden="1"/>
    <cellStyle name="Lien hypertexte visité" xfId="6976" builtinId="9" hidden="1"/>
    <cellStyle name="Lien hypertexte visité" xfId="7024" builtinId="9" hidden="1"/>
    <cellStyle name="Lien hypertexte visité" xfId="7040" builtinId="9" hidden="1"/>
    <cellStyle name="Lien hypertexte visité" xfId="7064" builtinId="9" hidden="1"/>
    <cellStyle name="Lien hypertexte visité" xfId="7104" builtinId="9" hidden="1"/>
    <cellStyle name="Lien hypertexte visité" xfId="7128" builtinId="9" hidden="1"/>
    <cellStyle name="Lien hypertexte visité" xfId="7152" builtinId="9" hidden="1"/>
    <cellStyle name="Lien hypertexte visité" xfId="7192" builtinId="9" hidden="1"/>
    <cellStyle name="Lien hypertexte visité" xfId="7216" builtinId="9" hidden="1"/>
    <cellStyle name="Lien hypertexte visité" xfId="7232" builtinId="9" hidden="1"/>
    <cellStyle name="Lien hypertexte visité" xfId="7280" builtinId="9" hidden="1"/>
    <cellStyle name="Lien hypertexte visité" xfId="7296" builtinId="9" hidden="1"/>
    <cellStyle name="Lien hypertexte visité" xfId="7320" builtinId="9" hidden="1"/>
    <cellStyle name="Lien hypertexte visité" xfId="7360" builtinId="9" hidden="1"/>
    <cellStyle name="Lien hypertexte visité" xfId="7384" builtinId="9" hidden="1"/>
    <cellStyle name="Lien hypertexte visité" xfId="7408" builtinId="9" hidden="1"/>
    <cellStyle name="Lien hypertexte visité" xfId="7448" builtinId="9" hidden="1"/>
    <cellStyle name="Lien hypertexte visité" xfId="7472" builtinId="9" hidden="1"/>
    <cellStyle name="Lien hypertexte visité" xfId="7488" builtinId="9" hidden="1"/>
    <cellStyle name="Lien hypertexte visité" xfId="7536" builtinId="9" hidden="1"/>
    <cellStyle name="Lien hypertexte visité" xfId="7552" builtinId="9" hidden="1"/>
    <cellStyle name="Lien hypertexte visité" xfId="7576" builtinId="9" hidden="1"/>
    <cellStyle name="Lien hypertexte visité" xfId="7616" builtinId="9" hidden="1"/>
    <cellStyle name="Lien hypertexte visité" xfId="7640" builtinId="9" hidden="1"/>
    <cellStyle name="Lien hypertexte visité" xfId="7664" builtinId="9" hidden="1"/>
    <cellStyle name="Lien hypertexte visité" xfId="7704" builtinId="9" hidden="1"/>
    <cellStyle name="Lien hypertexte visité" xfId="7728" builtinId="9" hidden="1"/>
    <cellStyle name="Lien hypertexte visité" xfId="7744" builtinId="9" hidden="1"/>
    <cellStyle name="Lien hypertexte visité" xfId="7792" builtinId="9" hidden="1"/>
    <cellStyle name="Lien hypertexte visité" xfId="7809" builtinId="9" hidden="1"/>
    <cellStyle name="Lien hypertexte visité" xfId="7833" builtinId="9" hidden="1"/>
    <cellStyle name="Lien hypertexte visité" xfId="7873" builtinId="9" hidden="1"/>
    <cellStyle name="Lien hypertexte visité" xfId="7897" builtinId="9" hidden="1"/>
    <cellStyle name="Lien hypertexte visité" xfId="7921" builtinId="9" hidden="1"/>
    <cellStyle name="Lien hypertexte visité" xfId="7961" builtinId="9" hidden="1"/>
    <cellStyle name="Lien hypertexte visité" xfId="7985" builtinId="9" hidden="1"/>
    <cellStyle name="Lien hypertexte visité" xfId="8001" builtinId="9" hidden="1"/>
    <cellStyle name="Lien hypertexte visité" xfId="8049" builtinId="9" hidden="1"/>
    <cellStyle name="Lien hypertexte visité" xfId="8065" builtinId="9" hidden="1"/>
    <cellStyle name="Lien hypertexte visité" xfId="8089" builtinId="9" hidden="1"/>
    <cellStyle name="Lien hypertexte visité" xfId="8129" builtinId="9" hidden="1"/>
    <cellStyle name="Lien hypertexte visité" xfId="8153" builtinId="9" hidden="1"/>
    <cellStyle name="Lien hypertexte visité" xfId="8177" builtinId="9" hidden="1"/>
    <cellStyle name="Lien hypertexte visité" xfId="8217" builtinId="9" hidden="1"/>
    <cellStyle name="Lien hypertexte visité" xfId="8241" builtinId="9" hidden="1"/>
    <cellStyle name="Lien hypertexte visité" xfId="8257" builtinId="9" hidden="1"/>
    <cellStyle name="Lien hypertexte visité" xfId="8305" builtinId="9" hidden="1"/>
    <cellStyle name="Lien hypertexte visité" xfId="8321" builtinId="9" hidden="1"/>
    <cellStyle name="Lien hypertexte visité" xfId="8345" builtinId="9" hidden="1"/>
    <cellStyle name="Lien hypertexte visité" xfId="8385" builtinId="9" hidden="1"/>
    <cellStyle name="Lien hypertexte visité" xfId="8409" builtinId="9" hidden="1"/>
    <cellStyle name="Lien hypertexte visité" xfId="8433" builtinId="9" hidden="1"/>
    <cellStyle name="Lien hypertexte visité" xfId="8473" builtinId="9" hidden="1"/>
    <cellStyle name="Lien hypertexte visité" xfId="8497" builtinId="9" hidden="1"/>
    <cellStyle name="Lien hypertexte visité" xfId="8513" builtinId="9" hidden="1"/>
    <cellStyle name="Lien hypertexte visité" xfId="8561" builtinId="9" hidden="1"/>
    <cellStyle name="Lien hypertexte visité" xfId="8577" builtinId="9" hidden="1"/>
    <cellStyle name="Lien hypertexte visité" xfId="8601" builtinId="9" hidden="1"/>
    <cellStyle name="Lien hypertexte visité" xfId="8641" builtinId="9" hidden="1"/>
    <cellStyle name="Lien hypertexte visité" xfId="8665" builtinId="9" hidden="1"/>
    <cellStyle name="Lien hypertexte visité" xfId="8689" builtinId="9" hidden="1"/>
    <cellStyle name="Lien hypertexte visité" xfId="8729" builtinId="9" hidden="1"/>
    <cellStyle name="Lien hypertexte visité" xfId="8753" builtinId="9" hidden="1"/>
    <cellStyle name="Lien hypertexte visité" xfId="8769" builtinId="9" hidden="1"/>
    <cellStyle name="Lien hypertexte visité" xfId="8817" builtinId="9" hidden="1"/>
    <cellStyle name="Lien hypertexte visité" xfId="8833" builtinId="9" hidden="1"/>
    <cellStyle name="Lien hypertexte visité" xfId="8857" builtinId="9" hidden="1"/>
    <cellStyle name="Lien hypertexte visité" xfId="8897" builtinId="9" hidden="1"/>
    <cellStyle name="Lien hypertexte visité" xfId="8921" builtinId="9" hidden="1"/>
    <cellStyle name="Lien hypertexte visité" xfId="8945" builtinId="9" hidden="1"/>
    <cellStyle name="Lien hypertexte visité" xfId="8985" builtinId="9" hidden="1"/>
    <cellStyle name="Lien hypertexte visité" xfId="9009" builtinId="9" hidden="1"/>
    <cellStyle name="Lien hypertexte visité" xfId="9025" builtinId="9" hidden="1"/>
    <cellStyle name="Lien hypertexte visité" xfId="9073" builtinId="9" hidden="1"/>
    <cellStyle name="Lien hypertexte visité" xfId="9089" builtinId="9" hidden="1"/>
    <cellStyle name="Lien hypertexte visité" xfId="9113" builtinId="9" hidden="1"/>
    <cellStyle name="Lien hypertexte visité" xfId="9153" builtinId="9" hidden="1"/>
    <cellStyle name="Lien hypertexte visité" xfId="9177" builtinId="9" hidden="1"/>
    <cellStyle name="Lien hypertexte visité" xfId="9201" builtinId="9" hidden="1"/>
    <cellStyle name="Lien hypertexte visité" xfId="9241" builtinId="9" hidden="1"/>
    <cellStyle name="Lien hypertexte visité" xfId="9265" builtinId="9" hidden="1"/>
    <cellStyle name="Lien hypertexte visité" xfId="9281" builtinId="9" hidden="1"/>
    <cellStyle name="Lien hypertexte visité" xfId="9329" builtinId="9" hidden="1"/>
    <cellStyle name="Lien hypertexte visité" xfId="9345" builtinId="9" hidden="1"/>
    <cellStyle name="Lien hypertexte visité" xfId="9369" builtinId="9" hidden="1"/>
    <cellStyle name="Lien hypertexte visité" xfId="9409" builtinId="9" hidden="1"/>
    <cellStyle name="Lien hypertexte visité" xfId="9433" builtinId="9" hidden="1"/>
    <cellStyle name="Lien hypertexte visité" xfId="9457" builtinId="9" hidden="1"/>
    <cellStyle name="Lien hypertexte visité" xfId="9497" builtinId="9" hidden="1"/>
    <cellStyle name="Lien hypertexte visité" xfId="9521" builtinId="9" hidden="1"/>
    <cellStyle name="Lien hypertexte visité" xfId="9537" builtinId="9" hidden="1"/>
    <cellStyle name="Lien hypertexte visité" xfId="9585" builtinId="9" hidden="1"/>
    <cellStyle name="Lien hypertexte visité" xfId="9601" builtinId="9" hidden="1"/>
    <cellStyle name="Lien hypertexte visité" xfId="9625" builtinId="9" hidden="1"/>
    <cellStyle name="Lien hypertexte visité" xfId="9665" builtinId="9" hidden="1"/>
    <cellStyle name="Lien hypertexte visité" xfId="9689" builtinId="9" hidden="1"/>
    <cellStyle name="Lien hypertexte visité" xfId="9713" builtinId="9" hidden="1"/>
    <cellStyle name="Lien hypertexte visité" xfId="9753" builtinId="9" hidden="1"/>
    <cellStyle name="Lien hypertexte visité" xfId="9777" builtinId="9" hidden="1"/>
    <cellStyle name="Lien hypertexte visité" xfId="9793" builtinId="9" hidden="1"/>
    <cellStyle name="Lien hypertexte visité" xfId="9841" builtinId="9" hidden="1"/>
    <cellStyle name="Lien hypertexte visité" xfId="9857" builtinId="9" hidden="1"/>
    <cellStyle name="Lien hypertexte visité" xfId="9881" builtinId="9" hidden="1"/>
    <cellStyle name="Lien hypertexte visité" xfId="9921" builtinId="9" hidden="1"/>
    <cellStyle name="Lien hypertexte visité" xfId="9945" builtinId="9" hidden="1"/>
    <cellStyle name="Lien hypertexte visité" xfId="9969" builtinId="9" hidden="1"/>
    <cellStyle name="Lien hypertexte visité" xfId="10009" builtinId="9" hidden="1"/>
    <cellStyle name="Lien hypertexte visité" xfId="10033" builtinId="9" hidden="1"/>
    <cellStyle name="Lien hypertexte visité" xfId="10049" builtinId="9" hidden="1"/>
    <cellStyle name="Lien hypertexte visité" xfId="10097" builtinId="9" hidden="1"/>
    <cellStyle name="Lien hypertexte visité" xfId="10113" builtinId="9" hidden="1"/>
    <cellStyle name="Lien hypertexte visité" xfId="10137" builtinId="9" hidden="1"/>
    <cellStyle name="Lien hypertexte visité" xfId="10177" builtinId="9" hidden="1"/>
    <cellStyle name="Lien hypertexte visité" xfId="10201" builtinId="9" hidden="1"/>
    <cellStyle name="Lien hypertexte visité" xfId="10225" builtinId="9" hidden="1"/>
    <cellStyle name="Lien hypertexte visité" xfId="10265" builtinId="9" hidden="1"/>
    <cellStyle name="Lien hypertexte visité" xfId="10289" builtinId="9" hidden="1"/>
    <cellStyle name="Lien hypertexte visité" xfId="10305" builtinId="9" hidden="1"/>
    <cellStyle name="Lien hypertexte visité" xfId="10353" builtinId="9" hidden="1"/>
    <cellStyle name="Lien hypertexte visité" xfId="10369" builtinId="9" hidden="1"/>
    <cellStyle name="Lien hypertexte visité" xfId="10393" builtinId="9" hidden="1"/>
    <cellStyle name="Lien hypertexte visité" xfId="10433" builtinId="9" hidden="1"/>
    <cellStyle name="Lien hypertexte visité" xfId="10457" builtinId="9" hidden="1"/>
    <cellStyle name="Lien hypertexte visité" xfId="10481" builtinId="9" hidden="1"/>
    <cellStyle name="Lien hypertexte visité" xfId="10521" builtinId="9" hidden="1"/>
    <cellStyle name="Lien hypertexte visité" xfId="10545" builtinId="9" hidden="1"/>
    <cellStyle name="Lien hypertexte visité" xfId="10561" builtinId="9" hidden="1"/>
    <cellStyle name="Lien hypertexte visité" xfId="10609" builtinId="9" hidden="1"/>
    <cellStyle name="Lien hypertexte visité" xfId="10625" builtinId="9" hidden="1"/>
    <cellStyle name="Lien hypertexte visité" xfId="10649" builtinId="9" hidden="1"/>
    <cellStyle name="Lien hypertexte visité" xfId="10689" builtinId="9" hidden="1"/>
    <cellStyle name="Lien hypertexte visité" xfId="10713" builtinId="9" hidden="1"/>
    <cellStyle name="Lien hypertexte visité" xfId="10737" builtinId="9" hidden="1"/>
    <cellStyle name="Lien hypertexte visité" xfId="10777" builtinId="9" hidden="1"/>
    <cellStyle name="Lien hypertexte visité" xfId="10801" builtinId="9" hidden="1"/>
    <cellStyle name="Lien hypertexte visité" xfId="10817" builtinId="9" hidden="1"/>
    <cellStyle name="Lien hypertexte visité" xfId="10865" builtinId="9" hidden="1"/>
    <cellStyle name="Lien hypertexte visité" xfId="10881" builtinId="9" hidden="1"/>
    <cellStyle name="Lien hypertexte visité" xfId="10905" builtinId="9" hidden="1"/>
    <cellStyle name="Lien hypertexte visité" xfId="10945" builtinId="9" hidden="1"/>
    <cellStyle name="Lien hypertexte visité" xfId="10969" builtinId="9" hidden="1"/>
    <cellStyle name="Lien hypertexte visité" xfId="10993" builtinId="9" hidden="1"/>
    <cellStyle name="Lien hypertexte visité" xfId="11033" builtinId="9" hidden="1"/>
    <cellStyle name="Lien hypertexte visité" xfId="11057" builtinId="9" hidden="1"/>
    <cellStyle name="Lien hypertexte visité" xfId="11073" builtinId="9" hidden="1"/>
    <cellStyle name="Lien hypertexte visité" xfId="11121" builtinId="9" hidden="1"/>
    <cellStyle name="Lien hypertexte visité" xfId="11137" builtinId="9" hidden="1"/>
    <cellStyle name="Lien hypertexte visité" xfId="11161" builtinId="9" hidden="1"/>
    <cellStyle name="Lien hypertexte visité" xfId="11201" builtinId="9" hidden="1"/>
    <cellStyle name="Lien hypertexte visité" xfId="11225" builtinId="9" hidden="1"/>
    <cellStyle name="Lien hypertexte visité" xfId="11249" builtinId="9" hidden="1"/>
    <cellStyle name="Lien hypertexte visité" xfId="11289" builtinId="9" hidden="1"/>
    <cellStyle name="Lien hypertexte visité" xfId="11313" builtinId="9" hidden="1"/>
    <cellStyle name="Lien hypertexte visité" xfId="11329" builtinId="9" hidden="1"/>
    <cellStyle name="Lien hypertexte visité" xfId="11377" builtinId="9" hidden="1"/>
    <cellStyle name="Lien hypertexte visité" xfId="11393" builtinId="9" hidden="1"/>
    <cellStyle name="Lien hypertexte visité" xfId="11417" builtinId="9" hidden="1"/>
    <cellStyle name="Lien hypertexte visité" xfId="11457" builtinId="9" hidden="1"/>
    <cellStyle name="Lien hypertexte visité" xfId="11481" builtinId="9" hidden="1"/>
    <cellStyle name="Lien hypertexte visité" xfId="11505" builtinId="9" hidden="1"/>
    <cellStyle name="Lien hypertexte visité" xfId="11545" builtinId="9" hidden="1"/>
    <cellStyle name="Lien hypertexte visité" xfId="11569" builtinId="9" hidden="1"/>
    <cellStyle name="Lien hypertexte visité" xfId="11585" builtinId="9" hidden="1"/>
    <cellStyle name="Lien hypertexte visité" xfId="11633" builtinId="9" hidden="1"/>
    <cellStyle name="Lien hypertexte visité" xfId="11649" builtinId="9" hidden="1"/>
    <cellStyle name="Lien hypertexte visité" xfId="11673" builtinId="9" hidden="1"/>
    <cellStyle name="Lien hypertexte visité" xfId="11713" builtinId="9" hidden="1"/>
    <cellStyle name="Lien hypertexte visité" xfId="11737" builtinId="9" hidden="1"/>
    <cellStyle name="Lien hypertexte visité" xfId="11761" builtinId="9" hidden="1"/>
    <cellStyle name="Lien hypertexte visité" xfId="11801" builtinId="9" hidden="1"/>
    <cellStyle name="Lien hypertexte visité" xfId="11825" builtinId="9" hidden="1"/>
    <cellStyle name="Lien hypertexte visité" xfId="11841" builtinId="9" hidden="1"/>
    <cellStyle name="Lien hypertexte visité" xfId="11889" builtinId="9" hidden="1"/>
    <cellStyle name="Lien hypertexte visité" xfId="11905" builtinId="9" hidden="1"/>
    <cellStyle name="Lien hypertexte visité" xfId="11929" builtinId="9" hidden="1"/>
    <cellStyle name="Lien hypertexte visité" xfId="11969" builtinId="9" hidden="1"/>
    <cellStyle name="Lien hypertexte visité" xfId="11993" builtinId="9" hidden="1"/>
    <cellStyle name="Lien hypertexte visité" xfId="12017" builtinId="9" hidden="1"/>
    <cellStyle name="Lien hypertexte visité" xfId="12057" builtinId="9" hidden="1"/>
    <cellStyle name="Lien hypertexte visité" xfId="12081" builtinId="9" hidden="1"/>
    <cellStyle name="Lien hypertexte visité" xfId="12097" builtinId="9" hidden="1"/>
    <cellStyle name="Lien hypertexte visité" xfId="12145" builtinId="9" hidden="1"/>
    <cellStyle name="Lien hypertexte visité" xfId="12161" builtinId="9" hidden="1"/>
    <cellStyle name="Lien hypertexte visité" xfId="12185" builtinId="9" hidden="1"/>
    <cellStyle name="Lien hypertexte visité" xfId="12225" builtinId="9" hidden="1"/>
    <cellStyle name="Lien hypertexte visité" xfId="12249" builtinId="9" hidden="1"/>
    <cellStyle name="Lien hypertexte visité" xfId="12273" builtinId="9" hidden="1"/>
    <cellStyle name="Lien hypertexte visité" xfId="12313" builtinId="9" hidden="1"/>
    <cellStyle name="Lien hypertexte visité" xfId="12337" builtinId="9" hidden="1"/>
    <cellStyle name="Lien hypertexte visité" xfId="12353" builtinId="9" hidden="1"/>
    <cellStyle name="Lien hypertexte visité" xfId="12401" builtinId="9" hidden="1"/>
    <cellStyle name="Lien hypertexte visité" xfId="12417" builtinId="9" hidden="1"/>
    <cellStyle name="Lien hypertexte visité" xfId="12441" builtinId="9" hidden="1"/>
    <cellStyle name="Lien hypertexte visité" xfId="12481" builtinId="9" hidden="1"/>
    <cellStyle name="Lien hypertexte visité" xfId="12505" builtinId="9" hidden="1"/>
    <cellStyle name="Lien hypertexte visité" xfId="12529" builtinId="9" hidden="1"/>
    <cellStyle name="Lien hypertexte visité" xfId="12569" builtinId="9" hidden="1"/>
    <cellStyle name="Lien hypertexte visité" xfId="12593" builtinId="9" hidden="1"/>
    <cellStyle name="Lien hypertexte visité" xfId="12609" builtinId="9" hidden="1"/>
    <cellStyle name="Lien hypertexte visité" xfId="12657" builtinId="9" hidden="1"/>
    <cellStyle name="Lien hypertexte visité" xfId="12673" builtinId="9" hidden="1"/>
    <cellStyle name="Lien hypertexte visité" xfId="12697" builtinId="9" hidden="1"/>
    <cellStyle name="Lien hypertexte visité" xfId="12737" builtinId="9" hidden="1"/>
    <cellStyle name="Lien hypertexte visité" xfId="12761" builtinId="9" hidden="1"/>
    <cellStyle name="Lien hypertexte visité" xfId="12785" builtinId="9" hidden="1"/>
    <cellStyle name="Lien hypertexte visité" xfId="12825" builtinId="9" hidden="1"/>
    <cellStyle name="Lien hypertexte visité" xfId="12849" builtinId="9" hidden="1"/>
    <cellStyle name="Lien hypertexte visité" xfId="12865" builtinId="9" hidden="1"/>
    <cellStyle name="Lien hypertexte visité" xfId="12913" builtinId="9" hidden="1"/>
    <cellStyle name="Lien hypertexte visité" xfId="12929" builtinId="9" hidden="1"/>
    <cellStyle name="Lien hypertexte visité" xfId="12953" builtinId="9" hidden="1"/>
    <cellStyle name="Lien hypertexte visité" xfId="12993" builtinId="9" hidden="1"/>
    <cellStyle name="Lien hypertexte visité" xfId="13017" builtinId="9" hidden="1"/>
    <cellStyle name="Lien hypertexte visité" xfId="13041" builtinId="9" hidden="1"/>
    <cellStyle name="Lien hypertexte visité" xfId="13081" builtinId="9" hidden="1"/>
    <cellStyle name="Lien hypertexte visité" xfId="13105" builtinId="9" hidden="1"/>
    <cellStyle name="Lien hypertexte visité" xfId="13121" builtinId="9" hidden="1"/>
    <cellStyle name="Lien hypertexte visité" xfId="13169" builtinId="9" hidden="1"/>
    <cellStyle name="Lien hypertexte visité" xfId="13185" builtinId="9" hidden="1"/>
    <cellStyle name="Lien hypertexte visité" xfId="13209" builtinId="9" hidden="1"/>
    <cellStyle name="Lien hypertexte visité" xfId="13249" builtinId="9" hidden="1"/>
    <cellStyle name="Lien hypertexte visité" xfId="13273" builtinId="9" hidden="1"/>
    <cellStyle name="Lien hypertexte visité" xfId="13297" builtinId="9" hidden="1"/>
    <cellStyle name="Lien hypertexte visité" xfId="13337" builtinId="9" hidden="1"/>
    <cellStyle name="Lien hypertexte visité" xfId="13361" builtinId="9" hidden="1"/>
    <cellStyle name="Lien hypertexte visité" xfId="13377" builtinId="9" hidden="1"/>
    <cellStyle name="Lien hypertexte visité" xfId="13425" builtinId="9" hidden="1"/>
    <cellStyle name="Lien hypertexte visité" xfId="13441" builtinId="9" hidden="1"/>
    <cellStyle name="Lien hypertexte visité" xfId="13465" builtinId="9" hidden="1"/>
    <cellStyle name="Lien hypertexte visité" xfId="13505" builtinId="9" hidden="1"/>
    <cellStyle name="Lien hypertexte visité" xfId="13529" builtinId="9" hidden="1"/>
    <cellStyle name="Lien hypertexte visité" xfId="13553" builtinId="9" hidden="1"/>
    <cellStyle name="Lien hypertexte visité" xfId="13593" builtinId="9" hidden="1"/>
    <cellStyle name="Lien hypertexte visité" xfId="13617" builtinId="9" hidden="1"/>
    <cellStyle name="Lien hypertexte visité" xfId="13633" builtinId="9" hidden="1"/>
    <cellStyle name="Lien hypertexte visité" xfId="13681" builtinId="9" hidden="1"/>
    <cellStyle name="Lien hypertexte visité" xfId="13697" builtinId="9" hidden="1"/>
    <cellStyle name="Lien hypertexte visité" xfId="13721" builtinId="9" hidden="1"/>
    <cellStyle name="Lien hypertexte visité" xfId="13761" builtinId="9" hidden="1"/>
    <cellStyle name="Lien hypertexte visité" xfId="13785" builtinId="9" hidden="1"/>
    <cellStyle name="Lien hypertexte visité" xfId="13809" builtinId="9" hidden="1"/>
    <cellStyle name="Lien hypertexte visité" xfId="13849" builtinId="9" hidden="1"/>
    <cellStyle name="Lien hypertexte visité" xfId="13873" builtinId="9" hidden="1"/>
    <cellStyle name="Lien hypertexte visité" xfId="13889" builtinId="9" hidden="1"/>
    <cellStyle name="Lien hypertexte visité" xfId="13937" builtinId="9" hidden="1"/>
    <cellStyle name="Lien hypertexte visité" xfId="13953" builtinId="9" hidden="1"/>
    <cellStyle name="Lien hypertexte visité" xfId="13977" builtinId="9" hidden="1"/>
    <cellStyle name="Lien hypertexte visité" xfId="14017" builtinId="9" hidden="1"/>
    <cellStyle name="Lien hypertexte visité" xfId="14041" builtinId="9" hidden="1"/>
    <cellStyle name="Lien hypertexte visité" xfId="14065" builtinId="9" hidden="1"/>
    <cellStyle name="Lien hypertexte visité" xfId="14105" builtinId="9" hidden="1"/>
    <cellStyle name="Lien hypertexte visité" xfId="14129" builtinId="9" hidden="1"/>
    <cellStyle name="Lien hypertexte visité" xfId="14145" builtinId="9" hidden="1"/>
    <cellStyle name="Lien hypertexte visité" xfId="14193" builtinId="9" hidden="1"/>
    <cellStyle name="Lien hypertexte visité" xfId="14209" builtinId="9" hidden="1"/>
    <cellStyle name="Lien hypertexte visité" xfId="14233" builtinId="9" hidden="1"/>
    <cellStyle name="Lien hypertexte visité" xfId="14273" builtinId="9" hidden="1"/>
    <cellStyle name="Lien hypertexte visité" xfId="14297" builtinId="9" hidden="1"/>
    <cellStyle name="Lien hypertexte visité" xfId="14321" builtinId="9" hidden="1"/>
    <cellStyle name="Lien hypertexte visité" xfId="14361" builtinId="9" hidden="1"/>
    <cellStyle name="Lien hypertexte visité" xfId="14385" builtinId="9" hidden="1"/>
    <cellStyle name="Lien hypertexte visité" xfId="14401" builtinId="9" hidden="1"/>
    <cellStyle name="Lien hypertexte visité" xfId="14449" builtinId="9" hidden="1"/>
    <cellStyle name="Lien hypertexte visité" xfId="14465" builtinId="9" hidden="1"/>
    <cellStyle name="Lien hypertexte visité" xfId="14489" builtinId="9" hidden="1"/>
    <cellStyle name="Lien hypertexte visité" xfId="14543" builtinId="9" hidden="1"/>
    <cellStyle name="Lien hypertexte visité" xfId="14591" builtinId="9" hidden="1"/>
    <cellStyle name="Lien hypertexte visité" xfId="14639" builtinId="9" hidden="1"/>
    <cellStyle name="Lien hypertexte visité" xfId="14719" builtinId="9" hidden="1"/>
    <cellStyle name="Lien hypertexte visité" xfId="14767" builtinId="9" hidden="1"/>
    <cellStyle name="Lien hypertexte visité" xfId="14799" builtinId="9" hidden="1"/>
    <cellStyle name="Lien hypertexte visité" xfId="14895" builtinId="9" hidden="1"/>
    <cellStyle name="Lien hypertexte visité" xfId="14927" builtinId="9" hidden="1"/>
    <cellStyle name="Lien hypertexte visité" xfId="14975" builtinId="9" hidden="1"/>
    <cellStyle name="Lien hypertexte visité" xfId="15055" builtinId="9" hidden="1"/>
    <cellStyle name="Lien hypertexte visité" xfId="15103" builtinId="9" hidden="1"/>
    <cellStyle name="Lien hypertexte visité" xfId="15151" builtinId="9" hidden="1"/>
    <cellStyle name="Lien hypertexte visité" xfId="15231" builtinId="9" hidden="1"/>
    <cellStyle name="Lien hypertexte visité" xfId="15279" builtinId="9" hidden="1"/>
    <cellStyle name="Lien hypertexte visité" xfId="15311" builtinId="9" hidden="1"/>
    <cellStyle name="Lien hypertexte visité" xfId="15407" builtinId="9" hidden="1"/>
    <cellStyle name="Lien hypertexte visité" xfId="15439" builtinId="9" hidden="1"/>
    <cellStyle name="Lien hypertexte visité" xfId="15487" builtinId="9" hidden="1"/>
    <cellStyle name="Lien hypertexte visité" xfId="15567" builtinId="9" hidden="1"/>
    <cellStyle name="Lien hypertexte visité" xfId="15615" builtinId="9" hidden="1"/>
    <cellStyle name="Lien hypertexte visité" xfId="15663" builtinId="9" hidden="1"/>
    <cellStyle name="Lien hypertexte visité" xfId="15743" builtinId="9" hidden="1"/>
    <cellStyle name="Lien hypertexte visité" xfId="15791" builtinId="9" hidden="1"/>
    <cellStyle name="Lien hypertexte visité" xfId="15823" builtinId="9" hidden="1"/>
    <cellStyle name="Lien hypertexte visité" xfId="15919" builtinId="9" hidden="1"/>
    <cellStyle name="Lien hypertexte visité" xfId="15951" builtinId="9" hidden="1"/>
    <cellStyle name="Lien hypertexte visité" xfId="15999" builtinId="9" hidden="1"/>
    <cellStyle name="Lien hypertexte visité" xfId="16079" builtinId="9" hidden="1"/>
    <cellStyle name="Lien hypertexte visité" xfId="16127" builtinId="9" hidden="1"/>
    <cellStyle name="Lien hypertexte visité" xfId="16175" builtinId="9" hidden="1"/>
    <cellStyle name="Lien hypertexte visité" xfId="16255" builtinId="9" hidden="1"/>
    <cellStyle name="Lien hypertexte visité" xfId="16303" builtinId="9" hidden="1"/>
    <cellStyle name="Lien hypertexte visité" xfId="16335" builtinId="9" hidden="1"/>
    <cellStyle name="Lien hypertexte visité" xfId="16431" builtinId="9" hidden="1"/>
    <cellStyle name="Lien hypertexte visité" xfId="16463" builtinId="9" hidden="1"/>
    <cellStyle name="Lien hypertexte visité" xfId="16511" builtinId="9" hidden="1"/>
    <cellStyle name="Lien hypertexte visité" xfId="16591" builtinId="9" hidden="1"/>
    <cellStyle name="Lien hypertexte visité" xfId="16639" builtinId="9" hidden="1"/>
    <cellStyle name="Lien hypertexte visité" xfId="16687" builtinId="9" hidden="1"/>
    <cellStyle name="Lien hypertexte visité" xfId="16767" builtinId="9" hidden="1"/>
    <cellStyle name="Lien hypertexte visité" xfId="16815" builtinId="9" hidden="1"/>
    <cellStyle name="Lien hypertexte visité" xfId="16847" builtinId="9" hidden="1"/>
    <cellStyle name="Lien hypertexte visité" xfId="16943" builtinId="9" hidden="1"/>
    <cellStyle name="Lien hypertexte visité" xfId="16975" builtinId="9" hidden="1"/>
    <cellStyle name="Lien hypertexte visité" xfId="17023" builtinId="9" hidden="1"/>
    <cellStyle name="Lien hypertexte visité" xfId="17103" builtinId="9" hidden="1"/>
    <cellStyle name="Lien hypertexte visité" xfId="17151" builtinId="9" hidden="1"/>
    <cellStyle name="Lien hypertexte visité" xfId="17199" builtinId="9" hidden="1"/>
    <cellStyle name="Lien hypertexte visité" xfId="17279" builtinId="9" hidden="1"/>
    <cellStyle name="Lien hypertexte visité" xfId="17327" builtinId="9" hidden="1"/>
    <cellStyle name="Lien hypertexte visité" xfId="17359" builtinId="9" hidden="1"/>
    <cellStyle name="Lien hypertexte visité" xfId="17455" builtinId="9" hidden="1"/>
    <cellStyle name="Lien hypertexte visité" xfId="17487" builtinId="9" hidden="1"/>
    <cellStyle name="Lien hypertexte visité" xfId="17535" builtinId="9" hidden="1"/>
    <cellStyle name="Lien hypertexte visité" xfId="17615" builtinId="9" hidden="1"/>
    <cellStyle name="Lien hypertexte visité" xfId="17663" builtinId="9" hidden="1"/>
    <cellStyle name="Lien hypertexte visité" xfId="17711" builtinId="9" hidden="1"/>
    <cellStyle name="Lien hypertexte visité" xfId="17791" builtinId="9" hidden="1"/>
    <cellStyle name="Lien hypertexte visité" xfId="17839" builtinId="9" hidden="1"/>
    <cellStyle name="Lien hypertexte visité" xfId="17871" builtinId="9" hidden="1"/>
    <cellStyle name="Lien hypertexte visité" xfId="17967" builtinId="9" hidden="1"/>
    <cellStyle name="Lien hypertexte visité" xfId="17999" builtinId="9" hidden="1"/>
    <cellStyle name="Lien hypertexte visité" xfId="18047" builtinId="9" hidden="1"/>
    <cellStyle name="Lien hypertexte visité" xfId="18127" builtinId="9" hidden="1"/>
    <cellStyle name="Lien hypertexte visité" xfId="18175" builtinId="9" hidden="1"/>
    <cellStyle name="Lien hypertexte visité" xfId="18223" builtinId="9" hidden="1"/>
    <cellStyle name="Lien hypertexte visité" xfId="18303" builtinId="9" hidden="1"/>
    <cellStyle name="Lien hypertexte visité" xfId="18334" builtinId="9" hidden="1"/>
    <cellStyle name="Lien hypertexte visité" xfId="18366" builtinId="9" hidden="1"/>
    <cellStyle name="Lien hypertexte visité" xfId="18462" builtinId="9" hidden="1"/>
    <cellStyle name="Lien hypertexte visité" xfId="18494" builtinId="9" hidden="1"/>
    <cellStyle name="Lien hypertexte visité" xfId="18542" builtinId="9" hidden="1"/>
    <cellStyle name="Lien hypertexte visité" xfId="18622" builtinId="9" hidden="1"/>
    <cellStyle name="Lien hypertexte visité" xfId="18670" builtinId="9" hidden="1"/>
    <cellStyle name="Lien hypertexte visité" xfId="18718" builtinId="9" hidden="1"/>
    <cellStyle name="Lien hypertexte visité" xfId="18798" builtinId="9" hidden="1"/>
    <cellStyle name="Lien hypertexte visité" xfId="18846" builtinId="9" hidden="1"/>
    <cellStyle name="Lien hypertexte visité" xfId="18878" builtinId="9" hidden="1"/>
    <cellStyle name="Lien hypertexte visité" xfId="18974" builtinId="9" hidden="1"/>
    <cellStyle name="Lien hypertexte visité" xfId="19006" builtinId="9" hidden="1"/>
    <cellStyle name="Lien hypertexte visité" xfId="19054" builtinId="9" hidden="1"/>
    <cellStyle name="Lien hypertexte visité" xfId="19134" builtinId="9" hidden="1"/>
    <cellStyle name="Lien hypertexte visité" xfId="19182" builtinId="9" hidden="1"/>
    <cellStyle name="Lien hypertexte visité" xfId="19230" builtinId="9" hidden="1"/>
    <cellStyle name="Lien hypertexte visité" xfId="19310" builtinId="9" hidden="1"/>
    <cellStyle name="Lien hypertexte visité" xfId="19358" builtinId="9" hidden="1"/>
    <cellStyle name="Lien hypertexte visité" xfId="19390" builtinId="9" hidden="1"/>
    <cellStyle name="Lien hypertexte visité" xfId="19486" builtinId="9" hidden="1"/>
    <cellStyle name="Lien hypertexte visité" xfId="19518" builtinId="9" hidden="1"/>
    <cellStyle name="Lien hypertexte visité" xfId="19566" builtinId="9" hidden="1"/>
    <cellStyle name="Lien hypertexte visité" xfId="19646" builtinId="9" hidden="1"/>
    <cellStyle name="Lien hypertexte visité" xfId="19694" builtinId="9" hidden="1"/>
    <cellStyle name="Lien hypertexte visité" xfId="19742" builtinId="9" hidden="1"/>
    <cellStyle name="Lien hypertexte visité" xfId="19822" builtinId="9" hidden="1"/>
    <cellStyle name="Lien hypertexte visité" xfId="19870" builtinId="9" hidden="1"/>
    <cellStyle name="Lien hypertexte visité" xfId="19902" builtinId="9" hidden="1"/>
    <cellStyle name="Lien hypertexte visité" xfId="19998" builtinId="9" hidden="1"/>
    <cellStyle name="Lien hypertexte visité" xfId="20030" builtinId="9" hidden="1"/>
    <cellStyle name="Lien hypertexte visité" xfId="20078" builtinId="9" hidden="1"/>
    <cellStyle name="Lien hypertexte visité" xfId="20158" builtinId="9" hidden="1"/>
    <cellStyle name="Lien hypertexte visité" xfId="20206" builtinId="9" hidden="1"/>
    <cellStyle name="Lien hypertexte visité" xfId="20254" builtinId="9" hidden="1"/>
    <cellStyle name="Lien hypertexte visité" xfId="20334" builtinId="9" hidden="1"/>
    <cellStyle name="Lien hypertexte visité" xfId="20382" builtinId="9" hidden="1"/>
    <cellStyle name="Lien hypertexte visité" xfId="20414" builtinId="9" hidden="1"/>
    <cellStyle name="Lien hypertexte visité" xfId="20510" builtinId="9" hidden="1"/>
    <cellStyle name="Lien hypertexte visité" xfId="20542" builtinId="9" hidden="1"/>
    <cellStyle name="Lien hypertexte visité" xfId="20590" builtinId="9" hidden="1"/>
    <cellStyle name="Lien hypertexte visité" xfId="20670" builtinId="9" hidden="1"/>
    <cellStyle name="Lien hypertexte visité" xfId="20718" builtinId="9" hidden="1"/>
    <cellStyle name="Lien hypertexte visité" xfId="20766" builtinId="9" hidden="1"/>
    <cellStyle name="Lien hypertexte visité" xfId="20846" builtinId="9" hidden="1"/>
    <cellStyle name="Lien hypertexte visité" xfId="20894" builtinId="9" hidden="1"/>
    <cellStyle name="Lien hypertexte visité" xfId="20926" builtinId="9" hidden="1"/>
    <cellStyle name="Lien hypertexte visité" xfId="21022" builtinId="9" hidden="1"/>
    <cellStyle name="Lien hypertexte visité" xfId="21054" builtinId="9" hidden="1"/>
    <cellStyle name="Lien hypertexte visité" xfId="21102" builtinId="9" hidden="1"/>
    <cellStyle name="Lien hypertexte visité" xfId="21182" builtinId="9" hidden="1"/>
    <cellStyle name="Lien hypertexte visité" xfId="21230" builtinId="9" hidden="1"/>
    <cellStyle name="Lien hypertexte visité" xfId="21278" builtinId="9" hidden="1"/>
    <cellStyle name="Lien hypertexte visité" xfId="21358" builtinId="9" hidden="1"/>
    <cellStyle name="Lien hypertexte visité" xfId="21406" builtinId="9" hidden="1"/>
    <cellStyle name="Lien hypertexte visité" xfId="21438" builtinId="9" hidden="1"/>
    <cellStyle name="Lien hypertexte visité" xfId="21534" builtinId="9" hidden="1"/>
    <cellStyle name="Lien hypertexte visité" xfId="21566" builtinId="9" hidden="1"/>
    <cellStyle name="Lien hypertexte visité" xfId="21614" builtinId="9" hidden="1"/>
    <cellStyle name="Lien hypertexte visité" xfId="21694" builtinId="9" hidden="1"/>
    <cellStyle name="Lien hypertexte visité" xfId="21742" builtinId="9" hidden="1"/>
    <cellStyle name="Lien hypertexte visité" xfId="21790" builtinId="9" hidden="1"/>
    <cellStyle name="Lien hypertexte visité" xfId="21870" builtinId="9" hidden="1"/>
    <cellStyle name="Lien hypertexte visité" xfId="21918" builtinId="9" hidden="1"/>
    <cellStyle name="Lien hypertexte visité" xfId="21950" builtinId="9" hidden="1"/>
    <cellStyle name="Lien hypertexte visité" xfId="22046" builtinId="9" hidden="1"/>
    <cellStyle name="Lien hypertexte visité" xfId="22078" builtinId="9" hidden="1"/>
    <cellStyle name="Lien hypertexte visité" xfId="22126" builtinId="9" hidden="1"/>
    <cellStyle name="Lien hypertexte visité" xfId="22206" builtinId="9" hidden="1"/>
    <cellStyle name="Lien hypertexte visité" xfId="22254" builtinId="9" hidden="1"/>
    <cellStyle name="Lien hypertexte visité" xfId="22302" builtinId="9" hidden="1"/>
    <cellStyle name="Lien hypertexte visité" xfId="22382" builtinId="9" hidden="1"/>
    <cellStyle name="Lien hypertexte visité" xfId="22430" builtinId="9" hidden="1"/>
    <cellStyle name="Lien hypertexte visité" xfId="22462" builtinId="9" hidden="1"/>
    <cellStyle name="Lien hypertexte visité" xfId="22558" builtinId="9" hidden="1"/>
    <cellStyle name="Lien hypertexte visité" xfId="22590" builtinId="9" hidden="1"/>
    <cellStyle name="Lien hypertexte visité" xfId="22638" builtinId="9" hidden="1"/>
    <cellStyle name="Lien hypertexte visité" xfId="22718" builtinId="9" hidden="1"/>
    <cellStyle name="Lien hypertexte visité" xfId="22766" builtinId="9" hidden="1"/>
    <cellStyle name="Lien hypertexte visité" xfId="22814" builtinId="9" hidden="1"/>
    <cellStyle name="Lien hypertexte visité" xfId="22894" builtinId="9" hidden="1"/>
    <cellStyle name="Lien hypertexte visité" xfId="22942" builtinId="9" hidden="1"/>
    <cellStyle name="Lien hypertexte visité" xfId="22974" builtinId="9" hidden="1"/>
    <cellStyle name="Lien hypertexte visité" xfId="23070" builtinId="9" hidden="1"/>
    <cellStyle name="Lien hypertexte visité" xfId="23102" builtinId="9" hidden="1"/>
    <cellStyle name="Lien hypertexte visité" xfId="23150" builtinId="9" hidden="1"/>
    <cellStyle name="Lien hypertexte visité" xfId="23230" builtinId="9" hidden="1"/>
    <cellStyle name="Lien hypertexte visité" xfId="23278" builtinId="9" hidden="1"/>
    <cellStyle name="Lien hypertexte visité" xfId="23326" builtinId="9" hidden="1"/>
    <cellStyle name="Lien hypertexte visité" xfId="23406" builtinId="9" hidden="1"/>
    <cellStyle name="Lien hypertexte visité" xfId="23454" builtinId="9" hidden="1"/>
    <cellStyle name="Lien hypertexte visité" xfId="23486" builtinId="9" hidden="1"/>
    <cellStyle name="Lien hypertexte visité" xfId="23582" builtinId="9" hidden="1"/>
    <cellStyle name="Lien hypertexte visité" xfId="23614" builtinId="9" hidden="1"/>
    <cellStyle name="Lien hypertexte visité" xfId="23662" builtinId="9" hidden="1"/>
    <cellStyle name="Lien hypertexte visité" xfId="23742" builtinId="9" hidden="1"/>
    <cellStyle name="Lien hypertexte visité" xfId="23790" builtinId="9" hidden="1"/>
    <cellStyle name="Lien hypertexte visité" xfId="23838" builtinId="9" hidden="1"/>
    <cellStyle name="Lien hypertexte visité" xfId="23918" builtinId="9" hidden="1"/>
    <cellStyle name="Lien hypertexte visité" xfId="23966" builtinId="9" hidden="1"/>
    <cellStyle name="Lien hypertexte visité" xfId="23998" builtinId="9" hidden="1"/>
    <cellStyle name="Lien hypertexte visité" xfId="24094" builtinId="9" hidden="1"/>
    <cellStyle name="Lien hypertexte visité" xfId="24126" builtinId="9" hidden="1"/>
    <cellStyle name="Lien hypertexte visité" xfId="24174" builtinId="9" hidden="1"/>
    <cellStyle name="Lien hypertexte visité" xfId="24254" builtinId="9" hidden="1"/>
    <cellStyle name="Lien hypertexte visité" xfId="24302" builtinId="9" hidden="1"/>
    <cellStyle name="Lien hypertexte visité" xfId="24350" builtinId="9" hidden="1"/>
    <cellStyle name="Lien hypertexte visité" xfId="24430" builtinId="9" hidden="1"/>
    <cellStyle name="Lien hypertexte visité" xfId="24478" builtinId="9" hidden="1"/>
    <cellStyle name="Lien hypertexte visité" xfId="24510" builtinId="9" hidden="1"/>
    <cellStyle name="Lien hypertexte visité" xfId="24606" builtinId="9" hidden="1"/>
    <cellStyle name="Lien hypertexte visité" xfId="24588" builtinId="9" hidden="1"/>
    <cellStyle name="Lien hypertexte visité" xfId="24540" builtinId="9" hidden="1"/>
    <cellStyle name="Lien hypertexte visité" xfId="24460" builtinId="9" hidden="1"/>
    <cellStyle name="Lien hypertexte visité" xfId="24412" builtinId="9" hidden="1"/>
    <cellStyle name="Lien hypertexte visité" xfId="24364" builtinId="9" hidden="1"/>
    <cellStyle name="Lien hypertexte visité" xfId="24284" builtinId="9" hidden="1"/>
    <cellStyle name="Lien hypertexte visité" xfId="24236" builtinId="9" hidden="1"/>
    <cellStyle name="Lien hypertexte visité" xfId="24204" builtinId="9" hidden="1"/>
    <cellStyle name="Lien hypertexte visité" xfId="24108" builtinId="9" hidden="1"/>
    <cellStyle name="Lien hypertexte visité" xfId="24076" builtinId="9" hidden="1"/>
    <cellStyle name="Lien hypertexte visité" xfId="24028" builtinId="9" hidden="1"/>
    <cellStyle name="Lien hypertexte visité" xfId="23948" builtinId="9" hidden="1"/>
    <cellStyle name="Lien hypertexte visité" xfId="23900" builtinId="9" hidden="1"/>
    <cellStyle name="Lien hypertexte visité" xfId="23852" builtinId="9" hidden="1"/>
    <cellStyle name="Lien hypertexte visité" xfId="23772" builtinId="9" hidden="1"/>
    <cellStyle name="Lien hypertexte visité" xfId="23724" builtinId="9" hidden="1"/>
    <cellStyle name="Lien hypertexte visité" xfId="23692" builtinId="9" hidden="1"/>
    <cellStyle name="Lien hypertexte visité" xfId="23596" builtinId="9" hidden="1"/>
    <cellStyle name="Lien hypertexte visité" xfId="23564" builtinId="9" hidden="1"/>
    <cellStyle name="Lien hypertexte visité" xfId="23516" builtinId="9" hidden="1"/>
    <cellStyle name="Lien hypertexte visité" xfId="23436" builtinId="9" hidden="1"/>
    <cellStyle name="Lien hypertexte visité" xfId="23388" builtinId="9" hidden="1"/>
    <cellStyle name="Lien hypertexte visité" xfId="23340" builtinId="9" hidden="1"/>
    <cellStyle name="Lien hypertexte visité" xfId="23260" builtinId="9" hidden="1"/>
    <cellStyle name="Lien hypertexte visité" xfId="23212" builtinId="9" hidden="1"/>
    <cellStyle name="Lien hypertexte visité" xfId="23180" builtinId="9" hidden="1"/>
    <cellStyle name="Lien hypertexte visité" xfId="23084" builtinId="9" hidden="1"/>
    <cellStyle name="Lien hypertexte visité" xfId="23052" builtinId="9" hidden="1"/>
    <cellStyle name="Lien hypertexte visité" xfId="23004" builtinId="9" hidden="1"/>
    <cellStyle name="Lien hypertexte visité" xfId="22924" builtinId="9" hidden="1"/>
    <cellStyle name="Lien hypertexte visité" xfId="22876" builtinId="9" hidden="1"/>
    <cellStyle name="Lien hypertexte visité" xfId="22828" builtinId="9" hidden="1"/>
    <cellStyle name="Lien hypertexte visité" xfId="22748" builtinId="9" hidden="1"/>
    <cellStyle name="Lien hypertexte visité" xfId="22700" builtinId="9" hidden="1"/>
    <cellStyle name="Lien hypertexte visité" xfId="22668" builtinId="9" hidden="1"/>
    <cellStyle name="Lien hypertexte visité" xfId="22572" builtinId="9" hidden="1"/>
    <cellStyle name="Lien hypertexte visité" xfId="22540" builtinId="9" hidden="1"/>
    <cellStyle name="Lien hypertexte visité" xfId="22492" builtinId="9" hidden="1"/>
    <cellStyle name="Lien hypertexte visité" xfId="22412" builtinId="9" hidden="1"/>
    <cellStyle name="Lien hypertexte visité" xfId="22364" builtinId="9" hidden="1"/>
    <cellStyle name="Lien hypertexte visité" xfId="22316" builtinId="9" hidden="1"/>
    <cellStyle name="Lien hypertexte visité" xfId="22236" builtinId="9" hidden="1"/>
    <cellStyle name="Lien hypertexte visité" xfId="22188" builtinId="9" hidden="1"/>
    <cellStyle name="Lien hypertexte visité" xfId="22156" builtinId="9" hidden="1"/>
    <cellStyle name="Lien hypertexte visité" xfId="22060" builtinId="9" hidden="1"/>
    <cellStyle name="Lien hypertexte visité" xfId="22028" builtinId="9" hidden="1"/>
    <cellStyle name="Lien hypertexte visité" xfId="21980" builtinId="9" hidden="1"/>
    <cellStyle name="Lien hypertexte visité" xfId="21900" builtinId="9" hidden="1"/>
    <cellStyle name="Lien hypertexte visité" xfId="21852" builtinId="9" hidden="1"/>
    <cellStyle name="Lien hypertexte visité" xfId="21804" builtinId="9" hidden="1"/>
    <cellStyle name="Lien hypertexte visité" xfId="21724" builtinId="9" hidden="1"/>
    <cellStyle name="Lien hypertexte visité" xfId="21676" builtinId="9" hidden="1"/>
    <cellStyle name="Lien hypertexte visité" xfId="21644" builtinId="9" hidden="1"/>
    <cellStyle name="Lien hypertexte visité" xfId="21548" builtinId="9" hidden="1"/>
    <cellStyle name="Lien hypertexte visité" xfId="21516" builtinId="9" hidden="1"/>
    <cellStyle name="Lien hypertexte visité" xfId="21468" builtinId="9" hidden="1"/>
    <cellStyle name="Lien hypertexte visité" xfId="21388" builtinId="9" hidden="1"/>
    <cellStyle name="Lien hypertexte visité" xfId="21340" builtinId="9" hidden="1"/>
    <cellStyle name="Lien hypertexte visité" xfId="21292" builtinId="9" hidden="1"/>
    <cellStyle name="Lien hypertexte visité" xfId="21212" builtinId="9" hidden="1"/>
    <cellStyle name="Lien hypertexte visité" xfId="21164" builtinId="9" hidden="1"/>
    <cellStyle name="Lien hypertexte visité" xfId="21132" builtinId="9" hidden="1"/>
    <cellStyle name="Lien hypertexte visité" xfId="21036" builtinId="9" hidden="1"/>
    <cellStyle name="Lien hypertexte visité" xfId="21004" builtinId="9" hidden="1"/>
    <cellStyle name="Lien hypertexte visité" xfId="20956" builtinId="9" hidden="1"/>
    <cellStyle name="Lien hypertexte visité" xfId="20876" builtinId="9" hidden="1"/>
    <cellStyle name="Lien hypertexte visité" xfId="20828" builtinId="9" hidden="1"/>
    <cellStyle name="Lien hypertexte visité" xfId="20780" builtinId="9" hidden="1"/>
    <cellStyle name="Lien hypertexte visité" xfId="20700" builtinId="9" hidden="1"/>
    <cellStyle name="Lien hypertexte visité" xfId="20652" builtinId="9" hidden="1"/>
    <cellStyle name="Lien hypertexte visité" xfId="20620" builtinId="9" hidden="1"/>
    <cellStyle name="Lien hypertexte visité" xfId="20524" builtinId="9" hidden="1"/>
    <cellStyle name="Lien hypertexte visité" xfId="20492" builtinId="9" hidden="1"/>
    <cellStyle name="Lien hypertexte visité" xfId="20444" builtinId="9" hidden="1"/>
    <cellStyle name="Lien hypertexte visité" xfId="20364" builtinId="9" hidden="1"/>
    <cellStyle name="Lien hypertexte visité" xfId="20316" builtinId="9" hidden="1"/>
    <cellStyle name="Lien hypertexte visité" xfId="20268" builtinId="9" hidden="1"/>
    <cellStyle name="Lien hypertexte visité" xfId="20188" builtinId="9" hidden="1"/>
    <cellStyle name="Lien hypertexte visité" xfId="20140" builtinId="9" hidden="1"/>
    <cellStyle name="Lien hypertexte visité" xfId="20108" builtinId="9" hidden="1"/>
    <cellStyle name="Lien hypertexte visité" xfId="20012" builtinId="9" hidden="1"/>
    <cellStyle name="Lien hypertexte visité" xfId="19980" builtinId="9" hidden="1"/>
    <cellStyle name="Lien hypertexte visité" xfId="19932" builtinId="9" hidden="1"/>
    <cellStyle name="Lien hypertexte visité" xfId="19852" builtinId="9" hidden="1"/>
    <cellStyle name="Lien hypertexte visité" xfId="19804" builtinId="9" hidden="1"/>
    <cellStyle name="Lien hypertexte visité" xfId="19756" builtinId="9" hidden="1"/>
    <cellStyle name="Lien hypertexte visité" xfId="19676" builtinId="9" hidden="1"/>
    <cellStyle name="Lien hypertexte visité" xfId="19628" builtinId="9" hidden="1"/>
    <cellStyle name="Lien hypertexte visité" xfId="19596" builtinId="9" hidden="1"/>
    <cellStyle name="Lien hypertexte visité" xfId="19500" builtinId="9" hidden="1"/>
    <cellStyle name="Lien hypertexte visité" xfId="19468" builtinId="9" hidden="1"/>
    <cellStyle name="Lien hypertexte visité" xfId="19420" builtinId="9" hidden="1"/>
    <cellStyle name="Lien hypertexte visité" xfId="19340" builtinId="9" hidden="1"/>
    <cellStyle name="Lien hypertexte visité" xfId="19292" builtinId="9" hidden="1"/>
    <cellStyle name="Lien hypertexte visité" xfId="19244" builtinId="9" hidden="1"/>
    <cellStyle name="Lien hypertexte visité" xfId="19164" builtinId="9" hidden="1"/>
    <cellStyle name="Lien hypertexte visité" xfId="19116" builtinId="9" hidden="1"/>
    <cellStyle name="Lien hypertexte visité" xfId="19084" builtinId="9" hidden="1"/>
    <cellStyle name="Lien hypertexte visité" xfId="18988" builtinId="9" hidden="1"/>
    <cellStyle name="Lien hypertexte visité" xfId="18956" builtinId="9" hidden="1"/>
    <cellStyle name="Lien hypertexte visité" xfId="18908" builtinId="9" hidden="1"/>
    <cellStyle name="Lien hypertexte visité" xfId="18828" builtinId="9" hidden="1"/>
    <cellStyle name="Lien hypertexte visité" xfId="18780" builtinId="9" hidden="1"/>
    <cellStyle name="Lien hypertexte visité" xfId="18732" builtinId="9" hidden="1"/>
    <cellStyle name="Lien hypertexte visité" xfId="18652" builtinId="9" hidden="1"/>
    <cellStyle name="Lien hypertexte visité" xfId="18604" builtinId="9" hidden="1"/>
    <cellStyle name="Lien hypertexte visité" xfId="18572" builtinId="9" hidden="1"/>
    <cellStyle name="Lien hypertexte visité" xfId="18476" builtinId="9" hidden="1"/>
    <cellStyle name="Lien hypertexte visité" xfId="18444" builtinId="9" hidden="1"/>
    <cellStyle name="Lien hypertexte visité" xfId="18396" builtinId="9" hidden="1"/>
    <cellStyle name="Lien hypertexte visité" xfId="18321" builtinId="9" hidden="1"/>
    <cellStyle name="Lien hypertexte visité" xfId="18285" builtinId="9" hidden="1"/>
    <cellStyle name="Lien hypertexte visité" xfId="18237" builtinId="9" hidden="1"/>
    <cellStyle name="Lien hypertexte visité" xfId="18157" builtinId="9" hidden="1"/>
    <cellStyle name="Lien hypertexte visité" xfId="18109" builtinId="9" hidden="1"/>
    <cellStyle name="Lien hypertexte visité" xfId="18077" builtinId="9" hidden="1"/>
    <cellStyle name="Lien hypertexte visité" xfId="17981" builtinId="9" hidden="1"/>
    <cellStyle name="Lien hypertexte visité" xfId="17949" builtinId="9" hidden="1"/>
    <cellStyle name="Lien hypertexte visité" xfId="17901" builtinId="9" hidden="1"/>
    <cellStyle name="Lien hypertexte visité" xfId="17821" builtinId="9" hidden="1"/>
    <cellStyle name="Lien hypertexte visité" xfId="17773" builtinId="9" hidden="1"/>
    <cellStyle name="Lien hypertexte visité" xfId="17725" builtinId="9" hidden="1"/>
    <cellStyle name="Lien hypertexte visité" xfId="17645" builtinId="9" hidden="1"/>
    <cellStyle name="Lien hypertexte visité" xfId="17597" builtinId="9" hidden="1"/>
    <cellStyle name="Lien hypertexte visité" xfId="17565" builtinId="9" hidden="1"/>
    <cellStyle name="Lien hypertexte visité" xfId="17469" builtinId="9" hidden="1"/>
    <cellStyle name="Lien hypertexte visité" xfId="17437" builtinId="9" hidden="1"/>
    <cellStyle name="Lien hypertexte visité" xfId="17389" builtinId="9" hidden="1"/>
    <cellStyle name="Lien hypertexte visité" xfId="17309" builtinId="9" hidden="1"/>
    <cellStyle name="Lien hypertexte visité" xfId="17261" builtinId="9" hidden="1"/>
    <cellStyle name="Lien hypertexte visité" xfId="17213" builtinId="9" hidden="1"/>
    <cellStyle name="Lien hypertexte visité" xfId="17133" builtinId="9" hidden="1"/>
    <cellStyle name="Lien hypertexte visité" xfId="17085" builtinId="9" hidden="1"/>
    <cellStyle name="Lien hypertexte visité" xfId="17053" builtinId="9" hidden="1"/>
    <cellStyle name="Lien hypertexte visité" xfId="16957" builtinId="9" hidden="1"/>
    <cellStyle name="Lien hypertexte visité" xfId="16925" builtinId="9" hidden="1"/>
    <cellStyle name="Lien hypertexte visité" xfId="16877" builtinId="9" hidden="1"/>
    <cellStyle name="Lien hypertexte visité" xfId="16797" builtinId="9" hidden="1"/>
    <cellStyle name="Lien hypertexte visité" xfId="16749" builtinId="9" hidden="1"/>
    <cellStyle name="Lien hypertexte visité" xfId="16701" builtinId="9" hidden="1"/>
    <cellStyle name="Lien hypertexte visité" xfId="16621" builtinId="9" hidden="1"/>
    <cellStyle name="Lien hypertexte visité" xfId="16573" builtinId="9" hidden="1"/>
    <cellStyle name="Lien hypertexte visité" xfId="16541" builtinId="9" hidden="1"/>
    <cellStyle name="Lien hypertexte visité" xfId="16445" builtinId="9" hidden="1"/>
    <cellStyle name="Lien hypertexte visité" xfId="16413" builtinId="9" hidden="1"/>
    <cellStyle name="Lien hypertexte visité" xfId="16365" builtinId="9" hidden="1"/>
    <cellStyle name="Lien hypertexte visité" xfId="16285" builtinId="9" hidden="1"/>
    <cellStyle name="Lien hypertexte visité" xfId="16237" builtinId="9" hidden="1"/>
    <cellStyle name="Lien hypertexte visité" xfId="16189" builtinId="9" hidden="1"/>
    <cellStyle name="Lien hypertexte visité" xfId="16109" builtinId="9" hidden="1"/>
    <cellStyle name="Lien hypertexte visité" xfId="16061" builtinId="9" hidden="1"/>
    <cellStyle name="Lien hypertexte visité" xfId="16029" builtinId="9" hidden="1"/>
    <cellStyle name="Lien hypertexte visité" xfId="15933" builtinId="9" hidden="1"/>
    <cellStyle name="Lien hypertexte visité" xfId="15901" builtinId="9" hidden="1"/>
    <cellStyle name="Lien hypertexte visité" xfId="15853" builtinId="9" hidden="1"/>
    <cellStyle name="Lien hypertexte visité" xfId="15773" builtinId="9" hidden="1"/>
    <cellStyle name="Lien hypertexte visité" xfId="15725" builtinId="9" hidden="1"/>
    <cellStyle name="Lien hypertexte visité" xfId="15677" builtinId="9" hidden="1"/>
    <cellStyle name="Lien hypertexte visité" xfId="15597" builtinId="9" hidden="1"/>
    <cellStyle name="Lien hypertexte visité" xfId="15549" builtinId="9" hidden="1"/>
    <cellStyle name="Lien hypertexte visité" xfId="15517" builtinId="9" hidden="1"/>
    <cellStyle name="Lien hypertexte visité" xfId="15421" builtinId="9" hidden="1"/>
    <cellStyle name="Lien hypertexte visité" xfId="15389" builtinId="9" hidden="1"/>
    <cellStyle name="Lien hypertexte visité" xfId="15341" builtinId="9" hidden="1"/>
    <cellStyle name="Lien hypertexte visité" xfId="15261" builtinId="9" hidden="1"/>
    <cellStyle name="Lien hypertexte visité" xfId="15213" builtinId="9" hidden="1"/>
    <cellStyle name="Lien hypertexte visité" xfId="15165" builtinId="9" hidden="1"/>
    <cellStyle name="Lien hypertexte visité" xfId="15085" builtinId="9" hidden="1"/>
    <cellStyle name="Lien hypertexte visité" xfId="15037" builtinId="9" hidden="1"/>
    <cellStyle name="Lien hypertexte visité" xfId="15005" builtinId="9" hidden="1"/>
    <cellStyle name="Lien hypertexte visité" xfId="14909" builtinId="9" hidden="1"/>
    <cellStyle name="Lien hypertexte visité" xfId="14877" builtinId="9" hidden="1"/>
    <cellStyle name="Lien hypertexte visité" xfId="14829" builtinId="9" hidden="1"/>
    <cellStyle name="Lien hypertexte visité" xfId="14749" builtinId="9" hidden="1"/>
    <cellStyle name="Lien hypertexte visité" xfId="14701" builtinId="9" hidden="1"/>
    <cellStyle name="Lien hypertexte visité" xfId="14653" builtinId="9" hidden="1"/>
    <cellStyle name="Lien hypertexte visité" xfId="14573" builtinId="9" hidden="1"/>
    <cellStyle name="Lien hypertexte visité" xfId="14525" builtinId="9" hidden="1"/>
    <cellStyle name="Lien hypertexte visité" xfId="14504" builtinId="9" hidden="1"/>
    <cellStyle name="Lien hypertexte visité" xfId="14456" builtinId="9" hidden="1"/>
    <cellStyle name="Lien hypertexte visité" xfId="14440" builtinId="9" hidden="1"/>
    <cellStyle name="Lien hypertexte visité" xfId="14416" builtinId="9" hidden="1"/>
    <cellStyle name="Lien hypertexte visité" xfId="14376" builtinId="9" hidden="1"/>
    <cellStyle name="Lien hypertexte visité" xfId="14352" builtinId="9" hidden="1"/>
    <cellStyle name="Lien hypertexte visité" xfId="14328" builtinId="9" hidden="1"/>
    <cellStyle name="Lien hypertexte visité" xfId="14288" builtinId="9" hidden="1"/>
    <cellStyle name="Lien hypertexte visité" xfId="14264" builtinId="9" hidden="1"/>
    <cellStyle name="Lien hypertexte visité" xfId="14248" builtinId="9" hidden="1"/>
    <cellStyle name="Lien hypertexte visité" xfId="14200" builtinId="9" hidden="1"/>
    <cellStyle name="Lien hypertexte visité" xfId="14184" builtinId="9" hidden="1"/>
    <cellStyle name="Lien hypertexte visité" xfId="14160" builtinId="9" hidden="1"/>
    <cellStyle name="Lien hypertexte visité" xfId="14120" builtinId="9" hidden="1"/>
    <cellStyle name="Lien hypertexte visité" xfId="14096" builtinId="9" hidden="1"/>
    <cellStyle name="Lien hypertexte visité" xfId="14072" builtinId="9" hidden="1"/>
    <cellStyle name="Lien hypertexte visité" xfId="14032" builtinId="9" hidden="1"/>
    <cellStyle name="Lien hypertexte visité" xfId="14008" builtinId="9" hidden="1"/>
    <cellStyle name="Lien hypertexte visité" xfId="13992" builtinId="9" hidden="1"/>
    <cellStyle name="Lien hypertexte visité" xfId="13944" builtinId="9" hidden="1"/>
    <cellStyle name="Lien hypertexte visité" xfId="13928" builtinId="9" hidden="1"/>
    <cellStyle name="Lien hypertexte visité" xfId="13904" builtinId="9" hidden="1"/>
    <cellStyle name="Lien hypertexte visité" xfId="13864" builtinId="9" hidden="1"/>
    <cellStyle name="Lien hypertexte visité" xfId="13840" builtinId="9" hidden="1"/>
    <cellStyle name="Lien hypertexte visité" xfId="13816" builtinId="9" hidden="1"/>
    <cellStyle name="Lien hypertexte visité" xfId="13776" builtinId="9" hidden="1"/>
    <cellStyle name="Lien hypertexte visité" xfId="13752" builtinId="9" hidden="1"/>
    <cellStyle name="Lien hypertexte visité" xfId="13736" builtinId="9" hidden="1"/>
    <cellStyle name="Lien hypertexte visité" xfId="13688" builtinId="9" hidden="1"/>
    <cellStyle name="Lien hypertexte visité" xfId="13672" builtinId="9" hidden="1"/>
    <cellStyle name="Lien hypertexte visité" xfId="13648" builtinId="9" hidden="1"/>
    <cellStyle name="Lien hypertexte visité" xfId="13608" builtinId="9" hidden="1"/>
    <cellStyle name="Lien hypertexte visité" xfId="13584" builtinId="9" hidden="1"/>
    <cellStyle name="Lien hypertexte visité" xfId="13560" builtinId="9" hidden="1"/>
    <cellStyle name="Lien hypertexte visité" xfId="13520" builtinId="9" hidden="1"/>
    <cellStyle name="Lien hypertexte visité" xfId="13496" builtinId="9" hidden="1"/>
    <cellStyle name="Lien hypertexte visité" xfId="13480" builtinId="9" hidden="1"/>
    <cellStyle name="Lien hypertexte visité" xfId="13432" builtinId="9" hidden="1"/>
    <cellStyle name="Lien hypertexte visité" xfId="13416" builtinId="9" hidden="1"/>
    <cellStyle name="Lien hypertexte visité" xfId="13392" builtinId="9" hidden="1"/>
    <cellStyle name="Lien hypertexte visité" xfId="13352" builtinId="9" hidden="1"/>
    <cellStyle name="Lien hypertexte visité" xfId="13328" builtinId="9" hidden="1"/>
    <cellStyle name="Lien hypertexte visité" xfId="13304" builtinId="9" hidden="1"/>
    <cellStyle name="Lien hypertexte visité" xfId="13264" builtinId="9" hidden="1"/>
    <cellStyle name="Lien hypertexte visité" xfId="13240" builtinId="9" hidden="1"/>
    <cellStyle name="Lien hypertexte visité" xfId="13224" builtinId="9" hidden="1"/>
    <cellStyle name="Lien hypertexte visité" xfId="13176" builtinId="9" hidden="1"/>
    <cellStyle name="Lien hypertexte visité" xfId="13160" builtinId="9" hidden="1"/>
    <cellStyle name="Lien hypertexte visité" xfId="13136" builtinId="9" hidden="1"/>
    <cellStyle name="Lien hypertexte visité" xfId="13096" builtinId="9" hidden="1"/>
    <cellStyle name="Lien hypertexte visité" xfId="13072" builtinId="9" hidden="1"/>
    <cellStyle name="Lien hypertexte visité" xfId="13048" builtinId="9" hidden="1"/>
    <cellStyle name="Lien hypertexte visité" xfId="13008" builtinId="9" hidden="1"/>
    <cellStyle name="Lien hypertexte visité" xfId="12984" builtinId="9" hidden="1"/>
    <cellStyle name="Lien hypertexte visité" xfId="12968" builtinId="9" hidden="1"/>
    <cellStyle name="Lien hypertexte visité" xfId="12920" builtinId="9" hidden="1"/>
    <cellStyle name="Lien hypertexte visité" xfId="12904" builtinId="9" hidden="1"/>
    <cellStyle name="Lien hypertexte visité" xfId="12880" builtinId="9" hidden="1"/>
    <cellStyle name="Lien hypertexte visité" xfId="12840" builtinId="9" hidden="1"/>
    <cellStyle name="Lien hypertexte visité" xfId="12816" builtinId="9" hidden="1"/>
    <cellStyle name="Lien hypertexte visité" xfId="12792" builtinId="9" hidden="1"/>
    <cellStyle name="Lien hypertexte visité" xfId="12752" builtinId="9" hidden="1"/>
    <cellStyle name="Lien hypertexte visité" xfId="12728" builtinId="9" hidden="1"/>
    <cellStyle name="Lien hypertexte visité" xfId="12712" builtinId="9" hidden="1"/>
    <cellStyle name="Lien hypertexte visité" xfId="12664" builtinId="9" hidden="1"/>
    <cellStyle name="Lien hypertexte visité" xfId="12648" builtinId="9" hidden="1"/>
    <cellStyle name="Lien hypertexte visité" xfId="12624" builtinId="9" hidden="1"/>
    <cellStyle name="Lien hypertexte visité" xfId="12584" builtinId="9" hidden="1"/>
    <cellStyle name="Lien hypertexte visité" xfId="12560" builtinId="9" hidden="1"/>
    <cellStyle name="Lien hypertexte visité" xfId="12536" builtinId="9" hidden="1"/>
    <cellStyle name="Lien hypertexte visité" xfId="12496" builtinId="9" hidden="1"/>
    <cellStyle name="Lien hypertexte visité" xfId="12472" builtinId="9" hidden="1"/>
    <cellStyle name="Lien hypertexte visité" xfId="12456" builtinId="9" hidden="1"/>
    <cellStyle name="Lien hypertexte visité" xfId="12408" builtinId="9" hidden="1"/>
    <cellStyle name="Lien hypertexte visité" xfId="12392" builtinId="9" hidden="1"/>
    <cellStyle name="Lien hypertexte visité" xfId="12368" builtinId="9" hidden="1"/>
    <cellStyle name="Lien hypertexte visité" xfId="12328" builtinId="9" hidden="1"/>
    <cellStyle name="Lien hypertexte visité" xfId="12304" builtinId="9" hidden="1"/>
    <cellStyle name="Lien hypertexte visité" xfId="12280" builtinId="9" hidden="1"/>
    <cellStyle name="Lien hypertexte visité" xfId="12240" builtinId="9" hidden="1"/>
    <cellStyle name="Lien hypertexte visité" xfId="12216" builtinId="9" hidden="1"/>
    <cellStyle name="Lien hypertexte visité" xfId="12200" builtinId="9" hidden="1"/>
    <cellStyle name="Lien hypertexte visité" xfId="12152" builtinId="9" hidden="1"/>
    <cellStyle name="Lien hypertexte visité" xfId="12136" builtinId="9" hidden="1"/>
    <cellStyle name="Lien hypertexte visité" xfId="12112" builtinId="9" hidden="1"/>
    <cellStyle name="Lien hypertexte visité" xfId="12072" builtinId="9" hidden="1"/>
    <cellStyle name="Lien hypertexte visité" xfId="12048" builtinId="9" hidden="1"/>
    <cellStyle name="Lien hypertexte visité" xfId="12024" builtinId="9" hidden="1"/>
    <cellStyle name="Lien hypertexte visité" xfId="11984" builtinId="9" hidden="1"/>
    <cellStyle name="Lien hypertexte visité" xfId="11960" builtinId="9" hidden="1"/>
    <cellStyle name="Lien hypertexte visité" xfId="11944" builtinId="9" hidden="1"/>
    <cellStyle name="Lien hypertexte visité" xfId="11896" builtinId="9" hidden="1"/>
    <cellStyle name="Lien hypertexte visité" xfId="11880" builtinId="9" hidden="1"/>
    <cellStyle name="Lien hypertexte visité" xfId="11856" builtinId="9" hidden="1"/>
    <cellStyle name="Lien hypertexte visité" xfId="11816" builtinId="9" hidden="1"/>
    <cellStyle name="Lien hypertexte visité" xfId="11792" builtinId="9" hidden="1"/>
    <cellStyle name="Lien hypertexte visité" xfId="11768" builtinId="9" hidden="1"/>
    <cellStyle name="Lien hypertexte visité" xfId="11728" builtinId="9" hidden="1"/>
    <cellStyle name="Lien hypertexte visité" xfId="11704" builtinId="9" hidden="1"/>
    <cellStyle name="Lien hypertexte visité" xfId="11688" builtinId="9" hidden="1"/>
    <cellStyle name="Lien hypertexte visité" xfId="11640" builtinId="9" hidden="1"/>
    <cellStyle name="Lien hypertexte visité" xfId="11624" builtinId="9" hidden="1"/>
    <cellStyle name="Lien hypertexte visité" xfId="11600" builtinId="9" hidden="1"/>
    <cellStyle name="Lien hypertexte visité" xfId="11560" builtinId="9" hidden="1"/>
    <cellStyle name="Lien hypertexte visité" xfId="11536" builtinId="9" hidden="1"/>
    <cellStyle name="Lien hypertexte visité" xfId="11512" builtinId="9" hidden="1"/>
    <cellStyle name="Lien hypertexte visité" xfId="11472" builtinId="9" hidden="1"/>
    <cellStyle name="Lien hypertexte visité" xfId="11448" builtinId="9" hidden="1"/>
    <cellStyle name="Lien hypertexte visité" xfId="11432" builtinId="9" hidden="1"/>
    <cellStyle name="Lien hypertexte visité" xfId="11384" builtinId="9" hidden="1"/>
    <cellStyle name="Lien hypertexte visité" xfId="11368" builtinId="9" hidden="1"/>
    <cellStyle name="Lien hypertexte visité" xfId="11344" builtinId="9" hidden="1"/>
    <cellStyle name="Lien hypertexte visité" xfId="11304" builtinId="9" hidden="1"/>
    <cellStyle name="Lien hypertexte visité" xfId="11280" builtinId="9" hidden="1"/>
    <cellStyle name="Lien hypertexte visité" xfId="11256" builtinId="9" hidden="1"/>
    <cellStyle name="Lien hypertexte visité" xfId="11216" builtinId="9" hidden="1"/>
    <cellStyle name="Lien hypertexte visité" xfId="11192" builtinId="9" hidden="1"/>
    <cellStyle name="Lien hypertexte visité" xfId="11176" builtinId="9" hidden="1"/>
    <cellStyle name="Lien hypertexte visité" xfId="11128" builtinId="9" hidden="1"/>
    <cellStyle name="Lien hypertexte visité" xfId="11112" builtinId="9" hidden="1"/>
    <cellStyle name="Lien hypertexte visité" xfId="11088" builtinId="9" hidden="1"/>
    <cellStyle name="Lien hypertexte visité" xfId="11048" builtinId="9" hidden="1"/>
    <cellStyle name="Lien hypertexte visité" xfId="11024" builtinId="9" hidden="1"/>
    <cellStyle name="Lien hypertexte visité" xfId="11000" builtinId="9" hidden="1"/>
    <cellStyle name="Lien hypertexte visité" xfId="10960" builtinId="9" hidden="1"/>
    <cellStyle name="Lien hypertexte visité" xfId="10936" builtinId="9" hidden="1"/>
    <cellStyle name="Lien hypertexte visité" xfId="10920" builtinId="9" hidden="1"/>
    <cellStyle name="Lien hypertexte visité" xfId="10872" builtinId="9" hidden="1"/>
    <cellStyle name="Lien hypertexte visité" xfId="10856" builtinId="9" hidden="1"/>
    <cellStyle name="Lien hypertexte visité" xfId="10832" builtinId="9" hidden="1"/>
    <cellStyle name="Lien hypertexte visité" xfId="10792" builtinId="9" hidden="1"/>
    <cellStyle name="Lien hypertexte visité" xfId="10768" builtinId="9" hidden="1"/>
    <cellStyle name="Lien hypertexte visité" xfId="10744" builtinId="9" hidden="1"/>
    <cellStyle name="Lien hypertexte visité" xfId="10704" builtinId="9" hidden="1"/>
    <cellStyle name="Lien hypertexte visité" xfId="10680" builtinId="9" hidden="1"/>
    <cellStyle name="Lien hypertexte visité" xfId="10664" builtinId="9" hidden="1"/>
    <cellStyle name="Lien hypertexte visité" xfId="10616" builtinId="9" hidden="1"/>
    <cellStyle name="Lien hypertexte visité" xfId="10600" builtinId="9" hidden="1"/>
    <cellStyle name="Lien hypertexte visité" xfId="10576" builtinId="9" hidden="1"/>
    <cellStyle name="Lien hypertexte visité" xfId="10536" builtinId="9" hidden="1"/>
    <cellStyle name="Lien hypertexte visité" xfId="10512" builtinId="9" hidden="1"/>
    <cellStyle name="Lien hypertexte visité" xfId="10488" builtinId="9" hidden="1"/>
    <cellStyle name="Lien hypertexte visité" xfId="10448" builtinId="9" hidden="1"/>
    <cellStyle name="Lien hypertexte visité" xfId="10424" builtinId="9" hidden="1"/>
    <cellStyle name="Lien hypertexte visité" xfId="10408" builtinId="9" hidden="1"/>
    <cellStyle name="Lien hypertexte visité" xfId="10360" builtinId="9" hidden="1"/>
    <cellStyle name="Lien hypertexte visité" xfId="10344" builtinId="9" hidden="1"/>
    <cellStyle name="Lien hypertexte visité" xfId="10320" builtinId="9" hidden="1"/>
    <cellStyle name="Lien hypertexte visité" xfId="10280" builtinId="9" hidden="1"/>
    <cellStyle name="Lien hypertexte visité" xfId="10256" builtinId="9" hidden="1"/>
    <cellStyle name="Lien hypertexte visité" xfId="10232" builtinId="9" hidden="1"/>
    <cellStyle name="Lien hypertexte visité" xfId="10192" builtinId="9" hidden="1"/>
    <cellStyle name="Lien hypertexte visité" xfId="10168" builtinId="9" hidden="1"/>
    <cellStyle name="Lien hypertexte visité" xfId="10152" builtinId="9" hidden="1"/>
    <cellStyle name="Lien hypertexte visité" xfId="10104" builtinId="9" hidden="1"/>
    <cellStyle name="Lien hypertexte visité" xfId="10088" builtinId="9" hidden="1"/>
    <cellStyle name="Lien hypertexte visité" xfId="10064" builtinId="9" hidden="1"/>
    <cellStyle name="Lien hypertexte visité" xfId="10024" builtinId="9" hidden="1"/>
    <cellStyle name="Lien hypertexte visité" xfId="10000" builtinId="9" hidden="1"/>
    <cellStyle name="Lien hypertexte visité" xfId="9976" builtinId="9" hidden="1"/>
    <cellStyle name="Lien hypertexte visité" xfId="9936" builtinId="9" hidden="1"/>
    <cellStyle name="Lien hypertexte visité" xfId="9912" builtinId="9" hidden="1"/>
    <cellStyle name="Lien hypertexte visité" xfId="9896" builtinId="9" hidden="1"/>
    <cellStyle name="Lien hypertexte visité" xfId="9848" builtinId="9" hidden="1"/>
    <cellStyle name="Lien hypertexte visité" xfId="9832" builtinId="9" hidden="1"/>
    <cellStyle name="Lien hypertexte visité" xfId="9808" builtinId="9" hidden="1"/>
    <cellStyle name="Lien hypertexte visité" xfId="9768" builtinId="9" hidden="1"/>
    <cellStyle name="Lien hypertexte visité" xfId="9744" builtinId="9" hidden="1"/>
    <cellStyle name="Lien hypertexte visité" xfId="9720" builtinId="9" hidden="1"/>
    <cellStyle name="Lien hypertexte visité" xfId="9680" builtinId="9" hidden="1"/>
    <cellStyle name="Lien hypertexte visité" xfId="9656" builtinId="9" hidden="1"/>
    <cellStyle name="Lien hypertexte visité" xfId="9640" builtinId="9" hidden="1"/>
    <cellStyle name="Lien hypertexte visité" xfId="9592" builtinId="9" hidden="1"/>
    <cellStyle name="Lien hypertexte visité" xfId="9576" builtinId="9" hidden="1"/>
    <cellStyle name="Lien hypertexte visité" xfId="9552" builtinId="9" hidden="1"/>
    <cellStyle name="Lien hypertexte visité" xfId="9512" builtinId="9" hidden="1"/>
    <cellStyle name="Lien hypertexte visité" xfId="9488" builtinId="9" hidden="1"/>
    <cellStyle name="Lien hypertexte visité" xfId="9464" builtinId="9" hidden="1"/>
    <cellStyle name="Lien hypertexte visité" xfId="9424" builtinId="9" hidden="1"/>
    <cellStyle name="Lien hypertexte visité" xfId="9400" builtinId="9" hidden="1"/>
    <cellStyle name="Lien hypertexte visité" xfId="9384" builtinId="9" hidden="1"/>
    <cellStyle name="Lien hypertexte visité" xfId="9336" builtinId="9" hidden="1"/>
    <cellStyle name="Lien hypertexte visité" xfId="9320" builtinId="9" hidden="1"/>
    <cellStyle name="Lien hypertexte visité" xfId="9296" builtinId="9" hidden="1"/>
    <cellStyle name="Lien hypertexte visité" xfId="9256" builtinId="9" hidden="1"/>
    <cellStyle name="Lien hypertexte visité" xfId="9232" builtinId="9" hidden="1"/>
    <cellStyle name="Lien hypertexte visité" xfId="9208" builtinId="9" hidden="1"/>
    <cellStyle name="Lien hypertexte visité" xfId="9168" builtinId="9" hidden="1"/>
    <cellStyle name="Lien hypertexte visité" xfId="9144" builtinId="9" hidden="1"/>
    <cellStyle name="Lien hypertexte visité" xfId="9128" builtinId="9" hidden="1"/>
    <cellStyle name="Lien hypertexte visité" xfId="9080" builtinId="9" hidden="1"/>
    <cellStyle name="Lien hypertexte visité" xfId="9064" builtinId="9" hidden="1"/>
    <cellStyle name="Lien hypertexte visité" xfId="9040" builtinId="9" hidden="1"/>
    <cellStyle name="Lien hypertexte visité" xfId="9000" builtinId="9" hidden="1"/>
    <cellStyle name="Lien hypertexte visité" xfId="8976" builtinId="9" hidden="1"/>
    <cellStyle name="Lien hypertexte visité" xfId="8952" builtinId="9" hidden="1"/>
    <cellStyle name="Lien hypertexte visité" xfId="8912" builtinId="9" hidden="1"/>
    <cellStyle name="Lien hypertexte visité" xfId="8888" builtinId="9" hidden="1"/>
    <cellStyle name="Lien hypertexte visité" xfId="8872" builtinId="9" hidden="1"/>
    <cellStyle name="Lien hypertexte visité" xfId="8928" builtinId="9" hidden="1"/>
    <cellStyle name="Lien hypertexte visité" xfId="8992" builtinId="9" hidden="1"/>
    <cellStyle name="Lien hypertexte visité" xfId="9056" builtinId="9" hidden="1"/>
    <cellStyle name="Lien hypertexte visité" xfId="9184" builtinId="9" hidden="1"/>
    <cellStyle name="Lien hypertexte visité" xfId="9248" builtinId="9" hidden="1"/>
    <cellStyle name="Lien hypertexte visité" xfId="9312" builtinId="9" hidden="1"/>
    <cellStyle name="Lien hypertexte visité" xfId="9440" builtinId="9" hidden="1"/>
    <cellStyle name="Lien hypertexte visité" xfId="9504" builtinId="9" hidden="1"/>
    <cellStyle name="Lien hypertexte visité" xfId="9568" builtinId="9" hidden="1"/>
    <cellStyle name="Lien hypertexte visité" xfId="9696" builtinId="9" hidden="1"/>
    <cellStyle name="Lien hypertexte visité" xfId="9760" builtinId="9" hidden="1"/>
    <cellStyle name="Lien hypertexte visité" xfId="9824" builtinId="9" hidden="1"/>
    <cellStyle name="Lien hypertexte visité" xfId="9952" builtinId="9" hidden="1"/>
    <cellStyle name="Lien hypertexte visité" xfId="10016" builtinId="9" hidden="1"/>
    <cellStyle name="Lien hypertexte visité" xfId="10080" builtinId="9" hidden="1"/>
    <cellStyle name="Lien hypertexte visité" xfId="10208" builtinId="9" hidden="1"/>
    <cellStyle name="Lien hypertexte visité" xfId="10272" builtinId="9" hidden="1"/>
    <cellStyle name="Lien hypertexte visité" xfId="10336" builtinId="9" hidden="1"/>
    <cellStyle name="Lien hypertexte visité" xfId="10464" builtinId="9" hidden="1"/>
    <cellStyle name="Lien hypertexte visité" xfId="10528" builtinId="9" hidden="1"/>
    <cellStyle name="Lien hypertexte visité" xfId="10592" builtinId="9" hidden="1"/>
    <cellStyle name="Lien hypertexte visité" xfId="10720" builtinId="9" hidden="1"/>
    <cellStyle name="Lien hypertexte visité" xfId="10784" builtinId="9" hidden="1"/>
    <cellStyle name="Lien hypertexte visité" xfId="10848" builtinId="9" hidden="1"/>
    <cellStyle name="Lien hypertexte visité" xfId="10976" builtinId="9" hidden="1"/>
    <cellStyle name="Lien hypertexte visité" xfId="11040" builtinId="9" hidden="1"/>
    <cellStyle name="Lien hypertexte visité" xfId="11104" builtinId="9" hidden="1"/>
    <cellStyle name="Lien hypertexte visité" xfId="11232" builtinId="9" hidden="1"/>
    <cellStyle name="Lien hypertexte visité" xfId="11296" builtinId="9" hidden="1"/>
    <cellStyle name="Lien hypertexte visité" xfId="11360" builtinId="9" hidden="1"/>
    <cellStyle name="Lien hypertexte visité" xfId="11488" builtinId="9" hidden="1"/>
    <cellStyle name="Lien hypertexte visité" xfId="11552" builtinId="9" hidden="1"/>
    <cellStyle name="Lien hypertexte visité" xfId="11616" builtinId="9" hidden="1"/>
    <cellStyle name="Lien hypertexte visité" xfId="11744" builtinId="9" hidden="1"/>
    <cellStyle name="Lien hypertexte visité" xfId="11808" builtinId="9" hidden="1"/>
    <cellStyle name="Lien hypertexte visité" xfId="11872" builtinId="9" hidden="1"/>
    <cellStyle name="Lien hypertexte visité" xfId="12000" builtinId="9" hidden="1"/>
    <cellStyle name="Lien hypertexte visité" xfId="12064" builtinId="9" hidden="1"/>
    <cellStyle name="Lien hypertexte visité" xfId="12128" builtinId="9" hidden="1"/>
    <cellStyle name="Lien hypertexte visité" xfId="12256" builtinId="9" hidden="1"/>
    <cellStyle name="Lien hypertexte visité" xfId="12320" builtinId="9" hidden="1"/>
    <cellStyle name="Lien hypertexte visité" xfId="12384" builtinId="9" hidden="1"/>
    <cellStyle name="Lien hypertexte visité" xfId="12512" builtinId="9" hidden="1"/>
    <cellStyle name="Lien hypertexte visité" xfId="12576" builtinId="9" hidden="1"/>
    <cellStyle name="Lien hypertexte visité" xfId="12640" builtinId="9" hidden="1"/>
    <cellStyle name="Lien hypertexte visité" xfId="12768" builtinId="9" hidden="1"/>
    <cellStyle name="Lien hypertexte visité" xfId="12832" builtinId="9" hidden="1"/>
    <cellStyle name="Lien hypertexte visité" xfId="12896" builtinId="9" hidden="1"/>
    <cellStyle name="Lien hypertexte visité" xfId="13024" builtinId="9" hidden="1"/>
    <cellStyle name="Lien hypertexte visité" xfId="13088" builtinId="9" hidden="1"/>
    <cellStyle name="Lien hypertexte visité" xfId="13152" builtinId="9" hidden="1"/>
    <cellStyle name="Lien hypertexte visité" xfId="13280" builtinId="9" hidden="1"/>
    <cellStyle name="Lien hypertexte visité" xfId="13344" builtinId="9" hidden="1"/>
    <cellStyle name="Lien hypertexte visité" xfId="13408" builtinId="9" hidden="1"/>
    <cellStyle name="Lien hypertexte visité" xfId="13536" builtinId="9" hidden="1"/>
    <cellStyle name="Lien hypertexte visité" xfId="13600" builtinId="9" hidden="1"/>
    <cellStyle name="Lien hypertexte visité" xfId="13664" builtinId="9" hidden="1"/>
    <cellStyle name="Lien hypertexte visité" xfId="13792" builtinId="9" hidden="1"/>
    <cellStyle name="Lien hypertexte visité" xfId="13856" builtinId="9" hidden="1"/>
    <cellStyle name="Lien hypertexte visité" xfId="13920" builtinId="9" hidden="1"/>
    <cellStyle name="Lien hypertexte visité" xfId="14048" builtinId="9" hidden="1"/>
    <cellStyle name="Lien hypertexte visité" xfId="14112" builtinId="9" hidden="1"/>
    <cellStyle name="Lien hypertexte visité" xfId="14176" builtinId="9" hidden="1"/>
    <cellStyle name="Lien hypertexte visité" xfId="14304" builtinId="9" hidden="1"/>
    <cellStyle name="Lien hypertexte visité" xfId="14368" builtinId="9" hidden="1"/>
    <cellStyle name="Lien hypertexte visité" xfId="14432" builtinId="9" hidden="1"/>
    <cellStyle name="Lien hypertexte visité" xfId="14605" builtinId="9" hidden="1"/>
    <cellStyle name="Lien hypertexte visité" xfId="14733" builtinId="9" hidden="1"/>
    <cellStyle name="Lien hypertexte visité" xfId="14861" builtinId="9" hidden="1"/>
    <cellStyle name="Lien hypertexte visité" xfId="15117" builtinId="9" hidden="1"/>
    <cellStyle name="Lien hypertexte visité" xfId="15245" builtinId="9" hidden="1"/>
    <cellStyle name="Lien hypertexte visité" xfId="15373" builtinId="9" hidden="1"/>
    <cellStyle name="Lien hypertexte visité" xfId="15629" builtinId="9" hidden="1"/>
    <cellStyle name="Lien hypertexte visité" xfId="15757" builtinId="9" hidden="1"/>
    <cellStyle name="Lien hypertexte visité" xfId="15885" builtinId="9" hidden="1"/>
    <cellStyle name="Lien hypertexte visité" xfId="16141" builtinId="9" hidden="1"/>
    <cellStyle name="Lien hypertexte visité" xfId="16269" builtinId="9" hidden="1"/>
    <cellStyle name="Lien hypertexte visité" xfId="16397" builtinId="9" hidden="1"/>
    <cellStyle name="Lien hypertexte visité" xfId="16653" builtinId="9" hidden="1"/>
    <cellStyle name="Lien hypertexte visité" xfId="16781" builtinId="9" hidden="1"/>
    <cellStyle name="Lien hypertexte visité" xfId="16909" builtinId="9" hidden="1"/>
    <cellStyle name="Lien hypertexte visité" xfId="17165" builtinId="9" hidden="1"/>
    <cellStyle name="Lien hypertexte visité" xfId="17293" builtinId="9" hidden="1"/>
    <cellStyle name="Lien hypertexte visité" xfId="17421" builtinId="9" hidden="1"/>
    <cellStyle name="Lien hypertexte visité" xfId="17677" builtinId="9" hidden="1"/>
    <cellStyle name="Lien hypertexte visité" xfId="17805" builtinId="9" hidden="1"/>
    <cellStyle name="Lien hypertexte visité" xfId="17933" builtinId="9" hidden="1"/>
    <cellStyle name="Lien hypertexte visité" xfId="18189" builtinId="9" hidden="1"/>
    <cellStyle name="Lien hypertexte visité" xfId="18313" builtinId="9" hidden="1"/>
    <cellStyle name="Lien hypertexte visité" xfId="18428" builtinId="9" hidden="1"/>
    <cellStyle name="Lien hypertexte visité" xfId="18684" builtinId="9" hidden="1"/>
    <cellStyle name="Lien hypertexte visité" xfId="18812" builtinId="9" hidden="1"/>
    <cellStyle name="Lien hypertexte visité" xfId="18940" builtinId="9" hidden="1"/>
    <cellStyle name="Lien hypertexte visité" xfId="19196" builtinId="9" hidden="1"/>
    <cellStyle name="Lien hypertexte visité" xfId="19324" builtinId="9" hidden="1"/>
    <cellStyle name="Lien hypertexte visité" xfId="19452" builtinId="9" hidden="1"/>
    <cellStyle name="Lien hypertexte visité" xfId="19708" builtinId="9" hidden="1"/>
    <cellStyle name="Lien hypertexte visité" xfId="19836" builtinId="9" hidden="1"/>
    <cellStyle name="Lien hypertexte visité" xfId="19964" builtinId="9" hidden="1"/>
    <cellStyle name="Lien hypertexte visité" xfId="20220" builtinId="9" hidden="1"/>
    <cellStyle name="Lien hypertexte visité" xfId="20348" builtinId="9" hidden="1"/>
    <cellStyle name="Lien hypertexte visité" xfId="20476" builtinId="9" hidden="1"/>
    <cellStyle name="Lien hypertexte visité" xfId="20732" builtinId="9" hidden="1"/>
    <cellStyle name="Lien hypertexte visité" xfId="20860" builtinId="9" hidden="1"/>
    <cellStyle name="Lien hypertexte visité" xfId="20988" builtinId="9" hidden="1"/>
    <cellStyle name="Lien hypertexte visité" xfId="21244" builtinId="9" hidden="1"/>
    <cellStyle name="Lien hypertexte visité" xfId="21372" builtinId="9" hidden="1"/>
    <cellStyle name="Lien hypertexte visité" xfId="21500" builtinId="9" hidden="1"/>
    <cellStyle name="Lien hypertexte visité" xfId="21756" builtinId="9" hidden="1"/>
    <cellStyle name="Lien hypertexte visité" xfId="21884" builtinId="9" hidden="1"/>
    <cellStyle name="Lien hypertexte visité" xfId="22012" builtinId="9" hidden="1"/>
    <cellStyle name="Lien hypertexte visité" xfId="22268" builtinId="9" hidden="1"/>
    <cellStyle name="Lien hypertexte visité" xfId="22396" builtinId="9" hidden="1"/>
    <cellStyle name="Lien hypertexte visité" xfId="22524" builtinId="9" hidden="1"/>
    <cellStyle name="Lien hypertexte visité" xfId="22780" builtinId="9" hidden="1"/>
    <cellStyle name="Lien hypertexte visité" xfId="22908" builtinId="9" hidden="1"/>
    <cellStyle name="Lien hypertexte visité" xfId="23036" builtinId="9" hidden="1"/>
    <cellStyle name="Lien hypertexte visité" xfId="23292" builtinId="9" hidden="1"/>
    <cellStyle name="Lien hypertexte visité" xfId="23420" builtinId="9" hidden="1"/>
    <cellStyle name="Lien hypertexte visité" xfId="23548" builtinId="9" hidden="1"/>
    <cellStyle name="Lien hypertexte visité" xfId="23804" builtinId="9" hidden="1"/>
    <cellStyle name="Lien hypertexte visité" xfId="23932" builtinId="9" hidden="1"/>
    <cellStyle name="Lien hypertexte visité" xfId="24060" builtinId="9" hidden="1"/>
    <cellStyle name="Lien hypertexte visité" xfId="24316" builtinId="9" hidden="1"/>
    <cellStyle name="Lien hypertexte visité" xfId="24444" builtinId="9" hidden="1"/>
    <cellStyle name="Lien hypertexte visité" xfId="24572" builtinId="9" hidden="1"/>
    <cellStyle name="Lien hypertexte visité" xfId="24398" builtinId="9" hidden="1"/>
    <cellStyle name="Lien hypertexte visité" xfId="24270" builtinId="9" hidden="1"/>
    <cellStyle name="Lien hypertexte visité" xfId="24142" builtinId="9" hidden="1"/>
    <cellStyle name="Lien hypertexte visité" xfId="23886" builtinId="9" hidden="1"/>
    <cellStyle name="Lien hypertexte visité" xfId="23758" builtinId="9" hidden="1"/>
    <cellStyle name="Lien hypertexte visité" xfId="23630" builtinId="9" hidden="1"/>
    <cellStyle name="Lien hypertexte visité" xfId="23374" builtinId="9" hidden="1"/>
    <cellStyle name="Lien hypertexte visité" xfId="23246" builtinId="9" hidden="1"/>
    <cellStyle name="Lien hypertexte visité" xfId="23118" builtinId="9" hidden="1"/>
    <cellStyle name="Lien hypertexte visité" xfId="22862" builtinId="9" hidden="1"/>
    <cellStyle name="Lien hypertexte visité" xfId="22734" builtinId="9" hidden="1"/>
    <cellStyle name="Lien hypertexte visité" xfId="22606" builtinId="9" hidden="1"/>
    <cellStyle name="Lien hypertexte visité" xfId="22350" builtinId="9" hidden="1"/>
    <cellStyle name="Lien hypertexte visité" xfId="22222" builtinId="9" hidden="1"/>
    <cellStyle name="Lien hypertexte visité" xfId="22094" builtinId="9" hidden="1"/>
    <cellStyle name="Lien hypertexte visité" xfId="21838" builtinId="9" hidden="1"/>
    <cellStyle name="Lien hypertexte visité" xfId="21710" builtinId="9" hidden="1"/>
    <cellStyle name="Lien hypertexte visité" xfId="21582" builtinId="9" hidden="1"/>
    <cellStyle name="Lien hypertexte visité" xfId="21326" builtinId="9" hidden="1"/>
    <cellStyle name="Lien hypertexte visité" xfId="21198" builtinId="9" hidden="1"/>
    <cellStyle name="Lien hypertexte visité" xfId="21070" builtinId="9" hidden="1"/>
    <cellStyle name="Lien hypertexte visité" xfId="20814" builtinId="9" hidden="1"/>
    <cellStyle name="Lien hypertexte visité" xfId="20686" builtinId="9" hidden="1"/>
    <cellStyle name="Lien hypertexte visité" xfId="20558" builtinId="9" hidden="1"/>
    <cellStyle name="Lien hypertexte visité" xfId="20302" builtinId="9" hidden="1"/>
    <cellStyle name="Lien hypertexte visité" xfId="20174" builtinId="9" hidden="1"/>
    <cellStyle name="Lien hypertexte visité" xfId="20046" builtinId="9" hidden="1"/>
    <cellStyle name="Lien hypertexte visité" xfId="19790" builtinId="9" hidden="1"/>
    <cellStyle name="Lien hypertexte visité" xfId="19662" builtinId="9" hidden="1"/>
    <cellStyle name="Lien hypertexte visité" xfId="19534" builtinId="9" hidden="1"/>
    <cellStyle name="Lien hypertexte visité" xfId="19278" builtinId="9" hidden="1"/>
    <cellStyle name="Lien hypertexte visité" xfId="19150" builtinId="9" hidden="1"/>
    <cellStyle name="Lien hypertexte visité" xfId="19022" builtinId="9" hidden="1"/>
    <cellStyle name="Lien hypertexte visité" xfId="18766" builtinId="9" hidden="1"/>
    <cellStyle name="Lien hypertexte visité" xfId="18638" builtinId="9" hidden="1"/>
    <cellStyle name="Lien hypertexte visité" xfId="18510" builtinId="9" hidden="1"/>
    <cellStyle name="Lien hypertexte visité" xfId="18271" builtinId="9" hidden="1"/>
    <cellStyle name="Lien hypertexte visité" xfId="18143" builtinId="9" hidden="1"/>
    <cellStyle name="Lien hypertexte visité" xfId="18015" builtinId="9" hidden="1"/>
    <cellStyle name="Lien hypertexte visité" xfId="17759" builtinId="9" hidden="1"/>
    <cellStyle name="Lien hypertexte visité" xfId="17631" builtinId="9" hidden="1"/>
    <cellStyle name="Lien hypertexte visité" xfId="17503" builtinId="9" hidden="1"/>
    <cellStyle name="Lien hypertexte visité" xfId="17247" builtinId="9" hidden="1"/>
    <cellStyle name="Lien hypertexte visité" xfId="17119" builtinId="9" hidden="1"/>
    <cellStyle name="Lien hypertexte visité" xfId="16991" builtinId="9" hidden="1"/>
    <cellStyle name="Lien hypertexte visité" xfId="16735" builtinId="9" hidden="1"/>
    <cellStyle name="Lien hypertexte visité" xfId="16607" builtinId="9" hidden="1"/>
    <cellStyle name="Lien hypertexte visité" xfId="16479" builtinId="9" hidden="1"/>
    <cellStyle name="Lien hypertexte visité" xfId="16223" builtinId="9" hidden="1"/>
    <cellStyle name="Lien hypertexte visité" xfId="16095" builtinId="9" hidden="1"/>
    <cellStyle name="Lien hypertexte visité" xfId="15967" builtinId="9" hidden="1"/>
    <cellStyle name="Lien hypertexte visité" xfId="15711" builtinId="9" hidden="1"/>
    <cellStyle name="Lien hypertexte visité" xfId="15583" builtinId="9" hidden="1"/>
    <cellStyle name="Lien hypertexte visité" xfId="15455" builtinId="9" hidden="1"/>
    <cellStyle name="Lien hypertexte visité" xfId="15199" builtinId="9" hidden="1"/>
    <cellStyle name="Lien hypertexte visité" xfId="15071" builtinId="9" hidden="1"/>
    <cellStyle name="Lien hypertexte visité" xfId="14943" builtinId="9" hidden="1"/>
    <cellStyle name="Lien hypertexte visité" xfId="14687" builtinId="9" hidden="1"/>
    <cellStyle name="Lien hypertexte visité" xfId="14559" builtinId="9" hidden="1"/>
    <cellStyle name="Lien hypertexte visité" xfId="14473" builtinId="9" hidden="1"/>
    <cellStyle name="Lien hypertexte visité" xfId="14345" builtinId="9" hidden="1"/>
    <cellStyle name="Lien hypertexte visité" xfId="14281" builtinId="9" hidden="1"/>
    <cellStyle name="Lien hypertexte visité" xfId="14217" builtinId="9" hidden="1"/>
    <cellStyle name="Lien hypertexte visité" xfId="14089" builtinId="9" hidden="1"/>
    <cellStyle name="Lien hypertexte visité" xfId="14025" builtinId="9" hidden="1"/>
    <cellStyle name="Lien hypertexte visité" xfId="13961" builtinId="9" hidden="1"/>
    <cellStyle name="Lien hypertexte visité" xfId="13833" builtinId="9" hidden="1"/>
    <cellStyle name="Lien hypertexte visité" xfId="13769" builtinId="9" hidden="1"/>
    <cellStyle name="Lien hypertexte visité" xfId="13705" builtinId="9" hidden="1"/>
    <cellStyle name="Lien hypertexte visité" xfId="13577" builtinId="9" hidden="1"/>
    <cellStyle name="Lien hypertexte visité" xfId="13513" builtinId="9" hidden="1"/>
    <cellStyle name="Lien hypertexte visité" xfId="13449" builtinId="9" hidden="1"/>
    <cellStyle name="Lien hypertexte visité" xfId="13321" builtinId="9" hidden="1"/>
    <cellStyle name="Lien hypertexte visité" xfId="13257" builtinId="9" hidden="1"/>
    <cellStyle name="Lien hypertexte visité" xfId="13193" builtinId="9" hidden="1"/>
    <cellStyle name="Lien hypertexte visité" xfId="13065" builtinId="9" hidden="1"/>
    <cellStyle name="Lien hypertexte visité" xfId="13001" builtinId="9" hidden="1"/>
    <cellStyle name="Lien hypertexte visité" xfId="12937" builtinId="9" hidden="1"/>
    <cellStyle name="Lien hypertexte visité" xfId="12809" builtinId="9" hidden="1"/>
    <cellStyle name="Lien hypertexte visité" xfId="12745" builtinId="9" hidden="1"/>
    <cellStyle name="Lien hypertexte visité" xfId="12681" builtinId="9" hidden="1"/>
    <cellStyle name="Lien hypertexte visité" xfId="12553" builtinId="9" hidden="1"/>
    <cellStyle name="Lien hypertexte visité" xfId="12489" builtinId="9" hidden="1"/>
    <cellStyle name="Lien hypertexte visité" xfId="12425" builtinId="9" hidden="1"/>
    <cellStyle name="Lien hypertexte visité" xfId="12297" builtinId="9" hidden="1"/>
    <cellStyle name="Lien hypertexte visité" xfId="12233" builtinId="9" hidden="1"/>
    <cellStyle name="Lien hypertexte visité" xfId="12169" builtinId="9" hidden="1"/>
    <cellStyle name="Lien hypertexte visité" xfId="12041" builtinId="9" hidden="1"/>
    <cellStyle name="Lien hypertexte visité" xfId="11977" builtinId="9" hidden="1"/>
    <cellStyle name="Lien hypertexte visité" xfId="11913" builtinId="9" hidden="1"/>
    <cellStyle name="Lien hypertexte visité" xfId="11785" builtinId="9" hidden="1"/>
    <cellStyle name="Lien hypertexte visité" xfId="11721" builtinId="9" hidden="1"/>
    <cellStyle name="Lien hypertexte visité" xfId="11657" builtinId="9" hidden="1"/>
    <cellStyle name="Lien hypertexte visité" xfId="11529" builtinId="9" hidden="1"/>
    <cellStyle name="Lien hypertexte visité" xfId="11465" builtinId="9" hidden="1"/>
    <cellStyle name="Lien hypertexte visité" xfId="11401" builtinId="9" hidden="1"/>
    <cellStyle name="Lien hypertexte visité" xfId="11273" builtinId="9" hidden="1"/>
    <cellStyle name="Lien hypertexte visité" xfId="11209" builtinId="9" hidden="1"/>
    <cellStyle name="Lien hypertexte visité" xfId="11145" builtinId="9" hidden="1"/>
    <cellStyle name="Lien hypertexte visité" xfId="11017" builtinId="9" hidden="1"/>
    <cellStyle name="Lien hypertexte visité" xfId="10953" builtinId="9" hidden="1"/>
    <cellStyle name="Lien hypertexte visité" xfId="10889" builtinId="9" hidden="1"/>
    <cellStyle name="Lien hypertexte visité" xfId="10761" builtinId="9" hidden="1"/>
    <cellStyle name="Lien hypertexte visité" xfId="10697" builtinId="9" hidden="1"/>
    <cellStyle name="Lien hypertexte visité" xfId="10633" builtinId="9" hidden="1"/>
    <cellStyle name="Lien hypertexte visité" xfId="10505" builtinId="9" hidden="1"/>
    <cellStyle name="Lien hypertexte visité" xfId="10441" builtinId="9" hidden="1"/>
    <cellStyle name="Lien hypertexte visité" xfId="10377" builtinId="9" hidden="1"/>
    <cellStyle name="Lien hypertexte visité" xfId="10249" builtinId="9" hidden="1"/>
    <cellStyle name="Lien hypertexte visité" xfId="10185" builtinId="9" hidden="1"/>
    <cellStyle name="Lien hypertexte visité" xfId="10121" builtinId="9" hidden="1"/>
    <cellStyle name="Lien hypertexte visité" xfId="9993" builtinId="9" hidden="1"/>
    <cellStyle name="Lien hypertexte visité" xfId="9929" builtinId="9" hidden="1"/>
    <cellStyle name="Lien hypertexte visité" xfId="9865" builtinId="9" hidden="1"/>
    <cellStyle name="Lien hypertexte visité" xfId="9737" builtinId="9" hidden="1"/>
    <cellStyle name="Lien hypertexte visité" xfId="9673" builtinId="9" hidden="1"/>
    <cellStyle name="Lien hypertexte visité" xfId="9609" builtinId="9" hidden="1"/>
    <cellStyle name="Lien hypertexte visité" xfId="9481" builtinId="9" hidden="1"/>
    <cellStyle name="Lien hypertexte visité" xfId="9417" builtinId="9" hidden="1"/>
    <cellStyle name="Lien hypertexte visité" xfId="9353" builtinId="9" hidden="1"/>
    <cellStyle name="Lien hypertexte visité" xfId="9225" builtinId="9" hidden="1"/>
    <cellStyle name="Lien hypertexte visité" xfId="9161" builtinId="9" hidden="1"/>
    <cellStyle name="Lien hypertexte visité" xfId="9097" builtinId="9" hidden="1"/>
    <cellStyle name="Lien hypertexte visité" xfId="8969" builtinId="9" hidden="1"/>
    <cellStyle name="Lien hypertexte visité" xfId="8905" builtinId="9" hidden="1"/>
    <cellStyle name="Lien hypertexte visité" xfId="8841" builtinId="9" hidden="1"/>
    <cellStyle name="Lien hypertexte visité" xfId="8713" builtinId="9" hidden="1"/>
    <cellStyle name="Lien hypertexte visité" xfId="8649" builtinId="9" hidden="1"/>
    <cellStyle name="Lien hypertexte visité" xfId="8585" builtinId="9" hidden="1"/>
    <cellStyle name="Lien hypertexte visité" xfId="8457" builtinId="9" hidden="1"/>
    <cellStyle name="Lien hypertexte visité" xfId="8393" builtinId="9" hidden="1"/>
    <cellStyle name="Lien hypertexte visité" xfId="8329" builtinId="9" hidden="1"/>
    <cellStyle name="Lien hypertexte visité" xfId="8201" builtinId="9" hidden="1"/>
    <cellStyle name="Lien hypertexte visité" xfId="8137" builtinId="9" hidden="1"/>
    <cellStyle name="Lien hypertexte visité" xfId="8073" builtinId="9" hidden="1"/>
    <cellStyle name="Lien hypertexte visité" xfId="7945" builtinId="9" hidden="1"/>
    <cellStyle name="Lien hypertexte visité" xfId="7881" builtinId="9" hidden="1"/>
    <cellStyle name="Lien hypertexte visité" xfId="7817" builtinId="9" hidden="1"/>
    <cellStyle name="Lien hypertexte visité" xfId="7688" builtinId="9" hidden="1"/>
    <cellStyle name="Lien hypertexte visité" xfId="7624" builtinId="9" hidden="1"/>
    <cellStyle name="Lien hypertexte visité" xfId="7560" builtinId="9" hidden="1"/>
    <cellStyle name="Lien hypertexte visité" xfId="7432" builtinId="9" hidden="1"/>
    <cellStyle name="Lien hypertexte visité" xfId="7368" builtinId="9" hidden="1"/>
    <cellStyle name="Lien hypertexte visité" xfId="7304" builtinId="9" hidden="1"/>
    <cellStyle name="Lien hypertexte visité" xfId="7176" builtinId="9" hidden="1"/>
    <cellStyle name="Lien hypertexte visité" xfId="7112" builtinId="9" hidden="1"/>
    <cellStyle name="Lien hypertexte visité" xfId="7048" builtinId="9" hidden="1"/>
    <cellStyle name="Lien hypertexte visité" xfId="6920" builtinId="9" hidden="1"/>
    <cellStyle name="Lien hypertexte visité" xfId="6856" builtinId="9" hidden="1"/>
    <cellStyle name="Lien hypertexte visité" xfId="6792" builtinId="9" hidden="1"/>
    <cellStyle name="Lien hypertexte visité" xfId="6664" builtinId="9" hidden="1"/>
    <cellStyle name="Lien hypertexte visité" xfId="6600" builtinId="9" hidden="1"/>
    <cellStyle name="Lien hypertexte visité" xfId="6536" builtinId="9" hidden="1"/>
    <cellStyle name="Lien hypertexte visité" xfId="6408" builtinId="9" hidden="1"/>
    <cellStyle name="Lien hypertexte visité" xfId="6472" builtinId="9" hidden="1"/>
    <cellStyle name="Lien hypertexte visité" xfId="6728" builtinId="9" hidden="1"/>
    <cellStyle name="Lien hypertexte visité" xfId="6984" builtinId="9" hidden="1"/>
    <cellStyle name="Lien hypertexte visité" xfId="7240" builtinId="9" hidden="1"/>
    <cellStyle name="Lien hypertexte visité" xfId="7496" builtinId="9" hidden="1"/>
    <cellStyle name="Lien hypertexte visité" xfId="7752" builtinId="9" hidden="1"/>
    <cellStyle name="Lien hypertexte visité" xfId="8009" builtinId="9" hidden="1"/>
    <cellStyle name="Lien hypertexte visité" xfId="8265" builtinId="9" hidden="1"/>
    <cellStyle name="Lien hypertexte visité" xfId="8521" builtinId="9" hidden="1"/>
    <cellStyle name="Lien hypertexte visité" xfId="8777" builtinId="9" hidden="1"/>
    <cellStyle name="Lien hypertexte visité" xfId="9033" builtinId="9" hidden="1"/>
    <cellStyle name="Lien hypertexte visité" xfId="9289" builtinId="9" hidden="1"/>
    <cellStyle name="Lien hypertexte visité" xfId="9545" builtinId="9" hidden="1"/>
    <cellStyle name="Lien hypertexte visité" xfId="9801" builtinId="9" hidden="1"/>
    <cellStyle name="Lien hypertexte visité" xfId="10057" builtinId="9" hidden="1"/>
    <cellStyle name="Lien hypertexte visité" xfId="10313" builtinId="9" hidden="1"/>
    <cellStyle name="Lien hypertexte visité" xfId="10569" builtinId="9" hidden="1"/>
    <cellStyle name="Lien hypertexte visité" xfId="10825" builtinId="9" hidden="1"/>
    <cellStyle name="Lien hypertexte visité" xfId="11081" builtinId="9" hidden="1"/>
    <cellStyle name="Lien hypertexte visité" xfId="11337" builtinId="9" hidden="1"/>
    <cellStyle name="Lien hypertexte visité" xfId="11593" builtinId="9" hidden="1"/>
    <cellStyle name="Lien hypertexte visité" xfId="11849" builtinId="9" hidden="1"/>
    <cellStyle name="Lien hypertexte visité" xfId="12105" builtinId="9" hidden="1"/>
    <cellStyle name="Lien hypertexte visité" xfId="12361" builtinId="9" hidden="1"/>
    <cellStyle name="Lien hypertexte visité" xfId="12617" builtinId="9" hidden="1"/>
    <cellStyle name="Lien hypertexte visité" xfId="12873" builtinId="9" hidden="1"/>
    <cellStyle name="Lien hypertexte visité" xfId="13129" builtinId="9" hidden="1"/>
    <cellStyle name="Lien hypertexte visité" xfId="13385" builtinId="9" hidden="1"/>
    <cellStyle name="Lien hypertexte visité" xfId="13641" builtinId="9" hidden="1"/>
    <cellStyle name="Lien hypertexte visité" xfId="13897" builtinId="9" hidden="1"/>
    <cellStyle name="Lien hypertexte visité" xfId="14153" builtinId="9" hidden="1"/>
    <cellStyle name="Lien hypertexte visité" xfId="14409" builtinId="9" hidden="1"/>
    <cellStyle name="Lien hypertexte visité" xfId="14815" builtinId="9" hidden="1"/>
    <cellStyle name="Lien hypertexte visité" xfId="15327" builtinId="9" hidden="1"/>
    <cellStyle name="Lien hypertexte visité" xfId="15839" builtinId="9" hidden="1"/>
    <cellStyle name="Lien hypertexte visité" xfId="16351" builtinId="9" hidden="1"/>
    <cellStyle name="Lien hypertexte visité" xfId="16863" builtinId="9" hidden="1"/>
    <cellStyle name="Lien hypertexte visité" xfId="17375" builtinId="9" hidden="1"/>
    <cellStyle name="Lien hypertexte visité" xfId="17887" builtinId="9" hidden="1"/>
    <cellStyle name="Lien hypertexte visité" xfId="18382" builtinId="9" hidden="1"/>
    <cellStyle name="Lien hypertexte visité" xfId="18894" builtinId="9" hidden="1"/>
    <cellStyle name="Lien hypertexte visité" xfId="19406" builtinId="9" hidden="1"/>
    <cellStyle name="Lien hypertexte visité" xfId="19918" builtinId="9" hidden="1"/>
    <cellStyle name="Lien hypertexte visité" xfId="20430" builtinId="9" hidden="1"/>
    <cellStyle name="Lien hypertexte visité" xfId="20942" builtinId="9" hidden="1"/>
    <cellStyle name="Lien hypertexte visité" xfId="21454" builtinId="9" hidden="1"/>
    <cellStyle name="Lien hypertexte visité" xfId="21966" builtinId="9" hidden="1"/>
    <cellStyle name="Lien hypertexte visité" xfId="22478" builtinId="9" hidden="1"/>
    <cellStyle name="Lien hypertexte visité" xfId="22990" builtinId="9" hidden="1"/>
    <cellStyle name="Lien hypertexte visité" xfId="23502" builtinId="9" hidden="1"/>
    <cellStyle name="Lien hypertexte visité" xfId="24014" builtinId="9" hidden="1"/>
    <cellStyle name="Lien hypertexte visité" xfId="24526" builtinId="9" hidden="1"/>
    <cellStyle name="Lien hypertexte visité" xfId="24188" builtinId="9" hidden="1"/>
    <cellStyle name="Lien hypertexte visité" xfId="23676" builtinId="9" hidden="1"/>
    <cellStyle name="Lien hypertexte visité" xfId="23164" builtinId="9" hidden="1"/>
    <cellStyle name="Lien hypertexte visité" xfId="22652" builtinId="9" hidden="1"/>
    <cellStyle name="Lien hypertexte visité" xfId="22140" builtinId="9" hidden="1"/>
    <cellStyle name="Lien hypertexte visité" xfId="21628" builtinId="9" hidden="1"/>
    <cellStyle name="Lien hypertexte visité" xfId="21116" builtinId="9" hidden="1"/>
    <cellStyle name="Lien hypertexte visité" xfId="20604" builtinId="9" hidden="1"/>
    <cellStyle name="Lien hypertexte visité" xfId="20092" builtinId="9" hidden="1"/>
    <cellStyle name="Lien hypertexte visité" xfId="19580" builtinId="9" hidden="1"/>
    <cellStyle name="Lien hypertexte visité" xfId="19068" builtinId="9" hidden="1"/>
    <cellStyle name="Lien hypertexte visité" xfId="18556" builtinId="9" hidden="1"/>
    <cellStyle name="Lien hypertexte visité" xfId="18061" builtinId="9" hidden="1"/>
    <cellStyle name="Lien hypertexte visité" xfId="17549" builtinId="9" hidden="1"/>
    <cellStyle name="Lien hypertexte visité" xfId="17037" builtinId="9" hidden="1"/>
    <cellStyle name="Lien hypertexte visité" xfId="16525" builtinId="9" hidden="1"/>
    <cellStyle name="Lien hypertexte visité" xfId="16013" builtinId="9" hidden="1"/>
    <cellStyle name="Lien hypertexte visité" xfId="15501" builtinId="9" hidden="1"/>
    <cellStyle name="Lien hypertexte visité" xfId="14989" builtinId="9" hidden="1"/>
    <cellStyle name="Lien hypertexte visité" xfId="14496" builtinId="9" hidden="1"/>
    <cellStyle name="Lien hypertexte visité" xfId="14240" builtinId="9" hidden="1"/>
    <cellStyle name="Lien hypertexte visité" xfId="13984" builtinId="9" hidden="1"/>
    <cellStyle name="Lien hypertexte visité" xfId="13728" builtinId="9" hidden="1"/>
    <cellStyle name="Lien hypertexte visité" xfId="13472" builtinId="9" hidden="1"/>
    <cellStyle name="Lien hypertexte visité" xfId="13216" builtinId="9" hidden="1"/>
    <cellStyle name="Lien hypertexte visité" xfId="12960" builtinId="9" hidden="1"/>
    <cellStyle name="Lien hypertexte visité" xfId="12704" builtinId="9" hidden="1"/>
    <cellStyle name="Lien hypertexte visité" xfId="12448" builtinId="9" hidden="1"/>
    <cellStyle name="Lien hypertexte visité" xfId="12192" builtinId="9" hidden="1"/>
    <cellStyle name="Lien hypertexte visité" xfId="11936" builtinId="9" hidden="1"/>
    <cellStyle name="Lien hypertexte visité" xfId="11680" builtinId="9" hidden="1"/>
    <cellStyle name="Lien hypertexte visité" xfId="11424" builtinId="9" hidden="1"/>
    <cellStyle name="Lien hypertexte visité" xfId="11168" builtinId="9" hidden="1"/>
    <cellStyle name="Lien hypertexte visité" xfId="10912" builtinId="9" hidden="1"/>
    <cellStyle name="Lien hypertexte visité" xfId="10656" builtinId="9" hidden="1"/>
    <cellStyle name="Lien hypertexte visité" xfId="10400" builtinId="9" hidden="1"/>
    <cellStyle name="Lien hypertexte visité" xfId="10144" builtinId="9" hidden="1"/>
    <cellStyle name="Lien hypertexte visité" xfId="9888" builtinId="9" hidden="1"/>
    <cellStyle name="Lien hypertexte visité" xfId="9632" builtinId="9" hidden="1"/>
    <cellStyle name="Lien hypertexte visité" xfId="9376" builtinId="9" hidden="1"/>
    <cellStyle name="Lien hypertexte visité" xfId="9120" builtinId="9" hidden="1"/>
    <cellStyle name="Lien hypertexte visité" xfId="8864" builtinId="9" hidden="1"/>
    <cellStyle name="Lien hypertexte visité" xfId="8936" builtinId="9" hidden="1"/>
    <cellStyle name="Lien hypertexte visité" xfId="9016" builtinId="9" hidden="1"/>
    <cellStyle name="Lien hypertexte visité" xfId="9104" builtinId="9" hidden="1"/>
    <cellStyle name="Lien hypertexte visité" xfId="9192" builtinId="9" hidden="1"/>
    <cellStyle name="Lien hypertexte visité" xfId="9272" builtinId="9" hidden="1"/>
    <cellStyle name="Lien hypertexte visité" xfId="9360" builtinId="9" hidden="1"/>
    <cellStyle name="Lien hypertexte visité" xfId="9448" builtinId="9" hidden="1"/>
    <cellStyle name="Lien hypertexte visité" xfId="9528" builtinId="9" hidden="1"/>
    <cellStyle name="Lien hypertexte visité" xfId="9616" builtinId="9" hidden="1"/>
    <cellStyle name="Lien hypertexte visité" xfId="9704" builtinId="9" hidden="1"/>
    <cellStyle name="Lien hypertexte visité" xfId="9784" builtinId="9" hidden="1"/>
    <cellStyle name="Lien hypertexte visité" xfId="9872" builtinId="9" hidden="1"/>
    <cellStyle name="Lien hypertexte visité" xfId="9960" builtinId="9" hidden="1"/>
    <cellStyle name="Lien hypertexte visité" xfId="10040" builtinId="9" hidden="1"/>
    <cellStyle name="Lien hypertexte visité" xfId="10128" builtinId="9" hidden="1"/>
    <cellStyle name="Lien hypertexte visité" xfId="10216" builtinId="9" hidden="1"/>
    <cellStyle name="Lien hypertexte visité" xfId="10296" builtinId="9" hidden="1"/>
    <cellStyle name="Lien hypertexte visité" xfId="10384" builtinId="9" hidden="1"/>
    <cellStyle name="Lien hypertexte visité" xfId="10472" builtinId="9" hidden="1"/>
    <cellStyle name="Lien hypertexte visité" xfId="10552" builtinId="9" hidden="1"/>
    <cellStyle name="Lien hypertexte visité" xfId="10640" builtinId="9" hidden="1"/>
    <cellStyle name="Lien hypertexte visité" xfId="10728" builtinId="9" hidden="1"/>
    <cellStyle name="Lien hypertexte visité" xfId="10808" builtinId="9" hidden="1"/>
    <cellStyle name="Lien hypertexte visité" xfId="10896" builtinId="9" hidden="1"/>
    <cellStyle name="Lien hypertexte visité" xfId="10984" builtinId="9" hidden="1"/>
    <cellStyle name="Lien hypertexte visité" xfId="11064" builtinId="9" hidden="1"/>
    <cellStyle name="Lien hypertexte visité" xfId="11152" builtinId="9" hidden="1"/>
    <cellStyle name="Lien hypertexte visité" xfId="11240" builtinId="9" hidden="1"/>
    <cellStyle name="Lien hypertexte visité" xfId="11320" builtinId="9" hidden="1"/>
    <cellStyle name="Lien hypertexte visité" xfId="11408" builtinId="9" hidden="1"/>
    <cellStyle name="Lien hypertexte visité" xfId="11496" builtinId="9" hidden="1"/>
    <cellStyle name="Lien hypertexte visité" xfId="11576" builtinId="9" hidden="1"/>
    <cellStyle name="Lien hypertexte visité" xfId="11664" builtinId="9" hidden="1"/>
    <cellStyle name="Lien hypertexte visité" xfId="11752" builtinId="9" hidden="1"/>
    <cellStyle name="Lien hypertexte visité" xfId="11832" builtinId="9" hidden="1"/>
    <cellStyle name="Lien hypertexte visité" xfId="11920" builtinId="9" hidden="1"/>
    <cellStyle name="Lien hypertexte visité" xfId="12008" builtinId="9" hidden="1"/>
    <cellStyle name="Lien hypertexte visité" xfId="12088" builtinId="9" hidden="1"/>
    <cellStyle name="Lien hypertexte visité" xfId="12176" builtinId="9" hidden="1"/>
    <cellStyle name="Lien hypertexte visité" xfId="12264" builtinId="9" hidden="1"/>
    <cellStyle name="Lien hypertexte visité" xfId="12344" builtinId="9" hidden="1"/>
    <cellStyle name="Lien hypertexte visité" xfId="12432" builtinId="9" hidden="1"/>
    <cellStyle name="Lien hypertexte visité" xfId="12520" builtinId="9" hidden="1"/>
    <cellStyle name="Lien hypertexte visité" xfId="12600" builtinId="9" hidden="1"/>
    <cellStyle name="Lien hypertexte visité" xfId="12688" builtinId="9" hidden="1"/>
    <cellStyle name="Lien hypertexte visité" xfId="12776" builtinId="9" hidden="1"/>
    <cellStyle name="Lien hypertexte visité" xfId="12856" builtinId="9" hidden="1"/>
    <cellStyle name="Lien hypertexte visité" xfId="12944" builtinId="9" hidden="1"/>
    <cellStyle name="Lien hypertexte visité" xfId="13032" builtinId="9" hidden="1"/>
    <cellStyle name="Lien hypertexte visité" xfId="13112" builtinId="9" hidden="1"/>
    <cellStyle name="Lien hypertexte visité" xfId="13200" builtinId="9" hidden="1"/>
    <cellStyle name="Lien hypertexte visité" xfId="13288" builtinId="9" hidden="1"/>
    <cellStyle name="Lien hypertexte visité" xfId="13368" builtinId="9" hidden="1"/>
    <cellStyle name="Lien hypertexte visité" xfId="13456" builtinId="9" hidden="1"/>
    <cellStyle name="Lien hypertexte visité" xfId="13544" builtinId="9" hidden="1"/>
    <cellStyle name="Lien hypertexte visité" xfId="13624" builtinId="9" hidden="1"/>
    <cellStyle name="Lien hypertexte visité" xfId="13712" builtinId="9" hidden="1"/>
    <cellStyle name="Lien hypertexte visité" xfId="13800" builtinId="9" hidden="1"/>
    <cellStyle name="Lien hypertexte visité" xfId="13880" builtinId="9" hidden="1"/>
    <cellStyle name="Lien hypertexte visité" xfId="13968" builtinId="9" hidden="1"/>
    <cellStyle name="Lien hypertexte visité" xfId="14056" builtinId="9" hidden="1"/>
    <cellStyle name="Lien hypertexte visité" xfId="14136" builtinId="9" hidden="1"/>
    <cellStyle name="Lien hypertexte visité" xfId="14224" builtinId="9" hidden="1"/>
    <cellStyle name="Lien hypertexte visité" xfId="14312" builtinId="9" hidden="1"/>
    <cellStyle name="Lien hypertexte visité" xfId="14392" builtinId="9" hidden="1"/>
    <cellStyle name="Lien hypertexte visité" xfId="14480" builtinId="9" hidden="1"/>
    <cellStyle name="Lien hypertexte visité" xfId="14621" builtinId="9" hidden="1"/>
    <cellStyle name="Lien hypertexte visité" xfId="14781" builtinId="9" hidden="1"/>
    <cellStyle name="Lien hypertexte visité" xfId="14957" builtinId="9" hidden="1"/>
    <cellStyle name="Lien hypertexte visité" xfId="15133" builtinId="9" hidden="1"/>
    <cellStyle name="Lien hypertexte visité" xfId="15293" builtinId="9" hidden="1"/>
    <cellStyle name="Lien hypertexte visité" xfId="15469" builtinId="9" hidden="1"/>
    <cellStyle name="Lien hypertexte visité" xfId="15645" builtinId="9" hidden="1"/>
    <cellStyle name="Lien hypertexte visité" xfId="15805" builtinId="9" hidden="1"/>
    <cellStyle name="Lien hypertexte visité" xfId="15981" builtinId="9" hidden="1"/>
    <cellStyle name="Lien hypertexte visité" xfId="16157" builtinId="9" hidden="1"/>
    <cellStyle name="Lien hypertexte visité" xfId="16317" builtinId="9" hidden="1"/>
    <cellStyle name="Lien hypertexte visité" xfId="16493" builtinId="9" hidden="1"/>
    <cellStyle name="Lien hypertexte visité" xfId="16669" builtinId="9" hidden="1"/>
    <cellStyle name="Lien hypertexte visité" xfId="16829" builtinId="9" hidden="1"/>
    <cellStyle name="Lien hypertexte visité" xfId="17005" builtinId="9" hidden="1"/>
    <cellStyle name="Lien hypertexte visité" xfId="17181" builtinId="9" hidden="1"/>
    <cellStyle name="Lien hypertexte visité" xfId="17341" builtinId="9" hidden="1"/>
    <cellStyle name="Lien hypertexte visité" xfId="17517" builtinId="9" hidden="1"/>
    <cellStyle name="Lien hypertexte visité" xfId="17693" builtinId="9" hidden="1"/>
    <cellStyle name="Lien hypertexte visité" xfId="17853" builtinId="9" hidden="1"/>
    <cellStyle name="Lien hypertexte visité" xfId="18029" builtinId="9" hidden="1"/>
    <cellStyle name="Lien hypertexte visité" xfId="18205" builtinId="9" hidden="1"/>
    <cellStyle name="Lien hypertexte visité" xfId="18348" builtinId="9" hidden="1"/>
    <cellStyle name="Lien hypertexte visité" xfId="18524" builtinId="9" hidden="1"/>
    <cellStyle name="Lien hypertexte visité" xfId="18700" builtinId="9" hidden="1"/>
    <cellStyle name="Lien hypertexte visité" xfId="18860" builtinId="9" hidden="1"/>
    <cellStyle name="Lien hypertexte visité" xfId="19036" builtinId="9" hidden="1"/>
    <cellStyle name="Lien hypertexte visité" xfId="19212" builtinId="9" hidden="1"/>
    <cellStyle name="Lien hypertexte visité" xfId="19372" builtinId="9" hidden="1"/>
    <cellStyle name="Lien hypertexte visité" xfId="19548" builtinId="9" hidden="1"/>
    <cellStyle name="Lien hypertexte visité" xfId="19724" builtinId="9" hidden="1"/>
    <cellStyle name="Lien hypertexte visité" xfId="19884" builtinId="9" hidden="1"/>
    <cellStyle name="Lien hypertexte visité" xfId="20060" builtinId="9" hidden="1"/>
    <cellStyle name="Lien hypertexte visité" xfId="20236" builtinId="9" hidden="1"/>
    <cellStyle name="Lien hypertexte visité" xfId="20396" builtinId="9" hidden="1"/>
    <cellStyle name="Lien hypertexte visité" xfId="20572" builtinId="9" hidden="1"/>
    <cellStyle name="Lien hypertexte visité" xfId="20748" builtinId="9" hidden="1"/>
    <cellStyle name="Lien hypertexte visité" xfId="20908" builtinId="9" hidden="1"/>
    <cellStyle name="Lien hypertexte visité" xfId="21084" builtinId="9" hidden="1"/>
    <cellStyle name="Lien hypertexte visité" xfId="21260" builtinId="9" hidden="1"/>
    <cellStyle name="Lien hypertexte visité" xfId="21420" builtinId="9" hidden="1"/>
    <cellStyle name="Lien hypertexte visité" xfId="21596" builtinId="9" hidden="1"/>
    <cellStyle name="Lien hypertexte visité" xfId="21772" builtinId="9" hidden="1"/>
    <cellStyle name="Lien hypertexte visité" xfId="21932" builtinId="9" hidden="1"/>
    <cellStyle name="Lien hypertexte visité" xfId="22108" builtinId="9" hidden="1"/>
    <cellStyle name="Lien hypertexte visité" xfId="22284" builtinId="9" hidden="1"/>
    <cellStyle name="Lien hypertexte visité" xfId="22444" builtinId="9" hidden="1"/>
    <cellStyle name="Lien hypertexte visité" xfId="22620" builtinId="9" hidden="1"/>
    <cellStyle name="Lien hypertexte visité" xfId="22796" builtinId="9" hidden="1"/>
    <cellStyle name="Lien hypertexte visité" xfId="22956" builtinId="9" hidden="1"/>
    <cellStyle name="Lien hypertexte visité" xfId="23132" builtinId="9" hidden="1"/>
    <cellStyle name="Lien hypertexte visité" xfId="23308" builtinId="9" hidden="1"/>
    <cellStyle name="Lien hypertexte visité" xfId="23468" builtinId="9" hidden="1"/>
    <cellStyle name="Lien hypertexte visité" xfId="23644" builtinId="9" hidden="1"/>
    <cellStyle name="Lien hypertexte visité" xfId="23820" builtinId="9" hidden="1"/>
    <cellStyle name="Lien hypertexte visité" xfId="23980" builtinId="9" hidden="1"/>
    <cellStyle name="Lien hypertexte visité" xfId="24156" builtinId="9" hidden="1"/>
    <cellStyle name="Lien hypertexte visité" xfId="24332" builtinId="9" hidden="1"/>
    <cellStyle name="Lien hypertexte visité" xfId="24492" builtinId="9" hidden="1"/>
    <cellStyle name="Lien hypertexte visité" xfId="24558" builtinId="9" hidden="1"/>
    <cellStyle name="Lien hypertexte visité" xfId="24382" builtinId="9" hidden="1"/>
    <cellStyle name="Lien hypertexte visité" xfId="24222" builtinId="9" hidden="1"/>
    <cellStyle name="Lien hypertexte visité" xfId="24046" builtinId="9" hidden="1"/>
    <cellStyle name="Lien hypertexte visité" xfId="23870" builtinId="9" hidden="1"/>
    <cellStyle name="Lien hypertexte visité" xfId="23710" builtinId="9" hidden="1"/>
    <cellStyle name="Lien hypertexte visité" xfId="23534" builtinId="9" hidden="1"/>
    <cellStyle name="Lien hypertexte visité" xfId="23358" builtinId="9" hidden="1"/>
    <cellStyle name="Lien hypertexte visité" xfId="23198" builtinId="9" hidden="1"/>
    <cellStyle name="Lien hypertexte visité" xfId="23022" builtinId="9" hidden="1"/>
    <cellStyle name="Lien hypertexte visité" xfId="22846" builtinId="9" hidden="1"/>
    <cellStyle name="Lien hypertexte visité" xfId="22686" builtinId="9" hidden="1"/>
    <cellStyle name="Lien hypertexte visité" xfId="22510" builtinId="9" hidden="1"/>
    <cellStyle name="Lien hypertexte visité" xfId="22334" builtinId="9" hidden="1"/>
    <cellStyle name="Lien hypertexte visité" xfId="22174" builtinId="9" hidden="1"/>
    <cellStyle name="Lien hypertexte visité" xfId="21998" builtinId="9" hidden="1"/>
    <cellStyle name="Lien hypertexte visité" xfId="21822" builtinId="9" hidden="1"/>
    <cellStyle name="Lien hypertexte visité" xfId="21662" builtinId="9" hidden="1"/>
    <cellStyle name="Lien hypertexte visité" xfId="21486" builtinId="9" hidden="1"/>
    <cellStyle name="Lien hypertexte visité" xfId="21310" builtinId="9" hidden="1"/>
    <cellStyle name="Lien hypertexte visité" xfId="21150" builtinId="9" hidden="1"/>
    <cellStyle name="Lien hypertexte visité" xfId="20974" builtinId="9" hidden="1"/>
    <cellStyle name="Lien hypertexte visité" xfId="20798" builtinId="9" hidden="1"/>
    <cellStyle name="Lien hypertexte visité" xfId="20638" builtinId="9" hidden="1"/>
    <cellStyle name="Lien hypertexte visité" xfId="20462" builtinId="9" hidden="1"/>
    <cellStyle name="Lien hypertexte visité" xfId="20286" builtinId="9" hidden="1"/>
    <cellStyle name="Lien hypertexte visité" xfId="20126" builtinId="9" hidden="1"/>
    <cellStyle name="Lien hypertexte visité" xfId="19950" builtinId="9" hidden="1"/>
    <cellStyle name="Lien hypertexte visité" xfId="19774" builtinId="9" hidden="1"/>
    <cellStyle name="Lien hypertexte visité" xfId="19614" builtinId="9" hidden="1"/>
    <cellStyle name="Lien hypertexte visité" xfId="19438" builtinId="9" hidden="1"/>
    <cellStyle name="Lien hypertexte visité" xfId="19262" builtinId="9" hidden="1"/>
    <cellStyle name="Lien hypertexte visité" xfId="19102" builtinId="9" hidden="1"/>
    <cellStyle name="Lien hypertexte visité" xfId="18926" builtinId="9" hidden="1"/>
    <cellStyle name="Lien hypertexte visité" xfId="18750" builtinId="9" hidden="1"/>
    <cellStyle name="Lien hypertexte visité" xfId="18590" builtinId="9" hidden="1"/>
    <cellStyle name="Lien hypertexte visité" xfId="18414" builtinId="9" hidden="1"/>
    <cellStyle name="Lien hypertexte visité" xfId="18255" builtinId="9" hidden="1"/>
    <cellStyle name="Lien hypertexte visité" xfId="18095" builtinId="9" hidden="1"/>
    <cellStyle name="Lien hypertexte visité" xfId="17919" builtinId="9" hidden="1"/>
    <cellStyle name="Lien hypertexte visité" xfId="17743" builtinId="9" hidden="1"/>
    <cellStyle name="Lien hypertexte visité" xfId="17583" builtinId="9" hidden="1"/>
    <cellStyle name="Lien hypertexte visité" xfId="17407" builtinId="9" hidden="1"/>
    <cellStyle name="Lien hypertexte visité" xfId="17231" builtinId="9" hidden="1"/>
    <cellStyle name="Lien hypertexte visité" xfId="17071" builtinId="9" hidden="1"/>
    <cellStyle name="Lien hypertexte visité" xfId="16895" builtinId="9" hidden="1"/>
    <cellStyle name="Lien hypertexte visité" xfId="16719" builtinId="9" hidden="1"/>
    <cellStyle name="Lien hypertexte visité" xfId="16559" builtinId="9" hidden="1"/>
    <cellStyle name="Lien hypertexte visité" xfId="16383" builtinId="9" hidden="1"/>
    <cellStyle name="Lien hypertexte visité" xfId="16207" builtinId="9" hidden="1"/>
    <cellStyle name="Lien hypertexte visité" xfId="16047" builtinId="9" hidden="1"/>
    <cellStyle name="Lien hypertexte visité" xfId="15871" builtinId="9" hidden="1"/>
    <cellStyle name="Lien hypertexte visité" xfId="15695" builtinId="9" hidden="1"/>
    <cellStyle name="Lien hypertexte visité" xfId="15535" builtinId="9" hidden="1"/>
    <cellStyle name="Lien hypertexte visité" xfId="15359" builtinId="9" hidden="1"/>
    <cellStyle name="Lien hypertexte visité" xfId="15183" builtinId="9" hidden="1"/>
    <cellStyle name="Lien hypertexte visité" xfId="15023" builtinId="9" hidden="1"/>
    <cellStyle name="Lien hypertexte visité" xfId="14847" builtinId="9" hidden="1"/>
    <cellStyle name="Lien hypertexte visité" xfId="14671" builtinId="9" hidden="1"/>
    <cellStyle name="Lien hypertexte visité" xfId="14513" builtinId="9" hidden="1"/>
    <cellStyle name="Lien hypertexte visité" xfId="14425" builtinId="9" hidden="1"/>
    <cellStyle name="Lien hypertexte visité" xfId="14337" builtinId="9" hidden="1"/>
    <cellStyle name="Lien hypertexte visité" xfId="14257" builtinId="9" hidden="1"/>
    <cellStyle name="Lien hypertexte visité" xfId="14169" builtinId="9" hidden="1"/>
    <cellStyle name="Lien hypertexte visité" xfId="14081" builtinId="9" hidden="1"/>
    <cellStyle name="Lien hypertexte visité" xfId="14001" builtinId="9" hidden="1"/>
    <cellStyle name="Lien hypertexte visité" xfId="13913" builtinId="9" hidden="1"/>
    <cellStyle name="Lien hypertexte visité" xfId="13825" builtinId="9" hidden="1"/>
    <cellStyle name="Lien hypertexte visité" xfId="13745" builtinId="9" hidden="1"/>
    <cellStyle name="Lien hypertexte visité" xfId="13657" builtinId="9" hidden="1"/>
    <cellStyle name="Lien hypertexte visité" xfId="13569" builtinId="9" hidden="1"/>
    <cellStyle name="Lien hypertexte visité" xfId="13489" builtinId="9" hidden="1"/>
    <cellStyle name="Lien hypertexte visité" xfId="13401" builtinId="9" hidden="1"/>
    <cellStyle name="Lien hypertexte visité" xfId="13313" builtinId="9" hidden="1"/>
    <cellStyle name="Lien hypertexte visité" xfId="13233" builtinId="9" hidden="1"/>
    <cellStyle name="Lien hypertexte visité" xfId="13145" builtinId="9" hidden="1"/>
    <cellStyle name="Lien hypertexte visité" xfId="13057" builtinId="9" hidden="1"/>
    <cellStyle name="Lien hypertexte visité" xfId="12977" builtinId="9" hidden="1"/>
    <cellStyle name="Lien hypertexte visité" xfId="12889" builtinId="9" hidden="1"/>
    <cellStyle name="Lien hypertexte visité" xfId="12801" builtinId="9" hidden="1"/>
    <cellStyle name="Lien hypertexte visité" xfId="12721" builtinId="9" hidden="1"/>
    <cellStyle name="Lien hypertexte visité" xfId="12633" builtinId="9" hidden="1"/>
    <cellStyle name="Lien hypertexte visité" xfId="12545" builtinId="9" hidden="1"/>
    <cellStyle name="Lien hypertexte visité" xfId="12465" builtinId="9" hidden="1"/>
    <cellStyle name="Lien hypertexte visité" xfId="12377" builtinId="9" hidden="1"/>
    <cellStyle name="Lien hypertexte visité" xfId="12289" builtinId="9" hidden="1"/>
    <cellStyle name="Lien hypertexte visité" xfId="12209" builtinId="9" hidden="1"/>
    <cellStyle name="Lien hypertexte visité" xfId="12121" builtinId="9" hidden="1"/>
    <cellStyle name="Lien hypertexte visité" xfId="12033" builtinId="9" hidden="1"/>
    <cellStyle name="Lien hypertexte visité" xfId="11953" builtinId="9" hidden="1"/>
    <cellStyle name="Lien hypertexte visité" xfId="11865" builtinId="9" hidden="1"/>
    <cellStyle name="Lien hypertexte visité" xfId="11777" builtinId="9" hidden="1"/>
    <cellStyle name="Lien hypertexte visité" xfId="11697" builtinId="9" hidden="1"/>
    <cellStyle name="Lien hypertexte visité" xfId="11609" builtinId="9" hidden="1"/>
    <cellStyle name="Lien hypertexte visité" xfId="11521" builtinId="9" hidden="1"/>
    <cellStyle name="Lien hypertexte visité" xfId="11441" builtinId="9" hidden="1"/>
    <cellStyle name="Lien hypertexte visité" xfId="11353" builtinId="9" hidden="1"/>
    <cellStyle name="Lien hypertexte visité" xfId="11265" builtinId="9" hidden="1"/>
    <cellStyle name="Lien hypertexte visité" xfId="11185" builtinId="9" hidden="1"/>
    <cellStyle name="Lien hypertexte visité" xfId="11097" builtinId="9" hidden="1"/>
    <cellStyle name="Lien hypertexte visité" xfId="11009" builtinId="9" hidden="1"/>
    <cellStyle name="Lien hypertexte visité" xfId="10929" builtinId="9" hidden="1"/>
    <cellStyle name="Lien hypertexte visité" xfId="10841" builtinId="9" hidden="1"/>
    <cellStyle name="Lien hypertexte visité" xfId="10753" builtinId="9" hidden="1"/>
    <cellStyle name="Lien hypertexte visité" xfId="10673" builtinId="9" hidden="1"/>
    <cellStyle name="Lien hypertexte visité" xfId="10585" builtinId="9" hidden="1"/>
    <cellStyle name="Lien hypertexte visité" xfId="10497" builtinId="9" hidden="1"/>
    <cellStyle name="Lien hypertexte visité" xfId="10417" builtinId="9" hidden="1"/>
    <cellStyle name="Lien hypertexte visité" xfId="10329" builtinId="9" hidden="1"/>
    <cellStyle name="Lien hypertexte visité" xfId="10241" builtinId="9" hidden="1"/>
    <cellStyle name="Lien hypertexte visité" xfId="10161" builtinId="9" hidden="1"/>
    <cellStyle name="Lien hypertexte visité" xfId="10073" builtinId="9" hidden="1"/>
    <cellStyle name="Lien hypertexte visité" xfId="9985" builtinId="9" hidden="1"/>
    <cellStyle name="Lien hypertexte visité" xfId="9905" builtinId="9" hidden="1"/>
    <cellStyle name="Lien hypertexte visité" xfId="9817" builtinId="9" hidden="1"/>
    <cellStyle name="Lien hypertexte visité" xfId="9729" builtinId="9" hidden="1"/>
    <cellStyle name="Lien hypertexte visité" xfId="9649" builtinId="9" hidden="1"/>
    <cellStyle name="Lien hypertexte visité" xfId="9561" builtinId="9" hidden="1"/>
    <cellStyle name="Lien hypertexte visité" xfId="9473" builtinId="9" hidden="1"/>
    <cellStyle name="Lien hypertexte visité" xfId="9393" builtinId="9" hidden="1"/>
    <cellStyle name="Lien hypertexte visité" xfId="9305" builtinId="9" hidden="1"/>
    <cellStyle name="Lien hypertexte visité" xfId="9217" builtinId="9" hidden="1"/>
    <cellStyle name="Lien hypertexte visité" xfId="9137" builtinId="9" hidden="1"/>
    <cellStyle name="Lien hypertexte visité" xfId="9049" builtinId="9" hidden="1"/>
    <cellStyle name="Lien hypertexte visité" xfId="8961" builtinId="9" hidden="1"/>
    <cellStyle name="Lien hypertexte visité" xfId="8881" builtinId="9" hidden="1"/>
    <cellStyle name="Lien hypertexte visité" xfId="8793" builtinId="9" hidden="1"/>
    <cellStyle name="Lien hypertexte visité" xfId="8705" builtinId="9" hidden="1"/>
    <cellStyle name="Lien hypertexte visité" xfId="8625" builtinId="9" hidden="1"/>
    <cellStyle name="Lien hypertexte visité" xfId="8537" builtinId="9" hidden="1"/>
    <cellStyle name="Lien hypertexte visité" xfId="8449" builtinId="9" hidden="1"/>
    <cellStyle name="Lien hypertexte visité" xfId="8369" builtinId="9" hidden="1"/>
    <cellStyle name="Lien hypertexte visité" xfId="8281" builtinId="9" hidden="1"/>
    <cellStyle name="Lien hypertexte visité" xfId="8193" builtinId="9" hidden="1"/>
    <cellStyle name="Lien hypertexte visité" xfId="8113" builtinId="9" hidden="1"/>
    <cellStyle name="Lien hypertexte visité" xfId="8025" builtinId="9" hidden="1"/>
    <cellStyle name="Lien hypertexte visité" xfId="7937" builtinId="9" hidden="1"/>
    <cellStyle name="Lien hypertexte visité" xfId="7857" builtinId="9" hidden="1"/>
    <cellStyle name="Lien hypertexte visité" xfId="7768" builtinId="9" hidden="1"/>
    <cellStyle name="Lien hypertexte visité" xfId="7680" builtinId="9" hidden="1"/>
    <cellStyle name="Lien hypertexte visité" xfId="7600" builtinId="9" hidden="1"/>
    <cellStyle name="Lien hypertexte visité" xfId="7512" builtinId="9" hidden="1"/>
    <cellStyle name="Lien hypertexte visité" xfId="7424" builtinId="9" hidden="1"/>
    <cellStyle name="Lien hypertexte visité" xfId="7344" builtinId="9" hidden="1"/>
    <cellStyle name="Lien hypertexte visité" xfId="7256" builtinId="9" hidden="1"/>
    <cellStyle name="Lien hypertexte visité" xfId="7168" builtinId="9" hidden="1"/>
    <cellStyle name="Lien hypertexte visité" xfId="7088" builtinId="9" hidden="1"/>
    <cellStyle name="Lien hypertexte visité" xfId="7000" builtinId="9" hidden="1"/>
    <cellStyle name="Lien hypertexte visité" xfId="6912" builtinId="9" hidden="1"/>
    <cellStyle name="Lien hypertexte visité" xfId="6832" builtinId="9" hidden="1"/>
    <cellStyle name="Lien hypertexte visité" xfId="6744" builtinId="9" hidden="1"/>
    <cellStyle name="Lien hypertexte visité" xfId="6656" builtinId="9" hidden="1"/>
    <cellStyle name="Lien hypertexte visité" xfId="6576" builtinId="9" hidden="1"/>
    <cellStyle name="Lien hypertexte visité" xfId="6488" builtinId="9" hidden="1"/>
    <cellStyle name="Lien hypertexte visité" xfId="6400" builtinId="9" hidden="1"/>
    <cellStyle name="Lien hypertexte visité" xfId="6320" builtinId="9" hidden="1"/>
    <cellStyle name="Lien hypertexte visité" xfId="6232" builtinId="9" hidden="1"/>
    <cellStyle name="Lien hypertexte visité" xfId="6144" builtinId="9" hidden="1"/>
    <cellStyle name="Lien hypertexte visité" xfId="6064" builtinId="9" hidden="1"/>
    <cellStyle name="Lien hypertexte visité" xfId="5976" builtinId="9" hidden="1"/>
    <cellStyle name="Lien hypertexte visité" xfId="5888" builtinId="9" hidden="1"/>
    <cellStyle name="Lien hypertexte visité" xfId="5808" builtinId="9" hidden="1"/>
    <cellStyle name="Lien hypertexte visité" xfId="5720" builtinId="9" hidden="1"/>
    <cellStyle name="Lien hypertexte visité" xfId="5632" builtinId="9" hidden="1"/>
    <cellStyle name="Lien hypertexte visité" xfId="5552" builtinId="9" hidden="1"/>
    <cellStyle name="Lien hypertexte visité" xfId="5464" builtinId="9" hidden="1"/>
    <cellStyle name="Lien hypertexte visité" xfId="5376" builtinId="9" hidden="1"/>
    <cellStyle name="Lien hypertexte visité" xfId="5296" builtinId="9" hidden="1"/>
    <cellStyle name="Lien hypertexte visité" xfId="5208" builtinId="9" hidden="1"/>
    <cellStyle name="Lien hypertexte visité" xfId="5120" builtinId="9" hidden="1"/>
    <cellStyle name="Lien hypertexte visité" xfId="5040" builtinId="9" hidden="1"/>
    <cellStyle name="Lien hypertexte visité" xfId="4952" builtinId="9" hidden="1"/>
    <cellStyle name="Lien hypertexte visité" xfId="4864" builtinId="9" hidden="1"/>
    <cellStyle name="Lien hypertexte visité" xfId="4784" builtinId="9" hidden="1"/>
    <cellStyle name="Lien hypertexte visité" xfId="4696" builtinId="9" hidden="1"/>
    <cellStyle name="Lien hypertexte visité" xfId="4608" builtinId="9" hidden="1"/>
    <cellStyle name="Lien hypertexte visité" xfId="4528" builtinId="9" hidden="1"/>
    <cellStyle name="Lien hypertexte visité" xfId="4440" builtinId="9" hidden="1"/>
    <cellStyle name="Lien hypertexte visité" xfId="4352" builtinId="9" hidden="1"/>
    <cellStyle name="Lien hypertexte visité" xfId="4272" builtinId="9" hidden="1"/>
    <cellStyle name="Lien hypertexte visité" xfId="4184" builtinId="9" hidden="1"/>
    <cellStyle name="Lien hypertexte visité" xfId="4096" builtinId="9" hidden="1"/>
    <cellStyle name="Lien hypertexte visité" xfId="4016" builtinId="9" hidden="1"/>
    <cellStyle name="Lien hypertexte visité" xfId="3928" builtinId="9" hidden="1"/>
    <cellStyle name="Lien hypertexte visité" xfId="3843" builtinId="9" hidden="1"/>
    <cellStyle name="Lien hypertexte visité" xfId="3763" builtinId="9" hidden="1"/>
    <cellStyle name="Lien hypertexte visité" xfId="3672" builtinId="9" hidden="1"/>
    <cellStyle name="Lien hypertexte visité" xfId="3579" builtinId="9" hidden="1"/>
    <cellStyle name="Lien hypertexte visité" xfId="3498" builtinId="9" hidden="1"/>
    <cellStyle name="Lien hypertexte visité" xfId="3410" builtinId="9" hidden="1"/>
    <cellStyle name="Lien hypertexte visité" xfId="3322" builtinId="9" hidden="1"/>
    <cellStyle name="Lien hypertexte visité" xfId="3242" builtinId="9" hidden="1"/>
    <cellStyle name="Lien hypertexte visité" xfId="3154" builtinId="9" hidden="1"/>
    <cellStyle name="Lien hypertexte visité" xfId="3066" builtinId="9" hidden="1"/>
    <cellStyle name="Lien hypertexte visité" xfId="2986" builtinId="9" hidden="1"/>
    <cellStyle name="Lien hypertexte visité" xfId="2898" builtinId="9" hidden="1"/>
    <cellStyle name="Lien hypertexte visité" xfId="2810" builtinId="9" hidden="1"/>
    <cellStyle name="Lien hypertexte visité" xfId="2730" builtinId="9" hidden="1"/>
    <cellStyle name="Lien hypertexte visité" xfId="2642" builtinId="9" hidden="1"/>
    <cellStyle name="Lien hypertexte visité" xfId="2554" builtinId="9" hidden="1"/>
    <cellStyle name="Lien hypertexte visité" xfId="2474" builtinId="9" hidden="1"/>
    <cellStyle name="Lien hypertexte visité" xfId="2386" builtinId="9" hidden="1"/>
    <cellStyle name="Lien hypertexte visité" xfId="2298" builtinId="9" hidden="1"/>
    <cellStyle name="Lien hypertexte visité" xfId="2218" builtinId="9" hidden="1"/>
    <cellStyle name="Lien hypertexte visité" xfId="2130" builtinId="9" hidden="1"/>
    <cellStyle name="Lien hypertexte visité" xfId="2042" builtinId="9" hidden="1"/>
    <cellStyle name="Lien hypertexte visité" xfId="1962" builtinId="9" hidden="1"/>
    <cellStyle name="Lien hypertexte visité" xfId="1874" builtinId="9" hidden="1"/>
    <cellStyle name="Lien hypertexte visité" xfId="1786" builtinId="9" hidden="1"/>
    <cellStyle name="Lien hypertexte visité" xfId="1706" builtinId="9" hidden="1"/>
    <cellStyle name="Lien hypertexte visité" xfId="1618" builtinId="9" hidden="1"/>
    <cellStyle name="Lien hypertexte visité" xfId="1530" builtinId="9" hidden="1"/>
    <cellStyle name="Lien hypertexte visité" xfId="1449" builtinId="9" hidden="1"/>
    <cellStyle name="Lien hypertexte visité" xfId="1361" builtinId="9" hidden="1"/>
    <cellStyle name="Lien hypertexte visité" xfId="1273" builtinId="9" hidden="1"/>
    <cellStyle name="Lien hypertexte visité" xfId="1193" builtinId="9" hidden="1"/>
    <cellStyle name="Lien hypertexte visité" xfId="1047" builtinId="9" hidden="1"/>
    <cellStyle name="Lien hypertexte visité" xfId="871" builtinId="9" hidden="1"/>
    <cellStyle name="Lien hypertexte visité" xfId="711" builtinId="9" hidden="1"/>
    <cellStyle name="Lien hypertexte visité" xfId="535" builtinId="9" hidden="1"/>
    <cellStyle name="Lien hypertexte visité" xfId="359" builtinId="9" hidden="1"/>
    <cellStyle name="Lien hypertexte visité" xfId="199" builtinId="9" hidden="1"/>
    <cellStyle name="Lien hypertexte visité" xfId="59" builtinId="9" hidden="1"/>
    <cellStyle name="Lien hypertexte visité" xfId="123" builtinId="9" hidden="1"/>
    <cellStyle name="Lien hypertexte visité" xfId="283" builtinId="9" hidden="1"/>
    <cellStyle name="Lien hypertexte visité" xfId="459" builtinId="9" hidden="1"/>
    <cellStyle name="Lien hypertexte visité" xfId="8848" builtinId="9" hidden="1"/>
    <cellStyle name="Lien hypertexte visité" xfId="8720" builtinId="9" hidden="1"/>
    <cellStyle name="Lien hypertexte visité" xfId="8592" builtinId="9" hidden="1"/>
    <cellStyle name="Lien hypertexte visité" xfId="8464" builtinId="9" hidden="1"/>
    <cellStyle name="Lien hypertexte visité" xfId="8336" builtinId="9" hidden="1"/>
    <cellStyle name="Lien hypertexte visité" xfId="8208" builtinId="9" hidden="1"/>
    <cellStyle name="Lien hypertexte visité" xfId="8080" builtinId="9" hidden="1"/>
    <cellStyle name="Lien hypertexte visité" xfId="7952" builtinId="9" hidden="1"/>
    <cellStyle name="Lien hypertexte visité" xfId="7824" builtinId="9" hidden="1"/>
    <cellStyle name="Lien hypertexte visité" xfId="7695" builtinId="9" hidden="1"/>
    <cellStyle name="Lien hypertexte visité" xfId="7567" builtinId="9" hidden="1"/>
    <cellStyle name="Lien hypertexte visité" xfId="7439" builtinId="9" hidden="1"/>
    <cellStyle name="Lien hypertexte visité" xfId="7311" builtinId="9" hidden="1"/>
    <cellStyle name="Lien hypertexte visité" xfId="7183" builtinId="9" hidden="1"/>
    <cellStyle name="Lien hypertexte visité" xfId="7055" builtinId="9" hidden="1"/>
    <cellStyle name="Lien hypertexte visité" xfId="6927" builtinId="9" hidden="1"/>
    <cellStyle name="Lien hypertexte visité" xfId="6799" builtinId="9" hidden="1"/>
    <cellStyle name="Lien hypertexte visité" xfId="6671" builtinId="9" hidden="1"/>
    <cellStyle name="Lien hypertexte visité" xfId="6543" builtinId="9" hidden="1"/>
    <cellStyle name="Lien hypertexte visité" xfId="6415" builtinId="9" hidden="1"/>
    <cellStyle name="Lien hypertexte visité" xfId="6287" builtinId="9" hidden="1"/>
    <cellStyle name="Lien hypertexte visité" xfId="6159" builtinId="9" hidden="1"/>
    <cellStyle name="Lien hypertexte visité" xfId="6031" builtinId="9" hidden="1"/>
    <cellStyle name="Lien hypertexte visité" xfId="5903" builtinId="9" hidden="1"/>
    <cellStyle name="Lien hypertexte visité" xfId="5775" builtinId="9" hidden="1"/>
    <cellStyle name="Lien hypertexte visité" xfId="5647" builtinId="9" hidden="1"/>
    <cellStyle name="Lien hypertexte visité" xfId="5519" builtinId="9" hidden="1"/>
    <cellStyle name="Lien hypertexte visité" xfId="5391" builtinId="9" hidden="1"/>
    <cellStyle name="Lien hypertexte visité" xfId="5263" builtinId="9" hidden="1"/>
    <cellStyle name="Lien hypertexte visité" xfId="5135" builtinId="9" hidden="1"/>
    <cellStyle name="Lien hypertexte visité" xfId="5007" builtinId="9" hidden="1"/>
    <cellStyle name="Lien hypertexte visité" xfId="4879" builtinId="9" hidden="1"/>
    <cellStyle name="Lien hypertexte visité" xfId="4751" builtinId="9" hidden="1"/>
    <cellStyle name="Lien hypertexte visité" xfId="4623" builtinId="9" hidden="1"/>
    <cellStyle name="Lien hypertexte visité" xfId="4495" builtinId="9" hidden="1"/>
    <cellStyle name="Lien hypertexte visité" xfId="4367" builtinId="9" hidden="1"/>
    <cellStyle name="Lien hypertexte visité" xfId="4239" builtinId="9" hidden="1"/>
    <cellStyle name="Lien hypertexte visité" xfId="4111" builtinId="9" hidden="1"/>
    <cellStyle name="Lien hypertexte visité" xfId="3983" builtinId="9" hidden="1"/>
    <cellStyle name="Lien hypertexte visité" xfId="3858" builtinId="9" hidden="1"/>
    <cellStyle name="Lien hypertexte visité" xfId="3730" builtinId="9" hidden="1"/>
    <cellStyle name="Lien hypertexte visité" xfId="3594" builtinId="9" hidden="1"/>
    <cellStyle name="Lien hypertexte visité" xfId="3465" builtinId="9" hidden="1"/>
    <cellStyle name="Lien hypertexte visité" xfId="3337" builtinId="9" hidden="1"/>
    <cellStyle name="Lien hypertexte visité" xfId="3209" builtinId="9" hidden="1"/>
    <cellStyle name="Lien hypertexte visité" xfId="3081" builtinId="9" hidden="1"/>
    <cellStyle name="Lien hypertexte visité" xfId="2953" builtinId="9" hidden="1"/>
    <cellStyle name="Lien hypertexte visité" xfId="2825" builtinId="9" hidden="1"/>
    <cellStyle name="Lien hypertexte visité" xfId="2697" builtinId="9" hidden="1"/>
    <cellStyle name="Lien hypertexte visité" xfId="2569" builtinId="9" hidden="1"/>
    <cellStyle name="Lien hypertexte visité" xfId="2441" builtinId="9" hidden="1"/>
    <cellStyle name="Lien hypertexte visité" xfId="2313" builtinId="9" hidden="1"/>
    <cellStyle name="Lien hypertexte visité" xfId="2185" builtinId="9" hidden="1"/>
    <cellStyle name="Lien hypertexte visité" xfId="2057" builtinId="9" hidden="1"/>
    <cellStyle name="Lien hypertexte visité" xfId="1929" builtinId="9" hidden="1"/>
    <cellStyle name="Lien hypertexte visité" xfId="1801" builtinId="9" hidden="1"/>
    <cellStyle name="Lien hypertexte visité" xfId="1673" builtinId="9" hidden="1"/>
    <cellStyle name="Lien hypertexte visité" xfId="1545" builtinId="9" hidden="1"/>
    <cellStyle name="Lien hypertexte visité" xfId="1416" builtinId="9" hidden="1"/>
    <cellStyle name="Lien hypertexte visité" xfId="1288" builtinId="9" hidden="1"/>
    <cellStyle name="Lien hypertexte visité" xfId="1160" builtinId="9" hidden="1"/>
    <cellStyle name="Lien hypertexte visité" xfId="901" builtinId="9" hidden="1"/>
    <cellStyle name="Lien hypertexte visité" xfId="645" builtinId="9" hidden="1"/>
    <cellStyle name="Lien hypertexte visité" xfId="389" builtinId="9" hidden="1"/>
    <cellStyle name="Lien hypertexte visité" xfId="229" builtinId="9" hidden="1"/>
    <cellStyle name="Lien hypertexte visité" xfId="205" builtinId="9" hidden="1"/>
    <cellStyle name="Lien hypertexte visité" xfId="349" builtinId="9" hidden="1"/>
    <cellStyle name="Lien hypertexte visité" xfId="605" builtinId="9" hidden="1"/>
    <cellStyle name="Lien hypertexte visité" xfId="861" builtinId="9" hidden="1"/>
    <cellStyle name="Lien hypertexte visité" xfId="1117" builtinId="9" hidden="1"/>
    <cellStyle name="Lien hypertexte visité" xfId="1268" builtinId="9" hidden="1"/>
    <cellStyle name="Lien hypertexte visité" xfId="1396" builtinId="9" hidden="1"/>
    <cellStyle name="Lien hypertexte visité" xfId="1525" builtinId="9" hidden="1"/>
    <cellStyle name="Lien hypertexte visité" xfId="1653" builtinId="9" hidden="1"/>
    <cellStyle name="Lien hypertexte visité" xfId="1781" builtinId="9" hidden="1"/>
    <cellStyle name="Lien hypertexte visité" xfId="1909" builtinId="9" hidden="1"/>
    <cellStyle name="Lien hypertexte visité" xfId="2037" builtinId="9" hidden="1"/>
    <cellStyle name="Lien hypertexte visité" xfId="2165" builtinId="9" hidden="1"/>
    <cellStyle name="Lien hypertexte visité" xfId="2293" builtinId="9" hidden="1"/>
    <cellStyle name="Lien hypertexte visité" xfId="2421" builtinId="9" hidden="1"/>
    <cellStyle name="Lien hypertexte visité" xfId="2549" builtinId="9" hidden="1"/>
    <cellStyle name="Lien hypertexte visité" xfId="2677" builtinId="9" hidden="1"/>
    <cellStyle name="Lien hypertexte visité" xfId="2805" builtinId="9" hidden="1"/>
    <cellStyle name="Lien hypertexte visité" xfId="2933" builtinId="9" hidden="1"/>
    <cellStyle name="Lien hypertexte visité" xfId="3061" builtinId="9" hidden="1"/>
    <cellStyle name="Lien hypertexte visité" xfId="3189" builtinId="9" hidden="1"/>
    <cellStyle name="Lien hypertexte visité" xfId="3317" builtinId="9" hidden="1"/>
    <cellStyle name="Lien hypertexte visité" xfId="3445" builtinId="9" hidden="1"/>
    <cellStyle name="Lien hypertexte visité" xfId="3574" builtinId="9" hidden="1"/>
    <cellStyle name="Lien hypertexte visité" xfId="3710" builtinId="9" hidden="1"/>
    <cellStyle name="Lien hypertexte visité" xfId="3838" builtinId="9" hidden="1"/>
    <cellStyle name="Lien hypertexte visité" xfId="3963" builtinId="9" hidden="1"/>
    <cellStyle name="Lien hypertexte visité" xfId="4091" builtinId="9" hidden="1"/>
    <cellStyle name="Lien hypertexte visité" xfId="4219" builtinId="9" hidden="1"/>
    <cellStyle name="Lien hypertexte visité" xfId="4347" builtinId="9" hidden="1"/>
    <cellStyle name="Lien hypertexte visité" xfId="4475" builtinId="9" hidden="1"/>
    <cellStyle name="Lien hypertexte visité" xfId="4603" builtinId="9" hidden="1"/>
    <cellStyle name="Lien hypertexte visité" xfId="4731" builtinId="9" hidden="1"/>
    <cellStyle name="Lien hypertexte visité" xfId="4859" builtinId="9" hidden="1"/>
    <cellStyle name="Lien hypertexte visité" xfId="4987" builtinId="9" hidden="1"/>
    <cellStyle name="Lien hypertexte visité" xfId="5115" builtinId="9" hidden="1"/>
    <cellStyle name="Lien hypertexte visité" xfId="5243" builtinId="9" hidden="1"/>
    <cellStyle name="Lien hypertexte visité" xfId="5371" builtinId="9" hidden="1"/>
    <cellStyle name="Lien hypertexte visité" xfId="5499" builtinId="9" hidden="1"/>
    <cellStyle name="Lien hypertexte visité" xfId="5627" builtinId="9" hidden="1"/>
    <cellStyle name="Lien hypertexte visité" xfId="5755" builtinId="9" hidden="1"/>
    <cellStyle name="Lien hypertexte visité" xfId="5883" builtinId="9" hidden="1"/>
    <cellStyle name="Lien hypertexte visité" xfId="6011" builtinId="9" hidden="1"/>
    <cellStyle name="Lien hypertexte visité" xfId="6139" builtinId="9" hidden="1"/>
    <cellStyle name="Lien hypertexte visité" xfId="6267" builtinId="9" hidden="1"/>
    <cellStyle name="Lien hypertexte visité" xfId="6395" builtinId="9" hidden="1"/>
    <cellStyle name="Lien hypertexte visité" xfId="6523" builtinId="9" hidden="1"/>
    <cellStyle name="Lien hypertexte visité" xfId="6651" builtinId="9" hidden="1"/>
    <cellStyle name="Lien hypertexte visité" xfId="6779" builtinId="9" hidden="1"/>
    <cellStyle name="Lien hypertexte visité" xfId="6907" builtinId="9" hidden="1"/>
    <cellStyle name="Lien hypertexte visité" xfId="7035" builtinId="9" hidden="1"/>
    <cellStyle name="Lien hypertexte visité" xfId="7163" builtinId="9" hidden="1"/>
    <cellStyle name="Lien hypertexte visité" xfId="7291" builtinId="9" hidden="1"/>
    <cellStyle name="Lien hypertexte visité" xfId="7419" builtinId="9" hidden="1"/>
    <cellStyle name="Lien hypertexte visité" xfId="7547" builtinId="9" hidden="1"/>
    <cellStyle name="Lien hypertexte visité" xfId="7675" builtinId="9" hidden="1"/>
    <cellStyle name="Lien hypertexte visité" xfId="7803" builtinId="9" hidden="1"/>
    <cellStyle name="Lien hypertexte visité" xfId="7932" builtinId="9" hidden="1"/>
    <cellStyle name="Lien hypertexte visité" xfId="8060" builtinId="9" hidden="1"/>
    <cellStyle name="Lien hypertexte visité" xfId="8188" builtinId="9" hidden="1"/>
    <cellStyle name="Lien hypertexte visité" xfId="8316" builtinId="9" hidden="1"/>
    <cellStyle name="Lien hypertexte visité" xfId="8444" builtinId="9" hidden="1"/>
    <cellStyle name="Lien hypertexte visité" xfId="8572" builtinId="9" hidden="1"/>
    <cellStyle name="Lien hypertexte visité" xfId="8700" builtinId="9" hidden="1"/>
    <cellStyle name="Lien hypertexte visité" xfId="8828" builtinId="9" hidden="1"/>
    <cellStyle name="Lien hypertexte visité" xfId="8956" builtinId="9" hidden="1"/>
    <cellStyle name="Lien hypertexte visité" xfId="9084" builtinId="9" hidden="1"/>
    <cellStyle name="Lien hypertexte visité" xfId="9212" builtinId="9" hidden="1"/>
    <cellStyle name="Lien hypertexte visité" xfId="9340" builtinId="9" hidden="1"/>
    <cellStyle name="Lien hypertexte visité" xfId="9468" builtinId="9" hidden="1"/>
    <cellStyle name="Lien hypertexte visité" xfId="9596" builtinId="9" hidden="1"/>
    <cellStyle name="Lien hypertexte visité" xfId="9724" builtinId="9" hidden="1"/>
    <cellStyle name="Lien hypertexte visité" xfId="9852" builtinId="9" hidden="1"/>
    <cellStyle name="Lien hypertexte visité" xfId="9980" builtinId="9" hidden="1"/>
    <cellStyle name="Lien hypertexte visité" xfId="10108" builtinId="9" hidden="1"/>
    <cellStyle name="Lien hypertexte visité" xfId="10236" builtinId="9" hidden="1"/>
    <cellStyle name="Lien hypertexte visité" xfId="10364" builtinId="9" hidden="1"/>
    <cellStyle name="Lien hypertexte visité" xfId="10492" builtinId="9" hidden="1"/>
    <cellStyle name="Lien hypertexte visité" xfId="10620" builtinId="9" hidden="1"/>
    <cellStyle name="Lien hypertexte visité" xfId="10748" builtinId="9" hidden="1"/>
    <cellStyle name="Lien hypertexte visité" xfId="10876" builtinId="9" hidden="1"/>
    <cellStyle name="Lien hypertexte visité" xfId="11004" builtinId="9" hidden="1"/>
    <cellStyle name="Lien hypertexte visité" xfId="11132" builtinId="9" hidden="1"/>
    <cellStyle name="Lien hypertexte visité" xfId="11260" builtinId="9" hidden="1"/>
    <cellStyle name="Lien hypertexte visité" xfId="11388" builtinId="9" hidden="1"/>
    <cellStyle name="Lien hypertexte visité" xfId="11516" builtinId="9" hidden="1"/>
    <cellStyle name="Lien hypertexte visité" xfId="11644" builtinId="9" hidden="1"/>
    <cellStyle name="Lien hypertexte visité" xfId="11772" builtinId="9" hidden="1"/>
    <cellStyle name="Lien hypertexte visité" xfId="11900" builtinId="9" hidden="1"/>
    <cellStyle name="Lien hypertexte visité" xfId="12028" builtinId="9" hidden="1"/>
    <cellStyle name="Lien hypertexte visité" xfId="12156" builtinId="9" hidden="1"/>
    <cellStyle name="Lien hypertexte visité" xfId="12284" builtinId="9" hidden="1"/>
    <cellStyle name="Lien hypertexte visité" xfId="12412" builtinId="9" hidden="1"/>
    <cellStyle name="Lien hypertexte visité" xfId="12540" builtinId="9" hidden="1"/>
    <cellStyle name="Lien hypertexte visité" xfId="12668" builtinId="9" hidden="1"/>
    <cellStyle name="Lien hypertexte visité" xfId="12796" builtinId="9" hidden="1"/>
    <cellStyle name="Lien hypertexte visité" xfId="12924" builtinId="9" hidden="1"/>
    <cellStyle name="Lien hypertexte visité" xfId="13052" builtinId="9" hidden="1"/>
    <cellStyle name="Lien hypertexte visité" xfId="13180" builtinId="9" hidden="1"/>
    <cellStyle name="Lien hypertexte visité" xfId="13308" builtinId="9" hidden="1"/>
    <cellStyle name="Lien hypertexte visité" xfId="13436" builtinId="9" hidden="1"/>
    <cellStyle name="Lien hypertexte visité" xfId="13564" builtinId="9" hidden="1"/>
    <cellStyle name="Lien hypertexte visité" xfId="13692" builtinId="9" hidden="1"/>
    <cellStyle name="Lien hypertexte visité" xfId="13820" builtinId="9" hidden="1"/>
    <cellStyle name="Lien hypertexte visité" xfId="13948" builtinId="9" hidden="1"/>
    <cellStyle name="Lien hypertexte visité" xfId="14076" builtinId="9" hidden="1"/>
    <cellStyle name="Lien hypertexte visité" xfId="14204" builtinId="9" hidden="1"/>
    <cellStyle name="Lien hypertexte visité" xfId="14332" builtinId="9" hidden="1"/>
    <cellStyle name="Lien hypertexte visité" xfId="14460" builtinId="9" hidden="1"/>
    <cellStyle name="Lien hypertexte visité" xfId="14661" builtinId="9" hidden="1"/>
    <cellStyle name="Lien hypertexte visité" xfId="14917" builtinId="9" hidden="1"/>
    <cellStyle name="Lien hypertexte visité" xfId="15173" builtinId="9" hidden="1"/>
    <cellStyle name="Lien hypertexte visité" xfId="15429" builtinId="9" hidden="1"/>
    <cellStyle name="Lien hypertexte visité" xfId="15685" builtinId="9" hidden="1"/>
    <cellStyle name="Lien hypertexte visité" xfId="15941" builtinId="9" hidden="1"/>
    <cellStyle name="Lien hypertexte visité" xfId="16197" builtinId="9" hidden="1"/>
    <cellStyle name="Lien hypertexte visité" xfId="16453" builtinId="9" hidden="1"/>
    <cellStyle name="Lien hypertexte visité" xfId="16709" builtinId="9" hidden="1"/>
    <cellStyle name="Lien hypertexte visité" xfId="16965" builtinId="9" hidden="1"/>
    <cellStyle name="Lien hypertexte visité" xfId="17221" builtinId="9" hidden="1"/>
    <cellStyle name="Lien hypertexte visité" xfId="17477" builtinId="9" hidden="1"/>
    <cellStyle name="Lien hypertexte visité" xfId="17733" builtinId="9" hidden="1"/>
    <cellStyle name="Lien hypertexte visité" xfId="17989" builtinId="9" hidden="1"/>
    <cellStyle name="Lien hypertexte visité" xfId="18245" builtinId="9" hidden="1"/>
    <cellStyle name="Lien hypertexte visité" xfId="18484" builtinId="9" hidden="1"/>
    <cellStyle name="Lien hypertexte visité" xfId="18740" builtinId="9" hidden="1"/>
    <cellStyle name="Lien hypertexte visité" xfId="18996" builtinId="9" hidden="1"/>
    <cellStyle name="Lien hypertexte visité" xfId="19252" builtinId="9" hidden="1"/>
    <cellStyle name="Lien hypertexte visité" xfId="19508" builtinId="9" hidden="1"/>
    <cellStyle name="Lien hypertexte visité" xfId="19764" builtinId="9" hidden="1"/>
    <cellStyle name="Lien hypertexte visité" xfId="20020" builtinId="9" hidden="1"/>
    <cellStyle name="Lien hypertexte visité" xfId="20276" builtinId="9" hidden="1"/>
    <cellStyle name="Lien hypertexte visité" xfId="20532" builtinId="9" hidden="1"/>
    <cellStyle name="Lien hypertexte visité" xfId="20788" builtinId="9" hidden="1"/>
    <cellStyle name="Lien hypertexte visité" xfId="21044" builtinId="9" hidden="1"/>
    <cellStyle name="Lien hypertexte visité" xfId="21300" builtinId="9" hidden="1"/>
    <cellStyle name="Lien hypertexte visité" xfId="21556" builtinId="9" hidden="1"/>
    <cellStyle name="Lien hypertexte visité" xfId="21812" builtinId="9" hidden="1"/>
    <cellStyle name="Lien hypertexte visité" xfId="22068" builtinId="9" hidden="1"/>
    <cellStyle name="Lien hypertexte visité" xfId="22324" builtinId="9" hidden="1"/>
    <cellStyle name="Lien hypertexte visité" xfId="22580" builtinId="9" hidden="1"/>
    <cellStyle name="Lien hypertexte visité" xfId="22836" builtinId="9" hidden="1"/>
    <cellStyle name="Lien hypertexte visité" xfId="23092" builtinId="9" hidden="1"/>
    <cellStyle name="Lien hypertexte visité" xfId="23348" builtinId="9" hidden="1"/>
    <cellStyle name="Lien hypertexte visité" xfId="23604" builtinId="9" hidden="1"/>
    <cellStyle name="Lien hypertexte visité" xfId="23860" builtinId="9" hidden="1"/>
    <cellStyle name="Lien hypertexte visité" xfId="24116" builtinId="9" hidden="1"/>
    <cellStyle name="Lien hypertexte visité" xfId="24372" builtinId="9" hidden="1"/>
    <cellStyle name="Lien hypertexte visité" xfId="24598" builtinId="9" hidden="1"/>
    <cellStyle name="Lien hypertexte visité" xfId="24342" builtinId="9" hidden="1"/>
    <cellStyle name="Lien hypertexte visité" xfId="24086" builtinId="9" hidden="1"/>
    <cellStyle name="Lien hypertexte visité" xfId="23830" builtinId="9" hidden="1"/>
    <cellStyle name="Lien hypertexte visité" xfId="23574" builtinId="9" hidden="1"/>
    <cellStyle name="Lien hypertexte visité" xfId="23318" builtinId="9" hidden="1"/>
    <cellStyle name="Lien hypertexte visité" xfId="23062" builtinId="9" hidden="1"/>
    <cellStyle name="Lien hypertexte visité" xfId="22806" builtinId="9" hidden="1"/>
    <cellStyle name="Lien hypertexte visité" xfId="22550" builtinId="9" hidden="1"/>
    <cellStyle name="Lien hypertexte visité" xfId="22294" builtinId="9" hidden="1"/>
    <cellStyle name="Lien hypertexte visité" xfId="22038" builtinId="9" hidden="1"/>
    <cellStyle name="Lien hypertexte visité" xfId="21782" builtinId="9" hidden="1"/>
    <cellStyle name="Lien hypertexte visité" xfId="21526" builtinId="9" hidden="1"/>
    <cellStyle name="Lien hypertexte visité" xfId="21270" builtinId="9" hidden="1"/>
    <cellStyle name="Lien hypertexte visité" xfId="21014" builtinId="9" hidden="1"/>
    <cellStyle name="Lien hypertexte visité" xfId="20758" builtinId="9" hidden="1"/>
    <cellStyle name="Lien hypertexte visité" xfId="20502" builtinId="9" hidden="1"/>
    <cellStyle name="Lien hypertexte visité" xfId="20246" builtinId="9" hidden="1"/>
    <cellStyle name="Lien hypertexte visité" xfId="19990" builtinId="9" hidden="1"/>
    <cellStyle name="Lien hypertexte visité" xfId="19734" builtinId="9" hidden="1"/>
    <cellStyle name="Lien hypertexte visité" xfId="19478" builtinId="9" hidden="1"/>
    <cellStyle name="Lien hypertexte visité" xfId="19222" builtinId="9" hidden="1"/>
    <cellStyle name="Lien hypertexte visité" xfId="18966" builtinId="9" hidden="1"/>
    <cellStyle name="Lien hypertexte visité" xfId="18710" builtinId="9" hidden="1"/>
    <cellStyle name="Lien hypertexte visité" xfId="18454" builtinId="9" hidden="1"/>
    <cellStyle name="Lien hypertexte visité" xfId="18215" builtinId="9" hidden="1"/>
    <cellStyle name="Lien hypertexte visité" xfId="17959" builtinId="9" hidden="1"/>
    <cellStyle name="Lien hypertexte visité" xfId="17703" builtinId="9" hidden="1"/>
    <cellStyle name="Lien hypertexte visité" xfId="17447" builtinId="9" hidden="1"/>
    <cellStyle name="Lien hypertexte visité" xfId="17191" builtinId="9" hidden="1"/>
    <cellStyle name="Lien hypertexte visité" xfId="16935" builtinId="9" hidden="1"/>
    <cellStyle name="Lien hypertexte visité" xfId="16679" builtinId="9" hidden="1"/>
    <cellStyle name="Lien hypertexte visité" xfId="16423" builtinId="9" hidden="1"/>
    <cellStyle name="Lien hypertexte visité" xfId="16167" builtinId="9" hidden="1"/>
    <cellStyle name="Lien hypertexte visité" xfId="15911" builtinId="9" hidden="1"/>
    <cellStyle name="Lien hypertexte visité" xfId="15655" builtinId="9" hidden="1"/>
    <cellStyle name="Lien hypertexte visité" xfId="15399" builtinId="9" hidden="1"/>
    <cellStyle name="Lien hypertexte visité" xfId="15143" builtinId="9" hidden="1"/>
    <cellStyle name="Lien hypertexte visité" xfId="14887" builtinId="9" hidden="1"/>
    <cellStyle name="Lien hypertexte visité" xfId="14631" builtinId="9" hidden="1"/>
    <cellStyle name="Lien hypertexte visité" xfId="14445" builtinId="9" hidden="1"/>
    <cellStyle name="Lien hypertexte visité" xfId="14317" builtinId="9" hidden="1"/>
    <cellStyle name="Lien hypertexte visité" xfId="14189" builtinId="9" hidden="1"/>
    <cellStyle name="Lien hypertexte visité" xfId="14061" builtinId="9" hidden="1"/>
    <cellStyle name="Lien hypertexte visité" xfId="13933" builtinId="9" hidden="1"/>
    <cellStyle name="Lien hypertexte visité" xfId="13805" builtinId="9" hidden="1"/>
    <cellStyle name="Lien hypertexte visité" xfId="13677" builtinId="9" hidden="1"/>
    <cellStyle name="Lien hypertexte visité" xfId="13549" builtinId="9" hidden="1"/>
    <cellStyle name="Lien hypertexte visité" xfId="13421" builtinId="9" hidden="1"/>
    <cellStyle name="Lien hypertexte visité" xfId="13293" builtinId="9" hidden="1"/>
    <cellStyle name="Lien hypertexte visité" xfId="13165" builtinId="9" hidden="1"/>
    <cellStyle name="Lien hypertexte visité" xfId="13037" builtinId="9" hidden="1"/>
    <cellStyle name="Lien hypertexte visité" xfId="12909" builtinId="9" hidden="1"/>
    <cellStyle name="Lien hypertexte visité" xfId="12781" builtinId="9" hidden="1"/>
    <cellStyle name="Lien hypertexte visité" xfId="12653" builtinId="9" hidden="1"/>
    <cellStyle name="Lien hypertexte visité" xfId="12525" builtinId="9" hidden="1"/>
    <cellStyle name="Lien hypertexte visité" xfId="12397" builtinId="9" hidden="1"/>
    <cellStyle name="Lien hypertexte visité" xfId="12269" builtinId="9" hidden="1"/>
    <cellStyle name="Lien hypertexte visité" xfId="12141" builtinId="9" hidden="1"/>
    <cellStyle name="Lien hypertexte visité" xfId="12013" builtinId="9" hidden="1"/>
    <cellStyle name="Lien hypertexte visité" xfId="11885" builtinId="9" hidden="1"/>
    <cellStyle name="Lien hypertexte visité" xfId="11757" builtinId="9" hidden="1"/>
    <cellStyle name="Lien hypertexte visité" xfId="11629" builtinId="9" hidden="1"/>
    <cellStyle name="Lien hypertexte visité" xfId="11501" builtinId="9" hidden="1"/>
    <cellStyle name="Lien hypertexte visité" xfId="11373" builtinId="9" hidden="1"/>
    <cellStyle name="Lien hypertexte visité" xfId="11245" builtinId="9" hidden="1"/>
    <cellStyle name="Lien hypertexte visité" xfId="11117" builtinId="9" hidden="1"/>
    <cellStyle name="Lien hypertexte visité" xfId="10989" builtinId="9" hidden="1"/>
    <cellStyle name="Lien hypertexte visité" xfId="10861" builtinId="9" hidden="1"/>
    <cellStyle name="Lien hypertexte visité" xfId="10733" builtinId="9" hidden="1"/>
    <cellStyle name="Lien hypertexte visité" xfId="10605" builtinId="9" hidden="1"/>
    <cellStyle name="Lien hypertexte visité" xfId="10477" builtinId="9" hidden="1"/>
    <cellStyle name="Lien hypertexte visité" xfId="10349" builtinId="9" hidden="1"/>
    <cellStyle name="Lien hypertexte visité" xfId="10221" builtinId="9" hidden="1"/>
    <cellStyle name="Lien hypertexte visité" xfId="10093" builtinId="9" hidden="1"/>
    <cellStyle name="Lien hypertexte visité" xfId="9965" builtinId="9" hidden="1"/>
    <cellStyle name="Lien hypertexte visité" xfId="9837" builtinId="9" hidden="1"/>
    <cellStyle name="Lien hypertexte visité" xfId="9709" builtinId="9" hidden="1"/>
    <cellStyle name="Lien hypertexte visité" xfId="9581" builtinId="9" hidden="1"/>
    <cellStyle name="Lien hypertexte visité" xfId="9453" builtinId="9" hidden="1"/>
    <cellStyle name="Lien hypertexte visité" xfId="9325" builtinId="9" hidden="1"/>
    <cellStyle name="Lien hypertexte visité" xfId="9197" builtinId="9" hidden="1"/>
    <cellStyle name="Lien hypertexte visité" xfId="9069" builtinId="9" hidden="1"/>
    <cellStyle name="Lien hypertexte visité" xfId="8941" builtinId="9" hidden="1"/>
    <cellStyle name="Lien hypertexte visité" xfId="8813" builtinId="9" hidden="1"/>
    <cellStyle name="Lien hypertexte visité" xfId="8685" builtinId="9" hidden="1"/>
    <cellStyle name="Lien hypertexte visité" xfId="8557" builtinId="9" hidden="1"/>
    <cellStyle name="Lien hypertexte visité" xfId="8429" builtinId="9" hidden="1"/>
    <cellStyle name="Lien hypertexte visité" xfId="8301" builtinId="9" hidden="1"/>
    <cellStyle name="Lien hypertexte visité" xfId="8173" builtinId="9" hidden="1"/>
    <cellStyle name="Lien hypertexte visité" xfId="8045" builtinId="9" hidden="1"/>
    <cellStyle name="Lien hypertexte visité" xfId="7917" builtinId="9" hidden="1"/>
    <cellStyle name="Lien hypertexte visité" xfId="7788" builtinId="9" hidden="1"/>
    <cellStyle name="Lien hypertexte visité" xfId="7660" builtinId="9" hidden="1"/>
    <cellStyle name="Lien hypertexte visité" xfId="7532" builtinId="9" hidden="1"/>
    <cellStyle name="Lien hypertexte visité" xfId="7404" builtinId="9" hidden="1"/>
    <cellStyle name="Lien hypertexte visité" xfId="7276" builtinId="9" hidden="1"/>
    <cellStyle name="Lien hypertexte visité" xfId="7148" builtinId="9" hidden="1"/>
    <cellStyle name="Lien hypertexte visité" xfId="7020" builtinId="9" hidden="1"/>
    <cellStyle name="Lien hypertexte visité" xfId="6892" builtinId="9" hidden="1"/>
    <cellStyle name="Lien hypertexte visité" xfId="6764" builtinId="9" hidden="1"/>
    <cellStyle name="Lien hypertexte visité" xfId="6636" builtinId="9" hidden="1"/>
    <cellStyle name="Lien hypertexte visité" xfId="6508" builtinId="9" hidden="1"/>
    <cellStyle name="Lien hypertexte visité" xfId="6380" builtinId="9" hidden="1"/>
    <cellStyle name="Lien hypertexte visité" xfId="6252" builtinId="9" hidden="1"/>
    <cellStyle name="Lien hypertexte visité" xfId="6124" builtinId="9" hidden="1"/>
    <cellStyle name="Lien hypertexte visité" xfId="5996" builtinId="9" hidden="1"/>
    <cellStyle name="Lien hypertexte visité" xfId="5868" builtinId="9" hidden="1"/>
    <cellStyle name="Lien hypertexte visité" xfId="5740" builtinId="9" hidden="1"/>
    <cellStyle name="Lien hypertexte visité" xfId="5612" builtinId="9" hidden="1"/>
    <cellStyle name="Lien hypertexte visité" xfId="5484" builtinId="9" hidden="1"/>
    <cellStyle name="Lien hypertexte visité" xfId="5356" builtinId="9" hidden="1"/>
    <cellStyle name="Lien hypertexte visité" xfId="5228" builtinId="9" hidden="1"/>
    <cellStyle name="Lien hypertexte visité" xfId="5100" builtinId="9" hidden="1"/>
    <cellStyle name="Lien hypertexte visité" xfId="4972" builtinId="9" hidden="1"/>
    <cellStyle name="Lien hypertexte visité" xfId="4844" builtinId="9" hidden="1"/>
    <cellStyle name="Lien hypertexte visité" xfId="4716" builtinId="9" hidden="1"/>
    <cellStyle name="Lien hypertexte visité" xfId="4588" builtinId="9" hidden="1"/>
    <cellStyle name="Lien hypertexte visité" xfId="4460" builtinId="9" hidden="1"/>
    <cellStyle name="Lien hypertexte visité" xfId="4332" builtinId="9" hidden="1"/>
    <cellStyle name="Lien hypertexte visité" xfId="4204" builtinId="9" hidden="1"/>
    <cellStyle name="Lien hypertexte visité" xfId="4076" builtinId="9" hidden="1"/>
    <cellStyle name="Lien hypertexte visité" xfId="3948" builtinId="9" hidden="1"/>
    <cellStyle name="Lien hypertexte visité" xfId="3823" builtinId="9" hidden="1"/>
    <cellStyle name="Lien hypertexte visité" xfId="3694" builtinId="9" hidden="1"/>
    <cellStyle name="Lien hypertexte visité" xfId="3559" builtinId="9" hidden="1"/>
    <cellStyle name="Lien hypertexte visité" xfId="3430" builtinId="9" hidden="1"/>
    <cellStyle name="Lien hypertexte visité" xfId="3302" builtinId="9" hidden="1"/>
    <cellStyle name="Lien hypertexte visité" xfId="3174" builtinId="9" hidden="1"/>
    <cellStyle name="Lien hypertexte visité" xfId="3046" builtinId="9" hidden="1"/>
    <cellStyle name="Lien hypertexte visité" xfId="2918" builtinId="9" hidden="1"/>
    <cellStyle name="Lien hypertexte visité" xfId="2790" builtinId="9" hidden="1"/>
    <cellStyle name="Lien hypertexte visité" xfId="2662" builtinId="9" hidden="1"/>
    <cellStyle name="Lien hypertexte visité" xfId="2534" builtinId="9" hidden="1"/>
    <cellStyle name="Lien hypertexte visité" xfId="2406" builtinId="9" hidden="1"/>
    <cellStyle name="Lien hypertexte visité" xfId="2278" builtinId="9" hidden="1"/>
    <cellStyle name="Lien hypertexte visité" xfId="2151" builtinId="9" hidden="1"/>
    <cellStyle name="Lien hypertexte visité" xfId="2022" builtinId="9" hidden="1"/>
    <cellStyle name="Lien hypertexte visité" xfId="1894" builtinId="9" hidden="1"/>
    <cellStyle name="Lien hypertexte visité" xfId="1766" builtinId="9" hidden="1"/>
    <cellStyle name="Lien hypertexte visité" xfId="1638" builtinId="9" hidden="1"/>
    <cellStyle name="Lien hypertexte visité" xfId="1510" builtinId="9" hidden="1"/>
    <cellStyle name="Lien hypertexte visité" xfId="1381" builtinId="9" hidden="1"/>
    <cellStyle name="Lien hypertexte visité" xfId="1253" builtinId="9" hidden="1"/>
    <cellStyle name="Lien hypertexte visité" xfId="1087" builtinId="9" hidden="1"/>
    <cellStyle name="Lien hypertexte visité" xfId="831" builtinId="9" hidden="1"/>
    <cellStyle name="Lien hypertexte visité" xfId="575" builtinId="9" hidden="1"/>
    <cellStyle name="Lien hypertexte visité" xfId="319" builtinId="9" hidden="1"/>
    <cellStyle name="Lien hypertexte visité" xfId="105" builtinId="9" hidden="1"/>
    <cellStyle name="Lien hypertexte visité" xfId="163" builtinId="9" hidden="1"/>
    <cellStyle name="Lien hypertexte visité" xfId="419" builtinId="9" hidden="1"/>
    <cellStyle name="Lien hypertexte visité" xfId="675" builtinId="9" hidden="1"/>
    <cellStyle name="Lien hypertexte visité" xfId="931" builtinId="9" hidden="1"/>
    <cellStyle name="Lien hypertexte visité" xfId="1175" builtinId="9" hidden="1"/>
    <cellStyle name="Lien hypertexte visité" xfId="1303" builtinId="9" hidden="1"/>
    <cellStyle name="Lien hypertexte visité" xfId="1431" builtinId="9" hidden="1"/>
    <cellStyle name="Lien hypertexte visité" xfId="1560" builtinId="9" hidden="1"/>
    <cellStyle name="Lien hypertexte visité" xfId="1688" builtinId="9" hidden="1"/>
    <cellStyle name="Lien hypertexte visité" xfId="1816" builtinId="9" hidden="1"/>
    <cellStyle name="Lien hypertexte visité" xfId="1944" builtinId="9" hidden="1"/>
    <cellStyle name="Lien hypertexte visité" xfId="2072" builtinId="9" hidden="1"/>
    <cellStyle name="Lien hypertexte visité" xfId="2200" builtinId="9" hidden="1"/>
    <cellStyle name="Lien hypertexte visité" xfId="2328" builtinId="9" hidden="1"/>
    <cellStyle name="Lien hypertexte visité" xfId="2456" builtinId="9" hidden="1"/>
    <cellStyle name="Lien hypertexte visité" xfId="2584" builtinId="9" hidden="1"/>
    <cellStyle name="Lien hypertexte visité" xfId="2712" builtinId="9" hidden="1"/>
    <cellStyle name="Lien hypertexte visité" xfId="2840" builtinId="9" hidden="1"/>
    <cellStyle name="Lien hypertexte visité" xfId="2968" builtinId="9" hidden="1"/>
    <cellStyle name="Lien hypertexte visité" xfId="3096" builtinId="9" hidden="1"/>
    <cellStyle name="Lien hypertexte visité" xfId="3224" builtinId="9" hidden="1"/>
    <cellStyle name="Lien hypertexte visité" xfId="3352" builtinId="9" hidden="1"/>
    <cellStyle name="Lien hypertexte visité" xfId="3480" builtinId="9" hidden="1"/>
    <cellStyle name="Lien hypertexte visité" xfId="3609" builtinId="9" hidden="1"/>
    <cellStyle name="Lien hypertexte visité" xfId="3745" builtinId="9" hidden="1"/>
    <cellStyle name="Lien hypertexte visité" xfId="3873" builtinId="9" hidden="1"/>
    <cellStyle name="Lien hypertexte visité" xfId="3998" builtinId="9" hidden="1"/>
    <cellStyle name="Lien hypertexte visité" xfId="4126" builtinId="9" hidden="1"/>
    <cellStyle name="Lien hypertexte visité" xfId="4254" builtinId="9" hidden="1"/>
    <cellStyle name="Lien hypertexte visité" xfId="4382" builtinId="9" hidden="1"/>
    <cellStyle name="Lien hypertexte visité" xfId="4510" builtinId="9" hidden="1"/>
    <cellStyle name="Lien hypertexte visité" xfId="4638" builtinId="9" hidden="1"/>
    <cellStyle name="Lien hypertexte visité" xfId="4766" builtinId="9" hidden="1"/>
    <cellStyle name="Lien hypertexte visité" xfId="4894" builtinId="9" hidden="1"/>
    <cellStyle name="Lien hypertexte visité" xfId="5022" builtinId="9" hidden="1"/>
    <cellStyle name="Lien hypertexte visité" xfId="5150" builtinId="9" hidden="1"/>
    <cellStyle name="Lien hypertexte visité" xfId="5278" builtinId="9" hidden="1"/>
    <cellStyle name="Lien hypertexte visité" xfId="5406" builtinId="9" hidden="1"/>
    <cellStyle name="Lien hypertexte visité" xfId="5534" builtinId="9" hidden="1"/>
    <cellStyle name="Lien hypertexte visité" xfId="5662" builtinId="9" hidden="1"/>
    <cellStyle name="Lien hypertexte visité" xfId="5790" builtinId="9" hidden="1"/>
    <cellStyle name="Lien hypertexte visité" xfId="5918" builtinId="9" hidden="1"/>
    <cellStyle name="Lien hypertexte visité" xfId="6046" builtinId="9" hidden="1"/>
    <cellStyle name="Lien hypertexte visité" xfId="6174" builtinId="9" hidden="1"/>
    <cellStyle name="Lien hypertexte visité" xfId="6302" builtinId="9" hidden="1"/>
    <cellStyle name="Lien hypertexte visité" xfId="6430" builtinId="9" hidden="1"/>
    <cellStyle name="Lien hypertexte visité" xfId="6558" builtinId="9" hidden="1"/>
    <cellStyle name="Lien hypertexte visité" xfId="6686" builtinId="9" hidden="1"/>
    <cellStyle name="Lien hypertexte visité" xfId="6814" builtinId="9" hidden="1"/>
    <cellStyle name="Lien hypertexte visité" xfId="6942" builtinId="9" hidden="1"/>
    <cellStyle name="Lien hypertexte visité" xfId="7070" builtinId="9" hidden="1"/>
    <cellStyle name="Lien hypertexte visité" xfId="7198" builtinId="9" hidden="1"/>
    <cellStyle name="Lien hypertexte visité" xfId="7326" builtinId="9" hidden="1"/>
    <cellStyle name="Lien hypertexte visité" xfId="7454" builtinId="9" hidden="1"/>
    <cellStyle name="Lien hypertexte visité" xfId="7582" builtinId="9" hidden="1"/>
    <cellStyle name="Lien hypertexte visité" xfId="7710" builtinId="9" hidden="1"/>
    <cellStyle name="Lien hypertexte visité" xfId="7839" builtinId="9" hidden="1"/>
    <cellStyle name="Lien hypertexte visité" xfId="7967" builtinId="9" hidden="1"/>
    <cellStyle name="Lien hypertexte visité" xfId="8095" builtinId="9" hidden="1"/>
    <cellStyle name="Lien hypertexte visité" xfId="8223" builtinId="9" hidden="1"/>
    <cellStyle name="Lien hypertexte visité" xfId="8351" builtinId="9" hidden="1"/>
    <cellStyle name="Lien hypertexte visité" xfId="8479" builtinId="9" hidden="1"/>
    <cellStyle name="Lien hypertexte visité" xfId="8607" builtinId="9" hidden="1"/>
    <cellStyle name="Lien hypertexte visité" xfId="8735" builtinId="9" hidden="1"/>
    <cellStyle name="Lien hypertexte visité" xfId="8863" builtinId="9" hidden="1"/>
    <cellStyle name="Lien hypertexte visité" xfId="8991" builtinId="9" hidden="1"/>
    <cellStyle name="Lien hypertexte visité" xfId="9119" builtinId="9" hidden="1"/>
    <cellStyle name="Lien hypertexte visité" xfId="9247" builtinId="9" hidden="1"/>
    <cellStyle name="Lien hypertexte visité" xfId="9375" builtinId="9" hidden="1"/>
    <cellStyle name="Lien hypertexte visité" xfId="9503" builtinId="9" hidden="1"/>
    <cellStyle name="Lien hypertexte visité" xfId="9631" builtinId="9" hidden="1"/>
    <cellStyle name="Lien hypertexte visité" xfId="9759" builtinId="9" hidden="1"/>
    <cellStyle name="Lien hypertexte visité" xfId="9887" builtinId="9" hidden="1"/>
    <cellStyle name="Lien hypertexte visité" xfId="10015" builtinId="9" hidden="1"/>
    <cellStyle name="Lien hypertexte visité" xfId="10143" builtinId="9" hidden="1"/>
    <cellStyle name="Lien hypertexte visité" xfId="10271" builtinId="9" hidden="1"/>
    <cellStyle name="Lien hypertexte visité" xfId="10399" builtinId="9" hidden="1"/>
    <cellStyle name="Lien hypertexte visité" xfId="10527" builtinId="9" hidden="1"/>
    <cellStyle name="Lien hypertexte visité" xfId="10655" builtinId="9" hidden="1"/>
    <cellStyle name="Lien hypertexte visité" xfId="10783" builtinId="9" hidden="1"/>
    <cellStyle name="Lien hypertexte visité" xfId="10911" builtinId="9" hidden="1"/>
    <cellStyle name="Lien hypertexte visité" xfId="11039" builtinId="9" hidden="1"/>
    <cellStyle name="Lien hypertexte visité" xfId="11167" builtinId="9" hidden="1"/>
    <cellStyle name="Lien hypertexte visité" xfId="11295" builtinId="9" hidden="1"/>
    <cellStyle name="Lien hypertexte visité" xfId="11423" builtinId="9" hidden="1"/>
    <cellStyle name="Lien hypertexte visité" xfId="11551" builtinId="9" hidden="1"/>
    <cellStyle name="Lien hypertexte visité" xfId="11679" builtinId="9" hidden="1"/>
    <cellStyle name="Lien hypertexte visité" xfId="11807" builtinId="9" hidden="1"/>
    <cellStyle name="Lien hypertexte visité" xfId="11935" builtinId="9" hidden="1"/>
    <cellStyle name="Lien hypertexte visité" xfId="12063" builtinId="9" hidden="1"/>
    <cellStyle name="Lien hypertexte visité" xfId="12191" builtinId="9" hidden="1"/>
    <cellStyle name="Lien hypertexte visité" xfId="12319" builtinId="9" hidden="1"/>
    <cellStyle name="Lien hypertexte visité" xfId="12447" builtinId="9" hidden="1"/>
    <cellStyle name="Lien hypertexte visité" xfId="12575" builtinId="9" hidden="1"/>
    <cellStyle name="Lien hypertexte visité" xfId="12703" builtinId="9" hidden="1"/>
    <cellStyle name="Lien hypertexte visité" xfId="12831" builtinId="9" hidden="1"/>
    <cellStyle name="Lien hypertexte visité" xfId="12959" builtinId="9" hidden="1"/>
    <cellStyle name="Lien hypertexte visité" xfId="13087" builtinId="9" hidden="1"/>
    <cellStyle name="Lien hypertexte visité" xfId="13215" builtinId="9" hidden="1"/>
    <cellStyle name="Lien hypertexte visité" xfId="13343" builtinId="9" hidden="1"/>
    <cellStyle name="Lien hypertexte visité" xfId="13471" builtinId="9" hidden="1"/>
    <cellStyle name="Lien hypertexte visité" xfId="13599" builtinId="9" hidden="1"/>
    <cellStyle name="Lien hypertexte visité" xfId="13727" builtinId="9" hidden="1"/>
    <cellStyle name="Lien hypertexte visité" xfId="13855" builtinId="9" hidden="1"/>
    <cellStyle name="Lien hypertexte visité" xfId="13983" builtinId="9" hidden="1"/>
    <cellStyle name="Lien hypertexte visité" xfId="14111" builtinId="9" hidden="1"/>
    <cellStyle name="Lien hypertexte visité" xfId="14239" builtinId="9" hidden="1"/>
    <cellStyle name="Lien hypertexte visité" xfId="14367" builtinId="9" hidden="1"/>
    <cellStyle name="Lien hypertexte visité" xfId="14495" builtinId="9" hidden="1"/>
    <cellStyle name="Lien hypertexte visité" xfId="14731" builtinId="9" hidden="1"/>
    <cellStyle name="Lien hypertexte visité" xfId="14987" builtinId="9" hidden="1"/>
    <cellStyle name="Lien hypertexte visité" xfId="15243" builtinId="9" hidden="1"/>
    <cellStyle name="Lien hypertexte visité" xfId="15499" builtinId="9" hidden="1"/>
    <cellStyle name="Lien hypertexte visité" xfId="15755" builtinId="9" hidden="1"/>
    <cellStyle name="Lien hypertexte visité" xfId="16011" builtinId="9" hidden="1"/>
    <cellStyle name="Lien hypertexte visité" xfId="16267" builtinId="9" hidden="1"/>
    <cellStyle name="Lien hypertexte visité" xfId="16523" builtinId="9" hidden="1"/>
    <cellStyle name="Lien hypertexte visité" xfId="16779" builtinId="9" hidden="1"/>
    <cellStyle name="Lien hypertexte visité" xfId="17035" builtinId="9" hidden="1"/>
    <cellStyle name="Lien hypertexte visité" xfId="17291" builtinId="9" hidden="1"/>
    <cellStyle name="Lien hypertexte visité" xfId="8294" builtinId="9" hidden="1"/>
    <cellStyle name="Lien hypertexte visité" xfId="8382" builtinId="9" hidden="1"/>
    <cellStyle name="Lien hypertexte visité" xfId="8466" builtinId="9" hidden="1"/>
    <cellStyle name="Lien hypertexte visité" xfId="8550" builtinId="9" hidden="1"/>
    <cellStyle name="Lien hypertexte visité" xfId="8638" builtinId="9" hidden="1"/>
    <cellStyle name="Lien hypertexte visité" xfId="8722" builtinId="9" hidden="1"/>
    <cellStyle name="Lien hypertexte visité" xfId="8806" builtinId="9" hidden="1"/>
    <cellStyle name="Lien hypertexte visité" xfId="8894" builtinId="9" hidden="1"/>
    <cellStyle name="Lien hypertexte visité" xfId="8978" builtinId="9" hidden="1"/>
    <cellStyle name="Lien hypertexte visité" xfId="9062" builtinId="9" hidden="1"/>
    <cellStyle name="Lien hypertexte visité" xfId="9150" builtinId="9" hidden="1"/>
    <cellStyle name="Lien hypertexte visité" xfId="9234" builtinId="9" hidden="1"/>
    <cellStyle name="Lien hypertexte visité" xfId="7237" builtinId="9" hidden="1"/>
    <cellStyle name="Lien hypertexte visité" xfId="7221" builtinId="9" hidden="1"/>
    <cellStyle name="Lien hypertexte visité" xfId="7201" builtinId="9" hidden="1"/>
    <cellStyle name="Lien hypertexte visité" xfId="7185" builtinId="9" hidden="1"/>
    <cellStyle name="Lien hypertexte visité" xfId="7149" builtinId="9" hidden="1"/>
    <cellStyle name="Lien hypertexte visité" xfId="7129" builtinId="9" hidden="1"/>
    <cellStyle name="Lien hypertexte visité" xfId="7109" builtinId="9" hidden="1"/>
    <cellStyle name="Lien hypertexte visité" xfId="7093" builtinId="9" hidden="1"/>
    <cellStyle name="Lien hypertexte visité" xfId="7073" builtinId="9" hidden="1"/>
    <cellStyle name="Lien hypertexte visité" xfId="7057" builtinId="9" hidden="1"/>
    <cellStyle name="Lien hypertexte visité" xfId="7037" builtinId="9" hidden="1"/>
    <cellStyle name="Lien hypertexte visité" xfId="7001" builtinId="9" hidden="1"/>
    <cellStyle name="Lien hypertexte visité" xfId="6981" builtinId="9" hidden="1"/>
    <cellStyle name="Lien hypertexte visité" xfId="6965" builtinId="9" hidden="1"/>
    <cellStyle name="Lien hypertexte visité" xfId="6945" builtinId="9" hidden="1"/>
    <cellStyle name="Lien hypertexte visité" xfId="6929" builtinId="9" hidden="1"/>
    <cellStyle name="Lien hypertexte visité" xfId="6909" builtinId="9" hidden="1"/>
    <cellStyle name="Lien hypertexte visité" xfId="6893" builtinId="9" hidden="1"/>
    <cellStyle name="Lien hypertexte visité" xfId="6853" builtinId="9" hidden="1"/>
    <cellStyle name="Lien hypertexte visité" xfId="6837" builtinId="9" hidden="1"/>
    <cellStyle name="Lien hypertexte visité" xfId="6817" builtinId="9" hidden="1"/>
    <cellStyle name="Lien hypertexte visité" xfId="6801" builtinId="9" hidden="1"/>
    <cellStyle name="Lien hypertexte visité" xfId="6781" builtinId="9" hidden="1"/>
    <cellStyle name="Lien hypertexte visité" xfId="6765" builtinId="9" hidden="1"/>
    <cellStyle name="Lien hypertexte visité" xfId="6745" builtinId="9" hidden="1"/>
    <cellStyle name="Lien hypertexte visité" xfId="6709" builtinId="9" hidden="1"/>
    <cellStyle name="Lien hypertexte visité" xfId="6689" builtinId="9" hidden="1"/>
    <cellStyle name="Lien hypertexte visité" xfId="6673" builtinId="9" hidden="1"/>
    <cellStyle name="Lien hypertexte visité" xfId="6653" builtinId="9" hidden="1"/>
    <cellStyle name="Lien hypertexte visité" xfId="6637" builtinId="9" hidden="1"/>
    <cellStyle name="Lien hypertexte visité" xfId="6617" builtinId="9" hidden="1"/>
    <cellStyle name="Lien hypertexte visité" xfId="6597" builtinId="9" hidden="1"/>
    <cellStyle name="Lien hypertexte visité" xfId="6561" builtinId="9" hidden="1"/>
    <cellStyle name="Lien hypertexte visité" xfId="6545" builtinId="9" hidden="1"/>
    <cellStyle name="Lien hypertexte visité" xfId="6525" builtinId="9" hidden="1"/>
    <cellStyle name="Lien hypertexte visité" xfId="6509" builtinId="9" hidden="1"/>
    <cellStyle name="Lien hypertexte visité" xfId="6489" builtinId="9" hidden="1"/>
    <cellStyle name="Lien hypertexte visité" xfId="6469" builtinId="9" hidden="1"/>
    <cellStyle name="Lien hypertexte visité" xfId="6453" builtinId="9" hidden="1"/>
    <cellStyle name="Lien hypertexte visité" xfId="6417" builtinId="9" hidden="1"/>
    <cellStyle name="Lien hypertexte visité" xfId="6397" builtinId="9" hidden="1"/>
    <cellStyle name="Lien hypertexte visité" xfId="6381" builtinId="9" hidden="1"/>
    <cellStyle name="Lien hypertexte visité" xfId="6361" builtinId="9" hidden="1"/>
    <cellStyle name="Lien hypertexte visité" xfId="6341" builtinId="9" hidden="1"/>
    <cellStyle name="Lien hypertexte visité" xfId="6325" builtinId="9" hidden="1"/>
    <cellStyle name="Lien hypertexte visité" xfId="6305" builtinId="9" hidden="1"/>
    <cellStyle name="Lien hypertexte visité" xfId="6269" builtinId="9" hidden="1"/>
    <cellStyle name="Lien hypertexte visité" xfId="6253" builtinId="9" hidden="1"/>
    <cellStyle name="Lien hypertexte visité" xfId="6233" builtinId="9" hidden="1"/>
    <cellStyle name="Lien hypertexte visité" xfId="6213" builtinId="9" hidden="1"/>
    <cellStyle name="Lien hypertexte visité" xfId="6197" builtinId="9" hidden="1"/>
    <cellStyle name="Lien hypertexte visité" xfId="6177" builtinId="9" hidden="1"/>
    <cellStyle name="Lien hypertexte visité" xfId="6161" builtinId="9" hidden="1"/>
    <cellStyle name="Lien hypertexte visité" xfId="6125" builtinId="9" hidden="1"/>
    <cellStyle name="Lien hypertexte visité" xfId="6105" builtinId="9" hidden="1"/>
    <cellStyle name="Lien hypertexte visité" xfId="6085" builtinId="9" hidden="1"/>
    <cellStyle name="Lien hypertexte visité" xfId="6069" builtinId="9" hidden="1"/>
    <cellStyle name="Lien hypertexte visité" xfId="6049" builtinId="9" hidden="1"/>
    <cellStyle name="Lien hypertexte visité" xfId="6033" builtinId="9" hidden="1"/>
    <cellStyle name="Lien hypertexte visité" xfId="6013" builtinId="9" hidden="1"/>
    <cellStyle name="Lien hypertexte visité" xfId="5977" builtinId="9" hidden="1"/>
    <cellStyle name="Lien hypertexte visité" xfId="5957" builtinId="9" hidden="1"/>
    <cellStyle name="Lien hypertexte visité" xfId="5941" builtinId="9" hidden="1"/>
    <cellStyle name="Lien hypertexte visité" xfId="5921" builtinId="9" hidden="1"/>
    <cellStyle name="Lien hypertexte visité" xfId="5905" builtinId="9" hidden="1"/>
    <cellStyle name="Lien hypertexte visité" xfId="5885" builtinId="9" hidden="1"/>
    <cellStyle name="Lien hypertexte visité" xfId="5869" builtinId="9" hidden="1"/>
    <cellStyle name="Lien hypertexte visité" xfId="5829" builtinId="9" hidden="1"/>
    <cellStyle name="Lien hypertexte visité" xfId="5813" builtinId="9" hidden="1"/>
    <cellStyle name="Lien hypertexte visité" xfId="5793" builtinId="9" hidden="1"/>
    <cellStyle name="Lien hypertexte visité" xfId="5777" builtinId="9" hidden="1"/>
    <cellStyle name="Lien hypertexte visité" xfId="5757" builtinId="9" hidden="1"/>
    <cellStyle name="Lien hypertexte visité" xfId="5741" builtinId="9" hidden="1"/>
    <cellStyle name="Lien hypertexte visité" xfId="5721" builtinId="9" hidden="1"/>
    <cellStyle name="Lien hypertexte visité" xfId="5685" builtinId="9" hidden="1"/>
    <cellStyle name="Lien hypertexte visité" xfId="5665" builtinId="9" hidden="1"/>
    <cellStyle name="Lien hypertexte visité" xfId="5649" builtinId="9" hidden="1"/>
    <cellStyle name="Lien hypertexte visité" xfId="5629" builtinId="9" hidden="1"/>
    <cellStyle name="Lien hypertexte visité" xfId="5613" builtinId="9" hidden="1"/>
    <cellStyle name="Lien hypertexte visité" xfId="5593" builtinId="9" hidden="1"/>
    <cellStyle name="Lien hypertexte visité" xfId="5573" builtinId="9" hidden="1"/>
    <cellStyle name="Lien hypertexte visité" xfId="5537" builtinId="9" hidden="1"/>
    <cellStyle name="Lien hypertexte visité" xfId="5521" builtinId="9" hidden="1"/>
    <cellStyle name="Lien hypertexte visité" xfId="5501" builtinId="9" hidden="1"/>
    <cellStyle name="Lien hypertexte visité" xfId="5485" builtinId="9" hidden="1"/>
    <cellStyle name="Lien hypertexte visité" xfId="5465" builtinId="9" hidden="1"/>
    <cellStyle name="Lien hypertexte visité" xfId="5445" builtinId="9" hidden="1"/>
    <cellStyle name="Lien hypertexte visité" xfId="5429" builtinId="9" hidden="1"/>
    <cellStyle name="Lien hypertexte visité" xfId="5393" builtinId="9" hidden="1"/>
    <cellStyle name="Lien hypertexte visité" xfId="5373" builtinId="9" hidden="1"/>
    <cellStyle name="Lien hypertexte visité" xfId="5357" builtinId="9" hidden="1"/>
    <cellStyle name="Lien hypertexte visité" xfId="5337" builtinId="9" hidden="1"/>
    <cellStyle name="Lien hypertexte visité" xfId="5317" builtinId="9" hidden="1"/>
    <cellStyle name="Lien hypertexte visité" xfId="5301" builtinId="9" hidden="1"/>
    <cellStyle name="Lien hypertexte visité" xfId="5281" builtinId="9" hidden="1"/>
    <cellStyle name="Lien hypertexte visité" xfId="5245" builtinId="9" hidden="1"/>
    <cellStyle name="Lien hypertexte visité" xfId="5229" builtinId="9" hidden="1"/>
    <cellStyle name="Lien hypertexte visité" xfId="5209" builtinId="9" hidden="1"/>
    <cellStyle name="Lien hypertexte visité" xfId="5189" builtinId="9" hidden="1"/>
    <cellStyle name="Lien hypertexte visité" xfId="5173" builtinId="9" hidden="1"/>
    <cellStyle name="Lien hypertexte visité" xfId="5153" builtinId="9" hidden="1"/>
    <cellStyle name="Lien hypertexte visité" xfId="5137" builtinId="9" hidden="1"/>
    <cellStyle name="Lien hypertexte visité" xfId="5101" builtinId="9" hidden="1"/>
    <cellStyle name="Lien hypertexte visité" xfId="5081" builtinId="9" hidden="1"/>
    <cellStyle name="Lien hypertexte visité" xfId="5061" builtinId="9" hidden="1"/>
    <cellStyle name="Lien hypertexte visité" xfId="5045" builtinId="9" hidden="1"/>
    <cellStyle name="Lien hypertexte visité" xfId="5025" builtinId="9" hidden="1"/>
    <cellStyle name="Lien hypertexte visité" xfId="5009" builtinId="9" hidden="1"/>
    <cellStyle name="Lien hypertexte visité" xfId="4989" builtinId="9" hidden="1"/>
    <cellStyle name="Lien hypertexte visité" xfId="4953" builtinId="9" hidden="1"/>
    <cellStyle name="Lien hypertexte visité" xfId="4933" builtinId="9" hidden="1"/>
    <cellStyle name="Lien hypertexte visité" xfId="4917" builtinId="9" hidden="1"/>
    <cellStyle name="Lien hypertexte visité" xfId="4897" builtinId="9" hidden="1"/>
    <cellStyle name="Lien hypertexte visité" xfId="4881" builtinId="9" hidden="1"/>
    <cellStyle name="Lien hypertexte visité" xfId="4861" builtinId="9" hidden="1"/>
    <cellStyle name="Lien hypertexte visité" xfId="4845" builtinId="9" hidden="1"/>
    <cellStyle name="Lien hypertexte visité" xfId="4805" builtinId="9" hidden="1"/>
    <cellStyle name="Lien hypertexte visité" xfId="4789" builtinId="9" hidden="1"/>
    <cellStyle name="Lien hypertexte visité" xfId="4769" builtinId="9" hidden="1"/>
    <cellStyle name="Lien hypertexte visité" xfId="4753" builtinId="9" hidden="1"/>
    <cellStyle name="Lien hypertexte visité" xfId="4733" builtinId="9" hidden="1"/>
    <cellStyle name="Lien hypertexte visité" xfId="4717" builtinId="9" hidden="1"/>
    <cellStyle name="Lien hypertexte visité" xfId="4697" builtinId="9" hidden="1"/>
    <cellStyle name="Lien hypertexte visité" xfId="4661" builtinId="9" hidden="1"/>
    <cellStyle name="Lien hypertexte visité" xfId="4641" builtinId="9" hidden="1"/>
    <cellStyle name="Lien hypertexte visité" xfId="4625" builtinId="9" hidden="1"/>
    <cellStyle name="Lien hypertexte visité" xfId="4605" builtinId="9" hidden="1"/>
    <cellStyle name="Lien hypertexte visité" xfId="4589" builtinId="9" hidden="1"/>
    <cellStyle name="Lien hypertexte visité" xfId="4569" builtinId="9" hidden="1"/>
    <cellStyle name="Lien hypertexte visité" xfId="4549" builtinId="9" hidden="1"/>
    <cellStyle name="Lien hypertexte visité" xfId="4513" builtinId="9" hidden="1"/>
    <cellStyle name="Lien hypertexte visité" xfId="4497" builtinId="9" hidden="1"/>
    <cellStyle name="Lien hypertexte visité" xfId="4477" builtinId="9" hidden="1"/>
    <cellStyle name="Lien hypertexte visité" xfId="4461" builtinId="9" hidden="1"/>
    <cellStyle name="Lien hypertexte visité" xfId="4441" builtinId="9" hidden="1"/>
    <cellStyle name="Lien hypertexte visité" xfId="4421" builtinId="9" hidden="1"/>
    <cellStyle name="Lien hypertexte visité" xfId="4405" builtinId="9" hidden="1"/>
    <cellStyle name="Lien hypertexte visité" xfId="4369" builtinId="9" hidden="1"/>
    <cellStyle name="Lien hypertexte visité" xfId="4349" builtinId="9" hidden="1"/>
    <cellStyle name="Lien hypertexte visité" xfId="4333" builtinId="9" hidden="1"/>
    <cellStyle name="Lien hypertexte visité" xfId="4313" builtinId="9" hidden="1"/>
    <cellStyle name="Lien hypertexte visité" xfId="4293" builtinId="9" hidden="1"/>
    <cellStyle name="Lien hypertexte visité" xfId="4277" builtinId="9" hidden="1"/>
    <cellStyle name="Lien hypertexte visité" xfId="4257" builtinId="9" hidden="1"/>
    <cellStyle name="Lien hypertexte visité" xfId="4221" builtinId="9" hidden="1"/>
    <cellStyle name="Lien hypertexte visité" xfId="4205" builtinId="9" hidden="1"/>
    <cellStyle name="Lien hypertexte visité" xfId="4185" builtinId="9" hidden="1"/>
    <cellStyle name="Lien hypertexte visité" xfId="4165" builtinId="9" hidden="1"/>
    <cellStyle name="Lien hypertexte visité" xfId="4149" builtinId="9" hidden="1"/>
    <cellStyle name="Lien hypertexte visité" xfId="4129" builtinId="9" hidden="1"/>
    <cellStyle name="Lien hypertexte visité" xfId="4113" builtinId="9" hidden="1"/>
    <cellStyle name="Lien hypertexte visité" xfId="4077" builtinId="9" hidden="1"/>
    <cellStyle name="Lien hypertexte visité" xfId="4057" builtinId="9" hidden="1"/>
    <cellStyle name="Lien hypertexte visité" xfId="4037" builtinId="9" hidden="1"/>
    <cellStyle name="Lien hypertexte visité" xfId="4021" builtinId="9" hidden="1"/>
    <cellStyle name="Lien hypertexte visité" xfId="4001" builtinId="9" hidden="1"/>
    <cellStyle name="Lien hypertexte visité" xfId="3985" builtinId="9" hidden="1"/>
    <cellStyle name="Lien hypertexte visité" xfId="3965" builtinId="9" hidden="1"/>
    <cellStyle name="Lien hypertexte visité" xfId="3929" builtinId="9" hidden="1"/>
    <cellStyle name="Lien hypertexte visité" xfId="8266" builtinId="9" hidden="1"/>
    <cellStyle name="Lien hypertexte visité" xfId="8330" builtinId="9" hidden="1"/>
    <cellStyle name="Lien hypertexte visité" xfId="8394" builtinId="9" hidden="1"/>
    <cellStyle name="Lien hypertexte visité" xfId="8458" builtinId="9" hidden="1"/>
    <cellStyle name="Lien hypertexte visité" xfId="8522" builtinId="9" hidden="1"/>
    <cellStyle name="Lien hypertexte visité" xfId="8586" builtinId="9" hidden="1"/>
    <cellStyle name="Lien hypertexte visité" xfId="8714" builtinId="9" hidden="1"/>
    <cellStyle name="Lien hypertexte visité" xfId="8778" builtinId="9" hidden="1"/>
    <cellStyle name="Lien hypertexte visité" xfId="8842" builtinId="9" hidden="1"/>
    <cellStyle name="Lien hypertexte visité" xfId="8906" builtinId="9" hidden="1"/>
    <cellStyle name="Lien hypertexte visité" xfId="8970" builtinId="9" hidden="1"/>
    <cellStyle name="Lien hypertexte visité" xfId="9034" builtinId="9" hidden="1"/>
    <cellStyle name="Lien hypertexte visité" xfId="9098" builtinId="9" hidden="1"/>
    <cellStyle name="Lien hypertexte visité" xfId="9226" builtinId="9" hidden="1"/>
    <cellStyle name="Lien hypertexte visité" xfId="9290" builtinId="9" hidden="1"/>
    <cellStyle name="Lien hypertexte visité" xfId="9354" builtinId="9" hidden="1"/>
    <cellStyle name="Lien hypertexte visité" xfId="9418" builtinId="9" hidden="1"/>
    <cellStyle name="Lien hypertexte visité" xfId="9482" builtinId="9" hidden="1"/>
    <cellStyle name="Lien hypertexte visité" xfId="9546" builtinId="9" hidden="1"/>
    <cellStyle name="Lien hypertexte visité" xfId="9610" builtinId="9" hidden="1"/>
    <cellStyle name="Lien hypertexte visité" xfId="9738" builtinId="9" hidden="1"/>
    <cellStyle name="Lien hypertexte visité" xfId="9802" builtinId="9" hidden="1"/>
    <cellStyle name="Lien hypertexte visité" xfId="9866" builtinId="9" hidden="1"/>
    <cellStyle name="Lien hypertexte visité" xfId="9930" builtinId="9" hidden="1"/>
    <cellStyle name="Lien hypertexte visité" xfId="9994" builtinId="9" hidden="1"/>
    <cellStyle name="Lien hypertexte visité" xfId="10058" builtinId="9" hidden="1"/>
    <cellStyle name="Lien hypertexte visité" xfId="10122" builtinId="9" hidden="1"/>
    <cellStyle name="Lien hypertexte visité" xfId="10250" builtinId="9" hidden="1"/>
    <cellStyle name="Lien hypertexte visité" xfId="10314" builtinId="9" hidden="1"/>
    <cellStyle name="Lien hypertexte visité" xfId="10378" builtinId="9" hidden="1"/>
    <cellStyle name="Lien hypertexte visité" xfId="10442" builtinId="9" hidden="1"/>
    <cellStyle name="Lien hypertexte visité" xfId="10506" builtinId="9" hidden="1"/>
    <cellStyle name="Lien hypertexte visité" xfId="10570" builtinId="9" hidden="1"/>
    <cellStyle name="Lien hypertexte visité" xfId="10634" builtinId="9" hidden="1"/>
    <cellStyle name="Lien hypertexte visité" xfId="10762" builtinId="9" hidden="1"/>
    <cellStyle name="Lien hypertexte visité" xfId="10826" builtinId="9" hidden="1"/>
    <cellStyle name="Lien hypertexte visité" xfId="10890" builtinId="9" hidden="1"/>
    <cellStyle name="Lien hypertexte visité" xfId="10954" builtinId="9" hidden="1"/>
    <cellStyle name="Lien hypertexte visité" xfId="11018" builtinId="9" hidden="1"/>
    <cellStyle name="Lien hypertexte visité" xfId="11082" builtinId="9" hidden="1"/>
    <cellStyle name="Lien hypertexte visité" xfId="11146" builtinId="9" hidden="1"/>
    <cellStyle name="Lien hypertexte visité" xfId="11274" builtinId="9" hidden="1"/>
    <cellStyle name="Lien hypertexte visité" xfId="11338" builtinId="9" hidden="1"/>
    <cellStyle name="Lien hypertexte visité" xfId="11402" builtinId="9" hidden="1"/>
    <cellStyle name="Lien hypertexte visité" xfId="11466" builtinId="9" hidden="1"/>
    <cellStyle name="Lien hypertexte visité" xfId="11530" builtinId="9" hidden="1"/>
    <cellStyle name="Lien hypertexte visité" xfId="11594" builtinId="9" hidden="1"/>
    <cellStyle name="Lien hypertexte visité" xfId="11658" builtinId="9" hidden="1"/>
    <cellStyle name="Lien hypertexte visité" xfId="11786" builtinId="9" hidden="1"/>
    <cellStyle name="Lien hypertexte visité" xfId="11850" builtinId="9" hidden="1"/>
    <cellStyle name="Lien hypertexte visité" xfId="11914" builtinId="9" hidden="1"/>
    <cellStyle name="Lien hypertexte visité" xfId="11978" builtinId="9" hidden="1"/>
    <cellStyle name="Lien hypertexte visité" xfId="12042" builtinId="9" hidden="1"/>
    <cellStyle name="Lien hypertexte visité" xfId="12106" builtinId="9" hidden="1"/>
    <cellStyle name="Lien hypertexte visité" xfId="12170" builtinId="9" hidden="1"/>
    <cellStyle name="Lien hypertexte visité" xfId="12298" builtinId="9" hidden="1"/>
    <cellStyle name="Lien hypertexte visité" xfId="12362" builtinId="9" hidden="1"/>
    <cellStyle name="Lien hypertexte visité" xfId="12426" builtinId="9" hidden="1"/>
    <cellStyle name="Lien hypertexte visité" xfId="12490" builtinId="9" hidden="1"/>
    <cellStyle name="Lien hypertexte visité" xfId="12554" builtinId="9" hidden="1"/>
    <cellStyle name="Lien hypertexte visité" xfId="12618" builtinId="9" hidden="1"/>
    <cellStyle name="Lien hypertexte visité" xfId="12682" builtinId="9" hidden="1"/>
    <cellStyle name="Lien hypertexte visité" xfId="12810" builtinId="9" hidden="1"/>
    <cellStyle name="Lien hypertexte visité" xfId="12874" builtinId="9" hidden="1"/>
    <cellStyle name="Lien hypertexte visité" xfId="12938" builtinId="9" hidden="1"/>
    <cellStyle name="Lien hypertexte visité" xfId="13002" builtinId="9" hidden="1"/>
    <cellStyle name="Lien hypertexte visité" xfId="13066" builtinId="9" hidden="1"/>
    <cellStyle name="Lien hypertexte visité" xfId="13130" builtinId="9" hidden="1"/>
    <cellStyle name="Lien hypertexte visité" xfId="13194" builtinId="9" hidden="1"/>
    <cellStyle name="Lien hypertexte visité" xfId="13322" builtinId="9" hidden="1"/>
    <cellStyle name="Lien hypertexte visité" xfId="13386" builtinId="9" hidden="1"/>
    <cellStyle name="Lien hypertexte visité" xfId="13450" builtinId="9" hidden="1"/>
    <cellStyle name="Lien hypertexte visité" xfId="13514" builtinId="9" hidden="1"/>
    <cellStyle name="Lien hypertexte visité" xfId="13578" builtinId="9" hidden="1"/>
    <cellStyle name="Lien hypertexte visité" xfId="13642" builtinId="9" hidden="1"/>
    <cellStyle name="Lien hypertexte visité" xfId="13706" builtinId="9" hidden="1"/>
    <cellStyle name="Lien hypertexte visité" xfId="13834" builtinId="9" hidden="1"/>
    <cellStyle name="Lien hypertexte visité" xfId="13898" builtinId="9" hidden="1"/>
    <cellStyle name="Lien hypertexte visité" xfId="13962" builtinId="9" hidden="1"/>
    <cellStyle name="Lien hypertexte visité" xfId="14026" builtinId="9" hidden="1"/>
    <cellStyle name="Lien hypertexte visité" xfId="14090" builtinId="9" hidden="1"/>
    <cellStyle name="Lien hypertexte visité" xfId="14154" builtinId="9" hidden="1"/>
    <cellStyle name="Lien hypertexte visité" xfId="14218" builtinId="9" hidden="1"/>
    <cellStyle name="Lien hypertexte visité" xfId="14346" builtinId="9" hidden="1"/>
    <cellStyle name="Lien hypertexte visité" xfId="14410" builtinId="9" hidden="1"/>
    <cellStyle name="Lien hypertexte visité" xfId="14474" builtinId="9" hidden="1"/>
    <cellStyle name="Lien hypertexte visité" xfId="14561" builtinId="9" hidden="1"/>
    <cellStyle name="Lien hypertexte visité" xfId="14689" builtinId="9" hidden="1"/>
    <cellStyle name="Lien hypertexte visité" xfId="14817" builtinId="9" hidden="1"/>
    <cellStyle name="Lien hypertexte visité" xfId="14945" builtinId="9" hidden="1"/>
    <cellStyle name="Lien hypertexte visité" xfId="15201" builtinId="9" hidden="1"/>
    <cellStyle name="Lien hypertexte visité" xfId="15329" builtinId="9" hidden="1"/>
    <cellStyle name="Lien hypertexte visité" xfId="15457" builtinId="9" hidden="1"/>
    <cellStyle name="Lien hypertexte visité" xfId="15585" builtinId="9" hidden="1"/>
    <cellStyle name="Lien hypertexte visité" xfId="15713" builtinId="9" hidden="1"/>
    <cellStyle name="Lien hypertexte visité" xfId="15841" builtinId="9" hidden="1"/>
    <cellStyle name="Lien hypertexte visité" xfId="15969" builtinId="9" hidden="1"/>
    <cellStyle name="Lien hypertexte visité" xfId="16225" builtinId="9" hidden="1"/>
    <cellStyle name="Lien hypertexte visité" xfId="16353" builtinId="9" hidden="1"/>
    <cellStyle name="Lien hypertexte visité" xfId="16481" builtinId="9" hidden="1"/>
    <cellStyle name="Lien hypertexte visité" xfId="16609" builtinId="9" hidden="1"/>
    <cellStyle name="Lien hypertexte visité" xfId="16737" builtinId="9" hidden="1"/>
    <cellStyle name="Lien hypertexte visité" xfId="16865" builtinId="9" hidden="1"/>
    <cellStyle name="Lien hypertexte visité" xfId="16993" builtinId="9" hidden="1"/>
    <cellStyle name="Lien hypertexte visité" xfId="17249" builtinId="9" hidden="1"/>
    <cellStyle name="Lien hypertexte visité" xfId="17377" builtinId="9" hidden="1"/>
    <cellStyle name="Lien hypertexte visité" xfId="17505" builtinId="9" hidden="1"/>
    <cellStyle name="Lien hypertexte visité" xfId="17633" builtinId="9" hidden="1"/>
    <cellStyle name="Lien hypertexte visité" xfId="17761" builtinId="9" hidden="1"/>
    <cellStyle name="Lien hypertexte visité" xfId="17889" builtinId="9" hidden="1"/>
    <cellStyle name="Lien hypertexte visité" xfId="18017" builtinId="9" hidden="1"/>
    <cellStyle name="Lien hypertexte visité" xfId="18273" builtinId="9" hidden="1"/>
    <cellStyle name="Lien hypertexte visité" xfId="18384" builtinId="9" hidden="1"/>
    <cellStyle name="Lien hypertexte visité" xfId="18512" builtinId="9" hidden="1"/>
    <cellStyle name="Lien hypertexte visité" xfId="18640" builtinId="9" hidden="1"/>
    <cellStyle name="Lien hypertexte visité" xfId="18768" builtinId="9" hidden="1"/>
    <cellStyle name="Lien hypertexte visité" xfId="18896" builtinId="9" hidden="1"/>
    <cellStyle name="Lien hypertexte visité" xfId="19024" builtinId="9" hidden="1"/>
    <cellStyle name="Lien hypertexte visité" xfId="19280" builtinId="9" hidden="1"/>
    <cellStyle name="Lien hypertexte visité" xfId="19408" builtinId="9" hidden="1"/>
    <cellStyle name="Lien hypertexte visité" xfId="19536" builtinId="9" hidden="1"/>
    <cellStyle name="Lien hypertexte visité" xfId="19664" builtinId="9" hidden="1"/>
    <cellStyle name="Lien hypertexte visité" xfId="19792" builtinId="9" hidden="1"/>
    <cellStyle name="Lien hypertexte visité" xfId="19920" builtinId="9" hidden="1"/>
    <cellStyle name="Lien hypertexte visité" xfId="20048" builtinId="9" hidden="1"/>
    <cellStyle name="Lien hypertexte visité" xfId="20304" builtinId="9" hidden="1"/>
    <cellStyle name="Lien hypertexte visité" xfId="20432" builtinId="9" hidden="1"/>
    <cellStyle name="Lien hypertexte visité" xfId="20560" builtinId="9" hidden="1"/>
    <cellStyle name="Lien hypertexte visité" xfId="20688" builtinId="9" hidden="1"/>
    <cellStyle name="Lien hypertexte visité" xfId="20816" builtinId="9" hidden="1"/>
    <cellStyle name="Lien hypertexte visité" xfId="20944" builtinId="9" hidden="1"/>
    <cellStyle name="Lien hypertexte visité" xfId="21072" builtinId="9" hidden="1"/>
    <cellStyle name="Lien hypertexte visité" xfId="21328" builtinId="9" hidden="1"/>
    <cellStyle name="Lien hypertexte visité" xfId="21456" builtinId="9" hidden="1"/>
    <cellStyle name="Lien hypertexte visité" xfId="21584" builtinId="9" hidden="1"/>
    <cellStyle name="Lien hypertexte visité" xfId="21712" builtinId="9" hidden="1"/>
    <cellStyle name="Lien hypertexte visité" xfId="21840" builtinId="9" hidden="1"/>
    <cellStyle name="Lien hypertexte visité" xfId="21968" builtinId="9" hidden="1"/>
    <cellStyle name="Lien hypertexte visité" xfId="22096" builtinId="9" hidden="1"/>
    <cellStyle name="Lien hypertexte visité" xfId="22352" builtinId="9" hidden="1"/>
    <cellStyle name="Lien hypertexte visité" xfId="22480" builtinId="9" hidden="1"/>
    <cellStyle name="Lien hypertexte visité" xfId="22608" builtinId="9" hidden="1"/>
    <cellStyle name="Lien hypertexte visité" xfId="22736" builtinId="9" hidden="1"/>
    <cellStyle name="Lien hypertexte visité" xfId="22864" builtinId="9" hidden="1"/>
    <cellStyle name="Lien hypertexte visité" xfId="22992" builtinId="9" hidden="1"/>
    <cellStyle name="Lien hypertexte visité" xfId="23120" builtinId="9" hidden="1"/>
    <cellStyle name="Lien hypertexte visité" xfId="23376" builtinId="9" hidden="1"/>
    <cellStyle name="Lien hypertexte visité" xfId="23504" builtinId="9" hidden="1"/>
    <cellStyle name="Lien hypertexte visité" xfId="23632" builtinId="9" hidden="1"/>
    <cellStyle name="Lien hypertexte visité" xfId="23760" builtinId="9" hidden="1"/>
    <cellStyle name="Lien hypertexte visité" xfId="23888" builtinId="9" hidden="1"/>
    <cellStyle name="Lien hypertexte visité" xfId="24016" builtinId="9" hidden="1"/>
    <cellStyle name="Lien hypertexte visité" xfId="24144" builtinId="9" hidden="1"/>
    <cellStyle name="Lien hypertexte visité" xfId="24400" builtinId="9" hidden="1"/>
    <cellStyle name="Lien hypertexte visité" xfId="24528" builtinId="9" hidden="1"/>
    <cellStyle name="Lien hypertexte visité" xfId="24570" builtinId="9" hidden="1"/>
    <cellStyle name="Lien hypertexte visité" xfId="24442" builtinId="9" hidden="1"/>
    <cellStyle name="Lien hypertexte visité" xfId="24314" builtinId="9" hidden="1"/>
    <cellStyle name="Lien hypertexte visité" xfId="24186" builtinId="9" hidden="1"/>
    <cellStyle name="Lien hypertexte visité" xfId="24058" builtinId="9" hidden="1"/>
    <cellStyle name="Lien hypertexte visité" xfId="23802" builtinId="9" hidden="1"/>
    <cellStyle name="Lien hypertexte visité" xfId="23674" builtinId="9" hidden="1"/>
    <cellStyle name="Lien hypertexte visité" xfId="23546" builtinId="9" hidden="1"/>
    <cellStyle name="Lien hypertexte visité" xfId="23418" builtinId="9" hidden="1"/>
    <cellStyle name="Lien hypertexte visité" xfId="23290" builtinId="9" hidden="1"/>
    <cellStyle name="Lien hypertexte visité" xfId="23162" builtinId="9" hidden="1"/>
    <cellStyle name="Lien hypertexte visité" xfId="23034" builtinId="9" hidden="1"/>
    <cellStyle name="Lien hypertexte visité" xfId="22778" builtinId="9" hidden="1"/>
    <cellStyle name="Lien hypertexte visité" xfId="22650" builtinId="9" hidden="1"/>
    <cellStyle name="Lien hypertexte visité" xfId="22522" builtinId="9" hidden="1"/>
    <cellStyle name="Lien hypertexte visité" xfId="22394" builtinId="9" hidden="1"/>
    <cellStyle name="Lien hypertexte visité" xfId="22266" builtinId="9" hidden="1"/>
    <cellStyle name="Lien hypertexte visité" xfId="22138" builtinId="9" hidden="1"/>
    <cellStyle name="Lien hypertexte visité" xfId="22010" builtinId="9" hidden="1"/>
    <cellStyle name="Lien hypertexte visité" xfId="21754" builtinId="9" hidden="1"/>
    <cellStyle name="Lien hypertexte visité" xfId="21626" builtinId="9" hidden="1"/>
    <cellStyle name="Lien hypertexte visité" xfId="21498" builtinId="9" hidden="1"/>
    <cellStyle name="Lien hypertexte visité" xfId="21370" builtinId="9" hidden="1"/>
    <cellStyle name="Lien hypertexte visité" xfId="21242" builtinId="9" hidden="1"/>
    <cellStyle name="Lien hypertexte visité" xfId="21114" builtinId="9" hidden="1"/>
    <cellStyle name="Lien hypertexte visité" xfId="20986" builtinId="9" hidden="1"/>
    <cellStyle name="Lien hypertexte visité" xfId="20730" builtinId="9" hidden="1"/>
    <cellStyle name="Lien hypertexte visité" xfId="20602" builtinId="9" hidden="1"/>
    <cellStyle name="Lien hypertexte visité" xfId="20474" builtinId="9" hidden="1"/>
    <cellStyle name="Lien hypertexte visité" xfId="20346" builtinId="9" hidden="1"/>
    <cellStyle name="Lien hypertexte visité" xfId="20218" builtinId="9" hidden="1"/>
    <cellStyle name="Lien hypertexte visité" xfId="20090" builtinId="9" hidden="1"/>
    <cellStyle name="Lien hypertexte visité" xfId="19962" builtinId="9" hidden="1"/>
    <cellStyle name="Lien hypertexte visité" xfId="19706" builtinId="9" hidden="1"/>
    <cellStyle name="Lien hypertexte visité" xfId="19578" builtinId="9" hidden="1"/>
    <cellStyle name="Lien hypertexte visité" xfId="19450" builtinId="9" hidden="1"/>
    <cellStyle name="Lien hypertexte visité" xfId="19322" builtinId="9" hidden="1"/>
    <cellStyle name="Lien hypertexte visité" xfId="19194" builtinId="9" hidden="1"/>
    <cellStyle name="Lien hypertexte visité" xfId="19066" builtinId="9" hidden="1"/>
    <cellStyle name="Lien hypertexte visité" xfId="18938" builtinId="9" hidden="1"/>
    <cellStyle name="Lien hypertexte visité" xfId="18682" builtinId="9" hidden="1"/>
    <cellStyle name="Lien hypertexte visité" xfId="18554" builtinId="9" hidden="1"/>
    <cellStyle name="Lien hypertexte visité" xfId="18426" builtinId="9" hidden="1"/>
    <cellStyle name="Lien hypertexte visité" xfId="18312" builtinId="9" hidden="1"/>
    <cellStyle name="Lien hypertexte visité" xfId="18187" builtinId="9" hidden="1"/>
    <cellStyle name="Lien hypertexte visité" xfId="18059" builtinId="9" hidden="1"/>
    <cellStyle name="Lien hypertexte visité" xfId="17931" builtinId="9" hidden="1"/>
    <cellStyle name="Lien hypertexte visité" xfId="17675" builtinId="9" hidden="1"/>
    <cellStyle name="Lien hypertexte visité" xfId="17547" builtinId="9" hidden="1"/>
    <cellStyle name="Lien hypertexte visité" xfId="17419" builtinId="9" hidden="1"/>
    <cellStyle name="Lien hypertexte visité" xfId="17315" builtinId="9" hidden="1"/>
    <cellStyle name="Lien hypertexte visité" xfId="17363" builtinId="9" hidden="1"/>
    <cellStyle name="Lien hypertexte visité" xfId="17403" builtinId="9" hidden="1"/>
    <cellStyle name="Lien hypertexte visité" xfId="17443" builtinId="9" hidden="1"/>
    <cellStyle name="Lien hypertexte visité" xfId="17531" builtinId="9" hidden="1"/>
    <cellStyle name="Lien hypertexte visité" xfId="17571" builtinId="9" hidden="1"/>
    <cellStyle name="Lien hypertexte visité" xfId="17619" builtinId="9" hidden="1"/>
    <cellStyle name="Lien hypertexte visité" xfId="17659" builtinId="9" hidden="1"/>
    <cellStyle name="Lien hypertexte visité" xfId="17699" builtinId="9" hidden="1"/>
    <cellStyle name="Lien hypertexte visité" xfId="17747" builtinId="9" hidden="1"/>
    <cellStyle name="Lien hypertexte visité" xfId="17787" builtinId="9" hidden="1"/>
    <cellStyle name="Lien hypertexte visité" xfId="17875" builtinId="9" hidden="1"/>
    <cellStyle name="Lien hypertexte visité" xfId="17915" builtinId="9" hidden="1"/>
    <cellStyle name="Lien hypertexte visité" xfId="17955" builtinId="9" hidden="1"/>
    <cellStyle name="Lien hypertexte visité" xfId="18003" builtinId="9" hidden="1"/>
    <cellStyle name="Lien hypertexte visité" xfId="18043" builtinId="9" hidden="1"/>
    <cellStyle name="Lien hypertexte visité" xfId="18083" builtinId="9" hidden="1"/>
    <cellStyle name="Lien hypertexte visité" xfId="18131" builtinId="9" hidden="1"/>
    <cellStyle name="Lien hypertexte visité" xfId="18211" builtinId="9" hidden="1"/>
    <cellStyle name="Lien hypertexte visité" xfId="18259" builtinId="9" hidden="1"/>
    <cellStyle name="Lien hypertexte visité" xfId="18299" builtinId="9" hidden="1"/>
    <cellStyle name="Lien hypertexte visité" xfId="18324" builtinId="9" hidden="1"/>
    <cellStyle name="Lien hypertexte visité" xfId="18370" builtinId="9" hidden="1"/>
    <cellStyle name="Lien hypertexte visité" xfId="18410" builtinId="9" hidden="1"/>
    <cellStyle name="Lien hypertexte visité" xfId="18450" builtinId="9" hidden="1"/>
    <cellStyle name="Lien hypertexte visité" xfId="18538" builtinId="9" hidden="1"/>
    <cellStyle name="Lien hypertexte visité" xfId="18578" builtinId="9" hidden="1"/>
    <cellStyle name="Lien hypertexte visité" xfId="18626" builtinId="9" hidden="1"/>
    <cellStyle name="Lien hypertexte visité" xfId="18666" builtinId="9" hidden="1"/>
    <cellStyle name="Lien hypertexte visité" xfId="18706" builtinId="9" hidden="1"/>
    <cellStyle name="Lien hypertexte visité" xfId="18754" builtinId="9" hidden="1"/>
    <cellStyle name="Lien hypertexte visité" xfId="18794" builtinId="9" hidden="1"/>
    <cellStyle name="Lien hypertexte visité" xfId="18882" builtinId="9" hidden="1"/>
    <cellStyle name="Lien hypertexte visité" xfId="18922" builtinId="9" hidden="1"/>
    <cellStyle name="Lien hypertexte visité" xfId="18962" builtinId="9" hidden="1"/>
    <cellStyle name="Lien hypertexte visité" xfId="19010" builtinId="9" hidden="1"/>
    <cellStyle name="Lien hypertexte visité" xfId="19050" builtinId="9" hidden="1"/>
    <cellStyle name="Lien hypertexte visité" xfId="19090" builtinId="9" hidden="1"/>
    <cellStyle name="Lien hypertexte visité" xfId="19138" builtinId="9" hidden="1"/>
    <cellStyle name="Lien hypertexte visité" xfId="19218" builtinId="9" hidden="1"/>
    <cellStyle name="Lien hypertexte visité" xfId="19266" builtinId="9" hidden="1"/>
    <cellStyle name="Lien hypertexte visité" xfId="19306" builtinId="9" hidden="1"/>
    <cellStyle name="Lien hypertexte visité" xfId="19346" builtinId="9" hidden="1"/>
    <cellStyle name="Lien hypertexte visité" xfId="19394" builtinId="9" hidden="1"/>
    <cellStyle name="Lien hypertexte visité" xfId="19434" builtinId="9" hidden="1"/>
    <cellStyle name="Lien hypertexte visité" xfId="19474" builtinId="9" hidden="1"/>
    <cellStyle name="Lien hypertexte visité" xfId="19562" builtinId="9" hidden="1"/>
    <cellStyle name="Lien hypertexte visité" xfId="19602" builtinId="9" hidden="1"/>
    <cellStyle name="Lien hypertexte visité" xfId="19650" builtinId="9" hidden="1"/>
    <cellStyle name="Lien hypertexte visité" xfId="19690" builtinId="9" hidden="1"/>
    <cellStyle name="Lien hypertexte visité" xfId="19730" builtinId="9" hidden="1"/>
    <cellStyle name="Lien hypertexte visité" xfId="19778" builtinId="9" hidden="1"/>
    <cellStyle name="Lien hypertexte visité" xfId="19818" builtinId="9" hidden="1"/>
    <cellStyle name="Lien hypertexte visité" xfId="19906" builtinId="9" hidden="1"/>
    <cellStyle name="Lien hypertexte visité" xfId="19946" builtinId="9" hidden="1"/>
    <cellStyle name="Lien hypertexte visité" xfId="19986" builtinId="9" hidden="1"/>
    <cellStyle name="Lien hypertexte visité" xfId="20034" builtinId="9" hidden="1"/>
    <cellStyle name="Lien hypertexte visité" xfId="20074" builtinId="9" hidden="1"/>
    <cellStyle name="Lien hypertexte visité" xfId="20114" builtinId="9" hidden="1"/>
    <cellStyle name="Lien hypertexte visité" xfId="20162" builtinId="9" hidden="1"/>
    <cellStyle name="Lien hypertexte visité" xfId="20242" builtinId="9" hidden="1"/>
    <cellStyle name="Lien hypertexte visité" xfId="20290" builtinId="9" hidden="1"/>
    <cellStyle name="Lien hypertexte visité" xfId="20330" builtinId="9" hidden="1"/>
    <cellStyle name="Lien hypertexte visité" xfId="20370" builtinId="9" hidden="1"/>
    <cellStyle name="Lien hypertexte visité" xfId="20418" builtinId="9" hidden="1"/>
    <cellStyle name="Lien hypertexte visité" xfId="20458" builtinId="9" hidden="1"/>
    <cellStyle name="Lien hypertexte visité" xfId="20498" builtinId="9" hidden="1"/>
    <cellStyle name="Lien hypertexte visité" xfId="20586" builtinId="9" hidden="1"/>
    <cellStyle name="Lien hypertexte visité" xfId="20626" builtinId="9" hidden="1"/>
    <cellStyle name="Lien hypertexte visité" xfId="20674" builtinId="9" hidden="1"/>
    <cellStyle name="Lien hypertexte visité" xfId="20714" builtinId="9" hidden="1"/>
    <cellStyle name="Lien hypertexte visité" xfId="20754" builtinId="9" hidden="1"/>
    <cellStyle name="Lien hypertexte visité" xfId="20802" builtinId="9" hidden="1"/>
    <cellStyle name="Lien hypertexte visité" xfId="20842" builtinId="9" hidden="1"/>
    <cellStyle name="Lien hypertexte visité" xfId="20930" builtinId="9" hidden="1"/>
    <cellStyle name="Lien hypertexte visité" xfId="20970" builtinId="9" hidden="1"/>
    <cellStyle name="Lien hypertexte visité" xfId="21010" builtinId="9" hidden="1"/>
    <cellStyle name="Lien hypertexte visité" xfId="21058" builtinId="9" hidden="1"/>
    <cellStyle name="Lien hypertexte visité" xfId="21098" builtinId="9" hidden="1"/>
    <cellStyle name="Lien hypertexte visité" xfId="21138" builtinId="9" hidden="1"/>
    <cellStyle name="Lien hypertexte visité" xfId="21186" builtinId="9" hidden="1"/>
    <cellStyle name="Lien hypertexte visité" xfId="21266" builtinId="9" hidden="1"/>
    <cellStyle name="Lien hypertexte visité" xfId="21314" builtinId="9" hidden="1"/>
    <cellStyle name="Lien hypertexte visité" xfId="21354" builtinId="9" hidden="1"/>
    <cellStyle name="Lien hypertexte visité" xfId="21394" builtinId="9" hidden="1"/>
    <cellStyle name="Lien hypertexte visité" xfId="21442" builtinId="9" hidden="1"/>
    <cellStyle name="Lien hypertexte visité" xfId="21482" builtinId="9" hidden="1"/>
    <cellStyle name="Lien hypertexte visité" xfId="21522" builtinId="9" hidden="1"/>
    <cellStyle name="Lien hypertexte visité" xfId="21610" builtinId="9" hidden="1"/>
    <cellStyle name="Lien hypertexte visité" xfId="21650" builtinId="9" hidden="1"/>
    <cellStyle name="Lien hypertexte visité" xfId="21698" builtinId="9" hidden="1"/>
    <cellStyle name="Lien hypertexte visité" xfId="21738" builtinId="9" hidden="1"/>
    <cellStyle name="Lien hypertexte visité" xfId="21778" builtinId="9" hidden="1"/>
    <cellStyle name="Lien hypertexte visité" xfId="21826" builtinId="9" hidden="1"/>
    <cellStyle name="Lien hypertexte visité" xfId="21866" builtinId="9" hidden="1"/>
    <cellStyle name="Lien hypertexte visité" xfId="21954" builtinId="9" hidden="1"/>
    <cellStyle name="Lien hypertexte visité" xfId="21994" builtinId="9" hidden="1"/>
    <cellStyle name="Lien hypertexte visité" xfId="22034" builtinId="9" hidden="1"/>
    <cellStyle name="Lien hypertexte visité" xfId="22082" builtinId="9" hidden="1"/>
    <cellStyle name="Lien hypertexte visité" xfId="22122" builtinId="9" hidden="1"/>
    <cellStyle name="Lien hypertexte visité" xfId="22162" builtinId="9" hidden="1"/>
    <cellStyle name="Lien hypertexte visité" xfId="22210" builtinId="9" hidden="1"/>
    <cellStyle name="Lien hypertexte visité" xfId="22290" builtinId="9" hidden="1"/>
    <cellStyle name="Lien hypertexte visité" xfId="22338" builtinId="9" hidden="1"/>
    <cellStyle name="Lien hypertexte visité" xfId="22378" builtinId="9" hidden="1"/>
    <cellStyle name="Lien hypertexte visité" xfId="22418" builtinId="9" hidden="1"/>
    <cellStyle name="Lien hypertexte visité" xfId="22466" builtinId="9" hidden="1"/>
    <cellStyle name="Lien hypertexte visité" xfId="22506" builtinId="9" hidden="1"/>
    <cellStyle name="Lien hypertexte visité" xfId="22546" builtinId="9" hidden="1"/>
    <cellStyle name="Lien hypertexte visité" xfId="22634" builtinId="9" hidden="1"/>
    <cellStyle name="Lien hypertexte visité" xfId="22674" builtinId="9" hidden="1"/>
    <cellStyle name="Lien hypertexte visité" xfId="22722" builtinId="9" hidden="1"/>
    <cellStyle name="Lien hypertexte visité" xfId="22762" builtinId="9" hidden="1"/>
    <cellStyle name="Lien hypertexte visité" xfId="22802" builtinId="9" hidden="1"/>
    <cellStyle name="Lien hypertexte visité" xfId="22850" builtinId="9" hidden="1"/>
    <cellStyle name="Lien hypertexte visité" xfId="22890" builtinId="9" hidden="1"/>
    <cellStyle name="Lien hypertexte visité" xfId="22978" builtinId="9" hidden="1"/>
    <cellStyle name="Lien hypertexte visité" xfId="23018" builtinId="9" hidden="1"/>
    <cellStyle name="Lien hypertexte visité" xfId="23058" builtinId="9" hidden="1"/>
    <cellStyle name="Lien hypertexte visité" xfId="23106" builtinId="9" hidden="1"/>
    <cellStyle name="Lien hypertexte visité" xfId="23146" builtinId="9" hidden="1"/>
    <cellStyle name="Lien hypertexte visité" xfId="23186" builtinId="9" hidden="1"/>
    <cellStyle name="Lien hypertexte visité" xfId="23234" builtinId="9" hidden="1"/>
    <cellStyle name="Lien hypertexte visité" xfId="23314" builtinId="9" hidden="1"/>
    <cellStyle name="Lien hypertexte visité" xfId="23362" builtinId="9" hidden="1"/>
    <cellStyle name="Lien hypertexte visité" xfId="23402" builtinId="9" hidden="1"/>
    <cellStyle name="Lien hypertexte visité" xfId="23442" builtinId="9" hidden="1"/>
    <cellStyle name="Lien hypertexte visité" xfId="23490" builtinId="9" hidden="1"/>
    <cellStyle name="Lien hypertexte visité" xfId="23530" builtinId="9" hidden="1"/>
    <cellStyle name="Lien hypertexte visité" xfId="23570" builtinId="9" hidden="1"/>
    <cellStyle name="Lien hypertexte visité" xfId="23658" builtinId="9" hidden="1"/>
    <cellStyle name="Lien hypertexte visité" xfId="23698" builtinId="9" hidden="1"/>
    <cellStyle name="Lien hypertexte visité" xfId="23746" builtinId="9" hidden="1"/>
    <cellStyle name="Lien hypertexte visité" xfId="23786" builtinId="9" hidden="1"/>
    <cellStyle name="Lien hypertexte visité" xfId="23826" builtinId="9" hidden="1"/>
    <cellStyle name="Lien hypertexte visité" xfId="23874" builtinId="9" hidden="1"/>
    <cellStyle name="Lien hypertexte visité" xfId="23914" builtinId="9" hidden="1"/>
    <cellStyle name="Lien hypertexte visité" xfId="24002" builtinId="9" hidden="1"/>
    <cellStyle name="Lien hypertexte visité" xfId="24042" builtinId="9" hidden="1"/>
    <cellStyle name="Lien hypertexte visité" xfId="24082" builtinId="9" hidden="1"/>
    <cellStyle name="Lien hypertexte visité" xfId="24130" builtinId="9" hidden="1"/>
    <cellStyle name="Lien hypertexte visité" xfId="24170" builtinId="9" hidden="1"/>
    <cellStyle name="Lien hypertexte visité" xfId="24210" builtinId="9" hidden="1"/>
    <cellStyle name="Lien hypertexte visité" xfId="24258" builtinId="9" hidden="1"/>
    <cellStyle name="Lien hypertexte visité" xfId="24338" builtinId="9" hidden="1"/>
    <cellStyle name="Lien hypertexte visité" xfId="24386" builtinId="9" hidden="1"/>
    <cellStyle name="Lien hypertexte visité" xfId="24426" builtinId="9" hidden="1"/>
    <cellStyle name="Lien hypertexte visité" xfId="24466" builtinId="9" hidden="1"/>
    <cellStyle name="Lien hypertexte visité" xfId="24514" builtinId="9" hidden="1"/>
    <cellStyle name="Lien hypertexte visité" xfId="24554" builtinId="9" hidden="1"/>
    <cellStyle name="Lien hypertexte visité" xfId="24594" builtinId="9" hidden="1"/>
    <cellStyle name="Lien hypertexte visité" xfId="24544" builtinId="9" hidden="1"/>
    <cellStyle name="Lien hypertexte visité" xfId="24504" builtinId="9" hidden="1"/>
    <cellStyle name="Lien hypertexte visité" xfId="24456" builtinId="9" hidden="1"/>
    <cellStyle name="Lien hypertexte visité" xfId="24416" builtinId="9" hidden="1"/>
    <cellStyle name="Lien hypertexte visité" xfId="24376" builtinId="9" hidden="1"/>
    <cellStyle name="Lien hypertexte visité" xfId="24328" builtinId="9" hidden="1"/>
    <cellStyle name="Lien hypertexte visité" xfId="24288" builtinId="9" hidden="1"/>
    <cellStyle name="Lien hypertexte visité" xfId="24200" builtinId="9" hidden="1"/>
    <cellStyle name="Lien hypertexte visité" xfId="24160" builtinId="9" hidden="1"/>
    <cellStyle name="Lien hypertexte visité" xfId="24120" builtinId="9" hidden="1"/>
    <cellStyle name="Lien hypertexte visité" xfId="24072" builtinId="9" hidden="1"/>
    <cellStyle name="Lien hypertexte visité" xfId="24032" builtinId="9" hidden="1"/>
    <cellStyle name="Lien hypertexte visité" xfId="23992" builtinId="9" hidden="1"/>
    <cellStyle name="Lien hypertexte visité" xfId="23944" builtinId="9" hidden="1"/>
    <cellStyle name="Lien hypertexte visité" xfId="23864" builtinId="9" hidden="1"/>
    <cellStyle name="Lien hypertexte visité" xfId="23816" builtinId="9" hidden="1"/>
    <cellStyle name="Lien hypertexte visité" xfId="23776" builtinId="9" hidden="1"/>
    <cellStyle name="Lien hypertexte visité" xfId="23736" builtinId="9" hidden="1"/>
    <cellStyle name="Lien hypertexte visité" xfId="23688" builtinId="9" hidden="1"/>
    <cellStyle name="Lien hypertexte visité" xfId="23648" builtinId="9" hidden="1"/>
    <cellStyle name="Lien hypertexte visité" xfId="23608" builtinId="9" hidden="1"/>
    <cellStyle name="Lien hypertexte visité" xfId="23520" builtinId="9" hidden="1"/>
    <cellStyle name="Lien hypertexte visité" xfId="23480" builtinId="9" hidden="1"/>
    <cellStyle name="Lien hypertexte visité" xfId="23432" builtinId="9" hidden="1"/>
    <cellStyle name="Lien hypertexte visité" xfId="23392" builtinId="9" hidden="1"/>
    <cellStyle name="Lien hypertexte visité" xfId="23352" builtinId="9" hidden="1"/>
    <cellStyle name="Lien hypertexte visité" xfId="23304" builtinId="9" hidden="1"/>
    <cellStyle name="Lien hypertexte visité" xfId="23264" builtinId="9" hidden="1"/>
    <cellStyle name="Lien hypertexte visité" xfId="23176" builtinId="9" hidden="1"/>
    <cellStyle name="Lien hypertexte visité" xfId="23136" builtinId="9" hidden="1"/>
    <cellStyle name="Lien hypertexte visité" xfId="23096" builtinId="9" hidden="1"/>
    <cellStyle name="Lien hypertexte visité" xfId="23048" builtinId="9" hidden="1"/>
    <cellStyle name="Lien hypertexte visité" xfId="23008" builtinId="9" hidden="1"/>
    <cellStyle name="Lien hypertexte visité" xfId="22968" builtinId="9" hidden="1"/>
    <cellStyle name="Lien hypertexte visité" xfId="22920" builtinId="9" hidden="1"/>
    <cellStyle name="Lien hypertexte visité" xfId="22840" builtinId="9" hidden="1"/>
    <cellStyle name="Lien hypertexte visité" xfId="22792" builtinId="9" hidden="1"/>
    <cellStyle name="Lien hypertexte visité" xfId="22752" builtinId="9" hidden="1"/>
    <cellStyle name="Lien hypertexte visité" xfId="22712" builtinId="9" hidden="1"/>
    <cellStyle name="Lien hypertexte visité" xfId="22664" builtinId="9" hidden="1"/>
    <cellStyle name="Lien hypertexte visité" xfId="22624" builtinId="9" hidden="1"/>
    <cellStyle name="Lien hypertexte visité" xfId="22584" builtinId="9" hidden="1"/>
    <cellStyle name="Lien hypertexte visité" xfId="22496" builtinId="9" hidden="1"/>
    <cellStyle name="Lien hypertexte visité" xfId="22456" builtinId="9" hidden="1"/>
    <cellStyle name="Lien hypertexte visité" xfId="22408" builtinId="9" hidden="1"/>
    <cellStyle name="Lien hypertexte visité" xfId="22368" builtinId="9" hidden="1"/>
    <cellStyle name="Lien hypertexte visité" xfId="22328" builtinId="9" hidden="1"/>
    <cellStyle name="Lien hypertexte visité" xfId="22280" builtinId="9" hidden="1"/>
    <cellStyle name="Lien hypertexte visité" xfId="22240" builtinId="9" hidden="1"/>
    <cellStyle name="Lien hypertexte visité" xfId="22152" builtinId="9" hidden="1"/>
    <cellStyle name="Lien hypertexte visité" xfId="22112" builtinId="9" hidden="1"/>
    <cellStyle name="Lien hypertexte visité" xfId="22072" builtinId="9" hidden="1"/>
    <cellStyle name="Lien hypertexte visité" xfId="22024" builtinId="9" hidden="1"/>
    <cellStyle name="Lien hypertexte visité" xfId="21984" builtinId="9" hidden="1"/>
    <cellStyle name="Lien hypertexte visité" xfId="21944" builtinId="9" hidden="1"/>
    <cellStyle name="Lien hypertexte visité" xfId="21896" builtinId="9" hidden="1"/>
    <cellStyle name="Lien hypertexte visité" xfId="21816" builtinId="9" hidden="1"/>
    <cellStyle name="Lien hypertexte visité" xfId="21768" builtinId="9" hidden="1"/>
    <cellStyle name="Lien hypertexte visité" xfId="21728" builtinId="9" hidden="1"/>
    <cellStyle name="Lien hypertexte visité" xfId="21688" builtinId="9" hidden="1"/>
    <cellStyle name="Lien hypertexte visité" xfId="21640" builtinId="9" hidden="1"/>
    <cellStyle name="Lien hypertexte visité" xfId="21600" builtinId="9" hidden="1"/>
    <cellStyle name="Lien hypertexte visité" xfId="21560" builtinId="9" hidden="1"/>
    <cellStyle name="Lien hypertexte visité" xfId="21472" builtinId="9" hidden="1"/>
    <cellStyle name="Lien hypertexte visité" xfId="21432" builtinId="9" hidden="1"/>
    <cellStyle name="Lien hypertexte visité" xfId="21384" builtinId="9" hidden="1"/>
    <cellStyle name="Lien hypertexte visité" xfId="21344" builtinId="9" hidden="1"/>
    <cellStyle name="Lien hypertexte visité" xfId="21304" builtinId="9" hidden="1"/>
    <cellStyle name="Lien hypertexte visité" xfId="21256" builtinId="9" hidden="1"/>
    <cellStyle name="Lien hypertexte visité" xfId="21216" builtinId="9" hidden="1"/>
    <cellStyle name="Lien hypertexte visité" xfId="21128" builtinId="9" hidden="1"/>
    <cellStyle name="Lien hypertexte visité" xfId="21088" builtinId="9" hidden="1"/>
    <cellStyle name="Lien hypertexte visité" xfId="21048" builtinId="9" hidden="1"/>
    <cellStyle name="Lien hypertexte visité" xfId="21000" builtinId="9" hidden="1"/>
    <cellStyle name="Lien hypertexte visité" xfId="20960" builtinId="9" hidden="1"/>
    <cellStyle name="Lien hypertexte visité" xfId="20920" builtinId="9" hidden="1"/>
    <cellStyle name="Lien hypertexte visité" xfId="20872" builtinId="9" hidden="1"/>
    <cellStyle name="Lien hypertexte visité" xfId="20792" builtinId="9" hidden="1"/>
    <cellStyle name="Lien hypertexte visité" xfId="20744" builtinId="9" hidden="1"/>
    <cellStyle name="Lien hypertexte visité" xfId="20704" builtinId="9" hidden="1"/>
    <cellStyle name="Lien hypertexte visité" xfId="20664" builtinId="9" hidden="1"/>
    <cellStyle name="Lien hypertexte visité" xfId="20616" builtinId="9" hidden="1"/>
    <cellStyle name="Lien hypertexte visité" xfId="20576" builtinId="9" hidden="1"/>
    <cellStyle name="Lien hypertexte visité" xfId="20536" builtinId="9" hidden="1"/>
    <cellStyle name="Lien hypertexte visité" xfId="20448" builtinId="9" hidden="1"/>
    <cellStyle name="Lien hypertexte visité" xfId="20408" builtinId="9" hidden="1"/>
    <cellStyle name="Lien hypertexte visité" xfId="20360" builtinId="9" hidden="1"/>
    <cellStyle name="Lien hypertexte visité" xfId="20320" builtinId="9" hidden="1"/>
    <cellStyle name="Lien hypertexte visité" xfId="20280" builtinId="9" hidden="1"/>
    <cellStyle name="Lien hypertexte visité" xfId="20232" builtinId="9" hidden="1"/>
    <cellStyle name="Lien hypertexte visité" xfId="20192" builtinId="9" hidden="1"/>
    <cellStyle name="Lien hypertexte visité" xfId="20104" builtinId="9" hidden="1"/>
    <cellStyle name="Lien hypertexte visité" xfId="20064" builtinId="9" hidden="1"/>
    <cellStyle name="Lien hypertexte visité" xfId="20024" builtinId="9" hidden="1"/>
    <cellStyle name="Lien hypertexte visité" xfId="19976" builtinId="9" hidden="1"/>
    <cellStyle name="Lien hypertexte visité" xfId="19936" builtinId="9" hidden="1"/>
    <cellStyle name="Lien hypertexte visité" xfId="19896" builtinId="9" hidden="1"/>
    <cellStyle name="Lien hypertexte visité" xfId="19848" builtinId="9" hidden="1"/>
    <cellStyle name="Lien hypertexte visité" xfId="19768" builtinId="9" hidden="1"/>
    <cellStyle name="Lien hypertexte visité" xfId="19720" builtinId="9" hidden="1"/>
    <cellStyle name="Lien hypertexte visité" xfId="19680" builtinId="9" hidden="1"/>
    <cellStyle name="Lien hypertexte visité" xfId="19640" builtinId="9" hidden="1"/>
    <cellStyle name="Lien hypertexte visité" xfId="19592" builtinId="9" hidden="1"/>
    <cellStyle name="Lien hypertexte visité" xfId="19552" builtinId="9" hidden="1"/>
    <cellStyle name="Lien hypertexte visité" xfId="19512" builtinId="9" hidden="1"/>
    <cellStyle name="Lien hypertexte visité" xfId="19424" builtinId="9" hidden="1"/>
    <cellStyle name="Lien hypertexte visité" xfId="19384" builtinId="9" hidden="1"/>
    <cellStyle name="Lien hypertexte visité" xfId="19336" builtinId="9" hidden="1"/>
    <cellStyle name="Lien hypertexte visité" xfId="19296" builtinId="9" hidden="1"/>
    <cellStyle name="Lien hypertexte visité" xfId="19256" builtinId="9" hidden="1"/>
    <cellStyle name="Lien hypertexte visité" xfId="19208" builtinId="9" hidden="1"/>
    <cellStyle name="Lien hypertexte visité" xfId="19168" builtinId="9" hidden="1"/>
    <cellStyle name="Lien hypertexte visité" xfId="19080" builtinId="9" hidden="1"/>
    <cellStyle name="Lien hypertexte visité" xfId="19040" builtinId="9" hidden="1"/>
    <cellStyle name="Lien hypertexte visité" xfId="19000" builtinId="9" hidden="1"/>
    <cellStyle name="Lien hypertexte visité" xfId="18952" builtinId="9" hidden="1"/>
    <cellStyle name="Lien hypertexte visité" xfId="18912" builtinId="9" hidden="1"/>
    <cellStyle name="Lien hypertexte visité" xfId="18872" builtinId="9" hidden="1"/>
    <cellStyle name="Lien hypertexte visité" xfId="18824" builtinId="9" hidden="1"/>
    <cellStyle name="Lien hypertexte visité" xfId="18744" builtinId="9" hidden="1"/>
    <cellStyle name="Lien hypertexte visité" xfId="18696" builtinId="9" hidden="1"/>
    <cellStyle name="Lien hypertexte visité" xfId="18656" builtinId="9" hidden="1"/>
    <cellStyle name="Lien hypertexte visité" xfId="18616" builtinId="9" hidden="1"/>
    <cellStyle name="Lien hypertexte visité" xfId="18568" builtinId="9" hidden="1"/>
    <cellStyle name="Lien hypertexte visité" xfId="18528" builtinId="9" hidden="1"/>
    <cellStyle name="Lien hypertexte visité" xfId="18488" builtinId="9" hidden="1"/>
    <cellStyle name="Lien hypertexte visité" xfId="18400" builtinId="9" hidden="1"/>
    <cellStyle name="Lien hypertexte visité" xfId="18360" builtinId="9" hidden="1"/>
    <cellStyle name="Lien hypertexte visité" xfId="18319" builtinId="9" hidden="1"/>
    <cellStyle name="Lien hypertexte visité" xfId="18289" builtinId="9" hidden="1"/>
    <cellStyle name="Lien hypertexte visité" xfId="18249" builtinId="9" hidden="1"/>
    <cellStyle name="Lien hypertexte visité" xfId="18201" builtinId="9" hidden="1"/>
    <cellStyle name="Lien hypertexte visité" xfId="18161" builtinId="9" hidden="1"/>
    <cellStyle name="Lien hypertexte visité" xfId="18073" builtinId="9" hidden="1"/>
    <cellStyle name="Lien hypertexte visité" xfId="18033" builtinId="9" hidden="1"/>
    <cellStyle name="Lien hypertexte visité" xfId="17993" builtinId="9" hidden="1"/>
    <cellStyle name="Lien hypertexte visité" xfId="17945" builtinId="9" hidden="1"/>
    <cellStyle name="Lien hypertexte visité" xfId="17905" builtinId="9" hidden="1"/>
    <cellStyle name="Lien hypertexte visité" xfId="17865" builtinId="9" hidden="1"/>
    <cellStyle name="Lien hypertexte visité" xfId="17817" builtinId="9" hidden="1"/>
    <cellStyle name="Lien hypertexte visité" xfId="17737" builtinId="9" hidden="1"/>
    <cellStyle name="Lien hypertexte visité" xfId="17689" builtinId="9" hidden="1"/>
    <cellStyle name="Lien hypertexte visité" xfId="17649" builtinId="9" hidden="1"/>
    <cellStyle name="Lien hypertexte visité" xfId="17609" builtinId="9" hidden="1"/>
    <cellStyle name="Lien hypertexte visité" xfId="17561" builtinId="9" hidden="1"/>
    <cellStyle name="Lien hypertexte visité" xfId="17521" builtinId="9" hidden="1"/>
    <cellStyle name="Lien hypertexte visité" xfId="17481" builtinId="9" hidden="1"/>
    <cellStyle name="Lien hypertexte visité" xfId="17393" builtinId="9" hidden="1"/>
    <cellStyle name="Lien hypertexte visité" xfId="17353" builtinId="9" hidden="1"/>
    <cellStyle name="Lien hypertexte visité" xfId="17305" builtinId="9" hidden="1"/>
    <cellStyle name="Lien hypertexte visité" xfId="17265" builtinId="9" hidden="1"/>
    <cellStyle name="Lien hypertexte visité" xfId="17225" builtinId="9" hidden="1"/>
    <cellStyle name="Lien hypertexte visité" xfId="17177" builtinId="9" hidden="1"/>
    <cellStyle name="Lien hypertexte visité" xfId="17137" builtinId="9" hidden="1"/>
    <cellStyle name="Lien hypertexte visité" xfId="17049" builtinId="9" hidden="1"/>
    <cellStyle name="Lien hypertexte visité" xfId="17009" builtinId="9" hidden="1"/>
    <cellStyle name="Lien hypertexte visité" xfId="16969" builtinId="9" hidden="1"/>
    <cellStyle name="Lien hypertexte visité" xfId="16921" builtinId="9" hidden="1"/>
    <cellStyle name="Lien hypertexte visité" xfId="16881" builtinId="9" hidden="1"/>
    <cellStyle name="Lien hypertexte visité" xfId="16841" builtinId="9" hidden="1"/>
    <cellStyle name="Lien hypertexte visité" xfId="16793" builtinId="9" hidden="1"/>
    <cellStyle name="Lien hypertexte visité" xfId="16713" builtinId="9" hidden="1"/>
    <cellStyle name="Lien hypertexte visité" xfId="16665" builtinId="9" hidden="1"/>
    <cellStyle name="Lien hypertexte visité" xfId="16625" builtinId="9" hidden="1"/>
    <cellStyle name="Lien hypertexte visité" xfId="16585" builtinId="9" hidden="1"/>
    <cellStyle name="Lien hypertexte visité" xfId="16537" builtinId="9" hidden="1"/>
    <cellStyle name="Lien hypertexte visité" xfId="16497" builtinId="9" hidden="1"/>
    <cellStyle name="Lien hypertexte visité" xfId="16457" builtinId="9" hidden="1"/>
    <cellStyle name="Lien hypertexte visité" xfId="16369" builtinId="9" hidden="1"/>
    <cellStyle name="Lien hypertexte visité" xfId="16329" builtinId="9" hidden="1"/>
    <cellStyle name="Lien hypertexte visité" xfId="16281" builtinId="9" hidden="1"/>
    <cellStyle name="Lien hypertexte visité" xfId="16241" builtinId="9" hidden="1"/>
    <cellStyle name="Lien hypertexte visité" xfId="16201" builtinId="9" hidden="1"/>
    <cellStyle name="Lien hypertexte visité" xfId="16153" builtinId="9" hidden="1"/>
    <cellStyle name="Lien hypertexte visité" xfId="16113" builtinId="9" hidden="1"/>
    <cellStyle name="Lien hypertexte visité" xfId="16025" builtinId="9" hidden="1"/>
    <cellStyle name="Lien hypertexte visité" xfId="15985" builtinId="9" hidden="1"/>
    <cellStyle name="Lien hypertexte visité" xfId="15945" builtinId="9" hidden="1"/>
    <cellStyle name="Lien hypertexte visité" xfId="15897" builtinId="9" hidden="1"/>
    <cellStyle name="Lien hypertexte visité" xfId="15857" builtinId="9" hidden="1"/>
    <cellStyle name="Lien hypertexte visité" xfId="15817" builtinId="9" hidden="1"/>
    <cellStyle name="Lien hypertexte visité" xfId="15769" builtinId="9" hidden="1"/>
    <cellStyle name="Lien hypertexte visité" xfId="15689" builtinId="9" hidden="1"/>
    <cellStyle name="Lien hypertexte visité" xfId="15641" builtinId="9" hidden="1"/>
    <cellStyle name="Lien hypertexte visité" xfId="15601" builtinId="9" hidden="1"/>
    <cellStyle name="Lien hypertexte visité" xfId="15561" builtinId="9" hidden="1"/>
    <cellStyle name="Lien hypertexte visité" xfId="15513" builtinId="9" hidden="1"/>
    <cellStyle name="Lien hypertexte visité" xfId="15473" builtinId="9" hidden="1"/>
    <cellStyle name="Lien hypertexte visité" xfId="15433" builtinId="9" hidden="1"/>
    <cellStyle name="Lien hypertexte visité" xfId="15345" builtinId="9" hidden="1"/>
    <cellStyle name="Lien hypertexte visité" xfId="15305" builtinId="9" hidden="1"/>
    <cellStyle name="Lien hypertexte visité" xfId="15257" builtinId="9" hidden="1"/>
    <cellStyle name="Lien hypertexte visité" xfId="15217" builtinId="9" hidden="1"/>
    <cellStyle name="Lien hypertexte visité" xfId="15177" builtinId="9" hidden="1"/>
    <cellStyle name="Lien hypertexte visité" xfId="15129" builtinId="9" hidden="1"/>
    <cellStyle name="Lien hypertexte visité" xfId="15089" builtinId="9" hidden="1"/>
    <cellStyle name="Lien hypertexte visité" xfId="15001" builtinId="9" hidden="1"/>
    <cellStyle name="Lien hypertexte visité" xfId="14961" builtinId="9" hidden="1"/>
    <cellStyle name="Lien hypertexte visité" xfId="14921" builtinId="9" hidden="1"/>
    <cellStyle name="Lien hypertexte visité" xfId="14873" builtinId="9" hidden="1"/>
    <cellStyle name="Lien hypertexte visité" xfId="14833" builtinId="9" hidden="1"/>
    <cellStyle name="Lien hypertexte visité" xfId="14793" builtinId="9" hidden="1"/>
    <cellStyle name="Lien hypertexte visité" xfId="14745" builtinId="9" hidden="1"/>
    <cellStyle name="Lien hypertexte visité" xfId="14665" builtinId="9" hidden="1"/>
    <cellStyle name="Lien hypertexte visité" xfId="14617" builtinId="9" hidden="1"/>
    <cellStyle name="Lien hypertexte visité" xfId="14577" builtinId="9" hidden="1"/>
    <cellStyle name="Lien hypertexte visité" xfId="14537" builtinId="9" hidden="1"/>
    <cellStyle name="Lien hypertexte visité" xfId="14502" builtinId="9" hidden="1"/>
    <cellStyle name="Lien hypertexte visité" xfId="14482" builtinId="9" hidden="1"/>
    <cellStyle name="Lien hypertexte visité" xfId="14462" builtinId="9" hidden="1"/>
    <cellStyle name="Lien hypertexte visité" xfId="14418" builtinId="9" hidden="1"/>
    <cellStyle name="Lien hypertexte visité" xfId="14398" builtinId="9" hidden="1"/>
    <cellStyle name="Lien hypertexte visité" xfId="14374" builtinId="9" hidden="1"/>
    <cellStyle name="Lien hypertexte visité" xfId="14354" builtinId="9" hidden="1"/>
    <cellStyle name="Lien hypertexte visité" xfId="14334" builtinId="9" hidden="1"/>
    <cellStyle name="Lien hypertexte visité" xfId="14310" builtinId="9" hidden="1"/>
    <cellStyle name="Lien hypertexte visité" xfId="14290" builtinId="9" hidden="1"/>
    <cellStyle name="Lien hypertexte visité" xfId="14246" builtinId="9" hidden="1"/>
    <cellStyle name="Lien hypertexte visité" xfId="14226" builtinId="9" hidden="1"/>
    <cellStyle name="Lien hypertexte visité" xfId="14206" builtinId="9" hidden="1"/>
    <cellStyle name="Lien hypertexte visité" xfId="14182" builtinId="9" hidden="1"/>
    <cellStyle name="Lien hypertexte visité" xfId="14162" builtinId="9" hidden="1"/>
    <cellStyle name="Lien hypertexte visité" xfId="14142" builtinId="9" hidden="1"/>
    <cellStyle name="Lien hypertexte visité" xfId="14118" builtinId="9" hidden="1"/>
    <cellStyle name="Lien hypertexte visité" xfId="14078" builtinId="9" hidden="1"/>
    <cellStyle name="Lien hypertexte visité" xfId="14054" builtinId="9" hidden="1"/>
    <cellStyle name="Lien hypertexte visité" xfId="14034" builtinId="9" hidden="1"/>
    <cellStyle name="Lien hypertexte visité" xfId="14014" builtinId="9" hidden="1"/>
    <cellStyle name="Lien hypertexte visité" xfId="13990" builtinId="9" hidden="1"/>
    <cellStyle name="Lien hypertexte visité" xfId="13970" builtinId="9" hidden="1"/>
    <cellStyle name="Lien hypertexte visité" xfId="13950" builtinId="9" hidden="1"/>
    <cellStyle name="Lien hypertexte visité" xfId="13906" builtinId="9" hidden="1"/>
    <cellStyle name="Lien hypertexte visité" xfId="13886" builtinId="9" hidden="1"/>
    <cellStyle name="Lien hypertexte visité" xfId="13862" builtinId="9" hidden="1"/>
    <cellStyle name="Lien hypertexte visité" xfId="13842" builtinId="9" hidden="1"/>
    <cellStyle name="Lien hypertexte visité" xfId="13822" builtinId="9" hidden="1"/>
    <cellStyle name="Lien hypertexte visité" xfId="13798" builtinId="9" hidden="1"/>
    <cellStyle name="Lien hypertexte visité" xfId="13778" builtinId="9" hidden="1"/>
    <cellStyle name="Lien hypertexte visité" xfId="13734" builtinId="9" hidden="1"/>
    <cellStyle name="Lien hypertexte visité" xfId="13714" builtinId="9" hidden="1"/>
    <cellStyle name="Lien hypertexte visité" xfId="13694" builtinId="9" hidden="1"/>
    <cellStyle name="Lien hypertexte visité" xfId="13670" builtinId="9" hidden="1"/>
    <cellStyle name="Lien hypertexte visité" xfId="13650" builtinId="9" hidden="1"/>
    <cellStyle name="Lien hypertexte visité" xfId="13630" builtinId="9" hidden="1"/>
    <cellStyle name="Lien hypertexte visité" xfId="13606" builtinId="9" hidden="1"/>
    <cellStyle name="Lien hypertexte visité" xfId="13566" builtinId="9" hidden="1"/>
    <cellStyle name="Lien hypertexte visité" xfId="13542" builtinId="9" hidden="1"/>
    <cellStyle name="Lien hypertexte visité" xfId="13522" builtinId="9" hidden="1"/>
    <cellStyle name="Lien hypertexte visité" xfId="13502" builtinId="9" hidden="1"/>
    <cellStyle name="Lien hypertexte visité" xfId="13478" builtinId="9" hidden="1"/>
    <cellStyle name="Lien hypertexte visité" xfId="13458" builtinId="9" hidden="1"/>
    <cellStyle name="Lien hypertexte visité" xfId="13438" builtinId="9" hidden="1"/>
    <cellStyle name="Lien hypertexte visité" xfId="13394" builtinId="9" hidden="1"/>
    <cellStyle name="Lien hypertexte visité" xfId="13374" builtinId="9" hidden="1"/>
    <cellStyle name="Lien hypertexte visité" xfId="13350" builtinId="9" hidden="1"/>
    <cellStyle name="Lien hypertexte visité" xfId="13330" builtinId="9" hidden="1"/>
    <cellStyle name="Lien hypertexte visité" xfId="13310" builtinId="9" hidden="1"/>
    <cellStyle name="Lien hypertexte visité" xfId="13286" builtinId="9" hidden="1"/>
    <cellStyle name="Lien hypertexte visité" xfId="13266" builtinId="9" hidden="1"/>
    <cellStyle name="Lien hypertexte visité" xfId="13222" builtinId="9" hidden="1"/>
    <cellStyle name="Lien hypertexte visité" xfId="13202" builtinId="9" hidden="1"/>
    <cellStyle name="Lien hypertexte visité" xfId="13182" builtinId="9" hidden="1"/>
    <cellStyle name="Lien hypertexte visité" xfId="13158" builtinId="9" hidden="1"/>
    <cellStyle name="Lien hypertexte visité" xfId="13138" builtinId="9" hidden="1"/>
    <cellStyle name="Lien hypertexte visité" xfId="13118" builtinId="9" hidden="1"/>
    <cellStyle name="Lien hypertexte visité" xfId="13094" builtinId="9" hidden="1"/>
    <cellStyle name="Lien hypertexte visité" xfId="13054" builtinId="9" hidden="1"/>
    <cellStyle name="Lien hypertexte visité" xfId="13030" builtinId="9" hidden="1"/>
    <cellStyle name="Lien hypertexte visité" xfId="13010" builtinId="9" hidden="1"/>
    <cellStyle name="Lien hypertexte visité" xfId="12990" builtinId="9" hidden="1"/>
    <cellStyle name="Lien hypertexte visité" xfId="12966" builtinId="9" hidden="1"/>
    <cellStyle name="Lien hypertexte visité" xfId="12946" builtinId="9" hidden="1"/>
    <cellStyle name="Lien hypertexte visité" xfId="12926" builtinId="9" hidden="1"/>
    <cellStyle name="Lien hypertexte visité" xfId="12882" builtinId="9" hidden="1"/>
    <cellStyle name="Lien hypertexte visité" xfId="12862" builtinId="9" hidden="1"/>
    <cellStyle name="Lien hypertexte visité" xfId="12838" builtinId="9" hidden="1"/>
    <cellStyle name="Lien hypertexte visité" xfId="12818" builtinId="9" hidden="1"/>
    <cellStyle name="Lien hypertexte visité" xfId="12798" builtinId="9" hidden="1"/>
    <cellStyle name="Lien hypertexte visité" xfId="12774" builtinId="9" hidden="1"/>
    <cellStyle name="Lien hypertexte visité" xfId="12754" builtinId="9" hidden="1"/>
    <cellStyle name="Lien hypertexte visité" xfId="12710" builtinId="9" hidden="1"/>
    <cellStyle name="Lien hypertexte visité" xfId="12690" builtinId="9" hidden="1"/>
    <cellStyle name="Lien hypertexte visité" xfId="12670" builtinId="9" hidden="1"/>
    <cellStyle name="Lien hypertexte visité" xfId="12646" builtinId="9" hidden="1"/>
    <cellStyle name="Lien hypertexte visité" xfId="12626" builtinId="9" hidden="1"/>
    <cellStyle name="Lien hypertexte visité" xfId="12606" builtinId="9" hidden="1"/>
    <cellStyle name="Lien hypertexte visité" xfId="12582" builtinId="9" hidden="1"/>
    <cellStyle name="Lien hypertexte visité" xfId="12542" builtinId="9" hidden="1"/>
    <cellStyle name="Lien hypertexte visité" xfId="12518" builtinId="9" hidden="1"/>
    <cellStyle name="Lien hypertexte visité" xfId="12498" builtinId="9" hidden="1"/>
    <cellStyle name="Lien hypertexte visité" xfId="12478" builtinId="9" hidden="1"/>
    <cellStyle name="Lien hypertexte visité" xfId="12454" builtinId="9" hidden="1"/>
    <cellStyle name="Lien hypertexte visité" xfId="12434" builtinId="9" hidden="1"/>
    <cellStyle name="Lien hypertexte visité" xfId="12414" builtinId="9" hidden="1"/>
    <cellStyle name="Lien hypertexte visité" xfId="12370" builtinId="9" hidden="1"/>
    <cellStyle name="Lien hypertexte visité" xfId="12350" builtinId="9" hidden="1"/>
    <cellStyle name="Lien hypertexte visité" xfId="12326" builtinId="9" hidden="1"/>
    <cellStyle name="Lien hypertexte visité" xfId="12306" builtinId="9" hidden="1"/>
    <cellStyle name="Lien hypertexte visité" xfId="12286" builtinId="9" hidden="1"/>
    <cellStyle name="Lien hypertexte visité" xfId="12262" builtinId="9" hidden="1"/>
    <cellStyle name="Lien hypertexte visité" xfId="12242" builtinId="9" hidden="1"/>
    <cellStyle name="Lien hypertexte visité" xfId="12198" builtinId="9" hidden="1"/>
    <cellStyle name="Lien hypertexte visité" xfId="12178" builtinId="9" hidden="1"/>
    <cellStyle name="Lien hypertexte visité" xfId="12158" builtinId="9" hidden="1"/>
    <cellStyle name="Lien hypertexte visité" xfId="12134" builtinId="9" hidden="1"/>
    <cellStyle name="Lien hypertexte visité" xfId="12114" builtinId="9" hidden="1"/>
    <cellStyle name="Lien hypertexte visité" xfId="12094" builtinId="9" hidden="1"/>
    <cellStyle name="Lien hypertexte visité" xfId="12070" builtinId="9" hidden="1"/>
    <cellStyle name="Lien hypertexte visité" xfId="12030" builtinId="9" hidden="1"/>
    <cellStyle name="Lien hypertexte visité" xfId="12006" builtinId="9" hidden="1"/>
    <cellStyle name="Lien hypertexte visité" xfId="11986" builtinId="9" hidden="1"/>
    <cellStyle name="Lien hypertexte visité" xfId="11966" builtinId="9" hidden="1"/>
    <cellStyle name="Lien hypertexte visité" xfId="11942" builtinId="9" hidden="1"/>
    <cellStyle name="Lien hypertexte visité" xfId="11922" builtinId="9" hidden="1"/>
    <cellStyle name="Lien hypertexte visité" xfId="11902" builtinId="9" hidden="1"/>
    <cellStyle name="Lien hypertexte visité" xfId="11858" builtinId="9" hidden="1"/>
    <cellStyle name="Lien hypertexte visité" xfId="11838" builtinId="9" hidden="1"/>
    <cellStyle name="Lien hypertexte visité" xfId="11814" builtinId="9" hidden="1"/>
    <cellStyle name="Lien hypertexte visité" xfId="11794" builtinId="9" hidden="1"/>
    <cellStyle name="Lien hypertexte visité" xfId="11774" builtinId="9" hidden="1"/>
    <cellStyle name="Lien hypertexte visité" xfId="11750" builtinId="9" hidden="1"/>
    <cellStyle name="Lien hypertexte visité" xfId="11730" builtinId="9" hidden="1"/>
    <cellStyle name="Lien hypertexte visité" xfId="11686" builtinId="9" hidden="1"/>
    <cellStyle name="Lien hypertexte visité" xfId="11666" builtinId="9" hidden="1"/>
    <cellStyle name="Lien hypertexte visité" xfId="11646" builtinId="9" hidden="1"/>
    <cellStyle name="Lien hypertexte visité" xfId="11622" builtinId="9" hidden="1"/>
    <cellStyle name="Lien hypertexte visité" xfId="11602" builtinId="9" hidden="1"/>
    <cellStyle name="Lien hypertexte visité" xfId="11582" builtinId="9" hidden="1"/>
    <cellStyle name="Lien hypertexte visité" xfId="11558" builtinId="9" hidden="1"/>
    <cellStyle name="Lien hypertexte visité" xfId="11518" builtinId="9" hidden="1"/>
    <cellStyle name="Lien hypertexte visité" xfId="11494" builtinId="9" hidden="1"/>
    <cellStyle name="Lien hypertexte visité" xfId="11474" builtinId="9" hidden="1"/>
    <cellStyle name="Lien hypertexte visité" xfId="11454" builtinId="9" hidden="1"/>
    <cellStyle name="Lien hypertexte visité" xfId="11430" builtinId="9" hidden="1"/>
    <cellStyle name="Lien hypertexte visité" xfId="11410" builtinId="9" hidden="1"/>
    <cellStyle name="Lien hypertexte visité" xfId="11390" builtinId="9" hidden="1"/>
    <cellStyle name="Lien hypertexte visité" xfId="11346" builtinId="9" hidden="1"/>
    <cellStyle name="Lien hypertexte visité" xfId="11326" builtinId="9" hidden="1"/>
    <cellStyle name="Lien hypertexte visité" xfId="11302" builtinId="9" hidden="1"/>
    <cellStyle name="Lien hypertexte visité" xfId="11282" builtinId="9" hidden="1"/>
    <cellStyle name="Lien hypertexte visité" xfId="11262" builtinId="9" hidden="1"/>
    <cellStyle name="Lien hypertexte visité" xfId="11238" builtinId="9" hidden="1"/>
    <cellStyle name="Lien hypertexte visité" xfId="11218" builtinId="9" hidden="1"/>
    <cellStyle name="Lien hypertexte visité" xfId="11174" builtinId="9" hidden="1"/>
    <cellStyle name="Lien hypertexte visité" xfId="11154" builtinId="9" hidden="1"/>
    <cellStyle name="Lien hypertexte visité" xfId="11134" builtinId="9" hidden="1"/>
    <cellStyle name="Lien hypertexte visité" xfId="11110" builtinId="9" hidden="1"/>
    <cellStyle name="Lien hypertexte visité" xfId="11090" builtinId="9" hidden="1"/>
    <cellStyle name="Lien hypertexte visité" xfId="11070" builtinId="9" hidden="1"/>
    <cellStyle name="Lien hypertexte visité" xfId="11046" builtinId="9" hidden="1"/>
    <cellStyle name="Lien hypertexte visité" xfId="11006" builtinId="9" hidden="1"/>
    <cellStyle name="Lien hypertexte visité" xfId="10982" builtinId="9" hidden="1"/>
    <cellStyle name="Lien hypertexte visité" xfId="10962" builtinId="9" hidden="1"/>
    <cellStyle name="Lien hypertexte visité" xfId="10942" builtinId="9" hidden="1"/>
    <cellStyle name="Lien hypertexte visité" xfId="10918" builtinId="9" hidden="1"/>
    <cellStyle name="Lien hypertexte visité" xfId="10898" builtinId="9" hidden="1"/>
    <cellStyle name="Lien hypertexte visité" xfId="10878" builtinId="9" hidden="1"/>
    <cellStyle name="Lien hypertexte visité" xfId="10834" builtinId="9" hidden="1"/>
    <cellStyle name="Lien hypertexte visité" xfId="10814" builtinId="9" hidden="1"/>
    <cellStyle name="Lien hypertexte visité" xfId="10790" builtinId="9" hidden="1"/>
    <cellStyle name="Lien hypertexte visité" xfId="10770" builtinId="9" hidden="1"/>
    <cellStyle name="Lien hypertexte visité" xfId="10750" builtinId="9" hidden="1"/>
    <cellStyle name="Lien hypertexte visité" xfId="10726" builtinId="9" hidden="1"/>
    <cellStyle name="Lien hypertexte visité" xfId="10706" builtinId="9" hidden="1"/>
    <cellStyle name="Lien hypertexte visité" xfId="10662" builtinId="9" hidden="1"/>
    <cellStyle name="Lien hypertexte visité" xfId="10642" builtinId="9" hidden="1"/>
    <cellStyle name="Lien hypertexte visité" xfId="10622" builtinId="9" hidden="1"/>
    <cellStyle name="Lien hypertexte visité" xfId="10598" builtinId="9" hidden="1"/>
    <cellStyle name="Lien hypertexte visité" xfId="10578" builtinId="9" hidden="1"/>
    <cellStyle name="Lien hypertexte visité" xfId="10558" builtinId="9" hidden="1"/>
    <cellStyle name="Lien hypertexte visité" xfId="10534" builtinId="9" hidden="1"/>
    <cellStyle name="Lien hypertexte visité" xfId="10494" builtinId="9" hidden="1"/>
    <cellStyle name="Lien hypertexte visité" xfId="10470" builtinId="9" hidden="1"/>
    <cellStyle name="Lien hypertexte visité" xfId="10450" builtinId="9" hidden="1"/>
    <cellStyle name="Lien hypertexte visité" xfId="10430" builtinId="9" hidden="1"/>
    <cellStyle name="Lien hypertexte visité" xfId="10406" builtinId="9" hidden="1"/>
    <cellStyle name="Lien hypertexte visité" xfId="10386" builtinId="9" hidden="1"/>
    <cellStyle name="Lien hypertexte visité" xfId="10366" builtinId="9" hidden="1"/>
    <cellStyle name="Lien hypertexte visité" xfId="10322" builtinId="9" hidden="1"/>
    <cellStyle name="Lien hypertexte visité" xfId="10302" builtinId="9" hidden="1"/>
    <cellStyle name="Lien hypertexte visité" xfId="10278" builtinId="9" hidden="1"/>
    <cellStyle name="Lien hypertexte visité" xfId="10258" builtinId="9" hidden="1"/>
    <cellStyle name="Lien hypertexte visité" xfId="10238" builtinId="9" hidden="1"/>
    <cellStyle name="Lien hypertexte visité" xfId="10214" builtinId="9" hidden="1"/>
    <cellStyle name="Lien hypertexte visité" xfId="10194" builtinId="9" hidden="1"/>
    <cellStyle name="Lien hypertexte visité" xfId="10150" builtinId="9" hidden="1"/>
    <cellStyle name="Lien hypertexte visité" xfId="10130" builtinId="9" hidden="1"/>
    <cellStyle name="Lien hypertexte visité" xfId="10110" builtinId="9" hidden="1"/>
    <cellStyle name="Lien hypertexte visité" xfId="10086" builtinId="9" hidden="1"/>
    <cellStyle name="Lien hypertexte visité" xfId="10066" builtinId="9" hidden="1"/>
    <cellStyle name="Lien hypertexte visité" xfId="10046" builtinId="9" hidden="1"/>
    <cellStyle name="Lien hypertexte visité" xfId="10022" builtinId="9" hidden="1"/>
    <cellStyle name="Lien hypertexte visité" xfId="9982" builtinId="9" hidden="1"/>
    <cellStyle name="Lien hypertexte visité" xfId="9958" builtinId="9" hidden="1"/>
    <cellStyle name="Lien hypertexte visité" xfId="9938" builtinId="9" hidden="1"/>
    <cellStyle name="Lien hypertexte visité" xfId="9918" builtinId="9" hidden="1"/>
    <cellStyle name="Lien hypertexte visité" xfId="9894" builtinId="9" hidden="1"/>
    <cellStyle name="Lien hypertexte visité" xfId="9874" builtinId="9" hidden="1"/>
    <cellStyle name="Lien hypertexte visité" xfId="9854" builtinId="9" hidden="1"/>
    <cellStyle name="Lien hypertexte visité" xfId="9810" builtinId="9" hidden="1"/>
    <cellStyle name="Lien hypertexte visité" xfId="9790" builtinId="9" hidden="1"/>
    <cellStyle name="Lien hypertexte visité" xfId="9766" builtinId="9" hidden="1"/>
    <cellStyle name="Lien hypertexte visité" xfId="9746" builtinId="9" hidden="1"/>
    <cellStyle name="Lien hypertexte visité" xfId="9726" builtinId="9" hidden="1"/>
    <cellStyle name="Lien hypertexte visité" xfId="9702" builtinId="9" hidden="1"/>
    <cellStyle name="Lien hypertexte visité" xfId="9682" builtinId="9" hidden="1"/>
    <cellStyle name="Lien hypertexte visité" xfId="9638" builtinId="9" hidden="1"/>
    <cellStyle name="Lien hypertexte visité" xfId="9618" builtinId="9" hidden="1"/>
    <cellStyle name="Lien hypertexte visité" xfId="9598" builtinId="9" hidden="1"/>
    <cellStyle name="Lien hypertexte visité" xfId="9574" builtinId="9" hidden="1"/>
    <cellStyle name="Lien hypertexte visité" xfId="9554" builtinId="9" hidden="1"/>
    <cellStyle name="Lien hypertexte visité" xfId="9534" builtinId="9" hidden="1"/>
    <cellStyle name="Lien hypertexte visité" xfId="9510" builtinId="9" hidden="1"/>
    <cellStyle name="Lien hypertexte visité" xfId="9470" builtinId="9" hidden="1"/>
    <cellStyle name="Lien hypertexte visité" xfId="9446" builtinId="9" hidden="1"/>
    <cellStyle name="Lien hypertexte visité" xfId="9426" builtinId="9" hidden="1"/>
    <cellStyle name="Lien hypertexte visité" xfId="9406" builtinId="9" hidden="1"/>
    <cellStyle name="Lien hypertexte visité" xfId="9382" builtinId="9" hidden="1"/>
    <cellStyle name="Lien hypertexte visité" xfId="9362" builtinId="9" hidden="1"/>
    <cellStyle name="Lien hypertexte visité" xfId="9342" builtinId="9" hidden="1"/>
    <cellStyle name="Lien hypertexte visité" xfId="9298" builtinId="9" hidden="1"/>
    <cellStyle name="Lien hypertexte visité" xfId="9278" builtinId="9" hidden="1"/>
    <cellStyle name="Lien hypertexte visité" xfId="9254" builtinId="9" hidden="1"/>
    <cellStyle name="Lien hypertexte visité" xfId="9318" builtinId="9" hidden="1"/>
    <cellStyle name="Lien hypertexte visité" xfId="9490" builtinId="9" hidden="1"/>
    <cellStyle name="Lien hypertexte visité" xfId="9662" builtinId="9" hidden="1"/>
    <cellStyle name="Lien hypertexte visité" xfId="9830" builtinId="9" hidden="1"/>
    <cellStyle name="Lien hypertexte visité" xfId="10002" builtinId="9" hidden="1"/>
    <cellStyle name="Lien hypertexte visité" xfId="10174" builtinId="9" hidden="1"/>
    <cellStyle name="Lien hypertexte visité" xfId="10342" builtinId="9" hidden="1"/>
    <cellStyle name="Lien hypertexte visité" xfId="10514" builtinId="9" hidden="1"/>
    <cellStyle name="Lien hypertexte visité" xfId="10686" builtinId="9" hidden="1"/>
    <cellStyle name="Lien hypertexte visité" xfId="10854" builtinId="9" hidden="1"/>
    <cellStyle name="Lien hypertexte visité" xfId="11026" builtinId="9" hidden="1"/>
    <cellStyle name="Lien hypertexte visité" xfId="11198" builtinId="9" hidden="1"/>
    <cellStyle name="Lien hypertexte visité" xfId="11366" builtinId="9" hidden="1"/>
    <cellStyle name="Lien hypertexte visité" xfId="11538" builtinId="9" hidden="1"/>
    <cellStyle name="Lien hypertexte visité" xfId="11710" builtinId="9" hidden="1"/>
    <cellStyle name="Lien hypertexte visité" xfId="11878" builtinId="9" hidden="1"/>
    <cellStyle name="Lien hypertexte visité" xfId="12050" builtinId="9" hidden="1"/>
    <cellStyle name="Lien hypertexte visité" xfId="12222" builtinId="9" hidden="1"/>
    <cellStyle name="Lien hypertexte visité" xfId="12390" builtinId="9" hidden="1"/>
    <cellStyle name="Lien hypertexte visité" xfId="12562" builtinId="9" hidden="1"/>
    <cellStyle name="Lien hypertexte visité" xfId="12734" builtinId="9" hidden="1"/>
    <cellStyle name="Lien hypertexte visité" xfId="12902" builtinId="9" hidden="1"/>
    <cellStyle name="Lien hypertexte visité" xfId="13074" builtinId="9" hidden="1"/>
    <cellStyle name="Lien hypertexte visité" xfId="13246" builtinId="9" hidden="1"/>
    <cellStyle name="Lien hypertexte visité" xfId="13414" builtinId="9" hidden="1"/>
    <cellStyle name="Lien hypertexte visité" xfId="13586" builtinId="9" hidden="1"/>
    <cellStyle name="Lien hypertexte visité" xfId="13758" builtinId="9" hidden="1"/>
    <cellStyle name="Lien hypertexte visité" xfId="13926" builtinId="9" hidden="1"/>
    <cellStyle name="Lien hypertexte visité" xfId="14098" builtinId="9" hidden="1"/>
    <cellStyle name="Lien hypertexte visité" xfId="14270" builtinId="9" hidden="1"/>
    <cellStyle name="Lien hypertexte visité" xfId="14438" builtinId="9" hidden="1"/>
    <cellStyle name="Lien hypertexte visité" xfId="14705" builtinId="9" hidden="1"/>
    <cellStyle name="Lien hypertexte visité" xfId="15049" builtinId="9" hidden="1"/>
    <cellStyle name="Lien hypertexte visité" xfId="15385" builtinId="9" hidden="1"/>
    <cellStyle name="Lien hypertexte visité" xfId="15729" builtinId="9" hidden="1"/>
    <cellStyle name="Lien hypertexte visité" xfId="16073" builtinId="9" hidden="1"/>
    <cellStyle name="Lien hypertexte visité" xfId="16409" builtinId="9" hidden="1"/>
    <cellStyle name="Lien hypertexte visité" xfId="16753" builtinId="9" hidden="1"/>
    <cellStyle name="Lien hypertexte visité" xfId="17097" builtinId="9" hidden="1"/>
    <cellStyle name="Lien hypertexte visité" xfId="17433" builtinId="9" hidden="1"/>
    <cellStyle name="Lien hypertexte visité" xfId="17777" builtinId="9" hidden="1"/>
    <cellStyle name="Lien hypertexte visité" xfId="18121" builtinId="9" hidden="1"/>
    <cellStyle name="Lien hypertexte visité" xfId="18440" builtinId="9" hidden="1"/>
    <cellStyle name="Lien hypertexte visité" xfId="18784" builtinId="9" hidden="1"/>
    <cellStyle name="Lien hypertexte visité" xfId="19128" builtinId="9" hidden="1"/>
    <cellStyle name="Lien hypertexte visité" xfId="19464" builtinId="9" hidden="1"/>
    <cellStyle name="Lien hypertexte visité" xfId="19808" builtinId="9" hidden="1"/>
    <cellStyle name="Lien hypertexte visité" xfId="20152" builtinId="9" hidden="1"/>
    <cellStyle name="Lien hypertexte visité" xfId="20488" builtinId="9" hidden="1"/>
    <cellStyle name="Lien hypertexte visité" xfId="20832" builtinId="9" hidden="1"/>
    <cellStyle name="Lien hypertexte visité" xfId="21176" builtinId="9" hidden="1"/>
    <cellStyle name="Lien hypertexte visité" xfId="21512" builtinId="9" hidden="1"/>
    <cellStyle name="Lien hypertexte visité" xfId="21856" builtinId="9" hidden="1"/>
    <cellStyle name="Lien hypertexte visité" xfId="22200" builtinId="9" hidden="1"/>
    <cellStyle name="Lien hypertexte visité" xfId="22536" builtinId="9" hidden="1"/>
    <cellStyle name="Lien hypertexte visité" xfId="22880" builtinId="9" hidden="1"/>
    <cellStyle name="Lien hypertexte visité" xfId="23224" builtinId="9" hidden="1"/>
    <cellStyle name="Lien hypertexte visité" xfId="23560" builtinId="9" hidden="1"/>
    <cellStyle name="Lien hypertexte visité" xfId="23904" builtinId="9" hidden="1"/>
    <cellStyle name="Lien hypertexte visité" xfId="24248" builtinId="9" hidden="1"/>
    <cellStyle name="Lien hypertexte visité" xfId="24584" builtinId="9" hidden="1"/>
    <cellStyle name="Lien hypertexte visité" xfId="24298" builtinId="9" hidden="1"/>
    <cellStyle name="Lien hypertexte visité" xfId="23954" builtinId="9" hidden="1"/>
    <cellStyle name="Lien hypertexte visité" xfId="23618" builtinId="9" hidden="1"/>
    <cellStyle name="Lien hypertexte visité" xfId="23274" builtinId="9" hidden="1"/>
    <cellStyle name="Lien hypertexte visité" xfId="22930" builtinId="9" hidden="1"/>
    <cellStyle name="Lien hypertexte visité" xfId="22594" builtinId="9" hidden="1"/>
    <cellStyle name="Lien hypertexte visité" xfId="22250" builtinId="9" hidden="1"/>
    <cellStyle name="Lien hypertexte visité" xfId="21906" builtinId="9" hidden="1"/>
    <cellStyle name="Lien hypertexte visité" xfId="21570" builtinId="9" hidden="1"/>
    <cellStyle name="Lien hypertexte visité" xfId="21226" builtinId="9" hidden="1"/>
    <cellStyle name="Lien hypertexte visité" xfId="20882" builtinId="9" hidden="1"/>
    <cellStyle name="Lien hypertexte visité" xfId="20546" builtinId="9" hidden="1"/>
    <cellStyle name="Lien hypertexte visité" xfId="20202" builtinId="9" hidden="1"/>
    <cellStyle name="Lien hypertexte visité" xfId="19858" builtinId="9" hidden="1"/>
    <cellStyle name="Lien hypertexte visité" xfId="19522" builtinId="9" hidden="1"/>
    <cellStyle name="Lien hypertexte visité" xfId="19178" builtinId="9" hidden="1"/>
    <cellStyle name="Lien hypertexte visité" xfId="18834" builtinId="9" hidden="1"/>
    <cellStyle name="Lien hypertexte visité" xfId="18498" builtinId="9" hidden="1"/>
    <cellStyle name="Lien hypertexte visité" xfId="18171" builtinId="9" hidden="1"/>
    <cellStyle name="Lien hypertexte visité" xfId="17827" builtinId="9" hidden="1"/>
    <cellStyle name="Lien hypertexte visité" xfId="17491" builtinId="9" hidden="1"/>
    <cellStyle name="Lien hypertexte visité" xfId="17803" builtinId="9" hidden="1"/>
    <cellStyle name="Lien hypertexte visité" xfId="18810" builtinId="9" hidden="1"/>
    <cellStyle name="Lien hypertexte visité" xfId="19834" builtinId="9" hidden="1"/>
    <cellStyle name="Lien hypertexte visité" xfId="20858" builtinId="9" hidden="1"/>
    <cellStyle name="Lien hypertexte visité" xfId="21882" builtinId="9" hidden="1"/>
    <cellStyle name="Lien hypertexte visité" xfId="22906" builtinId="9" hidden="1"/>
    <cellStyle name="Lien hypertexte visité" xfId="23930" builtinId="9" hidden="1"/>
    <cellStyle name="Lien hypertexte visité" xfId="24272" builtinId="9" hidden="1"/>
    <cellStyle name="Lien hypertexte visité" xfId="23248" builtinId="9" hidden="1"/>
    <cellStyle name="Lien hypertexte visité" xfId="22224" builtinId="9" hidden="1"/>
    <cellStyle name="Lien hypertexte visité" xfId="21200" builtinId="9" hidden="1"/>
    <cellStyle name="Lien hypertexte visité" xfId="20176" builtinId="9" hidden="1"/>
    <cellStyle name="Lien hypertexte visité" xfId="19152" builtinId="9" hidden="1"/>
    <cellStyle name="Lien hypertexte visité" xfId="18145" builtinId="9" hidden="1"/>
    <cellStyle name="Lien hypertexte visité" xfId="17121" builtinId="9" hidden="1"/>
    <cellStyle name="Lien hypertexte visité" xfId="16097" builtinId="9" hidden="1"/>
    <cellStyle name="Lien hypertexte visité" xfId="15073" builtinId="9" hidden="1"/>
    <cellStyle name="Lien hypertexte visité" xfId="14282" builtinId="9" hidden="1"/>
    <cellStyle name="Lien hypertexte visité" xfId="13770" builtinId="9" hidden="1"/>
    <cellStyle name="Lien hypertexte visité" xfId="13258" builtinId="9" hidden="1"/>
    <cellStyle name="Lien hypertexte visité" xfId="12746" builtinId="9" hidden="1"/>
    <cellStyle name="Lien hypertexte visité" xfId="12234" builtinId="9" hidden="1"/>
    <cellStyle name="Lien hypertexte visité" xfId="11722" builtinId="9" hidden="1"/>
    <cellStyle name="Lien hypertexte visité" xfId="11210" builtinId="9" hidden="1"/>
    <cellStyle name="Lien hypertexte visité" xfId="10698" builtinId="9" hidden="1"/>
    <cellStyle name="Lien hypertexte visité" xfId="10186" builtinId="9" hidden="1"/>
    <cellStyle name="Lien hypertexte visité" xfId="9674" builtinId="9" hidden="1"/>
    <cellStyle name="Lien hypertexte visité" xfId="9162" builtinId="9" hidden="1"/>
    <cellStyle name="Lien hypertexte visité" xfId="8650" builtinId="9" hidden="1"/>
    <cellStyle name="Lien hypertexte visité" xfId="3949" builtinId="9" hidden="1"/>
    <cellStyle name="Lien hypertexte visité" xfId="4093" builtinId="9" hidden="1"/>
    <cellStyle name="Lien hypertexte visité" xfId="4241" builtinId="9" hidden="1"/>
    <cellStyle name="Lien hypertexte visité" xfId="4385" builtinId="9" hidden="1"/>
    <cellStyle name="Lien hypertexte visité" xfId="4533" builtinId="9" hidden="1"/>
    <cellStyle name="Lien hypertexte visité" xfId="4677" builtinId="9" hidden="1"/>
    <cellStyle name="Lien hypertexte visité" xfId="4825" builtinId="9" hidden="1"/>
    <cellStyle name="Lien hypertexte visité" xfId="4973" builtinId="9" hidden="1"/>
    <cellStyle name="Lien hypertexte visité" xfId="5117" builtinId="9" hidden="1"/>
    <cellStyle name="Lien hypertexte visité" xfId="5265" builtinId="9" hidden="1"/>
    <cellStyle name="Lien hypertexte visité" xfId="5409" builtinId="9" hidden="1"/>
    <cellStyle name="Lien hypertexte visité" xfId="5557" builtinId="9" hidden="1"/>
    <cellStyle name="Lien hypertexte visité" xfId="5701" builtinId="9" hidden="1"/>
    <cellStyle name="Lien hypertexte visité" xfId="5849" builtinId="9" hidden="1"/>
    <cellStyle name="Lien hypertexte visité" xfId="5997" builtinId="9" hidden="1"/>
    <cellStyle name="Lien hypertexte visité" xfId="6141" builtinId="9" hidden="1"/>
    <cellStyle name="Lien hypertexte visité" xfId="6289" builtinId="9" hidden="1"/>
    <cellStyle name="Lien hypertexte visité" xfId="6433" builtinId="9" hidden="1"/>
    <cellStyle name="Lien hypertexte visité" xfId="6581" builtinId="9" hidden="1"/>
    <cellStyle name="Lien hypertexte visité" xfId="6725" builtinId="9" hidden="1"/>
    <cellStyle name="Lien hypertexte visité" xfId="6873" builtinId="9" hidden="1"/>
    <cellStyle name="Lien hypertexte visité" xfId="7021" builtinId="9" hidden="1"/>
    <cellStyle name="Lien hypertexte visité" xfId="7165" builtinId="9" hidden="1"/>
    <cellStyle name="Lien hypertexte visité" xfId="3227" builtinId="9" hidden="1"/>
    <cellStyle name="Lien hypertexte visité" xfId="3243" builtinId="9" hidden="1"/>
    <cellStyle name="Lien hypertexte visité" xfId="3259" builtinId="9" hidden="1"/>
    <cellStyle name="Lien hypertexte visité" xfId="3279" builtinId="9" hidden="1"/>
    <cellStyle name="Lien hypertexte visité" xfId="3295" builtinId="9" hidden="1"/>
    <cellStyle name="Lien hypertexte visité" xfId="3311" builtinId="9" hidden="1"/>
    <cellStyle name="Lien hypertexte visité" xfId="3327" builtinId="9" hidden="1"/>
    <cellStyle name="Lien hypertexte visité" xfId="3347" builtinId="9" hidden="1"/>
    <cellStyle name="Lien hypertexte visité" xfId="3363" builtinId="9" hidden="1"/>
    <cellStyle name="Lien hypertexte visité" xfId="3399" builtinId="9" hidden="1"/>
    <cellStyle name="Lien hypertexte visité" xfId="3415" builtinId="9" hidden="1"/>
    <cellStyle name="Lien hypertexte visité" xfId="3431" builtinId="9" hidden="1"/>
    <cellStyle name="Lien hypertexte visité" xfId="3447" builtinId="9" hidden="1"/>
    <cellStyle name="Lien hypertexte visité" xfId="3467" builtinId="9" hidden="1"/>
    <cellStyle name="Lien hypertexte visité" xfId="3483" builtinId="9" hidden="1"/>
    <cellStyle name="Lien hypertexte visité" xfId="3499" builtinId="9" hidden="1"/>
    <cellStyle name="Lien hypertexte visité" xfId="3515" builtinId="9" hidden="1"/>
    <cellStyle name="Lien hypertexte visité" xfId="3535" builtinId="9" hidden="1"/>
    <cellStyle name="Lien hypertexte visité" xfId="3551" builtinId="9" hidden="1"/>
    <cellStyle name="Lien hypertexte visité" xfId="3568" builtinId="9" hidden="1"/>
    <cellStyle name="Lien hypertexte visité" xfId="3584" builtinId="9" hidden="1"/>
    <cellStyle name="Lien hypertexte visité" xfId="3604" builtinId="9" hidden="1"/>
    <cellStyle name="Lien hypertexte visité" xfId="3620" builtinId="9" hidden="1"/>
    <cellStyle name="Lien hypertexte visité" xfId="3636" builtinId="9" hidden="1"/>
    <cellStyle name="Lien hypertexte visité" xfId="3679" builtinId="9" hidden="1"/>
    <cellStyle name="Lien hypertexte visité" xfId="3696" builtinId="9" hidden="1"/>
    <cellStyle name="Lien hypertexte visité" xfId="3712" builtinId="9" hidden="1"/>
    <cellStyle name="Lien hypertexte visité" xfId="3732" builtinId="9" hidden="1"/>
    <cellStyle name="Lien hypertexte visité" xfId="3748" builtinId="9" hidden="1"/>
    <cellStyle name="Lien hypertexte visité" xfId="3764" builtinId="9" hidden="1"/>
    <cellStyle name="Lien hypertexte visité" xfId="3780" builtinId="9" hidden="1"/>
    <cellStyle name="Lien hypertexte visité" xfId="3800" builtinId="9" hidden="1"/>
    <cellStyle name="Lien hypertexte visité" xfId="3816" builtinId="9" hidden="1"/>
    <cellStyle name="Lien hypertexte visité" xfId="3832" builtinId="9" hidden="1"/>
    <cellStyle name="Lien hypertexte visité" xfId="3848" builtinId="9" hidden="1"/>
    <cellStyle name="Lien hypertexte visité" xfId="3868" builtinId="9" hidden="1"/>
    <cellStyle name="Lien hypertexte visité" xfId="3557" builtinId="9" hidden="1"/>
    <cellStyle name="Lien hypertexte visité" xfId="3901" builtinId="9" hidden="1"/>
    <cellStyle name="Lien hypertexte visité" xfId="3921" builtinId="9" hidden="1"/>
    <cellStyle name="Lien hypertexte visité" xfId="3588" builtinId="9" hidden="1"/>
    <cellStyle name="Lien hypertexte visité" xfId="3331" builtinId="9" hidden="1"/>
    <cellStyle name="Lien hypertexte visité" xfId="3075" builtinId="9" hidden="1"/>
    <cellStyle name="Lien hypertexte visité" xfId="2819" builtinId="9" hidden="1"/>
    <cellStyle name="Lien hypertexte visité" xfId="2563" builtinId="9" hidden="1"/>
    <cellStyle name="Lien hypertexte visité" xfId="2307" builtinId="9" hidden="1"/>
    <cellStyle name="Lien hypertexte visité" xfId="1438" builtinId="9" hidden="1"/>
    <cellStyle name="Lien hypertexte visité" xfId="1454" builtinId="9" hidden="1"/>
    <cellStyle name="Lien hypertexte visité" xfId="1470" builtinId="9" hidden="1"/>
    <cellStyle name="Lien hypertexte visité" xfId="1490" builtinId="9" hidden="1"/>
    <cellStyle name="Lien hypertexte visité" xfId="1507" builtinId="9" hidden="1"/>
    <cellStyle name="Lien hypertexte visité" xfId="1523" builtinId="9" hidden="1"/>
    <cellStyle name="Lien hypertexte visité" xfId="1539" builtinId="9" hidden="1"/>
    <cellStyle name="Lien hypertexte visité" xfId="1555" builtinId="9" hidden="1"/>
    <cellStyle name="Lien hypertexte visité" xfId="1571" builtinId="9" hidden="1"/>
    <cellStyle name="Lien hypertexte visité" xfId="1607" builtinId="9" hidden="1"/>
    <cellStyle name="Lien hypertexte visité" xfId="1623" builtinId="9" hidden="1"/>
    <cellStyle name="Lien hypertexte visité" xfId="1639" builtinId="9" hidden="1"/>
    <cellStyle name="Lien hypertexte visité" xfId="1655" builtinId="9" hidden="1"/>
    <cellStyle name="Lien hypertexte visité" xfId="1671" builtinId="9" hidden="1"/>
    <cellStyle name="Lien hypertexte visité" xfId="1687" builtinId="9" hidden="1"/>
    <cellStyle name="Lien hypertexte visité" xfId="1703" builtinId="9" hidden="1"/>
    <cellStyle name="Lien hypertexte visité" xfId="1719" builtinId="9" hidden="1"/>
    <cellStyle name="Lien hypertexte visité" xfId="1739" builtinId="9" hidden="1"/>
    <cellStyle name="Lien hypertexte visité" xfId="1755" builtinId="9" hidden="1"/>
    <cellStyle name="Lien hypertexte visité" xfId="1771" builtinId="9" hidden="1"/>
    <cellStyle name="Lien hypertexte visité" xfId="1787" builtinId="9" hidden="1"/>
    <cellStyle name="Lien hypertexte visité" xfId="1803" builtinId="9" hidden="1"/>
    <cellStyle name="Lien hypertexte visité" xfId="1819" builtinId="9" hidden="1"/>
    <cellStyle name="Lien hypertexte visité" xfId="1835" builtinId="9" hidden="1"/>
    <cellStyle name="Lien hypertexte visité" xfId="1871" builtinId="9" hidden="1"/>
    <cellStyle name="Lien hypertexte visité" xfId="1887" builtinId="9" hidden="1"/>
    <cellStyle name="Lien hypertexte visité" xfId="1903" builtinId="9" hidden="1"/>
    <cellStyle name="Lien hypertexte visité" xfId="1919" builtinId="9" hidden="1"/>
    <cellStyle name="Lien hypertexte visité" xfId="1935" builtinId="9" hidden="1"/>
    <cellStyle name="Lien hypertexte visité" xfId="1951" builtinId="9" hidden="1"/>
    <cellStyle name="Lien hypertexte visité" xfId="1967" builtinId="9" hidden="1"/>
    <cellStyle name="Lien hypertexte visité" xfId="1983" builtinId="9" hidden="1"/>
    <cellStyle name="Lien hypertexte visité" xfId="2003" builtinId="9" hidden="1"/>
    <cellStyle name="Lien hypertexte visité" xfId="2019" builtinId="9" hidden="1"/>
    <cellStyle name="Lien hypertexte visité" xfId="2035" builtinId="9" hidden="1"/>
    <cellStyle name="Lien hypertexte visité" xfId="2051" builtinId="9" hidden="1"/>
    <cellStyle name="Lien hypertexte visité" xfId="2067" builtinId="9" hidden="1"/>
    <cellStyle name="Lien hypertexte visité" xfId="2083" builtinId="9" hidden="1"/>
    <cellStyle name="Lien hypertexte visité" xfId="2099" builtinId="9" hidden="1"/>
    <cellStyle name="Lien hypertexte visité" xfId="2135" builtinId="9" hidden="1"/>
    <cellStyle name="Lien hypertexte visité" xfId="1494" builtinId="9" hidden="1"/>
    <cellStyle name="Lien hypertexte visité" xfId="2167" builtinId="9" hidden="1"/>
    <cellStyle name="Lien hypertexte visité" xfId="2183" builtinId="9" hidden="1"/>
    <cellStyle name="Lien hypertexte visité" xfId="2199" builtinId="9" hidden="1"/>
    <cellStyle name="Lien hypertexte visité" xfId="1859" builtinId="9" hidden="1"/>
    <cellStyle name="Lien hypertexte visité" xfId="961" builtinId="9" hidden="1"/>
    <cellStyle name="Lien hypertexte visité" xfId="993" builtinId="9" hidden="1"/>
    <cellStyle name="Lien hypertexte visité" xfId="1025" builtinId="9" hidden="1"/>
    <cellStyle name="Lien hypertexte visité" xfId="1057" builtinId="9" hidden="1"/>
    <cellStyle name="Lien hypertexte visité" xfId="1089" builtinId="9" hidden="1"/>
    <cellStyle name="Lien hypertexte visité" xfId="1121" builtinId="9" hidden="1"/>
    <cellStyle name="Lien hypertexte visité" xfId="1152" builtinId="9" hidden="1"/>
    <cellStyle name="Lien hypertexte visité" xfId="1174" builtinId="9" hidden="1"/>
    <cellStyle name="Lien hypertexte visité" xfId="1190" builtinId="9" hidden="1"/>
    <cellStyle name="Lien hypertexte visité" xfId="1226" builtinId="9" hidden="1"/>
    <cellStyle name="Lien hypertexte visité" xfId="1242" builtinId="9" hidden="1"/>
    <cellStyle name="Lien hypertexte visité" xfId="1258" builtinId="9" hidden="1"/>
    <cellStyle name="Lien hypertexte visité" xfId="1274" builtinId="9" hidden="1"/>
    <cellStyle name="Lien hypertexte visité" xfId="1290" builtinId="9" hidden="1"/>
    <cellStyle name="Lien hypertexte visité" xfId="1306" builtinId="9" hidden="1"/>
    <cellStyle name="Lien hypertexte visité" xfId="1322" builtinId="9" hidden="1"/>
    <cellStyle name="Lien hypertexte visité" xfId="1338" builtinId="9" hidden="1"/>
    <cellStyle name="Lien hypertexte visité" xfId="1354" builtinId="9" hidden="1"/>
    <cellStyle name="Lien hypertexte visité" xfId="1370" builtinId="9" hidden="1"/>
    <cellStyle name="Lien hypertexte visité" xfId="1386" builtinId="9" hidden="1"/>
    <cellStyle name="Lien hypertexte visité" xfId="1402" builtinId="9" hidden="1"/>
    <cellStyle name="Lien hypertexte visité" xfId="1418" builtinId="9" hidden="1"/>
    <cellStyle name="Lien hypertexte visité" xfId="601" builtinId="9" hidden="1"/>
    <cellStyle name="Lien hypertexte visité" xfId="633" builtinId="9" hidden="1"/>
    <cellStyle name="Lien hypertexte visité" xfId="697" builtinId="9" hidden="1"/>
    <cellStyle name="Lien hypertexte visité" xfId="729" builtinId="9" hidden="1"/>
    <cellStyle name="Lien hypertexte visité" xfId="761" builtinId="9" hidden="1"/>
    <cellStyle name="Lien hypertexte visité" xfId="793" builtinId="9" hidden="1"/>
    <cellStyle name="Lien hypertexte visité" xfId="825" builtinId="9" hidden="1"/>
    <cellStyle name="Lien hypertexte visité" xfId="857" builtinId="9" hidden="1"/>
    <cellStyle name="Lien hypertexte visité" xfId="889" builtinId="9" hidden="1"/>
    <cellStyle name="Lien hypertexte visité" xfId="921" builtinId="9" hidden="1"/>
    <cellStyle name="Lien hypertexte visité" xfId="953" builtinId="9" hidden="1"/>
    <cellStyle name="Lien hypertexte visité" xfId="449" builtinId="9" hidden="1"/>
    <cellStyle name="Lien hypertexte visité" xfId="481" builtinId="9" hidden="1"/>
    <cellStyle name="Lien hypertexte visité" xfId="513" builtinId="9" hidden="1"/>
    <cellStyle name="Lien hypertexte visité" xfId="545" builtinId="9" hidden="1"/>
    <cellStyle name="Lien hypertexte visité" xfId="577" builtinId="9" hidden="1"/>
    <cellStyle name="Lien hypertexte visité" xfId="345" builtinId="9" hidden="1"/>
    <cellStyle name="Lien hypertexte visité" xfId="409" builtinId="9" hidden="1"/>
    <cellStyle name="Lien hypertexte visité" xfId="305" builtinId="9" hidden="1"/>
    <cellStyle name="Lien hypertexte visité" xfId="265" builtinId="9" hidden="1"/>
    <cellStyle name="Lien hypertexte visité" xfId="249" builtinId="9" hidden="1"/>
    <cellStyle name="Lien hypertexte visité" xfId="273" builtinId="9" hidden="1"/>
    <cellStyle name="Lien hypertexte visité" xfId="313" builtinId="9" hidden="1"/>
    <cellStyle name="Lien hypertexte visité" xfId="417" builtinId="9" hidden="1"/>
    <cellStyle name="Lien hypertexte visité" xfId="385" builtinId="9" hidden="1"/>
    <cellStyle name="Lien hypertexte visité" xfId="353" builtinId="9" hidden="1"/>
    <cellStyle name="Lien hypertexte visité" xfId="585" builtinId="9" hidden="1"/>
    <cellStyle name="Lien hypertexte visité" xfId="553" builtinId="9" hidden="1"/>
    <cellStyle name="Lien hypertexte visité" xfId="521" builtinId="9" hidden="1"/>
    <cellStyle name="Lien hypertexte visité" xfId="489" builtinId="9" hidden="1"/>
    <cellStyle name="Lien hypertexte visité" xfId="457" builtinId="9" hidden="1"/>
    <cellStyle name="Lien hypertexte visité" xfId="425" builtinId="9" hidden="1"/>
    <cellStyle name="Lien hypertexte visité" xfId="897" builtinId="9" hidden="1"/>
    <cellStyle name="Lien hypertexte visité" xfId="865" builtinId="9" hidden="1"/>
    <cellStyle name="Lien hypertexte visité" xfId="833" builtinId="9" hidden="1"/>
    <cellStyle name="Lien hypertexte visité" xfId="801" builtinId="9" hidden="1"/>
    <cellStyle name="Lien hypertexte visité" xfId="769" builtinId="9" hidden="1"/>
    <cellStyle name="Lien hypertexte visité" xfId="737" builtinId="9" hidden="1"/>
    <cellStyle name="Lien hypertexte visité" xfId="705" builtinId="9" hidden="1"/>
    <cellStyle name="Lien hypertexte visité" xfId="673" builtinId="9" hidden="1"/>
    <cellStyle name="Lien hypertexte visité" xfId="641" builtinId="9" hidden="1"/>
    <cellStyle name="Lien hypertexte visité" xfId="609" builtinId="9" hidden="1"/>
    <cellStyle name="Lien hypertexte visité" xfId="1422" builtinId="9" hidden="1"/>
    <cellStyle name="Lien hypertexte visité" xfId="1406" builtinId="9" hidden="1"/>
    <cellStyle name="Lien hypertexte visité" xfId="1390" builtinId="9" hidden="1"/>
    <cellStyle name="Lien hypertexte visité" xfId="1374" builtinId="9" hidden="1"/>
    <cellStyle name="Lien hypertexte visité" xfId="1358" builtinId="9" hidden="1"/>
    <cellStyle name="Lien hypertexte visité" xfId="1326" builtinId="9" hidden="1"/>
    <cellStyle name="Lien hypertexte visité" xfId="1310" builtinId="9" hidden="1"/>
    <cellStyle name="Lien hypertexte visité" xfId="1294" builtinId="9" hidden="1"/>
    <cellStyle name="Lien hypertexte visité" xfId="1278" builtinId="9" hidden="1"/>
    <cellStyle name="Lien hypertexte visité" xfId="1262" builtinId="9" hidden="1"/>
    <cellStyle name="Lien hypertexte visité" xfId="1246" builtinId="9" hidden="1"/>
    <cellStyle name="Lien hypertexte visité" xfId="1230" builtinId="9" hidden="1"/>
    <cellStyle name="Lien hypertexte visité" xfId="1210" builtinId="9" hidden="1"/>
    <cellStyle name="Lien hypertexte visité" xfId="1194" builtinId="9" hidden="1"/>
    <cellStyle name="Lien hypertexte visité" xfId="1178" builtinId="9" hidden="1"/>
    <cellStyle name="Lien hypertexte visité" xfId="1162" builtinId="9" hidden="1"/>
    <cellStyle name="Lien hypertexte visité" xfId="1129" builtinId="9" hidden="1"/>
    <cellStyle name="Lien hypertexte visité" xfId="1097" builtinId="9" hidden="1"/>
    <cellStyle name="Lien hypertexte visité" xfId="1065" builtinId="9" hidden="1"/>
    <cellStyle name="Lien hypertexte visité" xfId="1033" builtinId="9" hidden="1"/>
    <cellStyle name="Lien hypertexte visité" xfId="969" builtinId="9" hidden="1"/>
    <cellStyle name="Lien hypertexte visité" xfId="1731" builtinId="9" hidden="1"/>
    <cellStyle name="Lien hypertexte visité" xfId="2204" builtinId="9" hidden="1"/>
    <cellStyle name="Lien hypertexte visité" xfId="2187" builtinId="9" hidden="1"/>
    <cellStyle name="Lien hypertexte visité" xfId="2171" builtinId="9" hidden="1"/>
    <cellStyle name="Lien hypertexte visité" xfId="2155" builtinId="9" hidden="1"/>
    <cellStyle name="Lien hypertexte visité" xfId="2139" builtinId="9" hidden="1"/>
    <cellStyle name="Lien hypertexte visité" xfId="2123" builtinId="9" hidden="1"/>
    <cellStyle name="Lien hypertexte visité" xfId="2103" builtinId="9" hidden="1"/>
    <cellStyle name="Lien hypertexte visité" xfId="2087" builtinId="9" hidden="1"/>
    <cellStyle name="Lien hypertexte visité" xfId="2071" builtinId="9" hidden="1"/>
    <cellStyle name="Lien hypertexte visité" xfId="2055" builtinId="9" hidden="1"/>
    <cellStyle name="Lien hypertexte visité" xfId="2039" builtinId="9" hidden="1"/>
    <cellStyle name="Lien hypertexte visité" xfId="2023" builtinId="9" hidden="1"/>
    <cellStyle name="Lien hypertexte visité" xfId="2007" builtinId="9" hidden="1"/>
    <cellStyle name="Lien hypertexte visité" xfId="1971" builtinId="9" hidden="1"/>
    <cellStyle name="Lien hypertexte visité" xfId="1955" builtinId="9" hidden="1"/>
    <cellStyle name="Lien hypertexte visité" xfId="1939" builtinId="9" hidden="1"/>
    <cellStyle name="Lien hypertexte visité" xfId="1923" builtinId="9" hidden="1"/>
    <cellStyle name="Lien hypertexte visité" xfId="1907" builtinId="9" hidden="1"/>
    <cellStyle name="Lien hypertexte visité" xfId="1891" builtinId="9" hidden="1"/>
    <cellStyle name="Lien hypertexte visité" xfId="1875" builtinId="9" hidden="1"/>
    <cellStyle name="Lien hypertexte visité" xfId="1855" builtinId="9" hidden="1"/>
    <cellStyle name="Lien hypertexte visité" xfId="1839" builtinId="9" hidden="1"/>
    <cellStyle name="Lien hypertexte visité" xfId="1823" builtinId="9" hidden="1"/>
    <cellStyle name="Lien hypertexte visité" xfId="1807" builtinId="9" hidden="1"/>
    <cellStyle name="Lien hypertexte visité" xfId="1791" builtinId="9" hidden="1"/>
    <cellStyle name="Lien hypertexte visité" xfId="1775" builtinId="9" hidden="1"/>
    <cellStyle name="Lien hypertexte visité" xfId="1759" builtinId="9" hidden="1"/>
    <cellStyle name="Lien hypertexte visité" xfId="1743" builtinId="9" hidden="1"/>
    <cellStyle name="Lien hypertexte visité" xfId="1707" builtinId="9" hidden="1"/>
    <cellStyle name="Lien hypertexte visité" xfId="1691" builtinId="9" hidden="1"/>
    <cellStyle name="Lien hypertexte visité" xfId="1675" builtinId="9" hidden="1"/>
    <cellStyle name="Lien hypertexte visité" xfId="1659" builtinId="9" hidden="1"/>
    <cellStyle name="Lien hypertexte visité" xfId="1643" builtinId="9" hidden="1"/>
    <cellStyle name="Lien hypertexte visité" xfId="1627" builtinId="9" hidden="1"/>
    <cellStyle name="Lien hypertexte visité" xfId="1611" builtinId="9" hidden="1"/>
    <cellStyle name="Lien hypertexte visité" xfId="1591" builtinId="9" hidden="1"/>
    <cellStyle name="Lien hypertexte visité" xfId="1575" builtinId="9" hidden="1"/>
    <cellStyle name="Lien hypertexte visité" xfId="1559" builtinId="9" hidden="1"/>
    <cellStyle name="Lien hypertexte visité" xfId="1543" builtinId="9" hidden="1"/>
    <cellStyle name="Lien hypertexte visité" xfId="1527" builtinId="9" hidden="1"/>
    <cellStyle name="Lien hypertexte visité" xfId="1511" builtinId="9" hidden="1"/>
    <cellStyle name="Lien hypertexte visité" xfId="1495" builtinId="9" hidden="1"/>
    <cellStyle name="Lien hypertexte visité" xfId="1478" builtinId="9" hidden="1"/>
    <cellStyle name="Lien hypertexte visité" xfId="1442" builtinId="9" hidden="1"/>
    <cellStyle name="Lien hypertexte visité" xfId="2243" builtinId="9" hidden="1"/>
    <cellStyle name="Lien hypertexte visité" xfId="2499" builtinId="9" hidden="1"/>
    <cellStyle name="Lien hypertexte visité" xfId="2755" builtinId="9" hidden="1"/>
    <cellStyle name="Lien hypertexte visité" xfId="3011" builtinId="9" hidden="1"/>
    <cellStyle name="Lien hypertexte visité" xfId="3267" builtinId="9" hidden="1"/>
    <cellStyle name="Lien hypertexte visité" xfId="3523" builtinId="9" hidden="1"/>
    <cellStyle name="Lien hypertexte visité" xfId="3788" builtinId="9" hidden="1"/>
    <cellStyle name="Lien hypertexte visité" xfId="1156" builtinId="9" hidden="1"/>
    <cellStyle name="Lien hypertexte visité" xfId="3905" builtinId="9" hidden="1"/>
    <cellStyle name="Lien hypertexte visité" xfId="3889" builtinId="9" hidden="1"/>
    <cellStyle name="Lien hypertexte visité" xfId="3872" builtinId="9" hidden="1"/>
    <cellStyle name="Lien hypertexte visité" xfId="3856" builtinId="9" hidden="1"/>
    <cellStyle name="Lien hypertexte visité" xfId="3836" builtinId="9" hidden="1"/>
    <cellStyle name="Lien hypertexte visité" xfId="3820" builtinId="9" hidden="1"/>
    <cellStyle name="Lien hypertexte visité" xfId="3784" builtinId="9" hidden="1"/>
    <cellStyle name="Lien hypertexte visité" xfId="3768" builtinId="9" hidden="1"/>
    <cellStyle name="Lien hypertexte visité" xfId="3752" builtinId="9" hidden="1"/>
    <cellStyle name="Lien hypertexte visité" xfId="3736" builtinId="9" hidden="1"/>
    <cellStyle name="Lien hypertexte visité" xfId="3716" builtinId="9" hidden="1"/>
    <cellStyle name="Lien hypertexte visité" xfId="3700" builtinId="9" hidden="1"/>
    <cellStyle name="Lien hypertexte visité" xfId="3683" builtinId="9" hidden="1"/>
    <cellStyle name="Lien hypertexte visité" xfId="3665" builtinId="9" hidden="1"/>
    <cellStyle name="Lien hypertexte visité" xfId="3640" builtinId="9" hidden="1"/>
    <cellStyle name="Lien hypertexte visité" xfId="3624" builtinId="9" hidden="1"/>
    <cellStyle name="Lien hypertexte visité" xfId="3608" builtinId="9" hidden="1"/>
    <cellStyle name="Lien hypertexte visité" xfId="3592" builtinId="9" hidden="1"/>
    <cellStyle name="Lien hypertexte visité" xfId="3572" builtinId="9" hidden="1"/>
    <cellStyle name="Lien hypertexte visité" xfId="3555" builtinId="9" hidden="1"/>
    <cellStyle name="Lien hypertexte visité" xfId="3539" builtinId="9" hidden="1"/>
    <cellStyle name="Lien hypertexte visité" xfId="3503" builtinId="9" hidden="1"/>
    <cellStyle name="Lien hypertexte visité" xfId="3487" builtinId="9" hidden="1"/>
    <cellStyle name="Lien hypertexte visité" xfId="3471" builtinId="9" hidden="1"/>
    <cellStyle name="Lien hypertexte visité" xfId="3451" builtinId="9" hidden="1"/>
    <cellStyle name="Lien hypertexte visité" xfId="3435" builtinId="9" hidden="1"/>
    <cellStyle name="Lien hypertexte visité" xfId="3419" builtinId="9" hidden="1"/>
    <cellStyle name="Lien hypertexte visité" xfId="3403" builtinId="9" hidden="1"/>
    <cellStyle name="Lien hypertexte visité" xfId="3383" builtinId="9" hidden="1"/>
    <cellStyle name="Lien hypertexte visité" xfId="3367" builtinId="9" hidden="1"/>
    <cellStyle name="Lien hypertexte visité" xfId="3351" builtinId="9" hidden="1"/>
    <cellStyle name="Lien hypertexte visité" xfId="3335" builtinId="9" hidden="1"/>
    <cellStyle name="Lien hypertexte visité" xfId="3315" builtinId="9" hidden="1"/>
    <cellStyle name="Lien hypertexte visité" xfId="3299" builtinId="9" hidden="1"/>
    <cellStyle name="Lien hypertexte visité" xfId="3283" builtinId="9" hidden="1"/>
    <cellStyle name="Lien hypertexte visité" xfId="3263" builtinId="9" hidden="1"/>
    <cellStyle name="Lien hypertexte visité" xfId="3231" builtinId="9" hidden="1"/>
    <cellStyle name="Lien hypertexte visité" xfId="3215" builtinId="9" hidden="1"/>
    <cellStyle name="Lien hypertexte visité" xfId="3195" builtinId="9" hidden="1"/>
    <cellStyle name="Lien hypertexte visité" xfId="3179" builtinId="9" hidden="1"/>
    <cellStyle name="Lien hypertexte visité" xfId="3163" builtinId="9" hidden="1"/>
    <cellStyle name="Lien hypertexte visité" xfId="3147" builtinId="9" hidden="1"/>
    <cellStyle name="Lien hypertexte visité" xfId="3127" builtinId="9" hidden="1"/>
    <cellStyle name="Lien hypertexte visité" xfId="3111" builtinId="9" hidden="1"/>
    <cellStyle name="Lien hypertexte visité" xfId="3095" builtinId="9" hidden="1"/>
    <cellStyle name="Lien hypertexte visité" xfId="3079" builtinId="9" hidden="1"/>
    <cellStyle name="Lien hypertexte visité" xfId="3059" builtinId="9" hidden="1"/>
    <cellStyle name="Lien hypertexte visité" xfId="3043" builtinId="9" hidden="1"/>
    <cellStyle name="Lien hypertexte visité" xfId="3027" builtinId="9" hidden="1"/>
    <cellStyle name="Lien hypertexte visité" xfId="3007" builtinId="9" hidden="1"/>
    <cellStyle name="Lien hypertexte visité" xfId="2991" builtinId="9" hidden="1"/>
    <cellStyle name="Lien hypertexte visité" xfId="2959" builtinId="9" hidden="1"/>
    <cellStyle name="Lien hypertexte visité" xfId="2939" builtinId="9" hidden="1"/>
    <cellStyle name="Lien hypertexte visité" xfId="2923" builtinId="9" hidden="1"/>
    <cellStyle name="Lien hypertexte visité" xfId="2907" builtinId="9" hidden="1"/>
    <cellStyle name="Lien hypertexte visité" xfId="2891" builtinId="9" hidden="1"/>
    <cellStyle name="Lien hypertexte visité" xfId="2871" builtinId="9" hidden="1"/>
    <cellStyle name="Lien hypertexte visité" xfId="2855" builtinId="9" hidden="1"/>
    <cellStyle name="Lien hypertexte visité" xfId="2839" builtinId="9" hidden="1"/>
    <cellStyle name="Lien hypertexte visité" xfId="2823" builtinId="9" hidden="1"/>
    <cellStyle name="Lien hypertexte visité" xfId="2803" builtinId="9" hidden="1"/>
    <cellStyle name="Lien hypertexte visité" xfId="2787" builtinId="9" hidden="1"/>
    <cellStyle name="Lien hypertexte visité" xfId="2771" builtinId="9" hidden="1"/>
    <cellStyle name="Lien hypertexte visité" xfId="2751" builtinId="9" hidden="1"/>
    <cellStyle name="Lien hypertexte visité" xfId="2735" builtinId="9" hidden="1"/>
    <cellStyle name="Lien hypertexte visité" xfId="2719" builtinId="9" hidden="1"/>
    <cellStyle name="Lien hypertexte visité" xfId="2683" builtinId="9" hidden="1"/>
    <cellStyle name="Lien hypertexte visité" xfId="2667" builtinId="9" hidden="1"/>
    <cellStyle name="Lien hypertexte visité" xfId="2651" builtinId="9" hidden="1"/>
    <cellStyle name="Lien hypertexte visité" xfId="2635" builtinId="9" hidden="1"/>
    <cellStyle name="Lien hypertexte visité" xfId="2615" builtinId="9" hidden="1"/>
    <cellStyle name="Lien hypertexte visité" xfId="2599" builtinId="9" hidden="1"/>
    <cellStyle name="Lien hypertexte visité" xfId="2583" builtinId="9" hidden="1"/>
    <cellStyle name="Lien hypertexte visité" xfId="2567" builtinId="9" hidden="1"/>
    <cellStyle name="Lien hypertexte visité" xfId="2547" builtinId="9" hidden="1"/>
    <cellStyle name="Lien hypertexte visité" xfId="2531" builtinId="9" hidden="1"/>
    <cellStyle name="Lien hypertexte visité" xfId="2515" builtinId="9" hidden="1"/>
    <cellStyle name="Lien hypertexte visité" xfId="2495" builtinId="9" hidden="1"/>
    <cellStyle name="Lien hypertexte visité" xfId="2479" builtinId="9" hidden="1"/>
    <cellStyle name="Lien hypertexte visité" xfId="2463" builtinId="9" hidden="1"/>
    <cellStyle name="Lien hypertexte visité" xfId="2447" builtinId="9" hidden="1"/>
    <cellStyle name="Lien hypertexte visité" xfId="2411" builtinId="9" hidden="1"/>
    <cellStyle name="Lien hypertexte visité" xfId="2395" builtinId="9" hidden="1"/>
    <cellStyle name="Lien hypertexte visité" xfId="2379" builtinId="9" hidden="1"/>
    <cellStyle name="Lien hypertexte visité" xfId="2359" builtinId="9" hidden="1"/>
    <cellStyle name="Lien hypertexte visité" xfId="2343" builtinId="9" hidden="1"/>
    <cellStyle name="Lien hypertexte visité" xfId="2327" builtinId="9" hidden="1"/>
    <cellStyle name="Lien hypertexte visité" xfId="2311" builtinId="9" hidden="1"/>
    <cellStyle name="Lien hypertexte visité" xfId="2291" builtinId="9" hidden="1"/>
    <cellStyle name="Lien hypertexte visité" xfId="2275" builtinId="9" hidden="1"/>
    <cellStyle name="Lien hypertexte visité" xfId="2259" builtinId="9" hidden="1"/>
    <cellStyle name="Lien hypertexte visité" xfId="2239" builtinId="9" hidden="1"/>
    <cellStyle name="Lien hypertexte visité" xfId="2223" builtinId="9" hidden="1"/>
    <cellStyle name="Lien hypertexte visité" xfId="2208" builtinId="9" hidden="1"/>
    <cellStyle name="Lien hypertexte visité" xfId="4041" builtinId="9" hidden="1"/>
    <cellStyle name="Lien hypertexte visité" xfId="4169" builtinId="9" hidden="1"/>
    <cellStyle name="Lien hypertexte visité" xfId="4425" builtinId="9" hidden="1"/>
    <cellStyle name="Lien hypertexte visité" xfId="4553" builtinId="9" hidden="1"/>
    <cellStyle name="Lien hypertexte visité" xfId="4681" builtinId="9" hidden="1"/>
    <cellStyle name="Lien hypertexte visité" xfId="4809" builtinId="9" hidden="1"/>
    <cellStyle name="Lien hypertexte visité" xfId="4937" builtinId="9" hidden="1"/>
    <cellStyle name="Lien hypertexte visité" xfId="5065" builtinId="9" hidden="1"/>
    <cellStyle name="Lien hypertexte visité" xfId="5193" builtinId="9" hidden="1"/>
    <cellStyle name="Lien hypertexte visité" xfId="5321" builtinId="9" hidden="1"/>
    <cellStyle name="Lien hypertexte visité" xfId="5449" builtinId="9" hidden="1"/>
    <cellStyle name="Lien hypertexte visité" xfId="5577" builtinId="9" hidden="1"/>
    <cellStyle name="Lien hypertexte visité" xfId="5705" builtinId="9" hidden="1"/>
    <cellStyle name="Lien hypertexte visité" xfId="5833" builtinId="9" hidden="1"/>
    <cellStyle name="Lien hypertexte visité" xfId="5961" builtinId="9" hidden="1"/>
    <cellStyle name="Lien hypertexte visité" xfId="6089" builtinId="9" hidden="1"/>
    <cellStyle name="Lien hypertexte visité" xfId="6217" builtinId="9" hidden="1"/>
    <cellStyle name="Lien hypertexte visité" xfId="6473" builtinId="9" hidden="1"/>
    <cellStyle name="Lien hypertexte visité" xfId="6601" builtinId="9" hidden="1"/>
    <cellStyle name="Lien hypertexte visité" xfId="6729" builtinId="9" hidden="1"/>
    <cellStyle name="Lien hypertexte visité" xfId="6857" builtinId="9" hidden="1"/>
    <cellStyle name="Lien hypertexte visité" xfId="6985" builtinId="9" hidden="1"/>
    <cellStyle name="Lien hypertexte visité" xfId="7113" builtinId="9" hidden="1"/>
    <cellStyle name="Lien hypertexte visité" xfId="7241" builtinId="9" hidden="1"/>
    <cellStyle name="Lien hypertexte visité" xfId="7369" builtinId="9" hidden="1"/>
    <cellStyle name="Lien hypertexte visité" xfId="7497" builtinId="9" hidden="1"/>
    <cellStyle name="Lien hypertexte visité" xfId="7625" builtinId="9" hidden="1"/>
    <cellStyle name="Lien hypertexte visité" xfId="7753" builtinId="9" hidden="1"/>
    <cellStyle name="Lien hypertexte visité" xfId="7882" builtinId="9" hidden="1"/>
    <cellStyle name="Lien hypertexte visité" xfId="8010" builtinId="9" hidden="1"/>
    <cellStyle name="Lien hypertexte visité" xfId="8138" builtinId="9" hidden="1"/>
    <cellStyle name="Lien hypertexte visité" xfId="8210" builtinId="9" hidden="1"/>
    <cellStyle name="Lien hypertexte visité" xfId="8174" builtinId="9" hidden="1"/>
    <cellStyle name="Lien hypertexte visité" xfId="8154" builtinId="9" hidden="1"/>
    <cellStyle name="Lien hypertexte visité" xfId="8134" builtinId="9" hidden="1"/>
    <cellStyle name="Lien hypertexte visité" xfId="8118" builtinId="9" hidden="1"/>
    <cellStyle name="Lien hypertexte visité" xfId="8098" builtinId="9" hidden="1"/>
    <cellStyle name="Lien hypertexte visité" xfId="8082" builtinId="9" hidden="1"/>
    <cellStyle name="Lien hypertexte visité" xfId="8062" builtinId="9" hidden="1"/>
    <cellStyle name="Lien hypertexte visité" xfId="8046" builtinId="9" hidden="1"/>
    <cellStyle name="Lien hypertexte visité" xfId="8026" builtinId="9" hidden="1"/>
    <cellStyle name="Lien hypertexte visité" xfId="8006" builtinId="9" hidden="1"/>
    <cellStyle name="Lien hypertexte visité" xfId="7990" builtinId="9" hidden="1"/>
    <cellStyle name="Lien hypertexte visité" xfId="7970" builtinId="9" hidden="1"/>
    <cellStyle name="Lien hypertexte visité" xfId="7954" builtinId="9" hidden="1"/>
    <cellStyle name="Lien hypertexte visité" xfId="7934" builtinId="9" hidden="1"/>
    <cellStyle name="Lien hypertexte visité" xfId="7918" builtinId="9" hidden="1"/>
    <cellStyle name="Lien hypertexte visité" xfId="7878" builtinId="9" hidden="1"/>
    <cellStyle name="Lien hypertexte visité" xfId="7862" builtinId="9" hidden="1"/>
    <cellStyle name="Lien hypertexte visité" xfId="7842" builtinId="9" hidden="1"/>
    <cellStyle name="Lien hypertexte visité" xfId="7826" builtinId="9" hidden="1"/>
    <cellStyle name="Lien hypertexte visité" xfId="7805" builtinId="9" hidden="1"/>
    <cellStyle name="Lien hypertexte visité" xfId="7789" builtinId="9" hidden="1"/>
    <cellStyle name="Lien hypertexte visité" xfId="7769" builtinId="9" hidden="1"/>
    <cellStyle name="Lien hypertexte visité" xfId="7749" builtinId="9" hidden="1"/>
    <cellStyle name="Lien hypertexte visité" xfId="7733" builtinId="9" hidden="1"/>
    <cellStyle name="Lien hypertexte visité" xfId="7713" builtinId="9" hidden="1"/>
    <cellStyle name="Lien hypertexte visité" xfId="7697" builtinId="9" hidden="1"/>
    <cellStyle name="Lien hypertexte visité" xfId="7677" builtinId="9" hidden="1"/>
    <cellStyle name="Lien hypertexte visité" xfId="7661" builtinId="9" hidden="1"/>
    <cellStyle name="Lien hypertexte visité" xfId="7641" builtinId="9" hidden="1"/>
    <cellStyle name="Lien hypertexte visité" xfId="7621" builtinId="9" hidden="1"/>
    <cellStyle name="Lien hypertexte visité" xfId="7585" builtinId="9" hidden="1"/>
    <cellStyle name="Lien hypertexte visité" xfId="7569" builtinId="9" hidden="1"/>
    <cellStyle name="Lien hypertexte visité" xfId="7549" builtinId="9" hidden="1"/>
    <cellStyle name="Lien hypertexte visité" xfId="7533" builtinId="9" hidden="1"/>
    <cellStyle name="Lien hypertexte visité" xfId="7513" builtinId="9" hidden="1"/>
    <cellStyle name="Lien hypertexte visité" xfId="7493" builtinId="9" hidden="1"/>
    <cellStyle name="Lien hypertexte visité" xfId="7477" builtinId="9" hidden="1"/>
    <cellStyle name="Lien hypertexte visité" xfId="7457" builtinId="9" hidden="1"/>
    <cellStyle name="Lien hypertexte visité" xfId="7441" builtinId="9" hidden="1"/>
    <cellStyle name="Lien hypertexte visité" xfId="7421" builtinId="9" hidden="1"/>
    <cellStyle name="Lien hypertexte visité" xfId="7405" builtinId="9" hidden="1"/>
    <cellStyle name="Lien hypertexte visité" xfId="7385" builtinId="9" hidden="1"/>
    <cellStyle name="Lien hypertexte visité" xfId="7365" builtinId="9" hidden="1"/>
    <cellStyle name="Lien hypertexte visité" xfId="7349" builtinId="9" hidden="1"/>
    <cellStyle name="Lien hypertexte visité" xfId="7329" builtinId="9" hidden="1"/>
    <cellStyle name="Lien hypertexte visité" xfId="7293" builtinId="9" hidden="1"/>
    <cellStyle name="Lien hypertexte visité" xfId="7277" builtinId="9" hidden="1"/>
    <cellStyle name="Lien hypertexte visité" xfId="7257" builtinId="9" hidden="1"/>
    <cellStyle name="Lien hypertexte visité" xfId="7313" builtinId="9" hidden="1"/>
    <cellStyle name="Lien hypertexte visité" xfId="7605" builtinId="9" hidden="1"/>
    <cellStyle name="Lien hypertexte visité" xfId="7898" builtinId="9" hidden="1"/>
    <cellStyle name="Lien hypertexte visité" xfId="8190" builtinId="9" hidden="1"/>
    <cellStyle name="Lien hypertexte visité" xfId="6345" builtinId="9" hidden="1"/>
    <cellStyle name="Lien hypertexte visité" xfId="4297" builtinId="9" hidden="1"/>
    <cellStyle name="Lien hypertexte visité" xfId="2427" builtinId="9" hidden="1"/>
    <cellStyle name="Lien hypertexte visité" xfId="2703" builtinId="9" hidden="1"/>
    <cellStyle name="Lien hypertexte visité" xfId="2975" builtinId="9" hidden="1"/>
    <cellStyle name="Lien hypertexte visité" xfId="3247" builtinId="9" hidden="1"/>
    <cellStyle name="Lien hypertexte visité" xfId="3519" builtinId="9" hidden="1"/>
    <cellStyle name="Lien hypertexte visité" xfId="3804" builtinId="9" hidden="1"/>
    <cellStyle name="Lien hypertexte visité" xfId="1458" builtinId="9" hidden="1"/>
    <cellStyle name="Lien hypertexte visité" xfId="1723" builtinId="9" hidden="1"/>
    <cellStyle name="Lien hypertexte visité" xfId="1991" builtinId="9" hidden="1"/>
    <cellStyle name="Lien hypertexte visité" xfId="1001" builtinId="9" hidden="1"/>
    <cellStyle name="Lien hypertexte visité" xfId="1342" builtinId="9" hidden="1"/>
    <cellStyle name="Lien hypertexte visité" xfId="929" builtinId="9" hidden="1"/>
    <cellStyle name="Lien hypertexte visité" xfId="377" builtinId="9" hidden="1"/>
    <cellStyle name="Lien hypertexte visité" xfId="665" builtinId="9" hidden="1"/>
    <cellStyle name="Lien hypertexte visité" xfId="1206" builtinId="9" hidden="1"/>
    <cellStyle name="Lien hypertexte visité" xfId="2119" builtinId="9" hidden="1"/>
    <cellStyle name="Lien hypertexte visité" xfId="1851" builtinId="9" hidden="1"/>
    <cellStyle name="Lien hypertexte visité" xfId="1587" builtinId="9" hidden="1"/>
    <cellStyle name="Lien hypertexte visité" xfId="3852" builtinId="9" hidden="1"/>
    <cellStyle name="Lien hypertexte visité" xfId="3658" builtinId="9" hidden="1"/>
    <cellStyle name="Lien hypertexte visité" xfId="3379" builtinId="9" hidden="1"/>
    <cellStyle name="Lien hypertexte visité" xfId="6373" builtinId="9" hidden="1"/>
    <cellStyle name="Lien hypertexte visité" xfId="6393" builtinId="9" hidden="1"/>
    <cellStyle name="Lien hypertexte visité" xfId="6413" builtinId="9" hidden="1"/>
    <cellStyle name="Lien hypertexte visité" xfId="6429" builtinId="9" hidden="1"/>
    <cellStyle name="Lien hypertexte visité" xfId="6449" builtinId="9" hidden="1"/>
    <cellStyle name="Lien hypertexte visité" xfId="6465" builtinId="9" hidden="1"/>
    <cellStyle name="Lien hypertexte visité" xfId="6485" builtinId="9" hidden="1"/>
    <cellStyle name="Lien hypertexte visité" xfId="6501" builtinId="9" hidden="1"/>
    <cellStyle name="Lien hypertexte visité" xfId="6521" builtinId="9" hidden="1"/>
    <cellStyle name="Lien hypertexte visité" xfId="6541" builtinId="9" hidden="1"/>
    <cellStyle name="Lien hypertexte visité" xfId="6557" builtinId="9" hidden="1"/>
    <cellStyle name="Lien hypertexte visité" xfId="6593" builtinId="9" hidden="1"/>
    <cellStyle name="Lien hypertexte visité" xfId="6613" builtinId="9" hidden="1"/>
    <cellStyle name="Lien hypertexte visité" xfId="6629" builtinId="9" hidden="1"/>
    <cellStyle name="Lien hypertexte visité" xfId="6649" builtinId="9" hidden="1"/>
    <cellStyle name="Lien hypertexte visité" xfId="6669" builtinId="9" hidden="1"/>
    <cellStyle name="Lien hypertexte visité" xfId="6685" builtinId="9" hidden="1"/>
    <cellStyle name="Lien hypertexte visité" xfId="6705" builtinId="9" hidden="1"/>
    <cellStyle name="Lien hypertexte visité" xfId="6721" builtinId="9" hidden="1"/>
    <cellStyle name="Lien hypertexte visité" xfId="6741" builtinId="9" hidden="1"/>
    <cellStyle name="Lien hypertexte visité" xfId="6757" builtinId="9" hidden="1"/>
    <cellStyle name="Lien hypertexte visité" xfId="6777" builtinId="9" hidden="1"/>
    <cellStyle name="Lien hypertexte visité" xfId="6797" builtinId="9" hidden="1"/>
    <cellStyle name="Lien hypertexte visité" xfId="6813" builtinId="9" hidden="1"/>
    <cellStyle name="Lien hypertexte visité" xfId="6833" builtinId="9" hidden="1"/>
    <cellStyle name="Lien hypertexte visité" xfId="6849" builtinId="9" hidden="1"/>
    <cellStyle name="Lien hypertexte visité" xfId="6869" builtinId="9" hidden="1"/>
    <cellStyle name="Lien hypertexte visité" xfId="6885" builtinId="9" hidden="1"/>
    <cellStyle name="Lien hypertexte visité" xfId="6905" builtinId="9" hidden="1"/>
    <cellStyle name="Lien hypertexte visité" xfId="6925" builtinId="9" hidden="1"/>
    <cellStyle name="Lien hypertexte visité" xfId="6941" builtinId="9" hidden="1"/>
    <cellStyle name="Lien hypertexte visité" xfId="6961" builtinId="9" hidden="1"/>
    <cellStyle name="Lien hypertexte visité" xfId="6977" builtinId="9" hidden="1"/>
    <cellStyle name="Lien hypertexte visité" xfId="6997" builtinId="9" hidden="1"/>
    <cellStyle name="Lien hypertexte visité" xfId="7013" builtinId="9" hidden="1"/>
    <cellStyle name="Lien hypertexte visité" xfId="7033" builtinId="9" hidden="1"/>
    <cellStyle name="Lien hypertexte visité" xfId="7053" builtinId="9" hidden="1"/>
    <cellStyle name="Lien hypertexte visité" xfId="7069" builtinId="9" hidden="1"/>
    <cellStyle name="Lien hypertexte visité" xfId="7089" builtinId="9" hidden="1"/>
    <cellStyle name="Lien hypertexte visité" xfId="7105" builtinId="9" hidden="1"/>
    <cellStyle name="Lien hypertexte visité" xfId="7125" builtinId="9" hidden="1"/>
    <cellStyle name="Lien hypertexte visité" xfId="7141" builtinId="9" hidden="1"/>
    <cellStyle name="Lien hypertexte visité" xfId="7181" builtinId="9" hidden="1"/>
    <cellStyle name="Lien hypertexte visité" xfId="7197" builtinId="9" hidden="1"/>
    <cellStyle name="Lien hypertexte visité" xfId="7217" builtinId="9" hidden="1"/>
    <cellStyle name="Lien hypertexte visité" xfId="7233" builtinId="9" hidden="1"/>
    <cellStyle name="Lien hypertexte visité" xfId="7253" builtinId="9" hidden="1"/>
    <cellStyle name="Lien hypertexte visité" xfId="7269" builtinId="9" hidden="1"/>
    <cellStyle name="Lien hypertexte visité" xfId="7289" builtinId="9" hidden="1"/>
    <cellStyle name="Lien hypertexte visité" xfId="7309" builtinId="9" hidden="1"/>
    <cellStyle name="Lien hypertexte visité" xfId="7325" builtinId="9" hidden="1"/>
    <cellStyle name="Lien hypertexte visité" xfId="7345" builtinId="9" hidden="1"/>
    <cellStyle name="Lien hypertexte visité" xfId="7361" builtinId="9" hidden="1"/>
    <cellStyle name="Lien hypertexte visité" xfId="7381" builtinId="9" hidden="1"/>
    <cellStyle name="Lien hypertexte visité" xfId="7397" builtinId="9" hidden="1"/>
    <cellStyle name="Lien hypertexte visité" xfId="7417" builtinId="9" hidden="1"/>
    <cellStyle name="Lien hypertexte visité" xfId="7437" builtinId="9" hidden="1"/>
    <cellStyle name="Lien hypertexte visité" xfId="7453" builtinId="9" hidden="1"/>
    <cellStyle name="Lien hypertexte visité" xfId="7473" builtinId="9" hidden="1"/>
    <cellStyle name="Lien hypertexte visité" xfId="7489" builtinId="9" hidden="1"/>
    <cellStyle name="Lien hypertexte visité" xfId="7509" builtinId="9" hidden="1"/>
    <cellStyle name="Lien hypertexte visité" xfId="7525" builtinId="9" hidden="1"/>
    <cellStyle name="Lien hypertexte visité" xfId="7545" builtinId="9" hidden="1"/>
    <cellStyle name="Lien hypertexte visité" xfId="7565" builtinId="9" hidden="1"/>
    <cellStyle name="Lien hypertexte visité" xfId="7581" builtinId="9" hidden="1"/>
    <cellStyle name="Lien hypertexte visité" xfId="7601" builtinId="9" hidden="1"/>
    <cellStyle name="Lien hypertexte visité" xfId="7617" builtinId="9" hidden="1"/>
    <cellStyle name="Lien hypertexte visité" xfId="7637" builtinId="9" hidden="1"/>
    <cellStyle name="Lien hypertexte visité" xfId="7653" builtinId="9" hidden="1"/>
    <cellStyle name="Lien hypertexte visité" xfId="7673" builtinId="9" hidden="1"/>
    <cellStyle name="Lien hypertexte visité" xfId="7693" builtinId="9" hidden="1"/>
    <cellStyle name="Lien hypertexte visité" xfId="7709" builtinId="9" hidden="1"/>
    <cellStyle name="Lien hypertexte visité" xfId="7729" builtinId="9" hidden="1"/>
    <cellStyle name="Lien hypertexte visité" xfId="7765" builtinId="9" hidden="1"/>
    <cellStyle name="Lien hypertexte visité" xfId="7781" builtinId="9" hidden="1"/>
    <cellStyle name="Lien hypertexte visité" xfId="7801" builtinId="9" hidden="1"/>
    <cellStyle name="Lien hypertexte visité" xfId="7822" builtinId="9" hidden="1"/>
    <cellStyle name="Lien hypertexte visité" xfId="7838" builtinId="9" hidden="1"/>
    <cellStyle name="Lien hypertexte visité" xfId="7858" builtinId="9" hidden="1"/>
    <cellStyle name="Lien hypertexte visité" xfId="7874" builtinId="9" hidden="1"/>
    <cellStyle name="Lien hypertexte visité" xfId="7894" builtinId="9" hidden="1"/>
    <cellStyle name="Lien hypertexte visité" xfId="7910" builtinId="9" hidden="1"/>
    <cellStyle name="Lien hypertexte visité" xfId="7930" builtinId="9" hidden="1"/>
    <cellStyle name="Lien hypertexte visité" xfId="7950" builtinId="9" hidden="1"/>
    <cellStyle name="Lien hypertexte visité" xfId="7966" builtinId="9" hidden="1"/>
    <cellStyle name="Lien hypertexte visité" xfId="7986" builtinId="9" hidden="1"/>
    <cellStyle name="Lien hypertexte visité" xfId="8002" builtinId="9" hidden="1"/>
    <cellStyle name="Lien hypertexte visité" xfId="8022" builtinId="9" hidden="1"/>
    <cellStyle name="Lien hypertexte visité" xfId="8038" builtinId="9" hidden="1"/>
    <cellStyle name="Lien hypertexte visité" xfId="8058" builtinId="9" hidden="1"/>
    <cellStyle name="Lien hypertexte visité" xfId="8078" builtinId="9" hidden="1"/>
    <cellStyle name="Lien hypertexte visité" xfId="8094" builtinId="9" hidden="1"/>
    <cellStyle name="Lien hypertexte visité" xfId="8114" builtinId="9" hidden="1"/>
    <cellStyle name="Lien hypertexte visité" xfId="8130" builtinId="9" hidden="1"/>
    <cellStyle name="Lien hypertexte visité" xfId="8150" builtinId="9" hidden="1"/>
    <cellStyle name="Lien hypertexte visité" xfId="8166" builtinId="9" hidden="1"/>
    <cellStyle name="Lien hypertexte visité" xfId="8186" builtinId="9" hidden="1"/>
    <cellStyle name="Lien hypertexte visité" xfId="8206" builtinId="9" hidden="1"/>
    <cellStyle name="Lien hypertexte visité" xfId="8170" builtinId="9" hidden="1"/>
    <cellStyle name="Lien hypertexte visité" xfId="8042" builtinId="9" hidden="1"/>
    <cellStyle name="Lien hypertexte visité" xfId="7914" builtinId="9" hidden="1"/>
    <cellStyle name="Lien hypertexte visité" xfId="7785" builtinId="9" hidden="1"/>
    <cellStyle name="Lien hypertexte visité" xfId="7657" builtinId="9" hidden="1"/>
    <cellStyle name="Lien hypertexte visité" xfId="7529" builtinId="9" hidden="1"/>
    <cellStyle name="Lien hypertexte visité" xfId="7273" builtinId="9" hidden="1"/>
    <cellStyle name="Lien hypertexte visité" xfId="7145" builtinId="9" hidden="1"/>
    <cellStyle name="Lien hypertexte visité" xfId="7017" builtinId="9" hidden="1"/>
    <cellStyle name="Lien hypertexte visité" xfId="6889" builtinId="9" hidden="1"/>
    <cellStyle name="Lien hypertexte visité" xfId="6761" builtinId="9" hidden="1"/>
    <cellStyle name="Lien hypertexte visité" xfId="6633" builtinId="9" hidden="1"/>
    <cellStyle name="Lien hypertexte visité" xfId="6505" builtinId="9" hidden="1"/>
    <cellStyle name="Lien hypertexte visité" xfId="6377" builtinId="9" hidden="1"/>
    <cellStyle name="Lien hypertexte visité" xfId="6249" builtinId="9" hidden="1"/>
    <cellStyle name="Lien hypertexte visité" xfId="6121" builtinId="9" hidden="1"/>
    <cellStyle name="Lien hypertexte visité" xfId="5993" builtinId="9" hidden="1"/>
    <cellStyle name="Lien hypertexte visité" xfId="5865" builtinId="9" hidden="1"/>
    <cellStyle name="Lien hypertexte visité" xfId="5737" builtinId="9" hidden="1"/>
    <cellStyle name="Lien hypertexte visité" xfId="5609" builtinId="9" hidden="1"/>
    <cellStyle name="Lien hypertexte visité" xfId="5481" builtinId="9" hidden="1"/>
    <cellStyle name="Lien hypertexte visité" xfId="5353" builtinId="9" hidden="1"/>
    <cellStyle name="Lien hypertexte visité" xfId="5225" builtinId="9" hidden="1"/>
    <cellStyle name="Lien hypertexte visité" xfId="5097" builtinId="9" hidden="1"/>
    <cellStyle name="Lien hypertexte visité" xfId="4969" builtinId="9" hidden="1"/>
    <cellStyle name="Lien hypertexte visité" xfId="4841" builtinId="9" hidden="1"/>
    <cellStyle name="Lien hypertexte visité" xfId="4713" builtinId="9" hidden="1"/>
    <cellStyle name="Lien hypertexte visité" xfId="4585" builtinId="9" hidden="1"/>
    <cellStyle name="Lien hypertexte visité" xfId="4457" builtinId="9" hidden="1"/>
    <cellStyle name="Lien hypertexte visité" xfId="4329" builtinId="9" hidden="1"/>
    <cellStyle name="Lien hypertexte visité" xfId="4201" builtinId="9" hidden="1"/>
    <cellStyle name="Lien hypertexte visité" xfId="4073" builtinId="9" hidden="1"/>
    <cellStyle name="Lien hypertexte visité" xfId="3945" builtinId="9" hidden="1"/>
    <cellStyle name="Lien hypertexte visité" xfId="2219" builtinId="9" hidden="1"/>
    <cellStyle name="Lien hypertexte visité" xfId="2235" builtinId="9" hidden="1"/>
    <cellStyle name="Lien hypertexte visité" xfId="2255" builtinId="9" hidden="1"/>
    <cellStyle name="Lien hypertexte visité" xfId="2271" builtinId="9" hidden="1"/>
    <cellStyle name="Lien hypertexte visité" xfId="2303" builtinId="9" hidden="1"/>
    <cellStyle name="Lien hypertexte visité" xfId="2323" builtinId="9" hidden="1"/>
    <cellStyle name="Lien hypertexte visité" xfId="2339" builtinId="9" hidden="1"/>
    <cellStyle name="Lien hypertexte visité" xfId="2355" builtinId="9" hidden="1"/>
    <cellStyle name="Lien hypertexte visité" xfId="2375" builtinId="9" hidden="1"/>
    <cellStyle name="Lien hypertexte visité" xfId="2391" builtinId="9" hidden="1"/>
    <cellStyle name="Lien hypertexte visité" xfId="2407" builtinId="9" hidden="1"/>
    <cellStyle name="Lien hypertexte visité" xfId="2423" builtinId="9" hidden="1"/>
    <cellStyle name="Lien hypertexte visité" xfId="2443" builtinId="9" hidden="1"/>
    <cellStyle name="Lien hypertexte visité" xfId="2459" builtinId="9" hidden="1"/>
    <cellStyle name="Lien hypertexte visité" xfId="2475" builtinId="9" hidden="1"/>
    <cellStyle name="Lien hypertexte visité" xfId="2491" builtinId="9" hidden="1"/>
    <cellStyle name="Lien hypertexte visité" xfId="2511" builtinId="9" hidden="1"/>
    <cellStyle name="Lien hypertexte visité" xfId="2527" builtinId="9" hidden="1"/>
    <cellStyle name="Lien hypertexte visité" xfId="2543" builtinId="9" hidden="1"/>
    <cellStyle name="Lien hypertexte visité" xfId="2559" builtinId="9" hidden="1"/>
    <cellStyle name="Lien hypertexte visité" xfId="2579" builtinId="9" hidden="1"/>
    <cellStyle name="Lien hypertexte visité" xfId="2595" builtinId="9" hidden="1"/>
    <cellStyle name="Lien hypertexte visité" xfId="2611" builtinId="9" hidden="1"/>
    <cellStyle name="Lien hypertexte visité" xfId="2631" builtinId="9" hidden="1"/>
    <cellStyle name="Lien hypertexte visité" xfId="2647" builtinId="9" hidden="1"/>
    <cellStyle name="Lien hypertexte visité" xfId="2663" builtinId="9" hidden="1"/>
    <cellStyle name="Lien hypertexte visité" xfId="2679" builtinId="9" hidden="1"/>
    <cellStyle name="Lien hypertexte visité" xfId="2699" builtinId="9" hidden="1"/>
    <cellStyle name="Lien hypertexte visité" xfId="2715" builtinId="9" hidden="1"/>
    <cellStyle name="Lien hypertexte visité" xfId="2731" builtinId="9" hidden="1"/>
    <cellStyle name="Lien hypertexte visité" xfId="2747" builtinId="9" hidden="1"/>
    <cellStyle name="Lien hypertexte visité" xfId="2767" builtinId="9" hidden="1"/>
    <cellStyle name="Lien hypertexte visité" xfId="2783" builtinId="9" hidden="1"/>
    <cellStyle name="Lien hypertexte visité" xfId="2799" builtinId="9" hidden="1"/>
    <cellStyle name="Lien hypertexte visité" xfId="2815" builtinId="9" hidden="1"/>
    <cellStyle name="Lien hypertexte visité" xfId="2851" builtinId="9" hidden="1"/>
    <cellStyle name="Lien hypertexte visité" xfId="2867" builtinId="9" hidden="1"/>
    <cellStyle name="Lien hypertexte visité" xfId="2887" builtinId="9" hidden="1"/>
    <cellStyle name="Lien hypertexte visité" xfId="2903" builtinId="9" hidden="1"/>
    <cellStyle name="Lien hypertexte visité" xfId="2919" builtinId="9" hidden="1"/>
    <cellStyle name="Lien hypertexte visité" xfId="2935" builtinId="9" hidden="1"/>
    <cellStyle name="Lien hypertexte visité" xfId="2955" builtinId="9" hidden="1"/>
    <cellStyle name="Lien hypertexte visité" xfId="2971" builtinId="9" hidden="1"/>
    <cellStyle name="Lien hypertexte visité" xfId="2987" builtinId="9" hidden="1"/>
    <cellStyle name="Lien hypertexte visité" xfId="3003" builtinId="9" hidden="1"/>
    <cellStyle name="Lien hypertexte visité" xfId="3023" builtinId="9" hidden="1"/>
    <cellStyle name="Lien hypertexte visité" xfId="3039" builtinId="9" hidden="1"/>
    <cellStyle name="Lien hypertexte visité" xfId="3055" builtinId="9" hidden="1"/>
    <cellStyle name="Lien hypertexte visité" xfId="3071" builtinId="9" hidden="1"/>
    <cellStyle name="Lien hypertexte visité" xfId="3091" builtinId="9" hidden="1"/>
    <cellStyle name="Lien hypertexte visité" xfId="3107" builtinId="9" hidden="1"/>
    <cellStyle name="Lien hypertexte visité" xfId="3123" builtinId="9" hidden="1"/>
    <cellStyle name="Lien hypertexte visité" xfId="3143" builtinId="9" hidden="1"/>
    <cellStyle name="Lien hypertexte visité" xfId="3159" builtinId="9" hidden="1"/>
    <cellStyle name="Lien hypertexte visité" xfId="3175" builtinId="9" hidden="1"/>
    <cellStyle name="Lien hypertexte visité" xfId="3191" builtinId="9" hidden="1"/>
    <cellStyle name="Lien hypertexte visité" xfId="3211" builtinId="9" hidden="1"/>
    <cellStyle name="Lien hypertexte visité" xfId="2835" builtinId="9" hidden="1"/>
    <cellStyle name="Lien hypertexte visité" xfId="2287" builtinId="9" hidden="1"/>
    <cellStyle name="Lien hypertexte visité" xfId="7401" builtinId="9" hidden="1"/>
    <cellStyle name="Lien hypertexte visité" xfId="7745" builtinId="9" hidden="1"/>
    <cellStyle name="Lien hypertexte visité" xfId="7161" builtinId="9" hidden="1"/>
    <cellStyle name="Lien hypertexte visité" xfId="6577" builtinId="9" hidden="1"/>
    <cellStyle name="Lien hypertexte visité" xfId="4693" builtinId="9" hidden="1"/>
    <cellStyle name="Lien hypertexte visité" xfId="4709" builtinId="9" hidden="1"/>
    <cellStyle name="Lien hypertexte visité" xfId="4729" builtinId="9" hidden="1"/>
    <cellStyle name="Lien hypertexte visité" xfId="4749" builtinId="9" hidden="1"/>
    <cellStyle name="Lien hypertexte visité" xfId="4765" builtinId="9" hidden="1"/>
    <cellStyle name="Lien hypertexte visité" xfId="4785" builtinId="9" hidden="1"/>
    <cellStyle name="Lien hypertexte visité" xfId="4801" builtinId="9" hidden="1"/>
    <cellStyle name="Lien hypertexte visité" xfId="4821" builtinId="9" hidden="1"/>
    <cellStyle name="Lien hypertexte visité" xfId="4837" builtinId="9" hidden="1"/>
    <cellStyle name="Lien hypertexte visité" xfId="4857" builtinId="9" hidden="1"/>
    <cellStyle name="Lien hypertexte visité" xfId="4877" builtinId="9" hidden="1"/>
    <cellStyle name="Lien hypertexte visité" xfId="4893" builtinId="9" hidden="1"/>
    <cellStyle name="Lien hypertexte visité" xfId="4913" builtinId="9" hidden="1"/>
    <cellStyle name="Lien hypertexte visité" xfId="4929" builtinId="9" hidden="1"/>
    <cellStyle name="Lien hypertexte visité" xfId="4949" builtinId="9" hidden="1"/>
    <cellStyle name="Lien hypertexte visité" xfId="4965" builtinId="9" hidden="1"/>
    <cellStyle name="Lien hypertexte visité" xfId="4985" builtinId="9" hidden="1"/>
    <cellStyle name="Lien hypertexte visité" xfId="5005" builtinId="9" hidden="1"/>
    <cellStyle name="Lien hypertexte visité" xfId="5021" builtinId="9" hidden="1"/>
    <cellStyle name="Lien hypertexte visité" xfId="5041" builtinId="9" hidden="1"/>
    <cellStyle name="Lien hypertexte visité" xfId="5057" builtinId="9" hidden="1"/>
    <cellStyle name="Lien hypertexte visité" xfId="5077" builtinId="9" hidden="1"/>
    <cellStyle name="Lien hypertexte visité" xfId="5093" builtinId="9" hidden="1"/>
    <cellStyle name="Lien hypertexte visité" xfId="5113" builtinId="9" hidden="1"/>
    <cellStyle name="Lien hypertexte visité" xfId="5133" builtinId="9" hidden="1"/>
    <cellStyle name="Lien hypertexte visité" xfId="5149" builtinId="9" hidden="1"/>
    <cellStyle name="Lien hypertexte visité" xfId="5169" builtinId="9" hidden="1"/>
    <cellStyle name="Lien hypertexte visité" xfId="5185" builtinId="9" hidden="1"/>
    <cellStyle name="Lien hypertexte visité" xfId="5205" builtinId="9" hidden="1"/>
    <cellStyle name="Lien hypertexte visité" xfId="5221" builtinId="9" hidden="1"/>
    <cellStyle name="Lien hypertexte visité" xfId="5241" builtinId="9" hidden="1"/>
    <cellStyle name="Lien hypertexte visité" xfId="5261" builtinId="9" hidden="1"/>
    <cellStyle name="Lien hypertexte visité" xfId="5277" builtinId="9" hidden="1"/>
    <cellStyle name="Lien hypertexte visité" xfId="5297" builtinId="9" hidden="1"/>
    <cellStyle name="Lien hypertexte visité" xfId="5313" builtinId="9" hidden="1"/>
    <cellStyle name="Lien hypertexte visité" xfId="5333" builtinId="9" hidden="1"/>
    <cellStyle name="Lien hypertexte visité" xfId="5349" builtinId="9" hidden="1"/>
    <cellStyle name="Lien hypertexte visité" xfId="5369" builtinId="9" hidden="1"/>
    <cellStyle name="Lien hypertexte visité" xfId="5389" builtinId="9" hidden="1"/>
    <cellStyle name="Lien hypertexte visité" xfId="5425" builtinId="9" hidden="1"/>
    <cellStyle name="Lien hypertexte visité" xfId="5441" builtinId="9" hidden="1"/>
    <cellStyle name="Lien hypertexte visité" xfId="5461" builtinId="9" hidden="1"/>
    <cellStyle name="Lien hypertexte visité" xfId="5477" builtinId="9" hidden="1"/>
    <cellStyle name="Lien hypertexte visité" xfId="5497" builtinId="9" hidden="1"/>
    <cellStyle name="Lien hypertexte visité" xfId="5517" builtinId="9" hidden="1"/>
    <cellStyle name="Lien hypertexte visité" xfId="5533" builtinId="9" hidden="1"/>
    <cellStyle name="Lien hypertexte visité" xfId="5553" builtinId="9" hidden="1"/>
    <cellStyle name="Lien hypertexte visité" xfId="5569" builtinId="9" hidden="1"/>
    <cellStyle name="Lien hypertexte visité" xfId="5589" builtinId="9" hidden="1"/>
    <cellStyle name="Lien hypertexte visité" xfId="5605" builtinId="9" hidden="1"/>
    <cellStyle name="Lien hypertexte visité" xfId="5625" builtinId="9" hidden="1"/>
    <cellStyle name="Lien hypertexte visité" xfId="5645" builtinId="9" hidden="1"/>
    <cellStyle name="Lien hypertexte visité" xfId="5661" builtinId="9" hidden="1"/>
    <cellStyle name="Lien hypertexte visité" xfId="5681" builtinId="9" hidden="1"/>
    <cellStyle name="Lien hypertexte visité" xfId="5697" builtinId="9" hidden="1"/>
    <cellStyle name="Lien hypertexte visité" xfId="5717" builtinId="9" hidden="1"/>
    <cellStyle name="Lien hypertexte visité" xfId="5733" builtinId="9" hidden="1"/>
    <cellStyle name="Lien hypertexte visité" xfId="5753" builtinId="9" hidden="1"/>
    <cellStyle name="Lien hypertexte visité" xfId="5773" builtinId="9" hidden="1"/>
    <cellStyle name="Lien hypertexte visité" xfId="5789" builtinId="9" hidden="1"/>
    <cellStyle name="Lien hypertexte visité" xfId="5809" builtinId="9" hidden="1"/>
    <cellStyle name="Lien hypertexte visité" xfId="5825" builtinId="9" hidden="1"/>
    <cellStyle name="Lien hypertexte visité" xfId="5845" builtinId="9" hidden="1"/>
    <cellStyle name="Lien hypertexte visité" xfId="5861" builtinId="9" hidden="1"/>
    <cellStyle name="Lien hypertexte visité" xfId="5881" builtinId="9" hidden="1"/>
    <cellStyle name="Lien hypertexte visité" xfId="5901" builtinId="9" hidden="1"/>
    <cellStyle name="Lien hypertexte visité" xfId="5917" builtinId="9" hidden="1"/>
    <cellStyle name="Lien hypertexte visité" xfId="5937" builtinId="9" hidden="1"/>
    <cellStyle name="Lien hypertexte visité" xfId="5953" builtinId="9" hidden="1"/>
    <cellStyle name="Lien hypertexte visité" xfId="5973" builtinId="9" hidden="1"/>
    <cellStyle name="Lien hypertexte visité" xfId="5989" builtinId="9" hidden="1"/>
    <cellStyle name="Lien hypertexte visité" xfId="6009" builtinId="9" hidden="1"/>
    <cellStyle name="Lien hypertexte visité" xfId="6029" builtinId="9" hidden="1"/>
    <cellStyle name="Lien hypertexte visité" xfId="6045" builtinId="9" hidden="1"/>
    <cellStyle name="Lien hypertexte visité" xfId="6065" builtinId="9" hidden="1"/>
    <cellStyle name="Lien hypertexte visité" xfId="6081" builtinId="9" hidden="1"/>
    <cellStyle name="Lien hypertexte visité" xfId="6101" builtinId="9" hidden="1"/>
    <cellStyle name="Lien hypertexte visité" xfId="6117" builtinId="9" hidden="1"/>
    <cellStyle name="Lien hypertexte visité" xfId="6137" builtinId="9" hidden="1"/>
    <cellStyle name="Lien hypertexte visité" xfId="6157" builtinId="9" hidden="1"/>
    <cellStyle name="Lien hypertexte visité" xfId="6173" builtinId="9" hidden="1"/>
    <cellStyle name="Lien hypertexte visité" xfId="6193" builtinId="9" hidden="1"/>
    <cellStyle name="Lien hypertexte visité" xfId="6209" builtinId="9" hidden="1"/>
    <cellStyle name="Lien hypertexte visité" xfId="6229" builtinId="9" hidden="1"/>
    <cellStyle name="Lien hypertexte visité" xfId="6245" builtinId="9" hidden="1"/>
    <cellStyle name="Lien hypertexte visité" xfId="6265" builtinId="9" hidden="1"/>
    <cellStyle name="Lien hypertexte visité" xfId="6285" builtinId="9" hidden="1"/>
    <cellStyle name="Lien hypertexte visité" xfId="6301" builtinId="9" hidden="1"/>
    <cellStyle name="Lien hypertexte visité" xfId="6321" builtinId="9" hidden="1"/>
    <cellStyle name="Lien hypertexte visité" xfId="6337" builtinId="9" hidden="1"/>
    <cellStyle name="Lien hypertexte visité" xfId="6357" builtinId="9" hidden="1"/>
    <cellStyle name="Lien hypertexte visité" xfId="5405" builtinId="9" hidden="1"/>
    <cellStyle name="Lien hypertexte visité" xfId="8410" builtinId="9" hidden="1"/>
    <cellStyle name="Lien hypertexte visité" xfId="8346" builtinId="9" hidden="1"/>
    <cellStyle name="Lien hypertexte visité" xfId="8282" builtinId="9" hidden="1"/>
    <cellStyle name="Lien hypertexte visité" xfId="8218" builtinId="9" hidden="1"/>
    <cellStyle name="Lien hypertexte visité" xfId="3941" builtinId="9" hidden="1"/>
    <cellStyle name="Lien hypertexte visité" xfId="3961" builtinId="9" hidden="1"/>
    <cellStyle name="Lien hypertexte visité" xfId="3981" builtinId="9" hidden="1"/>
    <cellStyle name="Lien hypertexte visité" xfId="3997" builtinId="9" hidden="1"/>
    <cellStyle name="Lien hypertexte visité" xfId="4017" builtinId="9" hidden="1"/>
    <cellStyle name="Lien hypertexte visité" xfId="4033" builtinId="9" hidden="1"/>
    <cellStyle name="Lien hypertexte visité" xfId="4053" builtinId="9" hidden="1"/>
    <cellStyle name="Lien hypertexte visité" xfId="4069" builtinId="9" hidden="1"/>
    <cellStyle name="Lien hypertexte visité" xfId="4089" builtinId="9" hidden="1"/>
    <cellStyle name="Lien hypertexte visité" xfId="4109" builtinId="9" hidden="1"/>
    <cellStyle name="Lien hypertexte visité" xfId="4125" builtinId="9" hidden="1"/>
    <cellStyle name="Lien hypertexte visité" xfId="4145" builtinId="9" hidden="1"/>
    <cellStyle name="Lien hypertexte visité" xfId="4161" builtinId="9" hidden="1"/>
    <cellStyle name="Lien hypertexte visité" xfId="4181" builtinId="9" hidden="1"/>
    <cellStyle name="Lien hypertexte visité" xfId="4197" builtinId="9" hidden="1"/>
    <cellStyle name="Lien hypertexte visité" xfId="4217" builtinId="9" hidden="1"/>
    <cellStyle name="Lien hypertexte visité" xfId="4237" builtinId="9" hidden="1"/>
    <cellStyle name="Lien hypertexte visité" xfId="4253" builtinId="9" hidden="1"/>
    <cellStyle name="Lien hypertexte visité" xfId="4273" builtinId="9" hidden="1"/>
    <cellStyle name="Lien hypertexte visité" xfId="4289" builtinId="9" hidden="1"/>
    <cellStyle name="Lien hypertexte visité" xfId="4309" builtinId="9" hidden="1"/>
    <cellStyle name="Lien hypertexte visité" xfId="4325" builtinId="9" hidden="1"/>
    <cellStyle name="Lien hypertexte visité" xfId="4345" builtinId="9" hidden="1"/>
    <cellStyle name="Lien hypertexte visité" xfId="4365" builtinId="9" hidden="1"/>
    <cellStyle name="Lien hypertexte visité" xfId="4381" builtinId="9" hidden="1"/>
    <cellStyle name="Lien hypertexte visité" xfId="4401" builtinId="9" hidden="1"/>
    <cellStyle name="Lien hypertexte visité" xfId="4417" builtinId="9" hidden="1"/>
    <cellStyle name="Lien hypertexte visité" xfId="4437" builtinId="9" hidden="1"/>
    <cellStyle name="Lien hypertexte visité" xfId="4453" builtinId="9" hidden="1"/>
    <cellStyle name="Lien hypertexte visité" xfId="4473" builtinId="9" hidden="1"/>
    <cellStyle name="Lien hypertexte visité" xfId="4493" builtinId="9" hidden="1"/>
    <cellStyle name="Lien hypertexte visité" xfId="4509" builtinId="9" hidden="1"/>
    <cellStyle name="Lien hypertexte visité" xfId="4529" builtinId="9" hidden="1"/>
    <cellStyle name="Lien hypertexte visité" xfId="4545" builtinId="9" hidden="1"/>
    <cellStyle name="Lien hypertexte visité" xfId="4565" builtinId="9" hidden="1"/>
    <cellStyle name="Lien hypertexte visité" xfId="4581" builtinId="9" hidden="1"/>
    <cellStyle name="Lien hypertexte visité" xfId="4601" builtinId="9" hidden="1"/>
    <cellStyle name="Lien hypertexte visité" xfId="4621" builtinId="9" hidden="1"/>
    <cellStyle name="Lien hypertexte visité" xfId="4637" builtinId="9" hidden="1"/>
    <cellStyle name="Lien hypertexte visité" xfId="4657" builtinId="9" hidden="1"/>
    <cellStyle name="Lien hypertexte visité" xfId="4673" builtinId="9" hidden="1"/>
    <cellStyle name="Lien hypertexte visité" xfId="9818" builtinId="9" hidden="1"/>
    <cellStyle name="Lien hypertexte visité" xfId="9754" builtinId="9" hidden="1"/>
    <cellStyle name="Lien hypertexte visité" xfId="9690" builtinId="9" hidden="1"/>
    <cellStyle name="Lien hypertexte visité" xfId="9626" builtinId="9" hidden="1"/>
    <cellStyle name="Lien hypertexte visité" xfId="9562" builtinId="9" hidden="1"/>
    <cellStyle name="Lien hypertexte visité" xfId="9498" builtinId="9" hidden="1"/>
    <cellStyle name="Lien hypertexte visité" xfId="9434" builtinId="9" hidden="1"/>
    <cellStyle name="Lien hypertexte visité" xfId="9370" builtinId="9" hidden="1"/>
    <cellStyle name="Lien hypertexte visité" xfId="9306" builtinId="9" hidden="1"/>
    <cellStyle name="Lien hypertexte visité" xfId="9242" builtinId="9" hidden="1"/>
    <cellStyle name="Lien hypertexte visité" xfId="9178" builtinId="9" hidden="1"/>
    <cellStyle name="Lien hypertexte visité" xfId="9114" builtinId="9" hidden="1"/>
    <cellStyle name="Lien hypertexte visité" xfId="9050" builtinId="9" hidden="1"/>
    <cellStyle name="Lien hypertexte visité" xfId="8986" builtinId="9" hidden="1"/>
    <cellStyle name="Lien hypertexte visité" xfId="8922" builtinId="9" hidden="1"/>
    <cellStyle name="Lien hypertexte visité" xfId="8858" builtinId="9" hidden="1"/>
    <cellStyle name="Lien hypertexte visité" xfId="8794" builtinId="9" hidden="1"/>
    <cellStyle name="Lien hypertexte visité" xfId="8730" builtinId="9" hidden="1"/>
    <cellStyle name="Lien hypertexte visité" xfId="8666" builtinId="9" hidden="1"/>
    <cellStyle name="Lien hypertexte visité" xfId="8602" builtinId="9" hidden="1"/>
    <cellStyle name="Lien hypertexte visité" xfId="8538" builtinId="9" hidden="1"/>
    <cellStyle name="Lien hypertexte visité" xfId="8474" builtinId="9" hidden="1"/>
    <cellStyle name="Lien hypertexte visité" xfId="10522" builtinId="9" hidden="1"/>
    <cellStyle name="Lien hypertexte visité" xfId="10458" builtinId="9" hidden="1"/>
    <cellStyle name="Lien hypertexte visité" xfId="10394" builtinId="9" hidden="1"/>
    <cellStyle name="Lien hypertexte visité" xfId="10330" builtinId="9" hidden="1"/>
    <cellStyle name="Lien hypertexte visité" xfId="10266" builtinId="9" hidden="1"/>
    <cellStyle name="Lien hypertexte visité" xfId="10202" builtinId="9" hidden="1"/>
    <cellStyle name="Lien hypertexte visité" xfId="10138" builtinId="9" hidden="1"/>
    <cellStyle name="Lien hypertexte visité" xfId="10074" builtinId="9" hidden="1"/>
    <cellStyle name="Lien hypertexte visité" xfId="10010" builtinId="9" hidden="1"/>
    <cellStyle name="Lien hypertexte visité" xfId="9946" builtinId="9" hidden="1"/>
    <cellStyle name="Lien hypertexte visité" xfId="9882" builtinId="9" hidden="1"/>
    <cellStyle name="Lien hypertexte visité" xfId="10906" builtinId="9" hidden="1"/>
    <cellStyle name="Lien hypertexte visité" xfId="10842" builtinId="9" hidden="1"/>
    <cellStyle name="Lien hypertexte visité" xfId="10778" builtinId="9" hidden="1"/>
    <cellStyle name="Lien hypertexte visité" xfId="10714" builtinId="9" hidden="1"/>
    <cellStyle name="Lien hypertexte visité" xfId="10650" builtinId="9" hidden="1"/>
    <cellStyle name="Lien hypertexte visité" xfId="10586" builtinId="9" hidden="1"/>
    <cellStyle name="Lien hypertexte visité" xfId="11098" builtinId="9" hidden="1"/>
    <cellStyle name="Lien hypertexte visité" xfId="11034" builtinId="9" hidden="1"/>
    <cellStyle name="Lien hypertexte visité" xfId="10970" builtinId="9" hidden="1"/>
    <cellStyle name="Lien hypertexte visité" xfId="11162" builtinId="9" hidden="1"/>
    <cellStyle name="Lien hypertexte visité" xfId="11226" builtinId="9" hidden="1"/>
    <cellStyle name="M0_page" xfId="3663"/>
    <cellStyle name="M0_sommaire" xfId="3656"/>
    <cellStyle name="M1_%bleu" xfId="1154"/>
    <cellStyle name="M1_config" xfId="49"/>
    <cellStyle name="M1-2_Acc" xfId="3674"/>
    <cellStyle name="M1-3_spb" xfId="3884"/>
    <cellStyle name="M2" xfId="1153"/>
    <cellStyle name="M3_des_bleu" xfId="3675"/>
    <cellStyle name="M3-1_des_gar" xfId="3885"/>
    <cellStyle name="Milliers" xfId="5" builtinId="3" hidden="1"/>
    <cellStyle name="Milliers" xfId="24614"/>
    <cellStyle name="Milliers [0]" xfId="6" builtinId="6" hidden="1"/>
    <cellStyle name="Monétaire" xfId="1" builtinId="4" hidden="1"/>
    <cellStyle name="Monétaire [0]" xfId="7" builtinId="7" hidden="1"/>
    <cellStyle name="Neutre" xfId="15" builtinId="28" hidden="1"/>
    <cellStyle name="Normal" xfId="0" builtinId="0" customBuiltin="1"/>
    <cellStyle name="Normal 2" xfId="24615"/>
    <cellStyle name="Normal 29" xfId="7808"/>
    <cellStyle name="Note" xfId="22" builtinId="10" hidden="1"/>
    <cellStyle name="Pourcentage" xfId="2" builtinId="5" hidden="1"/>
    <cellStyle name="Pourcentage" xfId="24613"/>
    <cellStyle name="Satisfaisant" xfId="13" builtinId="26" hidden="1"/>
    <cellStyle name="Sortie" xfId="17" builtinId="21" hidden="1"/>
    <cellStyle name="Texte explicatif" xfId="23" builtinId="53" hidden="1"/>
    <cellStyle name="Titre" xfId="8" builtinId="15" hidden="1"/>
    <cellStyle name="Titre 1" xfId="9" builtinId="16" hidden="1"/>
    <cellStyle name="Titre 2" xfId="10" builtinId="17" hidden="1"/>
    <cellStyle name="Titre 3" xfId="11" builtinId="18" hidden="1"/>
    <cellStyle name="Titre 4" xfId="12" builtinId="19" hidden="1"/>
    <cellStyle name="Total" xfId="24" builtinId="25" hidden="1"/>
    <cellStyle name="Vérification" xfId="20" builtinId="23" hidden="1"/>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4C4948"/>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3C3C7"/>
      <rgbColor rgb="00249F62"/>
      <rgbColor rgb="00E47823"/>
      <rgbColor rgb="007D7F80"/>
      <rgbColor rgb="00FFFFFE"/>
      <rgbColor rgb="00795691"/>
      <rgbColor rgb="00AD1221"/>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7B3FF"/>
      <color rgb="FF4F81BD"/>
      <color rgb="FF2CAB42"/>
      <color rgb="FFEAFFA2"/>
      <color rgb="FFE4E4E4"/>
      <color rgb="FFDDDDDD"/>
      <color rgb="FFFFD7A8"/>
      <color rgb="FFF2F1FF"/>
      <color rgb="FFC1FFB5"/>
      <color rgb="FFCFB3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103413</xdr:colOff>
      <xdr:row>2</xdr:row>
      <xdr:rowOff>19958</xdr:rowOff>
    </xdr:from>
    <xdr:to>
      <xdr:col>2</xdr:col>
      <xdr:colOff>4653</xdr:colOff>
      <xdr:row>3</xdr:row>
      <xdr:rowOff>28575</xdr:rowOff>
    </xdr:to>
    <xdr:pic>
      <xdr:nvPicPr>
        <xdr:cNvPr id="3" name="Image 1" descr="C:\Users\nma\AppData\Local\Microsoft\Windows\INetCache\Content.Outlook\K4E67URS\matinfo-logo.png">
          <a:extLst>
            <a:ext uri="{FF2B5EF4-FFF2-40B4-BE49-F238E27FC236}">
              <a16:creationId xmlns:a16="http://schemas.microsoft.com/office/drawing/2014/main" id="{53AC9B60-54D2-BB41-A2FB-C7E77D685C18}"/>
            </a:ext>
          </a:extLst>
        </xdr:cNvPr>
        <xdr:cNvPicPr>
          <a:picLocks noChangeAspect="1" noChangeArrowheads="1"/>
        </xdr:cNvPicPr>
      </xdr:nvPicPr>
      <xdr:blipFill>
        <a:blip xmlns:r="http://schemas.openxmlformats.org/officeDocument/2006/relationships" r:embed="rId1"/>
        <a:stretch/>
      </xdr:blipFill>
      <xdr:spPr bwMode="auto">
        <a:xfrm>
          <a:off x="756556" y="382815"/>
          <a:ext cx="3078508" cy="679903"/>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17</xdr:col>
      <xdr:colOff>0</xdr:colOff>
      <xdr:row>4</xdr:row>
      <xdr:rowOff>0</xdr:rowOff>
    </xdr:from>
    <xdr:ext cx="304800" cy="180407"/>
    <xdr:sp macro="" textlink="">
      <xdr:nvSpPr>
        <xdr:cNvPr id="2" name="AutoShape 1" descr="’image contient peut-être : texte">
          <a:extLst>
            <a:ext uri="{FF2B5EF4-FFF2-40B4-BE49-F238E27FC236}">
              <a16:creationId xmlns:a16="http://schemas.microsoft.com/office/drawing/2014/main" id="{86B9BF3E-0344-C04F-AECE-AC9B331C44E6}"/>
            </a:ext>
          </a:extLst>
        </xdr:cNvPr>
        <xdr:cNvSpPr>
          <a:spLocks noChangeAspect="1" noChangeArrowheads="1"/>
        </xdr:cNvSpPr>
      </xdr:nvSpPr>
      <xdr:spPr bwMode="auto">
        <a:xfrm>
          <a:off x="35991800" y="117398800"/>
          <a:ext cx="304800" cy="180407"/>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fr-FR"/>
        </a:p>
      </xdr:txBody>
    </xdr:sp>
    <xdr:clientData/>
  </xdr:oneCellAnchor>
  <xdr:oneCellAnchor>
    <xdr:from>
      <xdr:col>17</xdr:col>
      <xdr:colOff>0</xdr:colOff>
      <xdr:row>4</xdr:row>
      <xdr:rowOff>0</xdr:rowOff>
    </xdr:from>
    <xdr:ext cx="304800" cy="180407"/>
    <xdr:sp macro="" textlink="">
      <xdr:nvSpPr>
        <xdr:cNvPr id="3" name="AutoShape 1" descr="’image contient peut-être : texte">
          <a:extLst>
            <a:ext uri="{FF2B5EF4-FFF2-40B4-BE49-F238E27FC236}">
              <a16:creationId xmlns:a16="http://schemas.microsoft.com/office/drawing/2014/main" id="{2C820862-A70A-AE48-AB81-241677976A25}"/>
            </a:ext>
          </a:extLst>
        </xdr:cNvPr>
        <xdr:cNvSpPr>
          <a:spLocks noChangeAspect="1" noChangeArrowheads="1"/>
        </xdr:cNvSpPr>
      </xdr:nvSpPr>
      <xdr:spPr bwMode="auto">
        <a:xfrm>
          <a:off x="35991800" y="117398800"/>
          <a:ext cx="304800" cy="180407"/>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fr-FR"/>
        </a:p>
      </xdr:txBody>
    </xdr:sp>
    <xdr:clientData/>
  </xdr:oneCellAnchor>
  <xdr:oneCellAnchor>
    <xdr:from>
      <xdr:col>21</xdr:col>
      <xdr:colOff>0</xdr:colOff>
      <xdr:row>1</xdr:row>
      <xdr:rowOff>0</xdr:rowOff>
    </xdr:from>
    <xdr:ext cx="304800" cy="180407"/>
    <xdr:sp macro="" textlink="">
      <xdr:nvSpPr>
        <xdr:cNvPr id="4" name="AutoShape 1" descr="’image contient peut-être : texte">
          <a:extLst>
            <a:ext uri="{FF2B5EF4-FFF2-40B4-BE49-F238E27FC236}">
              <a16:creationId xmlns:a16="http://schemas.microsoft.com/office/drawing/2014/main" id="{1AF13AA4-D0E4-424C-8A06-73C7FEB00FE6}"/>
            </a:ext>
          </a:extLst>
        </xdr:cNvPr>
        <xdr:cNvSpPr>
          <a:spLocks noChangeAspect="1" noChangeArrowheads="1"/>
        </xdr:cNvSpPr>
      </xdr:nvSpPr>
      <xdr:spPr bwMode="auto">
        <a:xfrm>
          <a:off x="53162200" y="190500"/>
          <a:ext cx="304800" cy="180407"/>
        </a:xfrm>
        <a:prstGeom prst="rect">
          <a:avLst/>
        </a:prstGeom>
        <a:noFill/>
        <a:extLst>
          <a:ext uri="{909E8E84-426E-40dd-AFC4-6F175D3DCCD1}">
            <a14:hiddenFill xmlns="" xmlns:a14="http://schemas.microsoft.com/office/drawing/2010/main">
              <a:solidFill>
                <a:srgbClr val="FFFFFF"/>
              </a:solidFill>
            </a14:hiddenFill>
          </a:ext>
        </a:extLst>
      </xdr:spPr>
      <xdr:txBody>
        <a:bodyPr rtlCol="0"/>
        <a:lstStyle/>
        <a:p>
          <a:pPr algn="ctr"/>
          <a:endParaRPr lang="fr-FR"/>
        </a:p>
      </xdr:txBody>
    </xdr:sp>
    <xdr:clientData/>
  </xdr:oneCellAnchor>
  <xdr:oneCellAnchor>
    <xdr:from>
      <xdr:col>21</xdr:col>
      <xdr:colOff>0</xdr:colOff>
      <xdr:row>8</xdr:row>
      <xdr:rowOff>0</xdr:rowOff>
    </xdr:from>
    <xdr:ext cx="304800" cy="180407"/>
    <xdr:sp macro="" textlink="">
      <xdr:nvSpPr>
        <xdr:cNvPr id="5" name="AutoShape 1" descr="’image contient peut-être : texte">
          <a:extLst>
            <a:ext uri="{FF2B5EF4-FFF2-40B4-BE49-F238E27FC236}">
              <a16:creationId xmlns:a16="http://schemas.microsoft.com/office/drawing/2014/main" id="{2B80CB6D-1FC3-4B41-8BDF-6DAB60858645}"/>
            </a:ext>
          </a:extLst>
        </xdr:cNvPr>
        <xdr:cNvSpPr>
          <a:spLocks noChangeAspect="1" noChangeArrowheads="1"/>
        </xdr:cNvSpPr>
      </xdr:nvSpPr>
      <xdr:spPr bwMode="auto">
        <a:xfrm>
          <a:off x="53162200" y="190500"/>
          <a:ext cx="304800" cy="180407"/>
        </a:xfrm>
        <a:prstGeom prst="rect">
          <a:avLst/>
        </a:prstGeom>
        <a:noFill/>
        <a:extLst>
          <a:ext uri="{909E8E84-426E-40dd-AFC4-6F175D3DCCD1}">
            <a14:hiddenFill xmlns="" xmlns:a14="http://schemas.microsoft.com/office/drawing/2010/main">
              <a:solidFill>
                <a:srgbClr val="FFFFFF"/>
              </a:solidFill>
            </a14:hiddenFill>
          </a:ext>
        </a:extLst>
      </xdr:spPr>
      <xdr:txBody>
        <a:bodyPr rtlCol="0"/>
        <a:lstStyle/>
        <a:p>
          <a:pPr algn="ctr"/>
          <a:endParaRPr lang="fr-FR"/>
        </a:p>
      </xdr:txBody>
    </xdr:sp>
    <xdr:clientData/>
  </xdr:oneCellAnchor>
  <xdr:oneCellAnchor>
    <xdr:from>
      <xdr:col>34</xdr:col>
      <xdr:colOff>0</xdr:colOff>
      <xdr:row>4</xdr:row>
      <xdr:rowOff>0</xdr:rowOff>
    </xdr:from>
    <xdr:ext cx="304800" cy="180407"/>
    <xdr:sp macro="" textlink="">
      <xdr:nvSpPr>
        <xdr:cNvPr id="6" name="AutoShape 1" descr="’image contient peut-être : texte">
          <a:extLst>
            <a:ext uri="{FF2B5EF4-FFF2-40B4-BE49-F238E27FC236}">
              <a16:creationId xmlns:a16="http://schemas.microsoft.com/office/drawing/2014/main" id="{0B129699-674A-C04C-B5F7-2105ACA41C03}"/>
            </a:ext>
          </a:extLst>
        </xdr:cNvPr>
        <xdr:cNvSpPr>
          <a:spLocks noChangeAspect="1" noChangeArrowheads="1"/>
        </xdr:cNvSpPr>
      </xdr:nvSpPr>
      <xdr:spPr bwMode="auto">
        <a:xfrm>
          <a:off x="32326385" y="1504462"/>
          <a:ext cx="304800" cy="180407"/>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fr-FR"/>
        </a:p>
      </xdr:txBody>
    </xdr:sp>
    <xdr:clientData/>
  </xdr:oneCellAnchor>
  <xdr:oneCellAnchor>
    <xdr:from>
      <xdr:col>34</xdr:col>
      <xdr:colOff>0</xdr:colOff>
      <xdr:row>4</xdr:row>
      <xdr:rowOff>0</xdr:rowOff>
    </xdr:from>
    <xdr:ext cx="304800" cy="180407"/>
    <xdr:sp macro="" textlink="">
      <xdr:nvSpPr>
        <xdr:cNvPr id="7" name="AutoShape 1" descr="’image contient peut-être : texte">
          <a:extLst>
            <a:ext uri="{FF2B5EF4-FFF2-40B4-BE49-F238E27FC236}">
              <a16:creationId xmlns:a16="http://schemas.microsoft.com/office/drawing/2014/main" id="{029FD68D-5C80-2944-BDB6-AC35901B6BE0}"/>
            </a:ext>
          </a:extLst>
        </xdr:cNvPr>
        <xdr:cNvSpPr>
          <a:spLocks noChangeAspect="1" noChangeArrowheads="1"/>
        </xdr:cNvSpPr>
      </xdr:nvSpPr>
      <xdr:spPr bwMode="auto">
        <a:xfrm>
          <a:off x="32326385" y="1504462"/>
          <a:ext cx="304800" cy="180407"/>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fr-F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econocom.sharepoint.com/sites/AppleBusinessTeam/Shared%20Documents/EDUCATION/1%20-%20SALES/2%20-%20CLIENTS/MATINFO5/1%20Tarif%20de%20travail/Tarif_4_lot5_Matinfo5_EPS-MacBook%20Pro%20SD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econocom.sharepoint.com/FSRennes/TARIFS/MATINFO%203/Tarif_22_lot3_Matinfo3_EP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econocom.sharepoint.com/FSRennes/TARIFS/MATINFO%203/Tarif_20_lot3_Matinfo3_EP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 Page de garde"/>
      <sheetName val="Récapitulatif remises"/>
      <sheetName val="Remises arrières"/>
      <sheetName val="Remises fonctionnelles"/>
      <sheetName val="2 - Tarif normalisé n°4 Lot 5"/>
      <sheetName val="3 - Accessoires et logiciels"/>
      <sheetName val="4 - Services"/>
      <sheetName val="5 - Location"/>
      <sheetName val="6 - Tarif n°4 Lot 5 DROM-COM"/>
      <sheetName val="7 - Acc et logiciels DROM-COM"/>
      <sheetName val="8 - Services DROM-COM"/>
    </sheetNames>
    <sheetDataSet>
      <sheetData sheetId="0" refreshError="1"/>
      <sheetData sheetId="1" refreshError="1">
        <row r="6">
          <cell r="B6">
            <v>0.17599999999999999</v>
          </cell>
          <cell r="C6">
            <v>0.17599999999999999</v>
          </cell>
        </row>
        <row r="9">
          <cell r="B9">
            <v>0.17599999999999999</v>
          </cell>
          <cell r="C9">
            <v>0.17599999999999999</v>
          </cell>
        </row>
        <row r="12">
          <cell r="A12">
            <v>0.17599999999999999</v>
          </cell>
          <cell r="B12">
            <v>0.17599999999999999</v>
          </cell>
        </row>
        <row r="15">
          <cell r="A15">
            <v>0.17599999999999999</v>
          </cell>
          <cell r="B15">
            <v>0.17599999999999999</v>
          </cell>
        </row>
        <row r="18">
          <cell r="A18">
            <v>0.17599999999999999</v>
          </cell>
          <cell r="B18">
            <v>0.17599999999999999</v>
          </cell>
          <cell r="C18">
            <v>0.17599999999999999</v>
          </cell>
        </row>
        <row r="21">
          <cell r="A21">
            <v>0.17599999999999999</v>
          </cell>
          <cell r="B21">
            <v>0.17599999999999999</v>
          </cell>
          <cell r="D21">
            <v>0.16500000000000001</v>
          </cell>
        </row>
        <row r="24">
          <cell r="A24">
            <v>0.17599999999999999</v>
          </cell>
          <cell r="B24">
            <v>0.17599999999999999</v>
          </cell>
          <cell r="C24">
            <v>0.16500000000000001</v>
          </cell>
          <cell r="D24">
            <v>0.16500000000000001</v>
          </cell>
        </row>
        <row r="27">
          <cell r="A27">
            <v>0.17599999999999999</v>
          </cell>
        </row>
        <row r="30">
          <cell r="A30">
            <v>0.17599999999999999</v>
          </cell>
        </row>
        <row r="33">
          <cell r="B33">
            <v>0.17199999999999999</v>
          </cell>
        </row>
        <row r="36">
          <cell r="B36">
            <v>0.17199999999999999</v>
          </cell>
        </row>
        <row r="39">
          <cell r="B39">
            <v>0.17199999999999999</v>
          </cell>
          <cell r="C39">
            <v>0.17199999999999999</v>
          </cell>
          <cell r="D39">
            <v>0.17199999999999999</v>
          </cell>
        </row>
        <row r="42">
          <cell r="B42">
            <v>0.17199999999999999</v>
          </cell>
          <cell r="C42">
            <v>0.17199999999999999</v>
          </cell>
          <cell r="D42">
            <v>0.17199999999999999</v>
          </cell>
        </row>
        <row r="45">
          <cell r="A45">
            <v>0.1065</v>
          </cell>
          <cell r="C45">
            <v>0.1065</v>
          </cell>
        </row>
        <row r="48">
          <cell r="A48">
            <v>0.1065</v>
          </cell>
          <cell r="B48">
            <v>0.1065</v>
          </cell>
          <cell r="C48">
            <v>0.1065</v>
          </cell>
        </row>
        <row r="51">
          <cell r="A51">
            <v>0.09</v>
          </cell>
          <cell r="B51">
            <v>0.15</v>
          </cell>
          <cell r="C51">
            <v>0</v>
          </cell>
          <cell r="D51">
            <v>0.05</v>
          </cell>
        </row>
        <row r="54">
          <cell r="C54">
            <v>0.02</v>
          </cell>
          <cell r="D54">
            <v>0.02</v>
          </cell>
        </row>
        <row r="58">
          <cell r="B58">
            <v>0.1</v>
          </cell>
        </row>
        <row r="61">
          <cell r="A61">
            <v>0.2</v>
          </cell>
        </row>
        <row r="62">
          <cell r="B62">
            <v>0.1</v>
          </cell>
          <cell r="C62">
            <v>0.3</v>
          </cell>
          <cell r="D62">
            <v>0.32</v>
          </cell>
        </row>
        <row r="65">
          <cell r="C65">
            <v>0.2</v>
          </cell>
          <cell r="D65">
            <v>0.2</v>
          </cell>
          <cell r="E65">
            <v>0.1</v>
          </cell>
        </row>
        <row r="68">
          <cell r="D68">
            <v>0.11600000000000001</v>
          </cell>
          <cell r="E68">
            <v>0.2</v>
          </cell>
        </row>
      </sheetData>
      <sheetData sheetId="2" refreshError="1">
        <row r="3">
          <cell r="E3">
            <v>0.08</v>
          </cell>
        </row>
        <row r="5">
          <cell r="E5">
            <v>0.08</v>
          </cell>
        </row>
        <row r="7">
          <cell r="E7">
            <v>0.08</v>
          </cell>
        </row>
        <row r="9">
          <cell r="E9">
            <v>0.08</v>
          </cell>
        </row>
        <row r="15">
          <cell r="E15">
            <v>0.08</v>
          </cell>
        </row>
        <row r="16">
          <cell r="E16">
            <v>0.08</v>
          </cell>
        </row>
        <row r="17">
          <cell r="E17">
            <v>0.08</v>
          </cell>
        </row>
        <row r="19">
          <cell r="E19">
            <v>0.08</v>
          </cell>
        </row>
        <row r="20">
          <cell r="E20">
            <v>0.08</v>
          </cell>
        </row>
        <row r="21">
          <cell r="E21">
            <v>0.08</v>
          </cell>
        </row>
        <row r="22">
          <cell r="E22">
            <v>0.08</v>
          </cell>
        </row>
        <row r="23">
          <cell r="E23">
            <v>0.08</v>
          </cell>
        </row>
        <row r="24">
          <cell r="E24">
            <v>0.08</v>
          </cell>
        </row>
        <row r="25">
          <cell r="E25">
            <v>0.08</v>
          </cell>
        </row>
        <row r="29">
          <cell r="E29">
            <v>0.08</v>
          </cell>
        </row>
        <row r="33">
          <cell r="E33">
            <v>0.08</v>
          </cell>
        </row>
        <row r="39">
          <cell r="E39">
            <v>0.08</v>
          </cell>
        </row>
        <row r="41">
          <cell r="E41">
            <v>0.08</v>
          </cell>
        </row>
        <row r="49">
          <cell r="E49">
            <v>0.04</v>
          </cell>
        </row>
        <row r="52">
          <cell r="E52">
            <v>0.05</v>
          </cell>
        </row>
        <row r="53">
          <cell r="E53">
            <v>0.05</v>
          </cell>
        </row>
        <row r="54">
          <cell r="E54">
            <v>0.05</v>
          </cell>
        </row>
        <row r="55">
          <cell r="E55">
            <v>0.05</v>
          </cell>
        </row>
        <row r="56">
          <cell r="E56">
            <v>0.05</v>
          </cell>
        </row>
        <row r="57">
          <cell r="E57">
            <v>0.05</v>
          </cell>
        </row>
        <row r="58">
          <cell r="E58">
            <v>0</v>
          </cell>
        </row>
        <row r="59">
          <cell r="E59">
            <v>0</v>
          </cell>
        </row>
        <row r="60">
          <cell r="E60">
            <v>0</v>
          </cell>
        </row>
        <row r="61">
          <cell r="E61">
            <v>0.1</v>
          </cell>
        </row>
        <row r="62">
          <cell r="E62">
            <v>0</v>
          </cell>
        </row>
        <row r="63">
          <cell r="E63">
            <v>0.08</v>
          </cell>
        </row>
        <row r="66">
          <cell r="E66">
            <v>0.08</v>
          </cell>
        </row>
      </sheetData>
      <sheetData sheetId="3" refreshError="1">
        <row r="3">
          <cell r="B3">
            <v>0.125</v>
          </cell>
        </row>
        <row r="4">
          <cell r="B4">
            <v>0.09</v>
          </cell>
        </row>
        <row r="5">
          <cell r="B5">
            <v>0.125</v>
          </cell>
        </row>
        <row r="6">
          <cell r="B6">
            <v>0.1</v>
          </cell>
        </row>
        <row r="7">
          <cell r="B7">
            <v>0.18</v>
          </cell>
        </row>
        <row r="8">
          <cell r="B8">
            <v>0.23</v>
          </cell>
        </row>
        <row r="9">
          <cell r="B9">
            <v>0.09</v>
          </cell>
        </row>
        <row r="10">
          <cell r="B10">
            <v>0.25</v>
          </cell>
        </row>
      </sheetData>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alogue n°22 Matinfo3"/>
      <sheetName val="Tarif normalisé n°22"/>
      <sheetName val="Récapitulatif remises"/>
    </sheetNames>
    <sheetDataSet>
      <sheetData sheetId="0">
        <row r="97">
          <cell r="C97" t="str">
            <v>MQD32FN/A</v>
          </cell>
        </row>
      </sheetData>
      <sheetData sheetId="1"/>
      <sheetData sheetId="2">
        <row r="6">
          <cell r="A6">
            <v>0.13500000000000001</v>
          </cell>
        </row>
        <row r="12">
          <cell r="A12">
            <v>8.2000000000000003E-2</v>
          </cell>
        </row>
        <row r="19">
          <cell r="A19">
            <v>0.2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alogue n°20 Matinfo3"/>
      <sheetName val="Tarif normalisé n°20"/>
      <sheetName val="Récapitulatif remises"/>
    </sheetNames>
    <sheetDataSet>
      <sheetData sheetId="0" refreshError="1"/>
      <sheetData sheetId="1" refreshError="1"/>
      <sheetData sheetId="2">
        <row r="6">
          <cell r="C6">
            <v>0.20499999999999999</v>
          </cell>
        </row>
      </sheetData>
    </sheetDataSet>
  </externalBook>
</externalLink>
</file>

<file path=xl/theme/theme1.xml><?xml version="1.0" encoding="utf-8"?>
<a:theme xmlns:a="http://schemas.openxmlformats.org/drawingml/2006/main" name="Thème Office">
  <a:themeElements>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3:G43"/>
  <sheetViews>
    <sheetView zoomScale="80" zoomScaleNormal="80" workbookViewId="0">
      <selection activeCell="B5" sqref="B5:D5"/>
    </sheetView>
  </sheetViews>
  <sheetFormatPr baseColWidth="10" defaultColWidth="11.42578125" defaultRowHeight="12.75"/>
  <cols>
    <col min="1" max="1" width="7.28515625" customWidth="1"/>
    <col min="2" max="2" width="35.85546875" customWidth="1"/>
    <col min="3" max="3" width="17" customWidth="1"/>
    <col min="4" max="4" width="83.42578125" customWidth="1"/>
    <col min="5" max="5" width="20.85546875" customWidth="1"/>
  </cols>
  <sheetData>
    <row r="3" spans="2:7" ht="53.1" customHeight="1">
      <c r="B3" s="659"/>
      <c r="C3" s="659"/>
    </row>
    <row r="4" spans="2:7" ht="36" customHeight="1">
      <c r="B4" s="661" t="s">
        <v>0</v>
      </c>
      <c r="C4" s="661"/>
      <c r="D4" s="661"/>
    </row>
    <row r="5" spans="2:7" ht="38.1" customHeight="1">
      <c r="B5" s="660"/>
      <c r="C5" s="660"/>
      <c r="D5" s="660"/>
    </row>
    <row r="6" spans="2:7">
      <c r="B6" s="206"/>
      <c r="C6" s="186"/>
      <c r="D6" s="186"/>
    </row>
    <row r="7" spans="2:7" ht="56.1" customHeight="1" thickBot="1">
      <c r="B7" s="374" t="s">
        <v>1</v>
      </c>
      <c r="C7" s="375" t="s">
        <v>2</v>
      </c>
      <c r="D7" s="376" t="s">
        <v>3</v>
      </c>
      <c r="E7" s="177"/>
      <c r="F7" s="177"/>
      <c r="G7" s="177"/>
    </row>
    <row r="8" spans="2:7" ht="50.1" customHeight="1">
      <c r="B8" s="669" t="s">
        <v>4</v>
      </c>
      <c r="C8" s="673" t="s">
        <v>5</v>
      </c>
      <c r="D8" s="481" t="s">
        <v>6</v>
      </c>
      <c r="E8" s="177"/>
      <c r="F8" s="177"/>
      <c r="G8" s="177"/>
    </row>
    <row r="9" spans="2:7" ht="33" customHeight="1">
      <c r="B9" s="670"/>
      <c r="C9" s="674"/>
      <c r="D9" s="482" t="s">
        <v>7</v>
      </c>
      <c r="E9" s="177"/>
      <c r="F9" s="177"/>
      <c r="G9" s="177"/>
    </row>
    <row r="10" spans="2:7" ht="42" customHeight="1">
      <c r="B10" s="670"/>
      <c r="C10" s="674"/>
      <c r="D10" s="483" t="s">
        <v>8</v>
      </c>
      <c r="E10" s="177"/>
      <c r="F10" s="177"/>
      <c r="G10" s="177"/>
    </row>
    <row r="11" spans="2:7" ht="44.1" customHeight="1">
      <c r="B11" s="670"/>
      <c r="C11" s="674"/>
      <c r="D11" s="484" t="s">
        <v>9</v>
      </c>
      <c r="E11" s="177"/>
      <c r="F11" s="177"/>
      <c r="G11" s="177"/>
    </row>
    <row r="12" spans="2:7" ht="42" customHeight="1">
      <c r="B12" s="670"/>
      <c r="C12" s="674"/>
      <c r="D12" s="484" t="s">
        <v>10</v>
      </c>
      <c r="E12" s="177"/>
      <c r="F12" s="177"/>
      <c r="G12" s="177"/>
    </row>
    <row r="13" spans="2:7" ht="42" customHeight="1">
      <c r="B13" s="671"/>
      <c r="C13" s="674"/>
      <c r="D13" s="552" t="s">
        <v>11</v>
      </c>
      <c r="E13" s="177"/>
      <c r="F13" s="177"/>
      <c r="G13" s="177"/>
    </row>
    <row r="14" spans="2:7" ht="42" customHeight="1">
      <c r="B14" s="671"/>
      <c r="C14" s="674"/>
      <c r="D14" s="616" t="s">
        <v>3464</v>
      </c>
      <c r="E14" s="177"/>
      <c r="F14" s="177"/>
      <c r="G14" s="177"/>
    </row>
    <row r="15" spans="2:7" ht="45.95" customHeight="1" thickBot="1">
      <c r="B15" s="672"/>
      <c r="C15" s="675"/>
      <c r="D15" s="553" t="s">
        <v>3420</v>
      </c>
      <c r="E15" s="177"/>
      <c r="F15" s="177"/>
      <c r="G15" s="177"/>
    </row>
    <row r="16" spans="2:7" ht="36" customHeight="1">
      <c r="B16" s="650" t="s">
        <v>12</v>
      </c>
      <c r="C16" s="653" t="s">
        <v>13</v>
      </c>
      <c r="D16" s="389" t="s">
        <v>14</v>
      </c>
      <c r="E16" s="177"/>
      <c r="F16" s="177"/>
      <c r="G16" s="177"/>
    </row>
    <row r="17" spans="2:7" ht="39.950000000000003" customHeight="1">
      <c r="B17" s="655"/>
      <c r="C17" s="657"/>
      <c r="D17" s="389" t="s">
        <v>15</v>
      </c>
      <c r="E17" s="177"/>
      <c r="F17" s="177"/>
      <c r="G17" s="177"/>
    </row>
    <row r="18" spans="2:7" ht="35.1" customHeight="1">
      <c r="B18" s="655"/>
      <c r="C18" s="657"/>
      <c r="D18" s="389" t="s">
        <v>16</v>
      </c>
      <c r="E18" s="177"/>
      <c r="F18" s="177"/>
      <c r="G18" s="177"/>
    </row>
    <row r="19" spans="2:7" ht="41.1" customHeight="1" thickBot="1">
      <c r="B19" s="656"/>
      <c r="C19" s="658"/>
      <c r="D19" s="404" t="s">
        <v>17</v>
      </c>
      <c r="E19" s="177"/>
      <c r="F19" s="177"/>
      <c r="G19" s="177"/>
    </row>
    <row r="20" spans="2:7" ht="41.1" customHeight="1">
      <c r="B20" s="662" t="s">
        <v>18</v>
      </c>
      <c r="C20" s="665" t="s">
        <v>19</v>
      </c>
      <c r="D20" s="406" t="s">
        <v>20</v>
      </c>
    </row>
    <row r="21" spans="2:7" ht="27.95" customHeight="1">
      <c r="B21" s="663"/>
      <c r="C21" s="657"/>
      <c r="D21" s="407" t="s">
        <v>21</v>
      </c>
    </row>
    <row r="22" spans="2:7" ht="32.1" customHeight="1" thickBot="1">
      <c r="B22" s="664"/>
      <c r="C22" s="666"/>
      <c r="D22" s="408" t="s">
        <v>22</v>
      </c>
    </row>
    <row r="23" spans="2:7" ht="42.95" customHeight="1">
      <c r="B23" s="650" t="s">
        <v>23</v>
      </c>
      <c r="C23" s="653" t="s">
        <v>24</v>
      </c>
      <c r="D23" s="405" t="s">
        <v>25</v>
      </c>
    </row>
    <row r="24" spans="2:7" ht="42" customHeight="1">
      <c r="B24" s="655"/>
      <c r="C24" s="657"/>
      <c r="D24" s="379" t="s">
        <v>26</v>
      </c>
    </row>
    <row r="25" spans="2:7" ht="42">
      <c r="B25" s="655"/>
      <c r="C25" s="657"/>
      <c r="D25" s="379" t="s">
        <v>27</v>
      </c>
    </row>
    <row r="26" spans="2:7" ht="42">
      <c r="B26" s="655"/>
      <c r="C26" s="657"/>
      <c r="D26" s="379" t="s">
        <v>28</v>
      </c>
    </row>
    <row r="27" spans="2:7" ht="42">
      <c r="B27" s="655"/>
      <c r="C27" s="657"/>
      <c r="D27" s="379" t="s">
        <v>29</v>
      </c>
    </row>
    <row r="28" spans="2:7" ht="21">
      <c r="B28" s="655"/>
      <c r="C28" s="657"/>
      <c r="D28" s="379" t="s">
        <v>30</v>
      </c>
    </row>
    <row r="29" spans="2:7" ht="21.75" thickBot="1">
      <c r="B29" s="667"/>
      <c r="C29" s="668"/>
      <c r="D29" s="377" t="s">
        <v>31</v>
      </c>
    </row>
    <row r="30" spans="2:7" ht="21.75" thickTop="1">
      <c r="B30" s="649" t="s">
        <v>32</v>
      </c>
      <c r="C30" s="652" t="s">
        <v>33</v>
      </c>
      <c r="D30" s="378" t="s">
        <v>34</v>
      </c>
    </row>
    <row r="31" spans="2:7" ht="42">
      <c r="B31" s="650"/>
      <c r="C31" s="653"/>
      <c r="D31" s="379" t="s">
        <v>35</v>
      </c>
    </row>
    <row r="32" spans="2:7" ht="21">
      <c r="B32" s="650"/>
      <c r="C32" s="653"/>
      <c r="D32" s="379" t="s">
        <v>36</v>
      </c>
    </row>
    <row r="33" spans="2:4" ht="21">
      <c r="B33" s="650"/>
      <c r="C33" s="653"/>
      <c r="D33" s="379" t="s">
        <v>37</v>
      </c>
    </row>
    <row r="34" spans="2:4" ht="21">
      <c r="B34" s="650"/>
      <c r="C34" s="653"/>
      <c r="D34" s="379" t="s">
        <v>38</v>
      </c>
    </row>
    <row r="35" spans="2:4" ht="21">
      <c r="B35" s="650"/>
      <c r="C35" s="653"/>
      <c r="D35" s="379" t="s">
        <v>39</v>
      </c>
    </row>
    <row r="36" spans="2:4" ht="21">
      <c r="B36" s="650"/>
      <c r="C36" s="653"/>
      <c r="D36" s="379" t="s">
        <v>40</v>
      </c>
    </row>
    <row r="37" spans="2:4" ht="21">
      <c r="B37" s="650"/>
      <c r="C37" s="653"/>
      <c r="D37" s="379" t="s">
        <v>41</v>
      </c>
    </row>
    <row r="38" spans="2:4" ht="42">
      <c r="B38" s="650"/>
      <c r="C38" s="653"/>
      <c r="D38" s="379" t="s">
        <v>42</v>
      </c>
    </row>
    <row r="39" spans="2:4" ht="21">
      <c r="B39" s="650"/>
      <c r="C39" s="653"/>
      <c r="D39" s="379" t="s">
        <v>43</v>
      </c>
    </row>
    <row r="40" spans="2:4" ht="42">
      <c r="B40" s="650"/>
      <c r="C40" s="653"/>
      <c r="D40" s="380" t="s">
        <v>44</v>
      </c>
    </row>
    <row r="41" spans="2:4" ht="42">
      <c r="B41" s="650"/>
      <c r="C41" s="653"/>
      <c r="D41" s="380" t="s">
        <v>45</v>
      </c>
    </row>
    <row r="42" spans="2:4" ht="42.75" thickBot="1">
      <c r="B42" s="651"/>
      <c r="C42" s="654"/>
      <c r="D42" s="377" t="s">
        <v>46</v>
      </c>
    </row>
    <row r="43" spans="2:4" ht="13.5" thickTop="1"/>
  </sheetData>
  <mergeCells count="13">
    <mergeCell ref="B30:B42"/>
    <mergeCell ref="C30:C42"/>
    <mergeCell ref="B16:B19"/>
    <mergeCell ref="C16:C19"/>
    <mergeCell ref="B3:C3"/>
    <mergeCell ref="B5:D5"/>
    <mergeCell ref="B4:D4"/>
    <mergeCell ref="B20:B22"/>
    <mergeCell ref="C20:C22"/>
    <mergeCell ref="B23:B29"/>
    <mergeCell ref="C23:C29"/>
    <mergeCell ref="B8:B15"/>
    <mergeCell ref="C8:C15"/>
  </mergeCells>
  <pageMargins left="0.7" right="0.7"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T1374"/>
  <sheetViews>
    <sheetView tabSelected="1" showRuler="0" topLeftCell="A661" zoomScale="110" zoomScaleNormal="110" workbookViewId="0">
      <selection activeCell="A680" sqref="A680:B680"/>
    </sheetView>
  </sheetViews>
  <sheetFormatPr baseColWidth="10" defaultColWidth="10.7109375" defaultRowHeight="12.75"/>
  <cols>
    <col min="1" max="1" width="21.85546875" style="15" customWidth="1"/>
    <col min="2" max="2" width="83.28515625" style="1" customWidth="1"/>
    <col min="3" max="3" width="10.7109375" style="63"/>
    <col min="4" max="4" width="12.42578125" style="35" customWidth="1"/>
    <col min="5" max="5" width="22.42578125" style="27" customWidth="1"/>
    <col min="6" max="6" width="11.42578125" style="27" customWidth="1"/>
    <col min="7" max="7" width="10" style="40" customWidth="1"/>
    <col min="8" max="8" width="10.7109375" style="27"/>
    <col min="9" max="9" width="16.28515625" style="187" customWidth="1"/>
    <col min="10" max="11" width="10.7109375" style="23"/>
    <col min="12" max="12" width="15.28515625" style="23" customWidth="1"/>
    <col min="13" max="13" width="7.5703125" style="63" customWidth="1"/>
    <col min="14" max="14" width="15.85546875" style="51" customWidth="1"/>
    <col min="15" max="15" width="39.28515625" style="23" customWidth="1"/>
    <col min="16" max="16" width="10.7109375" style="212"/>
    <col min="17" max="17" width="6.85546875" style="212" bestFit="1" customWidth="1"/>
    <col min="18" max="18" width="8.42578125" style="423" customWidth="1"/>
    <col min="19" max="19" width="8" style="423" customWidth="1"/>
    <col min="20" max="20" width="7.85546875" style="423" customWidth="1"/>
    <col min="21" max="21" width="8" style="423" customWidth="1"/>
    <col min="22" max="22" width="21.85546875" style="15" customWidth="1"/>
    <col min="23" max="23" width="78.85546875" style="1" customWidth="1"/>
    <col min="24" max="24" width="10.7109375" style="63"/>
    <col min="25" max="25" width="12.42578125" style="35" customWidth="1"/>
    <col min="26" max="26" width="22.42578125" style="27" customWidth="1"/>
    <col min="27" max="27" width="11.42578125" style="27" customWidth="1"/>
    <col min="28" max="28" width="10" style="40" customWidth="1"/>
    <col min="29" max="29" width="10.7109375" style="27"/>
    <col min="30" max="30" width="16.28515625" style="187" customWidth="1"/>
    <col min="31" max="32" width="10.7109375" style="23"/>
    <col min="33" max="33" width="15.28515625" style="23" customWidth="1"/>
    <col min="34" max="34" width="7.5703125" style="63" customWidth="1"/>
    <col min="35" max="35" width="15.85546875" style="51" customWidth="1"/>
    <col min="36" max="36" width="42.5703125" style="23" customWidth="1"/>
    <col min="37" max="37" width="10.7109375" style="212"/>
    <col min="38" max="38" width="6.85546875" style="212" bestFit="1" customWidth="1"/>
    <col min="39" max="16384" width="10.7109375" style="1"/>
  </cols>
  <sheetData>
    <row r="1" spans="1:38" ht="33.950000000000003" customHeight="1">
      <c r="A1" s="10" t="s">
        <v>47</v>
      </c>
      <c r="B1" s="11"/>
      <c r="C1" s="73"/>
      <c r="D1" s="75"/>
      <c r="E1" s="38"/>
      <c r="R1" s="557" t="s">
        <v>48</v>
      </c>
      <c r="S1" s="557" t="s">
        <v>49</v>
      </c>
      <c r="T1" s="557" t="s">
        <v>50</v>
      </c>
      <c r="U1" s="557" t="s">
        <v>51</v>
      </c>
      <c r="V1" s="10" t="s">
        <v>47</v>
      </c>
      <c r="W1" s="11"/>
      <c r="X1" s="73"/>
      <c r="Y1" s="75"/>
      <c r="Z1" s="38"/>
    </row>
    <row r="2" spans="1:38" ht="26.1" customHeight="1">
      <c r="A2" s="12"/>
      <c r="B2" s="236" t="s">
        <v>52</v>
      </c>
      <c r="C2" s="74"/>
      <c r="D2" s="76"/>
      <c r="E2" s="39"/>
      <c r="F2" s="36"/>
      <c r="G2" s="41"/>
      <c r="H2" s="36"/>
      <c r="I2" s="188"/>
      <c r="J2" s="24"/>
      <c r="K2" s="24"/>
      <c r="L2" s="24"/>
      <c r="M2" s="225"/>
      <c r="R2" s="558">
        <v>0.19798724728773931</v>
      </c>
      <c r="S2" s="558">
        <v>0.10129995617787386</v>
      </c>
      <c r="T2" s="558">
        <v>7.2661949177791341E-2</v>
      </c>
      <c r="U2" s="558">
        <v>6.2247382698771343E-2</v>
      </c>
      <c r="V2" s="12"/>
      <c r="W2" s="236" t="s">
        <v>52</v>
      </c>
      <c r="X2" s="74"/>
      <c r="Y2" s="76"/>
      <c r="Z2" s="39"/>
      <c r="AA2" s="36"/>
      <c r="AB2" s="41"/>
      <c r="AC2" s="36"/>
      <c r="AD2" s="188"/>
      <c r="AE2" s="24"/>
      <c r="AF2" s="24"/>
      <c r="AG2" s="24"/>
      <c r="AH2" s="225"/>
    </row>
    <row r="3" spans="1:38" ht="31.5">
      <c r="A3" s="681" t="s">
        <v>3417</v>
      </c>
      <c r="B3" s="682"/>
      <c r="C3" s="682"/>
      <c r="D3" s="682"/>
      <c r="E3" s="682"/>
      <c r="F3" s="682"/>
      <c r="G3" s="682"/>
      <c r="H3" s="682"/>
      <c r="I3" s="189"/>
      <c r="J3" s="45"/>
      <c r="K3" s="45"/>
      <c r="L3" s="222"/>
      <c r="M3" s="222"/>
      <c r="N3" s="677" t="s">
        <v>53</v>
      </c>
      <c r="O3" s="53" t="s">
        <v>54</v>
      </c>
      <c r="P3" s="679" t="s">
        <v>55</v>
      </c>
      <c r="Q3" s="679" t="s">
        <v>56</v>
      </c>
      <c r="R3" s="683" t="s">
        <v>57</v>
      </c>
      <c r="S3" s="683"/>
      <c r="T3" s="683"/>
      <c r="U3" s="683"/>
      <c r="V3" s="681" t="s">
        <v>58</v>
      </c>
      <c r="W3" s="682"/>
      <c r="X3" s="682"/>
      <c r="Y3" s="682"/>
      <c r="Z3" s="682"/>
      <c r="AA3" s="682"/>
      <c r="AB3" s="682"/>
      <c r="AC3" s="682"/>
      <c r="AD3" s="189"/>
      <c r="AE3" s="45"/>
      <c r="AF3" s="45"/>
      <c r="AG3" s="222"/>
      <c r="AH3" s="222"/>
      <c r="AI3" s="677" t="s">
        <v>53</v>
      </c>
      <c r="AJ3" s="53" t="s">
        <v>54</v>
      </c>
      <c r="AK3" s="679" t="s">
        <v>55</v>
      </c>
      <c r="AL3" s="679" t="s">
        <v>56</v>
      </c>
    </row>
    <row r="4" spans="1:38" ht="63.75">
      <c r="A4" s="13" t="s">
        <v>59</v>
      </c>
      <c r="B4" s="30" t="s">
        <v>60</v>
      </c>
      <c r="C4" s="32" t="s">
        <v>61</v>
      </c>
      <c r="D4" s="34" t="s">
        <v>62</v>
      </c>
      <c r="E4" s="34" t="s">
        <v>63</v>
      </c>
      <c r="F4" s="37" t="s">
        <v>64</v>
      </c>
      <c r="G4" s="42" t="s">
        <v>65</v>
      </c>
      <c r="H4" s="37" t="s">
        <v>66</v>
      </c>
      <c r="I4" s="190" t="s">
        <v>67</v>
      </c>
      <c r="J4" s="16" t="s">
        <v>68</v>
      </c>
      <c r="K4" s="16" t="s">
        <v>69</v>
      </c>
      <c r="L4" s="224" t="s">
        <v>70</v>
      </c>
      <c r="M4" s="223" t="s">
        <v>71</v>
      </c>
      <c r="N4" s="678"/>
      <c r="O4" s="54" t="s">
        <v>72</v>
      </c>
      <c r="P4" s="680"/>
      <c r="Q4" s="680"/>
      <c r="R4" s="559">
        <v>12</v>
      </c>
      <c r="S4" s="559">
        <v>24</v>
      </c>
      <c r="T4" s="559">
        <v>36</v>
      </c>
      <c r="U4" s="559">
        <v>48</v>
      </c>
      <c r="V4" s="13" t="s">
        <v>59</v>
      </c>
      <c r="W4" s="30" t="s">
        <v>60</v>
      </c>
      <c r="X4" s="32" t="s">
        <v>61</v>
      </c>
      <c r="Y4" s="34" t="s">
        <v>62</v>
      </c>
      <c r="Z4" s="34" t="s">
        <v>63</v>
      </c>
      <c r="AA4" s="37" t="s">
        <v>64</v>
      </c>
      <c r="AB4" s="42" t="s">
        <v>65</v>
      </c>
      <c r="AC4" s="37" t="s">
        <v>66</v>
      </c>
      <c r="AD4" s="190" t="s">
        <v>67</v>
      </c>
      <c r="AE4" s="16" t="s">
        <v>68</v>
      </c>
      <c r="AF4" s="16" t="s">
        <v>69</v>
      </c>
      <c r="AG4" s="224" t="s">
        <v>70</v>
      </c>
      <c r="AH4" s="223" t="s">
        <v>71</v>
      </c>
      <c r="AI4" s="678"/>
      <c r="AJ4" s="54" t="s">
        <v>72</v>
      </c>
      <c r="AK4" s="680"/>
      <c r="AL4" s="680"/>
    </row>
    <row r="5" spans="1:38">
      <c r="A5" s="93" t="s">
        <v>73</v>
      </c>
      <c r="B5" s="94" t="s">
        <v>74</v>
      </c>
      <c r="C5" s="95">
        <v>1</v>
      </c>
      <c r="D5" s="96" t="s">
        <v>75</v>
      </c>
      <c r="E5" s="96" t="s">
        <v>73</v>
      </c>
      <c r="F5" s="96">
        <v>940.53</v>
      </c>
      <c r="G5" s="97">
        <f>rv_mba_mg</f>
        <v>0.17599999999999999</v>
      </c>
      <c r="H5" s="98">
        <f t="shared" ref="H5:H10" si="0">F5-(F5*G5)</f>
        <v>774.99671999999998</v>
      </c>
      <c r="I5" s="144" t="s">
        <v>76</v>
      </c>
      <c r="J5" s="99" cm="1">
        <f t="array" ref="J5">mba13_5pl</f>
        <v>44.998640000000002</v>
      </c>
      <c r="K5" s="99">
        <f>H5+J5</f>
        <v>819.99536000000001</v>
      </c>
      <c r="L5" s="17" t="s">
        <v>77</v>
      </c>
      <c r="M5" s="17">
        <v>0.3</v>
      </c>
      <c r="N5" s="257" t="s">
        <v>75</v>
      </c>
      <c r="O5" s="55" t="s">
        <v>78</v>
      </c>
      <c r="P5" s="230" t="s">
        <v>79</v>
      </c>
      <c r="Q5" s="263" t="s">
        <v>80</v>
      </c>
      <c r="R5" s="1">
        <f>+IF($K5&lt;&gt;"",R$2*$K5,"")</f>
        <v>162.34862411511881</v>
      </c>
      <c r="S5" s="1">
        <f>+IF($K5&lt;&gt;"",S$2*$K5,"")</f>
        <v>83.06549403405991</v>
      </c>
      <c r="T5" s="1">
        <f>+IF($K5&lt;&gt;"",T$2*$K5,"")</f>
        <v>59.582461174344715</v>
      </c>
      <c r="U5" s="1">
        <f>+IF($K5&lt;&gt;"",U$2*$K5,"")</f>
        <v>51.042564985136778</v>
      </c>
      <c r="V5" s="93" t="s">
        <v>73</v>
      </c>
      <c r="W5" s="94" t="s">
        <v>74</v>
      </c>
      <c r="X5" s="95">
        <v>1</v>
      </c>
      <c r="Y5" s="96" t="s">
        <v>75</v>
      </c>
      <c r="Z5" s="96" t="s">
        <v>73</v>
      </c>
      <c r="AA5" s="96">
        <v>940.53</v>
      </c>
      <c r="AB5" s="97">
        <f>rv_mba_mg</f>
        <v>0.17599999999999999</v>
      </c>
      <c r="AC5" s="98">
        <f t="shared" ref="AC5:AC10" si="1">AA5-(AA5*AB5)</f>
        <v>774.99671999999998</v>
      </c>
      <c r="AD5" s="144" t="s">
        <v>76</v>
      </c>
      <c r="AE5" s="99" cm="1">
        <f t="array" ref="AE5">mba13_5pl</f>
        <v>44.998640000000002</v>
      </c>
      <c r="AF5" s="99">
        <f>AC5+AE5</f>
        <v>819.99536000000001</v>
      </c>
      <c r="AG5" s="17" t="s">
        <v>77</v>
      </c>
      <c r="AH5" s="17">
        <v>0.3</v>
      </c>
      <c r="AI5" s="257" t="s">
        <v>75</v>
      </c>
      <c r="AJ5" s="55" t="s">
        <v>78</v>
      </c>
      <c r="AK5" s="230" t="s">
        <v>79</v>
      </c>
      <c r="AL5" s="263" t="s">
        <v>80</v>
      </c>
    </row>
    <row r="6" spans="1:38" s="174" customFormat="1" ht="24.95" customHeight="1">
      <c r="A6" s="103" t="s">
        <v>76</v>
      </c>
      <c r="B6" s="104" t="s">
        <v>81</v>
      </c>
      <c r="C6" s="105">
        <v>1</v>
      </c>
      <c r="D6" s="108" t="s">
        <v>82</v>
      </c>
      <c r="E6" s="139" t="s">
        <v>76</v>
      </c>
      <c r="F6" s="242">
        <v>54.61</v>
      </c>
      <c r="G6" s="456">
        <f>rv_mba_mg</f>
        <v>0.17599999999999999</v>
      </c>
      <c r="H6" s="242">
        <f t="shared" si="0"/>
        <v>44.998640000000002</v>
      </c>
      <c r="I6" s="191"/>
      <c r="J6" s="172"/>
      <c r="K6" s="172"/>
      <c r="L6" s="120" t="s">
        <v>77</v>
      </c>
      <c r="M6" s="120" t="s">
        <v>77</v>
      </c>
      <c r="N6" s="258" t="s">
        <v>83</v>
      </c>
      <c r="O6" s="55" t="s">
        <v>84</v>
      </c>
      <c r="P6" s="230" t="s">
        <v>85</v>
      </c>
      <c r="Q6" s="205" t="s">
        <v>86</v>
      </c>
      <c r="R6" s="1" t="str">
        <f t="shared" ref="R6:U69" si="2">+IF($K6&lt;&gt;"",R$2*$K6,"")</f>
        <v/>
      </c>
      <c r="S6" s="1" t="str">
        <f t="shared" si="2"/>
        <v/>
      </c>
      <c r="T6" s="1" t="str">
        <f t="shared" si="2"/>
        <v/>
      </c>
      <c r="U6" s="1" t="str">
        <f t="shared" si="2"/>
        <v/>
      </c>
      <c r="V6" s="103" t="s">
        <v>76</v>
      </c>
      <c r="W6" s="104" t="s">
        <v>81</v>
      </c>
      <c r="X6" s="105">
        <v>1</v>
      </c>
      <c r="Y6" s="108" t="s">
        <v>82</v>
      </c>
      <c r="Z6" s="139" t="s">
        <v>76</v>
      </c>
      <c r="AA6" s="108">
        <v>54.61</v>
      </c>
      <c r="AB6" s="180">
        <f>rv_mba_mg</f>
        <v>0.17599999999999999</v>
      </c>
      <c r="AC6" s="100">
        <f t="shared" si="1"/>
        <v>44.998640000000002</v>
      </c>
      <c r="AD6" s="191"/>
      <c r="AE6" s="172"/>
      <c r="AF6" s="172"/>
      <c r="AG6" s="120" t="s">
        <v>77</v>
      </c>
      <c r="AH6" s="120" t="s">
        <v>77</v>
      </c>
      <c r="AI6" s="258" t="s">
        <v>83</v>
      </c>
      <c r="AJ6" s="55" t="s">
        <v>84</v>
      </c>
      <c r="AK6" s="230" t="s">
        <v>85</v>
      </c>
      <c r="AL6" s="205" t="s">
        <v>86</v>
      </c>
    </row>
    <row r="7" spans="1:38">
      <c r="A7" s="25" t="s">
        <v>87</v>
      </c>
      <c r="B7" s="26" t="s">
        <v>88</v>
      </c>
      <c r="C7" s="29">
        <v>1</v>
      </c>
      <c r="D7" s="35" t="s">
        <v>75</v>
      </c>
      <c r="E7" s="33" t="s">
        <v>77</v>
      </c>
      <c r="F7" s="35">
        <v>191.67</v>
      </c>
      <c r="G7" s="102">
        <f>rv_mba_mg_cto</f>
        <v>0.17599999999999999</v>
      </c>
      <c r="H7" s="31">
        <f t="shared" si="0"/>
        <v>157.93608</v>
      </c>
      <c r="I7" s="144"/>
      <c r="J7" s="17"/>
      <c r="K7" s="17"/>
      <c r="L7" s="17" t="s">
        <v>77</v>
      </c>
      <c r="M7" s="17" t="s">
        <v>77</v>
      </c>
      <c r="N7" s="258" t="s">
        <v>75</v>
      </c>
      <c r="O7" s="55" t="s">
        <v>78</v>
      </c>
      <c r="P7" s="230" t="s">
        <v>79</v>
      </c>
      <c r="Q7" s="205" t="s">
        <v>80</v>
      </c>
      <c r="R7" s="1" t="str">
        <f t="shared" si="2"/>
        <v/>
      </c>
      <c r="S7" s="1" t="str">
        <f t="shared" si="2"/>
        <v/>
      </c>
      <c r="T7" s="1" t="str">
        <f t="shared" si="2"/>
        <v/>
      </c>
      <c r="U7" s="1" t="str">
        <f t="shared" si="2"/>
        <v/>
      </c>
      <c r="V7" s="25" t="s">
        <v>87</v>
      </c>
      <c r="W7" s="26" t="s">
        <v>88</v>
      </c>
      <c r="X7" s="29">
        <v>1</v>
      </c>
      <c r="Y7" s="35" t="s">
        <v>75</v>
      </c>
      <c r="Z7" s="33" t="s">
        <v>77</v>
      </c>
      <c r="AA7" s="35">
        <v>191.67</v>
      </c>
      <c r="AB7" s="102">
        <f>rv_mba_mg_cto</f>
        <v>0.17599999999999999</v>
      </c>
      <c r="AC7" s="31">
        <f t="shared" si="1"/>
        <v>157.93608</v>
      </c>
      <c r="AD7" s="144"/>
      <c r="AE7" s="17"/>
      <c r="AF7" s="17"/>
      <c r="AG7" s="17" t="s">
        <v>77</v>
      </c>
      <c r="AH7" s="17" t="s">
        <v>77</v>
      </c>
      <c r="AI7" s="258" t="s">
        <v>75</v>
      </c>
      <c r="AJ7" s="55" t="s">
        <v>78</v>
      </c>
      <c r="AK7" s="230" t="s">
        <v>79</v>
      </c>
      <c r="AL7" s="205" t="s">
        <v>89</v>
      </c>
    </row>
    <row r="8" spans="1:38">
      <c r="A8" s="25" t="s">
        <v>90</v>
      </c>
      <c r="B8" s="26" t="s">
        <v>91</v>
      </c>
      <c r="C8" s="29">
        <v>1</v>
      </c>
      <c r="D8" s="35" t="s">
        <v>75</v>
      </c>
      <c r="E8" s="33" t="s">
        <v>77</v>
      </c>
      <c r="F8" s="35">
        <v>191.67</v>
      </c>
      <c r="G8" s="102">
        <f t="shared" ref="G8:G10" si="3">rv_mba_mg_cto</f>
        <v>0.17599999999999999</v>
      </c>
      <c r="H8" s="31">
        <f t="shared" si="0"/>
        <v>157.93608</v>
      </c>
      <c r="I8" s="144"/>
      <c r="J8" s="17"/>
      <c r="K8" s="17"/>
      <c r="L8" s="17" t="s">
        <v>77</v>
      </c>
      <c r="M8" s="17" t="s">
        <v>77</v>
      </c>
      <c r="N8" s="258" t="s">
        <v>75</v>
      </c>
      <c r="O8" s="55" t="s">
        <v>78</v>
      </c>
      <c r="P8" s="230" t="s">
        <v>79</v>
      </c>
      <c r="Q8" s="205" t="s">
        <v>80</v>
      </c>
      <c r="R8" s="1" t="str">
        <f t="shared" si="2"/>
        <v/>
      </c>
      <c r="S8" s="1" t="str">
        <f t="shared" si="2"/>
        <v/>
      </c>
      <c r="T8" s="1" t="str">
        <f t="shared" si="2"/>
        <v/>
      </c>
      <c r="U8" s="1" t="str">
        <f t="shared" si="2"/>
        <v/>
      </c>
      <c r="V8" s="25" t="s">
        <v>90</v>
      </c>
      <c r="W8" s="26" t="s">
        <v>91</v>
      </c>
      <c r="X8" s="29">
        <v>1</v>
      </c>
      <c r="Y8" s="35" t="s">
        <v>75</v>
      </c>
      <c r="Z8" s="33" t="s">
        <v>77</v>
      </c>
      <c r="AA8" s="35">
        <v>191.67</v>
      </c>
      <c r="AB8" s="102">
        <f t="shared" ref="AB8:AB10" si="4">rv_mba_mg_cto</f>
        <v>0.17599999999999999</v>
      </c>
      <c r="AC8" s="31">
        <f t="shared" si="1"/>
        <v>157.93608</v>
      </c>
      <c r="AD8" s="144"/>
      <c r="AE8" s="17"/>
      <c r="AF8" s="17"/>
      <c r="AG8" s="17" t="s">
        <v>77</v>
      </c>
      <c r="AH8" s="17" t="s">
        <v>77</v>
      </c>
      <c r="AI8" s="258" t="s">
        <v>75</v>
      </c>
      <c r="AJ8" s="55" t="s">
        <v>78</v>
      </c>
      <c r="AK8" s="230" t="s">
        <v>79</v>
      </c>
      <c r="AL8" s="205" t="s">
        <v>89</v>
      </c>
    </row>
    <row r="9" spans="1:38">
      <c r="A9" s="25" t="s">
        <v>92</v>
      </c>
      <c r="B9" s="26" t="s">
        <v>93</v>
      </c>
      <c r="C9" s="29">
        <v>1</v>
      </c>
      <c r="D9" s="35" t="s">
        <v>75</v>
      </c>
      <c r="E9" s="33" t="s">
        <v>77</v>
      </c>
      <c r="F9" s="35">
        <v>383.33</v>
      </c>
      <c r="G9" s="102">
        <f t="shared" si="3"/>
        <v>0.17599999999999999</v>
      </c>
      <c r="H9" s="31">
        <f t="shared" si="0"/>
        <v>315.86392000000001</v>
      </c>
      <c r="I9" s="144"/>
      <c r="J9" s="17"/>
      <c r="K9" s="17"/>
      <c r="L9" s="17" t="s">
        <v>77</v>
      </c>
      <c r="M9" s="17" t="s">
        <v>77</v>
      </c>
      <c r="N9" s="258" t="s">
        <v>75</v>
      </c>
      <c r="O9" s="55" t="s">
        <v>78</v>
      </c>
      <c r="P9" s="230" t="s">
        <v>79</v>
      </c>
      <c r="Q9" s="205" t="s">
        <v>80</v>
      </c>
      <c r="R9" s="1" t="str">
        <f t="shared" si="2"/>
        <v/>
      </c>
      <c r="S9" s="1" t="str">
        <f t="shared" si="2"/>
        <v/>
      </c>
      <c r="T9" s="1" t="str">
        <f t="shared" si="2"/>
        <v/>
      </c>
      <c r="U9" s="1" t="str">
        <f t="shared" si="2"/>
        <v/>
      </c>
      <c r="V9" s="25" t="s">
        <v>92</v>
      </c>
      <c r="W9" s="26" t="s">
        <v>93</v>
      </c>
      <c r="X9" s="29">
        <v>1</v>
      </c>
      <c r="Y9" s="35" t="s">
        <v>75</v>
      </c>
      <c r="Z9" s="33" t="s">
        <v>77</v>
      </c>
      <c r="AA9" s="35">
        <v>383.33</v>
      </c>
      <c r="AB9" s="102">
        <f t="shared" si="4"/>
        <v>0.17599999999999999</v>
      </c>
      <c r="AC9" s="31">
        <f t="shared" si="1"/>
        <v>315.86392000000001</v>
      </c>
      <c r="AD9" s="144"/>
      <c r="AE9" s="17"/>
      <c r="AF9" s="17"/>
      <c r="AG9" s="17" t="s">
        <v>77</v>
      </c>
      <c r="AH9" s="17" t="s">
        <v>77</v>
      </c>
      <c r="AI9" s="258" t="s">
        <v>75</v>
      </c>
      <c r="AJ9" s="55" t="s">
        <v>78</v>
      </c>
      <c r="AK9" s="230" t="s">
        <v>79</v>
      </c>
      <c r="AL9" s="205" t="s">
        <v>89</v>
      </c>
    </row>
    <row r="10" spans="1:38">
      <c r="A10" s="25" t="s">
        <v>94</v>
      </c>
      <c r="B10" s="26" t="s">
        <v>95</v>
      </c>
      <c r="C10" s="29">
        <v>1</v>
      </c>
      <c r="D10" s="35" t="s">
        <v>75</v>
      </c>
      <c r="E10" s="33" t="s">
        <v>77</v>
      </c>
      <c r="F10" s="35">
        <v>766.67</v>
      </c>
      <c r="G10" s="102">
        <f t="shared" si="3"/>
        <v>0.17599999999999999</v>
      </c>
      <c r="H10" s="31">
        <f t="shared" si="0"/>
        <v>631.73608000000002</v>
      </c>
      <c r="I10" s="144"/>
      <c r="J10" s="17"/>
      <c r="K10" s="17"/>
      <c r="L10" s="17" t="s">
        <v>77</v>
      </c>
      <c r="M10" s="17" t="s">
        <v>77</v>
      </c>
      <c r="N10" s="258" t="s">
        <v>75</v>
      </c>
      <c r="O10" s="55" t="s">
        <v>78</v>
      </c>
      <c r="P10" s="230" t="s">
        <v>79</v>
      </c>
      <c r="Q10" s="205" t="s">
        <v>80</v>
      </c>
      <c r="R10" s="1" t="str">
        <f t="shared" si="2"/>
        <v/>
      </c>
      <c r="S10" s="1" t="str">
        <f t="shared" si="2"/>
        <v/>
      </c>
      <c r="T10" s="1" t="str">
        <f t="shared" si="2"/>
        <v/>
      </c>
      <c r="U10" s="1" t="str">
        <f t="shared" si="2"/>
        <v/>
      </c>
      <c r="V10" s="25" t="s">
        <v>94</v>
      </c>
      <c r="W10" s="26" t="s">
        <v>95</v>
      </c>
      <c r="X10" s="29">
        <v>1</v>
      </c>
      <c r="Y10" s="35" t="s">
        <v>75</v>
      </c>
      <c r="Z10" s="33" t="s">
        <v>77</v>
      </c>
      <c r="AA10" s="35">
        <v>766.67</v>
      </c>
      <c r="AB10" s="102">
        <f t="shared" si="4"/>
        <v>0.17599999999999999</v>
      </c>
      <c r="AC10" s="31">
        <f t="shared" si="1"/>
        <v>631.73608000000002</v>
      </c>
      <c r="AD10" s="144"/>
      <c r="AE10" s="17"/>
      <c r="AF10" s="17"/>
      <c r="AG10" s="17" t="s">
        <v>77</v>
      </c>
      <c r="AH10" s="17" t="s">
        <v>77</v>
      </c>
      <c r="AI10" s="258" t="s">
        <v>75</v>
      </c>
      <c r="AJ10" s="55" t="s">
        <v>78</v>
      </c>
      <c r="AK10" s="230" t="s">
        <v>79</v>
      </c>
      <c r="AL10" s="205" t="s">
        <v>89</v>
      </c>
    </row>
    <row r="11" spans="1:38" s="186" customFormat="1">
      <c r="A11" s="25" t="s">
        <v>96</v>
      </c>
      <c r="B11" s="26" t="s">
        <v>97</v>
      </c>
      <c r="C11" s="29">
        <v>1</v>
      </c>
      <c r="D11" s="35" t="s">
        <v>75</v>
      </c>
      <c r="E11" s="33" t="s">
        <v>77</v>
      </c>
      <c r="F11" s="33"/>
      <c r="G11" s="22"/>
      <c r="H11" s="31">
        <v>0</v>
      </c>
      <c r="I11" s="144"/>
      <c r="J11" s="17"/>
      <c r="K11" s="17"/>
      <c r="L11" s="17" t="s">
        <v>77</v>
      </c>
      <c r="M11" s="17" t="s">
        <v>77</v>
      </c>
      <c r="N11" s="258" t="s">
        <v>75</v>
      </c>
      <c r="O11" s="55" t="s">
        <v>78</v>
      </c>
      <c r="P11" s="230" t="s">
        <v>79</v>
      </c>
      <c r="Q11" s="205" t="s">
        <v>80</v>
      </c>
      <c r="R11" s="1" t="str">
        <f t="shared" si="2"/>
        <v/>
      </c>
      <c r="S11" s="1" t="str">
        <f t="shared" si="2"/>
        <v/>
      </c>
      <c r="T11" s="1" t="str">
        <f t="shared" si="2"/>
        <v/>
      </c>
      <c r="U11" s="1" t="str">
        <f t="shared" si="2"/>
        <v/>
      </c>
      <c r="V11" s="25" t="s">
        <v>96</v>
      </c>
      <c r="W11" s="26" t="s">
        <v>98</v>
      </c>
      <c r="X11" s="29">
        <v>1</v>
      </c>
      <c r="Y11" s="35" t="s">
        <v>75</v>
      </c>
      <c r="Z11" s="33" t="s">
        <v>77</v>
      </c>
      <c r="AA11" s="33"/>
      <c r="AB11" s="22"/>
      <c r="AC11" s="31">
        <v>0</v>
      </c>
      <c r="AD11" s="144"/>
      <c r="AE11" s="17"/>
      <c r="AF11" s="17"/>
      <c r="AG11" s="17" t="s">
        <v>77</v>
      </c>
      <c r="AH11" s="17" t="s">
        <v>77</v>
      </c>
      <c r="AI11" s="258" t="s">
        <v>75</v>
      </c>
      <c r="AJ11" s="55" t="s">
        <v>78</v>
      </c>
      <c r="AK11" s="230" t="s">
        <v>79</v>
      </c>
      <c r="AL11" s="205" t="s">
        <v>89</v>
      </c>
    </row>
    <row r="12" spans="1:38" s="186" customFormat="1">
      <c r="A12" s="25" t="s">
        <v>99</v>
      </c>
      <c r="B12" s="26" t="s">
        <v>100</v>
      </c>
      <c r="C12" s="29">
        <v>1</v>
      </c>
      <c r="D12" s="31" t="s">
        <v>75</v>
      </c>
      <c r="E12" s="33" t="s">
        <v>77</v>
      </c>
      <c r="F12" s="33"/>
      <c r="G12" s="22"/>
      <c r="H12" s="31">
        <v>0</v>
      </c>
      <c r="I12" s="144"/>
      <c r="J12" s="17"/>
      <c r="K12" s="17"/>
      <c r="L12" s="17" t="s">
        <v>77</v>
      </c>
      <c r="M12" s="17" t="s">
        <v>77</v>
      </c>
      <c r="N12" s="68"/>
      <c r="O12" s="55"/>
      <c r="P12" s="213"/>
      <c r="Q12" s="221"/>
      <c r="R12" s="1" t="str">
        <f t="shared" si="2"/>
        <v/>
      </c>
      <c r="S12" s="1" t="str">
        <f t="shared" si="2"/>
        <v/>
      </c>
      <c r="T12" s="1" t="str">
        <f t="shared" si="2"/>
        <v/>
      </c>
      <c r="U12" s="1" t="str">
        <f t="shared" si="2"/>
        <v/>
      </c>
      <c r="V12" s="25" t="s">
        <v>99</v>
      </c>
      <c r="W12" s="26" t="s">
        <v>101</v>
      </c>
      <c r="X12" s="29">
        <v>1</v>
      </c>
      <c r="Y12" s="31" t="s">
        <v>75</v>
      </c>
      <c r="Z12" s="33" t="s">
        <v>77</v>
      </c>
      <c r="AA12" s="33"/>
      <c r="AB12" s="22"/>
      <c r="AC12" s="31">
        <v>0</v>
      </c>
      <c r="AD12" s="144"/>
      <c r="AE12" s="17"/>
      <c r="AF12" s="17"/>
      <c r="AG12" s="17" t="s">
        <v>77</v>
      </c>
      <c r="AH12" s="17" t="s">
        <v>77</v>
      </c>
      <c r="AI12" s="68"/>
      <c r="AJ12" s="55"/>
      <c r="AK12" s="213"/>
      <c r="AL12" s="221"/>
    </row>
    <row r="13" spans="1:38" s="563" customFormat="1">
      <c r="A13" s="113" t="s">
        <v>102</v>
      </c>
      <c r="B13" s="114" t="s">
        <v>103</v>
      </c>
      <c r="C13" s="115">
        <v>1</v>
      </c>
      <c r="D13" s="119" t="s">
        <v>75</v>
      </c>
      <c r="E13" s="117" t="s">
        <v>77</v>
      </c>
      <c r="F13" s="117"/>
      <c r="G13" s="138"/>
      <c r="H13" s="119">
        <v>0</v>
      </c>
      <c r="I13" s="412"/>
      <c r="J13" s="120"/>
      <c r="K13" s="120"/>
      <c r="L13" s="120" t="s">
        <v>77</v>
      </c>
      <c r="M13" s="120" t="s">
        <v>77</v>
      </c>
      <c r="N13" s="562"/>
      <c r="O13" s="57"/>
      <c r="Q13" s="564"/>
      <c r="R13" s="121" t="str">
        <f t="shared" si="2"/>
        <v/>
      </c>
      <c r="S13" s="121" t="str">
        <f t="shared" si="2"/>
        <v/>
      </c>
      <c r="T13" s="121" t="str">
        <f t="shared" si="2"/>
        <v/>
      </c>
      <c r="U13" s="121" t="str">
        <f t="shared" si="2"/>
        <v/>
      </c>
      <c r="V13" s="113"/>
      <c r="W13" s="114"/>
      <c r="X13" s="115"/>
      <c r="Y13" s="119"/>
      <c r="Z13" s="117"/>
      <c r="AA13" s="117"/>
      <c r="AB13" s="138"/>
      <c r="AC13" s="119"/>
      <c r="AD13" s="412"/>
      <c r="AE13" s="120"/>
      <c r="AF13" s="120"/>
      <c r="AG13" s="120"/>
      <c r="AH13" s="120"/>
      <c r="AI13" s="562"/>
      <c r="AJ13" s="57"/>
      <c r="AL13" s="564"/>
    </row>
    <row r="14" spans="1:38">
      <c r="A14" s="363" t="s">
        <v>104</v>
      </c>
      <c r="B14" s="364"/>
      <c r="C14" s="29"/>
      <c r="E14" s="33"/>
      <c r="F14" s="35"/>
      <c r="G14" s="102"/>
      <c r="H14" s="31"/>
      <c r="I14" s="144"/>
      <c r="J14" s="17"/>
      <c r="K14" s="17"/>
      <c r="L14" s="17"/>
      <c r="M14" s="17"/>
      <c r="N14" s="68" t="s">
        <v>75</v>
      </c>
      <c r="O14" s="55"/>
      <c r="P14" s="230"/>
      <c r="Q14" s="205"/>
      <c r="R14" s="1" t="str">
        <f t="shared" si="2"/>
        <v/>
      </c>
      <c r="S14" s="1" t="str">
        <f t="shared" si="2"/>
        <v/>
      </c>
      <c r="T14" s="1" t="str">
        <f t="shared" si="2"/>
        <v/>
      </c>
      <c r="U14" s="1" t="str">
        <f t="shared" si="2"/>
        <v/>
      </c>
      <c r="V14" s="587" t="s">
        <v>104</v>
      </c>
      <c r="W14" s="26"/>
      <c r="X14" s="29"/>
      <c r="Z14" s="33"/>
      <c r="AA14" s="35"/>
      <c r="AB14" s="102"/>
      <c r="AC14" s="31"/>
      <c r="AD14" s="144"/>
      <c r="AE14" s="17"/>
      <c r="AF14" s="17"/>
      <c r="AG14" s="17"/>
      <c r="AH14" s="17"/>
      <c r="AI14" s="68" t="s">
        <v>75</v>
      </c>
      <c r="AJ14" s="55"/>
      <c r="AK14" s="230"/>
      <c r="AL14" s="205"/>
    </row>
    <row r="15" spans="1:38">
      <c r="A15" s="363" t="s">
        <v>105</v>
      </c>
      <c r="B15" s="364"/>
      <c r="C15" s="29"/>
      <c r="E15" s="33"/>
      <c r="F15" s="35"/>
      <c r="G15" s="102"/>
      <c r="H15" s="31"/>
      <c r="I15" s="144"/>
      <c r="J15" s="17"/>
      <c r="K15" s="17"/>
      <c r="L15" s="17"/>
      <c r="M15" s="17"/>
      <c r="N15" s="68" t="s">
        <v>75</v>
      </c>
      <c r="O15" s="55"/>
      <c r="P15" s="230"/>
      <c r="Q15" s="205"/>
      <c r="R15" s="1" t="str">
        <f t="shared" si="2"/>
        <v/>
      </c>
      <c r="S15" s="1" t="str">
        <f t="shared" si="2"/>
        <v/>
      </c>
      <c r="T15" s="1" t="str">
        <f t="shared" si="2"/>
        <v/>
      </c>
      <c r="U15" s="1" t="str">
        <f t="shared" si="2"/>
        <v/>
      </c>
      <c r="V15" s="587" t="s">
        <v>106</v>
      </c>
      <c r="W15" s="26"/>
      <c r="X15" s="29"/>
      <c r="Z15" s="33"/>
      <c r="AA15" s="35"/>
      <c r="AB15" s="102"/>
      <c r="AC15" s="31"/>
      <c r="AD15" s="144"/>
      <c r="AE15" s="17"/>
      <c r="AF15" s="17"/>
      <c r="AG15" s="17"/>
      <c r="AH15" s="17"/>
      <c r="AI15" s="68" t="s">
        <v>75</v>
      </c>
      <c r="AJ15" s="55"/>
      <c r="AK15" s="230"/>
      <c r="AL15" s="205"/>
    </row>
    <row r="16" spans="1:38">
      <c r="A16" s="103" t="s">
        <v>107</v>
      </c>
      <c r="B16" s="104" t="s">
        <v>108</v>
      </c>
      <c r="C16" s="105">
        <v>1</v>
      </c>
      <c r="D16" s="106" t="s">
        <v>82</v>
      </c>
      <c r="E16" s="107" t="s">
        <v>107</v>
      </c>
      <c r="F16" s="108"/>
      <c r="G16" s="109"/>
      <c r="H16" s="100">
        <v>17</v>
      </c>
      <c r="I16" s="144"/>
      <c r="J16" s="101"/>
      <c r="K16" s="101"/>
      <c r="L16" s="17" t="s">
        <v>77</v>
      </c>
      <c r="M16" s="17" t="s">
        <v>77</v>
      </c>
      <c r="N16" s="68" t="s">
        <v>83</v>
      </c>
      <c r="O16" s="55" t="s">
        <v>84</v>
      </c>
      <c r="P16" s="230" t="s">
        <v>85</v>
      </c>
      <c r="Q16" s="205" t="s">
        <v>86</v>
      </c>
      <c r="R16" s="1" t="str">
        <f t="shared" si="2"/>
        <v/>
      </c>
      <c r="S16" s="1" t="str">
        <f t="shared" si="2"/>
        <v/>
      </c>
      <c r="T16" s="1" t="str">
        <f t="shared" si="2"/>
        <v/>
      </c>
      <c r="U16" s="1" t="str">
        <f t="shared" si="2"/>
        <v/>
      </c>
      <c r="V16" s="103" t="s">
        <v>107</v>
      </c>
      <c r="W16" s="104" t="s">
        <v>108</v>
      </c>
      <c r="X16" s="105">
        <v>1</v>
      </c>
      <c r="Y16" s="106" t="s">
        <v>82</v>
      </c>
      <c r="Z16" s="107" t="s">
        <v>107</v>
      </c>
      <c r="AA16" s="108"/>
      <c r="AB16" s="109"/>
      <c r="AC16" s="100">
        <v>17</v>
      </c>
      <c r="AD16" s="144"/>
      <c r="AE16" s="101"/>
      <c r="AF16" s="101"/>
      <c r="AG16" s="17" t="s">
        <v>77</v>
      </c>
      <c r="AH16" s="17" t="s">
        <v>77</v>
      </c>
      <c r="AI16" s="68" t="s">
        <v>83</v>
      </c>
      <c r="AJ16" s="55" t="s">
        <v>84</v>
      </c>
      <c r="AK16" s="230" t="s">
        <v>85</v>
      </c>
      <c r="AL16" s="205" t="s">
        <v>86</v>
      </c>
    </row>
    <row r="17" spans="1:38">
      <c r="A17" s="103" t="s">
        <v>109</v>
      </c>
      <c r="B17" s="104" t="s">
        <v>110</v>
      </c>
      <c r="C17" s="105">
        <v>1</v>
      </c>
      <c r="D17" s="106" t="s">
        <v>82</v>
      </c>
      <c r="E17" s="107" t="s">
        <v>109</v>
      </c>
      <c r="F17" s="108"/>
      <c r="G17" s="109"/>
      <c r="H17" s="100">
        <v>25</v>
      </c>
      <c r="I17" s="144"/>
      <c r="J17" s="101"/>
      <c r="K17" s="101"/>
      <c r="L17" s="17" t="s">
        <v>77</v>
      </c>
      <c r="M17" s="17" t="s">
        <v>77</v>
      </c>
      <c r="N17" s="68" t="s">
        <v>83</v>
      </c>
      <c r="O17" s="55" t="s">
        <v>84</v>
      </c>
      <c r="P17" s="230" t="s">
        <v>85</v>
      </c>
      <c r="Q17" s="205" t="s">
        <v>86</v>
      </c>
      <c r="R17" s="1" t="str">
        <f t="shared" si="2"/>
        <v/>
      </c>
      <c r="S17" s="1" t="str">
        <f t="shared" si="2"/>
        <v/>
      </c>
      <c r="T17" s="1" t="str">
        <f t="shared" si="2"/>
        <v/>
      </c>
      <c r="U17" s="1" t="str">
        <f t="shared" si="2"/>
        <v/>
      </c>
      <c r="V17" s="103" t="s">
        <v>109</v>
      </c>
      <c r="W17" s="104" t="s">
        <v>110</v>
      </c>
      <c r="X17" s="105">
        <v>1</v>
      </c>
      <c r="Y17" s="106" t="s">
        <v>82</v>
      </c>
      <c r="Z17" s="107" t="s">
        <v>109</v>
      </c>
      <c r="AA17" s="108"/>
      <c r="AB17" s="109"/>
      <c r="AC17" s="100">
        <v>25</v>
      </c>
      <c r="AD17" s="144"/>
      <c r="AE17" s="101"/>
      <c r="AF17" s="101"/>
      <c r="AG17" s="17" t="s">
        <v>77</v>
      </c>
      <c r="AH17" s="17" t="s">
        <v>77</v>
      </c>
      <c r="AI17" s="68" t="s">
        <v>83</v>
      </c>
      <c r="AJ17" s="55" t="s">
        <v>84</v>
      </c>
      <c r="AK17" s="230" t="s">
        <v>85</v>
      </c>
      <c r="AL17" s="205" t="s">
        <v>86</v>
      </c>
    </row>
    <row r="18" spans="1:38">
      <c r="A18" s="103" t="s">
        <v>111</v>
      </c>
      <c r="B18" s="104" t="s">
        <v>112</v>
      </c>
      <c r="C18" s="105">
        <v>1</v>
      </c>
      <c r="D18" s="106" t="s">
        <v>82</v>
      </c>
      <c r="E18" s="107" t="s">
        <v>111</v>
      </c>
      <c r="F18" s="108"/>
      <c r="G18" s="109"/>
      <c r="H18" s="100">
        <v>35</v>
      </c>
      <c r="I18" s="144"/>
      <c r="J18" s="101"/>
      <c r="K18" s="101"/>
      <c r="L18" s="17" t="s">
        <v>77</v>
      </c>
      <c r="M18" s="17" t="s">
        <v>77</v>
      </c>
      <c r="N18" s="68" t="s">
        <v>83</v>
      </c>
      <c r="O18" s="55" t="s">
        <v>84</v>
      </c>
      <c r="P18" s="230" t="s">
        <v>85</v>
      </c>
      <c r="Q18" s="205" t="s">
        <v>86</v>
      </c>
      <c r="R18" s="1" t="str">
        <f t="shared" si="2"/>
        <v/>
      </c>
      <c r="S18" s="1" t="str">
        <f t="shared" si="2"/>
        <v/>
      </c>
      <c r="T18" s="1" t="str">
        <f t="shared" si="2"/>
        <v/>
      </c>
      <c r="U18" s="1" t="str">
        <f t="shared" si="2"/>
        <v/>
      </c>
      <c r="V18" s="103" t="s">
        <v>111</v>
      </c>
      <c r="W18" s="104" t="s">
        <v>112</v>
      </c>
      <c r="X18" s="105">
        <v>1</v>
      </c>
      <c r="Y18" s="106" t="s">
        <v>82</v>
      </c>
      <c r="Z18" s="107" t="s">
        <v>111</v>
      </c>
      <c r="AA18" s="108"/>
      <c r="AB18" s="109"/>
      <c r="AC18" s="100">
        <v>35</v>
      </c>
      <c r="AD18" s="144"/>
      <c r="AE18" s="101"/>
      <c r="AF18" s="101"/>
      <c r="AG18" s="17" t="s">
        <v>77</v>
      </c>
      <c r="AH18" s="17" t="s">
        <v>77</v>
      </c>
      <c r="AI18" s="68" t="s">
        <v>83</v>
      </c>
      <c r="AJ18" s="55" t="s">
        <v>84</v>
      </c>
      <c r="AK18" s="230" t="s">
        <v>85</v>
      </c>
      <c r="AL18" s="205" t="s">
        <v>86</v>
      </c>
    </row>
    <row r="19" spans="1:38">
      <c r="A19" s="103" t="s">
        <v>113</v>
      </c>
      <c r="B19" s="104" t="s">
        <v>114</v>
      </c>
      <c r="C19" s="105">
        <v>1</v>
      </c>
      <c r="D19" s="106" t="s">
        <v>82</v>
      </c>
      <c r="E19" s="105" t="s">
        <v>113</v>
      </c>
      <c r="F19" s="108"/>
      <c r="G19" s="109"/>
      <c r="H19" s="100">
        <v>20</v>
      </c>
      <c r="I19" s="144"/>
      <c r="J19" s="101"/>
      <c r="K19" s="101"/>
      <c r="L19" s="17" t="s">
        <v>77</v>
      </c>
      <c r="M19" s="17" t="s">
        <v>77</v>
      </c>
      <c r="N19" s="68" t="s">
        <v>83</v>
      </c>
      <c r="O19" s="55" t="s">
        <v>84</v>
      </c>
      <c r="P19" s="230" t="s">
        <v>85</v>
      </c>
      <c r="Q19" s="205" t="s">
        <v>86</v>
      </c>
      <c r="R19" s="1" t="str">
        <f t="shared" si="2"/>
        <v/>
      </c>
      <c r="S19" s="1" t="str">
        <f t="shared" si="2"/>
        <v/>
      </c>
      <c r="T19" s="1" t="str">
        <f t="shared" si="2"/>
        <v/>
      </c>
      <c r="U19" s="1" t="str">
        <f t="shared" si="2"/>
        <v/>
      </c>
      <c r="V19" s="103" t="s">
        <v>113</v>
      </c>
      <c r="W19" s="104" t="s">
        <v>114</v>
      </c>
      <c r="X19" s="105">
        <v>1</v>
      </c>
      <c r="Y19" s="106" t="s">
        <v>82</v>
      </c>
      <c r="Z19" s="105" t="s">
        <v>113</v>
      </c>
      <c r="AA19" s="108"/>
      <c r="AB19" s="109"/>
      <c r="AC19" s="100">
        <v>20</v>
      </c>
      <c r="AD19" s="144"/>
      <c r="AE19" s="101"/>
      <c r="AF19" s="101"/>
      <c r="AG19" s="17" t="s">
        <v>77</v>
      </c>
      <c r="AH19" s="17" t="s">
        <v>77</v>
      </c>
      <c r="AI19" s="68" t="s">
        <v>83</v>
      </c>
      <c r="AJ19" s="55" t="s">
        <v>84</v>
      </c>
      <c r="AK19" s="230" t="s">
        <v>85</v>
      </c>
      <c r="AL19" s="205" t="s">
        <v>86</v>
      </c>
    </row>
    <row r="20" spans="1:38">
      <c r="A20" s="103" t="s">
        <v>115</v>
      </c>
      <c r="B20" s="104" t="s">
        <v>116</v>
      </c>
      <c r="C20" s="105">
        <v>1</v>
      </c>
      <c r="D20" s="106" t="s">
        <v>82</v>
      </c>
      <c r="E20" s="105" t="s">
        <v>115</v>
      </c>
      <c r="F20" s="108"/>
      <c r="G20" s="109"/>
      <c r="H20" s="100">
        <v>44</v>
      </c>
      <c r="I20" s="144"/>
      <c r="J20" s="101"/>
      <c r="K20" s="101"/>
      <c r="L20" s="17" t="s">
        <v>77</v>
      </c>
      <c r="M20" s="17" t="s">
        <v>77</v>
      </c>
      <c r="N20" s="68" t="s">
        <v>83</v>
      </c>
      <c r="O20" s="55" t="s">
        <v>84</v>
      </c>
      <c r="P20" s="230" t="s">
        <v>85</v>
      </c>
      <c r="Q20" s="205" t="s">
        <v>86</v>
      </c>
      <c r="R20" s="1" t="str">
        <f t="shared" si="2"/>
        <v/>
      </c>
      <c r="S20" s="1" t="str">
        <f t="shared" si="2"/>
        <v/>
      </c>
      <c r="T20" s="1" t="str">
        <f t="shared" si="2"/>
        <v/>
      </c>
      <c r="U20" s="1" t="str">
        <f t="shared" si="2"/>
        <v/>
      </c>
      <c r="V20" s="103" t="s">
        <v>115</v>
      </c>
      <c r="W20" s="104" t="s">
        <v>116</v>
      </c>
      <c r="X20" s="105">
        <v>1</v>
      </c>
      <c r="Y20" s="106" t="s">
        <v>82</v>
      </c>
      <c r="Z20" s="105" t="s">
        <v>115</v>
      </c>
      <c r="AA20" s="108"/>
      <c r="AB20" s="109"/>
      <c r="AC20" s="100">
        <v>44</v>
      </c>
      <c r="AD20" s="144"/>
      <c r="AE20" s="101"/>
      <c r="AF20" s="101"/>
      <c r="AG20" s="17" t="s">
        <v>77</v>
      </c>
      <c r="AH20" s="17" t="s">
        <v>77</v>
      </c>
      <c r="AI20" s="68" t="s">
        <v>83</v>
      </c>
      <c r="AJ20" s="55" t="s">
        <v>84</v>
      </c>
      <c r="AK20" s="230" t="s">
        <v>85</v>
      </c>
      <c r="AL20" s="205" t="s">
        <v>86</v>
      </c>
    </row>
    <row r="21" spans="1:38">
      <c r="A21" s="103" t="s">
        <v>117</v>
      </c>
      <c r="B21" s="104" t="s">
        <v>118</v>
      </c>
      <c r="C21" s="105">
        <v>1</v>
      </c>
      <c r="D21" s="106" t="s">
        <v>82</v>
      </c>
      <c r="E21" s="105" t="s">
        <v>117</v>
      </c>
      <c r="F21" s="108"/>
      <c r="G21" s="109"/>
      <c r="H21" s="100">
        <v>52</v>
      </c>
      <c r="I21" s="144"/>
      <c r="J21" s="101"/>
      <c r="K21" s="101"/>
      <c r="L21" s="17" t="s">
        <v>77</v>
      </c>
      <c r="M21" s="17" t="s">
        <v>77</v>
      </c>
      <c r="N21" s="68" t="s">
        <v>83</v>
      </c>
      <c r="O21" s="55" t="s">
        <v>84</v>
      </c>
      <c r="P21" s="230" t="s">
        <v>85</v>
      </c>
      <c r="Q21" s="205" t="s">
        <v>86</v>
      </c>
      <c r="R21" s="1" t="str">
        <f t="shared" si="2"/>
        <v/>
      </c>
      <c r="S21" s="1" t="str">
        <f t="shared" si="2"/>
        <v/>
      </c>
      <c r="T21" s="1" t="str">
        <f t="shared" si="2"/>
        <v/>
      </c>
      <c r="U21" s="1" t="str">
        <f t="shared" si="2"/>
        <v/>
      </c>
      <c r="V21" s="103" t="s">
        <v>117</v>
      </c>
      <c r="W21" s="104" t="s">
        <v>118</v>
      </c>
      <c r="X21" s="105">
        <v>1</v>
      </c>
      <c r="Y21" s="106" t="s">
        <v>82</v>
      </c>
      <c r="Z21" s="105" t="s">
        <v>117</v>
      </c>
      <c r="AA21" s="108"/>
      <c r="AB21" s="109"/>
      <c r="AC21" s="100">
        <v>52</v>
      </c>
      <c r="AD21" s="144"/>
      <c r="AE21" s="101"/>
      <c r="AF21" s="101"/>
      <c r="AG21" s="17" t="s">
        <v>77</v>
      </c>
      <c r="AH21" s="17" t="s">
        <v>77</v>
      </c>
      <c r="AI21" s="68" t="s">
        <v>83</v>
      </c>
      <c r="AJ21" s="55" t="s">
        <v>84</v>
      </c>
      <c r="AK21" s="230" t="s">
        <v>85</v>
      </c>
      <c r="AL21" s="205" t="s">
        <v>86</v>
      </c>
    </row>
    <row r="22" spans="1:38">
      <c r="A22" s="103" t="s">
        <v>119</v>
      </c>
      <c r="B22" s="104" t="s">
        <v>120</v>
      </c>
      <c r="C22" s="105">
        <v>1</v>
      </c>
      <c r="D22" s="106" t="s">
        <v>82</v>
      </c>
      <c r="E22" s="105" t="s">
        <v>119</v>
      </c>
      <c r="F22" s="108"/>
      <c r="G22" s="109"/>
      <c r="H22" s="100">
        <v>59</v>
      </c>
      <c r="I22" s="144"/>
      <c r="J22" s="101"/>
      <c r="K22" s="101"/>
      <c r="L22" s="17" t="s">
        <v>77</v>
      </c>
      <c r="M22" s="17" t="s">
        <v>77</v>
      </c>
      <c r="N22" s="68" t="s">
        <v>83</v>
      </c>
      <c r="O22" s="55" t="s">
        <v>84</v>
      </c>
      <c r="P22" s="230" t="s">
        <v>85</v>
      </c>
      <c r="Q22" s="205" t="s">
        <v>86</v>
      </c>
      <c r="R22" s="1" t="str">
        <f t="shared" si="2"/>
        <v/>
      </c>
      <c r="S22" s="1" t="str">
        <f t="shared" si="2"/>
        <v/>
      </c>
      <c r="T22" s="1" t="str">
        <f t="shared" si="2"/>
        <v/>
      </c>
      <c r="U22" s="1" t="str">
        <f t="shared" si="2"/>
        <v/>
      </c>
      <c r="V22" s="103" t="s">
        <v>119</v>
      </c>
      <c r="W22" s="104" t="s">
        <v>120</v>
      </c>
      <c r="X22" s="105">
        <v>1</v>
      </c>
      <c r="Y22" s="106" t="s">
        <v>82</v>
      </c>
      <c r="Z22" s="105" t="s">
        <v>119</v>
      </c>
      <c r="AA22" s="108"/>
      <c r="AB22" s="109"/>
      <c r="AC22" s="100">
        <v>59</v>
      </c>
      <c r="AD22" s="144"/>
      <c r="AE22" s="101"/>
      <c r="AF22" s="101"/>
      <c r="AG22" s="17" t="s">
        <v>77</v>
      </c>
      <c r="AH22" s="17" t="s">
        <v>77</v>
      </c>
      <c r="AI22" s="68" t="s">
        <v>83</v>
      </c>
      <c r="AJ22" s="55" t="s">
        <v>84</v>
      </c>
      <c r="AK22" s="230" t="s">
        <v>85</v>
      </c>
      <c r="AL22" s="205" t="s">
        <v>86</v>
      </c>
    </row>
    <row r="23" spans="1:38">
      <c r="A23" s="103" t="s">
        <v>121</v>
      </c>
      <c r="B23" s="104" t="s">
        <v>122</v>
      </c>
      <c r="C23" s="105">
        <v>1</v>
      </c>
      <c r="D23" s="106" t="s">
        <v>82</v>
      </c>
      <c r="E23" s="105" t="s">
        <v>121</v>
      </c>
      <c r="F23" s="108"/>
      <c r="G23" s="109"/>
      <c r="H23" s="100">
        <v>15</v>
      </c>
      <c r="I23" s="144"/>
      <c r="J23" s="101"/>
      <c r="K23" s="101"/>
      <c r="L23" s="17" t="s">
        <v>77</v>
      </c>
      <c r="M23" s="17" t="s">
        <v>77</v>
      </c>
      <c r="N23" s="68" t="s">
        <v>83</v>
      </c>
      <c r="O23" s="55" t="s">
        <v>84</v>
      </c>
      <c r="P23" s="230" t="s">
        <v>85</v>
      </c>
      <c r="Q23" s="205" t="s">
        <v>86</v>
      </c>
      <c r="R23" s="1" t="str">
        <f t="shared" si="2"/>
        <v/>
      </c>
      <c r="S23" s="1" t="str">
        <f t="shared" si="2"/>
        <v/>
      </c>
      <c r="T23" s="1" t="str">
        <f t="shared" si="2"/>
        <v/>
      </c>
      <c r="U23" s="1" t="str">
        <f t="shared" si="2"/>
        <v/>
      </c>
      <c r="V23" s="103" t="s">
        <v>121</v>
      </c>
      <c r="W23" s="104" t="s">
        <v>122</v>
      </c>
      <c r="X23" s="105">
        <v>1</v>
      </c>
      <c r="Y23" s="106" t="s">
        <v>82</v>
      </c>
      <c r="Z23" s="105" t="s">
        <v>121</v>
      </c>
      <c r="AA23" s="108"/>
      <c r="AB23" s="109"/>
      <c r="AC23" s="100">
        <v>15</v>
      </c>
      <c r="AD23" s="144"/>
      <c r="AE23" s="101"/>
      <c r="AF23" s="101"/>
      <c r="AG23" s="17" t="s">
        <v>77</v>
      </c>
      <c r="AH23" s="17" t="s">
        <v>77</v>
      </c>
      <c r="AI23" s="68" t="s">
        <v>83</v>
      </c>
      <c r="AJ23" s="55" t="s">
        <v>84</v>
      </c>
      <c r="AK23" s="230" t="s">
        <v>85</v>
      </c>
      <c r="AL23" s="205" t="s">
        <v>86</v>
      </c>
    </row>
    <row r="24" spans="1:38">
      <c r="A24" s="103" t="s">
        <v>123</v>
      </c>
      <c r="B24" s="104" t="s">
        <v>124</v>
      </c>
      <c r="C24" s="105">
        <v>1</v>
      </c>
      <c r="D24" s="106" t="s">
        <v>82</v>
      </c>
      <c r="E24" s="105" t="s">
        <v>123</v>
      </c>
      <c r="F24" s="108"/>
      <c r="G24" s="109"/>
      <c r="H24" s="100">
        <v>37</v>
      </c>
      <c r="I24" s="144"/>
      <c r="J24" s="101"/>
      <c r="K24" s="101"/>
      <c r="L24" s="17" t="s">
        <v>77</v>
      </c>
      <c r="M24" s="17" t="s">
        <v>77</v>
      </c>
      <c r="N24" s="68" t="s">
        <v>83</v>
      </c>
      <c r="O24" s="55" t="s">
        <v>84</v>
      </c>
      <c r="P24" s="230" t="s">
        <v>85</v>
      </c>
      <c r="Q24" s="205" t="s">
        <v>86</v>
      </c>
      <c r="R24" s="1" t="str">
        <f t="shared" si="2"/>
        <v/>
      </c>
      <c r="S24" s="1" t="str">
        <f t="shared" si="2"/>
        <v/>
      </c>
      <c r="T24" s="1" t="str">
        <f t="shared" si="2"/>
        <v/>
      </c>
      <c r="U24" s="1" t="str">
        <f t="shared" si="2"/>
        <v/>
      </c>
      <c r="V24" s="103" t="s">
        <v>123</v>
      </c>
      <c r="W24" s="104" t="s">
        <v>124</v>
      </c>
      <c r="X24" s="105">
        <v>1</v>
      </c>
      <c r="Y24" s="106" t="s">
        <v>82</v>
      </c>
      <c r="Z24" s="105" t="s">
        <v>123</v>
      </c>
      <c r="AA24" s="108"/>
      <c r="AB24" s="109"/>
      <c r="AC24" s="100">
        <v>37</v>
      </c>
      <c r="AD24" s="144"/>
      <c r="AE24" s="101"/>
      <c r="AF24" s="101"/>
      <c r="AG24" s="17" t="s">
        <v>77</v>
      </c>
      <c r="AH24" s="17" t="s">
        <v>77</v>
      </c>
      <c r="AI24" s="68" t="s">
        <v>83</v>
      </c>
      <c r="AJ24" s="55" t="s">
        <v>84</v>
      </c>
      <c r="AK24" s="230" t="s">
        <v>85</v>
      </c>
      <c r="AL24" s="205" t="s">
        <v>86</v>
      </c>
    </row>
    <row r="25" spans="1:38">
      <c r="A25" s="103" t="s">
        <v>125</v>
      </c>
      <c r="B25" s="104" t="s">
        <v>126</v>
      </c>
      <c r="C25" s="105">
        <v>1</v>
      </c>
      <c r="D25" s="106" t="s">
        <v>82</v>
      </c>
      <c r="E25" s="105" t="s">
        <v>125</v>
      </c>
      <c r="F25" s="108"/>
      <c r="G25" s="109"/>
      <c r="H25" s="100">
        <v>49</v>
      </c>
      <c r="I25" s="144"/>
      <c r="J25" s="101"/>
      <c r="K25" s="101"/>
      <c r="L25" s="17" t="s">
        <v>77</v>
      </c>
      <c r="M25" s="17" t="s">
        <v>77</v>
      </c>
      <c r="N25" s="68" t="s">
        <v>83</v>
      </c>
      <c r="O25" s="55" t="s">
        <v>84</v>
      </c>
      <c r="P25" s="230" t="s">
        <v>85</v>
      </c>
      <c r="Q25" s="205" t="s">
        <v>86</v>
      </c>
      <c r="R25" s="1" t="str">
        <f t="shared" si="2"/>
        <v/>
      </c>
      <c r="S25" s="1" t="str">
        <f t="shared" si="2"/>
        <v/>
      </c>
      <c r="T25" s="1" t="str">
        <f t="shared" si="2"/>
        <v/>
      </c>
      <c r="U25" s="1" t="str">
        <f t="shared" si="2"/>
        <v/>
      </c>
      <c r="V25" s="103" t="s">
        <v>125</v>
      </c>
      <c r="W25" s="104" t="s">
        <v>126</v>
      </c>
      <c r="X25" s="105">
        <v>1</v>
      </c>
      <c r="Y25" s="106" t="s">
        <v>82</v>
      </c>
      <c r="Z25" s="105" t="s">
        <v>125</v>
      </c>
      <c r="AA25" s="108"/>
      <c r="AB25" s="109"/>
      <c r="AC25" s="100">
        <v>49</v>
      </c>
      <c r="AD25" s="144"/>
      <c r="AE25" s="101"/>
      <c r="AF25" s="101"/>
      <c r="AG25" s="17" t="s">
        <v>77</v>
      </c>
      <c r="AH25" s="17" t="s">
        <v>77</v>
      </c>
      <c r="AI25" s="68" t="s">
        <v>83</v>
      </c>
      <c r="AJ25" s="55" t="s">
        <v>84</v>
      </c>
      <c r="AK25" s="230" t="s">
        <v>85</v>
      </c>
      <c r="AL25" s="205" t="s">
        <v>86</v>
      </c>
    </row>
    <row r="26" spans="1:38">
      <c r="A26" s="103" t="s">
        <v>127</v>
      </c>
      <c r="B26" s="104" t="s">
        <v>128</v>
      </c>
      <c r="C26" s="105">
        <v>1</v>
      </c>
      <c r="D26" s="106" t="s">
        <v>82</v>
      </c>
      <c r="E26" s="105" t="s">
        <v>127</v>
      </c>
      <c r="F26" s="108"/>
      <c r="G26" s="109"/>
      <c r="H26" s="100">
        <v>65</v>
      </c>
      <c r="I26" s="144"/>
      <c r="J26" s="101"/>
      <c r="K26" s="101"/>
      <c r="L26" s="17" t="s">
        <v>77</v>
      </c>
      <c r="M26" s="17" t="s">
        <v>77</v>
      </c>
      <c r="N26" s="68" t="s">
        <v>83</v>
      </c>
      <c r="O26" s="55" t="s">
        <v>84</v>
      </c>
      <c r="P26" s="230" t="s">
        <v>85</v>
      </c>
      <c r="Q26" s="205" t="s">
        <v>86</v>
      </c>
      <c r="R26" s="1" t="str">
        <f t="shared" si="2"/>
        <v/>
      </c>
      <c r="S26" s="1" t="str">
        <f t="shared" si="2"/>
        <v/>
      </c>
      <c r="T26" s="1" t="str">
        <f t="shared" si="2"/>
        <v/>
      </c>
      <c r="U26" s="1" t="str">
        <f t="shared" si="2"/>
        <v/>
      </c>
      <c r="V26" s="103" t="s">
        <v>127</v>
      </c>
      <c r="W26" s="104" t="s">
        <v>128</v>
      </c>
      <c r="X26" s="105">
        <v>1</v>
      </c>
      <c r="Y26" s="106" t="s">
        <v>82</v>
      </c>
      <c r="Z26" s="105" t="s">
        <v>127</v>
      </c>
      <c r="AA26" s="108"/>
      <c r="AB26" s="109"/>
      <c r="AC26" s="100">
        <v>65</v>
      </c>
      <c r="AD26" s="144"/>
      <c r="AE26" s="101"/>
      <c r="AF26" s="101"/>
      <c r="AG26" s="17" t="s">
        <v>77</v>
      </c>
      <c r="AH26" s="17" t="s">
        <v>77</v>
      </c>
      <c r="AI26" s="68" t="s">
        <v>83</v>
      </c>
      <c r="AJ26" s="55" t="s">
        <v>84</v>
      </c>
      <c r="AK26" s="230" t="s">
        <v>85</v>
      </c>
      <c r="AL26" s="205" t="s">
        <v>86</v>
      </c>
    </row>
    <row r="27" spans="1:38" s="168" customFormat="1" ht="35.1" customHeight="1">
      <c r="A27" s="238" t="s">
        <v>129</v>
      </c>
      <c r="B27" s="239" t="s">
        <v>130</v>
      </c>
      <c r="C27" s="240">
        <v>1</v>
      </c>
      <c r="D27" s="241" t="s">
        <v>82</v>
      </c>
      <c r="E27" s="240" t="s">
        <v>129</v>
      </c>
      <c r="F27" s="242"/>
      <c r="G27" s="243"/>
      <c r="H27" s="242">
        <v>365</v>
      </c>
      <c r="I27" s="244"/>
      <c r="J27" s="245"/>
      <c r="K27" s="245"/>
      <c r="L27" s="71" t="s">
        <v>77</v>
      </c>
      <c r="M27" s="71" t="s">
        <v>77</v>
      </c>
      <c r="N27" s="68" t="s">
        <v>83</v>
      </c>
      <c r="O27" s="55" t="s">
        <v>84</v>
      </c>
      <c r="P27" s="264" t="s">
        <v>85</v>
      </c>
      <c r="Q27" s="246" t="s">
        <v>86</v>
      </c>
      <c r="R27" s="1" t="str">
        <f t="shared" si="2"/>
        <v/>
      </c>
      <c r="S27" s="1" t="str">
        <f t="shared" si="2"/>
        <v/>
      </c>
      <c r="T27" s="1" t="str">
        <f t="shared" si="2"/>
        <v/>
      </c>
      <c r="U27" s="1" t="str">
        <f t="shared" si="2"/>
        <v/>
      </c>
      <c r="V27" s="238" t="s">
        <v>129</v>
      </c>
      <c r="W27" s="239" t="s">
        <v>130</v>
      </c>
      <c r="X27" s="240">
        <v>1</v>
      </c>
      <c r="Y27" s="241" t="s">
        <v>82</v>
      </c>
      <c r="Z27" s="240" t="s">
        <v>129</v>
      </c>
      <c r="AA27" s="242"/>
      <c r="AB27" s="243"/>
      <c r="AC27" s="242">
        <v>365</v>
      </c>
      <c r="AD27" s="244"/>
      <c r="AE27" s="245"/>
      <c r="AF27" s="245"/>
      <c r="AG27" s="71" t="s">
        <v>77</v>
      </c>
      <c r="AH27" s="71" t="s">
        <v>77</v>
      </c>
      <c r="AI27" s="68" t="s">
        <v>83</v>
      </c>
      <c r="AJ27" s="55" t="s">
        <v>84</v>
      </c>
      <c r="AK27" s="264" t="s">
        <v>85</v>
      </c>
      <c r="AL27" s="246" t="s">
        <v>86</v>
      </c>
    </row>
    <row r="28" spans="1:38">
      <c r="A28" s="103" t="s">
        <v>131</v>
      </c>
      <c r="B28" s="104" t="s">
        <v>132</v>
      </c>
      <c r="C28" s="105">
        <v>1</v>
      </c>
      <c r="D28" s="106" t="s">
        <v>82</v>
      </c>
      <c r="E28" s="105" t="s">
        <v>131</v>
      </c>
      <c r="F28" s="108"/>
      <c r="G28" s="109"/>
      <c r="H28" s="100">
        <v>485</v>
      </c>
      <c r="I28" s="144"/>
      <c r="J28" s="101"/>
      <c r="K28" s="101"/>
      <c r="L28" s="17" t="s">
        <v>77</v>
      </c>
      <c r="M28" s="17" t="s">
        <v>77</v>
      </c>
      <c r="N28" s="68" t="s">
        <v>83</v>
      </c>
      <c r="O28" s="55" t="s">
        <v>84</v>
      </c>
      <c r="P28" s="230" t="s">
        <v>85</v>
      </c>
      <c r="Q28" s="205" t="s">
        <v>86</v>
      </c>
      <c r="R28" s="1" t="str">
        <f t="shared" si="2"/>
        <v/>
      </c>
      <c r="S28" s="1" t="str">
        <f t="shared" si="2"/>
        <v/>
      </c>
      <c r="T28" s="1" t="str">
        <f t="shared" si="2"/>
        <v/>
      </c>
      <c r="U28" s="1" t="str">
        <f t="shared" si="2"/>
        <v/>
      </c>
      <c r="V28" s="103" t="s">
        <v>131</v>
      </c>
      <c r="W28" s="104" t="s">
        <v>132</v>
      </c>
      <c r="X28" s="105">
        <v>1</v>
      </c>
      <c r="Y28" s="106" t="s">
        <v>82</v>
      </c>
      <c r="Z28" s="105" t="s">
        <v>131</v>
      </c>
      <c r="AA28" s="108"/>
      <c r="AB28" s="109"/>
      <c r="AC28" s="100">
        <v>485</v>
      </c>
      <c r="AD28" s="144"/>
      <c r="AE28" s="101"/>
      <c r="AF28" s="101"/>
      <c r="AG28" s="17" t="s">
        <v>77</v>
      </c>
      <c r="AH28" s="17" t="s">
        <v>77</v>
      </c>
      <c r="AI28" s="68" t="s">
        <v>83</v>
      </c>
      <c r="AJ28" s="55" t="s">
        <v>84</v>
      </c>
      <c r="AK28" s="230" t="s">
        <v>85</v>
      </c>
      <c r="AL28" s="205" t="s">
        <v>86</v>
      </c>
    </row>
    <row r="29" spans="1:38" s="121" customFormat="1">
      <c r="A29" s="566" t="s">
        <v>133</v>
      </c>
      <c r="B29" s="567" t="s">
        <v>134</v>
      </c>
      <c r="C29" s="568">
        <v>1</v>
      </c>
      <c r="D29" s="565" t="s">
        <v>82</v>
      </c>
      <c r="E29" s="568" t="s">
        <v>133</v>
      </c>
      <c r="F29" s="569"/>
      <c r="G29" s="570"/>
      <c r="H29" s="412">
        <v>137.59</v>
      </c>
      <c r="I29" s="412"/>
      <c r="J29" s="409"/>
      <c r="K29" s="409"/>
      <c r="L29" s="120"/>
      <c r="M29" s="120"/>
      <c r="N29" s="68" t="s">
        <v>83</v>
      </c>
      <c r="O29" s="55" t="s">
        <v>84</v>
      </c>
      <c r="P29" s="268" t="s">
        <v>85</v>
      </c>
      <c r="Q29" s="56" t="s">
        <v>86</v>
      </c>
      <c r="R29" s="121" t="str">
        <f t="shared" si="2"/>
        <v/>
      </c>
      <c r="S29" s="121" t="str">
        <f t="shared" si="2"/>
        <v/>
      </c>
      <c r="T29" s="121" t="str">
        <f t="shared" si="2"/>
        <v/>
      </c>
      <c r="U29" s="121" t="str">
        <f t="shared" si="2"/>
        <v/>
      </c>
      <c r="V29" s="113" t="s">
        <v>133</v>
      </c>
      <c r="W29" s="114" t="s">
        <v>135</v>
      </c>
      <c r="X29" s="115">
        <v>1</v>
      </c>
      <c r="Y29" s="565" t="s">
        <v>82</v>
      </c>
      <c r="Z29" s="115" t="s">
        <v>133</v>
      </c>
      <c r="AA29" s="116"/>
      <c r="AB29" s="138"/>
      <c r="AC29" s="119">
        <v>95</v>
      </c>
      <c r="AD29" s="412"/>
      <c r="AE29" s="409"/>
      <c r="AF29" s="409"/>
      <c r="AG29" s="120"/>
      <c r="AH29" s="120"/>
      <c r="AI29" s="562" t="s">
        <v>83</v>
      </c>
      <c r="AJ29" s="57" t="s">
        <v>84</v>
      </c>
      <c r="AK29" s="268" t="s">
        <v>85</v>
      </c>
      <c r="AL29" s="56" t="s">
        <v>86</v>
      </c>
    </row>
    <row r="30" spans="1:38">
      <c r="A30" s="555"/>
      <c r="B30" s="461"/>
      <c r="C30" s="105"/>
      <c r="D30" s="106"/>
      <c r="E30" s="556"/>
      <c r="F30" s="108"/>
      <c r="G30" s="109"/>
      <c r="H30" s="100"/>
      <c r="I30" s="144"/>
      <c r="J30" s="101"/>
      <c r="K30" s="101"/>
      <c r="L30" s="17"/>
      <c r="M30" s="17"/>
      <c r="N30" s="68"/>
      <c r="O30" s="55"/>
      <c r="P30" s="230"/>
      <c r="Q30" s="205"/>
      <c r="R30" s="1" t="str">
        <f t="shared" si="2"/>
        <v/>
      </c>
      <c r="S30" s="1" t="str">
        <f t="shared" si="2"/>
        <v/>
      </c>
      <c r="T30" s="1" t="str">
        <f t="shared" si="2"/>
        <v/>
      </c>
      <c r="U30" s="1" t="str">
        <f t="shared" si="2"/>
        <v/>
      </c>
      <c r="V30" s="25" t="s">
        <v>136</v>
      </c>
      <c r="W30" s="26" t="s">
        <v>137</v>
      </c>
      <c r="X30" s="29">
        <v>1</v>
      </c>
      <c r="Y30" s="106" t="s">
        <v>82</v>
      </c>
      <c r="Z30" s="29" t="s">
        <v>136</v>
      </c>
      <c r="AA30" s="35"/>
      <c r="AB30" s="22"/>
      <c r="AC30" s="31">
        <v>163</v>
      </c>
      <c r="AD30" s="144"/>
      <c r="AE30" s="101"/>
      <c r="AF30" s="101"/>
      <c r="AG30" s="17"/>
      <c r="AH30" s="17"/>
      <c r="AI30" s="68" t="s">
        <v>83</v>
      </c>
      <c r="AJ30" s="55" t="s">
        <v>84</v>
      </c>
      <c r="AK30" s="230" t="s">
        <v>85</v>
      </c>
      <c r="AL30" s="205" t="s">
        <v>86</v>
      </c>
    </row>
    <row r="31" spans="1:38">
      <c r="A31" s="103" t="s">
        <v>138</v>
      </c>
      <c r="B31" s="104" t="s">
        <v>139</v>
      </c>
      <c r="C31" s="105">
        <v>1</v>
      </c>
      <c r="D31" s="106" t="s">
        <v>82</v>
      </c>
      <c r="E31" s="105" t="s">
        <v>138</v>
      </c>
      <c r="F31" s="108"/>
      <c r="G31" s="109"/>
      <c r="H31" s="100">
        <v>221.92</v>
      </c>
      <c r="I31" s="144"/>
      <c r="J31" s="101"/>
      <c r="K31" s="101"/>
      <c r="L31" s="17"/>
      <c r="M31" s="17"/>
      <c r="N31" s="68" t="s">
        <v>83</v>
      </c>
      <c r="O31" s="55" t="s">
        <v>84</v>
      </c>
      <c r="P31" s="230" t="s">
        <v>85</v>
      </c>
      <c r="Q31" s="205" t="s">
        <v>86</v>
      </c>
      <c r="R31" s="1" t="str">
        <f t="shared" si="2"/>
        <v/>
      </c>
      <c r="S31" s="1" t="str">
        <f t="shared" si="2"/>
        <v/>
      </c>
      <c r="T31" s="1" t="str">
        <f t="shared" si="2"/>
        <v/>
      </c>
      <c r="U31" s="1" t="str">
        <f t="shared" si="2"/>
        <v/>
      </c>
      <c r="V31" s="25" t="s">
        <v>138</v>
      </c>
      <c r="W31" s="26" t="s">
        <v>139</v>
      </c>
      <c r="X31" s="29">
        <v>1</v>
      </c>
      <c r="Y31" s="106" t="s">
        <v>82</v>
      </c>
      <c r="Z31" s="29" t="s">
        <v>138</v>
      </c>
      <c r="AA31" s="35"/>
      <c r="AB31" s="22"/>
      <c r="AC31" s="31">
        <v>82</v>
      </c>
      <c r="AD31" s="144"/>
      <c r="AE31" s="101"/>
      <c r="AF31" s="101"/>
      <c r="AG31" s="17"/>
      <c r="AH31" s="17"/>
      <c r="AI31" s="68" t="s">
        <v>83</v>
      </c>
      <c r="AJ31" s="55" t="s">
        <v>84</v>
      </c>
      <c r="AK31" s="230" t="s">
        <v>85</v>
      </c>
      <c r="AL31" s="205" t="s">
        <v>86</v>
      </c>
    </row>
    <row r="32" spans="1:38">
      <c r="A32" s="25"/>
      <c r="B32" s="26"/>
      <c r="C32" s="29"/>
      <c r="D32" s="106"/>
      <c r="E32" s="29"/>
      <c r="F32" s="35"/>
      <c r="G32" s="22"/>
      <c r="H32" s="31"/>
      <c r="I32" s="144"/>
      <c r="J32" s="101"/>
      <c r="K32" s="101"/>
      <c r="L32" s="17"/>
      <c r="M32" s="17"/>
      <c r="N32" s="68"/>
      <c r="O32" s="55"/>
      <c r="P32" s="230"/>
      <c r="Q32" s="205"/>
      <c r="R32" s="1" t="str">
        <f t="shared" si="2"/>
        <v/>
      </c>
      <c r="S32" s="1" t="str">
        <f t="shared" si="2"/>
        <v/>
      </c>
      <c r="T32" s="1" t="str">
        <f t="shared" si="2"/>
        <v/>
      </c>
      <c r="U32" s="1" t="str">
        <f t="shared" si="2"/>
        <v/>
      </c>
      <c r="V32" s="25" t="s">
        <v>140</v>
      </c>
      <c r="W32" s="26" t="s">
        <v>141</v>
      </c>
      <c r="X32" s="29">
        <v>1</v>
      </c>
      <c r="Y32" s="106" t="s">
        <v>82</v>
      </c>
      <c r="Z32" s="29" t="s">
        <v>140</v>
      </c>
      <c r="AA32" s="35"/>
      <c r="AB32" s="22"/>
      <c r="AC32" s="31">
        <v>155</v>
      </c>
      <c r="AD32" s="144"/>
      <c r="AE32" s="101"/>
      <c r="AF32" s="101"/>
      <c r="AG32" s="17"/>
      <c r="AH32" s="17"/>
      <c r="AI32" s="68" t="s">
        <v>83</v>
      </c>
      <c r="AJ32" s="55" t="s">
        <v>84</v>
      </c>
      <c r="AK32" s="230" t="s">
        <v>85</v>
      </c>
      <c r="AL32" s="205" t="s">
        <v>86</v>
      </c>
    </row>
    <row r="33" spans="1:46">
      <c r="A33" s="93" t="s">
        <v>142</v>
      </c>
      <c r="B33" s="94" t="s">
        <v>143</v>
      </c>
      <c r="C33" s="95">
        <v>1</v>
      </c>
      <c r="D33" s="110" t="s">
        <v>75</v>
      </c>
      <c r="E33" s="111" t="s">
        <v>142</v>
      </c>
      <c r="F33" s="112">
        <v>940.53</v>
      </c>
      <c r="G33" s="97">
        <f>rv_mba_mg</f>
        <v>0.17599999999999999</v>
      </c>
      <c r="H33" s="98">
        <f>F33-(F33*G33)</f>
        <v>774.99671999999998</v>
      </c>
      <c r="I33" s="144" t="s">
        <v>76</v>
      </c>
      <c r="J33" s="99">
        <f>mba13_5pl</f>
        <v>44.998640000000002</v>
      </c>
      <c r="K33" s="99">
        <f>H33+J33</f>
        <v>819.99536000000001</v>
      </c>
      <c r="L33" s="17" t="s">
        <v>77</v>
      </c>
      <c r="M33" s="17">
        <v>0.3</v>
      </c>
      <c r="N33" s="68" t="s">
        <v>75</v>
      </c>
      <c r="O33" s="55" t="s">
        <v>78</v>
      </c>
      <c r="P33" s="230" t="s">
        <v>79</v>
      </c>
      <c r="Q33" s="205" t="s">
        <v>80</v>
      </c>
      <c r="R33" s="1">
        <f t="shared" si="2"/>
        <v>162.34862411511881</v>
      </c>
      <c r="S33" s="1">
        <f t="shared" si="2"/>
        <v>83.06549403405991</v>
      </c>
      <c r="T33" s="1">
        <f t="shared" si="2"/>
        <v>59.582461174344715</v>
      </c>
      <c r="U33" s="1">
        <f t="shared" si="2"/>
        <v>51.042564985136778</v>
      </c>
      <c r="V33" s="93" t="s">
        <v>142</v>
      </c>
      <c r="W33" s="94" t="s">
        <v>143</v>
      </c>
      <c r="X33" s="95">
        <v>1</v>
      </c>
      <c r="Y33" s="110" t="s">
        <v>75</v>
      </c>
      <c r="Z33" s="111" t="s">
        <v>142</v>
      </c>
      <c r="AA33" s="112">
        <v>940.53</v>
      </c>
      <c r="AB33" s="97">
        <f>rv_mba_mg</f>
        <v>0.17599999999999999</v>
      </c>
      <c r="AC33" s="98">
        <f>AA33-(AA33*AB33)</f>
        <v>774.99671999999998</v>
      </c>
      <c r="AD33" s="144" t="s">
        <v>76</v>
      </c>
      <c r="AE33" s="99">
        <f>mba13_5pl</f>
        <v>44.998640000000002</v>
      </c>
      <c r="AF33" s="99">
        <f>AC33+AE33</f>
        <v>819.99536000000001</v>
      </c>
      <c r="AG33" s="17" t="s">
        <v>77</v>
      </c>
      <c r="AH33" s="17">
        <v>0.3</v>
      </c>
      <c r="AI33" s="68" t="s">
        <v>75</v>
      </c>
      <c r="AJ33" s="55" t="s">
        <v>78</v>
      </c>
      <c r="AK33" s="230" t="s">
        <v>79</v>
      </c>
      <c r="AL33" s="205" t="s">
        <v>80</v>
      </c>
    </row>
    <row r="34" spans="1:46">
      <c r="A34" s="25" t="s">
        <v>144</v>
      </c>
      <c r="B34" s="26" t="s">
        <v>145</v>
      </c>
      <c r="C34" s="29">
        <v>1</v>
      </c>
      <c r="D34" s="35" t="s">
        <v>75</v>
      </c>
      <c r="E34" s="33" t="s">
        <v>77</v>
      </c>
      <c r="F34" s="35">
        <v>191.67</v>
      </c>
      <c r="G34" s="102">
        <f t="shared" ref="G34:G37" si="5">rv_mba_mg_cto</f>
        <v>0.17599999999999999</v>
      </c>
      <c r="H34" s="31">
        <f>F34-(F34*G34)</f>
        <v>157.93608</v>
      </c>
      <c r="I34" s="144"/>
      <c r="J34" s="17"/>
      <c r="K34" s="17"/>
      <c r="L34" s="17" t="s">
        <v>77</v>
      </c>
      <c r="M34" s="17" t="s">
        <v>77</v>
      </c>
      <c r="N34" s="68" t="s">
        <v>75</v>
      </c>
      <c r="O34" s="55" t="s">
        <v>78</v>
      </c>
      <c r="P34" s="230" t="s">
        <v>79</v>
      </c>
      <c r="Q34" s="205" t="s">
        <v>80</v>
      </c>
      <c r="R34" s="1" t="str">
        <f t="shared" si="2"/>
        <v/>
      </c>
      <c r="S34" s="1" t="str">
        <f t="shared" si="2"/>
        <v/>
      </c>
      <c r="T34" s="1" t="str">
        <f t="shared" si="2"/>
        <v/>
      </c>
      <c r="U34" s="1" t="str">
        <f t="shared" si="2"/>
        <v/>
      </c>
      <c r="V34" s="25" t="s">
        <v>144</v>
      </c>
      <c r="W34" s="26" t="s">
        <v>145</v>
      </c>
      <c r="X34" s="29">
        <v>1</v>
      </c>
      <c r="Y34" s="35" t="s">
        <v>75</v>
      </c>
      <c r="Z34" s="33" t="s">
        <v>77</v>
      </c>
      <c r="AA34" s="35">
        <v>191.67</v>
      </c>
      <c r="AB34" s="102">
        <f t="shared" ref="AB34:AB37" si="6">rv_mba_mg_cto</f>
        <v>0.17599999999999999</v>
      </c>
      <c r="AC34" s="31">
        <f>AA34-(AA34*AB34)</f>
        <v>157.93608</v>
      </c>
      <c r="AD34" s="144"/>
      <c r="AE34" s="17"/>
      <c r="AF34" s="17"/>
      <c r="AG34" s="17" t="s">
        <v>77</v>
      </c>
      <c r="AH34" s="17" t="s">
        <v>77</v>
      </c>
      <c r="AI34" s="68" t="s">
        <v>75</v>
      </c>
      <c r="AJ34" s="55" t="s">
        <v>78</v>
      </c>
      <c r="AK34" s="230" t="s">
        <v>79</v>
      </c>
      <c r="AL34" s="205" t="s">
        <v>89</v>
      </c>
    </row>
    <row r="35" spans="1:46">
      <c r="A35" s="25" t="s">
        <v>146</v>
      </c>
      <c r="B35" s="26" t="s">
        <v>147</v>
      </c>
      <c r="C35" s="29">
        <v>1</v>
      </c>
      <c r="D35" s="35" t="s">
        <v>75</v>
      </c>
      <c r="E35" s="33" t="s">
        <v>77</v>
      </c>
      <c r="F35" s="35">
        <v>191.67</v>
      </c>
      <c r="G35" s="102">
        <f t="shared" si="5"/>
        <v>0.17599999999999999</v>
      </c>
      <c r="H35" s="31">
        <f>F35-(F35*G35)</f>
        <v>157.93608</v>
      </c>
      <c r="I35" s="144"/>
      <c r="J35" s="17"/>
      <c r="K35" s="17"/>
      <c r="L35" s="17" t="s">
        <v>77</v>
      </c>
      <c r="M35" s="17" t="s">
        <v>77</v>
      </c>
      <c r="N35" s="68" t="s">
        <v>75</v>
      </c>
      <c r="O35" s="55" t="s">
        <v>78</v>
      </c>
      <c r="P35" s="230" t="s">
        <v>79</v>
      </c>
      <c r="Q35" s="205" t="s">
        <v>80</v>
      </c>
      <c r="R35" s="1" t="str">
        <f t="shared" si="2"/>
        <v/>
      </c>
      <c r="S35" s="1" t="str">
        <f t="shared" si="2"/>
        <v/>
      </c>
      <c r="T35" s="1" t="str">
        <f t="shared" si="2"/>
        <v/>
      </c>
      <c r="U35" s="1" t="str">
        <f t="shared" si="2"/>
        <v/>
      </c>
      <c r="V35" s="25" t="s">
        <v>146</v>
      </c>
      <c r="W35" s="26" t="s">
        <v>147</v>
      </c>
      <c r="X35" s="29">
        <v>1</v>
      </c>
      <c r="Y35" s="35" t="s">
        <v>75</v>
      </c>
      <c r="Z35" s="33" t="s">
        <v>77</v>
      </c>
      <c r="AA35" s="35">
        <v>191.67</v>
      </c>
      <c r="AB35" s="102">
        <f t="shared" si="6"/>
        <v>0.17599999999999999</v>
      </c>
      <c r="AC35" s="31">
        <f>AA35-(AA35*AB35)</f>
        <v>157.93608</v>
      </c>
      <c r="AD35" s="144"/>
      <c r="AE35" s="17"/>
      <c r="AF35" s="17"/>
      <c r="AG35" s="17" t="s">
        <v>77</v>
      </c>
      <c r="AH35" s="17" t="s">
        <v>77</v>
      </c>
      <c r="AI35" s="68" t="s">
        <v>75</v>
      </c>
      <c r="AJ35" s="55" t="s">
        <v>78</v>
      </c>
      <c r="AK35" s="230" t="s">
        <v>79</v>
      </c>
      <c r="AL35" s="205" t="s">
        <v>89</v>
      </c>
    </row>
    <row r="36" spans="1:46">
      <c r="A36" s="25" t="s">
        <v>148</v>
      </c>
      <c r="B36" s="26" t="s">
        <v>149</v>
      </c>
      <c r="C36" s="29">
        <v>1</v>
      </c>
      <c r="D36" s="35" t="s">
        <v>75</v>
      </c>
      <c r="E36" s="33" t="s">
        <v>77</v>
      </c>
      <c r="F36" s="35">
        <v>383.33</v>
      </c>
      <c r="G36" s="102">
        <f t="shared" si="5"/>
        <v>0.17599999999999999</v>
      </c>
      <c r="H36" s="31">
        <f>F36-(F36*G36)</f>
        <v>315.86392000000001</v>
      </c>
      <c r="I36" s="144"/>
      <c r="J36" s="17"/>
      <c r="K36" s="17"/>
      <c r="L36" s="17" t="s">
        <v>77</v>
      </c>
      <c r="M36" s="17" t="s">
        <v>77</v>
      </c>
      <c r="N36" s="68" t="s">
        <v>75</v>
      </c>
      <c r="O36" s="55" t="s">
        <v>78</v>
      </c>
      <c r="P36" s="230" t="s">
        <v>79</v>
      </c>
      <c r="Q36" s="205" t="s">
        <v>80</v>
      </c>
      <c r="R36" s="1" t="str">
        <f t="shared" si="2"/>
        <v/>
      </c>
      <c r="S36" s="1" t="str">
        <f t="shared" si="2"/>
        <v/>
      </c>
      <c r="T36" s="1" t="str">
        <f t="shared" si="2"/>
        <v/>
      </c>
      <c r="U36" s="1" t="str">
        <f t="shared" si="2"/>
        <v/>
      </c>
      <c r="V36" s="25" t="s">
        <v>148</v>
      </c>
      <c r="W36" s="26" t="s">
        <v>149</v>
      </c>
      <c r="X36" s="29">
        <v>1</v>
      </c>
      <c r="Y36" s="35" t="s">
        <v>75</v>
      </c>
      <c r="Z36" s="33" t="s">
        <v>77</v>
      </c>
      <c r="AA36" s="35">
        <v>383.33</v>
      </c>
      <c r="AB36" s="102">
        <f t="shared" si="6"/>
        <v>0.17599999999999999</v>
      </c>
      <c r="AC36" s="31">
        <f>AA36-(AA36*AB36)</f>
        <v>315.86392000000001</v>
      </c>
      <c r="AD36" s="144"/>
      <c r="AE36" s="17"/>
      <c r="AF36" s="17"/>
      <c r="AG36" s="17" t="s">
        <v>77</v>
      </c>
      <c r="AH36" s="17" t="s">
        <v>77</v>
      </c>
      <c r="AI36" s="68" t="s">
        <v>75</v>
      </c>
      <c r="AJ36" s="55" t="s">
        <v>78</v>
      </c>
      <c r="AK36" s="230" t="s">
        <v>79</v>
      </c>
      <c r="AL36" s="205" t="s">
        <v>89</v>
      </c>
    </row>
    <row r="37" spans="1:46">
      <c r="A37" s="25" t="s">
        <v>150</v>
      </c>
      <c r="B37" s="26" t="s">
        <v>151</v>
      </c>
      <c r="C37" s="29">
        <v>1</v>
      </c>
      <c r="D37" s="35" t="s">
        <v>75</v>
      </c>
      <c r="E37" s="33" t="s">
        <v>77</v>
      </c>
      <c r="F37" s="35">
        <v>766.67</v>
      </c>
      <c r="G37" s="102">
        <f t="shared" si="5"/>
        <v>0.17599999999999999</v>
      </c>
      <c r="H37" s="31">
        <f>F37-(F37*G37)</f>
        <v>631.73608000000002</v>
      </c>
      <c r="I37" s="144"/>
      <c r="J37" s="17"/>
      <c r="K37" s="17"/>
      <c r="L37" s="17" t="s">
        <v>77</v>
      </c>
      <c r="M37" s="17" t="s">
        <v>77</v>
      </c>
      <c r="N37" s="68" t="s">
        <v>75</v>
      </c>
      <c r="O37" s="55" t="s">
        <v>78</v>
      </c>
      <c r="P37" s="230" t="s">
        <v>79</v>
      </c>
      <c r="Q37" s="205" t="s">
        <v>80</v>
      </c>
      <c r="R37" s="1" t="str">
        <f t="shared" si="2"/>
        <v/>
      </c>
      <c r="S37" s="1" t="str">
        <f t="shared" si="2"/>
        <v/>
      </c>
      <c r="T37" s="1" t="str">
        <f t="shared" si="2"/>
        <v/>
      </c>
      <c r="U37" s="1" t="str">
        <f t="shared" si="2"/>
        <v/>
      </c>
      <c r="V37" s="25" t="s">
        <v>150</v>
      </c>
      <c r="W37" s="26" t="s">
        <v>151</v>
      </c>
      <c r="X37" s="29">
        <v>1</v>
      </c>
      <c r="Y37" s="35" t="s">
        <v>75</v>
      </c>
      <c r="Z37" s="33" t="s">
        <v>77</v>
      </c>
      <c r="AA37" s="35">
        <v>766.67</v>
      </c>
      <c r="AB37" s="102">
        <f t="shared" si="6"/>
        <v>0.17599999999999999</v>
      </c>
      <c r="AC37" s="31">
        <f>AA37-(AA37*AB37)</f>
        <v>631.73608000000002</v>
      </c>
      <c r="AD37" s="144"/>
      <c r="AE37" s="17"/>
      <c r="AF37" s="17"/>
      <c r="AG37" s="17" t="s">
        <v>77</v>
      </c>
      <c r="AH37" s="17" t="s">
        <v>77</v>
      </c>
      <c r="AI37" s="68" t="s">
        <v>75</v>
      </c>
      <c r="AJ37" s="55" t="s">
        <v>78</v>
      </c>
      <c r="AK37" s="230" t="s">
        <v>79</v>
      </c>
      <c r="AL37" s="205" t="s">
        <v>89</v>
      </c>
    </row>
    <row r="38" spans="1:46">
      <c r="A38" s="25" t="s">
        <v>152</v>
      </c>
      <c r="B38" s="26" t="s">
        <v>153</v>
      </c>
      <c r="C38" s="29">
        <v>1</v>
      </c>
      <c r="D38" s="31" t="s">
        <v>75</v>
      </c>
      <c r="E38" s="33" t="s">
        <v>77</v>
      </c>
      <c r="F38" s="33"/>
      <c r="G38" s="22"/>
      <c r="H38" s="31">
        <v>0</v>
      </c>
      <c r="I38" s="144"/>
      <c r="J38" s="17"/>
      <c r="K38" s="17"/>
      <c r="L38" s="17" t="s">
        <v>77</v>
      </c>
      <c r="M38" s="17" t="s">
        <v>77</v>
      </c>
      <c r="N38" s="68" t="s">
        <v>75</v>
      </c>
      <c r="O38" s="55" t="s">
        <v>78</v>
      </c>
      <c r="P38" s="230" t="s">
        <v>79</v>
      </c>
      <c r="Q38" s="205" t="s">
        <v>80</v>
      </c>
      <c r="R38" s="1" t="str">
        <f t="shared" si="2"/>
        <v/>
      </c>
      <c r="S38" s="1" t="str">
        <f t="shared" si="2"/>
        <v/>
      </c>
      <c r="T38" s="1" t="str">
        <f t="shared" si="2"/>
        <v/>
      </c>
      <c r="U38" s="1" t="str">
        <f t="shared" si="2"/>
        <v/>
      </c>
      <c r="V38" s="25" t="s">
        <v>152</v>
      </c>
      <c r="W38" s="26" t="s">
        <v>154</v>
      </c>
      <c r="X38" s="29">
        <v>1</v>
      </c>
      <c r="Y38" s="31" t="s">
        <v>75</v>
      </c>
      <c r="Z38" s="33" t="s">
        <v>77</v>
      </c>
      <c r="AA38" s="33"/>
      <c r="AB38" s="22"/>
      <c r="AC38" s="31">
        <v>0</v>
      </c>
      <c r="AD38" s="144"/>
      <c r="AE38" s="17"/>
      <c r="AF38" s="17"/>
      <c r="AG38" s="17" t="s">
        <v>77</v>
      </c>
      <c r="AH38" s="17" t="s">
        <v>77</v>
      </c>
      <c r="AI38" s="68" t="s">
        <v>75</v>
      </c>
      <c r="AJ38" s="55" t="s">
        <v>78</v>
      </c>
      <c r="AK38" s="230" t="s">
        <v>79</v>
      </c>
      <c r="AL38" s="205" t="s">
        <v>89</v>
      </c>
    </row>
    <row r="39" spans="1:46" s="186" customFormat="1">
      <c r="A39" s="25" t="s">
        <v>155</v>
      </c>
      <c r="B39" s="26" t="s">
        <v>156</v>
      </c>
      <c r="C39" s="29">
        <v>1</v>
      </c>
      <c r="D39" s="31" t="s">
        <v>75</v>
      </c>
      <c r="E39" s="33" t="s">
        <v>77</v>
      </c>
      <c r="F39" s="33"/>
      <c r="G39" s="22"/>
      <c r="H39" s="31">
        <v>0</v>
      </c>
      <c r="I39" s="144"/>
      <c r="J39" s="17"/>
      <c r="K39" s="17"/>
      <c r="L39" s="17" t="s">
        <v>77</v>
      </c>
      <c r="M39" s="17" t="s">
        <v>77</v>
      </c>
      <c r="N39" s="68"/>
      <c r="O39" s="55"/>
      <c r="P39" s="213"/>
      <c r="Q39" s="221"/>
      <c r="R39" s="1" t="str">
        <f t="shared" si="2"/>
        <v/>
      </c>
      <c r="S39" s="1" t="str">
        <f t="shared" si="2"/>
        <v/>
      </c>
      <c r="T39" s="1" t="str">
        <f t="shared" si="2"/>
        <v/>
      </c>
      <c r="U39" s="1" t="str">
        <f t="shared" si="2"/>
        <v/>
      </c>
      <c r="V39" s="25" t="s">
        <v>155</v>
      </c>
      <c r="W39" s="26" t="s">
        <v>157</v>
      </c>
      <c r="X39" s="29">
        <v>1</v>
      </c>
      <c r="Y39" s="31" t="s">
        <v>75</v>
      </c>
      <c r="Z39" s="33" t="s">
        <v>77</v>
      </c>
      <c r="AA39" s="33"/>
      <c r="AB39" s="22"/>
      <c r="AC39" s="31">
        <v>0</v>
      </c>
      <c r="AD39" s="144"/>
      <c r="AE39" s="17"/>
      <c r="AF39" s="17"/>
      <c r="AG39" s="17" t="s">
        <v>77</v>
      </c>
      <c r="AH39" s="17" t="s">
        <v>77</v>
      </c>
      <c r="AI39" s="68"/>
      <c r="AJ39" s="55"/>
      <c r="AK39" s="213"/>
      <c r="AL39" s="221"/>
    </row>
    <row r="40" spans="1:46" s="563" customFormat="1">
      <c r="A40" s="113" t="s">
        <v>158</v>
      </c>
      <c r="B40" s="114" t="s">
        <v>159</v>
      </c>
      <c r="C40" s="115">
        <v>1</v>
      </c>
      <c r="D40" s="119" t="s">
        <v>75</v>
      </c>
      <c r="E40" s="117" t="s">
        <v>77</v>
      </c>
      <c r="F40" s="117"/>
      <c r="G40" s="138"/>
      <c r="H40" s="119">
        <v>0</v>
      </c>
      <c r="I40" s="412"/>
      <c r="J40" s="120"/>
      <c r="K40" s="120"/>
      <c r="L40" s="120" t="s">
        <v>77</v>
      </c>
      <c r="M40" s="120" t="s">
        <v>77</v>
      </c>
      <c r="N40" s="562"/>
      <c r="O40" s="57"/>
      <c r="Q40" s="564"/>
      <c r="R40" s="121" t="str">
        <f t="shared" si="2"/>
        <v/>
      </c>
      <c r="S40" s="121" t="str">
        <f t="shared" si="2"/>
        <v/>
      </c>
      <c r="T40" s="121" t="str">
        <f t="shared" si="2"/>
        <v/>
      </c>
      <c r="U40" s="121" t="str">
        <f t="shared" si="2"/>
        <v/>
      </c>
      <c r="V40" s="113"/>
      <c r="W40" s="114"/>
      <c r="X40" s="115"/>
      <c r="Y40" s="119"/>
      <c r="Z40" s="117"/>
      <c r="AA40" s="117"/>
      <c r="AB40" s="138"/>
      <c r="AC40" s="119"/>
      <c r="AD40" s="412"/>
      <c r="AE40" s="120"/>
      <c r="AF40" s="120"/>
      <c r="AG40" s="120"/>
      <c r="AH40" s="120"/>
      <c r="AI40" s="562"/>
      <c r="AJ40" s="57"/>
      <c r="AL40" s="564"/>
    </row>
    <row r="41" spans="1:46">
      <c r="A41" s="93" t="s">
        <v>160</v>
      </c>
      <c r="B41" s="94" t="s">
        <v>161</v>
      </c>
      <c r="C41" s="95">
        <v>1</v>
      </c>
      <c r="D41" s="110" t="s">
        <v>75</v>
      </c>
      <c r="E41" s="111" t="s">
        <v>160</v>
      </c>
      <c r="F41" s="112">
        <v>940.53</v>
      </c>
      <c r="G41" s="97">
        <f>rv_mba_mg</f>
        <v>0.17599999999999999</v>
      </c>
      <c r="H41" s="98">
        <f>F41-(F41*G41)</f>
        <v>774.99671999999998</v>
      </c>
      <c r="I41" s="144" t="s">
        <v>76</v>
      </c>
      <c r="J41" s="99">
        <f>mba13_5pl</f>
        <v>44.998640000000002</v>
      </c>
      <c r="K41" s="99">
        <f>H41+J41</f>
        <v>819.99536000000001</v>
      </c>
      <c r="L41" s="17" t="s">
        <v>77</v>
      </c>
      <c r="M41" s="17">
        <v>0.3</v>
      </c>
      <c r="N41" s="68" t="s">
        <v>75</v>
      </c>
      <c r="O41" s="55" t="s">
        <v>78</v>
      </c>
      <c r="P41" s="230" t="s">
        <v>79</v>
      </c>
      <c r="Q41" s="205" t="s">
        <v>80</v>
      </c>
      <c r="R41" s="1">
        <f t="shared" si="2"/>
        <v>162.34862411511881</v>
      </c>
      <c r="S41" s="1">
        <f t="shared" si="2"/>
        <v>83.06549403405991</v>
      </c>
      <c r="T41" s="1">
        <f t="shared" si="2"/>
        <v>59.582461174344715</v>
      </c>
      <c r="U41" s="1">
        <f t="shared" si="2"/>
        <v>51.042564985136778</v>
      </c>
      <c r="V41" s="93" t="s">
        <v>160</v>
      </c>
      <c r="W41" s="94" t="s">
        <v>161</v>
      </c>
      <c r="X41" s="95">
        <v>1</v>
      </c>
      <c r="Y41" s="110" t="s">
        <v>75</v>
      </c>
      <c r="Z41" s="111" t="s">
        <v>160</v>
      </c>
      <c r="AA41" s="112">
        <v>940.53</v>
      </c>
      <c r="AB41" s="97">
        <f>rv_mba_mg</f>
        <v>0.17599999999999999</v>
      </c>
      <c r="AC41" s="98">
        <f>AA41-(AA41*AB41)</f>
        <v>774.99671999999998</v>
      </c>
      <c r="AD41" s="144" t="s">
        <v>76</v>
      </c>
      <c r="AE41" s="99">
        <f>mba13_5pl</f>
        <v>44.998640000000002</v>
      </c>
      <c r="AF41" s="99">
        <f>AC41+AE41</f>
        <v>819.99536000000001</v>
      </c>
      <c r="AG41" s="17" t="s">
        <v>77</v>
      </c>
      <c r="AH41" s="17">
        <v>0.3</v>
      </c>
      <c r="AI41" s="68" t="s">
        <v>75</v>
      </c>
      <c r="AJ41" s="55" t="s">
        <v>78</v>
      </c>
      <c r="AK41" s="230" t="s">
        <v>79</v>
      </c>
      <c r="AL41" s="205" t="s">
        <v>80</v>
      </c>
    </row>
    <row r="42" spans="1:46">
      <c r="A42" s="25" t="s">
        <v>162</v>
      </c>
      <c r="B42" s="26" t="s">
        <v>163</v>
      </c>
      <c r="C42" s="29">
        <v>1</v>
      </c>
      <c r="D42" s="35" t="s">
        <v>75</v>
      </c>
      <c r="E42" s="33" t="s">
        <v>77</v>
      </c>
      <c r="F42" s="35">
        <v>191.67</v>
      </c>
      <c r="G42" s="102">
        <f t="shared" ref="G42:G45" si="7">rv_mba_mg_cto</f>
        <v>0.17599999999999999</v>
      </c>
      <c r="H42" s="31">
        <f>F42-(F42*G42)</f>
        <v>157.93608</v>
      </c>
      <c r="I42" s="144"/>
      <c r="J42" s="17"/>
      <c r="K42" s="17"/>
      <c r="L42" s="17" t="s">
        <v>77</v>
      </c>
      <c r="M42" s="17" t="s">
        <v>77</v>
      </c>
      <c r="N42" s="68" t="s">
        <v>75</v>
      </c>
      <c r="O42" s="55" t="s">
        <v>78</v>
      </c>
      <c r="P42" s="230" t="s">
        <v>79</v>
      </c>
      <c r="Q42" s="205" t="s">
        <v>80</v>
      </c>
      <c r="R42" s="1" t="str">
        <f t="shared" si="2"/>
        <v/>
      </c>
      <c r="S42" s="1" t="str">
        <f t="shared" si="2"/>
        <v/>
      </c>
      <c r="T42" s="1" t="str">
        <f t="shared" si="2"/>
        <v/>
      </c>
      <c r="U42" s="1" t="str">
        <f t="shared" si="2"/>
        <v/>
      </c>
      <c r="V42" s="25" t="s">
        <v>162</v>
      </c>
      <c r="W42" s="26" t="s">
        <v>163</v>
      </c>
      <c r="X42" s="29">
        <v>1</v>
      </c>
      <c r="Y42" s="35" t="s">
        <v>75</v>
      </c>
      <c r="Z42" s="33" t="s">
        <v>77</v>
      </c>
      <c r="AA42" s="35">
        <v>191.67</v>
      </c>
      <c r="AB42" s="102">
        <f t="shared" ref="AB42:AB45" si="8">rv_mba_mg_cto</f>
        <v>0.17599999999999999</v>
      </c>
      <c r="AC42" s="31">
        <f>AA42-(AA42*AB42)</f>
        <v>157.93608</v>
      </c>
      <c r="AD42" s="144"/>
      <c r="AE42" s="17"/>
      <c r="AF42" s="17"/>
      <c r="AG42" s="17" t="s">
        <v>77</v>
      </c>
      <c r="AH42" s="17" t="s">
        <v>77</v>
      </c>
      <c r="AI42" s="68" t="s">
        <v>75</v>
      </c>
      <c r="AJ42" s="55" t="s">
        <v>78</v>
      </c>
      <c r="AK42" s="230" t="s">
        <v>79</v>
      </c>
      <c r="AL42" s="205" t="s">
        <v>89</v>
      </c>
    </row>
    <row r="43" spans="1:46">
      <c r="A43" s="25" t="s">
        <v>164</v>
      </c>
      <c r="B43" s="26" t="s">
        <v>165</v>
      </c>
      <c r="C43" s="29">
        <v>1</v>
      </c>
      <c r="D43" s="35" t="s">
        <v>75</v>
      </c>
      <c r="E43" s="33" t="s">
        <v>77</v>
      </c>
      <c r="F43" s="35">
        <v>191.67</v>
      </c>
      <c r="G43" s="102">
        <f t="shared" si="7"/>
        <v>0.17599999999999999</v>
      </c>
      <c r="H43" s="31">
        <f>F43-(F43*G43)</f>
        <v>157.93608</v>
      </c>
      <c r="I43" s="144"/>
      <c r="J43" s="17"/>
      <c r="K43" s="17"/>
      <c r="L43" s="17" t="s">
        <v>77</v>
      </c>
      <c r="M43" s="17" t="s">
        <v>77</v>
      </c>
      <c r="N43" s="68" t="s">
        <v>75</v>
      </c>
      <c r="O43" s="55" t="s">
        <v>78</v>
      </c>
      <c r="P43" s="230" t="s">
        <v>79</v>
      </c>
      <c r="Q43" s="205" t="s">
        <v>80</v>
      </c>
      <c r="R43" s="1" t="str">
        <f t="shared" si="2"/>
        <v/>
      </c>
      <c r="S43" s="1" t="str">
        <f t="shared" si="2"/>
        <v/>
      </c>
      <c r="T43" s="1" t="str">
        <f t="shared" si="2"/>
        <v/>
      </c>
      <c r="U43" s="1" t="str">
        <f t="shared" si="2"/>
        <v/>
      </c>
      <c r="V43" s="25" t="s">
        <v>164</v>
      </c>
      <c r="W43" s="26" t="s">
        <v>165</v>
      </c>
      <c r="X43" s="29">
        <v>1</v>
      </c>
      <c r="Y43" s="35" t="s">
        <v>75</v>
      </c>
      <c r="Z43" s="33" t="s">
        <v>77</v>
      </c>
      <c r="AA43" s="35">
        <v>191.67</v>
      </c>
      <c r="AB43" s="102">
        <f t="shared" si="8"/>
        <v>0.17599999999999999</v>
      </c>
      <c r="AC43" s="31">
        <f>AA43-(AA43*AB43)</f>
        <v>157.93608</v>
      </c>
      <c r="AD43" s="144"/>
      <c r="AE43" s="17"/>
      <c r="AF43" s="17"/>
      <c r="AG43" s="17" t="s">
        <v>77</v>
      </c>
      <c r="AH43" s="17" t="s">
        <v>77</v>
      </c>
      <c r="AI43" s="68" t="s">
        <v>75</v>
      </c>
      <c r="AJ43" s="55" t="s">
        <v>78</v>
      </c>
      <c r="AK43" s="230" t="s">
        <v>79</v>
      </c>
      <c r="AL43" s="205" t="s">
        <v>89</v>
      </c>
    </row>
    <row r="44" spans="1:46">
      <c r="A44" s="25" t="s">
        <v>166</v>
      </c>
      <c r="B44" s="26" t="s">
        <v>167</v>
      </c>
      <c r="C44" s="29">
        <v>1</v>
      </c>
      <c r="D44" s="35" t="s">
        <v>75</v>
      </c>
      <c r="E44" s="33" t="s">
        <v>77</v>
      </c>
      <c r="F44" s="35">
        <v>383.33</v>
      </c>
      <c r="G44" s="102">
        <f t="shared" si="7"/>
        <v>0.17599999999999999</v>
      </c>
      <c r="H44" s="31">
        <f>F44-(F44*G44)</f>
        <v>315.86392000000001</v>
      </c>
      <c r="I44" s="144"/>
      <c r="J44" s="17"/>
      <c r="K44" s="17"/>
      <c r="L44" s="17" t="s">
        <v>77</v>
      </c>
      <c r="M44" s="17" t="s">
        <v>77</v>
      </c>
      <c r="N44" s="68" t="s">
        <v>75</v>
      </c>
      <c r="O44" s="55" t="s">
        <v>78</v>
      </c>
      <c r="P44" s="230" t="s">
        <v>79</v>
      </c>
      <c r="Q44" s="205" t="s">
        <v>80</v>
      </c>
      <c r="R44" s="1" t="str">
        <f t="shared" si="2"/>
        <v/>
      </c>
      <c r="S44" s="1" t="str">
        <f t="shared" si="2"/>
        <v/>
      </c>
      <c r="T44" s="1" t="str">
        <f t="shared" si="2"/>
        <v/>
      </c>
      <c r="U44" s="1" t="str">
        <f t="shared" si="2"/>
        <v/>
      </c>
      <c r="V44" s="25" t="s">
        <v>166</v>
      </c>
      <c r="W44" s="26" t="s">
        <v>167</v>
      </c>
      <c r="X44" s="29">
        <v>1</v>
      </c>
      <c r="Y44" s="35" t="s">
        <v>75</v>
      </c>
      <c r="Z44" s="33" t="s">
        <v>77</v>
      </c>
      <c r="AA44" s="35">
        <v>383.33</v>
      </c>
      <c r="AB44" s="102">
        <f t="shared" si="8"/>
        <v>0.17599999999999999</v>
      </c>
      <c r="AC44" s="31">
        <f>AA44-(AA44*AB44)</f>
        <v>315.86392000000001</v>
      </c>
      <c r="AD44" s="144"/>
      <c r="AE44" s="17"/>
      <c r="AF44" s="17"/>
      <c r="AG44" s="17" t="s">
        <v>77</v>
      </c>
      <c r="AH44" s="17" t="s">
        <v>77</v>
      </c>
      <c r="AI44" s="68" t="s">
        <v>75</v>
      </c>
      <c r="AJ44" s="55" t="s">
        <v>78</v>
      </c>
      <c r="AK44" s="230" t="s">
        <v>79</v>
      </c>
      <c r="AL44" s="205" t="s">
        <v>89</v>
      </c>
    </row>
    <row r="45" spans="1:46">
      <c r="A45" s="25" t="s">
        <v>168</v>
      </c>
      <c r="B45" s="26" t="s">
        <v>169</v>
      </c>
      <c r="C45" s="29">
        <v>1</v>
      </c>
      <c r="D45" s="35" t="s">
        <v>75</v>
      </c>
      <c r="E45" s="33" t="s">
        <v>77</v>
      </c>
      <c r="F45" s="35">
        <v>766.67</v>
      </c>
      <c r="G45" s="102">
        <f t="shared" si="7"/>
        <v>0.17599999999999999</v>
      </c>
      <c r="H45" s="31">
        <f>F45-(F45*G45)</f>
        <v>631.73608000000002</v>
      </c>
      <c r="I45" s="144"/>
      <c r="J45" s="17"/>
      <c r="K45" s="17"/>
      <c r="L45" s="17" t="s">
        <v>77</v>
      </c>
      <c r="M45" s="17" t="s">
        <v>77</v>
      </c>
      <c r="N45" s="68" t="s">
        <v>75</v>
      </c>
      <c r="O45" s="55" t="s">
        <v>78</v>
      </c>
      <c r="P45" s="230" t="s">
        <v>79</v>
      </c>
      <c r="Q45" s="205" t="s">
        <v>80</v>
      </c>
      <c r="R45" s="1" t="str">
        <f t="shared" si="2"/>
        <v/>
      </c>
      <c r="S45" s="1" t="str">
        <f t="shared" si="2"/>
        <v/>
      </c>
      <c r="T45" s="1" t="str">
        <f t="shared" si="2"/>
        <v/>
      </c>
      <c r="U45" s="1" t="str">
        <f t="shared" si="2"/>
        <v/>
      </c>
      <c r="V45" s="25" t="s">
        <v>168</v>
      </c>
      <c r="W45" s="26" t="s">
        <v>169</v>
      </c>
      <c r="X45" s="29">
        <v>1</v>
      </c>
      <c r="Y45" s="35" t="s">
        <v>75</v>
      </c>
      <c r="Z45" s="33" t="s">
        <v>77</v>
      </c>
      <c r="AA45" s="35">
        <v>766.67</v>
      </c>
      <c r="AB45" s="102">
        <f t="shared" si="8"/>
        <v>0.17599999999999999</v>
      </c>
      <c r="AC45" s="31">
        <f>AA45-(AA45*AB45)</f>
        <v>631.73608000000002</v>
      </c>
      <c r="AD45" s="144"/>
      <c r="AE45" s="17"/>
      <c r="AF45" s="17"/>
      <c r="AG45" s="17" t="s">
        <v>77</v>
      </c>
      <c r="AH45" s="17" t="s">
        <v>77</v>
      </c>
      <c r="AI45" s="68" t="s">
        <v>75</v>
      </c>
      <c r="AJ45" s="55" t="s">
        <v>78</v>
      </c>
      <c r="AK45" s="230" t="s">
        <v>79</v>
      </c>
      <c r="AL45" s="205" t="s">
        <v>89</v>
      </c>
    </row>
    <row r="46" spans="1:46">
      <c r="A46" s="25" t="s">
        <v>170</v>
      </c>
      <c r="B46" s="26" t="s">
        <v>171</v>
      </c>
      <c r="C46" s="29">
        <v>1</v>
      </c>
      <c r="D46" s="31" t="s">
        <v>75</v>
      </c>
      <c r="E46" s="33" t="s">
        <v>77</v>
      </c>
      <c r="F46" s="33"/>
      <c r="G46" s="22"/>
      <c r="H46" s="31">
        <v>0</v>
      </c>
      <c r="I46" s="144"/>
      <c r="J46" s="17"/>
      <c r="K46" s="17"/>
      <c r="L46" s="17" t="s">
        <v>77</v>
      </c>
      <c r="M46" s="17" t="s">
        <v>77</v>
      </c>
      <c r="N46" s="68" t="s">
        <v>75</v>
      </c>
      <c r="O46" s="55" t="s">
        <v>78</v>
      </c>
      <c r="P46" s="230" t="s">
        <v>79</v>
      </c>
      <c r="Q46" s="205" t="s">
        <v>80</v>
      </c>
      <c r="R46" s="1" t="str">
        <f t="shared" si="2"/>
        <v/>
      </c>
      <c r="S46" s="1" t="str">
        <f t="shared" si="2"/>
        <v/>
      </c>
      <c r="T46" s="1" t="str">
        <f t="shared" si="2"/>
        <v/>
      </c>
      <c r="U46" s="1" t="str">
        <f t="shared" si="2"/>
        <v/>
      </c>
      <c r="V46" s="25" t="s">
        <v>170</v>
      </c>
      <c r="W46" s="26" t="s">
        <v>172</v>
      </c>
      <c r="X46" s="29">
        <v>1</v>
      </c>
      <c r="Y46" s="31" t="s">
        <v>75</v>
      </c>
      <c r="Z46" s="33" t="s">
        <v>77</v>
      </c>
      <c r="AA46" s="33"/>
      <c r="AB46" s="22"/>
      <c r="AC46" s="31">
        <v>0</v>
      </c>
      <c r="AD46" s="144"/>
      <c r="AE46" s="17"/>
      <c r="AF46" s="17"/>
      <c r="AG46" s="17" t="s">
        <v>77</v>
      </c>
      <c r="AH46" s="17" t="s">
        <v>77</v>
      </c>
      <c r="AI46" s="68" t="s">
        <v>75</v>
      </c>
      <c r="AJ46" s="55" t="s">
        <v>78</v>
      </c>
      <c r="AK46" s="230" t="s">
        <v>79</v>
      </c>
      <c r="AL46" s="205" t="s">
        <v>89</v>
      </c>
    </row>
    <row r="47" spans="1:46" s="186" customFormat="1">
      <c r="A47" s="25" t="s">
        <v>173</v>
      </c>
      <c r="B47" s="26" t="s">
        <v>174</v>
      </c>
      <c r="C47" s="29">
        <v>1</v>
      </c>
      <c r="D47" s="31" t="s">
        <v>75</v>
      </c>
      <c r="E47" s="33" t="s">
        <v>77</v>
      </c>
      <c r="F47" s="33"/>
      <c r="G47" s="22"/>
      <c r="H47" s="31">
        <v>0</v>
      </c>
      <c r="I47" s="144"/>
      <c r="J47" s="17"/>
      <c r="K47" s="17"/>
      <c r="L47" s="17" t="s">
        <v>77</v>
      </c>
      <c r="M47" s="17" t="s">
        <v>77</v>
      </c>
      <c r="N47" s="68"/>
      <c r="O47" s="55"/>
      <c r="P47" s="213"/>
      <c r="Q47" s="221"/>
      <c r="R47" s="1" t="str">
        <f t="shared" si="2"/>
        <v/>
      </c>
      <c r="S47" s="1" t="str">
        <f t="shared" si="2"/>
        <v/>
      </c>
      <c r="T47" s="1" t="str">
        <f t="shared" si="2"/>
        <v/>
      </c>
      <c r="U47" s="1" t="str">
        <f t="shared" si="2"/>
        <v/>
      </c>
      <c r="V47" s="25" t="s">
        <v>173</v>
      </c>
      <c r="W47" s="26" t="s">
        <v>175</v>
      </c>
      <c r="X47" s="29">
        <v>1</v>
      </c>
      <c r="Y47" s="31" t="s">
        <v>75</v>
      </c>
      <c r="Z47" s="33" t="s">
        <v>77</v>
      </c>
      <c r="AA47" s="33"/>
      <c r="AB47" s="22"/>
      <c r="AC47" s="31">
        <v>0</v>
      </c>
      <c r="AD47" s="144"/>
      <c r="AE47" s="17"/>
      <c r="AF47" s="17"/>
      <c r="AG47" s="17" t="s">
        <v>77</v>
      </c>
      <c r="AH47" s="17" t="s">
        <v>77</v>
      </c>
      <c r="AI47" s="68"/>
      <c r="AJ47" s="55"/>
      <c r="AK47" s="213"/>
      <c r="AL47" s="221"/>
    </row>
    <row r="48" spans="1:46" s="227" customFormat="1">
      <c r="A48" s="443" t="s">
        <v>176</v>
      </c>
      <c r="B48" s="444" t="s">
        <v>177</v>
      </c>
      <c r="C48" s="148">
        <v>1</v>
      </c>
      <c r="D48" s="438" t="s">
        <v>75</v>
      </c>
      <c r="E48" s="445" t="s">
        <v>77</v>
      </c>
      <c r="F48" s="445"/>
      <c r="G48" s="446"/>
      <c r="H48" s="438">
        <v>0</v>
      </c>
      <c r="I48" s="571"/>
      <c r="J48" s="438"/>
      <c r="K48" s="438"/>
      <c r="L48" s="438" t="s">
        <v>77</v>
      </c>
      <c r="M48" s="438" t="s">
        <v>77</v>
      </c>
      <c r="N48" s="572"/>
      <c r="O48" s="573"/>
      <c r="P48" s="437"/>
      <c r="Q48" s="574"/>
      <c r="R48" s="1" t="str">
        <f t="shared" si="2"/>
        <v/>
      </c>
      <c r="S48" s="1" t="str">
        <f t="shared" si="2"/>
        <v/>
      </c>
      <c r="T48" s="1" t="str">
        <f t="shared" si="2"/>
        <v/>
      </c>
      <c r="U48" s="1" t="str">
        <f t="shared" si="2"/>
        <v/>
      </c>
      <c r="V48" s="443"/>
      <c r="W48" s="444"/>
      <c r="X48" s="148"/>
      <c r="Y48" s="438"/>
      <c r="Z48" s="445"/>
      <c r="AA48" s="445"/>
      <c r="AB48" s="446"/>
      <c r="AC48" s="438"/>
      <c r="AD48" s="571"/>
      <c r="AE48" s="438"/>
      <c r="AF48" s="438"/>
      <c r="AG48" s="438"/>
      <c r="AH48" s="438"/>
      <c r="AI48" s="572"/>
      <c r="AJ48" s="573"/>
      <c r="AK48" s="437"/>
      <c r="AL48" s="574"/>
      <c r="AM48" s="437"/>
      <c r="AN48" s="437"/>
      <c r="AO48" s="437"/>
      <c r="AP48" s="437"/>
      <c r="AQ48" s="437"/>
      <c r="AR48" s="437"/>
      <c r="AS48" s="437"/>
      <c r="AT48" s="437"/>
    </row>
    <row r="49" spans="1:46">
      <c r="A49" s="93" t="s">
        <v>178</v>
      </c>
      <c r="B49" s="94" t="s">
        <v>179</v>
      </c>
      <c r="C49" s="95">
        <v>1</v>
      </c>
      <c r="D49" s="96" t="s">
        <v>75</v>
      </c>
      <c r="E49" s="111" t="s">
        <v>178</v>
      </c>
      <c r="F49" s="112">
        <v>1165.53</v>
      </c>
      <c r="G49" s="97">
        <f>rv_mba_hg</f>
        <v>0.17599999999999999</v>
      </c>
      <c r="H49" s="98">
        <f>F49-(F49*G49)</f>
        <v>960.39671999999996</v>
      </c>
      <c r="I49" s="144" t="s">
        <v>76</v>
      </c>
      <c r="J49" s="99">
        <f>mba13_5pl</f>
        <v>44.998640000000002</v>
      </c>
      <c r="K49" s="99">
        <f>H49+J49</f>
        <v>1005.39536</v>
      </c>
      <c r="L49" s="17" t="s">
        <v>77</v>
      </c>
      <c r="M49" s="17">
        <v>0.3</v>
      </c>
      <c r="N49" s="68" t="s">
        <v>75</v>
      </c>
      <c r="O49" s="55" t="s">
        <v>180</v>
      </c>
      <c r="P49" s="230" t="s">
        <v>79</v>
      </c>
      <c r="Q49" s="205" t="s">
        <v>80</v>
      </c>
      <c r="R49" s="1">
        <f t="shared" si="2"/>
        <v>199.05545976226568</v>
      </c>
      <c r="S49" s="1">
        <f t="shared" si="2"/>
        <v>101.84650590943771</v>
      </c>
      <c r="T49" s="1">
        <f t="shared" si="2"/>
        <v>73.053986551907229</v>
      </c>
      <c r="U49" s="1">
        <f t="shared" si="2"/>
        <v>62.583229737488985</v>
      </c>
      <c r="V49" s="93" t="s">
        <v>178</v>
      </c>
      <c r="W49" s="94" t="s">
        <v>179</v>
      </c>
      <c r="X49" s="95">
        <v>1</v>
      </c>
      <c r="Y49" s="96" t="s">
        <v>75</v>
      </c>
      <c r="Z49" s="111" t="s">
        <v>178</v>
      </c>
      <c r="AA49" s="112">
        <v>1165.53</v>
      </c>
      <c r="AB49" s="97">
        <f>rv_mba_hg</f>
        <v>0.17599999999999999</v>
      </c>
      <c r="AC49" s="98">
        <f>AA49-(AA49*AB49)</f>
        <v>960.39671999999996</v>
      </c>
      <c r="AD49" s="144" t="s">
        <v>76</v>
      </c>
      <c r="AE49" s="99">
        <f>mba13_5pl</f>
        <v>44.998640000000002</v>
      </c>
      <c r="AF49" s="99">
        <f>AC49+AE49</f>
        <v>1005.39536</v>
      </c>
      <c r="AG49" s="17" t="s">
        <v>77</v>
      </c>
      <c r="AH49" s="17">
        <v>0.3</v>
      </c>
      <c r="AI49" s="68" t="s">
        <v>75</v>
      </c>
      <c r="AJ49" s="55" t="s">
        <v>180</v>
      </c>
      <c r="AK49" s="230" t="s">
        <v>79</v>
      </c>
      <c r="AL49" s="205" t="s">
        <v>80</v>
      </c>
    </row>
    <row r="50" spans="1:46">
      <c r="A50" s="25" t="s">
        <v>181</v>
      </c>
      <c r="B50" s="26" t="s">
        <v>182</v>
      </c>
      <c r="C50" s="29">
        <v>1</v>
      </c>
      <c r="D50" s="35" t="s">
        <v>75</v>
      </c>
      <c r="E50" s="33" t="s">
        <v>77</v>
      </c>
      <c r="F50" s="35">
        <v>191.67</v>
      </c>
      <c r="G50" s="102">
        <f>rv_mba_hg_cto</f>
        <v>0.17599999999999999</v>
      </c>
      <c r="H50" s="31">
        <f>F50-(F50*G50)</f>
        <v>157.93608</v>
      </c>
      <c r="I50" s="144"/>
      <c r="J50" s="17"/>
      <c r="K50" s="17"/>
      <c r="L50" s="17" t="s">
        <v>77</v>
      </c>
      <c r="M50" s="17" t="s">
        <v>77</v>
      </c>
      <c r="N50" s="68" t="s">
        <v>75</v>
      </c>
      <c r="O50" s="55" t="s">
        <v>180</v>
      </c>
      <c r="P50" s="230" t="s">
        <v>79</v>
      </c>
      <c r="Q50" s="205" t="s">
        <v>80</v>
      </c>
      <c r="R50" s="1" t="str">
        <f t="shared" si="2"/>
        <v/>
      </c>
      <c r="S50" s="1" t="str">
        <f t="shared" si="2"/>
        <v/>
      </c>
      <c r="T50" s="1" t="str">
        <f t="shared" si="2"/>
        <v/>
      </c>
      <c r="U50" s="1" t="str">
        <f t="shared" si="2"/>
        <v/>
      </c>
      <c r="V50" s="25" t="s">
        <v>181</v>
      </c>
      <c r="W50" s="26" t="s">
        <v>182</v>
      </c>
      <c r="X50" s="29">
        <v>1</v>
      </c>
      <c r="Y50" s="35" t="s">
        <v>75</v>
      </c>
      <c r="Z50" s="33" t="s">
        <v>77</v>
      </c>
      <c r="AA50" s="35">
        <v>191.67</v>
      </c>
      <c r="AB50" s="102">
        <f>rv_mba_hg_cto</f>
        <v>0.17599999999999999</v>
      </c>
      <c r="AC50" s="31">
        <f>AA50-(AA50*AB50)</f>
        <v>157.93608</v>
      </c>
      <c r="AD50" s="144"/>
      <c r="AE50" s="17"/>
      <c r="AF50" s="17"/>
      <c r="AG50" s="17" t="s">
        <v>77</v>
      </c>
      <c r="AH50" s="17" t="s">
        <v>77</v>
      </c>
      <c r="AI50" s="68" t="s">
        <v>75</v>
      </c>
      <c r="AJ50" s="55" t="s">
        <v>180</v>
      </c>
      <c r="AK50" s="230" t="s">
        <v>79</v>
      </c>
      <c r="AL50" s="205" t="s">
        <v>89</v>
      </c>
    </row>
    <row r="51" spans="1:46">
      <c r="A51" s="25" t="s">
        <v>183</v>
      </c>
      <c r="B51" s="26" t="s">
        <v>184</v>
      </c>
      <c r="C51" s="29">
        <v>1</v>
      </c>
      <c r="D51" s="35" t="s">
        <v>75</v>
      </c>
      <c r="E51" s="33" t="s">
        <v>77</v>
      </c>
      <c r="F51" s="35">
        <v>191.67</v>
      </c>
      <c r="G51" s="102">
        <f>rv_mba_hg_cto</f>
        <v>0.17599999999999999</v>
      </c>
      <c r="H51" s="31">
        <f>F51-(F51*G51)</f>
        <v>157.93608</v>
      </c>
      <c r="I51" s="144"/>
      <c r="J51" s="17"/>
      <c r="K51" s="17"/>
      <c r="L51" s="17" t="s">
        <v>77</v>
      </c>
      <c r="M51" s="17" t="s">
        <v>77</v>
      </c>
      <c r="N51" s="68" t="s">
        <v>75</v>
      </c>
      <c r="O51" s="55" t="s">
        <v>180</v>
      </c>
      <c r="P51" s="230" t="s">
        <v>79</v>
      </c>
      <c r="Q51" s="205" t="s">
        <v>80</v>
      </c>
      <c r="R51" s="1" t="str">
        <f t="shared" si="2"/>
        <v/>
      </c>
      <c r="S51" s="1" t="str">
        <f t="shared" si="2"/>
        <v/>
      </c>
      <c r="T51" s="1" t="str">
        <f t="shared" si="2"/>
        <v/>
      </c>
      <c r="U51" s="1" t="str">
        <f t="shared" si="2"/>
        <v/>
      </c>
      <c r="V51" s="25" t="s">
        <v>183</v>
      </c>
      <c r="W51" s="26" t="s">
        <v>184</v>
      </c>
      <c r="X51" s="29">
        <v>1</v>
      </c>
      <c r="Y51" s="35" t="s">
        <v>75</v>
      </c>
      <c r="Z51" s="33" t="s">
        <v>77</v>
      </c>
      <c r="AA51" s="35">
        <v>191.67</v>
      </c>
      <c r="AB51" s="102">
        <f>rv_mba_hg_cto</f>
        <v>0.17599999999999999</v>
      </c>
      <c r="AC51" s="31">
        <f>AA51-(AA51*AB51)</f>
        <v>157.93608</v>
      </c>
      <c r="AD51" s="144"/>
      <c r="AE51" s="17"/>
      <c r="AF51" s="17"/>
      <c r="AG51" s="17" t="s">
        <v>77</v>
      </c>
      <c r="AH51" s="17" t="s">
        <v>77</v>
      </c>
      <c r="AI51" s="68" t="s">
        <v>75</v>
      </c>
      <c r="AJ51" s="55" t="s">
        <v>180</v>
      </c>
      <c r="AK51" s="230" t="s">
        <v>79</v>
      </c>
      <c r="AL51" s="205" t="s">
        <v>89</v>
      </c>
    </row>
    <row r="52" spans="1:46">
      <c r="A52" s="25" t="s">
        <v>185</v>
      </c>
      <c r="B52" s="26" t="s">
        <v>186</v>
      </c>
      <c r="C52" s="29">
        <v>1</v>
      </c>
      <c r="D52" s="35" t="s">
        <v>75</v>
      </c>
      <c r="E52" s="33" t="s">
        <v>77</v>
      </c>
      <c r="F52" s="35">
        <v>575</v>
      </c>
      <c r="G52" s="102">
        <f>rv_mba_hg_cto</f>
        <v>0.17599999999999999</v>
      </c>
      <c r="H52" s="31">
        <f>F52-(F52*G52)</f>
        <v>473.8</v>
      </c>
      <c r="I52" s="144"/>
      <c r="J52" s="17"/>
      <c r="K52" s="17"/>
      <c r="L52" s="17" t="s">
        <v>77</v>
      </c>
      <c r="M52" s="17" t="s">
        <v>77</v>
      </c>
      <c r="N52" s="68" t="s">
        <v>75</v>
      </c>
      <c r="O52" s="55" t="s">
        <v>180</v>
      </c>
      <c r="P52" s="230" t="s">
        <v>79</v>
      </c>
      <c r="Q52" s="205" t="s">
        <v>80</v>
      </c>
      <c r="R52" s="1" t="str">
        <f t="shared" si="2"/>
        <v/>
      </c>
      <c r="S52" s="1" t="str">
        <f t="shared" si="2"/>
        <v/>
      </c>
      <c r="T52" s="1" t="str">
        <f t="shared" si="2"/>
        <v/>
      </c>
      <c r="U52" s="1" t="str">
        <f t="shared" si="2"/>
        <v/>
      </c>
      <c r="V52" s="25" t="s">
        <v>185</v>
      </c>
      <c r="W52" s="26" t="s">
        <v>186</v>
      </c>
      <c r="X52" s="29">
        <v>1</v>
      </c>
      <c r="Y52" s="35" t="s">
        <v>75</v>
      </c>
      <c r="Z52" s="33" t="s">
        <v>77</v>
      </c>
      <c r="AA52" s="35">
        <v>575</v>
      </c>
      <c r="AB52" s="102">
        <f>rv_mba_hg_cto</f>
        <v>0.17599999999999999</v>
      </c>
      <c r="AC52" s="31">
        <f>AA52-(AA52*AB52)</f>
        <v>473.8</v>
      </c>
      <c r="AD52" s="144"/>
      <c r="AE52" s="17"/>
      <c r="AF52" s="17"/>
      <c r="AG52" s="17" t="s">
        <v>77</v>
      </c>
      <c r="AH52" s="17" t="s">
        <v>77</v>
      </c>
      <c r="AI52" s="68" t="s">
        <v>75</v>
      </c>
      <c r="AJ52" s="55" t="s">
        <v>180</v>
      </c>
      <c r="AK52" s="230" t="s">
        <v>79</v>
      </c>
      <c r="AL52" s="205" t="s">
        <v>89</v>
      </c>
    </row>
    <row r="53" spans="1:46">
      <c r="A53" s="25" t="s">
        <v>187</v>
      </c>
      <c r="B53" s="26" t="s">
        <v>188</v>
      </c>
      <c r="C53" s="29">
        <v>1</v>
      </c>
      <c r="D53" s="31" t="s">
        <v>75</v>
      </c>
      <c r="E53" s="33" t="s">
        <v>77</v>
      </c>
      <c r="F53" s="33"/>
      <c r="G53" s="22"/>
      <c r="H53" s="31">
        <v>0</v>
      </c>
      <c r="I53" s="144"/>
      <c r="J53" s="17"/>
      <c r="K53" s="17"/>
      <c r="L53" s="17" t="s">
        <v>77</v>
      </c>
      <c r="M53" s="17" t="s">
        <v>77</v>
      </c>
      <c r="N53" s="68" t="s">
        <v>75</v>
      </c>
      <c r="O53" s="55" t="s">
        <v>180</v>
      </c>
      <c r="P53" s="230" t="s">
        <v>79</v>
      </c>
      <c r="Q53" s="205" t="s">
        <v>80</v>
      </c>
      <c r="R53" s="1" t="str">
        <f t="shared" si="2"/>
        <v/>
      </c>
      <c r="S53" s="1" t="str">
        <f t="shared" si="2"/>
        <v/>
      </c>
      <c r="T53" s="1" t="str">
        <f t="shared" si="2"/>
        <v/>
      </c>
      <c r="U53" s="1" t="str">
        <f t="shared" si="2"/>
        <v/>
      </c>
      <c r="V53" s="25" t="s">
        <v>187</v>
      </c>
      <c r="W53" s="26" t="s">
        <v>189</v>
      </c>
      <c r="X53" s="29">
        <v>1</v>
      </c>
      <c r="Y53" s="31" t="s">
        <v>75</v>
      </c>
      <c r="Z53" s="33" t="s">
        <v>77</v>
      </c>
      <c r="AA53" s="33"/>
      <c r="AB53" s="22"/>
      <c r="AC53" s="31">
        <v>0</v>
      </c>
      <c r="AD53" s="144"/>
      <c r="AE53" s="17"/>
      <c r="AF53" s="17"/>
      <c r="AG53" s="17" t="s">
        <v>77</v>
      </c>
      <c r="AH53" s="17" t="s">
        <v>77</v>
      </c>
      <c r="AI53" s="68" t="s">
        <v>75</v>
      </c>
      <c r="AJ53" s="55" t="s">
        <v>180</v>
      </c>
      <c r="AK53" s="230" t="s">
        <v>79</v>
      </c>
      <c r="AL53" s="205" t="s">
        <v>89</v>
      </c>
    </row>
    <row r="54" spans="1:46" s="186" customFormat="1">
      <c r="A54" s="25" t="s">
        <v>190</v>
      </c>
      <c r="B54" s="26" t="s">
        <v>191</v>
      </c>
      <c r="C54" s="29">
        <v>1</v>
      </c>
      <c r="D54" s="31" t="s">
        <v>75</v>
      </c>
      <c r="E54" s="33" t="s">
        <v>77</v>
      </c>
      <c r="F54" s="33"/>
      <c r="G54" s="22"/>
      <c r="H54" s="31">
        <v>0</v>
      </c>
      <c r="I54" s="144"/>
      <c r="J54" s="17"/>
      <c r="K54" s="17"/>
      <c r="L54" s="17" t="s">
        <v>77</v>
      </c>
      <c r="M54" s="17" t="s">
        <v>77</v>
      </c>
      <c r="N54" s="68"/>
      <c r="O54" s="55"/>
      <c r="P54" s="213"/>
      <c r="Q54" s="221"/>
      <c r="R54" s="1" t="str">
        <f t="shared" si="2"/>
        <v/>
      </c>
      <c r="S54" s="1" t="str">
        <f t="shared" si="2"/>
        <v/>
      </c>
      <c r="T54" s="1" t="str">
        <f t="shared" si="2"/>
        <v/>
      </c>
      <c r="U54" s="1" t="str">
        <f t="shared" si="2"/>
        <v/>
      </c>
      <c r="V54" s="25" t="s">
        <v>190</v>
      </c>
      <c r="W54" s="26" t="s">
        <v>192</v>
      </c>
      <c r="X54" s="29">
        <v>1</v>
      </c>
      <c r="Y54" s="31" t="s">
        <v>75</v>
      </c>
      <c r="Z54" s="33" t="s">
        <v>77</v>
      </c>
      <c r="AA54" s="33"/>
      <c r="AB54" s="22"/>
      <c r="AC54" s="31">
        <v>0</v>
      </c>
      <c r="AD54" s="144"/>
      <c r="AE54" s="17"/>
      <c r="AF54" s="17"/>
      <c r="AG54" s="17" t="s">
        <v>77</v>
      </c>
      <c r="AH54" s="17" t="s">
        <v>77</v>
      </c>
      <c r="AI54" s="68"/>
      <c r="AJ54" s="55"/>
      <c r="AK54" s="213"/>
      <c r="AL54" s="221"/>
    </row>
    <row r="55" spans="1:46" s="563" customFormat="1">
      <c r="A55" s="113" t="s">
        <v>193</v>
      </c>
      <c r="B55" s="114" t="s">
        <v>194</v>
      </c>
      <c r="C55" s="115">
        <v>1</v>
      </c>
      <c r="D55" s="119" t="s">
        <v>75</v>
      </c>
      <c r="E55" s="117" t="s">
        <v>77</v>
      </c>
      <c r="F55" s="117"/>
      <c r="G55" s="138"/>
      <c r="H55" s="119">
        <v>0</v>
      </c>
      <c r="I55" s="412"/>
      <c r="J55" s="120"/>
      <c r="K55" s="120"/>
      <c r="L55" s="120" t="s">
        <v>77</v>
      </c>
      <c r="M55" s="120" t="s">
        <v>77</v>
      </c>
      <c r="N55" s="562"/>
      <c r="O55" s="57"/>
      <c r="Q55" s="564"/>
      <c r="R55" s="121" t="str">
        <f t="shared" si="2"/>
        <v/>
      </c>
      <c r="S55" s="121" t="str">
        <f t="shared" si="2"/>
        <v/>
      </c>
      <c r="T55" s="121" t="str">
        <f t="shared" si="2"/>
        <v/>
      </c>
      <c r="U55" s="121" t="str">
        <f t="shared" si="2"/>
        <v/>
      </c>
      <c r="V55" s="113"/>
      <c r="W55" s="114"/>
      <c r="X55" s="115"/>
      <c r="Y55" s="119"/>
      <c r="Z55" s="117"/>
      <c r="AA55" s="117"/>
      <c r="AB55" s="138"/>
      <c r="AC55" s="119"/>
      <c r="AD55" s="412"/>
      <c r="AE55" s="120"/>
      <c r="AF55" s="120"/>
      <c r="AG55" s="120"/>
      <c r="AH55" s="120"/>
      <c r="AI55" s="562"/>
      <c r="AJ55" s="57"/>
      <c r="AL55" s="564"/>
    </row>
    <row r="56" spans="1:46">
      <c r="A56" s="93" t="s">
        <v>195</v>
      </c>
      <c r="B56" s="94" t="s">
        <v>196</v>
      </c>
      <c r="C56" s="95">
        <v>1</v>
      </c>
      <c r="D56" s="96" t="s">
        <v>75</v>
      </c>
      <c r="E56" s="111" t="s">
        <v>195</v>
      </c>
      <c r="F56" s="112">
        <v>1165.53</v>
      </c>
      <c r="G56" s="97">
        <f>rv_mba_hg</f>
        <v>0.17599999999999999</v>
      </c>
      <c r="H56" s="98">
        <f>F56-(F56*G56)</f>
        <v>960.39671999999996</v>
      </c>
      <c r="I56" s="144" t="s">
        <v>76</v>
      </c>
      <c r="J56" s="99">
        <f>mba13_5pl</f>
        <v>44.998640000000002</v>
      </c>
      <c r="K56" s="99">
        <f>H56+J56</f>
        <v>1005.39536</v>
      </c>
      <c r="L56" s="17" t="s">
        <v>77</v>
      </c>
      <c r="M56" s="17">
        <v>0.3</v>
      </c>
      <c r="N56" s="68" t="s">
        <v>75</v>
      </c>
      <c r="O56" s="55" t="s">
        <v>180</v>
      </c>
      <c r="P56" s="230" t="s">
        <v>79</v>
      </c>
      <c r="Q56" s="205" t="s">
        <v>80</v>
      </c>
      <c r="R56" s="1">
        <f t="shared" si="2"/>
        <v>199.05545976226568</v>
      </c>
      <c r="S56" s="1">
        <f t="shared" si="2"/>
        <v>101.84650590943771</v>
      </c>
      <c r="T56" s="1">
        <f t="shared" si="2"/>
        <v>73.053986551907229</v>
      </c>
      <c r="U56" s="1">
        <f t="shared" si="2"/>
        <v>62.583229737488985</v>
      </c>
      <c r="V56" s="93" t="s">
        <v>195</v>
      </c>
      <c r="W56" s="94" t="s">
        <v>196</v>
      </c>
      <c r="X56" s="95">
        <v>1</v>
      </c>
      <c r="Y56" s="96" t="s">
        <v>75</v>
      </c>
      <c r="Z56" s="111" t="s">
        <v>195</v>
      </c>
      <c r="AA56" s="112">
        <v>1165.53</v>
      </c>
      <c r="AB56" s="97">
        <f>rv_mba_hg</f>
        <v>0.17599999999999999</v>
      </c>
      <c r="AC56" s="98">
        <f>AA56-(AA56*AB56)</f>
        <v>960.39671999999996</v>
      </c>
      <c r="AD56" s="144" t="s">
        <v>76</v>
      </c>
      <c r="AE56" s="99">
        <f>mba13_5pl</f>
        <v>44.998640000000002</v>
      </c>
      <c r="AF56" s="99">
        <f>AC56+AE56</f>
        <v>1005.39536</v>
      </c>
      <c r="AG56" s="17" t="s">
        <v>77</v>
      </c>
      <c r="AH56" s="17">
        <v>0.3</v>
      </c>
      <c r="AI56" s="68" t="s">
        <v>75</v>
      </c>
      <c r="AJ56" s="55" t="s">
        <v>180</v>
      </c>
      <c r="AK56" s="230" t="s">
        <v>79</v>
      </c>
      <c r="AL56" s="205" t="s">
        <v>80</v>
      </c>
    </row>
    <row r="57" spans="1:46">
      <c r="A57" s="25" t="s">
        <v>197</v>
      </c>
      <c r="B57" s="26" t="s">
        <v>198</v>
      </c>
      <c r="C57" s="29">
        <v>1</v>
      </c>
      <c r="D57" s="35" t="s">
        <v>75</v>
      </c>
      <c r="E57" s="33" t="s">
        <v>77</v>
      </c>
      <c r="F57" s="35">
        <v>191.67</v>
      </c>
      <c r="G57" s="102">
        <f>rv_mba_hg_cto</f>
        <v>0.17599999999999999</v>
      </c>
      <c r="H57" s="31">
        <f>F57-(F57*G57)</f>
        <v>157.93608</v>
      </c>
      <c r="I57" s="144"/>
      <c r="J57" s="17"/>
      <c r="K57" s="17"/>
      <c r="L57" s="17" t="s">
        <v>77</v>
      </c>
      <c r="M57" s="17" t="s">
        <v>77</v>
      </c>
      <c r="N57" s="68" t="s">
        <v>75</v>
      </c>
      <c r="O57" s="55" t="s">
        <v>180</v>
      </c>
      <c r="P57" s="230" t="s">
        <v>79</v>
      </c>
      <c r="Q57" s="205" t="s">
        <v>80</v>
      </c>
      <c r="R57" s="1" t="str">
        <f t="shared" si="2"/>
        <v/>
      </c>
      <c r="S57" s="1" t="str">
        <f t="shared" si="2"/>
        <v/>
      </c>
      <c r="T57" s="1" t="str">
        <f t="shared" si="2"/>
        <v/>
      </c>
      <c r="U57" s="1" t="str">
        <f t="shared" si="2"/>
        <v/>
      </c>
      <c r="V57" s="25" t="s">
        <v>197</v>
      </c>
      <c r="W57" s="26" t="s">
        <v>198</v>
      </c>
      <c r="X57" s="29">
        <v>1</v>
      </c>
      <c r="Y57" s="35" t="s">
        <v>75</v>
      </c>
      <c r="Z57" s="33" t="s">
        <v>77</v>
      </c>
      <c r="AA57" s="35">
        <v>191.67</v>
      </c>
      <c r="AB57" s="102">
        <f>rv_mba_hg_cto</f>
        <v>0.17599999999999999</v>
      </c>
      <c r="AC57" s="31">
        <f>AA57-(AA57*AB57)</f>
        <v>157.93608</v>
      </c>
      <c r="AD57" s="144"/>
      <c r="AE57" s="17"/>
      <c r="AF57" s="17"/>
      <c r="AG57" s="17" t="s">
        <v>77</v>
      </c>
      <c r="AH57" s="17" t="s">
        <v>77</v>
      </c>
      <c r="AI57" s="68" t="s">
        <v>75</v>
      </c>
      <c r="AJ57" s="55" t="s">
        <v>180</v>
      </c>
      <c r="AK57" s="230" t="s">
        <v>79</v>
      </c>
      <c r="AL57" s="205" t="s">
        <v>89</v>
      </c>
    </row>
    <row r="58" spans="1:46">
      <c r="A58" s="25" t="s">
        <v>199</v>
      </c>
      <c r="B58" s="26" t="s">
        <v>200</v>
      </c>
      <c r="C58" s="29">
        <v>1</v>
      </c>
      <c r="D58" s="35" t="s">
        <v>75</v>
      </c>
      <c r="E58" s="33" t="s">
        <v>77</v>
      </c>
      <c r="F58" s="35">
        <v>191.67</v>
      </c>
      <c r="G58" s="102">
        <f>rv_mba_hg_cto</f>
        <v>0.17599999999999999</v>
      </c>
      <c r="H58" s="31">
        <f>F58-(F58*G58)</f>
        <v>157.93608</v>
      </c>
      <c r="I58" s="144"/>
      <c r="J58" s="17"/>
      <c r="K58" s="17"/>
      <c r="L58" s="17" t="s">
        <v>77</v>
      </c>
      <c r="M58" s="17" t="s">
        <v>77</v>
      </c>
      <c r="N58" s="68" t="s">
        <v>75</v>
      </c>
      <c r="O58" s="55" t="s">
        <v>180</v>
      </c>
      <c r="P58" s="230" t="s">
        <v>79</v>
      </c>
      <c r="Q58" s="205" t="s">
        <v>80</v>
      </c>
      <c r="R58" s="1" t="str">
        <f t="shared" si="2"/>
        <v/>
      </c>
      <c r="S58" s="1" t="str">
        <f t="shared" si="2"/>
        <v/>
      </c>
      <c r="T58" s="1" t="str">
        <f t="shared" si="2"/>
        <v/>
      </c>
      <c r="U58" s="1" t="str">
        <f t="shared" si="2"/>
        <v/>
      </c>
      <c r="V58" s="25" t="s">
        <v>199</v>
      </c>
      <c r="W58" s="26" t="s">
        <v>200</v>
      </c>
      <c r="X58" s="29">
        <v>1</v>
      </c>
      <c r="Y58" s="35" t="s">
        <v>75</v>
      </c>
      <c r="Z58" s="33" t="s">
        <v>77</v>
      </c>
      <c r="AA58" s="35">
        <v>191.67</v>
      </c>
      <c r="AB58" s="102">
        <f>rv_mba_hg_cto</f>
        <v>0.17599999999999999</v>
      </c>
      <c r="AC58" s="31">
        <f>AA58-(AA58*AB58)</f>
        <v>157.93608</v>
      </c>
      <c r="AD58" s="144"/>
      <c r="AE58" s="17"/>
      <c r="AF58" s="17"/>
      <c r="AG58" s="17" t="s">
        <v>77</v>
      </c>
      <c r="AH58" s="17" t="s">
        <v>77</v>
      </c>
      <c r="AI58" s="68" t="s">
        <v>75</v>
      </c>
      <c r="AJ58" s="55" t="s">
        <v>180</v>
      </c>
      <c r="AK58" s="230" t="s">
        <v>79</v>
      </c>
      <c r="AL58" s="205" t="s">
        <v>89</v>
      </c>
    </row>
    <row r="59" spans="1:46">
      <c r="A59" s="25" t="s">
        <v>201</v>
      </c>
      <c r="B59" s="26" t="s">
        <v>202</v>
      </c>
      <c r="C59" s="29">
        <v>1</v>
      </c>
      <c r="D59" s="35" t="s">
        <v>75</v>
      </c>
      <c r="E59" s="33" t="s">
        <v>77</v>
      </c>
      <c r="F59" s="35">
        <v>575</v>
      </c>
      <c r="G59" s="102">
        <f>rv_mba_hg_cto</f>
        <v>0.17599999999999999</v>
      </c>
      <c r="H59" s="31">
        <f>F59-(F59*G59)</f>
        <v>473.8</v>
      </c>
      <c r="I59" s="144"/>
      <c r="J59" s="17"/>
      <c r="K59" s="17"/>
      <c r="L59" s="17" t="s">
        <v>77</v>
      </c>
      <c r="M59" s="17" t="s">
        <v>77</v>
      </c>
      <c r="N59" s="68" t="s">
        <v>75</v>
      </c>
      <c r="O59" s="55" t="s">
        <v>180</v>
      </c>
      <c r="P59" s="230" t="s">
        <v>79</v>
      </c>
      <c r="Q59" s="205" t="s">
        <v>80</v>
      </c>
      <c r="R59" s="1" t="str">
        <f t="shared" si="2"/>
        <v/>
      </c>
      <c r="S59" s="1" t="str">
        <f t="shared" si="2"/>
        <v/>
      </c>
      <c r="T59" s="1" t="str">
        <f t="shared" si="2"/>
        <v/>
      </c>
      <c r="U59" s="1" t="str">
        <f t="shared" si="2"/>
        <v/>
      </c>
      <c r="V59" s="25" t="s">
        <v>201</v>
      </c>
      <c r="W59" s="26" t="s">
        <v>202</v>
      </c>
      <c r="X59" s="29">
        <v>1</v>
      </c>
      <c r="Y59" s="35" t="s">
        <v>75</v>
      </c>
      <c r="Z59" s="33" t="s">
        <v>77</v>
      </c>
      <c r="AA59" s="35">
        <v>575</v>
      </c>
      <c r="AB59" s="102">
        <f>rv_mba_hg_cto</f>
        <v>0.17599999999999999</v>
      </c>
      <c r="AC59" s="31">
        <f>AA59-(AA59*AB59)</f>
        <v>473.8</v>
      </c>
      <c r="AD59" s="144"/>
      <c r="AE59" s="17"/>
      <c r="AF59" s="17"/>
      <c r="AG59" s="17" t="s">
        <v>77</v>
      </c>
      <c r="AH59" s="17" t="s">
        <v>77</v>
      </c>
      <c r="AI59" s="68" t="s">
        <v>75</v>
      </c>
      <c r="AJ59" s="55" t="s">
        <v>180</v>
      </c>
      <c r="AK59" s="230" t="s">
        <v>79</v>
      </c>
      <c r="AL59" s="205" t="s">
        <v>89</v>
      </c>
    </row>
    <row r="60" spans="1:46">
      <c r="A60" s="25" t="s">
        <v>203</v>
      </c>
      <c r="B60" s="26" t="s">
        <v>204</v>
      </c>
      <c r="C60" s="29">
        <v>1</v>
      </c>
      <c r="D60" s="35" t="s">
        <v>75</v>
      </c>
      <c r="E60" s="33" t="s">
        <v>77</v>
      </c>
      <c r="F60" s="33"/>
      <c r="G60" s="22"/>
      <c r="H60" s="31">
        <v>0</v>
      </c>
      <c r="I60" s="144"/>
      <c r="J60" s="17"/>
      <c r="K60" s="17"/>
      <c r="L60" s="17" t="s">
        <v>77</v>
      </c>
      <c r="M60" s="17" t="s">
        <v>77</v>
      </c>
      <c r="N60" s="68" t="s">
        <v>75</v>
      </c>
      <c r="O60" s="55" t="s">
        <v>180</v>
      </c>
      <c r="P60" s="230" t="s">
        <v>79</v>
      </c>
      <c r="Q60" s="205" t="s">
        <v>80</v>
      </c>
      <c r="R60" s="1" t="str">
        <f t="shared" si="2"/>
        <v/>
      </c>
      <c r="S60" s="1" t="str">
        <f t="shared" si="2"/>
        <v/>
      </c>
      <c r="T60" s="1" t="str">
        <f t="shared" si="2"/>
        <v/>
      </c>
      <c r="U60" s="1" t="str">
        <f t="shared" si="2"/>
        <v/>
      </c>
      <c r="V60" s="25" t="s">
        <v>203</v>
      </c>
      <c r="W60" s="26" t="s">
        <v>205</v>
      </c>
      <c r="X60" s="29">
        <v>1</v>
      </c>
      <c r="Y60" s="35" t="s">
        <v>75</v>
      </c>
      <c r="Z60" s="33" t="s">
        <v>77</v>
      </c>
      <c r="AA60" s="33"/>
      <c r="AB60" s="22"/>
      <c r="AC60" s="31">
        <v>0</v>
      </c>
      <c r="AD60" s="144"/>
      <c r="AE60" s="17"/>
      <c r="AF60" s="17"/>
      <c r="AG60" s="17" t="s">
        <v>77</v>
      </c>
      <c r="AH60" s="17" t="s">
        <v>77</v>
      </c>
      <c r="AI60" s="68" t="s">
        <v>75</v>
      </c>
      <c r="AJ60" s="55" t="s">
        <v>180</v>
      </c>
      <c r="AK60" s="230" t="s">
        <v>79</v>
      </c>
      <c r="AL60" s="205" t="s">
        <v>89</v>
      </c>
    </row>
    <row r="61" spans="1:46" s="186" customFormat="1">
      <c r="A61" s="25" t="s">
        <v>206</v>
      </c>
      <c r="B61" s="26" t="s">
        <v>207</v>
      </c>
      <c r="C61" s="29">
        <v>1</v>
      </c>
      <c r="D61" s="31" t="s">
        <v>75</v>
      </c>
      <c r="E61" s="33" t="s">
        <v>77</v>
      </c>
      <c r="F61" s="33"/>
      <c r="G61" s="22"/>
      <c r="H61" s="31">
        <v>0</v>
      </c>
      <c r="I61" s="144"/>
      <c r="J61" s="17"/>
      <c r="K61" s="17"/>
      <c r="L61" s="17" t="s">
        <v>77</v>
      </c>
      <c r="M61" s="17" t="s">
        <v>77</v>
      </c>
      <c r="N61" s="68"/>
      <c r="O61" s="55"/>
      <c r="P61" s="213"/>
      <c r="Q61" s="221"/>
      <c r="R61" s="1" t="str">
        <f t="shared" si="2"/>
        <v/>
      </c>
      <c r="S61" s="1" t="str">
        <f t="shared" si="2"/>
        <v/>
      </c>
      <c r="T61" s="1" t="str">
        <f t="shared" si="2"/>
        <v/>
      </c>
      <c r="U61" s="1" t="str">
        <f t="shared" si="2"/>
        <v/>
      </c>
      <c r="V61" s="25" t="s">
        <v>206</v>
      </c>
      <c r="W61" s="26" t="s">
        <v>208</v>
      </c>
      <c r="X61" s="29">
        <v>1</v>
      </c>
      <c r="Y61" s="31" t="s">
        <v>75</v>
      </c>
      <c r="Z61" s="33" t="s">
        <v>77</v>
      </c>
      <c r="AA61" s="33"/>
      <c r="AB61" s="22"/>
      <c r="AC61" s="31">
        <v>0</v>
      </c>
      <c r="AD61" s="144"/>
      <c r="AE61" s="17"/>
      <c r="AF61" s="17"/>
      <c r="AG61" s="17" t="s">
        <v>77</v>
      </c>
      <c r="AH61" s="17" t="s">
        <v>77</v>
      </c>
      <c r="AI61" s="68"/>
      <c r="AJ61" s="55"/>
      <c r="AK61" s="213"/>
      <c r="AL61" s="221"/>
    </row>
    <row r="62" spans="1:46" s="227" customFormat="1">
      <c r="A62" s="443" t="s">
        <v>209</v>
      </c>
      <c r="B62" s="444" t="s">
        <v>210</v>
      </c>
      <c r="C62" s="148">
        <v>1</v>
      </c>
      <c r="D62" s="438" t="s">
        <v>75</v>
      </c>
      <c r="E62" s="445" t="s">
        <v>77</v>
      </c>
      <c r="F62" s="445"/>
      <c r="G62" s="446"/>
      <c r="H62" s="438">
        <v>0</v>
      </c>
      <c r="I62" s="571"/>
      <c r="J62" s="438"/>
      <c r="K62" s="438"/>
      <c r="L62" s="438" t="s">
        <v>77</v>
      </c>
      <c r="M62" s="438" t="s">
        <v>77</v>
      </c>
      <c r="N62" s="572"/>
      <c r="O62" s="573"/>
      <c r="P62" s="437"/>
      <c r="Q62" s="574"/>
      <c r="R62" s="1" t="str">
        <f t="shared" si="2"/>
        <v/>
      </c>
      <c r="S62" s="1" t="str">
        <f t="shared" si="2"/>
        <v/>
      </c>
      <c r="T62" s="1" t="str">
        <f t="shared" si="2"/>
        <v/>
      </c>
      <c r="U62" s="1" t="str">
        <f t="shared" si="2"/>
        <v/>
      </c>
      <c r="V62" s="443"/>
      <c r="W62" s="444"/>
      <c r="X62" s="148"/>
      <c r="Y62" s="438"/>
      <c r="Z62" s="445"/>
      <c r="AA62" s="445"/>
      <c r="AB62" s="446"/>
      <c r="AC62" s="438"/>
      <c r="AD62" s="571"/>
      <c r="AE62" s="438"/>
      <c r="AF62" s="438"/>
      <c r="AG62" s="438"/>
      <c r="AH62" s="438"/>
      <c r="AI62" s="572"/>
      <c r="AJ62" s="573"/>
      <c r="AK62" s="437"/>
      <c r="AL62" s="574"/>
      <c r="AM62" s="437"/>
      <c r="AN62" s="437"/>
      <c r="AO62" s="437"/>
      <c r="AP62" s="437"/>
      <c r="AQ62" s="437"/>
      <c r="AR62" s="437"/>
      <c r="AS62" s="437"/>
      <c r="AT62" s="437"/>
    </row>
    <row r="63" spans="1:46">
      <c r="A63" s="93" t="s">
        <v>211</v>
      </c>
      <c r="B63" s="94" t="s">
        <v>212</v>
      </c>
      <c r="C63" s="95">
        <v>1</v>
      </c>
      <c r="D63" s="96" t="s">
        <v>75</v>
      </c>
      <c r="E63" s="111" t="s">
        <v>211</v>
      </c>
      <c r="F63" s="112">
        <v>1165.53</v>
      </c>
      <c r="G63" s="97">
        <f>rv_mba_hg</f>
        <v>0.17599999999999999</v>
      </c>
      <c r="H63" s="98">
        <f>F63-(F63*G63)</f>
        <v>960.39671999999996</v>
      </c>
      <c r="I63" s="144" t="s">
        <v>76</v>
      </c>
      <c r="J63" s="99">
        <f>mba13_5pl</f>
        <v>44.998640000000002</v>
      </c>
      <c r="K63" s="99">
        <f>H63+J63</f>
        <v>1005.39536</v>
      </c>
      <c r="L63" s="17" t="s">
        <v>77</v>
      </c>
      <c r="M63" s="17">
        <v>0.3</v>
      </c>
      <c r="N63" s="68" t="s">
        <v>75</v>
      </c>
      <c r="O63" s="55" t="s">
        <v>180</v>
      </c>
      <c r="P63" s="230" t="s">
        <v>79</v>
      </c>
      <c r="Q63" s="205" t="s">
        <v>80</v>
      </c>
      <c r="R63" s="1">
        <f t="shared" si="2"/>
        <v>199.05545976226568</v>
      </c>
      <c r="S63" s="1">
        <f t="shared" si="2"/>
        <v>101.84650590943771</v>
      </c>
      <c r="T63" s="1">
        <f t="shared" si="2"/>
        <v>73.053986551907229</v>
      </c>
      <c r="U63" s="1">
        <f t="shared" si="2"/>
        <v>62.583229737488985</v>
      </c>
      <c r="V63" s="93" t="s">
        <v>211</v>
      </c>
      <c r="W63" s="94" t="s">
        <v>212</v>
      </c>
      <c r="X63" s="95">
        <v>1</v>
      </c>
      <c r="Y63" s="96" t="s">
        <v>75</v>
      </c>
      <c r="Z63" s="111" t="s">
        <v>211</v>
      </c>
      <c r="AA63" s="112">
        <v>1165.53</v>
      </c>
      <c r="AB63" s="97">
        <f>rv_mba_hg</f>
        <v>0.17599999999999999</v>
      </c>
      <c r="AC63" s="98">
        <f>AA63-(AA63*AB63)</f>
        <v>960.39671999999996</v>
      </c>
      <c r="AD63" s="144" t="s">
        <v>76</v>
      </c>
      <c r="AE63" s="99">
        <f>mba13_5pl</f>
        <v>44.998640000000002</v>
      </c>
      <c r="AF63" s="99">
        <f>AC63+AE63</f>
        <v>1005.39536</v>
      </c>
      <c r="AG63" s="17" t="s">
        <v>77</v>
      </c>
      <c r="AH63" s="17">
        <v>0.3</v>
      </c>
      <c r="AI63" s="68" t="s">
        <v>75</v>
      </c>
      <c r="AJ63" s="55" t="s">
        <v>180</v>
      </c>
      <c r="AK63" s="230" t="s">
        <v>79</v>
      </c>
      <c r="AL63" s="205" t="s">
        <v>80</v>
      </c>
    </row>
    <row r="64" spans="1:46" s="121" customFormat="1">
      <c r="A64" s="113" t="s">
        <v>213</v>
      </c>
      <c r="B64" s="114" t="s">
        <v>214</v>
      </c>
      <c r="C64" s="115">
        <v>1</v>
      </c>
      <c r="D64" s="116" t="s">
        <v>75</v>
      </c>
      <c r="E64" s="117" t="s">
        <v>77</v>
      </c>
      <c r="F64" s="116">
        <v>191.67</v>
      </c>
      <c r="G64" s="118">
        <f>rv_mba_hg_cto</f>
        <v>0.17599999999999999</v>
      </c>
      <c r="H64" s="119">
        <f>F64-(F64*G64)</f>
        <v>157.93608</v>
      </c>
      <c r="I64" s="191"/>
      <c r="J64" s="120"/>
      <c r="K64" s="120"/>
      <c r="L64" s="120" t="s">
        <v>77</v>
      </c>
      <c r="M64" s="120" t="s">
        <v>77</v>
      </c>
      <c r="N64" s="68" t="s">
        <v>75</v>
      </c>
      <c r="O64" s="55" t="s">
        <v>180</v>
      </c>
      <c r="P64" s="230" t="s">
        <v>79</v>
      </c>
      <c r="Q64" s="205" t="s">
        <v>80</v>
      </c>
      <c r="R64" s="1" t="str">
        <f t="shared" si="2"/>
        <v/>
      </c>
      <c r="S64" s="1" t="str">
        <f t="shared" si="2"/>
        <v/>
      </c>
      <c r="T64" s="1" t="str">
        <f t="shared" si="2"/>
        <v/>
      </c>
      <c r="U64" s="1" t="str">
        <f t="shared" si="2"/>
        <v/>
      </c>
      <c r="V64" s="113" t="s">
        <v>213</v>
      </c>
      <c r="W64" s="114" t="s">
        <v>214</v>
      </c>
      <c r="X64" s="115">
        <v>1</v>
      </c>
      <c r="Y64" s="116" t="s">
        <v>75</v>
      </c>
      <c r="Z64" s="117" t="s">
        <v>77</v>
      </c>
      <c r="AA64" s="116">
        <v>191.67</v>
      </c>
      <c r="AB64" s="118">
        <f>rv_mba_hg_cto</f>
        <v>0.17599999999999999</v>
      </c>
      <c r="AC64" s="119">
        <f>AA64-(AA64*AB64)</f>
        <v>157.93608</v>
      </c>
      <c r="AD64" s="191"/>
      <c r="AE64" s="120"/>
      <c r="AF64" s="120"/>
      <c r="AG64" s="120" t="s">
        <v>77</v>
      </c>
      <c r="AH64" s="120" t="s">
        <v>77</v>
      </c>
      <c r="AI64" s="68" t="s">
        <v>75</v>
      </c>
      <c r="AJ64" s="55" t="s">
        <v>180</v>
      </c>
      <c r="AK64" s="265" t="s">
        <v>79</v>
      </c>
      <c r="AL64" s="203" t="s">
        <v>89</v>
      </c>
    </row>
    <row r="65" spans="1:46" s="121" customFormat="1">
      <c r="A65" s="113" t="s">
        <v>215</v>
      </c>
      <c r="B65" s="114" t="s">
        <v>216</v>
      </c>
      <c r="C65" s="115">
        <v>1</v>
      </c>
      <c r="D65" s="116" t="s">
        <v>75</v>
      </c>
      <c r="E65" s="117" t="s">
        <v>77</v>
      </c>
      <c r="F65" s="116">
        <v>191.67</v>
      </c>
      <c r="G65" s="118">
        <f>rv_mba_hg_cto</f>
        <v>0.17599999999999999</v>
      </c>
      <c r="H65" s="119">
        <f>F65-(F65*G65)</f>
        <v>157.93608</v>
      </c>
      <c r="I65" s="191"/>
      <c r="J65" s="120"/>
      <c r="K65" s="120"/>
      <c r="L65" s="120" t="s">
        <v>77</v>
      </c>
      <c r="M65" s="120" t="s">
        <v>77</v>
      </c>
      <c r="N65" s="68" t="s">
        <v>75</v>
      </c>
      <c r="O65" s="55" t="s">
        <v>180</v>
      </c>
      <c r="P65" s="230" t="s">
        <v>79</v>
      </c>
      <c r="Q65" s="205" t="s">
        <v>80</v>
      </c>
      <c r="R65" s="1" t="str">
        <f t="shared" si="2"/>
        <v/>
      </c>
      <c r="S65" s="1" t="str">
        <f t="shared" si="2"/>
        <v/>
      </c>
      <c r="T65" s="1" t="str">
        <f t="shared" si="2"/>
        <v/>
      </c>
      <c r="U65" s="1" t="str">
        <f t="shared" si="2"/>
        <v/>
      </c>
      <c r="V65" s="113" t="s">
        <v>215</v>
      </c>
      <c r="W65" s="114" t="s">
        <v>216</v>
      </c>
      <c r="X65" s="115">
        <v>1</v>
      </c>
      <c r="Y65" s="116" t="s">
        <v>75</v>
      </c>
      <c r="Z65" s="117" t="s">
        <v>77</v>
      </c>
      <c r="AA65" s="116">
        <v>191.67</v>
      </c>
      <c r="AB65" s="118">
        <f>rv_mba_hg_cto</f>
        <v>0.17599999999999999</v>
      </c>
      <c r="AC65" s="119">
        <f>AA65-(AA65*AB65)</f>
        <v>157.93608</v>
      </c>
      <c r="AD65" s="191"/>
      <c r="AE65" s="120"/>
      <c r="AF65" s="120"/>
      <c r="AG65" s="120" t="s">
        <v>77</v>
      </c>
      <c r="AH65" s="120" t="s">
        <v>77</v>
      </c>
      <c r="AI65" s="68" t="s">
        <v>75</v>
      </c>
      <c r="AJ65" s="55" t="s">
        <v>180</v>
      </c>
      <c r="AK65" s="265" t="s">
        <v>79</v>
      </c>
      <c r="AL65" s="203" t="s">
        <v>89</v>
      </c>
    </row>
    <row r="66" spans="1:46" s="121" customFormat="1">
      <c r="A66" s="113" t="s">
        <v>217</v>
      </c>
      <c r="B66" s="114" t="s">
        <v>218</v>
      </c>
      <c r="C66" s="115">
        <v>1</v>
      </c>
      <c r="D66" s="116" t="s">
        <v>75</v>
      </c>
      <c r="E66" s="117" t="s">
        <v>77</v>
      </c>
      <c r="F66" s="116">
        <v>575</v>
      </c>
      <c r="G66" s="118">
        <f>rv_mba_hg_cto</f>
        <v>0.17599999999999999</v>
      </c>
      <c r="H66" s="119">
        <f>F66-(F66*G66)</f>
        <v>473.8</v>
      </c>
      <c r="I66" s="191"/>
      <c r="J66" s="120"/>
      <c r="K66" s="120"/>
      <c r="L66" s="120" t="s">
        <v>77</v>
      </c>
      <c r="M66" s="120" t="s">
        <v>77</v>
      </c>
      <c r="N66" s="68" t="s">
        <v>75</v>
      </c>
      <c r="O66" s="55" t="s">
        <v>180</v>
      </c>
      <c r="P66" s="230" t="s">
        <v>79</v>
      </c>
      <c r="Q66" s="205" t="s">
        <v>80</v>
      </c>
      <c r="R66" s="1" t="str">
        <f t="shared" si="2"/>
        <v/>
      </c>
      <c r="S66" s="1" t="str">
        <f t="shared" si="2"/>
        <v/>
      </c>
      <c r="T66" s="1" t="str">
        <f t="shared" si="2"/>
        <v/>
      </c>
      <c r="U66" s="1" t="str">
        <f t="shared" si="2"/>
        <v/>
      </c>
      <c r="V66" s="113" t="s">
        <v>217</v>
      </c>
      <c r="W66" s="114" t="s">
        <v>218</v>
      </c>
      <c r="X66" s="115">
        <v>1</v>
      </c>
      <c r="Y66" s="116" t="s">
        <v>75</v>
      </c>
      <c r="Z66" s="117" t="s">
        <v>77</v>
      </c>
      <c r="AA66" s="116">
        <v>575</v>
      </c>
      <c r="AB66" s="118">
        <f>rv_mba_hg_cto</f>
        <v>0.17599999999999999</v>
      </c>
      <c r="AC66" s="119">
        <f>AA66-(AA66*AB66)</f>
        <v>473.8</v>
      </c>
      <c r="AD66" s="191"/>
      <c r="AE66" s="120"/>
      <c r="AF66" s="120"/>
      <c r="AG66" s="120" t="s">
        <v>77</v>
      </c>
      <c r="AH66" s="120" t="s">
        <v>77</v>
      </c>
      <c r="AI66" s="68" t="s">
        <v>75</v>
      </c>
      <c r="AJ66" s="55" t="s">
        <v>180</v>
      </c>
      <c r="AK66" s="265" t="s">
        <v>79</v>
      </c>
      <c r="AL66" s="203" t="s">
        <v>89</v>
      </c>
    </row>
    <row r="67" spans="1:46" s="121" customFormat="1">
      <c r="A67" s="113" t="s">
        <v>219</v>
      </c>
      <c r="B67" s="114" t="s">
        <v>220</v>
      </c>
      <c r="C67" s="115">
        <v>1</v>
      </c>
      <c r="D67" s="116" t="s">
        <v>75</v>
      </c>
      <c r="E67" s="117" t="s">
        <v>77</v>
      </c>
      <c r="F67" s="117"/>
      <c r="G67" s="138"/>
      <c r="H67" s="119">
        <v>0</v>
      </c>
      <c r="I67" s="191"/>
      <c r="J67" s="120"/>
      <c r="K67" s="120"/>
      <c r="L67" s="120" t="s">
        <v>77</v>
      </c>
      <c r="M67" s="120" t="s">
        <v>77</v>
      </c>
      <c r="N67" s="68" t="s">
        <v>75</v>
      </c>
      <c r="O67" s="55" t="s">
        <v>180</v>
      </c>
      <c r="P67" s="230" t="s">
        <v>79</v>
      </c>
      <c r="Q67" s="205" t="s">
        <v>80</v>
      </c>
      <c r="R67" s="1" t="str">
        <f t="shared" si="2"/>
        <v/>
      </c>
      <c r="S67" s="1" t="str">
        <f t="shared" si="2"/>
        <v/>
      </c>
      <c r="T67" s="1" t="str">
        <f t="shared" si="2"/>
        <v/>
      </c>
      <c r="U67" s="1" t="str">
        <f t="shared" si="2"/>
        <v/>
      </c>
      <c r="V67" s="113" t="s">
        <v>219</v>
      </c>
      <c r="W67" s="114" t="s">
        <v>221</v>
      </c>
      <c r="X67" s="115">
        <v>1</v>
      </c>
      <c r="Y67" s="116" t="s">
        <v>75</v>
      </c>
      <c r="Z67" s="117" t="s">
        <v>77</v>
      </c>
      <c r="AA67" s="117"/>
      <c r="AB67" s="138"/>
      <c r="AC67" s="119">
        <v>0</v>
      </c>
      <c r="AD67" s="191"/>
      <c r="AE67" s="120"/>
      <c r="AF67" s="120"/>
      <c r="AG67" s="120" t="s">
        <v>77</v>
      </c>
      <c r="AH67" s="120" t="s">
        <v>77</v>
      </c>
      <c r="AI67" s="68" t="s">
        <v>75</v>
      </c>
      <c r="AJ67" s="55" t="s">
        <v>180</v>
      </c>
      <c r="AK67" s="265" t="s">
        <v>79</v>
      </c>
      <c r="AL67" s="203" t="s">
        <v>89</v>
      </c>
    </row>
    <row r="68" spans="1:46" s="186" customFormat="1">
      <c r="A68" s="25" t="s">
        <v>222</v>
      </c>
      <c r="B68" s="26" t="s">
        <v>223</v>
      </c>
      <c r="C68" s="29">
        <v>1</v>
      </c>
      <c r="D68" s="31" t="s">
        <v>75</v>
      </c>
      <c r="E68" s="33" t="s">
        <v>77</v>
      </c>
      <c r="F68" s="33"/>
      <c r="G68" s="22"/>
      <c r="H68" s="31">
        <v>0</v>
      </c>
      <c r="I68" s="144"/>
      <c r="J68" s="17"/>
      <c r="K68" s="17"/>
      <c r="L68" s="17" t="s">
        <v>77</v>
      </c>
      <c r="M68" s="17" t="s">
        <v>77</v>
      </c>
      <c r="N68" s="68"/>
      <c r="O68" s="55"/>
      <c r="P68" s="213"/>
      <c r="Q68" s="221"/>
      <c r="R68" s="1" t="str">
        <f t="shared" si="2"/>
        <v/>
      </c>
      <c r="S68" s="1" t="str">
        <f t="shared" si="2"/>
        <v/>
      </c>
      <c r="T68" s="1" t="str">
        <f t="shared" si="2"/>
        <v/>
      </c>
      <c r="U68" s="1" t="str">
        <f t="shared" si="2"/>
        <v/>
      </c>
      <c r="V68" s="25" t="s">
        <v>222</v>
      </c>
      <c r="W68" s="26" t="s">
        <v>224</v>
      </c>
      <c r="X68" s="29">
        <v>1</v>
      </c>
      <c r="Y68" s="31" t="s">
        <v>75</v>
      </c>
      <c r="Z68" s="33" t="s">
        <v>77</v>
      </c>
      <c r="AA68" s="33"/>
      <c r="AB68" s="22"/>
      <c r="AC68" s="31">
        <v>0</v>
      </c>
      <c r="AD68" s="144"/>
      <c r="AE68" s="17"/>
      <c r="AF68" s="17"/>
      <c r="AG68" s="17" t="s">
        <v>77</v>
      </c>
      <c r="AH68" s="17" t="s">
        <v>77</v>
      </c>
      <c r="AI68" s="68"/>
      <c r="AJ68" s="55"/>
      <c r="AK68" s="213"/>
      <c r="AL68" s="221"/>
    </row>
    <row r="69" spans="1:46" s="227" customFormat="1">
      <c r="A69" s="443" t="s">
        <v>225</v>
      </c>
      <c r="B69" s="444" t="s">
        <v>226</v>
      </c>
      <c r="C69" s="148">
        <v>1</v>
      </c>
      <c r="D69" s="438" t="s">
        <v>75</v>
      </c>
      <c r="E69" s="445" t="s">
        <v>77</v>
      </c>
      <c r="F69" s="445"/>
      <c r="G69" s="446"/>
      <c r="H69" s="438">
        <v>0</v>
      </c>
      <c r="I69" s="571"/>
      <c r="J69" s="438"/>
      <c r="K69" s="438"/>
      <c r="L69" s="438" t="s">
        <v>77</v>
      </c>
      <c r="M69" s="438" t="s">
        <v>77</v>
      </c>
      <c r="N69" s="572"/>
      <c r="O69" s="573"/>
      <c r="P69" s="437"/>
      <c r="Q69" s="574"/>
      <c r="R69" s="1" t="str">
        <f t="shared" si="2"/>
        <v/>
      </c>
      <c r="S69" s="1" t="str">
        <f t="shared" si="2"/>
        <v/>
      </c>
      <c r="T69" s="1" t="str">
        <f t="shared" si="2"/>
        <v/>
      </c>
      <c r="U69" s="1" t="str">
        <f t="shared" ref="U69:U132" si="9">+IF($K69&lt;&gt;"",U$2*$K69,"")</f>
        <v/>
      </c>
      <c r="V69" s="443"/>
      <c r="W69" s="444"/>
      <c r="X69" s="148"/>
      <c r="Y69" s="438"/>
      <c r="Z69" s="445"/>
      <c r="AA69" s="445"/>
      <c r="AB69" s="446"/>
      <c r="AC69" s="438"/>
      <c r="AD69" s="571"/>
      <c r="AE69" s="438"/>
      <c r="AF69" s="438"/>
      <c r="AG69" s="438"/>
      <c r="AH69" s="438"/>
      <c r="AI69" s="572"/>
      <c r="AJ69" s="573"/>
      <c r="AK69" s="437"/>
      <c r="AL69" s="574"/>
      <c r="AM69" s="437"/>
      <c r="AN69" s="437"/>
      <c r="AO69" s="437"/>
      <c r="AP69" s="437"/>
      <c r="AQ69" s="437"/>
      <c r="AR69" s="437"/>
      <c r="AS69" s="437"/>
      <c r="AT69" s="437"/>
    </row>
    <row r="70" spans="1:46">
      <c r="A70" s="93" t="s">
        <v>227</v>
      </c>
      <c r="B70" s="94" t="s">
        <v>228</v>
      </c>
      <c r="C70" s="95">
        <v>1</v>
      </c>
      <c r="D70" s="96" t="s">
        <v>75</v>
      </c>
      <c r="E70" s="96" t="s">
        <v>227</v>
      </c>
      <c r="F70" s="96">
        <v>1207.2</v>
      </c>
      <c r="G70" s="97">
        <f>rv_mbp13_eg</f>
        <v>0.17599999999999999</v>
      </c>
      <c r="H70" s="98">
        <f t="shared" ref="H70:H75" si="10">F70-(F70*G70)</f>
        <v>994.7328</v>
      </c>
      <c r="I70" s="193" t="s">
        <v>229</v>
      </c>
      <c r="J70" s="99">
        <f>mbp13_5pl</f>
        <v>44.998640000000002</v>
      </c>
      <c r="K70" s="99">
        <f>H70+J70</f>
        <v>1039.73144</v>
      </c>
      <c r="L70" s="17" t="s">
        <v>77</v>
      </c>
      <c r="M70" s="17">
        <v>0.3</v>
      </c>
      <c r="N70" s="68" t="s">
        <v>75</v>
      </c>
      <c r="O70" s="55" t="s">
        <v>230</v>
      </c>
      <c r="P70" s="230" t="s">
        <v>79</v>
      </c>
      <c r="Q70" s="205" t="s">
        <v>231</v>
      </c>
      <c r="R70" s="1">
        <f t="shared" ref="R70:U133" si="11">+IF($K70&lt;&gt;"",R$2*$K70,"")</f>
        <v>205.85356572411729</v>
      </c>
      <c r="S70" s="1">
        <f t="shared" si="11"/>
        <v>105.32474930875769</v>
      </c>
      <c r="T70" s="1">
        <f t="shared" si="11"/>
        <v>75.548913051831804</v>
      </c>
      <c r="U70" s="1">
        <f t="shared" si="9"/>
        <v>64.720560849624619</v>
      </c>
      <c r="V70" s="93" t="s">
        <v>227</v>
      </c>
      <c r="W70" s="94" t="s">
        <v>228</v>
      </c>
      <c r="X70" s="95">
        <v>1</v>
      </c>
      <c r="Y70" s="96" t="s">
        <v>75</v>
      </c>
      <c r="Z70" s="96" t="s">
        <v>227</v>
      </c>
      <c r="AA70" s="96">
        <v>1207.2</v>
      </c>
      <c r="AB70" s="97">
        <f>rv_mbp13_eg</f>
        <v>0.17599999999999999</v>
      </c>
      <c r="AC70" s="98">
        <f t="shared" ref="AC70:AC75" si="12">AA70-(AA70*AB70)</f>
        <v>994.7328</v>
      </c>
      <c r="AD70" s="193" t="s">
        <v>229</v>
      </c>
      <c r="AE70" s="99">
        <f>mbp13_5pl</f>
        <v>44.998640000000002</v>
      </c>
      <c r="AF70" s="99">
        <f>AC70+AE70</f>
        <v>1039.73144</v>
      </c>
      <c r="AG70" s="17" t="s">
        <v>77</v>
      </c>
      <c r="AH70" s="17">
        <v>0.3</v>
      </c>
      <c r="AI70" s="68" t="s">
        <v>75</v>
      </c>
      <c r="AJ70" s="55" t="s">
        <v>230</v>
      </c>
      <c r="AK70" s="230" t="s">
        <v>79</v>
      </c>
      <c r="AL70" s="205" t="s">
        <v>231</v>
      </c>
    </row>
    <row r="71" spans="1:46" s="174" customFormat="1">
      <c r="A71" s="103" t="s">
        <v>229</v>
      </c>
      <c r="B71" s="104" t="s">
        <v>232</v>
      </c>
      <c r="C71" s="181">
        <v>1</v>
      </c>
      <c r="D71" s="106" t="s">
        <v>82</v>
      </c>
      <c r="E71" s="105" t="s">
        <v>229</v>
      </c>
      <c r="F71" s="108">
        <v>54.61</v>
      </c>
      <c r="G71" s="180">
        <v>0.17599999999999999</v>
      </c>
      <c r="H71" s="100">
        <f t="shared" si="10"/>
        <v>44.998640000000002</v>
      </c>
      <c r="I71" s="191"/>
      <c r="J71" s="172"/>
      <c r="K71" s="172"/>
      <c r="L71" s="120" t="s">
        <v>77</v>
      </c>
      <c r="M71" s="120" t="s">
        <v>77</v>
      </c>
      <c r="N71" s="68" t="s">
        <v>83</v>
      </c>
      <c r="O71" s="55" t="s">
        <v>84</v>
      </c>
      <c r="P71" s="265" t="s">
        <v>85</v>
      </c>
      <c r="Q71" s="203" t="s">
        <v>86</v>
      </c>
      <c r="R71" s="1" t="str">
        <f t="shared" si="11"/>
        <v/>
      </c>
      <c r="S71" s="1" t="str">
        <f t="shared" si="11"/>
        <v/>
      </c>
      <c r="T71" s="1" t="str">
        <f t="shared" si="11"/>
        <v/>
      </c>
      <c r="U71" s="1" t="str">
        <f t="shared" si="9"/>
        <v/>
      </c>
      <c r="V71" s="103" t="s">
        <v>229</v>
      </c>
      <c r="W71" s="104" t="s">
        <v>232</v>
      </c>
      <c r="X71" s="181">
        <v>1</v>
      </c>
      <c r="Y71" s="106" t="s">
        <v>82</v>
      </c>
      <c r="Z71" s="105" t="s">
        <v>229</v>
      </c>
      <c r="AA71" s="108">
        <v>54.61</v>
      </c>
      <c r="AB71" s="180">
        <v>0.17599999999999999</v>
      </c>
      <c r="AC71" s="100">
        <f t="shared" si="12"/>
        <v>44.998640000000002</v>
      </c>
      <c r="AD71" s="191"/>
      <c r="AE71" s="172"/>
      <c r="AF71" s="172"/>
      <c r="AG71" s="120" t="s">
        <v>77</v>
      </c>
      <c r="AH71" s="120" t="s">
        <v>77</v>
      </c>
      <c r="AI71" s="68" t="s">
        <v>83</v>
      </c>
      <c r="AJ71" s="55" t="s">
        <v>84</v>
      </c>
      <c r="AK71" s="265" t="s">
        <v>85</v>
      </c>
      <c r="AL71" s="203" t="s">
        <v>86</v>
      </c>
    </row>
    <row r="72" spans="1:46">
      <c r="A72" s="25" t="s">
        <v>233</v>
      </c>
      <c r="B72" s="26" t="s">
        <v>234</v>
      </c>
      <c r="C72" s="29">
        <v>1</v>
      </c>
      <c r="D72" s="35" t="s">
        <v>75</v>
      </c>
      <c r="E72" s="116" t="s">
        <v>77</v>
      </c>
      <c r="F72" s="35">
        <v>191.67</v>
      </c>
      <c r="G72" s="102">
        <f t="shared" ref="G72:G75" si="13">rv_mbp13_eg_cto</f>
        <v>0.17599999999999999</v>
      </c>
      <c r="H72" s="31">
        <f t="shared" si="10"/>
        <v>157.93608</v>
      </c>
      <c r="I72" s="192"/>
      <c r="J72" s="120"/>
      <c r="K72" s="120"/>
      <c r="L72" s="120" t="s">
        <v>77</v>
      </c>
      <c r="M72" s="120" t="s">
        <v>77</v>
      </c>
      <c r="N72" s="68" t="s">
        <v>75</v>
      </c>
      <c r="O72" s="55" t="s">
        <v>230</v>
      </c>
      <c r="P72" s="230" t="s">
        <v>79</v>
      </c>
      <c r="Q72" s="205" t="s">
        <v>231</v>
      </c>
      <c r="R72" s="1" t="str">
        <f t="shared" si="11"/>
        <v/>
      </c>
      <c r="S72" s="1" t="str">
        <f t="shared" si="11"/>
        <v/>
      </c>
      <c r="T72" s="1" t="str">
        <f t="shared" si="11"/>
        <v/>
      </c>
      <c r="U72" s="1" t="str">
        <f t="shared" si="9"/>
        <v/>
      </c>
      <c r="V72" s="25" t="s">
        <v>233</v>
      </c>
      <c r="W72" s="26" t="s">
        <v>234</v>
      </c>
      <c r="X72" s="29">
        <v>1</v>
      </c>
      <c r="Y72" s="35" t="s">
        <v>75</v>
      </c>
      <c r="Z72" s="116" t="s">
        <v>77</v>
      </c>
      <c r="AA72" s="35">
        <v>191.67</v>
      </c>
      <c r="AB72" s="102">
        <f t="shared" ref="AB72:AB75" si="14">rv_mbp13_eg_cto</f>
        <v>0.17599999999999999</v>
      </c>
      <c r="AC72" s="31">
        <f t="shared" si="12"/>
        <v>157.93608</v>
      </c>
      <c r="AD72" s="192"/>
      <c r="AE72" s="120"/>
      <c r="AF72" s="120"/>
      <c r="AG72" s="120" t="s">
        <v>77</v>
      </c>
      <c r="AH72" s="120" t="s">
        <v>77</v>
      </c>
      <c r="AI72" s="68" t="s">
        <v>75</v>
      </c>
      <c r="AJ72" s="55" t="s">
        <v>230</v>
      </c>
      <c r="AK72" s="230" t="s">
        <v>79</v>
      </c>
      <c r="AL72" s="205" t="s">
        <v>89</v>
      </c>
    </row>
    <row r="73" spans="1:46">
      <c r="A73" s="25" t="s">
        <v>235</v>
      </c>
      <c r="B73" s="114" t="s">
        <v>236</v>
      </c>
      <c r="C73" s="115">
        <v>1</v>
      </c>
      <c r="D73" s="116" t="s">
        <v>75</v>
      </c>
      <c r="E73" s="116" t="s">
        <v>77</v>
      </c>
      <c r="F73" s="116">
        <v>191.67</v>
      </c>
      <c r="G73" s="118">
        <f t="shared" si="13"/>
        <v>0.17599999999999999</v>
      </c>
      <c r="H73" s="119">
        <f t="shared" si="10"/>
        <v>157.93608</v>
      </c>
      <c r="I73" s="192"/>
      <c r="J73" s="120"/>
      <c r="K73" s="120"/>
      <c r="L73" s="120" t="s">
        <v>77</v>
      </c>
      <c r="M73" s="120" t="s">
        <v>77</v>
      </c>
      <c r="N73" s="68" t="s">
        <v>75</v>
      </c>
      <c r="O73" s="55" t="s">
        <v>230</v>
      </c>
      <c r="P73" s="230" t="s">
        <v>79</v>
      </c>
      <c r="Q73" s="205" t="s">
        <v>231</v>
      </c>
      <c r="R73" s="1" t="str">
        <f t="shared" si="11"/>
        <v/>
      </c>
      <c r="S73" s="1" t="str">
        <f t="shared" si="11"/>
        <v/>
      </c>
      <c r="T73" s="1" t="str">
        <f t="shared" si="11"/>
        <v/>
      </c>
      <c r="U73" s="1" t="str">
        <f t="shared" si="9"/>
        <v/>
      </c>
      <c r="V73" s="25" t="s">
        <v>235</v>
      </c>
      <c r="W73" s="114" t="s">
        <v>236</v>
      </c>
      <c r="X73" s="115">
        <v>1</v>
      </c>
      <c r="Y73" s="116" t="s">
        <v>75</v>
      </c>
      <c r="Z73" s="116" t="s">
        <v>77</v>
      </c>
      <c r="AA73" s="116">
        <v>191.67</v>
      </c>
      <c r="AB73" s="118">
        <f t="shared" si="14"/>
        <v>0.17599999999999999</v>
      </c>
      <c r="AC73" s="119">
        <f t="shared" si="12"/>
        <v>157.93608</v>
      </c>
      <c r="AD73" s="192"/>
      <c r="AE73" s="120"/>
      <c r="AF73" s="120"/>
      <c r="AG73" s="120" t="s">
        <v>77</v>
      </c>
      <c r="AH73" s="120" t="s">
        <v>77</v>
      </c>
      <c r="AI73" s="68" t="s">
        <v>75</v>
      </c>
      <c r="AJ73" s="55" t="s">
        <v>230</v>
      </c>
      <c r="AK73" s="230" t="s">
        <v>79</v>
      </c>
      <c r="AL73" s="205" t="s">
        <v>89</v>
      </c>
    </row>
    <row r="74" spans="1:46">
      <c r="A74" s="25" t="s">
        <v>237</v>
      </c>
      <c r="B74" s="114" t="s">
        <v>238</v>
      </c>
      <c r="C74" s="115">
        <v>1</v>
      </c>
      <c r="D74" s="116" t="s">
        <v>75</v>
      </c>
      <c r="E74" s="116" t="s">
        <v>77</v>
      </c>
      <c r="F74" s="116">
        <v>383.33</v>
      </c>
      <c r="G74" s="118">
        <f t="shared" si="13"/>
        <v>0.17599999999999999</v>
      </c>
      <c r="H74" s="119">
        <f t="shared" si="10"/>
        <v>315.86392000000001</v>
      </c>
      <c r="I74" s="192"/>
      <c r="J74" s="120"/>
      <c r="K74" s="120"/>
      <c r="L74" s="120" t="s">
        <v>77</v>
      </c>
      <c r="M74" s="120" t="s">
        <v>77</v>
      </c>
      <c r="N74" s="68" t="s">
        <v>75</v>
      </c>
      <c r="O74" s="55" t="s">
        <v>230</v>
      </c>
      <c r="P74" s="230" t="s">
        <v>79</v>
      </c>
      <c r="Q74" s="205" t="s">
        <v>231</v>
      </c>
      <c r="R74" s="1" t="str">
        <f t="shared" si="11"/>
        <v/>
      </c>
      <c r="S74" s="1" t="str">
        <f t="shared" si="11"/>
        <v/>
      </c>
      <c r="T74" s="1" t="str">
        <f t="shared" si="11"/>
        <v/>
      </c>
      <c r="U74" s="1" t="str">
        <f t="shared" si="9"/>
        <v/>
      </c>
      <c r="V74" s="25" t="s">
        <v>237</v>
      </c>
      <c r="W74" s="114" t="s">
        <v>238</v>
      </c>
      <c r="X74" s="115">
        <v>1</v>
      </c>
      <c r="Y74" s="116" t="s">
        <v>75</v>
      </c>
      <c r="Z74" s="116" t="s">
        <v>77</v>
      </c>
      <c r="AA74" s="116">
        <v>383.33</v>
      </c>
      <c r="AB74" s="118">
        <f t="shared" si="14"/>
        <v>0.17599999999999999</v>
      </c>
      <c r="AC74" s="119">
        <f t="shared" si="12"/>
        <v>315.86392000000001</v>
      </c>
      <c r="AD74" s="192"/>
      <c r="AE74" s="120"/>
      <c r="AF74" s="120"/>
      <c r="AG74" s="120" t="s">
        <v>77</v>
      </c>
      <c r="AH74" s="120" t="s">
        <v>77</v>
      </c>
      <c r="AI74" s="68" t="s">
        <v>75</v>
      </c>
      <c r="AJ74" s="55" t="s">
        <v>230</v>
      </c>
      <c r="AK74" s="230" t="s">
        <v>79</v>
      </c>
      <c r="AL74" s="205" t="s">
        <v>89</v>
      </c>
    </row>
    <row r="75" spans="1:46">
      <c r="A75" s="25" t="s">
        <v>239</v>
      </c>
      <c r="B75" s="114" t="s">
        <v>240</v>
      </c>
      <c r="C75" s="115">
        <v>1</v>
      </c>
      <c r="D75" s="116" t="s">
        <v>75</v>
      </c>
      <c r="E75" s="116" t="s">
        <v>77</v>
      </c>
      <c r="F75" s="116">
        <v>766.67</v>
      </c>
      <c r="G75" s="102">
        <f t="shared" si="13"/>
        <v>0.17599999999999999</v>
      </c>
      <c r="H75" s="119">
        <f t="shared" si="10"/>
        <v>631.73608000000002</v>
      </c>
      <c r="I75" s="192"/>
      <c r="J75" s="120"/>
      <c r="K75" s="120"/>
      <c r="L75" s="120" t="s">
        <v>77</v>
      </c>
      <c r="M75" s="120" t="s">
        <v>77</v>
      </c>
      <c r="N75" s="68" t="s">
        <v>75</v>
      </c>
      <c r="O75" s="55" t="s">
        <v>230</v>
      </c>
      <c r="P75" s="230" t="s">
        <v>79</v>
      </c>
      <c r="Q75" s="205" t="s">
        <v>231</v>
      </c>
      <c r="R75" s="1" t="str">
        <f t="shared" si="11"/>
        <v/>
      </c>
      <c r="S75" s="1" t="str">
        <f t="shared" si="11"/>
        <v/>
      </c>
      <c r="T75" s="1" t="str">
        <f t="shared" si="11"/>
        <v/>
      </c>
      <c r="U75" s="1" t="str">
        <f t="shared" si="9"/>
        <v/>
      </c>
      <c r="V75" s="25" t="s">
        <v>239</v>
      </c>
      <c r="W75" s="114" t="s">
        <v>240</v>
      </c>
      <c r="X75" s="115">
        <v>1</v>
      </c>
      <c r="Y75" s="116" t="s">
        <v>75</v>
      </c>
      <c r="Z75" s="116" t="s">
        <v>77</v>
      </c>
      <c r="AA75" s="116">
        <v>766.67</v>
      </c>
      <c r="AB75" s="102">
        <f t="shared" si="14"/>
        <v>0.17599999999999999</v>
      </c>
      <c r="AC75" s="119">
        <f t="shared" si="12"/>
        <v>631.73608000000002</v>
      </c>
      <c r="AD75" s="192"/>
      <c r="AE75" s="120"/>
      <c r="AF75" s="120"/>
      <c r="AG75" s="120" t="s">
        <v>77</v>
      </c>
      <c r="AH75" s="120" t="s">
        <v>77</v>
      </c>
      <c r="AI75" s="68" t="s">
        <v>75</v>
      </c>
      <c r="AJ75" s="55" t="s">
        <v>230</v>
      </c>
      <c r="AK75" s="230" t="s">
        <v>79</v>
      </c>
      <c r="AL75" s="205" t="s">
        <v>89</v>
      </c>
    </row>
    <row r="76" spans="1:46">
      <c r="A76" s="25" t="s">
        <v>241</v>
      </c>
      <c r="B76" s="114" t="s">
        <v>242</v>
      </c>
      <c r="C76" s="115">
        <v>1</v>
      </c>
      <c r="D76" s="116" t="s">
        <v>75</v>
      </c>
      <c r="E76" s="116" t="s">
        <v>77</v>
      </c>
      <c r="F76" s="116"/>
      <c r="G76" s="138"/>
      <c r="H76" s="119">
        <v>0</v>
      </c>
      <c r="I76" s="192"/>
      <c r="J76" s="120"/>
      <c r="K76" s="120"/>
      <c r="L76" s="120" t="s">
        <v>77</v>
      </c>
      <c r="M76" s="120" t="s">
        <v>77</v>
      </c>
      <c r="N76" s="68" t="s">
        <v>75</v>
      </c>
      <c r="O76" s="55" t="s">
        <v>230</v>
      </c>
      <c r="P76" s="230" t="s">
        <v>79</v>
      </c>
      <c r="Q76" s="205" t="s">
        <v>231</v>
      </c>
      <c r="R76" s="1" t="str">
        <f t="shared" si="11"/>
        <v/>
      </c>
      <c r="S76" s="1" t="str">
        <f t="shared" si="11"/>
        <v/>
      </c>
      <c r="T76" s="1" t="str">
        <f t="shared" si="11"/>
        <v/>
      </c>
      <c r="U76" s="1" t="str">
        <f t="shared" si="9"/>
        <v/>
      </c>
      <c r="V76" s="25" t="s">
        <v>241</v>
      </c>
      <c r="W76" s="114" t="s">
        <v>243</v>
      </c>
      <c r="X76" s="115">
        <v>1</v>
      </c>
      <c r="Y76" s="116" t="s">
        <v>75</v>
      </c>
      <c r="Z76" s="116" t="s">
        <v>77</v>
      </c>
      <c r="AA76" s="116"/>
      <c r="AB76" s="138"/>
      <c r="AC76" s="119">
        <v>0</v>
      </c>
      <c r="AD76" s="192"/>
      <c r="AE76" s="120"/>
      <c r="AF76" s="120"/>
      <c r="AG76" s="120" t="s">
        <v>77</v>
      </c>
      <c r="AH76" s="120" t="s">
        <v>77</v>
      </c>
      <c r="AI76" s="68" t="s">
        <v>75</v>
      </c>
      <c r="AJ76" s="55" t="s">
        <v>230</v>
      </c>
      <c r="AK76" s="230" t="s">
        <v>79</v>
      </c>
      <c r="AL76" s="205" t="s">
        <v>89</v>
      </c>
    </row>
    <row r="77" spans="1:46" s="186" customFormat="1">
      <c r="A77" s="25" t="s">
        <v>244</v>
      </c>
      <c r="B77" s="26" t="s">
        <v>245</v>
      </c>
      <c r="C77" s="29">
        <v>1</v>
      </c>
      <c r="D77" s="31" t="s">
        <v>75</v>
      </c>
      <c r="E77" s="33" t="s">
        <v>77</v>
      </c>
      <c r="F77" s="33"/>
      <c r="G77" s="22"/>
      <c r="H77" s="31">
        <v>0</v>
      </c>
      <c r="I77" s="185"/>
      <c r="J77" s="17"/>
      <c r="K77" s="17"/>
      <c r="L77" s="17" t="s">
        <v>77</v>
      </c>
      <c r="M77" s="17" t="s">
        <v>77</v>
      </c>
      <c r="N77" s="68"/>
      <c r="O77" s="55"/>
      <c r="P77" s="213"/>
      <c r="Q77" s="221"/>
      <c r="R77" s="1" t="str">
        <f t="shared" si="11"/>
        <v/>
      </c>
      <c r="S77" s="1" t="str">
        <f t="shared" si="11"/>
        <v/>
      </c>
      <c r="T77" s="1" t="str">
        <f t="shared" si="11"/>
        <v/>
      </c>
      <c r="U77" s="1" t="str">
        <f t="shared" si="9"/>
        <v/>
      </c>
      <c r="V77" s="25" t="s">
        <v>244</v>
      </c>
      <c r="W77" s="26" t="s">
        <v>246</v>
      </c>
      <c r="X77" s="29">
        <v>1</v>
      </c>
      <c r="Y77" s="31" t="s">
        <v>75</v>
      </c>
      <c r="Z77" s="33" t="s">
        <v>77</v>
      </c>
      <c r="AA77" s="33"/>
      <c r="AB77" s="22"/>
      <c r="AC77" s="31">
        <v>0</v>
      </c>
      <c r="AD77" s="185"/>
      <c r="AE77" s="17"/>
      <c r="AF77" s="17"/>
      <c r="AG77" s="17" t="s">
        <v>77</v>
      </c>
      <c r="AH77" s="17" t="s">
        <v>77</v>
      </c>
      <c r="AI77" s="68"/>
      <c r="AJ77" s="55"/>
      <c r="AK77" s="213"/>
      <c r="AL77" s="221"/>
    </row>
    <row r="78" spans="1:46" s="563" customFormat="1">
      <c r="A78" s="113" t="s">
        <v>247</v>
      </c>
      <c r="B78" s="114" t="s">
        <v>248</v>
      </c>
      <c r="C78" s="115">
        <v>1</v>
      </c>
      <c r="D78" s="119" t="s">
        <v>75</v>
      </c>
      <c r="E78" s="117" t="s">
        <v>77</v>
      </c>
      <c r="F78" s="117"/>
      <c r="G78" s="138"/>
      <c r="H78" s="119">
        <v>0</v>
      </c>
      <c r="I78" s="412"/>
      <c r="J78" s="120"/>
      <c r="K78" s="120"/>
      <c r="L78" s="120" t="s">
        <v>77</v>
      </c>
      <c r="M78" s="120" t="s">
        <v>77</v>
      </c>
      <c r="N78" s="562"/>
      <c r="O78" s="57"/>
      <c r="Q78" s="564"/>
      <c r="R78" s="121" t="str">
        <f t="shared" si="11"/>
        <v/>
      </c>
      <c r="S78" s="121" t="str">
        <f t="shared" si="11"/>
        <v/>
      </c>
      <c r="T78" s="121" t="str">
        <f t="shared" si="11"/>
        <v/>
      </c>
      <c r="U78" s="121" t="str">
        <f t="shared" si="9"/>
        <v/>
      </c>
      <c r="V78" s="113"/>
      <c r="W78" s="114"/>
      <c r="X78" s="115"/>
      <c r="Y78" s="119"/>
      <c r="Z78" s="117"/>
      <c r="AA78" s="117"/>
      <c r="AB78" s="138"/>
      <c r="AC78" s="119"/>
      <c r="AD78" s="412"/>
      <c r="AE78" s="120"/>
      <c r="AF78" s="120"/>
      <c r="AG78" s="120"/>
      <c r="AH78" s="120"/>
      <c r="AI78" s="562"/>
      <c r="AJ78" s="57"/>
      <c r="AL78" s="564"/>
    </row>
    <row r="79" spans="1:46">
      <c r="A79" s="363" t="s">
        <v>249</v>
      </c>
      <c r="B79" s="364"/>
      <c r="C79" s="29"/>
      <c r="E79" s="33"/>
      <c r="F79" s="35"/>
      <c r="G79" s="102"/>
      <c r="H79" s="31"/>
      <c r="I79" s="185"/>
      <c r="J79" s="17"/>
      <c r="K79" s="17"/>
      <c r="L79" s="17"/>
      <c r="M79" s="17"/>
      <c r="N79" s="68"/>
      <c r="O79" s="55"/>
      <c r="P79" s="230"/>
      <c r="Q79" s="205"/>
      <c r="R79" s="1" t="str">
        <f t="shared" si="11"/>
        <v/>
      </c>
      <c r="S79" s="1" t="str">
        <f t="shared" si="11"/>
        <v/>
      </c>
      <c r="T79" s="1" t="str">
        <f t="shared" si="11"/>
        <v/>
      </c>
      <c r="U79" s="1" t="str">
        <f t="shared" si="9"/>
        <v/>
      </c>
      <c r="V79" s="587" t="s">
        <v>249</v>
      </c>
      <c r="W79" s="26"/>
      <c r="X79" s="29"/>
      <c r="Z79" s="33"/>
      <c r="AA79" s="35"/>
      <c r="AB79" s="102"/>
      <c r="AC79" s="31"/>
      <c r="AD79" s="185"/>
      <c r="AE79" s="17"/>
      <c r="AF79" s="17"/>
      <c r="AG79" s="17"/>
      <c r="AH79" s="17"/>
      <c r="AI79" s="68"/>
      <c r="AJ79" s="55"/>
      <c r="AK79" s="230"/>
      <c r="AL79" s="205"/>
    </row>
    <row r="80" spans="1:46">
      <c r="A80" s="363" t="s">
        <v>250</v>
      </c>
      <c r="B80" s="364"/>
      <c r="C80" s="29"/>
      <c r="E80" s="33"/>
      <c r="F80" s="35"/>
      <c r="G80" s="102"/>
      <c r="H80" s="31"/>
      <c r="I80" s="185"/>
      <c r="J80" s="17"/>
      <c r="K80" s="17"/>
      <c r="L80" s="17"/>
      <c r="M80" s="17"/>
      <c r="N80" s="68"/>
      <c r="O80" s="55"/>
      <c r="P80" s="230"/>
      <c r="Q80" s="205"/>
      <c r="R80" s="1" t="str">
        <f t="shared" si="11"/>
        <v/>
      </c>
      <c r="S80" s="1" t="str">
        <f t="shared" si="11"/>
        <v/>
      </c>
      <c r="T80" s="1" t="str">
        <f t="shared" si="11"/>
        <v/>
      </c>
      <c r="U80" s="1" t="str">
        <f t="shared" si="9"/>
        <v/>
      </c>
      <c r="V80" s="587" t="s">
        <v>251</v>
      </c>
      <c r="W80" s="26"/>
      <c r="X80" s="29"/>
      <c r="Z80" s="33"/>
      <c r="AA80" s="35"/>
      <c r="AB80" s="102"/>
      <c r="AC80" s="31"/>
      <c r="AD80" s="185"/>
      <c r="AE80" s="17"/>
      <c r="AF80" s="17"/>
      <c r="AG80" s="17"/>
      <c r="AH80" s="17"/>
      <c r="AI80" s="68"/>
      <c r="AJ80" s="55"/>
      <c r="AK80" s="230"/>
      <c r="AL80" s="205"/>
    </row>
    <row r="81" spans="1:38">
      <c r="A81" s="103" t="s">
        <v>252</v>
      </c>
      <c r="B81" s="104" t="s">
        <v>253</v>
      </c>
      <c r="C81" s="105">
        <v>1</v>
      </c>
      <c r="D81" s="106" t="s">
        <v>82</v>
      </c>
      <c r="E81" s="105" t="s">
        <v>252</v>
      </c>
      <c r="F81" s="108"/>
      <c r="G81" s="109"/>
      <c r="H81" s="100">
        <v>23</v>
      </c>
      <c r="I81" s="144"/>
      <c r="J81" s="101"/>
      <c r="K81" s="101"/>
      <c r="L81" s="17" t="s">
        <v>77</v>
      </c>
      <c r="M81" s="17" t="s">
        <v>77</v>
      </c>
      <c r="N81" s="68" t="s">
        <v>83</v>
      </c>
      <c r="O81" s="55" t="s">
        <v>84</v>
      </c>
      <c r="P81" s="230" t="s">
        <v>85</v>
      </c>
      <c r="Q81" s="205" t="s">
        <v>86</v>
      </c>
      <c r="R81" s="1" t="str">
        <f t="shared" si="11"/>
        <v/>
      </c>
      <c r="S81" s="1" t="str">
        <f t="shared" si="11"/>
        <v/>
      </c>
      <c r="T81" s="1" t="str">
        <f t="shared" si="11"/>
        <v/>
      </c>
      <c r="U81" s="1" t="str">
        <f t="shared" si="9"/>
        <v/>
      </c>
      <c r="V81" s="103" t="s">
        <v>252</v>
      </c>
      <c r="W81" s="104" t="s">
        <v>253</v>
      </c>
      <c r="X81" s="105">
        <v>1</v>
      </c>
      <c r="Y81" s="106" t="s">
        <v>82</v>
      </c>
      <c r="Z81" s="105" t="s">
        <v>252</v>
      </c>
      <c r="AA81" s="108"/>
      <c r="AB81" s="109"/>
      <c r="AC81" s="100">
        <v>23</v>
      </c>
      <c r="AD81" s="144"/>
      <c r="AE81" s="101"/>
      <c r="AF81" s="101"/>
      <c r="AG81" s="17" t="s">
        <v>77</v>
      </c>
      <c r="AH81" s="17" t="s">
        <v>77</v>
      </c>
      <c r="AI81" s="68" t="s">
        <v>83</v>
      </c>
      <c r="AJ81" s="55" t="s">
        <v>84</v>
      </c>
      <c r="AK81" s="230" t="s">
        <v>85</v>
      </c>
      <c r="AL81" s="205" t="s">
        <v>86</v>
      </c>
    </row>
    <row r="82" spans="1:38">
      <c r="A82" s="103" t="s">
        <v>254</v>
      </c>
      <c r="B82" s="104" t="s">
        <v>255</v>
      </c>
      <c r="C82" s="105">
        <v>1</v>
      </c>
      <c r="D82" s="106" t="s">
        <v>82</v>
      </c>
      <c r="E82" s="105" t="s">
        <v>254</v>
      </c>
      <c r="F82" s="108"/>
      <c r="G82" s="109"/>
      <c r="H82" s="100">
        <v>46</v>
      </c>
      <c r="I82" s="144"/>
      <c r="J82" s="101"/>
      <c r="K82" s="101"/>
      <c r="L82" s="17" t="s">
        <v>77</v>
      </c>
      <c r="M82" s="17" t="s">
        <v>77</v>
      </c>
      <c r="N82" s="68" t="s">
        <v>83</v>
      </c>
      <c r="O82" s="55" t="s">
        <v>84</v>
      </c>
      <c r="P82" s="230" t="s">
        <v>85</v>
      </c>
      <c r="Q82" s="205" t="s">
        <v>86</v>
      </c>
      <c r="R82" s="1" t="str">
        <f t="shared" si="11"/>
        <v/>
      </c>
      <c r="S82" s="1" t="str">
        <f t="shared" si="11"/>
        <v/>
      </c>
      <c r="T82" s="1" t="str">
        <f t="shared" si="11"/>
        <v/>
      </c>
      <c r="U82" s="1" t="str">
        <f t="shared" si="9"/>
        <v/>
      </c>
      <c r="V82" s="103" t="s">
        <v>254</v>
      </c>
      <c r="W82" s="104" t="s">
        <v>255</v>
      </c>
      <c r="X82" s="105">
        <v>1</v>
      </c>
      <c r="Y82" s="106" t="s">
        <v>82</v>
      </c>
      <c r="Z82" s="105" t="s">
        <v>254</v>
      </c>
      <c r="AA82" s="108"/>
      <c r="AB82" s="109"/>
      <c r="AC82" s="100">
        <v>46</v>
      </c>
      <c r="AD82" s="144"/>
      <c r="AE82" s="101"/>
      <c r="AF82" s="101"/>
      <c r="AG82" s="17" t="s">
        <v>77</v>
      </c>
      <c r="AH82" s="17" t="s">
        <v>77</v>
      </c>
      <c r="AI82" s="68" t="s">
        <v>83</v>
      </c>
      <c r="AJ82" s="55" t="s">
        <v>84</v>
      </c>
      <c r="AK82" s="230" t="s">
        <v>85</v>
      </c>
      <c r="AL82" s="205" t="s">
        <v>86</v>
      </c>
    </row>
    <row r="83" spans="1:38">
      <c r="A83" s="103" t="s">
        <v>256</v>
      </c>
      <c r="B83" s="104" t="s">
        <v>257</v>
      </c>
      <c r="C83" s="105">
        <v>1</v>
      </c>
      <c r="D83" s="106" t="s">
        <v>82</v>
      </c>
      <c r="E83" s="105" t="s">
        <v>256</v>
      </c>
      <c r="F83" s="108"/>
      <c r="G83" s="109"/>
      <c r="H83" s="100">
        <v>70</v>
      </c>
      <c r="I83" s="144"/>
      <c r="J83" s="101"/>
      <c r="K83" s="101"/>
      <c r="L83" s="17" t="s">
        <v>77</v>
      </c>
      <c r="M83" s="17" t="s">
        <v>77</v>
      </c>
      <c r="N83" s="68" t="s">
        <v>83</v>
      </c>
      <c r="O83" s="55" t="s">
        <v>84</v>
      </c>
      <c r="P83" s="230" t="s">
        <v>85</v>
      </c>
      <c r="Q83" s="205" t="s">
        <v>86</v>
      </c>
      <c r="R83" s="1" t="str">
        <f t="shared" si="11"/>
        <v/>
      </c>
      <c r="S83" s="1" t="str">
        <f t="shared" si="11"/>
        <v/>
      </c>
      <c r="T83" s="1" t="str">
        <f t="shared" si="11"/>
        <v/>
      </c>
      <c r="U83" s="1" t="str">
        <f t="shared" si="9"/>
        <v/>
      </c>
      <c r="V83" s="103" t="s">
        <v>256</v>
      </c>
      <c r="W83" s="104" t="s">
        <v>257</v>
      </c>
      <c r="X83" s="105">
        <v>1</v>
      </c>
      <c r="Y83" s="106" t="s">
        <v>82</v>
      </c>
      <c r="Z83" s="105" t="s">
        <v>256</v>
      </c>
      <c r="AA83" s="108"/>
      <c r="AB83" s="109"/>
      <c r="AC83" s="100">
        <v>70</v>
      </c>
      <c r="AD83" s="144"/>
      <c r="AE83" s="101"/>
      <c r="AF83" s="101"/>
      <c r="AG83" s="17" t="s">
        <v>77</v>
      </c>
      <c r="AH83" s="17" t="s">
        <v>77</v>
      </c>
      <c r="AI83" s="68" t="s">
        <v>83</v>
      </c>
      <c r="AJ83" s="55" t="s">
        <v>84</v>
      </c>
      <c r="AK83" s="230" t="s">
        <v>85</v>
      </c>
      <c r="AL83" s="205" t="s">
        <v>86</v>
      </c>
    </row>
    <row r="84" spans="1:38">
      <c r="A84" s="103" t="s">
        <v>258</v>
      </c>
      <c r="B84" s="104" t="s">
        <v>259</v>
      </c>
      <c r="C84" s="105">
        <v>1</v>
      </c>
      <c r="D84" s="106" t="s">
        <v>82</v>
      </c>
      <c r="E84" s="105" t="s">
        <v>258</v>
      </c>
      <c r="F84" s="108"/>
      <c r="G84" s="109"/>
      <c r="H84" s="100">
        <v>20</v>
      </c>
      <c r="I84" s="144"/>
      <c r="J84" s="101"/>
      <c r="K84" s="101"/>
      <c r="L84" s="17" t="s">
        <v>77</v>
      </c>
      <c r="M84" s="17" t="s">
        <v>77</v>
      </c>
      <c r="N84" s="68" t="s">
        <v>83</v>
      </c>
      <c r="O84" s="55" t="s">
        <v>84</v>
      </c>
      <c r="P84" s="230" t="s">
        <v>85</v>
      </c>
      <c r="Q84" s="205" t="s">
        <v>86</v>
      </c>
      <c r="R84" s="1" t="str">
        <f t="shared" si="11"/>
        <v/>
      </c>
      <c r="S84" s="1" t="str">
        <f t="shared" si="11"/>
        <v/>
      </c>
      <c r="T84" s="1" t="str">
        <f t="shared" si="11"/>
        <v/>
      </c>
      <c r="U84" s="1" t="str">
        <f t="shared" si="9"/>
        <v/>
      </c>
      <c r="V84" s="103" t="s">
        <v>258</v>
      </c>
      <c r="W84" s="104" t="s">
        <v>259</v>
      </c>
      <c r="X84" s="105">
        <v>1</v>
      </c>
      <c r="Y84" s="106" t="s">
        <v>82</v>
      </c>
      <c r="Z84" s="105" t="s">
        <v>258</v>
      </c>
      <c r="AA84" s="108"/>
      <c r="AB84" s="109"/>
      <c r="AC84" s="100">
        <v>20</v>
      </c>
      <c r="AD84" s="144"/>
      <c r="AE84" s="101"/>
      <c r="AF84" s="101"/>
      <c r="AG84" s="17" t="s">
        <v>77</v>
      </c>
      <c r="AH84" s="17" t="s">
        <v>77</v>
      </c>
      <c r="AI84" s="68" t="s">
        <v>83</v>
      </c>
      <c r="AJ84" s="55" t="s">
        <v>84</v>
      </c>
      <c r="AK84" s="230" t="s">
        <v>85</v>
      </c>
      <c r="AL84" s="205" t="s">
        <v>86</v>
      </c>
    </row>
    <row r="85" spans="1:38">
      <c r="A85" s="103" t="s">
        <v>260</v>
      </c>
      <c r="B85" s="104" t="s">
        <v>261</v>
      </c>
      <c r="C85" s="105">
        <v>1</v>
      </c>
      <c r="D85" s="106" t="s">
        <v>82</v>
      </c>
      <c r="E85" s="105" t="s">
        <v>260</v>
      </c>
      <c r="F85" s="108"/>
      <c r="G85" s="109"/>
      <c r="H85" s="100">
        <v>55</v>
      </c>
      <c r="I85" s="144"/>
      <c r="J85" s="101"/>
      <c r="K85" s="101"/>
      <c r="L85" s="17" t="s">
        <v>77</v>
      </c>
      <c r="M85" s="17" t="s">
        <v>77</v>
      </c>
      <c r="N85" s="68" t="s">
        <v>83</v>
      </c>
      <c r="O85" s="55" t="s">
        <v>84</v>
      </c>
      <c r="P85" s="230" t="s">
        <v>85</v>
      </c>
      <c r="Q85" s="205" t="s">
        <v>86</v>
      </c>
      <c r="R85" s="1" t="str">
        <f t="shared" si="11"/>
        <v/>
      </c>
      <c r="S85" s="1" t="str">
        <f t="shared" si="11"/>
        <v/>
      </c>
      <c r="T85" s="1" t="str">
        <f t="shared" si="11"/>
        <v/>
      </c>
      <c r="U85" s="1" t="str">
        <f t="shared" si="9"/>
        <v/>
      </c>
      <c r="V85" s="103" t="s">
        <v>260</v>
      </c>
      <c r="W85" s="104" t="s">
        <v>261</v>
      </c>
      <c r="X85" s="105">
        <v>1</v>
      </c>
      <c r="Y85" s="106" t="s">
        <v>82</v>
      </c>
      <c r="Z85" s="105" t="s">
        <v>260</v>
      </c>
      <c r="AA85" s="108"/>
      <c r="AB85" s="109"/>
      <c r="AC85" s="100">
        <v>55</v>
      </c>
      <c r="AD85" s="144"/>
      <c r="AE85" s="101"/>
      <c r="AF85" s="101"/>
      <c r="AG85" s="17" t="s">
        <v>77</v>
      </c>
      <c r="AH85" s="17" t="s">
        <v>77</v>
      </c>
      <c r="AI85" s="68" t="s">
        <v>83</v>
      </c>
      <c r="AJ85" s="55" t="s">
        <v>84</v>
      </c>
      <c r="AK85" s="230" t="s">
        <v>85</v>
      </c>
      <c r="AL85" s="205" t="s">
        <v>86</v>
      </c>
    </row>
    <row r="86" spans="1:38">
      <c r="A86" s="103" t="s">
        <v>262</v>
      </c>
      <c r="B86" s="104" t="s">
        <v>263</v>
      </c>
      <c r="C86" s="105">
        <v>1</v>
      </c>
      <c r="D86" s="106" t="s">
        <v>82</v>
      </c>
      <c r="E86" s="105" t="s">
        <v>262</v>
      </c>
      <c r="F86" s="108"/>
      <c r="G86" s="109"/>
      <c r="H86" s="100">
        <v>82</v>
      </c>
      <c r="I86" s="144"/>
      <c r="J86" s="101"/>
      <c r="K86" s="101"/>
      <c r="L86" s="17" t="s">
        <v>77</v>
      </c>
      <c r="M86" s="17" t="s">
        <v>77</v>
      </c>
      <c r="N86" s="68" t="s">
        <v>83</v>
      </c>
      <c r="O86" s="55" t="s">
        <v>84</v>
      </c>
      <c r="P86" s="230" t="s">
        <v>85</v>
      </c>
      <c r="Q86" s="205" t="s">
        <v>86</v>
      </c>
      <c r="R86" s="1" t="str">
        <f t="shared" si="11"/>
        <v/>
      </c>
      <c r="S86" s="1" t="str">
        <f t="shared" si="11"/>
        <v/>
      </c>
      <c r="T86" s="1" t="str">
        <f t="shared" si="11"/>
        <v/>
      </c>
      <c r="U86" s="1" t="str">
        <f t="shared" si="9"/>
        <v/>
      </c>
      <c r="V86" s="103" t="s">
        <v>262</v>
      </c>
      <c r="W86" s="104" t="s">
        <v>263</v>
      </c>
      <c r="X86" s="105">
        <v>1</v>
      </c>
      <c r="Y86" s="106" t="s">
        <v>82</v>
      </c>
      <c r="Z86" s="105" t="s">
        <v>262</v>
      </c>
      <c r="AA86" s="108"/>
      <c r="AB86" s="109"/>
      <c r="AC86" s="100">
        <v>82</v>
      </c>
      <c r="AD86" s="144"/>
      <c r="AE86" s="101"/>
      <c r="AF86" s="101"/>
      <c r="AG86" s="17" t="s">
        <v>77</v>
      </c>
      <c r="AH86" s="17" t="s">
        <v>77</v>
      </c>
      <c r="AI86" s="68" t="s">
        <v>83</v>
      </c>
      <c r="AJ86" s="55" t="s">
        <v>84</v>
      </c>
      <c r="AK86" s="230" t="s">
        <v>85</v>
      </c>
      <c r="AL86" s="205" t="s">
        <v>86</v>
      </c>
    </row>
    <row r="87" spans="1:38">
      <c r="A87" s="103" t="s">
        <v>264</v>
      </c>
      <c r="B87" s="104" t="s">
        <v>265</v>
      </c>
      <c r="C87" s="105">
        <v>1</v>
      </c>
      <c r="D87" s="106" t="s">
        <v>82</v>
      </c>
      <c r="E87" s="105" t="s">
        <v>264</v>
      </c>
      <c r="F87" s="108"/>
      <c r="G87" s="109"/>
      <c r="H87" s="100">
        <v>84</v>
      </c>
      <c r="I87" s="144"/>
      <c r="J87" s="101"/>
      <c r="K87" s="101"/>
      <c r="L87" s="17" t="s">
        <v>77</v>
      </c>
      <c r="M87" s="17" t="s">
        <v>77</v>
      </c>
      <c r="N87" s="68" t="s">
        <v>83</v>
      </c>
      <c r="O87" s="55" t="s">
        <v>84</v>
      </c>
      <c r="P87" s="230" t="s">
        <v>85</v>
      </c>
      <c r="Q87" s="205" t="s">
        <v>86</v>
      </c>
      <c r="R87" s="1" t="str">
        <f t="shared" si="11"/>
        <v/>
      </c>
      <c r="S87" s="1" t="str">
        <f t="shared" si="11"/>
        <v/>
      </c>
      <c r="T87" s="1" t="str">
        <f t="shared" si="11"/>
        <v/>
      </c>
      <c r="U87" s="1" t="str">
        <f t="shared" si="9"/>
        <v/>
      </c>
      <c r="V87" s="103" t="s">
        <v>264</v>
      </c>
      <c r="W87" s="104" t="s">
        <v>265</v>
      </c>
      <c r="X87" s="105">
        <v>1</v>
      </c>
      <c r="Y87" s="106" t="s">
        <v>82</v>
      </c>
      <c r="Z87" s="105" t="s">
        <v>264</v>
      </c>
      <c r="AA87" s="108"/>
      <c r="AB87" s="109"/>
      <c r="AC87" s="100">
        <v>84</v>
      </c>
      <c r="AD87" s="144"/>
      <c r="AE87" s="101"/>
      <c r="AF87" s="101"/>
      <c r="AG87" s="17" t="s">
        <v>77</v>
      </c>
      <c r="AH87" s="17" t="s">
        <v>77</v>
      </c>
      <c r="AI87" s="68" t="s">
        <v>83</v>
      </c>
      <c r="AJ87" s="55" t="s">
        <v>84</v>
      </c>
      <c r="AK87" s="230" t="s">
        <v>85</v>
      </c>
      <c r="AL87" s="205" t="s">
        <v>86</v>
      </c>
    </row>
    <row r="88" spans="1:38">
      <c r="A88" s="103" t="s">
        <v>266</v>
      </c>
      <c r="B88" s="104" t="s">
        <v>267</v>
      </c>
      <c r="C88" s="105">
        <v>1</v>
      </c>
      <c r="D88" s="106" t="s">
        <v>82</v>
      </c>
      <c r="E88" s="105" t="s">
        <v>266</v>
      </c>
      <c r="F88" s="108"/>
      <c r="G88" s="109"/>
      <c r="H88" s="100">
        <v>35</v>
      </c>
      <c r="I88" s="144"/>
      <c r="J88" s="101"/>
      <c r="K88" s="101"/>
      <c r="L88" s="17" t="s">
        <v>77</v>
      </c>
      <c r="M88" s="17" t="s">
        <v>77</v>
      </c>
      <c r="N88" s="68" t="s">
        <v>83</v>
      </c>
      <c r="O88" s="55" t="s">
        <v>84</v>
      </c>
      <c r="P88" s="230" t="s">
        <v>85</v>
      </c>
      <c r="Q88" s="205" t="s">
        <v>86</v>
      </c>
      <c r="R88" s="1" t="str">
        <f t="shared" si="11"/>
        <v/>
      </c>
      <c r="S88" s="1" t="str">
        <f t="shared" si="11"/>
        <v/>
      </c>
      <c r="T88" s="1" t="str">
        <f t="shared" si="11"/>
        <v/>
      </c>
      <c r="U88" s="1" t="str">
        <f t="shared" si="9"/>
        <v/>
      </c>
      <c r="V88" s="103" t="s">
        <v>266</v>
      </c>
      <c r="W88" s="104" t="s">
        <v>267</v>
      </c>
      <c r="X88" s="105">
        <v>1</v>
      </c>
      <c r="Y88" s="106" t="s">
        <v>82</v>
      </c>
      <c r="Z88" s="105" t="s">
        <v>266</v>
      </c>
      <c r="AA88" s="108"/>
      <c r="AB88" s="109"/>
      <c r="AC88" s="100">
        <v>35</v>
      </c>
      <c r="AD88" s="144"/>
      <c r="AE88" s="101"/>
      <c r="AF88" s="101"/>
      <c r="AG88" s="17" t="s">
        <v>77</v>
      </c>
      <c r="AH88" s="17" t="s">
        <v>77</v>
      </c>
      <c r="AI88" s="68" t="s">
        <v>83</v>
      </c>
      <c r="AJ88" s="55" t="s">
        <v>84</v>
      </c>
      <c r="AK88" s="230" t="s">
        <v>85</v>
      </c>
      <c r="AL88" s="205" t="s">
        <v>86</v>
      </c>
    </row>
    <row r="89" spans="1:38">
      <c r="A89" s="103" t="s">
        <v>268</v>
      </c>
      <c r="B89" s="104" t="s">
        <v>269</v>
      </c>
      <c r="C89" s="105">
        <v>1</v>
      </c>
      <c r="D89" s="106" t="s">
        <v>82</v>
      </c>
      <c r="E89" s="105" t="s">
        <v>268</v>
      </c>
      <c r="F89" s="108"/>
      <c r="G89" s="109"/>
      <c r="H89" s="100">
        <v>80</v>
      </c>
      <c r="I89" s="144"/>
      <c r="J89" s="101"/>
      <c r="K89" s="101"/>
      <c r="L89" s="17" t="s">
        <v>77</v>
      </c>
      <c r="M89" s="17" t="s">
        <v>77</v>
      </c>
      <c r="N89" s="68" t="s">
        <v>83</v>
      </c>
      <c r="O89" s="55" t="s">
        <v>84</v>
      </c>
      <c r="P89" s="230" t="s">
        <v>85</v>
      </c>
      <c r="Q89" s="205" t="s">
        <v>86</v>
      </c>
      <c r="R89" s="1" t="str">
        <f t="shared" si="11"/>
        <v/>
      </c>
      <c r="S89" s="1" t="str">
        <f t="shared" si="11"/>
        <v/>
      </c>
      <c r="T89" s="1" t="str">
        <f t="shared" si="11"/>
        <v/>
      </c>
      <c r="U89" s="1" t="str">
        <f t="shared" si="9"/>
        <v/>
      </c>
      <c r="V89" s="103" t="s">
        <v>268</v>
      </c>
      <c r="W89" s="104" t="s">
        <v>269</v>
      </c>
      <c r="X89" s="105">
        <v>1</v>
      </c>
      <c r="Y89" s="106" t="s">
        <v>82</v>
      </c>
      <c r="Z89" s="105" t="s">
        <v>268</v>
      </c>
      <c r="AA89" s="108"/>
      <c r="AB89" s="109"/>
      <c r="AC89" s="100">
        <v>80</v>
      </c>
      <c r="AD89" s="144"/>
      <c r="AE89" s="101"/>
      <c r="AF89" s="101"/>
      <c r="AG89" s="17" t="s">
        <v>77</v>
      </c>
      <c r="AH89" s="17" t="s">
        <v>77</v>
      </c>
      <c r="AI89" s="68" t="s">
        <v>83</v>
      </c>
      <c r="AJ89" s="55" t="s">
        <v>84</v>
      </c>
      <c r="AK89" s="230" t="s">
        <v>85</v>
      </c>
      <c r="AL89" s="205" t="s">
        <v>86</v>
      </c>
    </row>
    <row r="90" spans="1:38">
      <c r="A90" s="103" t="s">
        <v>270</v>
      </c>
      <c r="B90" s="104" t="s">
        <v>271</v>
      </c>
      <c r="C90" s="105">
        <v>1</v>
      </c>
      <c r="D90" s="106" t="s">
        <v>82</v>
      </c>
      <c r="E90" s="105" t="s">
        <v>270</v>
      </c>
      <c r="F90" s="108"/>
      <c r="G90" s="109"/>
      <c r="H90" s="100">
        <v>120</v>
      </c>
      <c r="I90" s="144"/>
      <c r="J90" s="101"/>
      <c r="K90" s="101"/>
      <c r="L90" s="17" t="s">
        <v>77</v>
      </c>
      <c r="M90" s="17" t="s">
        <v>77</v>
      </c>
      <c r="N90" s="68" t="s">
        <v>83</v>
      </c>
      <c r="O90" s="55" t="s">
        <v>84</v>
      </c>
      <c r="P90" s="230" t="s">
        <v>85</v>
      </c>
      <c r="Q90" s="205" t="s">
        <v>86</v>
      </c>
      <c r="R90" s="1" t="str">
        <f t="shared" si="11"/>
        <v/>
      </c>
      <c r="S90" s="1" t="str">
        <f t="shared" si="11"/>
        <v/>
      </c>
      <c r="T90" s="1" t="str">
        <f t="shared" si="11"/>
        <v/>
      </c>
      <c r="U90" s="1" t="str">
        <f t="shared" si="9"/>
        <v/>
      </c>
      <c r="V90" s="103" t="s">
        <v>270</v>
      </c>
      <c r="W90" s="104" t="s">
        <v>271</v>
      </c>
      <c r="X90" s="105">
        <v>1</v>
      </c>
      <c r="Y90" s="106" t="s">
        <v>82</v>
      </c>
      <c r="Z90" s="105" t="s">
        <v>270</v>
      </c>
      <c r="AA90" s="108"/>
      <c r="AB90" s="109"/>
      <c r="AC90" s="100">
        <v>120</v>
      </c>
      <c r="AD90" s="144"/>
      <c r="AE90" s="101"/>
      <c r="AF90" s="101"/>
      <c r="AG90" s="17" t="s">
        <v>77</v>
      </c>
      <c r="AH90" s="17" t="s">
        <v>77</v>
      </c>
      <c r="AI90" s="68" t="s">
        <v>83</v>
      </c>
      <c r="AJ90" s="55" t="s">
        <v>84</v>
      </c>
      <c r="AK90" s="230" t="s">
        <v>85</v>
      </c>
      <c r="AL90" s="205" t="s">
        <v>86</v>
      </c>
    </row>
    <row r="91" spans="1:38">
      <c r="A91" s="103" t="s">
        <v>272</v>
      </c>
      <c r="B91" s="104" t="s">
        <v>273</v>
      </c>
      <c r="C91" s="105">
        <v>1</v>
      </c>
      <c r="D91" s="106" t="s">
        <v>82</v>
      </c>
      <c r="E91" s="105" t="s">
        <v>272</v>
      </c>
      <c r="F91" s="108"/>
      <c r="G91" s="109"/>
      <c r="H91" s="100">
        <v>185</v>
      </c>
      <c r="I91" s="144"/>
      <c r="J91" s="101"/>
      <c r="K91" s="101"/>
      <c r="L91" s="17" t="s">
        <v>77</v>
      </c>
      <c r="M91" s="17" t="s">
        <v>77</v>
      </c>
      <c r="N91" s="68" t="s">
        <v>83</v>
      </c>
      <c r="O91" s="55" t="s">
        <v>84</v>
      </c>
      <c r="P91" s="230" t="s">
        <v>85</v>
      </c>
      <c r="Q91" s="205" t="s">
        <v>86</v>
      </c>
      <c r="R91" s="1" t="str">
        <f t="shared" si="11"/>
        <v/>
      </c>
      <c r="S91" s="1" t="str">
        <f t="shared" si="11"/>
        <v/>
      </c>
      <c r="T91" s="1" t="str">
        <f t="shared" si="11"/>
        <v/>
      </c>
      <c r="U91" s="1" t="str">
        <f t="shared" si="9"/>
        <v/>
      </c>
      <c r="V91" s="103" t="s">
        <v>272</v>
      </c>
      <c r="W91" s="104" t="s">
        <v>273</v>
      </c>
      <c r="X91" s="105">
        <v>1</v>
      </c>
      <c r="Y91" s="106" t="s">
        <v>82</v>
      </c>
      <c r="Z91" s="105" t="s">
        <v>272</v>
      </c>
      <c r="AA91" s="108"/>
      <c r="AB91" s="109"/>
      <c r="AC91" s="100">
        <v>185</v>
      </c>
      <c r="AD91" s="144"/>
      <c r="AE91" s="101"/>
      <c r="AF91" s="101"/>
      <c r="AG91" s="17" t="s">
        <v>77</v>
      </c>
      <c r="AH91" s="17" t="s">
        <v>77</v>
      </c>
      <c r="AI91" s="68" t="s">
        <v>83</v>
      </c>
      <c r="AJ91" s="55" t="s">
        <v>84</v>
      </c>
      <c r="AK91" s="230" t="s">
        <v>85</v>
      </c>
      <c r="AL91" s="205" t="s">
        <v>86</v>
      </c>
    </row>
    <row r="92" spans="1:38" s="168" customFormat="1" ht="38.25">
      <c r="A92" s="238" t="s">
        <v>274</v>
      </c>
      <c r="B92" s="239" t="s">
        <v>275</v>
      </c>
      <c r="C92" s="240">
        <v>1</v>
      </c>
      <c r="D92" s="241" t="s">
        <v>82</v>
      </c>
      <c r="E92" s="247" t="s">
        <v>274</v>
      </c>
      <c r="F92" s="245"/>
      <c r="G92" s="77"/>
      <c r="H92" s="242">
        <v>366</v>
      </c>
      <c r="I92" s="248"/>
      <c r="J92" s="71"/>
      <c r="K92" s="71"/>
      <c r="L92" s="71" t="s">
        <v>77</v>
      </c>
      <c r="M92" s="71" t="s">
        <v>77</v>
      </c>
      <c r="N92" s="68" t="s">
        <v>83</v>
      </c>
      <c r="O92" s="55" t="s">
        <v>84</v>
      </c>
      <c r="P92" s="230" t="s">
        <v>85</v>
      </c>
      <c r="Q92" s="205" t="s">
        <v>86</v>
      </c>
      <c r="R92" s="1" t="str">
        <f t="shared" si="11"/>
        <v/>
      </c>
      <c r="S92" s="1" t="str">
        <f t="shared" si="11"/>
        <v/>
      </c>
      <c r="T92" s="1" t="str">
        <f t="shared" si="11"/>
        <v/>
      </c>
      <c r="U92" s="1" t="str">
        <f t="shared" si="9"/>
        <v/>
      </c>
      <c r="V92" s="238" t="s">
        <v>274</v>
      </c>
      <c r="W92" s="239" t="s">
        <v>275</v>
      </c>
      <c r="X92" s="240">
        <v>1</v>
      </c>
      <c r="Y92" s="241" t="s">
        <v>82</v>
      </c>
      <c r="Z92" s="247" t="s">
        <v>274</v>
      </c>
      <c r="AA92" s="245"/>
      <c r="AB92" s="77"/>
      <c r="AC92" s="242">
        <v>366</v>
      </c>
      <c r="AD92" s="248"/>
      <c r="AE92" s="71"/>
      <c r="AF92" s="71"/>
      <c r="AG92" s="71" t="s">
        <v>77</v>
      </c>
      <c r="AH92" s="71" t="s">
        <v>77</v>
      </c>
      <c r="AI92" s="68" t="s">
        <v>83</v>
      </c>
      <c r="AJ92" s="55" t="s">
        <v>84</v>
      </c>
      <c r="AK92" s="264" t="s">
        <v>85</v>
      </c>
      <c r="AL92" s="246" t="s">
        <v>86</v>
      </c>
    </row>
    <row r="93" spans="1:38">
      <c r="A93" s="103" t="s">
        <v>276</v>
      </c>
      <c r="B93" s="104" t="s">
        <v>277</v>
      </c>
      <c r="C93" s="105">
        <v>1</v>
      </c>
      <c r="D93" s="106" t="s">
        <v>82</v>
      </c>
      <c r="E93" s="155" t="s">
        <v>276</v>
      </c>
      <c r="F93" s="320"/>
      <c r="G93" s="22"/>
      <c r="H93" s="100">
        <v>486</v>
      </c>
      <c r="I93" s="185"/>
      <c r="J93" s="17"/>
      <c r="K93" s="17"/>
      <c r="L93" s="17" t="s">
        <v>77</v>
      </c>
      <c r="M93" s="17" t="s">
        <v>77</v>
      </c>
      <c r="N93" s="68" t="s">
        <v>83</v>
      </c>
      <c r="O93" s="55" t="s">
        <v>84</v>
      </c>
      <c r="P93" s="230" t="s">
        <v>85</v>
      </c>
      <c r="Q93" s="205" t="s">
        <v>86</v>
      </c>
      <c r="R93" s="1" t="str">
        <f t="shared" si="11"/>
        <v/>
      </c>
      <c r="S93" s="1" t="str">
        <f t="shared" si="11"/>
        <v/>
      </c>
      <c r="T93" s="1" t="str">
        <f t="shared" si="11"/>
        <v/>
      </c>
      <c r="U93" s="1" t="str">
        <f t="shared" si="9"/>
        <v/>
      </c>
      <c r="V93" s="103" t="s">
        <v>276</v>
      </c>
      <c r="W93" s="104" t="s">
        <v>277</v>
      </c>
      <c r="X93" s="105">
        <v>1</v>
      </c>
      <c r="Y93" s="106" t="s">
        <v>82</v>
      </c>
      <c r="Z93" s="155" t="s">
        <v>276</v>
      </c>
      <c r="AA93" s="320"/>
      <c r="AB93" s="22"/>
      <c r="AC93" s="100">
        <v>486</v>
      </c>
      <c r="AD93" s="185"/>
      <c r="AE93" s="17"/>
      <c r="AF93" s="17"/>
      <c r="AG93" s="17" t="s">
        <v>77</v>
      </c>
      <c r="AH93" s="17" t="s">
        <v>77</v>
      </c>
      <c r="AI93" s="68" t="s">
        <v>83</v>
      </c>
      <c r="AJ93" s="55" t="s">
        <v>84</v>
      </c>
      <c r="AK93" s="230" t="s">
        <v>85</v>
      </c>
      <c r="AL93" s="205" t="s">
        <v>86</v>
      </c>
    </row>
    <row r="94" spans="1:38">
      <c r="A94" s="566" t="s">
        <v>278</v>
      </c>
      <c r="B94" s="567" t="s">
        <v>279</v>
      </c>
      <c r="C94" s="568">
        <v>1</v>
      </c>
      <c r="D94" s="565" t="s">
        <v>82</v>
      </c>
      <c r="E94" s="568" t="s">
        <v>278</v>
      </c>
      <c r="F94" s="569"/>
      <c r="G94" s="570"/>
      <c r="H94" s="412">
        <v>161.51</v>
      </c>
      <c r="I94" s="412"/>
      <c r="J94" s="409"/>
      <c r="K94" s="409"/>
      <c r="L94" s="120"/>
      <c r="M94" s="120"/>
      <c r="N94" s="68" t="s">
        <v>83</v>
      </c>
      <c r="O94" s="55" t="s">
        <v>84</v>
      </c>
      <c r="P94" s="268" t="s">
        <v>85</v>
      </c>
      <c r="Q94" s="56" t="s">
        <v>86</v>
      </c>
      <c r="R94" s="121" t="str">
        <f t="shared" si="11"/>
        <v/>
      </c>
      <c r="S94" s="121" t="str">
        <f t="shared" si="11"/>
        <v/>
      </c>
      <c r="T94" s="121" t="str">
        <f t="shared" si="11"/>
        <v/>
      </c>
      <c r="U94" s="121" t="str">
        <f t="shared" si="9"/>
        <v/>
      </c>
      <c r="V94" s="25" t="s">
        <v>278</v>
      </c>
      <c r="W94" s="26" t="s">
        <v>280</v>
      </c>
      <c r="X94" s="29">
        <v>1</v>
      </c>
      <c r="Y94" s="106" t="s">
        <v>82</v>
      </c>
      <c r="Z94" s="29" t="s">
        <v>278</v>
      </c>
      <c r="AA94" s="35"/>
      <c r="AB94" s="22"/>
      <c r="AC94" s="31">
        <v>129</v>
      </c>
      <c r="AD94" s="144"/>
      <c r="AE94" s="101"/>
      <c r="AF94" s="101"/>
      <c r="AG94" s="17"/>
      <c r="AH94" s="17"/>
      <c r="AI94" s="68" t="s">
        <v>83</v>
      </c>
      <c r="AJ94" s="55" t="s">
        <v>84</v>
      </c>
      <c r="AK94" s="230" t="s">
        <v>85</v>
      </c>
      <c r="AL94" s="205" t="s">
        <v>281</v>
      </c>
    </row>
    <row r="95" spans="1:38">
      <c r="A95" s="103"/>
      <c r="B95" s="104"/>
      <c r="C95" s="105"/>
      <c r="D95" s="106"/>
      <c r="E95" s="105"/>
      <c r="F95" s="108"/>
      <c r="G95" s="109"/>
      <c r="H95" s="100"/>
      <c r="I95" s="144"/>
      <c r="J95" s="101"/>
      <c r="K95" s="101"/>
      <c r="L95" s="17"/>
      <c r="M95" s="17"/>
      <c r="N95" s="68"/>
      <c r="O95" s="55"/>
      <c r="P95" s="230"/>
      <c r="Q95" s="205"/>
      <c r="R95" s="1" t="str">
        <f t="shared" si="11"/>
        <v/>
      </c>
      <c r="S95" s="1" t="str">
        <f t="shared" si="11"/>
        <v/>
      </c>
      <c r="T95" s="1" t="str">
        <f t="shared" si="11"/>
        <v/>
      </c>
      <c r="U95" s="1" t="str">
        <f t="shared" si="9"/>
        <v/>
      </c>
      <c r="V95" s="25" t="s">
        <v>282</v>
      </c>
      <c r="W95" s="26" t="s">
        <v>283</v>
      </c>
      <c r="X95" s="29">
        <v>1</v>
      </c>
      <c r="Y95" s="106" t="s">
        <v>82</v>
      </c>
      <c r="Z95" s="29" t="s">
        <v>282</v>
      </c>
      <c r="AA95" s="35"/>
      <c r="AB95" s="22"/>
      <c r="AC95" s="31">
        <v>221</v>
      </c>
      <c r="AD95" s="144"/>
      <c r="AE95" s="101"/>
      <c r="AF95" s="101"/>
      <c r="AG95" s="17"/>
      <c r="AH95" s="17"/>
      <c r="AI95" s="68" t="s">
        <v>83</v>
      </c>
      <c r="AJ95" s="55" t="s">
        <v>84</v>
      </c>
      <c r="AK95" s="230" t="s">
        <v>85</v>
      </c>
      <c r="AL95" s="205" t="s">
        <v>284</v>
      </c>
    </row>
    <row r="96" spans="1:38">
      <c r="A96" s="103" t="s">
        <v>285</v>
      </c>
      <c r="B96" s="104" t="s">
        <v>286</v>
      </c>
      <c r="C96" s="105">
        <v>1</v>
      </c>
      <c r="D96" s="106" t="s">
        <v>82</v>
      </c>
      <c r="E96" s="105" t="s">
        <v>285</v>
      </c>
      <c r="F96" s="108"/>
      <c r="G96" s="109"/>
      <c r="H96" s="100">
        <v>173.67</v>
      </c>
      <c r="I96" s="144"/>
      <c r="J96" s="101"/>
      <c r="K96" s="101"/>
      <c r="L96" s="17"/>
      <c r="M96" s="17"/>
      <c r="N96" s="68" t="s">
        <v>83</v>
      </c>
      <c r="O96" s="55" t="s">
        <v>84</v>
      </c>
      <c r="P96" s="230" t="s">
        <v>85</v>
      </c>
      <c r="Q96" s="205" t="s">
        <v>86</v>
      </c>
      <c r="R96" s="1" t="str">
        <f t="shared" si="11"/>
        <v/>
      </c>
      <c r="S96" s="1" t="str">
        <f t="shared" si="11"/>
        <v/>
      </c>
      <c r="T96" s="1" t="str">
        <f t="shared" si="11"/>
        <v/>
      </c>
      <c r="U96" s="1" t="str">
        <f t="shared" si="9"/>
        <v/>
      </c>
      <c r="V96" s="25" t="s">
        <v>285</v>
      </c>
      <c r="W96" s="26" t="s">
        <v>286</v>
      </c>
      <c r="X96" s="29">
        <v>1</v>
      </c>
      <c r="Y96" s="106" t="s">
        <v>82</v>
      </c>
      <c r="Z96" s="29" t="s">
        <v>285</v>
      </c>
      <c r="AA96" s="35"/>
      <c r="AB96" s="22"/>
      <c r="AC96" s="31">
        <v>111</v>
      </c>
      <c r="AD96" s="144"/>
      <c r="AE96" s="101"/>
      <c r="AF96" s="101"/>
      <c r="AG96" s="17"/>
      <c r="AH96" s="17"/>
      <c r="AI96" s="68" t="s">
        <v>83</v>
      </c>
      <c r="AJ96" s="55" t="s">
        <v>84</v>
      </c>
      <c r="AK96" s="230" t="s">
        <v>85</v>
      </c>
      <c r="AL96" s="205" t="s">
        <v>287</v>
      </c>
    </row>
    <row r="97" spans="1:46">
      <c r="A97" s="25"/>
      <c r="B97" s="26"/>
      <c r="C97" s="29"/>
      <c r="D97" s="106"/>
      <c r="E97" s="29"/>
      <c r="F97" s="35"/>
      <c r="G97" s="22"/>
      <c r="H97" s="31"/>
      <c r="I97" s="144"/>
      <c r="J97" s="101"/>
      <c r="K97" s="101"/>
      <c r="L97" s="17"/>
      <c r="M97" s="17"/>
      <c r="N97" s="68"/>
      <c r="O97" s="55"/>
      <c r="P97" s="230"/>
      <c r="Q97" s="205"/>
      <c r="R97" s="1" t="str">
        <f t="shared" si="11"/>
        <v/>
      </c>
      <c r="S97" s="1" t="str">
        <f t="shared" si="11"/>
        <v/>
      </c>
      <c r="T97" s="1" t="str">
        <f t="shared" si="11"/>
        <v/>
      </c>
      <c r="U97" s="1" t="str">
        <f t="shared" si="9"/>
        <v/>
      </c>
      <c r="V97" s="25" t="s">
        <v>288</v>
      </c>
      <c r="W97" s="26" t="s">
        <v>289</v>
      </c>
      <c r="X97" s="29">
        <v>1</v>
      </c>
      <c r="Y97" s="106" t="s">
        <v>82</v>
      </c>
      <c r="Z97" s="29" t="s">
        <v>288</v>
      </c>
      <c r="AA97" s="35"/>
      <c r="AB97" s="22"/>
      <c r="AC97" s="31">
        <v>209</v>
      </c>
      <c r="AD97" s="144"/>
      <c r="AE97" s="101"/>
      <c r="AF97" s="101"/>
      <c r="AG97" s="17"/>
      <c r="AH97" s="17"/>
      <c r="AI97" s="68" t="s">
        <v>83</v>
      </c>
      <c r="AJ97" s="55" t="s">
        <v>84</v>
      </c>
      <c r="AK97" s="230" t="s">
        <v>85</v>
      </c>
      <c r="AL97" s="205" t="s">
        <v>290</v>
      </c>
    </row>
    <row r="98" spans="1:46">
      <c r="A98" s="93" t="s">
        <v>291</v>
      </c>
      <c r="B98" s="94" t="s">
        <v>292</v>
      </c>
      <c r="C98" s="95">
        <v>1</v>
      </c>
      <c r="D98" s="96" t="s">
        <v>75</v>
      </c>
      <c r="E98" s="96" t="s">
        <v>291</v>
      </c>
      <c r="F98" s="96">
        <v>1207.2</v>
      </c>
      <c r="G98" s="97">
        <f>rv_mbp13_eg</f>
        <v>0.17599999999999999</v>
      </c>
      <c r="H98" s="98">
        <f>F98-(F98*G98)</f>
        <v>994.7328</v>
      </c>
      <c r="I98" s="193" t="s">
        <v>229</v>
      </c>
      <c r="J98" s="99">
        <f>mbp13_5pl</f>
        <v>44.998640000000002</v>
      </c>
      <c r="K98" s="99">
        <f>H98+J98</f>
        <v>1039.73144</v>
      </c>
      <c r="L98" s="17" t="s">
        <v>77</v>
      </c>
      <c r="M98" s="17">
        <v>0.3</v>
      </c>
      <c r="N98" s="68" t="s">
        <v>75</v>
      </c>
      <c r="O98" s="55" t="s">
        <v>230</v>
      </c>
      <c r="P98" s="230" t="s">
        <v>79</v>
      </c>
      <c r="Q98" s="205" t="s">
        <v>231</v>
      </c>
      <c r="R98" s="1">
        <f t="shared" si="11"/>
        <v>205.85356572411729</v>
      </c>
      <c r="S98" s="1">
        <f t="shared" si="11"/>
        <v>105.32474930875769</v>
      </c>
      <c r="T98" s="1">
        <f t="shared" si="11"/>
        <v>75.548913051831804</v>
      </c>
      <c r="U98" s="1">
        <f t="shared" si="9"/>
        <v>64.720560849624619</v>
      </c>
      <c r="V98" s="93" t="s">
        <v>291</v>
      </c>
      <c r="W98" s="94" t="s">
        <v>292</v>
      </c>
      <c r="X98" s="95">
        <v>1</v>
      </c>
      <c r="Y98" s="96" t="s">
        <v>75</v>
      </c>
      <c r="Z98" s="96" t="s">
        <v>291</v>
      </c>
      <c r="AA98" s="96">
        <v>1207.2</v>
      </c>
      <c r="AB98" s="141">
        <f>rv_mbp13_eg</f>
        <v>0.17599999999999999</v>
      </c>
      <c r="AC98" s="145">
        <f>AA98-(AA98*AB98)</f>
        <v>994.7328</v>
      </c>
      <c r="AD98" s="193" t="s">
        <v>229</v>
      </c>
      <c r="AE98" s="99">
        <f>mbp13_5pl</f>
        <v>44.998640000000002</v>
      </c>
      <c r="AF98" s="99">
        <f>AC98+AE98</f>
        <v>1039.73144</v>
      </c>
      <c r="AG98" s="17" t="s">
        <v>77</v>
      </c>
      <c r="AH98" s="17">
        <v>0.3</v>
      </c>
      <c r="AI98" s="68" t="s">
        <v>75</v>
      </c>
      <c r="AJ98" s="55" t="s">
        <v>230</v>
      </c>
      <c r="AK98" s="230" t="s">
        <v>79</v>
      </c>
      <c r="AL98" s="205" t="s">
        <v>231</v>
      </c>
    </row>
    <row r="99" spans="1:46">
      <c r="A99" s="25" t="s">
        <v>293</v>
      </c>
      <c r="B99" s="123" t="s">
        <v>294</v>
      </c>
      <c r="C99" s="29">
        <v>1</v>
      </c>
      <c r="D99" s="35" t="s">
        <v>75</v>
      </c>
      <c r="E99" s="33" t="s">
        <v>77</v>
      </c>
      <c r="F99" s="35">
        <v>191.67</v>
      </c>
      <c r="G99" s="102">
        <f t="shared" ref="G99:G102" si="15">rv_mbp13_eg_cto</f>
        <v>0.17599999999999999</v>
      </c>
      <c r="H99" s="31">
        <f>F99-(F99*G99)</f>
        <v>157.93608</v>
      </c>
      <c r="I99" s="185"/>
      <c r="J99" s="46"/>
      <c r="K99" s="46"/>
      <c r="L99" s="17" t="s">
        <v>77</v>
      </c>
      <c r="M99" s="17" t="s">
        <v>77</v>
      </c>
      <c r="N99" s="68" t="s">
        <v>75</v>
      </c>
      <c r="O99" s="55" t="s">
        <v>230</v>
      </c>
      <c r="P99" s="230" t="s">
        <v>79</v>
      </c>
      <c r="Q99" s="205" t="s">
        <v>231</v>
      </c>
      <c r="R99" s="1" t="str">
        <f t="shared" si="11"/>
        <v/>
      </c>
      <c r="S99" s="1" t="str">
        <f t="shared" si="11"/>
        <v/>
      </c>
      <c r="T99" s="1" t="str">
        <f t="shared" si="11"/>
        <v/>
      </c>
      <c r="U99" s="1" t="str">
        <f t="shared" si="9"/>
        <v/>
      </c>
      <c r="V99" s="25" t="s">
        <v>293</v>
      </c>
      <c r="W99" s="123" t="s">
        <v>294</v>
      </c>
      <c r="X99" s="29">
        <v>1</v>
      </c>
      <c r="Y99" s="35" t="s">
        <v>75</v>
      </c>
      <c r="Z99" s="33" t="s">
        <v>77</v>
      </c>
      <c r="AA99" s="35">
        <v>191.67</v>
      </c>
      <c r="AB99" s="102">
        <f t="shared" ref="AB99:AB102" si="16">rv_mbp13_eg_cto</f>
        <v>0.17599999999999999</v>
      </c>
      <c r="AC99" s="31">
        <f>AA99-(AA99*AB99)</f>
        <v>157.93608</v>
      </c>
      <c r="AD99" s="185"/>
      <c r="AE99" s="46"/>
      <c r="AF99" s="46"/>
      <c r="AG99" s="17" t="s">
        <v>77</v>
      </c>
      <c r="AH99" s="17" t="s">
        <v>77</v>
      </c>
      <c r="AI99" s="68" t="s">
        <v>75</v>
      </c>
      <c r="AJ99" s="55" t="s">
        <v>230</v>
      </c>
      <c r="AK99" s="230" t="s">
        <v>79</v>
      </c>
      <c r="AL99" s="205" t="s">
        <v>89</v>
      </c>
    </row>
    <row r="100" spans="1:46">
      <c r="A100" s="25" t="s">
        <v>295</v>
      </c>
      <c r="B100" s="123" t="s">
        <v>296</v>
      </c>
      <c r="C100" s="29">
        <v>1</v>
      </c>
      <c r="D100" s="35" t="s">
        <v>75</v>
      </c>
      <c r="E100" s="33" t="s">
        <v>77</v>
      </c>
      <c r="F100" s="35">
        <v>191.67</v>
      </c>
      <c r="G100" s="102">
        <f t="shared" si="15"/>
        <v>0.17599999999999999</v>
      </c>
      <c r="H100" s="31">
        <f>F100-(F100*G100)</f>
        <v>157.93608</v>
      </c>
      <c r="I100" s="185"/>
      <c r="J100" s="46"/>
      <c r="K100" s="46"/>
      <c r="L100" s="17" t="s">
        <v>77</v>
      </c>
      <c r="M100" s="17" t="s">
        <v>77</v>
      </c>
      <c r="N100" s="68" t="s">
        <v>75</v>
      </c>
      <c r="O100" s="55" t="s">
        <v>230</v>
      </c>
      <c r="P100" s="230" t="s">
        <v>79</v>
      </c>
      <c r="Q100" s="205" t="s">
        <v>231</v>
      </c>
      <c r="R100" s="1" t="str">
        <f t="shared" si="11"/>
        <v/>
      </c>
      <c r="S100" s="1" t="str">
        <f t="shared" si="11"/>
        <v/>
      </c>
      <c r="T100" s="1" t="str">
        <f t="shared" si="11"/>
        <v/>
      </c>
      <c r="U100" s="1" t="str">
        <f t="shared" si="9"/>
        <v/>
      </c>
      <c r="V100" s="25" t="s">
        <v>295</v>
      </c>
      <c r="W100" s="123" t="s">
        <v>296</v>
      </c>
      <c r="X100" s="29">
        <v>1</v>
      </c>
      <c r="Y100" s="35" t="s">
        <v>75</v>
      </c>
      <c r="Z100" s="33" t="s">
        <v>77</v>
      </c>
      <c r="AA100" s="35">
        <v>191.67</v>
      </c>
      <c r="AB100" s="102">
        <f t="shared" si="16"/>
        <v>0.17599999999999999</v>
      </c>
      <c r="AC100" s="31">
        <f>AA100-(AA100*AB100)</f>
        <v>157.93608</v>
      </c>
      <c r="AD100" s="185"/>
      <c r="AE100" s="46"/>
      <c r="AF100" s="46"/>
      <c r="AG100" s="17" t="s">
        <v>77</v>
      </c>
      <c r="AH100" s="17" t="s">
        <v>77</v>
      </c>
      <c r="AI100" s="68" t="s">
        <v>75</v>
      </c>
      <c r="AJ100" s="55" t="s">
        <v>230</v>
      </c>
      <c r="AK100" s="230" t="s">
        <v>79</v>
      </c>
      <c r="AL100" s="205" t="s">
        <v>89</v>
      </c>
    </row>
    <row r="101" spans="1:46">
      <c r="A101" s="25" t="s">
        <v>297</v>
      </c>
      <c r="B101" s="123" t="s">
        <v>298</v>
      </c>
      <c r="C101" s="29">
        <v>1</v>
      </c>
      <c r="D101" s="35" t="s">
        <v>75</v>
      </c>
      <c r="E101" s="33" t="s">
        <v>77</v>
      </c>
      <c r="F101" s="35">
        <v>383.33</v>
      </c>
      <c r="G101" s="102">
        <f t="shared" si="15"/>
        <v>0.17599999999999999</v>
      </c>
      <c r="H101" s="31">
        <f>F101-(F101*G101)</f>
        <v>315.86392000000001</v>
      </c>
      <c r="I101" s="185"/>
      <c r="J101" s="46"/>
      <c r="K101" s="46"/>
      <c r="L101" s="17" t="s">
        <v>77</v>
      </c>
      <c r="M101" s="17" t="s">
        <v>77</v>
      </c>
      <c r="N101" s="68" t="s">
        <v>75</v>
      </c>
      <c r="O101" s="55" t="s">
        <v>230</v>
      </c>
      <c r="P101" s="230" t="s">
        <v>79</v>
      </c>
      <c r="Q101" s="205" t="s">
        <v>231</v>
      </c>
      <c r="R101" s="1" t="str">
        <f t="shared" si="11"/>
        <v/>
      </c>
      <c r="S101" s="1" t="str">
        <f t="shared" si="11"/>
        <v/>
      </c>
      <c r="T101" s="1" t="str">
        <f t="shared" si="11"/>
        <v/>
      </c>
      <c r="U101" s="1" t="str">
        <f t="shared" si="9"/>
        <v/>
      </c>
      <c r="V101" s="25" t="s">
        <v>297</v>
      </c>
      <c r="W101" s="123" t="s">
        <v>298</v>
      </c>
      <c r="X101" s="29">
        <v>1</v>
      </c>
      <c r="Y101" s="35" t="s">
        <v>75</v>
      </c>
      <c r="Z101" s="33" t="s">
        <v>77</v>
      </c>
      <c r="AA101" s="35">
        <v>383.33</v>
      </c>
      <c r="AB101" s="102">
        <f t="shared" si="16"/>
        <v>0.17599999999999999</v>
      </c>
      <c r="AC101" s="31">
        <f>AA101-(AA101*AB101)</f>
        <v>315.86392000000001</v>
      </c>
      <c r="AD101" s="185"/>
      <c r="AE101" s="46"/>
      <c r="AF101" s="46"/>
      <c r="AG101" s="17" t="s">
        <v>77</v>
      </c>
      <c r="AH101" s="17" t="s">
        <v>77</v>
      </c>
      <c r="AI101" s="68" t="s">
        <v>75</v>
      </c>
      <c r="AJ101" s="55" t="s">
        <v>230</v>
      </c>
      <c r="AK101" s="230" t="s">
        <v>79</v>
      </c>
      <c r="AL101" s="205" t="s">
        <v>89</v>
      </c>
    </row>
    <row r="102" spans="1:46">
      <c r="A102" s="25" t="s">
        <v>299</v>
      </c>
      <c r="B102" s="123" t="s">
        <v>300</v>
      </c>
      <c r="C102" s="29">
        <v>1</v>
      </c>
      <c r="D102" s="35" t="s">
        <v>75</v>
      </c>
      <c r="E102" s="33" t="s">
        <v>77</v>
      </c>
      <c r="F102" s="35">
        <v>766.67</v>
      </c>
      <c r="G102" s="102">
        <f t="shared" si="15"/>
        <v>0.17599999999999999</v>
      </c>
      <c r="H102" s="31">
        <f>F102-(F102*G102)</f>
        <v>631.73608000000002</v>
      </c>
      <c r="I102" s="185"/>
      <c r="J102" s="46"/>
      <c r="K102" s="46"/>
      <c r="L102" s="17" t="s">
        <v>77</v>
      </c>
      <c r="M102" s="17" t="s">
        <v>77</v>
      </c>
      <c r="N102" s="68" t="s">
        <v>75</v>
      </c>
      <c r="O102" s="55" t="s">
        <v>230</v>
      </c>
      <c r="P102" s="230" t="s">
        <v>79</v>
      </c>
      <c r="Q102" s="205" t="s">
        <v>231</v>
      </c>
      <c r="R102" s="1" t="str">
        <f t="shared" si="11"/>
        <v/>
      </c>
      <c r="S102" s="1" t="str">
        <f t="shared" si="11"/>
        <v/>
      </c>
      <c r="T102" s="1" t="str">
        <f t="shared" si="11"/>
        <v/>
      </c>
      <c r="U102" s="1" t="str">
        <f t="shared" si="9"/>
        <v/>
      </c>
      <c r="V102" s="25" t="s">
        <v>299</v>
      </c>
      <c r="W102" s="123" t="s">
        <v>300</v>
      </c>
      <c r="X102" s="29">
        <v>1</v>
      </c>
      <c r="Y102" s="35" t="s">
        <v>75</v>
      </c>
      <c r="Z102" s="33" t="s">
        <v>77</v>
      </c>
      <c r="AA102" s="35">
        <v>766.67</v>
      </c>
      <c r="AB102" s="102">
        <f t="shared" si="16"/>
        <v>0.17599999999999999</v>
      </c>
      <c r="AC102" s="31">
        <f>AA102-(AA102*AB102)</f>
        <v>631.73608000000002</v>
      </c>
      <c r="AD102" s="185"/>
      <c r="AE102" s="46"/>
      <c r="AF102" s="46"/>
      <c r="AG102" s="17" t="s">
        <v>77</v>
      </c>
      <c r="AH102" s="17" t="s">
        <v>77</v>
      </c>
      <c r="AI102" s="68" t="s">
        <v>75</v>
      </c>
      <c r="AJ102" s="55" t="s">
        <v>230</v>
      </c>
      <c r="AK102" s="230" t="s">
        <v>79</v>
      </c>
      <c r="AL102" s="205" t="s">
        <v>89</v>
      </c>
    </row>
    <row r="103" spans="1:46">
      <c r="A103" s="25" t="s">
        <v>301</v>
      </c>
      <c r="B103" s="123" t="s">
        <v>302</v>
      </c>
      <c r="C103" s="29">
        <v>1</v>
      </c>
      <c r="D103" s="35" t="s">
        <v>75</v>
      </c>
      <c r="E103" s="33" t="s">
        <v>77</v>
      </c>
      <c r="F103" s="35"/>
      <c r="G103" s="22"/>
      <c r="H103" s="31">
        <v>0</v>
      </c>
      <c r="I103" s="185"/>
      <c r="J103" s="46"/>
      <c r="K103" s="46"/>
      <c r="L103" s="17" t="s">
        <v>77</v>
      </c>
      <c r="M103" s="17" t="s">
        <v>77</v>
      </c>
      <c r="N103" s="68" t="s">
        <v>75</v>
      </c>
      <c r="O103" s="55" t="s">
        <v>230</v>
      </c>
      <c r="P103" s="230" t="s">
        <v>79</v>
      </c>
      <c r="Q103" s="205" t="s">
        <v>231</v>
      </c>
      <c r="R103" s="1" t="str">
        <f t="shared" si="11"/>
        <v/>
      </c>
      <c r="S103" s="1" t="str">
        <f t="shared" si="11"/>
        <v/>
      </c>
      <c r="T103" s="1" t="str">
        <f t="shared" si="11"/>
        <v/>
      </c>
      <c r="U103" s="1" t="str">
        <f t="shared" si="9"/>
        <v/>
      </c>
      <c r="V103" s="25" t="s">
        <v>301</v>
      </c>
      <c r="W103" s="123" t="s">
        <v>303</v>
      </c>
      <c r="X103" s="29">
        <v>1</v>
      </c>
      <c r="Y103" s="35" t="s">
        <v>75</v>
      </c>
      <c r="Z103" s="33" t="s">
        <v>77</v>
      </c>
      <c r="AA103" s="35"/>
      <c r="AB103" s="22"/>
      <c r="AC103" s="31">
        <v>0</v>
      </c>
      <c r="AD103" s="185"/>
      <c r="AE103" s="46"/>
      <c r="AF103" s="46"/>
      <c r="AG103" s="17" t="s">
        <v>77</v>
      </c>
      <c r="AH103" s="17" t="s">
        <v>77</v>
      </c>
      <c r="AI103" s="68" t="s">
        <v>75</v>
      </c>
      <c r="AJ103" s="55" t="s">
        <v>230</v>
      </c>
      <c r="AK103" s="230" t="s">
        <v>79</v>
      </c>
      <c r="AL103" s="205" t="s">
        <v>89</v>
      </c>
    </row>
    <row r="104" spans="1:46" s="186" customFormat="1">
      <c r="A104" s="25" t="s">
        <v>304</v>
      </c>
      <c r="B104" s="26" t="s">
        <v>305</v>
      </c>
      <c r="C104" s="29">
        <v>1</v>
      </c>
      <c r="D104" s="31" t="s">
        <v>75</v>
      </c>
      <c r="E104" s="33" t="s">
        <v>77</v>
      </c>
      <c r="F104" s="33"/>
      <c r="G104" s="22"/>
      <c r="H104" s="31">
        <v>0</v>
      </c>
      <c r="I104" s="185"/>
      <c r="J104" s="17"/>
      <c r="K104" s="17"/>
      <c r="L104" s="17" t="s">
        <v>77</v>
      </c>
      <c r="M104" s="17" t="s">
        <v>77</v>
      </c>
      <c r="N104" s="68"/>
      <c r="O104" s="55"/>
      <c r="P104" s="213"/>
      <c r="Q104" s="221"/>
      <c r="R104" s="1" t="str">
        <f t="shared" si="11"/>
        <v/>
      </c>
      <c r="S104" s="1" t="str">
        <f t="shared" si="11"/>
        <v/>
      </c>
      <c r="T104" s="1" t="str">
        <f t="shared" si="11"/>
        <v/>
      </c>
      <c r="U104" s="1" t="str">
        <f t="shared" si="9"/>
        <v/>
      </c>
      <c r="V104" s="25" t="s">
        <v>304</v>
      </c>
      <c r="W104" s="26" t="s">
        <v>306</v>
      </c>
      <c r="X104" s="29">
        <v>1</v>
      </c>
      <c r="Y104" s="31" t="s">
        <v>75</v>
      </c>
      <c r="Z104" s="33" t="s">
        <v>77</v>
      </c>
      <c r="AA104" s="33"/>
      <c r="AB104" s="22"/>
      <c r="AC104" s="31">
        <v>0</v>
      </c>
      <c r="AD104" s="185"/>
      <c r="AE104" s="17"/>
      <c r="AF104" s="17"/>
      <c r="AG104" s="17" t="s">
        <v>77</v>
      </c>
      <c r="AH104" s="17" t="s">
        <v>77</v>
      </c>
      <c r="AI104" s="68"/>
      <c r="AJ104" s="55"/>
      <c r="AK104" s="213"/>
      <c r="AL104" s="221"/>
    </row>
    <row r="105" spans="1:46" customFormat="1">
      <c r="A105" s="443" t="s">
        <v>307</v>
      </c>
      <c r="B105" s="444" t="s">
        <v>308</v>
      </c>
      <c r="C105" s="148">
        <v>1</v>
      </c>
      <c r="D105" s="438" t="s">
        <v>75</v>
      </c>
      <c r="E105" s="445" t="s">
        <v>77</v>
      </c>
      <c r="F105" s="445"/>
      <c r="G105" s="446"/>
      <c r="H105" s="438">
        <v>0</v>
      </c>
      <c r="I105" s="436"/>
      <c r="J105" s="438"/>
      <c r="K105" s="438"/>
      <c r="L105" s="438" t="s">
        <v>77</v>
      </c>
      <c r="M105" s="438" t="s">
        <v>77</v>
      </c>
      <c r="N105" s="439"/>
      <c r="O105" s="440"/>
      <c r="P105" s="441"/>
      <c r="Q105" s="442"/>
      <c r="R105" s="1" t="str">
        <f t="shared" si="11"/>
        <v/>
      </c>
      <c r="S105" s="1" t="str">
        <f t="shared" si="11"/>
        <v/>
      </c>
      <c r="T105" s="1" t="str">
        <f t="shared" si="11"/>
        <v/>
      </c>
      <c r="U105" s="1" t="str">
        <f t="shared" si="9"/>
        <v/>
      </c>
      <c r="V105" s="443"/>
      <c r="W105" s="444"/>
      <c r="X105" s="148"/>
      <c r="Y105" s="438"/>
      <c r="Z105" s="445"/>
      <c r="AA105" s="445"/>
      <c r="AB105" s="446"/>
      <c r="AC105" s="438"/>
      <c r="AD105" s="436"/>
      <c r="AE105" s="438"/>
      <c r="AF105" s="438"/>
      <c r="AG105" s="438"/>
      <c r="AH105" s="438"/>
      <c r="AI105" s="439"/>
      <c r="AJ105" s="440"/>
      <c r="AK105" s="441"/>
      <c r="AL105" s="442"/>
      <c r="AM105" s="437"/>
      <c r="AN105" s="437"/>
      <c r="AO105" s="437"/>
      <c r="AP105" s="437"/>
      <c r="AQ105" s="437"/>
      <c r="AR105" s="437"/>
      <c r="AS105" s="437"/>
      <c r="AT105" s="437"/>
    </row>
    <row r="106" spans="1:46">
      <c r="A106" s="93" t="s">
        <v>309</v>
      </c>
      <c r="B106" s="94" t="s">
        <v>310</v>
      </c>
      <c r="C106" s="95">
        <v>1</v>
      </c>
      <c r="D106" s="96" t="s">
        <v>75</v>
      </c>
      <c r="E106" s="96" t="s">
        <v>309</v>
      </c>
      <c r="F106" s="96">
        <v>1398.87</v>
      </c>
      <c r="G106" s="97">
        <f>rv_mbp13_hg</f>
        <v>0.17599999999999999</v>
      </c>
      <c r="H106" s="98">
        <f>F106-(F106*G106)</f>
        <v>1152.6688799999999</v>
      </c>
      <c r="I106" s="193" t="s">
        <v>229</v>
      </c>
      <c r="J106" s="99">
        <f>mbp13_5pl</f>
        <v>44.998640000000002</v>
      </c>
      <c r="K106" s="99">
        <f>H106+J106</f>
        <v>1197.66752</v>
      </c>
      <c r="L106" s="17" t="s">
        <v>77</v>
      </c>
      <c r="M106" s="17">
        <v>0.3</v>
      </c>
      <c r="N106" s="68" t="s">
        <v>75</v>
      </c>
      <c r="O106" s="55" t="s">
        <v>311</v>
      </c>
      <c r="P106" s="230" t="s">
        <v>79</v>
      </c>
      <c r="Q106" s="205" t="s">
        <v>231</v>
      </c>
      <c r="R106" s="1">
        <f t="shared" si="11"/>
        <v>237.12289545073347</v>
      </c>
      <c r="S106" s="1">
        <f t="shared" si="11"/>
        <v>121.32366729166287</v>
      </c>
      <c r="T106" s="1">
        <f t="shared" si="11"/>
        <v>87.024856470131397</v>
      </c>
      <c r="U106" s="1">
        <f t="shared" si="9"/>
        <v>74.551668463328383</v>
      </c>
      <c r="V106" s="93" t="s">
        <v>309</v>
      </c>
      <c r="W106" s="94" t="s">
        <v>310</v>
      </c>
      <c r="X106" s="95">
        <v>1</v>
      </c>
      <c r="Y106" s="96" t="s">
        <v>75</v>
      </c>
      <c r="Z106" s="96" t="s">
        <v>309</v>
      </c>
      <c r="AA106" s="96">
        <v>1398.87</v>
      </c>
      <c r="AB106" s="141">
        <f>rv_mbp13_hg</f>
        <v>0.17599999999999999</v>
      </c>
      <c r="AC106" s="145">
        <f>AA106-(AA106*AB106)</f>
        <v>1152.6688799999999</v>
      </c>
      <c r="AD106" s="193" t="s">
        <v>229</v>
      </c>
      <c r="AE106" s="99">
        <f>mbp13_5pl</f>
        <v>44.998640000000002</v>
      </c>
      <c r="AF106" s="99">
        <f>AC106+AE106</f>
        <v>1197.66752</v>
      </c>
      <c r="AG106" s="17" t="s">
        <v>77</v>
      </c>
      <c r="AH106" s="17">
        <v>0.3</v>
      </c>
      <c r="AI106" s="68" t="s">
        <v>75</v>
      </c>
      <c r="AJ106" s="55" t="s">
        <v>311</v>
      </c>
      <c r="AK106" s="230" t="s">
        <v>79</v>
      </c>
      <c r="AL106" s="205" t="s">
        <v>231</v>
      </c>
    </row>
    <row r="107" spans="1:46">
      <c r="A107" s="25" t="s">
        <v>312</v>
      </c>
      <c r="B107" s="123" t="s">
        <v>313</v>
      </c>
      <c r="C107" s="29">
        <v>1</v>
      </c>
      <c r="D107" s="35" t="s">
        <v>75</v>
      </c>
      <c r="E107" s="33" t="s">
        <v>77</v>
      </c>
      <c r="F107" s="35">
        <v>191.67</v>
      </c>
      <c r="G107" s="102">
        <f>rv_mbp13_hg_cto</f>
        <v>0.17599999999999999</v>
      </c>
      <c r="H107" s="31">
        <f>F107-(F107*G107)</f>
        <v>157.93608</v>
      </c>
      <c r="I107" s="185"/>
      <c r="J107" s="17"/>
      <c r="K107" s="17"/>
      <c r="L107" s="17" t="s">
        <v>77</v>
      </c>
      <c r="M107" s="17" t="s">
        <v>77</v>
      </c>
      <c r="N107" s="68" t="s">
        <v>75</v>
      </c>
      <c r="O107" s="55" t="s">
        <v>311</v>
      </c>
      <c r="P107" s="230" t="s">
        <v>79</v>
      </c>
      <c r="Q107" s="205" t="s">
        <v>231</v>
      </c>
      <c r="R107" s="1" t="str">
        <f t="shared" si="11"/>
        <v/>
      </c>
      <c r="S107" s="1" t="str">
        <f t="shared" si="11"/>
        <v/>
      </c>
      <c r="T107" s="1" t="str">
        <f t="shared" si="11"/>
        <v/>
      </c>
      <c r="U107" s="1" t="str">
        <f t="shared" si="9"/>
        <v/>
      </c>
      <c r="V107" s="25" t="s">
        <v>312</v>
      </c>
      <c r="W107" s="123" t="s">
        <v>313</v>
      </c>
      <c r="X107" s="29">
        <v>1</v>
      </c>
      <c r="Y107" s="35" t="s">
        <v>75</v>
      </c>
      <c r="Z107" s="33" t="s">
        <v>77</v>
      </c>
      <c r="AA107" s="35">
        <v>191.67</v>
      </c>
      <c r="AB107" s="102">
        <f>rv_mbp13_hg_cto</f>
        <v>0.17599999999999999</v>
      </c>
      <c r="AC107" s="31">
        <f>AA107-(AA107*AB107)</f>
        <v>157.93608</v>
      </c>
      <c r="AD107" s="185"/>
      <c r="AE107" s="17"/>
      <c r="AF107" s="17"/>
      <c r="AG107" s="17" t="s">
        <v>77</v>
      </c>
      <c r="AH107" s="17" t="s">
        <v>77</v>
      </c>
      <c r="AI107" s="68" t="s">
        <v>75</v>
      </c>
      <c r="AJ107" s="55" t="s">
        <v>311</v>
      </c>
      <c r="AK107" s="230" t="s">
        <v>79</v>
      </c>
      <c r="AL107" s="205" t="s">
        <v>89</v>
      </c>
    </row>
    <row r="108" spans="1:46">
      <c r="A108" s="25" t="s">
        <v>314</v>
      </c>
      <c r="B108" s="123" t="s">
        <v>315</v>
      </c>
      <c r="C108" s="29">
        <v>1</v>
      </c>
      <c r="D108" s="35" t="s">
        <v>75</v>
      </c>
      <c r="E108" s="33" t="s">
        <v>77</v>
      </c>
      <c r="F108" s="35">
        <v>191.67</v>
      </c>
      <c r="G108" s="102">
        <f>rv_mbp13_hg_cto</f>
        <v>0.17599999999999999</v>
      </c>
      <c r="H108" s="31">
        <f>F108-(F108*G108)</f>
        <v>157.93608</v>
      </c>
      <c r="I108" s="185"/>
      <c r="J108" s="46"/>
      <c r="K108" s="46"/>
      <c r="L108" s="17" t="s">
        <v>77</v>
      </c>
      <c r="M108" s="17" t="s">
        <v>77</v>
      </c>
      <c r="N108" s="68" t="s">
        <v>75</v>
      </c>
      <c r="O108" s="55" t="s">
        <v>311</v>
      </c>
      <c r="P108" s="230" t="s">
        <v>79</v>
      </c>
      <c r="Q108" s="205" t="s">
        <v>231</v>
      </c>
      <c r="R108" s="1" t="str">
        <f t="shared" si="11"/>
        <v/>
      </c>
      <c r="S108" s="1" t="str">
        <f t="shared" si="11"/>
        <v/>
      </c>
      <c r="T108" s="1" t="str">
        <f t="shared" si="11"/>
        <v/>
      </c>
      <c r="U108" s="1" t="str">
        <f t="shared" si="9"/>
        <v/>
      </c>
      <c r="V108" s="25" t="s">
        <v>314</v>
      </c>
      <c r="W108" s="123" t="s">
        <v>315</v>
      </c>
      <c r="X108" s="29">
        <v>1</v>
      </c>
      <c r="Y108" s="35" t="s">
        <v>75</v>
      </c>
      <c r="Z108" s="33" t="s">
        <v>77</v>
      </c>
      <c r="AA108" s="35">
        <v>191.67</v>
      </c>
      <c r="AB108" s="102">
        <f>rv_mbp13_hg_cto</f>
        <v>0.17599999999999999</v>
      </c>
      <c r="AC108" s="31">
        <f>AA108-(AA108*AB108)</f>
        <v>157.93608</v>
      </c>
      <c r="AD108" s="185"/>
      <c r="AE108" s="46"/>
      <c r="AF108" s="46"/>
      <c r="AG108" s="17" t="s">
        <v>77</v>
      </c>
      <c r="AH108" s="17" t="s">
        <v>77</v>
      </c>
      <c r="AI108" s="68" t="s">
        <v>75</v>
      </c>
      <c r="AJ108" s="55" t="s">
        <v>311</v>
      </c>
      <c r="AK108" s="230" t="s">
        <v>79</v>
      </c>
      <c r="AL108" s="205" t="s">
        <v>89</v>
      </c>
    </row>
    <row r="109" spans="1:46">
      <c r="A109" s="25" t="s">
        <v>316</v>
      </c>
      <c r="B109" s="123" t="s">
        <v>317</v>
      </c>
      <c r="C109" s="29">
        <v>1</v>
      </c>
      <c r="D109" s="35" t="s">
        <v>75</v>
      </c>
      <c r="E109" s="33" t="s">
        <v>77</v>
      </c>
      <c r="F109" s="35">
        <v>575</v>
      </c>
      <c r="G109" s="102">
        <f>rv_mbp13_hg_cto</f>
        <v>0.17599999999999999</v>
      </c>
      <c r="H109" s="31">
        <f>F109-(F109*G109)</f>
        <v>473.8</v>
      </c>
      <c r="I109" s="185"/>
      <c r="J109" s="46"/>
      <c r="K109" s="46"/>
      <c r="L109" s="17" t="s">
        <v>77</v>
      </c>
      <c r="M109" s="17" t="s">
        <v>77</v>
      </c>
      <c r="N109" s="68" t="s">
        <v>75</v>
      </c>
      <c r="O109" s="55" t="s">
        <v>311</v>
      </c>
      <c r="P109" s="230" t="s">
        <v>79</v>
      </c>
      <c r="Q109" s="205" t="s">
        <v>231</v>
      </c>
      <c r="R109" s="1" t="str">
        <f t="shared" si="11"/>
        <v/>
      </c>
      <c r="S109" s="1" t="str">
        <f t="shared" si="11"/>
        <v/>
      </c>
      <c r="T109" s="1" t="str">
        <f t="shared" si="11"/>
        <v/>
      </c>
      <c r="U109" s="1" t="str">
        <f t="shared" si="9"/>
        <v/>
      </c>
      <c r="V109" s="25" t="s">
        <v>316</v>
      </c>
      <c r="W109" s="123" t="s">
        <v>317</v>
      </c>
      <c r="X109" s="29">
        <v>1</v>
      </c>
      <c r="Y109" s="35" t="s">
        <v>75</v>
      </c>
      <c r="Z109" s="33" t="s">
        <v>77</v>
      </c>
      <c r="AA109" s="35">
        <v>575</v>
      </c>
      <c r="AB109" s="102">
        <f>rv_mbp13_hg_cto</f>
        <v>0.17599999999999999</v>
      </c>
      <c r="AC109" s="31">
        <f>AA109-(AA109*AB109)</f>
        <v>473.8</v>
      </c>
      <c r="AD109" s="185"/>
      <c r="AE109" s="46"/>
      <c r="AF109" s="46"/>
      <c r="AG109" s="17" t="s">
        <v>77</v>
      </c>
      <c r="AH109" s="17" t="s">
        <v>77</v>
      </c>
      <c r="AI109" s="68" t="s">
        <v>75</v>
      </c>
      <c r="AJ109" s="55" t="s">
        <v>311</v>
      </c>
      <c r="AK109" s="230" t="s">
        <v>79</v>
      </c>
      <c r="AL109" s="205" t="s">
        <v>89</v>
      </c>
    </row>
    <row r="110" spans="1:46">
      <c r="A110" s="25" t="s">
        <v>318</v>
      </c>
      <c r="B110" s="123" t="s">
        <v>319</v>
      </c>
      <c r="C110" s="29">
        <v>1</v>
      </c>
      <c r="D110" s="35" t="s">
        <v>75</v>
      </c>
      <c r="E110" s="33" t="s">
        <v>77</v>
      </c>
      <c r="F110" s="35"/>
      <c r="G110" s="22"/>
      <c r="H110" s="31">
        <v>0</v>
      </c>
      <c r="I110" s="185"/>
      <c r="J110" s="46"/>
      <c r="K110" s="46"/>
      <c r="L110" s="17" t="s">
        <v>77</v>
      </c>
      <c r="M110" s="17" t="s">
        <v>77</v>
      </c>
      <c r="N110" s="68" t="s">
        <v>75</v>
      </c>
      <c r="O110" s="55" t="s">
        <v>311</v>
      </c>
      <c r="P110" s="230" t="s">
        <v>79</v>
      </c>
      <c r="Q110" s="205" t="s">
        <v>231</v>
      </c>
      <c r="R110" s="1" t="str">
        <f t="shared" si="11"/>
        <v/>
      </c>
      <c r="S110" s="1" t="str">
        <f t="shared" si="11"/>
        <v/>
      </c>
      <c r="T110" s="1" t="str">
        <f t="shared" si="11"/>
        <v/>
      </c>
      <c r="U110" s="1" t="str">
        <f t="shared" si="9"/>
        <v/>
      </c>
      <c r="V110" s="25" t="s">
        <v>318</v>
      </c>
      <c r="W110" s="123" t="s">
        <v>320</v>
      </c>
      <c r="X110" s="29">
        <v>1</v>
      </c>
      <c r="Y110" s="35" t="s">
        <v>75</v>
      </c>
      <c r="Z110" s="33" t="s">
        <v>77</v>
      </c>
      <c r="AA110" s="35"/>
      <c r="AB110" s="22"/>
      <c r="AC110" s="31">
        <v>0</v>
      </c>
      <c r="AD110" s="185"/>
      <c r="AE110" s="46"/>
      <c r="AF110" s="46"/>
      <c r="AG110" s="17" t="s">
        <v>77</v>
      </c>
      <c r="AH110" s="17" t="s">
        <v>77</v>
      </c>
      <c r="AI110" s="68" t="s">
        <v>75</v>
      </c>
      <c r="AJ110" s="55" t="s">
        <v>311</v>
      </c>
      <c r="AK110" s="230" t="s">
        <v>79</v>
      </c>
      <c r="AL110" s="205" t="s">
        <v>89</v>
      </c>
    </row>
    <row r="111" spans="1:46" s="186" customFormat="1">
      <c r="A111" s="25" t="s">
        <v>321</v>
      </c>
      <c r="B111" s="26" t="s">
        <v>322</v>
      </c>
      <c r="C111" s="29">
        <v>1</v>
      </c>
      <c r="D111" s="31" t="s">
        <v>75</v>
      </c>
      <c r="E111" s="33" t="s">
        <v>77</v>
      </c>
      <c r="F111" s="33"/>
      <c r="G111" s="22"/>
      <c r="H111" s="31">
        <v>0</v>
      </c>
      <c r="I111" s="185"/>
      <c r="J111" s="17"/>
      <c r="K111" s="17"/>
      <c r="L111" s="17" t="s">
        <v>77</v>
      </c>
      <c r="M111" s="17" t="s">
        <v>77</v>
      </c>
      <c r="N111" s="68"/>
      <c r="O111" s="55"/>
      <c r="P111" s="213"/>
      <c r="Q111" s="221"/>
      <c r="R111" s="1" t="str">
        <f t="shared" si="11"/>
        <v/>
      </c>
      <c r="S111" s="1" t="str">
        <f t="shared" si="11"/>
        <v/>
      </c>
      <c r="T111" s="1" t="str">
        <f t="shared" si="11"/>
        <v/>
      </c>
      <c r="U111" s="1" t="str">
        <f t="shared" si="9"/>
        <v/>
      </c>
      <c r="V111" s="25" t="s">
        <v>321</v>
      </c>
      <c r="W111" s="26" t="s">
        <v>323</v>
      </c>
      <c r="X111" s="29">
        <v>1</v>
      </c>
      <c r="Y111" s="31" t="s">
        <v>75</v>
      </c>
      <c r="Z111" s="33" t="s">
        <v>77</v>
      </c>
      <c r="AA111" s="33"/>
      <c r="AB111" s="22"/>
      <c r="AC111" s="31">
        <v>0</v>
      </c>
      <c r="AD111" s="185"/>
      <c r="AE111" s="17"/>
      <c r="AF111" s="17"/>
      <c r="AG111" s="17" t="s">
        <v>77</v>
      </c>
      <c r="AH111" s="17" t="s">
        <v>77</v>
      </c>
      <c r="AI111" s="68"/>
      <c r="AJ111" s="55"/>
      <c r="AK111" s="213"/>
      <c r="AL111" s="221"/>
    </row>
    <row r="112" spans="1:46" customFormat="1">
      <c r="A112" s="443" t="s">
        <v>324</v>
      </c>
      <c r="B112" s="444" t="s">
        <v>325</v>
      </c>
      <c r="C112" s="148">
        <v>1</v>
      </c>
      <c r="D112" s="438" t="s">
        <v>75</v>
      </c>
      <c r="E112" s="445" t="s">
        <v>77</v>
      </c>
      <c r="F112" s="445"/>
      <c r="G112" s="446"/>
      <c r="H112" s="438">
        <v>0</v>
      </c>
      <c r="I112" s="436"/>
      <c r="J112" s="438"/>
      <c r="K112" s="438"/>
      <c r="L112" s="438" t="s">
        <v>77</v>
      </c>
      <c r="M112" s="438" t="s">
        <v>77</v>
      </c>
      <c r="N112" s="439"/>
      <c r="O112" s="440"/>
      <c r="P112" s="441"/>
      <c r="Q112" s="442"/>
      <c r="R112" s="1" t="str">
        <f t="shared" si="11"/>
        <v/>
      </c>
      <c r="S112" s="1" t="str">
        <f t="shared" si="11"/>
        <v/>
      </c>
      <c r="T112" s="1" t="str">
        <f t="shared" si="11"/>
        <v/>
      </c>
      <c r="U112" s="1" t="str">
        <f t="shared" si="9"/>
        <v/>
      </c>
      <c r="V112" s="443"/>
      <c r="W112" s="444"/>
      <c r="X112" s="148"/>
      <c r="Y112" s="438"/>
      <c r="Z112" s="445"/>
      <c r="AA112" s="445"/>
      <c r="AB112" s="446"/>
      <c r="AC112" s="438"/>
      <c r="AD112" s="436"/>
      <c r="AE112" s="438"/>
      <c r="AF112" s="438"/>
      <c r="AG112" s="438"/>
      <c r="AH112" s="438"/>
      <c r="AI112" s="439"/>
      <c r="AJ112" s="440"/>
      <c r="AK112" s="441"/>
      <c r="AL112" s="442"/>
      <c r="AM112" s="437"/>
      <c r="AN112" s="437"/>
      <c r="AO112" s="437"/>
      <c r="AP112" s="437"/>
      <c r="AQ112" s="437"/>
      <c r="AR112" s="437"/>
      <c r="AS112" s="437"/>
      <c r="AT112" s="437"/>
    </row>
    <row r="113" spans="1:46">
      <c r="A113" s="93" t="s">
        <v>326</v>
      </c>
      <c r="B113" s="94" t="s">
        <v>327</v>
      </c>
      <c r="C113" s="95">
        <v>1</v>
      </c>
      <c r="D113" s="96" t="s">
        <v>75</v>
      </c>
      <c r="E113" s="96" t="s">
        <v>326</v>
      </c>
      <c r="F113" s="96">
        <v>1398.87</v>
      </c>
      <c r="G113" s="97">
        <f>rv_mbp13_hg</f>
        <v>0.17599999999999999</v>
      </c>
      <c r="H113" s="98">
        <f>F113-(F113*G113)</f>
        <v>1152.6688799999999</v>
      </c>
      <c r="I113" s="193" t="s">
        <v>229</v>
      </c>
      <c r="J113" s="99">
        <f>mbp13_5pl</f>
        <v>44.998640000000002</v>
      </c>
      <c r="K113" s="99">
        <f>H113+J113</f>
        <v>1197.66752</v>
      </c>
      <c r="L113" s="17" t="s">
        <v>77</v>
      </c>
      <c r="M113" s="17">
        <v>0.3</v>
      </c>
      <c r="N113" s="68" t="s">
        <v>75</v>
      </c>
      <c r="O113" s="55" t="s">
        <v>311</v>
      </c>
      <c r="P113" s="230" t="s">
        <v>79</v>
      </c>
      <c r="Q113" s="205" t="s">
        <v>231</v>
      </c>
      <c r="R113" s="1">
        <f t="shared" si="11"/>
        <v>237.12289545073347</v>
      </c>
      <c r="S113" s="1">
        <f t="shared" si="11"/>
        <v>121.32366729166287</v>
      </c>
      <c r="T113" s="1">
        <f t="shared" si="11"/>
        <v>87.024856470131397</v>
      </c>
      <c r="U113" s="1">
        <f t="shared" si="9"/>
        <v>74.551668463328383</v>
      </c>
      <c r="V113" s="93" t="s">
        <v>326</v>
      </c>
      <c r="W113" s="94" t="s">
        <v>327</v>
      </c>
      <c r="X113" s="95">
        <v>1</v>
      </c>
      <c r="Y113" s="96" t="s">
        <v>75</v>
      </c>
      <c r="Z113" s="96" t="s">
        <v>326</v>
      </c>
      <c r="AA113" s="96">
        <v>1398.87</v>
      </c>
      <c r="AB113" s="141">
        <f>rv_mbp13_hg</f>
        <v>0.17599999999999999</v>
      </c>
      <c r="AC113" s="145">
        <f>AA113-(AA113*AB113)</f>
        <v>1152.6688799999999</v>
      </c>
      <c r="AD113" s="193" t="s">
        <v>229</v>
      </c>
      <c r="AE113" s="99">
        <f>mbp13_5pl</f>
        <v>44.998640000000002</v>
      </c>
      <c r="AF113" s="99">
        <f>AC113+AE113</f>
        <v>1197.66752</v>
      </c>
      <c r="AG113" s="17" t="s">
        <v>77</v>
      </c>
      <c r="AH113" s="17">
        <v>0.3</v>
      </c>
      <c r="AI113" s="68" t="s">
        <v>75</v>
      </c>
      <c r="AJ113" s="55" t="s">
        <v>311</v>
      </c>
      <c r="AK113" s="230" t="s">
        <v>79</v>
      </c>
      <c r="AL113" s="205" t="s">
        <v>231</v>
      </c>
    </row>
    <row r="114" spans="1:46">
      <c r="A114" s="25" t="s">
        <v>328</v>
      </c>
      <c r="B114" s="123" t="s">
        <v>329</v>
      </c>
      <c r="C114" s="29">
        <v>1</v>
      </c>
      <c r="D114" s="35" t="s">
        <v>75</v>
      </c>
      <c r="E114" s="33" t="s">
        <v>77</v>
      </c>
      <c r="F114" s="35">
        <v>191.67</v>
      </c>
      <c r="G114" s="102">
        <f>rv_mbp13_hg_cto</f>
        <v>0.17599999999999999</v>
      </c>
      <c r="H114" s="31">
        <f>F114-(F114*G114)</f>
        <v>157.93608</v>
      </c>
      <c r="I114" s="185"/>
      <c r="J114" s="17"/>
      <c r="K114" s="17"/>
      <c r="L114" s="17" t="s">
        <v>77</v>
      </c>
      <c r="M114" s="17" t="s">
        <v>77</v>
      </c>
      <c r="N114" s="68" t="s">
        <v>75</v>
      </c>
      <c r="O114" s="55" t="s">
        <v>311</v>
      </c>
      <c r="P114" s="230" t="s">
        <v>79</v>
      </c>
      <c r="Q114" s="205" t="s">
        <v>231</v>
      </c>
      <c r="R114" s="1" t="str">
        <f t="shared" si="11"/>
        <v/>
      </c>
      <c r="S114" s="1" t="str">
        <f t="shared" si="11"/>
        <v/>
      </c>
      <c r="T114" s="1" t="str">
        <f t="shared" si="11"/>
        <v/>
      </c>
      <c r="U114" s="1" t="str">
        <f t="shared" si="9"/>
        <v/>
      </c>
      <c r="V114" s="25" t="s">
        <v>328</v>
      </c>
      <c r="W114" s="123" t="s">
        <v>329</v>
      </c>
      <c r="X114" s="29">
        <v>1</v>
      </c>
      <c r="Y114" s="35" t="s">
        <v>75</v>
      </c>
      <c r="Z114" s="33" t="s">
        <v>77</v>
      </c>
      <c r="AA114" s="35">
        <v>191.67</v>
      </c>
      <c r="AB114" s="102">
        <f>rv_mbp13_hg_cto</f>
        <v>0.17599999999999999</v>
      </c>
      <c r="AC114" s="31">
        <f>AA114-(AA114*AB114)</f>
        <v>157.93608</v>
      </c>
      <c r="AD114" s="185"/>
      <c r="AE114" s="17"/>
      <c r="AF114" s="17"/>
      <c r="AG114" s="17" t="s">
        <v>77</v>
      </c>
      <c r="AH114" s="17" t="s">
        <v>77</v>
      </c>
      <c r="AI114" s="68" t="s">
        <v>75</v>
      </c>
      <c r="AJ114" s="55" t="s">
        <v>311</v>
      </c>
      <c r="AK114" s="230" t="s">
        <v>79</v>
      </c>
      <c r="AL114" s="205" t="s">
        <v>89</v>
      </c>
    </row>
    <row r="115" spans="1:46">
      <c r="A115" s="25" t="s">
        <v>330</v>
      </c>
      <c r="B115" s="123" t="s">
        <v>331</v>
      </c>
      <c r="C115" s="29">
        <v>1</v>
      </c>
      <c r="D115" s="35" t="s">
        <v>75</v>
      </c>
      <c r="E115" s="33" t="s">
        <v>77</v>
      </c>
      <c r="F115" s="35">
        <v>191.67</v>
      </c>
      <c r="G115" s="102">
        <f>rv_mbp13_hg_cto</f>
        <v>0.17599999999999999</v>
      </c>
      <c r="H115" s="31">
        <f>F115-(F115*G115)</f>
        <v>157.93608</v>
      </c>
      <c r="I115" s="185"/>
      <c r="J115" s="17"/>
      <c r="K115" s="17"/>
      <c r="L115" s="17" t="s">
        <v>77</v>
      </c>
      <c r="M115" s="17" t="s">
        <v>77</v>
      </c>
      <c r="N115" s="68" t="s">
        <v>75</v>
      </c>
      <c r="O115" s="55" t="s">
        <v>311</v>
      </c>
      <c r="P115" s="230" t="s">
        <v>79</v>
      </c>
      <c r="Q115" s="205" t="s">
        <v>231</v>
      </c>
      <c r="R115" s="1" t="str">
        <f t="shared" si="11"/>
        <v/>
      </c>
      <c r="S115" s="1" t="str">
        <f t="shared" si="11"/>
        <v/>
      </c>
      <c r="T115" s="1" t="str">
        <f t="shared" si="11"/>
        <v/>
      </c>
      <c r="U115" s="1" t="str">
        <f t="shared" si="9"/>
        <v/>
      </c>
      <c r="V115" s="25" t="s">
        <v>330</v>
      </c>
      <c r="W115" s="123" t="s">
        <v>331</v>
      </c>
      <c r="X115" s="29">
        <v>1</v>
      </c>
      <c r="Y115" s="35" t="s">
        <v>75</v>
      </c>
      <c r="Z115" s="33" t="s">
        <v>77</v>
      </c>
      <c r="AA115" s="35">
        <v>191.67</v>
      </c>
      <c r="AB115" s="102">
        <f>rv_mbp13_hg_cto</f>
        <v>0.17599999999999999</v>
      </c>
      <c r="AC115" s="31">
        <f>AA115-(AA115*AB115)</f>
        <v>157.93608</v>
      </c>
      <c r="AD115" s="185"/>
      <c r="AE115" s="17"/>
      <c r="AF115" s="17"/>
      <c r="AG115" s="17" t="s">
        <v>77</v>
      </c>
      <c r="AH115" s="17" t="s">
        <v>77</v>
      </c>
      <c r="AI115" s="68" t="s">
        <v>75</v>
      </c>
      <c r="AJ115" s="55" t="s">
        <v>311</v>
      </c>
      <c r="AK115" s="230" t="s">
        <v>79</v>
      </c>
      <c r="AL115" s="205" t="s">
        <v>89</v>
      </c>
    </row>
    <row r="116" spans="1:46">
      <c r="A116" s="25" t="s">
        <v>332</v>
      </c>
      <c r="B116" s="123" t="s">
        <v>333</v>
      </c>
      <c r="C116" s="29">
        <v>1</v>
      </c>
      <c r="D116" s="35" t="s">
        <v>75</v>
      </c>
      <c r="E116" s="33" t="s">
        <v>77</v>
      </c>
      <c r="F116" s="35">
        <v>575</v>
      </c>
      <c r="G116" s="102">
        <f>rv_mbp13_hg_cto</f>
        <v>0.17599999999999999</v>
      </c>
      <c r="H116" s="31">
        <f>F116-(F116*G116)</f>
        <v>473.8</v>
      </c>
      <c r="I116" s="185"/>
      <c r="J116" s="17"/>
      <c r="K116" s="17"/>
      <c r="L116" s="17" t="s">
        <v>77</v>
      </c>
      <c r="M116" s="17" t="s">
        <v>77</v>
      </c>
      <c r="N116" s="68" t="s">
        <v>75</v>
      </c>
      <c r="O116" s="55" t="s">
        <v>311</v>
      </c>
      <c r="P116" s="230" t="s">
        <v>79</v>
      </c>
      <c r="Q116" s="205" t="s">
        <v>231</v>
      </c>
      <c r="R116" s="1" t="str">
        <f t="shared" si="11"/>
        <v/>
      </c>
      <c r="S116" s="1" t="str">
        <f t="shared" si="11"/>
        <v/>
      </c>
      <c r="T116" s="1" t="str">
        <f t="shared" si="11"/>
        <v/>
      </c>
      <c r="U116" s="1" t="str">
        <f t="shared" si="9"/>
        <v/>
      </c>
      <c r="V116" s="25" t="s">
        <v>332</v>
      </c>
      <c r="W116" s="123" t="s">
        <v>333</v>
      </c>
      <c r="X116" s="29">
        <v>1</v>
      </c>
      <c r="Y116" s="35" t="s">
        <v>75</v>
      </c>
      <c r="Z116" s="33" t="s">
        <v>77</v>
      </c>
      <c r="AA116" s="35">
        <v>575</v>
      </c>
      <c r="AB116" s="102">
        <f>rv_mbp13_hg_cto</f>
        <v>0.17599999999999999</v>
      </c>
      <c r="AC116" s="31">
        <f>AA116-(AA116*AB116)</f>
        <v>473.8</v>
      </c>
      <c r="AD116" s="185"/>
      <c r="AE116" s="17"/>
      <c r="AF116" s="17"/>
      <c r="AG116" s="17" t="s">
        <v>77</v>
      </c>
      <c r="AH116" s="17" t="s">
        <v>77</v>
      </c>
      <c r="AI116" s="68" t="s">
        <v>75</v>
      </c>
      <c r="AJ116" s="55" t="s">
        <v>311</v>
      </c>
      <c r="AK116" s="230" t="s">
        <v>79</v>
      </c>
      <c r="AL116" s="205" t="s">
        <v>89</v>
      </c>
    </row>
    <row r="117" spans="1:46">
      <c r="A117" s="25" t="s">
        <v>334</v>
      </c>
      <c r="B117" s="123" t="s">
        <v>335</v>
      </c>
      <c r="C117" s="29">
        <v>1</v>
      </c>
      <c r="D117" s="35" t="s">
        <v>75</v>
      </c>
      <c r="E117" s="33" t="s">
        <v>77</v>
      </c>
      <c r="F117" s="35"/>
      <c r="G117" s="22"/>
      <c r="H117" s="31">
        <v>0</v>
      </c>
      <c r="I117" s="185"/>
      <c r="J117" s="17"/>
      <c r="K117" s="17"/>
      <c r="L117" s="17" t="s">
        <v>77</v>
      </c>
      <c r="M117" s="17" t="s">
        <v>77</v>
      </c>
      <c r="N117" s="68" t="s">
        <v>75</v>
      </c>
      <c r="O117" s="55" t="s">
        <v>311</v>
      </c>
      <c r="P117" s="230" t="s">
        <v>79</v>
      </c>
      <c r="Q117" s="205" t="s">
        <v>231</v>
      </c>
      <c r="R117" s="1" t="str">
        <f t="shared" si="11"/>
        <v/>
      </c>
      <c r="S117" s="1" t="str">
        <f t="shared" si="11"/>
        <v/>
      </c>
      <c r="T117" s="1" t="str">
        <f t="shared" si="11"/>
        <v/>
      </c>
      <c r="U117" s="1" t="str">
        <f t="shared" si="9"/>
        <v/>
      </c>
      <c r="V117" s="25" t="s">
        <v>334</v>
      </c>
      <c r="W117" s="123" t="s">
        <v>336</v>
      </c>
      <c r="X117" s="29">
        <v>1</v>
      </c>
      <c r="Y117" s="35" t="s">
        <v>75</v>
      </c>
      <c r="Z117" s="33" t="s">
        <v>77</v>
      </c>
      <c r="AA117" s="35"/>
      <c r="AB117" s="22"/>
      <c r="AC117" s="31">
        <v>0</v>
      </c>
      <c r="AD117" s="185"/>
      <c r="AE117" s="17"/>
      <c r="AF117" s="17"/>
      <c r="AG117" s="17" t="s">
        <v>77</v>
      </c>
      <c r="AH117" s="17" t="s">
        <v>77</v>
      </c>
      <c r="AI117" s="68" t="s">
        <v>75</v>
      </c>
      <c r="AJ117" s="55" t="s">
        <v>311</v>
      </c>
      <c r="AK117" s="230" t="s">
        <v>79</v>
      </c>
      <c r="AL117" s="205" t="s">
        <v>89</v>
      </c>
    </row>
    <row r="118" spans="1:46" s="186" customFormat="1">
      <c r="A118" s="25" t="s">
        <v>337</v>
      </c>
      <c r="B118" s="26" t="s">
        <v>305</v>
      </c>
      <c r="C118" s="29">
        <v>1</v>
      </c>
      <c r="D118" s="31" t="s">
        <v>75</v>
      </c>
      <c r="E118" s="33" t="s">
        <v>77</v>
      </c>
      <c r="F118" s="33"/>
      <c r="G118" s="22"/>
      <c r="H118" s="31">
        <v>0</v>
      </c>
      <c r="I118" s="185"/>
      <c r="J118" s="17"/>
      <c r="K118" s="17"/>
      <c r="L118" s="17" t="s">
        <v>77</v>
      </c>
      <c r="M118" s="17" t="s">
        <v>77</v>
      </c>
      <c r="N118" s="68" t="s">
        <v>75</v>
      </c>
      <c r="O118" s="55" t="s">
        <v>338</v>
      </c>
      <c r="P118" s="230" t="s">
        <v>79</v>
      </c>
      <c r="Q118" s="205" t="s">
        <v>231</v>
      </c>
      <c r="R118" s="1" t="str">
        <f t="shared" si="11"/>
        <v/>
      </c>
      <c r="S118" s="1" t="str">
        <f t="shared" si="11"/>
        <v/>
      </c>
      <c r="T118" s="1" t="str">
        <f t="shared" si="11"/>
        <v/>
      </c>
      <c r="U118" s="1" t="str">
        <f t="shared" si="9"/>
        <v/>
      </c>
      <c r="V118" s="25" t="s">
        <v>337</v>
      </c>
      <c r="W118" s="26" t="s">
        <v>306</v>
      </c>
      <c r="X118" s="29">
        <v>1</v>
      </c>
      <c r="Y118" s="31" t="s">
        <v>75</v>
      </c>
      <c r="Z118" s="33" t="s">
        <v>77</v>
      </c>
      <c r="AA118" s="33"/>
      <c r="AB118" s="22"/>
      <c r="AC118" s="31">
        <v>0</v>
      </c>
      <c r="AD118" s="185"/>
      <c r="AE118" s="17"/>
      <c r="AF118" s="17"/>
      <c r="AG118" s="17" t="s">
        <v>77</v>
      </c>
      <c r="AH118" s="17" t="s">
        <v>77</v>
      </c>
      <c r="AI118" s="68" t="s">
        <v>75</v>
      </c>
      <c r="AJ118" s="55" t="s">
        <v>338</v>
      </c>
      <c r="AK118" s="230" t="s">
        <v>339</v>
      </c>
      <c r="AL118" s="205" t="s">
        <v>340</v>
      </c>
    </row>
    <row r="119" spans="1:46" customFormat="1">
      <c r="A119" s="443" t="s">
        <v>341</v>
      </c>
      <c r="B119" s="444" t="s">
        <v>342</v>
      </c>
      <c r="C119" s="148">
        <v>1</v>
      </c>
      <c r="D119" s="438" t="s">
        <v>75</v>
      </c>
      <c r="E119" s="445" t="s">
        <v>77</v>
      </c>
      <c r="F119" s="445"/>
      <c r="G119" s="446"/>
      <c r="H119" s="438">
        <v>0</v>
      </c>
      <c r="I119" s="436"/>
      <c r="J119" s="438"/>
      <c r="K119" s="438"/>
      <c r="L119" s="438" t="s">
        <v>77</v>
      </c>
      <c r="M119" s="438" t="s">
        <v>77</v>
      </c>
      <c r="N119" s="439"/>
      <c r="O119" s="440"/>
      <c r="P119" s="441"/>
      <c r="Q119" s="442"/>
      <c r="R119" s="1" t="str">
        <f t="shared" si="11"/>
        <v/>
      </c>
      <c r="S119" s="1" t="str">
        <f t="shared" si="11"/>
        <v/>
      </c>
      <c r="T119" s="1" t="str">
        <f t="shared" si="11"/>
        <v/>
      </c>
      <c r="U119" s="1" t="str">
        <f t="shared" si="9"/>
        <v/>
      </c>
      <c r="V119" s="443"/>
      <c r="W119" s="444"/>
      <c r="X119" s="148"/>
      <c r="Y119" s="438"/>
      <c r="Z119" s="445"/>
      <c r="AA119" s="445"/>
      <c r="AB119" s="446"/>
      <c r="AC119" s="438"/>
      <c r="AD119" s="436"/>
      <c r="AE119" s="438"/>
      <c r="AF119" s="438"/>
      <c r="AG119" s="438"/>
      <c r="AH119" s="438"/>
      <c r="AI119" s="439"/>
      <c r="AJ119" s="440"/>
      <c r="AK119" s="441"/>
      <c r="AL119" s="442"/>
      <c r="AM119" s="437"/>
      <c r="AN119" s="437"/>
      <c r="AO119" s="437"/>
      <c r="AP119" s="437"/>
      <c r="AQ119" s="437"/>
      <c r="AR119" s="437"/>
      <c r="AS119" s="437"/>
      <c r="AT119" s="437"/>
    </row>
    <row r="120" spans="1:46">
      <c r="A120" s="93" t="s">
        <v>343</v>
      </c>
      <c r="B120" s="94" t="s">
        <v>344</v>
      </c>
      <c r="C120" s="95">
        <v>1</v>
      </c>
      <c r="D120" s="96" t="s">
        <v>75</v>
      </c>
      <c r="E120" s="96" t="s">
        <v>343</v>
      </c>
      <c r="F120" s="96">
        <v>1873.87</v>
      </c>
      <c r="G120" s="141">
        <f>rv_mbp14_eg</f>
        <v>0.17599999999999999</v>
      </c>
      <c r="H120" s="145">
        <f>F120-(F120*G120)</f>
        <v>1544.0688799999998</v>
      </c>
      <c r="I120" s="95" t="s">
        <v>345</v>
      </c>
      <c r="J120" s="122">
        <v>45</v>
      </c>
      <c r="K120" s="122">
        <f>H120+J120</f>
        <v>1589.0688799999998</v>
      </c>
      <c r="L120" s="328" t="s">
        <v>77</v>
      </c>
      <c r="M120" s="409">
        <v>0.3</v>
      </c>
      <c r="N120" s="147" t="s">
        <v>75</v>
      </c>
      <c r="O120" s="55" t="s">
        <v>346</v>
      </c>
      <c r="P120" s="230" t="s">
        <v>79</v>
      </c>
      <c r="Q120" s="205" t="s">
        <v>231</v>
      </c>
      <c r="R120" s="1">
        <f t="shared" si="11"/>
        <v>314.61537330181091</v>
      </c>
      <c r="S120" s="1">
        <f t="shared" si="11"/>
        <v>160.97260790762309</v>
      </c>
      <c r="T120" s="1">
        <f t="shared" si="11"/>
        <v>115.4648421985698</v>
      </c>
      <c r="U120" s="1">
        <f t="shared" si="9"/>
        <v>98.915378708067948</v>
      </c>
      <c r="V120" s="93" t="s">
        <v>343</v>
      </c>
      <c r="W120" s="94" t="s">
        <v>344</v>
      </c>
      <c r="X120" s="95">
        <v>1</v>
      </c>
      <c r="Y120" s="96" t="s">
        <v>75</v>
      </c>
      <c r="Z120" s="96" t="s">
        <v>343</v>
      </c>
      <c r="AA120" s="96">
        <v>1873.87</v>
      </c>
      <c r="AB120" s="141">
        <f>rv_mbp14_eg</f>
        <v>0.17599999999999999</v>
      </c>
      <c r="AC120" s="145">
        <f>AA120-(AA120*AB120)</f>
        <v>1544.0688799999998</v>
      </c>
      <c r="AD120" s="95" t="s">
        <v>345</v>
      </c>
      <c r="AE120" s="122">
        <v>45</v>
      </c>
      <c r="AF120" s="122">
        <f>AC120+AE120</f>
        <v>1589.0688799999998</v>
      </c>
      <c r="AG120" s="409" t="s">
        <v>77</v>
      </c>
      <c r="AH120" s="409">
        <v>0.3</v>
      </c>
      <c r="AI120" s="147" t="s">
        <v>75</v>
      </c>
      <c r="AJ120" s="55" t="s">
        <v>346</v>
      </c>
      <c r="AK120" s="230" t="s">
        <v>79</v>
      </c>
      <c r="AL120" s="230" t="s">
        <v>231</v>
      </c>
    </row>
    <row r="121" spans="1:46">
      <c r="A121" s="103" t="s">
        <v>345</v>
      </c>
      <c r="B121" s="104" t="s">
        <v>347</v>
      </c>
      <c r="C121" s="181">
        <v>1</v>
      </c>
      <c r="D121" s="106" t="s">
        <v>82</v>
      </c>
      <c r="E121" s="105" t="s">
        <v>345</v>
      </c>
      <c r="F121" s="108">
        <v>54.61</v>
      </c>
      <c r="G121" s="180">
        <v>0.17599999999999999</v>
      </c>
      <c r="H121" s="100">
        <f t="shared" ref="H121" si="17">F121-(F121*G121)</f>
        <v>44.998640000000002</v>
      </c>
      <c r="I121" s="412"/>
      <c r="J121" s="409"/>
      <c r="K121" s="409"/>
      <c r="L121" s="134" t="s">
        <v>77</v>
      </c>
      <c r="M121" s="120" t="s">
        <v>77</v>
      </c>
      <c r="N121" s="68" t="s">
        <v>83</v>
      </c>
      <c r="O121" s="55" t="s">
        <v>84</v>
      </c>
      <c r="P121" s="230" t="s">
        <v>85</v>
      </c>
      <c r="Q121" s="205" t="s">
        <v>86</v>
      </c>
      <c r="R121" s="1" t="str">
        <f t="shared" si="11"/>
        <v/>
      </c>
      <c r="S121" s="1" t="str">
        <f t="shared" si="11"/>
        <v/>
      </c>
      <c r="T121" s="1" t="str">
        <f t="shared" si="11"/>
        <v/>
      </c>
      <c r="U121" s="1" t="str">
        <f t="shared" si="9"/>
        <v/>
      </c>
      <c r="V121" s="103" t="s">
        <v>345</v>
      </c>
      <c r="W121" s="104" t="s">
        <v>347</v>
      </c>
      <c r="X121" s="181">
        <v>1</v>
      </c>
      <c r="Y121" s="106" t="s">
        <v>82</v>
      </c>
      <c r="Z121" s="105" t="s">
        <v>345</v>
      </c>
      <c r="AA121" s="108">
        <v>54.61</v>
      </c>
      <c r="AB121" s="180">
        <v>0.17599999999999999</v>
      </c>
      <c r="AC121" s="100">
        <f t="shared" ref="AC121" si="18">AA121-(AA121*AB121)</f>
        <v>44.998640000000002</v>
      </c>
      <c r="AD121" s="412"/>
      <c r="AE121" s="409"/>
      <c r="AF121" s="409"/>
      <c r="AG121" s="120" t="s">
        <v>77</v>
      </c>
      <c r="AH121" s="120" t="s">
        <v>77</v>
      </c>
      <c r="AI121" s="68" t="s">
        <v>83</v>
      </c>
      <c r="AJ121" s="55" t="s">
        <v>84</v>
      </c>
      <c r="AK121" s="230" t="s">
        <v>85</v>
      </c>
      <c r="AL121" s="230" t="s">
        <v>231</v>
      </c>
    </row>
    <row r="122" spans="1:46">
      <c r="A122" s="113" t="s">
        <v>348</v>
      </c>
      <c r="B122" s="413" t="s">
        <v>349</v>
      </c>
      <c r="C122" s="115">
        <v>1</v>
      </c>
      <c r="D122" s="116" t="s">
        <v>75</v>
      </c>
      <c r="E122" s="117" t="s">
        <v>77</v>
      </c>
      <c r="F122" s="116">
        <v>191.67</v>
      </c>
      <c r="G122" s="118">
        <f t="shared" ref="G122:G134" si="19">rv_mbp14_eg_cto</f>
        <v>0.17599999999999999</v>
      </c>
      <c r="H122" s="119">
        <f>F122-(F122*G122)</f>
        <v>157.93608</v>
      </c>
      <c r="I122" s="119"/>
      <c r="J122" s="120"/>
      <c r="K122" s="120"/>
      <c r="L122" s="134" t="s">
        <v>77</v>
      </c>
      <c r="M122" s="120" t="s">
        <v>77</v>
      </c>
      <c r="N122" s="147" t="s">
        <v>75</v>
      </c>
      <c r="O122" s="55" t="s">
        <v>346</v>
      </c>
      <c r="P122" s="230" t="s">
        <v>79</v>
      </c>
      <c r="Q122" s="205" t="s">
        <v>231</v>
      </c>
      <c r="R122" s="1" t="str">
        <f t="shared" si="11"/>
        <v/>
      </c>
      <c r="S122" s="1" t="str">
        <f t="shared" si="11"/>
        <v/>
      </c>
      <c r="T122" s="1" t="str">
        <f t="shared" si="11"/>
        <v/>
      </c>
      <c r="U122" s="1" t="str">
        <f t="shared" si="9"/>
        <v/>
      </c>
      <c r="V122" s="113" t="s">
        <v>348</v>
      </c>
      <c r="W122" s="413" t="s">
        <v>349</v>
      </c>
      <c r="X122" s="115">
        <v>1</v>
      </c>
      <c r="Y122" s="116" t="s">
        <v>75</v>
      </c>
      <c r="Z122" s="117" t="s">
        <v>77</v>
      </c>
      <c r="AA122" s="116">
        <v>191.67</v>
      </c>
      <c r="AB122" s="118">
        <f t="shared" ref="AB122:AB134" si="20">rv_mbp14_eg_cto</f>
        <v>0.17599999999999999</v>
      </c>
      <c r="AC122" s="119">
        <f>AA122-(AA122*AB122)</f>
        <v>157.93608</v>
      </c>
      <c r="AD122" s="119"/>
      <c r="AE122" s="120"/>
      <c r="AF122" s="120"/>
      <c r="AG122" s="120" t="s">
        <v>77</v>
      </c>
      <c r="AH122" s="120" t="s">
        <v>77</v>
      </c>
      <c r="AI122" s="147" t="s">
        <v>75</v>
      </c>
      <c r="AJ122" s="55" t="s">
        <v>346</v>
      </c>
      <c r="AK122" s="230" t="s">
        <v>79</v>
      </c>
      <c r="AL122" s="230" t="s">
        <v>231</v>
      </c>
    </row>
    <row r="123" spans="1:46">
      <c r="A123" s="113" t="s">
        <v>350</v>
      </c>
      <c r="B123" s="413" t="s">
        <v>351</v>
      </c>
      <c r="C123" s="115">
        <v>1</v>
      </c>
      <c r="D123" s="116" t="s">
        <v>75</v>
      </c>
      <c r="E123" s="117"/>
      <c r="F123" s="116">
        <v>225</v>
      </c>
      <c r="G123" s="118">
        <f t="shared" si="19"/>
        <v>0.17599999999999999</v>
      </c>
      <c r="H123" s="119">
        <f>F123-(F123*G123)</f>
        <v>185.4</v>
      </c>
      <c r="I123" s="119"/>
      <c r="J123" s="120"/>
      <c r="K123" s="120"/>
      <c r="L123" s="134"/>
      <c r="M123" s="120"/>
      <c r="N123" s="147" t="s">
        <v>75</v>
      </c>
      <c r="O123" s="55" t="s">
        <v>346</v>
      </c>
      <c r="P123" s="230" t="s">
        <v>79</v>
      </c>
      <c r="Q123" s="205" t="s">
        <v>231</v>
      </c>
      <c r="R123" s="1" t="str">
        <f t="shared" si="11"/>
        <v/>
      </c>
      <c r="S123" s="1" t="str">
        <f t="shared" si="11"/>
        <v/>
      </c>
      <c r="T123" s="1" t="str">
        <f t="shared" si="11"/>
        <v/>
      </c>
      <c r="U123" s="1" t="str">
        <f t="shared" si="9"/>
        <v/>
      </c>
      <c r="V123" s="113" t="s">
        <v>350</v>
      </c>
      <c r="W123" s="413" t="s">
        <v>351</v>
      </c>
      <c r="X123" s="115">
        <v>1</v>
      </c>
      <c r="Y123" s="116" t="s">
        <v>75</v>
      </c>
      <c r="Z123" s="117"/>
      <c r="AA123" s="116">
        <v>225</v>
      </c>
      <c r="AB123" s="118">
        <f t="shared" si="20"/>
        <v>0.17599999999999999</v>
      </c>
      <c r="AC123" s="119">
        <f>AA123-(AA123*AB123)</f>
        <v>185.4</v>
      </c>
      <c r="AD123" s="119"/>
      <c r="AE123" s="120"/>
      <c r="AF123" s="120"/>
      <c r="AG123" s="120"/>
      <c r="AH123" s="120"/>
      <c r="AI123" s="147" t="s">
        <v>75</v>
      </c>
      <c r="AJ123" s="55" t="s">
        <v>346</v>
      </c>
      <c r="AK123" s="230" t="s">
        <v>79</v>
      </c>
      <c r="AL123" s="230" t="s">
        <v>231</v>
      </c>
    </row>
    <row r="124" spans="1:46">
      <c r="A124" s="113" t="s">
        <v>352</v>
      </c>
      <c r="B124" s="413" t="s">
        <v>353</v>
      </c>
      <c r="C124" s="115">
        <v>1</v>
      </c>
      <c r="D124" s="116" t="s">
        <v>75</v>
      </c>
      <c r="E124" s="117" t="s">
        <v>77</v>
      </c>
      <c r="F124" s="116">
        <v>800</v>
      </c>
      <c r="G124" s="118">
        <f t="shared" si="19"/>
        <v>0.17599999999999999</v>
      </c>
      <c r="H124" s="119">
        <f>F124-(F124*G124)</f>
        <v>659.2</v>
      </c>
      <c r="I124" s="119"/>
      <c r="J124" s="120"/>
      <c r="K124" s="120"/>
      <c r="L124" s="134" t="s">
        <v>77</v>
      </c>
      <c r="M124" s="120" t="s">
        <v>77</v>
      </c>
      <c r="N124" s="147" t="s">
        <v>75</v>
      </c>
      <c r="O124" s="55" t="s">
        <v>346</v>
      </c>
      <c r="P124" s="230" t="s">
        <v>79</v>
      </c>
      <c r="Q124" s="205" t="s">
        <v>231</v>
      </c>
      <c r="R124" s="1" t="str">
        <f t="shared" si="11"/>
        <v/>
      </c>
      <c r="S124" s="1" t="str">
        <f t="shared" si="11"/>
        <v/>
      </c>
      <c r="T124" s="1" t="str">
        <f t="shared" si="11"/>
        <v/>
      </c>
      <c r="U124" s="1" t="str">
        <f t="shared" si="9"/>
        <v/>
      </c>
      <c r="V124" s="113" t="s">
        <v>352</v>
      </c>
      <c r="W124" s="413" t="s">
        <v>353</v>
      </c>
      <c r="X124" s="115">
        <v>1</v>
      </c>
      <c r="Y124" s="116" t="s">
        <v>75</v>
      </c>
      <c r="Z124" s="117" t="s">
        <v>77</v>
      </c>
      <c r="AA124" s="116">
        <v>800</v>
      </c>
      <c r="AB124" s="118">
        <f t="shared" si="20"/>
        <v>0.17599999999999999</v>
      </c>
      <c r="AC124" s="119">
        <f>AA124-(AA124*AB124)</f>
        <v>659.2</v>
      </c>
      <c r="AD124" s="119"/>
      <c r="AE124" s="120"/>
      <c r="AF124" s="120"/>
      <c r="AG124" s="120" t="s">
        <v>77</v>
      </c>
      <c r="AH124" s="120" t="s">
        <v>77</v>
      </c>
      <c r="AI124" s="147" t="s">
        <v>75</v>
      </c>
      <c r="AJ124" s="55" t="s">
        <v>346</v>
      </c>
      <c r="AK124" s="230" t="s">
        <v>79</v>
      </c>
      <c r="AL124" s="230" t="s">
        <v>231</v>
      </c>
    </row>
    <row r="125" spans="1:46">
      <c r="A125" s="113" t="s">
        <v>354</v>
      </c>
      <c r="B125" s="413" t="s">
        <v>355</v>
      </c>
      <c r="C125" s="115">
        <v>1</v>
      </c>
      <c r="D125" s="116" t="s">
        <v>75</v>
      </c>
      <c r="E125" s="117" t="s">
        <v>77</v>
      </c>
      <c r="F125" s="116">
        <v>991.67</v>
      </c>
      <c r="G125" s="118">
        <f t="shared" si="19"/>
        <v>0.17599999999999999</v>
      </c>
      <c r="H125" s="119">
        <f>F125-(F125*G125)</f>
        <v>817.13607999999999</v>
      </c>
      <c r="I125" s="119"/>
      <c r="J125" s="120"/>
      <c r="K125" s="120"/>
      <c r="L125" s="134"/>
      <c r="M125" s="120"/>
      <c r="N125" s="147" t="s">
        <v>75</v>
      </c>
      <c r="O125" s="55" t="s">
        <v>346</v>
      </c>
      <c r="P125" s="230" t="s">
        <v>79</v>
      </c>
      <c r="Q125" s="205" t="s">
        <v>231</v>
      </c>
      <c r="R125" s="1" t="str">
        <f t="shared" si="11"/>
        <v/>
      </c>
      <c r="S125" s="1" t="str">
        <f t="shared" si="11"/>
        <v/>
      </c>
      <c r="T125" s="1" t="str">
        <f t="shared" si="11"/>
        <v/>
      </c>
      <c r="U125" s="1" t="str">
        <f t="shared" si="9"/>
        <v/>
      </c>
      <c r="V125" s="113" t="s">
        <v>354</v>
      </c>
      <c r="W125" s="413" t="s">
        <v>355</v>
      </c>
      <c r="X125" s="115">
        <v>1</v>
      </c>
      <c r="Y125" s="116" t="s">
        <v>75</v>
      </c>
      <c r="Z125" s="117" t="s">
        <v>77</v>
      </c>
      <c r="AA125" s="116">
        <v>991.67</v>
      </c>
      <c r="AB125" s="118">
        <f t="shared" si="20"/>
        <v>0.17599999999999999</v>
      </c>
      <c r="AC125" s="119">
        <f>AA125-(AA125*AB125)</f>
        <v>817.13607999999999</v>
      </c>
      <c r="AD125" s="119"/>
      <c r="AE125" s="120"/>
      <c r="AF125" s="120"/>
      <c r="AG125" s="120"/>
      <c r="AH125" s="120"/>
      <c r="AI125" s="147" t="s">
        <v>75</v>
      </c>
      <c r="AJ125" s="55" t="s">
        <v>346</v>
      </c>
      <c r="AK125" s="230" t="s">
        <v>79</v>
      </c>
      <c r="AL125" s="230" t="s">
        <v>231</v>
      </c>
    </row>
    <row r="126" spans="1:46">
      <c r="A126" s="113" t="s">
        <v>356</v>
      </c>
      <c r="B126" s="413" t="s">
        <v>357</v>
      </c>
      <c r="C126" s="115">
        <v>1</v>
      </c>
      <c r="D126" s="116" t="s">
        <v>75</v>
      </c>
      <c r="E126" s="117"/>
      <c r="F126" s="116">
        <v>383.33</v>
      </c>
      <c r="G126" s="118">
        <f t="shared" si="19"/>
        <v>0.17599999999999999</v>
      </c>
      <c r="H126" s="119">
        <f t="shared" ref="H126:H134" si="21">F126-(F126*G126)</f>
        <v>315.86392000000001</v>
      </c>
      <c r="I126" s="119"/>
      <c r="J126" s="120"/>
      <c r="K126" s="120"/>
      <c r="L126" s="134"/>
      <c r="M126" s="120"/>
      <c r="N126" s="147" t="s">
        <v>75</v>
      </c>
      <c r="O126" s="55" t="s">
        <v>346</v>
      </c>
      <c r="P126" s="230" t="s">
        <v>79</v>
      </c>
      <c r="Q126" s="205" t="s">
        <v>231</v>
      </c>
      <c r="R126" s="1" t="str">
        <f t="shared" si="11"/>
        <v/>
      </c>
      <c r="S126" s="1" t="str">
        <f t="shared" si="11"/>
        <v/>
      </c>
      <c r="T126" s="1" t="str">
        <f t="shared" si="11"/>
        <v/>
      </c>
      <c r="U126" s="1" t="str">
        <f t="shared" si="9"/>
        <v/>
      </c>
      <c r="V126" s="113" t="s">
        <v>356</v>
      </c>
      <c r="W126" s="413" t="s">
        <v>357</v>
      </c>
      <c r="X126" s="115">
        <v>1</v>
      </c>
      <c r="Y126" s="116" t="s">
        <v>75</v>
      </c>
      <c r="Z126" s="117"/>
      <c r="AA126" s="116">
        <v>383.33</v>
      </c>
      <c r="AB126" s="118">
        <f t="shared" si="20"/>
        <v>0.17599999999999999</v>
      </c>
      <c r="AC126" s="119">
        <f t="shared" ref="AC126:AC134" si="22">AA126-(AA126*AB126)</f>
        <v>315.86392000000001</v>
      </c>
      <c r="AD126" s="119"/>
      <c r="AE126" s="120"/>
      <c r="AF126" s="120"/>
      <c r="AG126" s="120"/>
      <c r="AH126" s="120"/>
      <c r="AI126" s="147" t="s">
        <v>75</v>
      </c>
      <c r="AJ126" s="55" t="s">
        <v>346</v>
      </c>
      <c r="AK126" s="230" t="s">
        <v>79</v>
      </c>
      <c r="AL126" s="230" t="s">
        <v>231</v>
      </c>
    </row>
    <row r="127" spans="1:46">
      <c r="A127" s="113" t="s">
        <v>358</v>
      </c>
      <c r="B127" s="413" t="s">
        <v>359</v>
      </c>
      <c r="C127" s="115">
        <v>1</v>
      </c>
      <c r="D127" s="116" t="s">
        <v>75</v>
      </c>
      <c r="E127" s="117"/>
      <c r="F127" s="35">
        <v>383.33</v>
      </c>
      <c r="G127" s="118">
        <f t="shared" si="19"/>
        <v>0.17599999999999999</v>
      </c>
      <c r="H127" s="119">
        <f t="shared" si="21"/>
        <v>315.86392000000001</v>
      </c>
      <c r="I127" s="119"/>
      <c r="J127" s="120"/>
      <c r="K127" s="120"/>
      <c r="L127" s="134"/>
      <c r="M127" s="120"/>
      <c r="N127" s="147" t="s">
        <v>75</v>
      </c>
      <c r="O127" s="55" t="s">
        <v>346</v>
      </c>
      <c r="P127" s="230" t="s">
        <v>79</v>
      </c>
      <c r="Q127" s="205" t="s">
        <v>231</v>
      </c>
      <c r="R127" s="1" t="str">
        <f t="shared" si="11"/>
        <v/>
      </c>
      <c r="S127" s="1" t="str">
        <f t="shared" si="11"/>
        <v/>
      </c>
      <c r="T127" s="1" t="str">
        <f t="shared" si="11"/>
        <v/>
      </c>
      <c r="U127" s="1" t="str">
        <f t="shared" si="9"/>
        <v/>
      </c>
      <c r="V127" s="113" t="s">
        <v>358</v>
      </c>
      <c r="W127" s="413" t="s">
        <v>359</v>
      </c>
      <c r="X127" s="115">
        <v>1</v>
      </c>
      <c r="Y127" s="116" t="s">
        <v>75</v>
      </c>
      <c r="Z127" s="117"/>
      <c r="AA127" s="35">
        <v>383.33</v>
      </c>
      <c r="AB127" s="118">
        <f t="shared" si="20"/>
        <v>0.17599999999999999</v>
      </c>
      <c r="AC127" s="119">
        <f t="shared" si="22"/>
        <v>315.86392000000001</v>
      </c>
      <c r="AD127" s="119"/>
      <c r="AE127" s="120"/>
      <c r="AF127" s="120"/>
      <c r="AG127" s="120"/>
      <c r="AH127" s="120"/>
      <c r="AI127" s="147" t="s">
        <v>75</v>
      </c>
      <c r="AJ127" s="55" t="s">
        <v>346</v>
      </c>
      <c r="AK127" s="230" t="s">
        <v>79</v>
      </c>
      <c r="AL127" s="230" t="s">
        <v>231</v>
      </c>
    </row>
    <row r="128" spans="1:46">
      <c r="A128" s="113" t="s">
        <v>360</v>
      </c>
      <c r="B128" s="413" t="s">
        <v>361</v>
      </c>
      <c r="C128" s="115">
        <v>1</v>
      </c>
      <c r="D128" s="116" t="s">
        <v>75</v>
      </c>
      <c r="E128" s="117"/>
      <c r="F128" s="116">
        <v>191.67</v>
      </c>
      <c r="G128" s="118">
        <f t="shared" si="19"/>
        <v>0.17599999999999999</v>
      </c>
      <c r="H128" s="119">
        <f t="shared" si="21"/>
        <v>157.93608</v>
      </c>
      <c r="I128" s="119"/>
      <c r="J128" s="120"/>
      <c r="K128" s="120"/>
      <c r="L128" s="134"/>
      <c r="M128" s="120"/>
      <c r="N128" s="147" t="s">
        <v>75</v>
      </c>
      <c r="O128" s="55" t="s">
        <v>346</v>
      </c>
      <c r="P128" s="230" t="s">
        <v>79</v>
      </c>
      <c r="Q128" s="205" t="s">
        <v>231</v>
      </c>
      <c r="R128" s="1" t="str">
        <f t="shared" si="11"/>
        <v/>
      </c>
      <c r="S128" s="1" t="str">
        <f t="shared" si="11"/>
        <v/>
      </c>
      <c r="T128" s="1" t="str">
        <f t="shared" si="11"/>
        <v/>
      </c>
      <c r="U128" s="1" t="str">
        <f t="shared" si="9"/>
        <v/>
      </c>
      <c r="V128" s="113" t="s">
        <v>360</v>
      </c>
      <c r="W128" s="413" t="s">
        <v>361</v>
      </c>
      <c r="X128" s="115">
        <v>1</v>
      </c>
      <c r="Y128" s="116" t="s">
        <v>75</v>
      </c>
      <c r="Z128" s="117"/>
      <c r="AA128" s="116">
        <v>191.67</v>
      </c>
      <c r="AB128" s="118">
        <f t="shared" si="20"/>
        <v>0.17599999999999999</v>
      </c>
      <c r="AC128" s="119">
        <f t="shared" si="22"/>
        <v>157.93608</v>
      </c>
      <c r="AD128" s="119"/>
      <c r="AE128" s="120"/>
      <c r="AF128" s="120"/>
      <c r="AG128" s="120"/>
      <c r="AH128" s="120"/>
      <c r="AI128" s="147" t="s">
        <v>75</v>
      </c>
      <c r="AJ128" s="55" t="s">
        <v>346</v>
      </c>
      <c r="AK128" s="230" t="s">
        <v>79</v>
      </c>
      <c r="AL128" s="230" t="s">
        <v>231</v>
      </c>
    </row>
    <row r="129" spans="1:46">
      <c r="A129" s="113" t="s">
        <v>362</v>
      </c>
      <c r="B129" s="413" t="s">
        <v>363</v>
      </c>
      <c r="C129" s="115">
        <v>1</v>
      </c>
      <c r="D129" s="116" t="s">
        <v>75</v>
      </c>
      <c r="E129" s="117"/>
      <c r="F129" s="116">
        <v>575</v>
      </c>
      <c r="G129" s="118">
        <f t="shared" si="19"/>
        <v>0.17599999999999999</v>
      </c>
      <c r="H129" s="119">
        <f t="shared" si="21"/>
        <v>473.8</v>
      </c>
      <c r="I129" s="119"/>
      <c r="J129" s="120"/>
      <c r="K129" s="120"/>
      <c r="L129" s="134"/>
      <c r="M129" s="120"/>
      <c r="N129" s="147" t="s">
        <v>75</v>
      </c>
      <c r="O129" s="55" t="s">
        <v>346</v>
      </c>
      <c r="P129" s="230" t="s">
        <v>79</v>
      </c>
      <c r="Q129" s="205" t="s">
        <v>231</v>
      </c>
      <c r="R129" s="1" t="str">
        <f t="shared" si="11"/>
        <v/>
      </c>
      <c r="S129" s="1" t="str">
        <f t="shared" si="11"/>
        <v/>
      </c>
      <c r="T129" s="1" t="str">
        <f t="shared" si="11"/>
        <v/>
      </c>
      <c r="U129" s="1" t="str">
        <f t="shared" si="9"/>
        <v/>
      </c>
      <c r="V129" s="113" t="s">
        <v>362</v>
      </c>
      <c r="W129" s="413" t="s">
        <v>363</v>
      </c>
      <c r="X129" s="115">
        <v>1</v>
      </c>
      <c r="Y129" s="116" t="s">
        <v>75</v>
      </c>
      <c r="Z129" s="117"/>
      <c r="AA129" s="116">
        <v>575</v>
      </c>
      <c r="AB129" s="118">
        <f t="shared" si="20"/>
        <v>0.17599999999999999</v>
      </c>
      <c r="AC129" s="119">
        <f t="shared" si="22"/>
        <v>473.8</v>
      </c>
      <c r="AD129" s="119"/>
      <c r="AE129" s="120"/>
      <c r="AF129" s="120"/>
      <c r="AG129" s="120"/>
      <c r="AH129" s="120"/>
      <c r="AI129" s="147" t="s">
        <v>75</v>
      </c>
      <c r="AJ129" s="55" t="s">
        <v>346</v>
      </c>
      <c r="AK129" s="230" t="s">
        <v>79</v>
      </c>
      <c r="AL129" s="230" t="s">
        <v>231</v>
      </c>
    </row>
    <row r="130" spans="1:46">
      <c r="A130" s="113" t="s">
        <v>364</v>
      </c>
      <c r="B130" s="413" t="s">
        <v>365</v>
      </c>
      <c r="C130" s="115">
        <v>1</v>
      </c>
      <c r="D130" s="116" t="s">
        <v>75</v>
      </c>
      <c r="E130" s="117"/>
      <c r="F130" s="116">
        <v>1150</v>
      </c>
      <c r="G130" s="118">
        <f t="shared" si="19"/>
        <v>0.17599999999999999</v>
      </c>
      <c r="H130" s="119">
        <f t="shared" si="21"/>
        <v>947.6</v>
      </c>
      <c r="I130" s="119"/>
      <c r="J130" s="120"/>
      <c r="K130" s="120"/>
      <c r="L130" s="134"/>
      <c r="M130" s="120"/>
      <c r="N130" s="147" t="s">
        <v>75</v>
      </c>
      <c r="O130" s="55" t="s">
        <v>346</v>
      </c>
      <c r="P130" s="230" t="s">
        <v>79</v>
      </c>
      <c r="Q130" s="205" t="s">
        <v>231</v>
      </c>
      <c r="R130" s="1" t="str">
        <f t="shared" si="11"/>
        <v/>
      </c>
      <c r="S130" s="1" t="str">
        <f t="shared" si="11"/>
        <v/>
      </c>
      <c r="T130" s="1" t="str">
        <f t="shared" si="11"/>
        <v/>
      </c>
      <c r="U130" s="1" t="str">
        <f t="shared" si="9"/>
        <v/>
      </c>
      <c r="V130" s="113" t="s">
        <v>364</v>
      </c>
      <c r="W130" s="413" t="s">
        <v>365</v>
      </c>
      <c r="X130" s="115">
        <v>1</v>
      </c>
      <c r="Y130" s="116" t="s">
        <v>75</v>
      </c>
      <c r="Z130" s="117"/>
      <c r="AA130" s="116">
        <v>1150</v>
      </c>
      <c r="AB130" s="118">
        <f t="shared" si="20"/>
        <v>0.17599999999999999</v>
      </c>
      <c r="AC130" s="119">
        <f t="shared" si="22"/>
        <v>947.6</v>
      </c>
      <c r="AD130" s="119"/>
      <c r="AE130" s="120"/>
      <c r="AF130" s="120"/>
      <c r="AG130" s="120"/>
      <c r="AH130" s="120"/>
      <c r="AI130" s="147" t="s">
        <v>75</v>
      </c>
      <c r="AJ130" s="55" t="s">
        <v>346</v>
      </c>
      <c r="AK130" s="230" t="s">
        <v>79</v>
      </c>
      <c r="AL130" s="230" t="s">
        <v>231</v>
      </c>
    </row>
    <row r="131" spans="1:46">
      <c r="A131" s="113" t="s">
        <v>366</v>
      </c>
      <c r="B131" s="413" t="s">
        <v>367</v>
      </c>
      <c r="C131" s="115">
        <v>1</v>
      </c>
      <c r="D131" s="116" t="s">
        <v>75</v>
      </c>
      <c r="E131" s="117"/>
      <c r="F131" s="116">
        <v>2300</v>
      </c>
      <c r="G131" s="118">
        <f t="shared" si="19"/>
        <v>0.17599999999999999</v>
      </c>
      <c r="H131" s="119">
        <f t="shared" si="21"/>
        <v>1895.2</v>
      </c>
      <c r="I131" s="119"/>
      <c r="J131" s="120"/>
      <c r="K131" s="120"/>
      <c r="L131" s="134"/>
      <c r="M131" s="120"/>
      <c r="N131" s="147" t="s">
        <v>75</v>
      </c>
      <c r="O131" s="55" t="s">
        <v>346</v>
      </c>
      <c r="P131" s="230" t="s">
        <v>79</v>
      </c>
      <c r="Q131" s="205" t="s">
        <v>231</v>
      </c>
      <c r="R131" s="1" t="str">
        <f t="shared" si="11"/>
        <v/>
      </c>
      <c r="S131" s="1" t="str">
        <f t="shared" si="11"/>
        <v/>
      </c>
      <c r="T131" s="1" t="str">
        <f t="shared" si="11"/>
        <v/>
      </c>
      <c r="U131" s="1" t="str">
        <f t="shared" si="9"/>
        <v/>
      </c>
      <c r="V131" s="113" t="s">
        <v>366</v>
      </c>
      <c r="W131" s="413" t="s">
        <v>367</v>
      </c>
      <c r="X131" s="115">
        <v>1</v>
      </c>
      <c r="Y131" s="116" t="s">
        <v>75</v>
      </c>
      <c r="Z131" s="117"/>
      <c r="AA131" s="116">
        <v>2300</v>
      </c>
      <c r="AB131" s="118">
        <f t="shared" si="20"/>
        <v>0.17599999999999999</v>
      </c>
      <c r="AC131" s="119">
        <f t="shared" si="22"/>
        <v>1895.2</v>
      </c>
      <c r="AD131" s="119"/>
      <c r="AE131" s="120"/>
      <c r="AF131" s="120"/>
      <c r="AG131" s="120"/>
      <c r="AH131" s="120"/>
      <c r="AI131" s="147" t="s">
        <v>75</v>
      </c>
      <c r="AJ131" s="55" t="s">
        <v>346</v>
      </c>
      <c r="AK131" s="230" t="s">
        <v>79</v>
      </c>
      <c r="AL131" s="230" t="s">
        <v>231</v>
      </c>
    </row>
    <row r="132" spans="1:46">
      <c r="A132" s="113" t="s">
        <v>368</v>
      </c>
      <c r="B132" s="413" t="s">
        <v>369</v>
      </c>
      <c r="C132" s="115">
        <v>1</v>
      </c>
      <c r="D132" s="116" t="s">
        <v>75</v>
      </c>
      <c r="E132" s="117"/>
      <c r="F132" s="116">
        <v>16.670000000000002</v>
      </c>
      <c r="G132" s="118">
        <f t="shared" si="19"/>
        <v>0.17599999999999999</v>
      </c>
      <c r="H132" s="119">
        <f t="shared" si="21"/>
        <v>13.736080000000001</v>
      </c>
      <c r="I132" s="119"/>
      <c r="J132" s="120"/>
      <c r="K132" s="120"/>
      <c r="L132" s="134"/>
      <c r="M132" s="120"/>
      <c r="N132" s="147" t="s">
        <v>75</v>
      </c>
      <c r="O132" s="55" t="s">
        <v>346</v>
      </c>
      <c r="P132" s="230" t="s">
        <v>79</v>
      </c>
      <c r="Q132" s="205" t="s">
        <v>231</v>
      </c>
      <c r="R132" s="1" t="str">
        <f t="shared" si="11"/>
        <v/>
      </c>
      <c r="S132" s="1" t="str">
        <f t="shared" si="11"/>
        <v/>
      </c>
      <c r="T132" s="1" t="str">
        <f t="shared" si="11"/>
        <v/>
      </c>
      <c r="U132" s="1" t="str">
        <f t="shared" si="9"/>
        <v/>
      </c>
      <c r="V132" s="113" t="s">
        <v>368</v>
      </c>
      <c r="W132" s="413" t="s">
        <v>369</v>
      </c>
      <c r="X132" s="115">
        <v>1</v>
      </c>
      <c r="Y132" s="116" t="s">
        <v>75</v>
      </c>
      <c r="Z132" s="117"/>
      <c r="AA132" s="116">
        <v>16.670000000000002</v>
      </c>
      <c r="AB132" s="118">
        <f t="shared" si="20"/>
        <v>0.17599999999999999</v>
      </c>
      <c r="AC132" s="119">
        <f t="shared" si="22"/>
        <v>13.736080000000001</v>
      </c>
      <c r="AD132" s="119"/>
      <c r="AE132" s="120"/>
      <c r="AF132" s="120"/>
      <c r="AG132" s="120"/>
      <c r="AH132" s="120"/>
      <c r="AI132" s="147" t="s">
        <v>75</v>
      </c>
      <c r="AJ132" s="55" t="s">
        <v>346</v>
      </c>
      <c r="AK132" s="230" t="s">
        <v>79</v>
      </c>
      <c r="AL132" s="230" t="s">
        <v>231</v>
      </c>
    </row>
    <row r="133" spans="1:46">
      <c r="A133" s="113" t="s">
        <v>370</v>
      </c>
      <c r="B133" s="413" t="s">
        <v>371</v>
      </c>
      <c r="C133" s="115">
        <v>1</v>
      </c>
      <c r="D133" s="116" t="s">
        <v>75</v>
      </c>
      <c r="E133" s="117"/>
      <c r="F133" s="116">
        <v>0</v>
      </c>
      <c r="G133" s="118">
        <f t="shared" si="19"/>
        <v>0.17599999999999999</v>
      </c>
      <c r="H133" s="119">
        <f t="shared" si="21"/>
        <v>0</v>
      </c>
      <c r="I133" s="119"/>
      <c r="J133" s="120"/>
      <c r="K133" s="120"/>
      <c r="L133" s="134"/>
      <c r="M133" s="120"/>
      <c r="N133" s="147" t="s">
        <v>75</v>
      </c>
      <c r="O133" s="55" t="s">
        <v>346</v>
      </c>
      <c r="P133" s="230" t="s">
        <v>79</v>
      </c>
      <c r="Q133" s="205" t="s">
        <v>231</v>
      </c>
      <c r="R133" s="1" t="str">
        <f t="shared" si="11"/>
        <v/>
      </c>
      <c r="S133" s="1" t="str">
        <f t="shared" si="11"/>
        <v/>
      </c>
      <c r="T133" s="1" t="str">
        <f t="shared" si="11"/>
        <v/>
      </c>
      <c r="U133" s="1" t="str">
        <f t="shared" si="11"/>
        <v/>
      </c>
      <c r="V133" s="113" t="s">
        <v>370</v>
      </c>
      <c r="W133" s="413" t="s">
        <v>372</v>
      </c>
      <c r="X133" s="115">
        <v>1</v>
      </c>
      <c r="Y133" s="116" t="s">
        <v>75</v>
      </c>
      <c r="Z133" s="117"/>
      <c r="AA133" s="116">
        <v>0</v>
      </c>
      <c r="AB133" s="118">
        <f t="shared" si="20"/>
        <v>0.17599999999999999</v>
      </c>
      <c r="AC133" s="119">
        <f t="shared" si="22"/>
        <v>0</v>
      </c>
      <c r="AD133" s="119"/>
      <c r="AE133" s="120"/>
      <c r="AF133" s="120"/>
      <c r="AG133" s="120"/>
      <c r="AH133" s="120"/>
      <c r="AI133" s="147" t="s">
        <v>75</v>
      </c>
      <c r="AJ133" s="55" t="s">
        <v>346</v>
      </c>
      <c r="AK133" s="230" t="s">
        <v>79</v>
      </c>
      <c r="AL133" s="230" t="s">
        <v>231</v>
      </c>
    </row>
    <row r="134" spans="1:46">
      <c r="A134" s="25" t="s">
        <v>373</v>
      </c>
      <c r="B134" s="413" t="s">
        <v>374</v>
      </c>
      <c r="C134" s="115">
        <v>1</v>
      </c>
      <c r="D134" s="116" t="s">
        <v>75</v>
      </c>
      <c r="E134" s="117"/>
      <c r="F134" s="116">
        <v>0</v>
      </c>
      <c r="G134" s="118">
        <f t="shared" si="19"/>
        <v>0.17599999999999999</v>
      </c>
      <c r="H134" s="119">
        <f t="shared" si="21"/>
        <v>0</v>
      </c>
      <c r="I134" s="119"/>
      <c r="J134" s="120"/>
      <c r="K134" s="120"/>
      <c r="L134" s="134"/>
      <c r="M134" s="120"/>
      <c r="N134" s="147" t="s">
        <v>75</v>
      </c>
      <c r="O134" s="55" t="s">
        <v>346</v>
      </c>
      <c r="P134" s="230" t="s">
        <v>79</v>
      </c>
      <c r="Q134" s="205" t="s">
        <v>231</v>
      </c>
      <c r="R134" s="1" t="str">
        <f t="shared" ref="R134:U197" si="23">+IF($K134&lt;&gt;"",R$2*$K134,"")</f>
        <v/>
      </c>
      <c r="S134" s="1" t="str">
        <f t="shared" si="23"/>
        <v/>
      </c>
      <c r="T134" s="1" t="str">
        <f t="shared" si="23"/>
        <v/>
      </c>
      <c r="U134" s="1" t="str">
        <f t="shared" si="23"/>
        <v/>
      </c>
      <c r="V134" s="113" t="s">
        <v>375</v>
      </c>
      <c r="W134" s="413" t="s">
        <v>376</v>
      </c>
      <c r="X134" s="115">
        <v>1</v>
      </c>
      <c r="Y134" s="116" t="s">
        <v>75</v>
      </c>
      <c r="Z134" s="117"/>
      <c r="AA134" s="116">
        <v>0</v>
      </c>
      <c r="AB134" s="118">
        <f t="shared" si="20"/>
        <v>0.17599999999999999</v>
      </c>
      <c r="AC134" s="119">
        <f t="shared" si="22"/>
        <v>0</v>
      </c>
      <c r="AD134" s="119"/>
      <c r="AE134" s="120"/>
      <c r="AF134" s="120"/>
      <c r="AG134" s="120"/>
      <c r="AH134" s="120"/>
      <c r="AI134" s="147" t="s">
        <v>75</v>
      </c>
      <c r="AJ134" s="55" t="s">
        <v>346</v>
      </c>
      <c r="AK134" s="230" t="s">
        <v>79</v>
      </c>
      <c r="AL134" s="230" t="s">
        <v>231</v>
      </c>
    </row>
    <row r="135" spans="1:46" customFormat="1">
      <c r="A135" s="443" t="s">
        <v>377</v>
      </c>
      <c r="B135" s="444" t="s">
        <v>378</v>
      </c>
      <c r="C135" s="148">
        <v>1</v>
      </c>
      <c r="D135" s="438" t="s">
        <v>75</v>
      </c>
      <c r="E135" s="445" t="s">
        <v>77</v>
      </c>
      <c r="F135" s="445"/>
      <c r="G135" s="446"/>
      <c r="H135" s="438">
        <v>0</v>
      </c>
      <c r="I135" s="436"/>
      <c r="J135" s="438"/>
      <c r="K135" s="438"/>
      <c r="L135" s="438" t="s">
        <v>77</v>
      </c>
      <c r="M135" s="438" t="s">
        <v>77</v>
      </c>
      <c r="N135" s="439"/>
      <c r="O135" s="440"/>
      <c r="P135" s="441"/>
      <c r="Q135" s="442"/>
      <c r="R135" s="1" t="str">
        <f t="shared" si="23"/>
        <v/>
      </c>
      <c r="S135" s="1" t="str">
        <f t="shared" si="23"/>
        <v/>
      </c>
      <c r="T135" s="1" t="str">
        <f t="shared" si="23"/>
        <v/>
      </c>
      <c r="U135" s="1" t="str">
        <f t="shared" si="23"/>
        <v/>
      </c>
      <c r="V135" s="443"/>
      <c r="W135" s="444"/>
      <c r="X135" s="148"/>
      <c r="Y135" s="438"/>
      <c r="Z135" s="445"/>
      <c r="AA135" s="445"/>
      <c r="AB135" s="446"/>
      <c r="AC135" s="438"/>
      <c r="AD135" s="436"/>
      <c r="AE135" s="438"/>
      <c r="AF135" s="438"/>
      <c r="AG135" s="438"/>
      <c r="AH135" s="438"/>
      <c r="AI135" s="439"/>
      <c r="AJ135" s="440"/>
      <c r="AK135" s="441"/>
      <c r="AL135" s="442"/>
      <c r="AM135" s="437"/>
      <c r="AN135" s="437"/>
      <c r="AO135" s="437"/>
      <c r="AP135" s="437"/>
      <c r="AQ135" s="437"/>
      <c r="AR135" s="437"/>
      <c r="AS135" s="437"/>
      <c r="AT135" s="437"/>
    </row>
    <row r="136" spans="1:46">
      <c r="A136" s="93" t="s">
        <v>379</v>
      </c>
      <c r="B136" s="94" t="s">
        <v>380</v>
      </c>
      <c r="C136" s="95">
        <v>1</v>
      </c>
      <c r="D136" s="96" t="s">
        <v>75</v>
      </c>
      <c r="E136" s="96" t="s">
        <v>379</v>
      </c>
      <c r="F136" s="96">
        <v>1873.87</v>
      </c>
      <c r="G136" s="141">
        <f>rv_mbp14_eg</f>
        <v>0.17599999999999999</v>
      </c>
      <c r="H136" s="145">
        <f>F136-(F136*G136)</f>
        <v>1544.0688799999998</v>
      </c>
      <c r="I136" s="95" t="s">
        <v>345</v>
      </c>
      <c r="J136" s="122">
        <f>mbp14_5pl</f>
        <v>45</v>
      </c>
      <c r="K136" s="122">
        <f>H136+J136</f>
        <v>1589.0688799999998</v>
      </c>
      <c r="L136" s="134" t="s">
        <v>77</v>
      </c>
      <c r="M136" s="120">
        <v>0.3</v>
      </c>
      <c r="N136" s="147" t="s">
        <v>75</v>
      </c>
      <c r="O136" s="55" t="s">
        <v>346</v>
      </c>
      <c r="P136" s="230" t="s">
        <v>79</v>
      </c>
      <c r="Q136" s="205" t="s">
        <v>231</v>
      </c>
      <c r="R136" s="1">
        <f t="shared" si="23"/>
        <v>314.61537330181091</v>
      </c>
      <c r="S136" s="1">
        <f t="shared" si="23"/>
        <v>160.97260790762309</v>
      </c>
      <c r="T136" s="1">
        <f t="shared" si="23"/>
        <v>115.4648421985698</v>
      </c>
      <c r="U136" s="1">
        <f t="shared" si="23"/>
        <v>98.915378708067948</v>
      </c>
      <c r="V136" s="93" t="s">
        <v>379</v>
      </c>
      <c r="W136" s="94" t="s">
        <v>380</v>
      </c>
      <c r="X136" s="95">
        <v>1</v>
      </c>
      <c r="Y136" s="96" t="s">
        <v>75</v>
      </c>
      <c r="Z136" s="96" t="s">
        <v>379</v>
      </c>
      <c r="AA136" s="96">
        <v>1873.87</v>
      </c>
      <c r="AB136" s="141">
        <f>rv_mbp14_eg</f>
        <v>0.17599999999999999</v>
      </c>
      <c r="AC136" s="145">
        <f>AA136-(AA136*AB136)</f>
        <v>1544.0688799999998</v>
      </c>
      <c r="AD136" s="95" t="s">
        <v>345</v>
      </c>
      <c r="AE136" s="122">
        <f>mbp14_5pl</f>
        <v>45</v>
      </c>
      <c r="AF136" s="122">
        <f>AC136+AE136</f>
        <v>1589.0688799999998</v>
      </c>
      <c r="AG136" s="120" t="s">
        <v>77</v>
      </c>
      <c r="AH136" s="120">
        <v>0.3</v>
      </c>
      <c r="AI136" s="147" t="s">
        <v>75</v>
      </c>
      <c r="AJ136" s="55" t="s">
        <v>346</v>
      </c>
      <c r="AK136" s="230" t="s">
        <v>79</v>
      </c>
      <c r="AL136" s="230" t="s">
        <v>231</v>
      </c>
    </row>
    <row r="137" spans="1:46">
      <c r="A137" s="113" t="s">
        <v>381</v>
      </c>
      <c r="B137" s="413" t="s">
        <v>382</v>
      </c>
      <c r="C137" s="115">
        <v>1</v>
      </c>
      <c r="D137" s="116" t="s">
        <v>75</v>
      </c>
      <c r="E137" s="117" t="s">
        <v>77</v>
      </c>
      <c r="F137" s="116">
        <v>191.67</v>
      </c>
      <c r="G137" s="118">
        <f t="shared" ref="G137:G149" si="24">rv_mbp14_eg_cto</f>
        <v>0.17599999999999999</v>
      </c>
      <c r="H137" s="119">
        <f>F137-(F137*G137)</f>
        <v>157.93608</v>
      </c>
      <c r="I137" s="119"/>
      <c r="J137" s="120"/>
      <c r="K137" s="120"/>
      <c r="L137" s="134" t="s">
        <v>77</v>
      </c>
      <c r="M137" s="120" t="s">
        <v>77</v>
      </c>
      <c r="N137" s="147" t="s">
        <v>75</v>
      </c>
      <c r="O137" s="55" t="s">
        <v>346</v>
      </c>
      <c r="P137" s="230" t="s">
        <v>79</v>
      </c>
      <c r="Q137" s="205" t="s">
        <v>231</v>
      </c>
      <c r="R137" s="1" t="str">
        <f t="shared" si="23"/>
        <v/>
      </c>
      <c r="S137" s="1" t="str">
        <f t="shared" si="23"/>
        <v/>
      </c>
      <c r="T137" s="1" t="str">
        <f t="shared" si="23"/>
        <v/>
      </c>
      <c r="U137" s="1" t="str">
        <f t="shared" si="23"/>
        <v/>
      </c>
      <c r="V137" s="113" t="s">
        <v>381</v>
      </c>
      <c r="W137" s="413" t="s">
        <v>382</v>
      </c>
      <c r="X137" s="115">
        <v>1</v>
      </c>
      <c r="Y137" s="116" t="s">
        <v>75</v>
      </c>
      <c r="Z137" s="117" t="s">
        <v>77</v>
      </c>
      <c r="AA137" s="116">
        <v>191.67</v>
      </c>
      <c r="AB137" s="118">
        <f t="shared" ref="AB137:AB149" si="25">rv_mbp14_eg_cto</f>
        <v>0.17599999999999999</v>
      </c>
      <c r="AC137" s="119">
        <f>AA137-(AA137*AB137)</f>
        <v>157.93608</v>
      </c>
      <c r="AD137" s="119"/>
      <c r="AE137" s="120"/>
      <c r="AF137" s="120"/>
      <c r="AG137" s="120" t="s">
        <v>77</v>
      </c>
      <c r="AH137" s="120" t="s">
        <v>77</v>
      </c>
      <c r="AI137" s="147" t="s">
        <v>75</v>
      </c>
      <c r="AJ137" s="55" t="s">
        <v>346</v>
      </c>
      <c r="AK137" s="230" t="s">
        <v>79</v>
      </c>
      <c r="AL137" s="230" t="s">
        <v>231</v>
      </c>
    </row>
    <row r="138" spans="1:46">
      <c r="A138" s="113" t="s">
        <v>383</v>
      </c>
      <c r="B138" s="413" t="s">
        <v>384</v>
      </c>
      <c r="C138" s="115">
        <v>1</v>
      </c>
      <c r="D138" s="116" t="s">
        <v>75</v>
      </c>
      <c r="E138" s="117"/>
      <c r="F138" s="116">
        <v>225</v>
      </c>
      <c r="G138" s="118">
        <f t="shared" si="24"/>
        <v>0.17599999999999999</v>
      </c>
      <c r="H138" s="119">
        <f>F138-(F138*G138)</f>
        <v>185.4</v>
      </c>
      <c r="I138" s="119"/>
      <c r="J138" s="120"/>
      <c r="K138" s="120"/>
      <c r="L138" s="134"/>
      <c r="M138" s="120"/>
      <c r="N138" s="147" t="s">
        <v>75</v>
      </c>
      <c r="O138" s="55" t="s">
        <v>346</v>
      </c>
      <c r="P138" s="230" t="s">
        <v>79</v>
      </c>
      <c r="Q138" s="205" t="s">
        <v>231</v>
      </c>
      <c r="R138" s="1" t="str">
        <f t="shared" si="23"/>
        <v/>
      </c>
      <c r="S138" s="1" t="str">
        <f t="shared" si="23"/>
        <v/>
      </c>
      <c r="T138" s="1" t="str">
        <f t="shared" si="23"/>
        <v/>
      </c>
      <c r="U138" s="1" t="str">
        <f t="shared" si="23"/>
        <v/>
      </c>
      <c r="V138" s="113" t="s">
        <v>383</v>
      </c>
      <c r="W138" s="413" t="s">
        <v>384</v>
      </c>
      <c r="X138" s="115">
        <v>1</v>
      </c>
      <c r="Y138" s="116" t="s">
        <v>75</v>
      </c>
      <c r="Z138" s="117"/>
      <c r="AA138" s="116">
        <v>225</v>
      </c>
      <c r="AB138" s="118">
        <f t="shared" si="25"/>
        <v>0.17599999999999999</v>
      </c>
      <c r="AC138" s="119">
        <f>AA138-(AA138*AB138)</f>
        <v>185.4</v>
      </c>
      <c r="AD138" s="119"/>
      <c r="AE138" s="120"/>
      <c r="AF138" s="120"/>
      <c r="AG138" s="120"/>
      <c r="AH138" s="120"/>
      <c r="AI138" s="147" t="s">
        <v>75</v>
      </c>
      <c r="AJ138" s="55" t="s">
        <v>346</v>
      </c>
      <c r="AK138" s="230" t="s">
        <v>79</v>
      </c>
      <c r="AL138" s="230" t="s">
        <v>231</v>
      </c>
    </row>
    <row r="139" spans="1:46">
      <c r="A139" s="113" t="s">
        <v>385</v>
      </c>
      <c r="B139" s="413" t="s">
        <v>386</v>
      </c>
      <c r="C139" s="115">
        <v>1</v>
      </c>
      <c r="D139" s="116" t="s">
        <v>75</v>
      </c>
      <c r="E139" s="117" t="s">
        <v>77</v>
      </c>
      <c r="F139" s="116">
        <v>800</v>
      </c>
      <c r="G139" s="118">
        <f t="shared" si="24"/>
        <v>0.17599999999999999</v>
      </c>
      <c r="H139" s="119">
        <f>F139-(F139*G139)</f>
        <v>659.2</v>
      </c>
      <c r="I139" s="119"/>
      <c r="J139" s="120"/>
      <c r="K139" s="120"/>
      <c r="L139" s="134" t="s">
        <v>77</v>
      </c>
      <c r="M139" s="120" t="s">
        <v>77</v>
      </c>
      <c r="N139" s="147" t="s">
        <v>75</v>
      </c>
      <c r="O139" s="55" t="s">
        <v>346</v>
      </c>
      <c r="P139" s="230" t="s">
        <v>79</v>
      </c>
      <c r="Q139" s="205" t="s">
        <v>231</v>
      </c>
      <c r="R139" s="1" t="str">
        <f t="shared" si="23"/>
        <v/>
      </c>
      <c r="S139" s="1" t="str">
        <f t="shared" si="23"/>
        <v/>
      </c>
      <c r="T139" s="1" t="str">
        <f t="shared" si="23"/>
        <v/>
      </c>
      <c r="U139" s="1" t="str">
        <f t="shared" si="23"/>
        <v/>
      </c>
      <c r="V139" s="113" t="s">
        <v>385</v>
      </c>
      <c r="W139" s="413" t="s">
        <v>386</v>
      </c>
      <c r="X139" s="115">
        <v>1</v>
      </c>
      <c r="Y139" s="116" t="s">
        <v>75</v>
      </c>
      <c r="Z139" s="117" t="s">
        <v>77</v>
      </c>
      <c r="AA139" s="116">
        <v>800</v>
      </c>
      <c r="AB139" s="118">
        <f t="shared" si="25"/>
        <v>0.17599999999999999</v>
      </c>
      <c r="AC139" s="119">
        <f>AA139-(AA139*AB139)</f>
        <v>659.2</v>
      </c>
      <c r="AD139" s="119"/>
      <c r="AE139" s="120"/>
      <c r="AF139" s="120"/>
      <c r="AG139" s="120" t="s">
        <v>77</v>
      </c>
      <c r="AH139" s="120" t="s">
        <v>77</v>
      </c>
      <c r="AI139" s="147" t="s">
        <v>75</v>
      </c>
      <c r="AJ139" s="55" t="s">
        <v>346</v>
      </c>
      <c r="AK139" s="230" t="s">
        <v>79</v>
      </c>
      <c r="AL139" s="230" t="s">
        <v>231</v>
      </c>
    </row>
    <row r="140" spans="1:46">
      <c r="A140" s="113" t="s">
        <v>387</v>
      </c>
      <c r="B140" s="413" t="s">
        <v>388</v>
      </c>
      <c r="C140" s="115">
        <v>1</v>
      </c>
      <c r="D140" s="116" t="s">
        <v>75</v>
      </c>
      <c r="E140" s="117" t="s">
        <v>77</v>
      </c>
      <c r="F140" s="116">
        <v>991.67</v>
      </c>
      <c r="G140" s="118">
        <f t="shared" si="24"/>
        <v>0.17599999999999999</v>
      </c>
      <c r="H140" s="119">
        <f>F140-(F140*G140)</f>
        <v>817.13607999999999</v>
      </c>
      <c r="I140" s="119"/>
      <c r="J140" s="120"/>
      <c r="K140" s="120"/>
      <c r="L140" s="134"/>
      <c r="M140" s="120"/>
      <c r="N140" s="147" t="s">
        <v>75</v>
      </c>
      <c r="O140" s="55" t="s">
        <v>346</v>
      </c>
      <c r="P140" s="230" t="s">
        <v>79</v>
      </c>
      <c r="Q140" s="205" t="s">
        <v>231</v>
      </c>
      <c r="R140" s="1" t="str">
        <f t="shared" si="23"/>
        <v/>
      </c>
      <c r="S140" s="1" t="str">
        <f t="shared" si="23"/>
        <v/>
      </c>
      <c r="T140" s="1" t="str">
        <f t="shared" si="23"/>
        <v/>
      </c>
      <c r="U140" s="1" t="str">
        <f t="shared" si="23"/>
        <v/>
      </c>
      <c r="V140" s="113" t="s">
        <v>387</v>
      </c>
      <c r="W140" s="413" t="s">
        <v>388</v>
      </c>
      <c r="X140" s="115">
        <v>1</v>
      </c>
      <c r="Y140" s="116" t="s">
        <v>75</v>
      </c>
      <c r="Z140" s="117" t="s">
        <v>77</v>
      </c>
      <c r="AA140" s="116">
        <v>991.67</v>
      </c>
      <c r="AB140" s="118">
        <f t="shared" si="25"/>
        <v>0.17599999999999999</v>
      </c>
      <c r="AC140" s="119">
        <f>AA140-(AA140*AB140)</f>
        <v>817.13607999999999</v>
      </c>
      <c r="AD140" s="119"/>
      <c r="AE140" s="120"/>
      <c r="AF140" s="120"/>
      <c r="AG140" s="120"/>
      <c r="AH140" s="120"/>
      <c r="AI140" s="147" t="s">
        <v>75</v>
      </c>
      <c r="AJ140" s="55" t="s">
        <v>346</v>
      </c>
      <c r="AK140" s="230" t="s">
        <v>79</v>
      </c>
      <c r="AL140" s="230" t="s">
        <v>231</v>
      </c>
    </row>
    <row r="141" spans="1:46">
      <c r="A141" s="113" t="s">
        <v>389</v>
      </c>
      <c r="B141" s="413" t="s">
        <v>390</v>
      </c>
      <c r="C141" s="115">
        <v>1</v>
      </c>
      <c r="D141" s="116" t="s">
        <v>75</v>
      </c>
      <c r="E141" s="117"/>
      <c r="F141" s="116">
        <v>383.33</v>
      </c>
      <c r="G141" s="118">
        <f t="shared" si="24"/>
        <v>0.17599999999999999</v>
      </c>
      <c r="H141" s="119">
        <f t="shared" ref="H141:H149" si="26">F141-(F141*G141)</f>
        <v>315.86392000000001</v>
      </c>
      <c r="I141" s="119"/>
      <c r="J141" s="120"/>
      <c r="K141" s="120"/>
      <c r="L141" s="134"/>
      <c r="M141" s="120"/>
      <c r="N141" s="147" t="s">
        <v>75</v>
      </c>
      <c r="O141" s="55" t="s">
        <v>346</v>
      </c>
      <c r="P141" s="230" t="s">
        <v>79</v>
      </c>
      <c r="Q141" s="205" t="s">
        <v>231</v>
      </c>
      <c r="R141" s="1" t="str">
        <f t="shared" si="23"/>
        <v/>
      </c>
      <c r="S141" s="1" t="str">
        <f t="shared" si="23"/>
        <v/>
      </c>
      <c r="T141" s="1" t="str">
        <f t="shared" si="23"/>
        <v/>
      </c>
      <c r="U141" s="1" t="str">
        <f t="shared" si="23"/>
        <v/>
      </c>
      <c r="V141" s="113" t="s">
        <v>389</v>
      </c>
      <c r="W141" s="413" t="s">
        <v>390</v>
      </c>
      <c r="X141" s="115">
        <v>1</v>
      </c>
      <c r="Y141" s="116" t="s">
        <v>75</v>
      </c>
      <c r="Z141" s="117"/>
      <c r="AA141" s="116">
        <v>383.33</v>
      </c>
      <c r="AB141" s="118">
        <f t="shared" si="25"/>
        <v>0.17599999999999999</v>
      </c>
      <c r="AC141" s="119">
        <f t="shared" ref="AC141:AC149" si="27">AA141-(AA141*AB141)</f>
        <v>315.86392000000001</v>
      </c>
      <c r="AD141" s="119"/>
      <c r="AE141" s="120"/>
      <c r="AF141" s="120"/>
      <c r="AG141" s="120"/>
      <c r="AH141" s="120"/>
      <c r="AI141" s="147" t="s">
        <v>75</v>
      </c>
      <c r="AJ141" s="55" t="s">
        <v>346</v>
      </c>
      <c r="AK141" s="230" t="s">
        <v>79</v>
      </c>
      <c r="AL141" s="230" t="s">
        <v>231</v>
      </c>
    </row>
    <row r="142" spans="1:46">
      <c r="A142" s="113" t="s">
        <v>391</v>
      </c>
      <c r="B142" s="413" t="s">
        <v>392</v>
      </c>
      <c r="C142" s="115">
        <v>1</v>
      </c>
      <c r="D142" s="116" t="s">
        <v>75</v>
      </c>
      <c r="E142" s="117"/>
      <c r="F142" s="35">
        <v>383.33</v>
      </c>
      <c r="G142" s="118">
        <f t="shared" si="24"/>
        <v>0.17599999999999999</v>
      </c>
      <c r="H142" s="119">
        <f t="shared" si="26"/>
        <v>315.86392000000001</v>
      </c>
      <c r="I142" s="119"/>
      <c r="J142" s="120"/>
      <c r="K142" s="120"/>
      <c r="L142" s="134"/>
      <c r="M142" s="120"/>
      <c r="N142" s="147" t="s">
        <v>75</v>
      </c>
      <c r="O142" s="55" t="s">
        <v>346</v>
      </c>
      <c r="P142" s="230" t="s">
        <v>79</v>
      </c>
      <c r="Q142" s="205" t="s">
        <v>231</v>
      </c>
      <c r="R142" s="1" t="str">
        <f t="shared" si="23"/>
        <v/>
      </c>
      <c r="S142" s="1" t="str">
        <f t="shared" si="23"/>
        <v/>
      </c>
      <c r="T142" s="1" t="str">
        <f t="shared" si="23"/>
        <v/>
      </c>
      <c r="U142" s="1" t="str">
        <f t="shared" si="23"/>
        <v/>
      </c>
      <c r="V142" s="113" t="s">
        <v>391</v>
      </c>
      <c r="W142" s="413" t="s">
        <v>392</v>
      </c>
      <c r="X142" s="115">
        <v>1</v>
      </c>
      <c r="Y142" s="116" t="s">
        <v>75</v>
      </c>
      <c r="Z142" s="117"/>
      <c r="AA142" s="35">
        <v>383.33</v>
      </c>
      <c r="AB142" s="118">
        <f t="shared" si="25"/>
        <v>0.17599999999999999</v>
      </c>
      <c r="AC142" s="119">
        <f t="shared" si="27"/>
        <v>315.86392000000001</v>
      </c>
      <c r="AD142" s="119"/>
      <c r="AE142" s="120"/>
      <c r="AF142" s="120"/>
      <c r="AG142" s="120"/>
      <c r="AH142" s="120"/>
      <c r="AI142" s="147" t="s">
        <v>75</v>
      </c>
      <c r="AJ142" s="55" t="s">
        <v>346</v>
      </c>
      <c r="AK142" s="230" t="s">
        <v>79</v>
      </c>
      <c r="AL142" s="230" t="s">
        <v>231</v>
      </c>
    </row>
    <row r="143" spans="1:46">
      <c r="A143" s="113" t="s">
        <v>393</v>
      </c>
      <c r="B143" s="413" t="s">
        <v>394</v>
      </c>
      <c r="C143" s="115">
        <v>1</v>
      </c>
      <c r="D143" s="116" t="s">
        <v>75</v>
      </c>
      <c r="E143" s="117"/>
      <c r="F143" s="116">
        <v>191.67</v>
      </c>
      <c r="G143" s="118">
        <f t="shared" si="24"/>
        <v>0.17599999999999999</v>
      </c>
      <c r="H143" s="119">
        <f t="shared" si="26"/>
        <v>157.93608</v>
      </c>
      <c r="I143" s="119"/>
      <c r="J143" s="120"/>
      <c r="K143" s="120"/>
      <c r="L143" s="134"/>
      <c r="M143" s="120"/>
      <c r="N143" s="147" t="s">
        <v>75</v>
      </c>
      <c r="O143" s="55" t="s">
        <v>346</v>
      </c>
      <c r="P143" s="230" t="s">
        <v>79</v>
      </c>
      <c r="Q143" s="205" t="s">
        <v>231</v>
      </c>
      <c r="R143" s="1" t="str">
        <f t="shared" si="23"/>
        <v/>
      </c>
      <c r="S143" s="1" t="str">
        <f t="shared" si="23"/>
        <v/>
      </c>
      <c r="T143" s="1" t="str">
        <f t="shared" si="23"/>
        <v/>
      </c>
      <c r="U143" s="1" t="str">
        <f t="shared" si="23"/>
        <v/>
      </c>
      <c r="V143" s="113" t="s">
        <v>393</v>
      </c>
      <c r="W143" s="413" t="s">
        <v>394</v>
      </c>
      <c r="X143" s="115">
        <v>1</v>
      </c>
      <c r="Y143" s="116" t="s">
        <v>75</v>
      </c>
      <c r="Z143" s="117"/>
      <c r="AA143" s="116">
        <v>191.67</v>
      </c>
      <c r="AB143" s="118">
        <f t="shared" si="25"/>
        <v>0.17599999999999999</v>
      </c>
      <c r="AC143" s="119">
        <f t="shared" si="27"/>
        <v>157.93608</v>
      </c>
      <c r="AD143" s="119"/>
      <c r="AE143" s="120"/>
      <c r="AF143" s="120"/>
      <c r="AG143" s="120"/>
      <c r="AH143" s="120"/>
      <c r="AI143" s="147" t="s">
        <v>75</v>
      </c>
      <c r="AJ143" s="55" t="s">
        <v>346</v>
      </c>
      <c r="AK143" s="230" t="s">
        <v>79</v>
      </c>
      <c r="AL143" s="230" t="s">
        <v>231</v>
      </c>
    </row>
    <row r="144" spans="1:46">
      <c r="A144" s="113" t="s">
        <v>395</v>
      </c>
      <c r="B144" s="413" t="s">
        <v>396</v>
      </c>
      <c r="C144" s="115">
        <v>1</v>
      </c>
      <c r="D144" s="116" t="s">
        <v>75</v>
      </c>
      <c r="E144" s="117"/>
      <c r="F144" s="116">
        <v>575</v>
      </c>
      <c r="G144" s="118">
        <f t="shared" si="24"/>
        <v>0.17599999999999999</v>
      </c>
      <c r="H144" s="119">
        <f t="shared" si="26"/>
        <v>473.8</v>
      </c>
      <c r="I144" s="119"/>
      <c r="J144" s="120"/>
      <c r="K144" s="120"/>
      <c r="L144" s="134"/>
      <c r="M144" s="120"/>
      <c r="N144" s="147" t="s">
        <v>75</v>
      </c>
      <c r="O144" s="55" t="s">
        <v>346</v>
      </c>
      <c r="P144" s="230" t="s">
        <v>79</v>
      </c>
      <c r="Q144" s="205" t="s">
        <v>231</v>
      </c>
      <c r="R144" s="1" t="str">
        <f t="shared" si="23"/>
        <v/>
      </c>
      <c r="S144" s="1" t="str">
        <f t="shared" si="23"/>
        <v/>
      </c>
      <c r="T144" s="1" t="str">
        <f t="shared" si="23"/>
        <v/>
      </c>
      <c r="U144" s="1" t="str">
        <f t="shared" si="23"/>
        <v/>
      </c>
      <c r="V144" s="113" t="s">
        <v>395</v>
      </c>
      <c r="W144" s="413" t="s">
        <v>396</v>
      </c>
      <c r="X144" s="115">
        <v>1</v>
      </c>
      <c r="Y144" s="116" t="s">
        <v>75</v>
      </c>
      <c r="Z144" s="117"/>
      <c r="AA144" s="116">
        <v>575</v>
      </c>
      <c r="AB144" s="118">
        <f t="shared" si="25"/>
        <v>0.17599999999999999</v>
      </c>
      <c r="AC144" s="119">
        <f t="shared" si="27"/>
        <v>473.8</v>
      </c>
      <c r="AD144" s="119"/>
      <c r="AE144" s="120"/>
      <c r="AF144" s="120"/>
      <c r="AG144" s="120"/>
      <c r="AH144" s="120"/>
      <c r="AI144" s="147" t="s">
        <v>75</v>
      </c>
      <c r="AJ144" s="55" t="s">
        <v>346</v>
      </c>
      <c r="AK144" s="230" t="s">
        <v>79</v>
      </c>
      <c r="AL144" s="230" t="s">
        <v>231</v>
      </c>
    </row>
    <row r="145" spans="1:46">
      <c r="A145" s="113" t="s">
        <v>397</v>
      </c>
      <c r="B145" s="413" t="s">
        <v>398</v>
      </c>
      <c r="C145" s="115">
        <v>1</v>
      </c>
      <c r="D145" s="116" t="s">
        <v>75</v>
      </c>
      <c r="E145" s="117"/>
      <c r="F145" s="116">
        <v>1150</v>
      </c>
      <c r="G145" s="118">
        <f t="shared" si="24"/>
        <v>0.17599999999999999</v>
      </c>
      <c r="H145" s="119">
        <f t="shared" si="26"/>
        <v>947.6</v>
      </c>
      <c r="I145" s="119"/>
      <c r="J145" s="120"/>
      <c r="K145" s="120"/>
      <c r="L145" s="134"/>
      <c r="M145" s="120"/>
      <c r="N145" s="147" t="s">
        <v>75</v>
      </c>
      <c r="O145" s="55" t="s">
        <v>346</v>
      </c>
      <c r="P145" s="230" t="s">
        <v>79</v>
      </c>
      <c r="Q145" s="205" t="s">
        <v>231</v>
      </c>
      <c r="R145" s="1" t="str">
        <f t="shared" si="23"/>
        <v/>
      </c>
      <c r="S145" s="1" t="str">
        <f t="shared" si="23"/>
        <v/>
      </c>
      <c r="T145" s="1" t="str">
        <f t="shared" si="23"/>
        <v/>
      </c>
      <c r="U145" s="1" t="str">
        <f t="shared" si="23"/>
        <v/>
      </c>
      <c r="V145" s="113" t="s">
        <v>397</v>
      </c>
      <c r="W145" s="413" t="s">
        <v>398</v>
      </c>
      <c r="X145" s="115">
        <v>1</v>
      </c>
      <c r="Y145" s="116" t="s">
        <v>75</v>
      </c>
      <c r="Z145" s="117"/>
      <c r="AA145" s="116">
        <v>1150</v>
      </c>
      <c r="AB145" s="118">
        <f t="shared" si="25"/>
        <v>0.17599999999999999</v>
      </c>
      <c r="AC145" s="119">
        <f t="shared" si="27"/>
        <v>947.6</v>
      </c>
      <c r="AD145" s="119"/>
      <c r="AE145" s="120"/>
      <c r="AF145" s="120"/>
      <c r="AG145" s="120"/>
      <c r="AH145" s="120"/>
      <c r="AI145" s="147" t="s">
        <v>75</v>
      </c>
      <c r="AJ145" s="55" t="s">
        <v>346</v>
      </c>
      <c r="AK145" s="230" t="s">
        <v>79</v>
      </c>
      <c r="AL145" s="230" t="s">
        <v>231</v>
      </c>
    </row>
    <row r="146" spans="1:46">
      <c r="A146" s="113" t="s">
        <v>399</v>
      </c>
      <c r="B146" s="413" t="s">
        <v>400</v>
      </c>
      <c r="C146" s="115">
        <v>1</v>
      </c>
      <c r="D146" s="116" t="s">
        <v>75</v>
      </c>
      <c r="E146" s="117"/>
      <c r="F146" s="116">
        <v>2300</v>
      </c>
      <c r="G146" s="118">
        <f t="shared" si="24"/>
        <v>0.17599999999999999</v>
      </c>
      <c r="H146" s="119">
        <f t="shared" si="26"/>
        <v>1895.2</v>
      </c>
      <c r="I146" s="119"/>
      <c r="J146" s="120"/>
      <c r="K146" s="120"/>
      <c r="L146" s="134"/>
      <c r="M146" s="120"/>
      <c r="N146" s="147" t="s">
        <v>75</v>
      </c>
      <c r="O146" s="55" t="s">
        <v>346</v>
      </c>
      <c r="P146" s="230" t="s">
        <v>79</v>
      </c>
      <c r="Q146" s="205" t="s">
        <v>231</v>
      </c>
      <c r="R146" s="1" t="str">
        <f t="shared" si="23"/>
        <v/>
      </c>
      <c r="S146" s="1" t="str">
        <f t="shared" si="23"/>
        <v/>
      </c>
      <c r="T146" s="1" t="str">
        <f t="shared" si="23"/>
        <v/>
      </c>
      <c r="U146" s="1" t="str">
        <f t="shared" si="23"/>
        <v/>
      </c>
      <c r="V146" s="113" t="s">
        <v>399</v>
      </c>
      <c r="W146" s="413" t="s">
        <v>400</v>
      </c>
      <c r="X146" s="115">
        <v>1</v>
      </c>
      <c r="Y146" s="116" t="s">
        <v>75</v>
      </c>
      <c r="Z146" s="117"/>
      <c r="AA146" s="116">
        <v>2300</v>
      </c>
      <c r="AB146" s="118">
        <f t="shared" si="25"/>
        <v>0.17599999999999999</v>
      </c>
      <c r="AC146" s="119">
        <f t="shared" si="27"/>
        <v>1895.2</v>
      </c>
      <c r="AD146" s="119"/>
      <c r="AE146" s="120"/>
      <c r="AF146" s="120"/>
      <c r="AG146" s="120"/>
      <c r="AH146" s="120"/>
      <c r="AI146" s="147" t="s">
        <v>75</v>
      </c>
      <c r="AJ146" s="55" t="s">
        <v>346</v>
      </c>
      <c r="AK146" s="230" t="s">
        <v>79</v>
      </c>
      <c r="AL146" s="230" t="s">
        <v>231</v>
      </c>
    </row>
    <row r="147" spans="1:46">
      <c r="A147" s="113" t="s">
        <v>401</v>
      </c>
      <c r="B147" s="413" t="s">
        <v>402</v>
      </c>
      <c r="C147" s="115">
        <v>1</v>
      </c>
      <c r="D147" s="116" t="s">
        <v>75</v>
      </c>
      <c r="E147" s="117"/>
      <c r="F147" s="116">
        <v>16.670000000000002</v>
      </c>
      <c r="G147" s="118">
        <f t="shared" si="24"/>
        <v>0.17599999999999999</v>
      </c>
      <c r="H147" s="119">
        <f t="shared" si="26"/>
        <v>13.736080000000001</v>
      </c>
      <c r="I147" s="119"/>
      <c r="J147" s="120"/>
      <c r="K147" s="120"/>
      <c r="L147" s="134"/>
      <c r="M147" s="120"/>
      <c r="N147" s="147" t="s">
        <v>75</v>
      </c>
      <c r="O147" s="55" t="s">
        <v>346</v>
      </c>
      <c r="P147" s="230" t="s">
        <v>79</v>
      </c>
      <c r="Q147" s="205" t="s">
        <v>231</v>
      </c>
      <c r="R147" s="1" t="str">
        <f t="shared" si="23"/>
        <v/>
      </c>
      <c r="S147" s="1" t="str">
        <f t="shared" si="23"/>
        <v/>
      </c>
      <c r="T147" s="1" t="str">
        <f t="shared" si="23"/>
        <v/>
      </c>
      <c r="U147" s="1" t="str">
        <f t="shared" si="23"/>
        <v/>
      </c>
      <c r="V147" s="113" t="s">
        <v>401</v>
      </c>
      <c r="W147" s="413" t="s">
        <v>402</v>
      </c>
      <c r="X147" s="115">
        <v>1</v>
      </c>
      <c r="Y147" s="116" t="s">
        <v>75</v>
      </c>
      <c r="Z147" s="117"/>
      <c r="AA147" s="116">
        <v>16.670000000000002</v>
      </c>
      <c r="AB147" s="118">
        <f t="shared" si="25"/>
        <v>0.17599999999999999</v>
      </c>
      <c r="AC147" s="119">
        <f t="shared" si="27"/>
        <v>13.736080000000001</v>
      </c>
      <c r="AD147" s="119"/>
      <c r="AE147" s="120"/>
      <c r="AF147" s="120"/>
      <c r="AG147" s="120"/>
      <c r="AH147" s="120"/>
      <c r="AI147" s="147" t="s">
        <v>75</v>
      </c>
      <c r="AJ147" s="55" t="s">
        <v>346</v>
      </c>
      <c r="AK147" s="230" t="s">
        <v>79</v>
      </c>
      <c r="AL147" s="230" t="s">
        <v>231</v>
      </c>
    </row>
    <row r="148" spans="1:46">
      <c r="A148" s="113" t="s">
        <v>403</v>
      </c>
      <c r="B148" s="413" t="s">
        <v>404</v>
      </c>
      <c r="C148" s="115">
        <v>1</v>
      </c>
      <c r="D148" s="116" t="s">
        <v>75</v>
      </c>
      <c r="E148" s="117"/>
      <c r="F148" s="116">
        <v>0</v>
      </c>
      <c r="G148" s="118">
        <f t="shared" si="24"/>
        <v>0.17599999999999999</v>
      </c>
      <c r="H148" s="119">
        <f t="shared" si="26"/>
        <v>0</v>
      </c>
      <c r="I148" s="119"/>
      <c r="J148" s="120"/>
      <c r="K148" s="120"/>
      <c r="L148" s="134"/>
      <c r="M148" s="120"/>
      <c r="N148" s="147" t="s">
        <v>75</v>
      </c>
      <c r="O148" s="55" t="s">
        <v>346</v>
      </c>
      <c r="P148" s="230" t="s">
        <v>79</v>
      </c>
      <c r="Q148" s="205" t="s">
        <v>231</v>
      </c>
      <c r="R148" s="1" t="str">
        <f t="shared" si="23"/>
        <v/>
      </c>
      <c r="S148" s="1" t="str">
        <f t="shared" si="23"/>
        <v/>
      </c>
      <c r="T148" s="1" t="str">
        <f t="shared" si="23"/>
        <v/>
      </c>
      <c r="U148" s="1" t="str">
        <f t="shared" si="23"/>
        <v/>
      </c>
      <c r="V148" s="113" t="s">
        <v>403</v>
      </c>
      <c r="W148" s="413" t="s">
        <v>405</v>
      </c>
      <c r="X148" s="115">
        <v>1</v>
      </c>
      <c r="Y148" s="116" t="s">
        <v>75</v>
      </c>
      <c r="Z148" s="117"/>
      <c r="AA148" s="116">
        <v>0</v>
      </c>
      <c r="AB148" s="118">
        <f t="shared" si="25"/>
        <v>0.17599999999999999</v>
      </c>
      <c r="AC148" s="119">
        <f t="shared" si="27"/>
        <v>0</v>
      </c>
      <c r="AD148" s="119"/>
      <c r="AE148" s="120"/>
      <c r="AF148" s="120"/>
      <c r="AG148" s="120"/>
      <c r="AH148" s="120"/>
      <c r="AI148" s="147" t="s">
        <v>75</v>
      </c>
      <c r="AJ148" s="55" t="s">
        <v>346</v>
      </c>
      <c r="AK148" s="230" t="s">
        <v>79</v>
      </c>
      <c r="AL148" s="230" t="s">
        <v>231</v>
      </c>
    </row>
    <row r="149" spans="1:46">
      <c r="A149" s="25" t="s">
        <v>406</v>
      </c>
      <c r="B149" s="413" t="s">
        <v>407</v>
      </c>
      <c r="C149" s="115">
        <v>1</v>
      </c>
      <c r="D149" s="116" t="s">
        <v>75</v>
      </c>
      <c r="E149" s="117"/>
      <c r="F149" s="116">
        <v>0</v>
      </c>
      <c r="G149" s="118">
        <f t="shared" si="24"/>
        <v>0.17599999999999999</v>
      </c>
      <c r="H149" s="119">
        <f t="shared" si="26"/>
        <v>0</v>
      </c>
      <c r="I149" s="119"/>
      <c r="J149" s="120"/>
      <c r="K149" s="120"/>
      <c r="L149" s="134"/>
      <c r="M149" s="120"/>
      <c r="N149" s="147" t="s">
        <v>75</v>
      </c>
      <c r="O149" s="55" t="s">
        <v>346</v>
      </c>
      <c r="P149" s="230" t="s">
        <v>79</v>
      </c>
      <c r="Q149" s="205" t="s">
        <v>231</v>
      </c>
      <c r="R149" s="1" t="str">
        <f t="shared" si="23"/>
        <v/>
      </c>
      <c r="S149" s="1" t="str">
        <f t="shared" si="23"/>
        <v/>
      </c>
      <c r="T149" s="1" t="str">
        <f t="shared" si="23"/>
        <v/>
      </c>
      <c r="U149" s="1" t="str">
        <f t="shared" si="23"/>
        <v/>
      </c>
      <c r="V149" s="113" t="s">
        <v>408</v>
      </c>
      <c r="W149" s="413" t="s">
        <v>409</v>
      </c>
      <c r="X149" s="115">
        <v>1</v>
      </c>
      <c r="Y149" s="116" t="s">
        <v>75</v>
      </c>
      <c r="Z149" s="117"/>
      <c r="AA149" s="116">
        <v>0</v>
      </c>
      <c r="AB149" s="118">
        <f t="shared" si="25"/>
        <v>0.17599999999999999</v>
      </c>
      <c r="AC149" s="119">
        <f t="shared" si="27"/>
        <v>0</v>
      </c>
      <c r="AD149" s="119"/>
      <c r="AE149" s="120"/>
      <c r="AF149" s="120"/>
      <c r="AG149" s="120"/>
      <c r="AH149" s="120"/>
      <c r="AI149" s="147" t="s">
        <v>75</v>
      </c>
      <c r="AJ149" s="55" t="s">
        <v>346</v>
      </c>
      <c r="AK149" s="230" t="s">
        <v>79</v>
      </c>
      <c r="AL149" s="230" t="s">
        <v>231</v>
      </c>
    </row>
    <row r="150" spans="1:46" customFormat="1">
      <c r="A150" s="443" t="s">
        <v>410</v>
      </c>
      <c r="B150" s="444" t="s">
        <v>411</v>
      </c>
      <c r="C150" s="148">
        <v>1</v>
      </c>
      <c r="D150" s="438" t="s">
        <v>75</v>
      </c>
      <c r="E150" s="445" t="s">
        <v>77</v>
      </c>
      <c r="F150" s="445"/>
      <c r="G150" s="446"/>
      <c r="H150" s="438">
        <v>0</v>
      </c>
      <c r="I150" s="436"/>
      <c r="J150" s="438"/>
      <c r="K150" s="438"/>
      <c r="L150" s="438" t="s">
        <v>77</v>
      </c>
      <c r="M150" s="438" t="s">
        <v>77</v>
      </c>
      <c r="N150" s="439"/>
      <c r="O150" s="440"/>
      <c r="P150" s="441"/>
      <c r="Q150" s="442"/>
      <c r="R150" s="1" t="str">
        <f t="shared" si="23"/>
        <v/>
      </c>
      <c r="S150" s="1" t="str">
        <f t="shared" si="23"/>
        <v/>
      </c>
      <c r="T150" s="1" t="str">
        <f t="shared" si="23"/>
        <v/>
      </c>
      <c r="U150" s="1" t="str">
        <f t="shared" si="23"/>
        <v/>
      </c>
      <c r="V150" s="443"/>
      <c r="W150" s="444"/>
      <c r="X150" s="148"/>
      <c r="Y150" s="438"/>
      <c r="Z150" s="445"/>
      <c r="AA150" s="445"/>
      <c r="AB150" s="446"/>
      <c r="AC150" s="438"/>
      <c r="AD150" s="436"/>
      <c r="AE150" s="438"/>
      <c r="AF150" s="438"/>
      <c r="AG150" s="438"/>
      <c r="AH150" s="438"/>
      <c r="AI150" s="439"/>
      <c r="AJ150" s="440"/>
      <c r="AK150" s="441"/>
      <c r="AL150" s="442"/>
      <c r="AM150" s="437"/>
      <c r="AN150" s="437"/>
      <c r="AO150" s="437"/>
      <c r="AP150" s="437"/>
      <c r="AQ150" s="437"/>
      <c r="AR150" s="437"/>
      <c r="AS150" s="437"/>
      <c r="AT150" s="437"/>
    </row>
    <row r="151" spans="1:46">
      <c r="A151" s="93" t="s">
        <v>412</v>
      </c>
      <c r="B151" s="94" t="s">
        <v>413</v>
      </c>
      <c r="C151" s="95">
        <v>1</v>
      </c>
      <c r="D151" s="96" t="s">
        <v>75</v>
      </c>
      <c r="E151" s="96" t="s">
        <v>412</v>
      </c>
      <c r="F151" s="96">
        <v>2290.5300000000002</v>
      </c>
      <c r="G151" s="141">
        <f>rv_mbp14_hg</f>
        <v>0.17599999999999999</v>
      </c>
      <c r="H151" s="145">
        <f>F151-(F151*G151)</f>
        <v>1887.3967200000002</v>
      </c>
      <c r="I151" s="95" t="s">
        <v>345</v>
      </c>
      <c r="J151" s="122">
        <f>mbp14_5pl</f>
        <v>45</v>
      </c>
      <c r="K151" s="122">
        <f>H151+J151</f>
        <v>1932.3967200000002</v>
      </c>
      <c r="L151" s="134" t="s">
        <v>77</v>
      </c>
      <c r="M151" s="120">
        <v>0.3</v>
      </c>
      <c r="N151" s="147" t="s">
        <v>75</v>
      </c>
      <c r="O151" s="55" t="s">
        <v>414</v>
      </c>
      <c r="P151" s="230" t="s">
        <v>79</v>
      </c>
      <c r="Q151" s="205" t="s">
        <v>231</v>
      </c>
      <c r="R151" s="1">
        <f t="shared" si="23"/>
        <v>382.58990726065639</v>
      </c>
      <c r="S151" s="1">
        <f t="shared" si="23"/>
        <v>195.75170305426721</v>
      </c>
      <c r="T151" s="1">
        <f t="shared" si="23"/>
        <v>140.4117122599707</v>
      </c>
      <c r="U151" s="1">
        <f t="shared" si="23"/>
        <v>120.2866381556905</v>
      </c>
      <c r="V151" s="93" t="s">
        <v>412</v>
      </c>
      <c r="W151" s="94" t="s">
        <v>413</v>
      </c>
      <c r="X151" s="95">
        <v>1</v>
      </c>
      <c r="Y151" s="96" t="s">
        <v>75</v>
      </c>
      <c r="Z151" s="96" t="s">
        <v>412</v>
      </c>
      <c r="AA151" s="96">
        <v>2290.5300000000002</v>
      </c>
      <c r="AB151" s="141">
        <f>rv_mbp14_hg</f>
        <v>0.17599999999999999</v>
      </c>
      <c r="AC151" s="145">
        <f>AA151-(AA151*AB151)</f>
        <v>1887.3967200000002</v>
      </c>
      <c r="AD151" s="95" t="s">
        <v>345</v>
      </c>
      <c r="AE151" s="122">
        <f>mbp14_5pl</f>
        <v>45</v>
      </c>
      <c r="AF151" s="122">
        <f>AC151+AE151</f>
        <v>1932.3967200000002</v>
      </c>
      <c r="AG151" s="120" t="s">
        <v>77</v>
      </c>
      <c r="AH151" s="120">
        <v>0.3</v>
      </c>
      <c r="AI151" s="147" t="s">
        <v>75</v>
      </c>
      <c r="AJ151" s="55" t="s">
        <v>414</v>
      </c>
      <c r="AK151" s="230" t="s">
        <v>79</v>
      </c>
      <c r="AL151" s="230" t="s">
        <v>231</v>
      </c>
    </row>
    <row r="152" spans="1:46">
      <c r="A152" s="113" t="s">
        <v>415</v>
      </c>
      <c r="B152" s="413" t="s">
        <v>416</v>
      </c>
      <c r="C152" s="115">
        <v>1</v>
      </c>
      <c r="D152" s="116" t="s">
        <v>75</v>
      </c>
      <c r="E152" s="117" t="s">
        <v>77</v>
      </c>
      <c r="F152" s="116">
        <v>575</v>
      </c>
      <c r="G152" s="118">
        <f t="shared" ref="G152:G171" si="28">rv_mbp14_eg_cto</f>
        <v>0.17599999999999999</v>
      </c>
      <c r="H152" s="119">
        <f>F152-(F152*G152)</f>
        <v>473.8</v>
      </c>
      <c r="I152" s="119"/>
      <c r="J152" s="120"/>
      <c r="K152" s="120"/>
      <c r="L152" s="134" t="s">
        <v>77</v>
      </c>
      <c r="M152" s="120" t="s">
        <v>77</v>
      </c>
      <c r="N152" s="147" t="s">
        <v>75</v>
      </c>
      <c r="O152" s="55" t="s">
        <v>346</v>
      </c>
      <c r="P152" s="230" t="s">
        <v>79</v>
      </c>
      <c r="Q152" s="205" t="s">
        <v>231</v>
      </c>
      <c r="R152" s="1" t="str">
        <f t="shared" si="23"/>
        <v/>
      </c>
      <c r="S152" s="1" t="str">
        <f t="shared" si="23"/>
        <v/>
      </c>
      <c r="T152" s="1" t="str">
        <f t="shared" si="23"/>
        <v/>
      </c>
      <c r="U152" s="1" t="str">
        <f t="shared" si="23"/>
        <v/>
      </c>
      <c r="V152" s="113" t="s">
        <v>415</v>
      </c>
      <c r="W152" s="413" t="s">
        <v>416</v>
      </c>
      <c r="X152" s="115">
        <v>1</v>
      </c>
      <c r="Y152" s="116" t="s">
        <v>75</v>
      </c>
      <c r="Z152" s="117" t="s">
        <v>77</v>
      </c>
      <c r="AA152" s="116">
        <v>575</v>
      </c>
      <c r="AB152" s="118">
        <f t="shared" ref="AB152:AB171" si="29">rv_mbp14_eg_cto</f>
        <v>0.17599999999999999</v>
      </c>
      <c r="AC152" s="119">
        <f>AA152-(AA152*AB152)</f>
        <v>473.8</v>
      </c>
      <c r="AD152" s="119"/>
      <c r="AE152" s="120"/>
      <c r="AF152" s="120"/>
      <c r="AG152" s="120" t="s">
        <v>77</v>
      </c>
      <c r="AH152" s="120" t="s">
        <v>77</v>
      </c>
      <c r="AI152" s="147" t="s">
        <v>75</v>
      </c>
      <c r="AJ152" s="55" t="s">
        <v>346</v>
      </c>
      <c r="AK152" s="230" t="s">
        <v>79</v>
      </c>
      <c r="AL152" s="230" t="s">
        <v>231</v>
      </c>
    </row>
    <row r="153" spans="1:46">
      <c r="A153" s="113" t="s">
        <v>417</v>
      </c>
      <c r="B153" s="413" t="s">
        <v>418</v>
      </c>
      <c r="C153" s="115">
        <v>1</v>
      </c>
      <c r="D153" s="116" t="s">
        <v>75</v>
      </c>
      <c r="E153" s="117" t="s">
        <v>77</v>
      </c>
      <c r="F153" s="116">
        <v>766.67</v>
      </c>
      <c r="G153" s="118">
        <f t="shared" si="28"/>
        <v>0.17599999999999999</v>
      </c>
      <c r="H153" s="119">
        <f>F153-(F153*G153)</f>
        <v>631.73608000000002</v>
      </c>
      <c r="I153" s="119"/>
      <c r="J153" s="120"/>
      <c r="K153" s="120"/>
      <c r="L153" s="134"/>
      <c r="M153" s="120"/>
      <c r="N153" s="147" t="s">
        <v>75</v>
      </c>
      <c r="O153" s="55" t="s">
        <v>346</v>
      </c>
      <c r="P153" s="230" t="s">
        <v>79</v>
      </c>
      <c r="Q153" s="205" t="s">
        <v>231</v>
      </c>
      <c r="R153" s="1" t="str">
        <f t="shared" si="23"/>
        <v/>
      </c>
      <c r="S153" s="1" t="str">
        <f t="shared" si="23"/>
        <v/>
      </c>
      <c r="T153" s="1" t="str">
        <f t="shared" si="23"/>
        <v/>
      </c>
      <c r="U153" s="1" t="str">
        <f t="shared" si="23"/>
        <v/>
      </c>
      <c r="V153" s="113" t="s">
        <v>417</v>
      </c>
      <c r="W153" s="413" t="s">
        <v>418</v>
      </c>
      <c r="X153" s="115">
        <v>1</v>
      </c>
      <c r="Y153" s="116" t="s">
        <v>75</v>
      </c>
      <c r="Z153" s="117" t="s">
        <v>77</v>
      </c>
      <c r="AA153" s="116">
        <v>766.67</v>
      </c>
      <c r="AB153" s="118">
        <f t="shared" si="29"/>
        <v>0.17599999999999999</v>
      </c>
      <c r="AC153" s="119">
        <f>AA153-(AA153*AB153)</f>
        <v>631.73608000000002</v>
      </c>
      <c r="AD153" s="119"/>
      <c r="AE153" s="120"/>
      <c r="AF153" s="120"/>
      <c r="AG153" s="120"/>
      <c r="AH153" s="120"/>
      <c r="AI153" s="147" t="s">
        <v>75</v>
      </c>
      <c r="AJ153" s="55" t="s">
        <v>346</v>
      </c>
      <c r="AK153" s="230" t="s">
        <v>79</v>
      </c>
      <c r="AL153" s="230" t="s">
        <v>231</v>
      </c>
    </row>
    <row r="154" spans="1:46">
      <c r="A154" s="113" t="s">
        <v>419</v>
      </c>
      <c r="B154" s="413" t="s">
        <v>420</v>
      </c>
      <c r="C154" s="115">
        <v>1</v>
      </c>
      <c r="D154" s="116" t="s">
        <v>75</v>
      </c>
      <c r="E154" s="117"/>
      <c r="F154" s="116">
        <v>383.33</v>
      </c>
      <c r="G154" s="118">
        <f t="shared" si="28"/>
        <v>0.17599999999999999</v>
      </c>
      <c r="H154" s="119">
        <f t="shared" ref="H154:H160" si="30">F154-(F154*G154)</f>
        <v>315.86392000000001</v>
      </c>
      <c r="I154" s="119"/>
      <c r="J154" s="120"/>
      <c r="K154" s="120"/>
      <c r="L154" s="134"/>
      <c r="M154" s="120"/>
      <c r="N154" s="147" t="s">
        <v>75</v>
      </c>
      <c r="O154" s="55" t="s">
        <v>346</v>
      </c>
      <c r="P154" s="230" t="s">
        <v>79</v>
      </c>
      <c r="Q154" s="205" t="s">
        <v>231</v>
      </c>
      <c r="R154" s="1" t="str">
        <f t="shared" si="23"/>
        <v/>
      </c>
      <c r="S154" s="1" t="str">
        <f t="shared" si="23"/>
        <v/>
      </c>
      <c r="T154" s="1" t="str">
        <f t="shared" si="23"/>
        <v/>
      </c>
      <c r="U154" s="1" t="str">
        <f t="shared" si="23"/>
        <v/>
      </c>
      <c r="V154" s="113" t="s">
        <v>419</v>
      </c>
      <c r="W154" s="413" t="s">
        <v>420</v>
      </c>
      <c r="X154" s="115">
        <v>1</v>
      </c>
      <c r="Y154" s="116" t="s">
        <v>75</v>
      </c>
      <c r="Z154" s="117"/>
      <c r="AA154" s="116">
        <v>383.33</v>
      </c>
      <c r="AB154" s="118">
        <f t="shared" si="29"/>
        <v>0.17599999999999999</v>
      </c>
      <c r="AC154" s="119">
        <f t="shared" ref="AC154:AC160" si="31">AA154-(AA154*AB154)</f>
        <v>315.86392000000001</v>
      </c>
      <c r="AD154" s="119"/>
      <c r="AE154" s="120"/>
      <c r="AF154" s="120"/>
      <c r="AG154" s="120"/>
      <c r="AH154" s="120"/>
      <c r="AI154" s="147" t="s">
        <v>75</v>
      </c>
      <c r="AJ154" s="55" t="s">
        <v>346</v>
      </c>
      <c r="AK154" s="230" t="s">
        <v>79</v>
      </c>
      <c r="AL154" s="230" t="s">
        <v>231</v>
      </c>
    </row>
    <row r="155" spans="1:46">
      <c r="A155" s="113" t="s">
        <v>421</v>
      </c>
      <c r="B155" s="413" t="s">
        <v>422</v>
      </c>
      <c r="C155" s="115">
        <v>1</v>
      </c>
      <c r="D155" s="116" t="s">
        <v>75</v>
      </c>
      <c r="E155" s="117"/>
      <c r="F155" s="35">
        <v>383.33</v>
      </c>
      <c r="G155" s="118">
        <f t="shared" si="28"/>
        <v>0.17599999999999999</v>
      </c>
      <c r="H155" s="119">
        <f t="shared" si="30"/>
        <v>315.86392000000001</v>
      </c>
      <c r="I155" s="119"/>
      <c r="J155" s="120"/>
      <c r="K155" s="120"/>
      <c r="L155" s="134"/>
      <c r="M155" s="120"/>
      <c r="N155" s="147" t="s">
        <v>75</v>
      </c>
      <c r="O155" s="55" t="s">
        <v>346</v>
      </c>
      <c r="P155" s="230" t="s">
        <v>79</v>
      </c>
      <c r="Q155" s="205" t="s">
        <v>231</v>
      </c>
      <c r="R155" s="1" t="str">
        <f t="shared" si="23"/>
        <v/>
      </c>
      <c r="S155" s="1" t="str">
        <f t="shared" si="23"/>
        <v/>
      </c>
      <c r="T155" s="1" t="str">
        <f t="shared" si="23"/>
        <v/>
      </c>
      <c r="U155" s="1" t="str">
        <f t="shared" si="23"/>
        <v/>
      </c>
      <c r="V155" s="113" t="s">
        <v>421</v>
      </c>
      <c r="W155" s="413" t="s">
        <v>422</v>
      </c>
      <c r="X155" s="115">
        <v>1</v>
      </c>
      <c r="Y155" s="116" t="s">
        <v>75</v>
      </c>
      <c r="Z155" s="117"/>
      <c r="AA155" s="35">
        <v>383.33</v>
      </c>
      <c r="AB155" s="118">
        <f t="shared" si="29"/>
        <v>0.17599999999999999</v>
      </c>
      <c r="AC155" s="119">
        <f t="shared" si="31"/>
        <v>315.86392000000001</v>
      </c>
      <c r="AD155" s="119"/>
      <c r="AE155" s="120"/>
      <c r="AF155" s="120"/>
      <c r="AG155" s="120"/>
      <c r="AH155" s="120"/>
      <c r="AI155" s="147" t="s">
        <v>75</v>
      </c>
      <c r="AJ155" s="55" t="s">
        <v>346</v>
      </c>
      <c r="AK155" s="230" t="s">
        <v>79</v>
      </c>
      <c r="AL155" s="230" t="s">
        <v>231</v>
      </c>
    </row>
    <row r="156" spans="1:46">
      <c r="A156" s="113" t="s">
        <v>423</v>
      </c>
      <c r="B156" s="413" t="s">
        <v>424</v>
      </c>
      <c r="C156" s="115">
        <v>1</v>
      </c>
      <c r="D156" s="116" t="s">
        <v>75</v>
      </c>
      <c r="E156" s="117"/>
      <c r="F156" s="116">
        <v>383.33</v>
      </c>
      <c r="G156" s="118">
        <f t="shared" si="28"/>
        <v>0.17599999999999999</v>
      </c>
      <c r="H156" s="119">
        <f t="shared" si="30"/>
        <v>315.86392000000001</v>
      </c>
      <c r="I156" s="119"/>
      <c r="J156" s="120"/>
      <c r="K156" s="120"/>
      <c r="L156" s="134"/>
      <c r="M156" s="120"/>
      <c r="N156" s="147" t="s">
        <v>75</v>
      </c>
      <c r="O156" s="55" t="s">
        <v>346</v>
      </c>
      <c r="P156" s="230" t="s">
        <v>79</v>
      </c>
      <c r="Q156" s="205" t="s">
        <v>231</v>
      </c>
      <c r="R156" s="1" t="str">
        <f t="shared" si="23"/>
        <v/>
      </c>
      <c r="S156" s="1" t="str">
        <f t="shared" si="23"/>
        <v/>
      </c>
      <c r="T156" s="1" t="str">
        <f t="shared" si="23"/>
        <v/>
      </c>
      <c r="U156" s="1" t="str">
        <f t="shared" si="23"/>
        <v/>
      </c>
      <c r="V156" s="113" t="s">
        <v>423</v>
      </c>
      <c r="W156" s="413" t="s">
        <v>424</v>
      </c>
      <c r="X156" s="115">
        <v>1</v>
      </c>
      <c r="Y156" s="116" t="s">
        <v>75</v>
      </c>
      <c r="Z156" s="117"/>
      <c r="AA156" s="116">
        <v>383.33</v>
      </c>
      <c r="AB156" s="118">
        <f t="shared" si="29"/>
        <v>0.17599999999999999</v>
      </c>
      <c r="AC156" s="119">
        <f t="shared" si="31"/>
        <v>315.86392000000001</v>
      </c>
      <c r="AD156" s="119"/>
      <c r="AE156" s="120"/>
      <c r="AF156" s="120"/>
      <c r="AG156" s="120"/>
      <c r="AH156" s="120"/>
      <c r="AI156" s="147" t="s">
        <v>75</v>
      </c>
      <c r="AJ156" s="55" t="s">
        <v>346</v>
      </c>
      <c r="AK156" s="230" t="s">
        <v>79</v>
      </c>
      <c r="AL156" s="230" t="s">
        <v>231</v>
      </c>
    </row>
    <row r="157" spans="1:46">
      <c r="A157" s="113" t="s">
        <v>425</v>
      </c>
      <c r="B157" s="413" t="s">
        <v>426</v>
      </c>
      <c r="C157" s="115">
        <v>1</v>
      </c>
      <c r="D157" s="116" t="s">
        <v>75</v>
      </c>
      <c r="E157" s="117"/>
      <c r="F157" s="116">
        <v>958.33</v>
      </c>
      <c r="G157" s="118">
        <f t="shared" si="28"/>
        <v>0.17599999999999999</v>
      </c>
      <c r="H157" s="119">
        <f t="shared" si="30"/>
        <v>789.66392000000008</v>
      </c>
      <c r="I157" s="119"/>
      <c r="J157" s="120"/>
      <c r="K157" s="120"/>
      <c r="L157" s="134"/>
      <c r="M157" s="120"/>
      <c r="N157" s="147" t="s">
        <v>75</v>
      </c>
      <c r="O157" s="55" t="s">
        <v>346</v>
      </c>
      <c r="P157" s="230" t="s">
        <v>79</v>
      </c>
      <c r="Q157" s="205" t="s">
        <v>231</v>
      </c>
      <c r="R157" s="1" t="str">
        <f t="shared" si="23"/>
        <v/>
      </c>
      <c r="S157" s="1" t="str">
        <f t="shared" si="23"/>
        <v/>
      </c>
      <c r="T157" s="1" t="str">
        <f t="shared" si="23"/>
        <v/>
      </c>
      <c r="U157" s="1" t="str">
        <f t="shared" si="23"/>
        <v/>
      </c>
      <c r="V157" s="113" t="s">
        <v>425</v>
      </c>
      <c r="W157" s="413" t="s">
        <v>426</v>
      </c>
      <c r="X157" s="115">
        <v>1</v>
      </c>
      <c r="Y157" s="116" t="s">
        <v>75</v>
      </c>
      <c r="Z157" s="117"/>
      <c r="AA157" s="116">
        <v>958.33</v>
      </c>
      <c r="AB157" s="118">
        <f t="shared" si="29"/>
        <v>0.17599999999999999</v>
      </c>
      <c r="AC157" s="119">
        <f t="shared" si="31"/>
        <v>789.66392000000008</v>
      </c>
      <c r="AD157" s="119"/>
      <c r="AE157" s="120"/>
      <c r="AF157" s="120"/>
      <c r="AG157" s="120"/>
      <c r="AH157" s="120"/>
      <c r="AI157" s="147" t="s">
        <v>75</v>
      </c>
      <c r="AJ157" s="55" t="s">
        <v>346</v>
      </c>
      <c r="AK157" s="230" t="s">
        <v>79</v>
      </c>
      <c r="AL157" s="230" t="s">
        <v>231</v>
      </c>
    </row>
    <row r="158" spans="1:46">
      <c r="A158" s="113" t="s">
        <v>427</v>
      </c>
      <c r="B158" s="413" t="s">
        <v>428</v>
      </c>
      <c r="C158" s="115">
        <v>1</v>
      </c>
      <c r="D158" s="116" t="s">
        <v>75</v>
      </c>
      <c r="E158" s="117"/>
      <c r="F158" s="116">
        <v>2108.33</v>
      </c>
      <c r="G158" s="118">
        <f t="shared" si="28"/>
        <v>0.17599999999999999</v>
      </c>
      <c r="H158" s="119">
        <f t="shared" si="30"/>
        <v>1737.2639199999999</v>
      </c>
      <c r="I158" s="119"/>
      <c r="J158" s="120"/>
      <c r="K158" s="120"/>
      <c r="L158" s="134"/>
      <c r="M158" s="120"/>
      <c r="N158" s="147" t="s">
        <v>75</v>
      </c>
      <c r="O158" s="55" t="s">
        <v>346</v>
      </c>
      <c r="P158" s="230" t="s">
        <v>79</v>
      </c>
      <c r="Q158" s="205" t="s">
        <v>231</v>
      </c>
      <c r="R158" s="1" t="str">
        <f t="shared" si="23"/>
        <v/>
      </c>
      <c r="S158" s="1" t="str">
        <f t="shared" si="23"/>
        <v/>
      </c>
      <c r="T158" s="1" t="str">
        <f t="shared" si="23"/>
        <v/>
      </c>
      <c r="U158" s="1" t="str">
        <f t="shared" si="23"/>
        <v/>
      </c>
      <c r="V158" s="113" t="s">
        <v>427</v>
      </c>
      <c r="W158" s="413" t="s">
        <v>428</v>
      </c>
      <c r="X158" s="115">
        <v>1</v>
      </c>
      <c r="Y158" s="116" t="s">
        <v>75</v>
      </c>
      <c r="Z158" s="117"/>
      <c r="AA158" s="116">
        <v>2108.33</v>
      </c>
      <c r="AB158" s="118">
        <f t="shared" si="29"/>
        <v>0.17599999999999999</v>
      </c>
      <c r="AC158" s="119">
        <f t="shared" si="31"/>
        <v>1737.2639199999999</v>
      </c>
      <c r="AD158" s="119"/>
      <c r="AE158" s="120"/>
      <c r="AF158" s="120"/>
      <c r="AG158" s="120"/>
      <c r="AH158" s="120"/>
      <c r="AI158" s="147" t="s">
        <v>75</v>
      </c>
      <c r="AJ158" s="55" t="s">
        <v>346</v>
      </c>
      <c r="AK158" s="230" t="s">
        <v>79</v>
      </c>
      <c r="AL158" s="230" t="s">
        <v>231</v>
      </c>
    </row>
    <row r="159" spans="1:46">
      <c r="A159" s="113" t="s">
        <v>429</v>
      </c>
      <c r="B159" s="413" t="s">
        <v>430</v>
      </c>
      <c r="C159" s="115">
        <v>1</v>
      </c>
      <c r="D159" s="116" t="s">
        <v>75</v>
      </c>
      <c r="E159" s="117"/>
      <c r="F159" s="116">
        <v>0</v>
      </c>
      <c r="G159" s="118">
        <f t="shared" si="28"/>
        <v>0.17599999999999999</v>
      </c>
      <c r="H159" s="119">
        <f t="shared" si="30"/>
        <v>0</v>
      </c>
      <c r="I159" s="119"/>
      <c r="J159" s="120"/>
      <c r="K159" s="120"/>
      <c r="L159" s="134"/>
      <c r="M159" s="120"/>
      <c r="N159" s="147" t="s">
        <v>75</v>
      </c>
      <c r="O159" s="55" t="s">
        <v>346</v>
      </c>
      <c r="P159" s="230" t="s">
        <v>79</v>
      </c>
      <c r="Q159" s="205" t="s">
        <v>231</v>
      </c>
      <c r="R159" s="1" t="str">
        <f t="shared" si="23"/>
        <v/>
      </c>
      <c r="S159" s="1" t="str">
        <f t="shared" si="23"/>
        <v/>
      </c>
      <c r="T159" s="1" t="str">
        <f t="shared" si="23"/>
        <v/>
      </c>
      <c r="U159" s="1" t="str">
        <f t="shared" si="23"/>
        <v/>
      </c>
      <c r="V159" s="113" t="s">
        <v>429</v>
      </c>
      <c r="W159" s="413" t="s">
        <v>431</v>
      </c>
      <c r="X159" s="115">
        <v>1</v>
      </c>
      <c r="Y159" s="116" t="s">
        <v>75</v>
      </c>
      <c r="Z159" s="117"/>
      <c r="AA159" s="116">
        <v>0</v>
      </c>
      <c r="AB159" s="118">
        <f t="shared" si="29"/>
        <v>0.17599999999999999</v>
      </c>
      <c r="AC159" s="119">
        <f t="shared" si="31"/>
        <v>0</v>
      </c>
      <c r="AD159" s="119"/>
      <c r="AE159" s="120"/>
      <c r="AF159" s="120"/>
      <c r="AG159" s="120"/>
      <c r="AH159" s="120"/>
      <c r="AI159" s="147" t="s">
        <v>75</v>
      </c>
      <c r="AJ159" s="55" t="s">
        <v>346</v>
      </c>
      <c r="AK159" s="230" t="s">
        <v>79</v>
      </c>
      <c r="AL159" s="230" t="s">
        <v>231</v>
      </c>
    </row>
    <row r="160" spans="1:46">
      <c r="A160" s="25" t="s">
        <v>432</v>
      </c>
      <c r="B160" s="413" t="s">
        <v>433</v>
      </c>
      <c r="C160" s="115">
        <v>1</v>
      </c>
      <c r="D160" s="116" t="s">
        <v>75</v>
      </c>
      <c r="E160" s="117"/>
      <c r="F160" s="116">
        <v>0</v>
      </c>
      <c r="G160" s="118">
        <f t="shared" si="28"/>
        <v>0.17599999999999999</v>
      </c>
      <c r="H160" s="119">
        <f t="shared" si="30"/>
        <v>0</v>
      </c>
      <c r="I160" s="119"/>
      <c r="J160" s="120"/>
      <c r="K160" s="120"/>
      <c r="L160" s="134"/>
      <c r="M160" s="120"/>
      <c r="N160" s="147" t="s">
        <v>75</v>
      </c>
      <c r="O160" s="55" t="s">
        <v>346</v>
      </c>
      <c r="P160" s="230" t="s">
        <v>79</v>
      </c>
      <c r="Q160" s="205" t="s">
        <v>231</v>
      </c>
      <c r="R160" s="1" t="str">
        <f t="shared" si="23"/>
        <v/>
      </c>
      <c r="S160" s="1" t="str">
        <f t="shared" si="23"/>
        <v/>
      </c>
      <c r="T160" s="1" t="str">
        <f t="shared" si="23"/>
        <v/>
      </c>
      <c r="U160" s="1" t="str">
        <f t="shared" si="23"/>
        <v/>
      </c>
      <c r="V160" s="113" t="s">
        <v>434</v>
      </c>
      <c r="W160" s="413" t="s">
        <v>435</v>
      </c>
      <c r="X160" s="115">
        <v>1</v>
      </c>
      <c r="Y160" s="116" t="s">
        <v>75</v>
      </c>
      <c r="Z160" s="117"/>
      <c r="AA160" s="116">
        <v>0</v>
      </c>
      <c r="AB160" s="118">
        <f t="shared" si="29"/>
        <v>0.17599999999999999</v>
      </c>
      <c r="AC160" s="119">
        <f t="shared" si="31"/>
        <v>0</v>
      </c>
      <c r="AD160" s="119"/>
      <c r="AE160" s="120"/>
      <c r="AF160" s="120"/>
      <c r="AG160" s="120"/>
      <c r="AH160" s="120"/>
      <c r="AI160" s="147" t="s">
        <v>75</v>
      </c>
      <c r="AJ160" s="55" t="s">
        <v>346</v>
      </c>
      <c r="AK160" s="230" t="s">
        <v>79</v>
      </c>
      <c r="AL160" s="230" t="s">
        <v>231</v>
      </c>
    </row>
    <row r="161" spans="1:46" customFormat="1">
      <c r="A161" s="443" t="s">
        <v>436</v>
      </c>
      <c r="B161" s="444" t="s">
        <v>411</v>
      </c>
      <c r="C161" s="148">
        <v>1</v>
      </c>
      <c r="D161" s="438" t="s">
        <v>75</v>
      </c>
      <c r="E161" s="445" t="s">
        <v>77</v>
      </c>
      <c r="F161" s="445"/>
      <c r="G161" s="446"/>
      <c r="H161" s="438">
        <v>0</v>
      </c>
      <c r="I161" s="436"/>
      <c r="J161" s="438"/>
      <c r="K161" s="438"/>
      <c r="L161" s="438" t="s">
        <v>77</v>
      </c>
      <c r="M161" s="438" t="s">
        <v>77</v>
      </c>
      <c r="N161" s="439"/>
      <c r="O161" s="440"/>
      <c r="P161" s="441"/>
      <c r="Q161" s="442"/>
      <c r="R161" s="1" t="str">
        <f t="shared" si="23"/>
        <v/>
      </c>
      <c r="S161" s="1" t="str">
        <f t="shared" si="23"/>
        <v/>
      </c>
      <c r="T161" s="1" t="str">
        <f t="shared" si="23"/>
        <v/>
      </c>
      <c r="U161" s="1" t="str">
        <f t="shared" si="23"/>
        <v/>
      </c>
      <c r="V161" s="443"/>
      <c r="W161" s="444"/>
      <c r="X161" s="148"/>
      <c r="Y161" s="438"/>
      <c r="Z161" s="445"/>
      <c r="AA161" s="445"/>
      <c r="AB161" s="446"/>
      <c r="AC161" s="438"/>
      <c r="AD161" s="436"/>
      <c r="AE161" s="438"/>
      <c r="AF161" s="438"/>
      <c r="AG161" s="438"/>
      <c r="AH161" s="438"/>
      <c r="AI161" s="439"/>
      <c r="AJ161" s="440"/>
      <c r="AK161" s="441"/>
      <c r="AL161" s="442"/>
      <c r="AM161" s="437"/>
      <c r="AN161" s="437"/>
      <c r="AO161" s="437"/>
      <c r="AP161" s="437"/>
      <c r="AQ161" s="437"/>
      <c r="AR161" s="437"/>
      <c r="AS161" s="437"/>
      <c r="AT161" s="437"/>
    </row>
    <row r="162" spans="1:46">
      <c r="A162" s="93" t="s">
        <v>437</v>
      </c>
      <c r="B162" s="94" t="s">
        <v>438</v>
      </c>
      <c r="C162" s="95">
        <v>1</v>
      </c>
      <c r="D162" s="96" t="s">
        <v>75</v>
      </c>
      <c r="E162" s="96" t="s">
        <v>437</v>
      </c>
      <c r="F162" s="96">
        <v>2290.5300000000002</v>
      </c>
      <c r="G162" s="141">
        <f>rv_mbp14_hg</f>
        <v>0.17599999999999999</v>
      </c>
      <c r="H162" s="145">
        <f>F162-(F162*G162)</f>
        <v>1887.3967200000002</v>
      </c>
      <c r="I162" s="95" t="s">
        <v>345</v>
      </c>
      <c r="J162" s="122">
        <f>mbp14_5pl</f>
        <v>45</v>
      </c>
      <c r="K162" s="122">
        <f>H162+J162</f>
        <v>1932.3967200000002</v>
      </c>
      <c r="L162" s="134" t="s">
        <v>77</v>
      </c>
      <c r="M162" s="120">
        <v>0.3</v>
      </c>
      <c r="N162" s="147" t="s">
        <v>75</v>
      </c>
      <c r="O162" s="55" t="s">
        <v>414</v>
      </c>
      <c r="P162" s="230" t="s">
        <v>79</v>
      </c>
      <c r="Q162" s="205" t="s">
        <v>231</v>
      </c>
      <c r="R162" s="1">
        <f t="shared" si="23"/>
        <v>382.58990726065639</v>
      </c>
      <c r="S162" s="1">
        <f t="shared" si="23"/>
        <v>195.75170305426721</v>
      </c>
      <c r="T162" s="1">
        <f t="shared" si="23"/>
        <v>140.4117122599707</v>
      </c>
      <c r="U162" s="1">
        <f t="shared" si="23"/>
        <v>120.2866381556905</v>
      </c>
      <c r="V162" s="93" t="s">
        <v>437</v>
      </c>
      <c r="W162" s="94" t="s">
        <v>438</v>
      </c>
      <c r="X162" s="95">
        <v>1</v>
      </c>
      <c r="Y162" s="96" t="s">
        <v>75</v>
      </c>
      <c r="Z162" s="96" t="s">
        <v>437</v>
      </c>
      <c r="AA162" s="96">
        <v>2290.5300000000002</v>
      </c>
      <c r="AB162" s="141">
        <f>rv_mbp14_hg</f>
        <v>0.17599999999999999</v>
      </c>
      <c r="AC162" s="145">
        <f>AA162-(AA162*AB162)</f>
        <v>1887.3967200000002</v>
      </c>
      <c r="AD162" s="95" t="s">
        <v>345</v>
      </c>
      <c r="AE162" s="122">
        <f>mbp14_5pl</f>
        <v>45</v>
      </c>
      <c r="AF162" s="122">
        <f>AC162+AE162</f>
        <v>1932.3967200000002</v>
      </c>
      <c r="AG162" s="120" t="s">
        <v>77</v>
      </c>
      <c r="AH162" s="120">
        <v>0.3</v>
      </c>
      <c r="AI162" s="147" t="s">
        <v>75</v>
      </c>
      <c r="AJ162" s="55" t="s">
        <v>414</v>
      </c>
      <c r="AK162" s="230" t="s">
        <v>79</v>
      </c>
      <c r="AL162" s="230" t="s">
        <v>231</v>
      </c>
    </row>
    <row r="163" spans="1:46">
      <c r="A163" s="113" t="s">
        <v>439</v>
      </c>
      <c r="B163" s="413" t="s">
        <v>440</v>
      </c>
      <c r="C163" s="115">
        <v>1</v>
      </c>
      <c r="D163" s="116" t="s">
        <v>75</v>
      </c>
      <c r="E163" s="117" t="s">
        <v>77</v>
      </c>
      <c r="F163" s="116">
        <v>575</v>
      </c>
      <c r="G163" s="118">
        <f t="shared" si="28"/>
        <v>0.17599999999999999</v>
      </c>
      <c r="H163" s="119">
        <f>F163-(F163*G163)</f>
        <v>473.8</v>
      </c>
      <c r="I163" s="119"/>
      <c r="J163" s="120"/>
      <c r="K163" s="120"/>
      <c r="L163" s="134" t="s">
        <v>77</v>
      </c>
      <c r="M163" s="120" t="s">
        <v>77</v>
      </c>
      <c r="N163" s="147" t="s">
        <v>75</v>
      </c>
      <c r="O163" s="55" t="s">
        <v>346</v>
      </c>
      <c r="P163" s="230" t="s">
        <v>79</v>
      </c>
      <c r="Q163" s="205" t="s">
        <v>231</v>
      </c>
      <c r="R163" s="1" t="str">
        <f t="shared" si="23"/>
        <v/>
      </c>
      <c r="S163" s="1" t="str">
        <f t="shared" si="23"/>
        <v/>
      </c>
      <c r="T163" s="1" t="str">
        <f t="shared" si="23"/>
        <v/>
      </c>
      <c r="U163" s="1" t="str">
        <f t="shared" si="23"/>
        <v/>
      </c>
      <c r="V163" s="113" t="s">
        <v>439</v>
      </c>
      <c r="W163" s="413" t="s">
        <v>440</v>
      </c>
      <c r="X163" s="115">
        <v>1</v>
      </c>
      <c r="Y163" s="116" t="s">
        <v>75</v>
      </c>
      <c r="Z163" s="117" t="s">
        <v>77</v>
      </c>
      <c r="AA163" s="116">
        <v>575</v>
      </c>
      <c r="AB163" s="118">
        <f t="shared" si="29"/>
        <v>0.17599999999999999</v>
      </c>
      <c r="AC163" s="119">
        <f>AA163-(AA163*AB163)</f>
        <v>473.8</v>
      </c>
      <c r="AD163" s="119"/>
      <c r="AE163" s="120"/>
      <c r="AF163" s="120"/>
      <c r="AG163" s="120" t="s">
        <v>77</v>
      </c>
      <c r="AH163" s="120" t="s">
        <v>77</v>
      </c>
      <c r="AI163" s="147" t="s">
        <v>75</v>
      </c>
      <c r="AJ163" s="55" t="s">
        <v>346</v>
      </c>
      <c r="AK163" s="230" t="s">
        <v>79</v>
      </c>
      <c r="AL163" s="230" t="s">
        <v>231</v>
      </c>
    </row>
    <row r="164" spans="1:46">
      <c r="A164" s="113" t="s">
        <v>441</v>
      </c>
      <c r="B164" s="413" t="s">
        <v>442</v>
      </c>
      <c r="C164" s="115">
        <v>1</v>
      </c>
      <c r="D164" s="116" t="s">
        <v>75</v>
      </c>
      <c r="E164" s="117" t="s">
        <v>77</v>
      </c>
      <c r="F164" s="116">
        <v>766.67</v>
      </c>
      <c r="G164" s="118">
        <f t="shared" si="28"/>
        <v>0.17599999999999999</v>
      </c>
      <c r="H164" s="119">
        <f>F164-(F164*G164)</f>
        <v>631.73608000000002</v>
      </c>
      <c r="I164" s="119"/>
      <c r="J164" s="120"/>
      <c r="K164" s="120"/>
      <c r="L164" s="134"/>
      <c r="M164" s="120"/>
      <c r="N164" s="147" t="s">
        <v>75</v>
      </c>
      <c r="O164" s="55" t="s">
        <v>346</v>
      </c>
      <c r="P164" s="230" t="s">
        <v>79</v>
      </c>
      <c r="Q164" s="205" t="s">
        <v>231</v>
      </c>
      <c r="R164" s="1" t="str">
        <f t="shared" si="23"/>
        <v/>
      </c>
      <c r="S164" s="1" t="str">
        <f t="shared" si="23"/>
        <v/>
      </c>
      <c r="T164" s="1" t="str">
        <f t="shared" si="23"/>
        <v/>
      </c>
      <c r="U164" s="1" t="str">
        <f t="shared" si="23"/>
        <v/>
      </c>
      <c r="V164" s="113" t="s">
        <v>441</v>
      </c>
      <c r="W164" s="413" t="s">
        <v>442</v>
      </c>
      <c r="X164" s="115">
        <v>1</v>
      </c>
      <c r="Y164" s="116" t="s">
        <v>75</v>
      </c>
      <c r="Z164" s="117" t="s">
        <v>77</v>
      </c>
      <c r="AA164" s="116">
        <v>766.67</v>
      </c>
      <c r="AB164" s="118">
        <f t="shared" si="29"/>
        <v>0.17599999999999999</v>
      </c>
      <c r="AC164" s="119">
        <f>AA164-(AA164*AB164)</f>
        <v>631.73608000000002</v>
      </c>
      <c r="AD164" s="119"/>
      <c r="AE164" s="120"/>
      <c r="AF164" s="120"/>
      <c r="AG164" s="120"/>
      <c r="AH164" s="120"/>
      <c r="AI164" s="147" t="s">
        <v>75</v>
      </c>
      <c r="AJ164" s="55" t="s">
        <v>346</v>
      </c>
      <c r="AK164" s="230" t="s">
        <v>79</v>
      </c>
      <c r="AL164" s="230" t="s">
        <v>231</v>
      </c>
    </row>
    <row r="165" spans="1:46">
      <c r="A165" s="113" t="s">
        <v>443</v>
      </c>
      <c r="B165" s="413" t="s">
        <v>444</v>
      </c>
      <c r="C165" s="115">
        <v>1</v>
      </c>
      <c r="D165" s="116" t="s">
        <v>75</v>
      </c>
      <c r="E165" s="117"/>
      <c r="F165" s="116">
        <v>383.33</v>
      </c>
      <c r="G165" s="118">
        <f t="shared" si="28"/>
        <v>0.17599999999999999</v>
      </c>
      <c r="H165" s="119">
        <f t="shared" ref="H165:H171" si="32">F165-(F165*G165)</f>
        <v>315.86392000000001</v>
      </c>
      <c r="I165" s="119"/>
      <c r="J165" s="120"/>
      <c r="K165" s="120"/>
      <c r="L165" s="134"/>
      <c r="M165" s="120"/>
      <c r="N165" s="147" t="s">
        <v>75</v>
      </c>
      <c r="O165" s="55" t="s">
        <v>346</v>
      </c>
      <c r="P165" s="230" t="s">
        <v>79</v>
      </c>
      <c r="Q165" s="205" t="s">
        <v>231</v>
      </c>
      <c r="R165" s="1" t="str">
        <f t="shared" si="23"/>
        <v/>
      </c>
      <c r="S165" s="1" t="str">
        <f t="shared" si="23"/>
        <v/>
      </c>
      <c r="T165" s="1" t="str">
        <f t="shared" si="23"/>
        <v/>
      </c>
      <c r="U165" s="1" t="str">
        <f t="shared" si="23"/>
        <v/>
      </c>
      <c r="V165" s="113" t="s">
        <v>443</v>
      </c>
      <c r="W165" s="413" t="s">
        <v>444</v>
      </c>
      <c r="X165" s="115">
        <v>1</v>
      </c>
      <c r="Y165" s="116" t="s">
        <v>75</v>
      </c>
      <c r="Z165" s="117"/>
      <c r="AA165" s="116">
        <v>383.33</v>
      </c>
      <c r="AB165" s="118">
        <f t="shared" si="29"/>
        <v>0.17599999999999999</v>
      </c>
      <c r="AC165" s="119">
        <f t="shared" ref="AC165:AC171" si="33">AA165-(AA165*AB165)</f>
        <v>315.86392000000001</v>
      </c>
      <c r="AD165" s="119"/>
      <c r="AE165" s="120"/>
      <c r="AF165" s="120"/>
      <c r="AG165" s="120"/>
      <c r="AH165" s="120"/>
      <c r="AI165" s="147" t="s">
        <v>75</v>
      </c>
      <c r="AJ165" s="55" t="s">
        <v>346</v>
      </c>
      <c r="AK165" s="230" t="s">
        <v>79</v>
      </c>
      <c r="AL165" s="230" t="s">
        <v>231</v>
      </c>
    </row>
    <row r="166" spans="1:46">
      <c r="A166" s="113" t="s">
        <v>445</v>
      </c>
      <c r="B166" s="413" t="s">
        <v>446</v>
      </c>
      <c r="C166" s="115">
        <v>1</v>
      </c>
      <c r="D166" s="116" t="s">
        <v>75</v>
      </c>
      <c r="E166" s="117"/>
      <c r="F166" s="35">
        <v>383.33</v>
      </c>
      <c r="G166" s="118">
        <f t="shared" si="28"/>
        <v>0.17599999999999999</v>
      </c>
      <c r="H166" s="119">
        <f t="shared" si="32"/>
        <v>315.86392000000001</v>
      </c>
      <c r="I166" s="119"/>
      <c r="J166" s="120"/>
      <c r="K166" s="120"/>
      <c r="L166" s="134"/>
      <c r="M166" s="120"/>
      <c r="N166" s="147" t="s">
        <v>75</v>
      </c>
      <c r="O166" s="55" t="s">
        <v>346</v>
      </c>
      <c r="P166" s="230" t="s">
        <v>79</v>
      </c>
      <c r="Q166" s="205" t="s">
        <v>231</v>
      </c>
      <c r="R166" s="1" t="str">
        <f t="shared" si="23"/>
        <v/>
      </c>
      <c r="S166" s="1" t="str">
        <f t="shared" si="23"/>
        <v/>
      </c>
      <c r="T166" s="1" t="str">
        <f t="shared" si="23"/>
        <v/>
      </c>
      <c r="U166" s="1" t="str">
        <f t="shared" si="23"/>
        <v/>
      </c>
      <c r="V166" s="113" t="s">
        <v>445</v>
      </c>
      <c r="W166" s="413" t="s">
        <v>446</v>
      </c>
      <c r="X166" s="115">
        <v>1</v>
      </c>
      <c r="Y166" s="116" t="s">
        <v>75</v>
      </c>
      <c r="Z166" s="117"/>
      <c r="AA166" s="35">
        <v>383.33</v>
      </c>
      <c r="AB166" s="118">
        <f t="shared" si="29"/>
        <v>0.17599999999999999</v>
      </c>
      <c r="AC166" s="119">
        <f t="shared" si="33"/>
        <v>315.86392000000001</v>
      </c>
      <c r="AD166" s="119"/>
      <c r="AE166" s="120"/>
      <c r="AF166" s="120"/>
      <c r="AG166" s="120"/>
      <c r="AH166" s="120"/>
      <c r="AI166" s="147" t="s">
        <v>75</v>
      </c>
      <c r="AJ166" s="55" t="s">
        <v>346</v>
      </c>
      <c r="AK166" s="230" t="s">
        <v>79</v>
      </c>
      <c r="AL166" s="230" t="s">
        <v>231</v>
      </c>
    </row>
    <row r="167" spans="1:46">
      <c r="A167" s="113" t="s">
        <v>447</v>
      </c>
      <c r="B167" s="413" t="s">
        <v>448</v>
      </c>
      <c r="C167" s="115">
        <v>1</v>
      </c>
      <c r="D167" s="116" t="s">
        <v>75</v>
      </c>
      <c r="E167" s="117"/>
      <c r="F167" s="116">
        <v>383.33</v>
      </c>
      <c r="G167" s="118">
        <f t="shared" si="28"/>
        <v>0.17599999999999999</v>
      </c>
      <c r="H167" s="119">
        <f t="shared" si="32"/>
        <v>315.86392000000001</v>
      </c>
      <c r="I167" s="119"/>
      <c r="J167" s="120"/>
      <c r="K167" s="120"/>
      <c r="L167" s="134"/>
      <c r="M167" s="120"/>
      <c r="N167" s="147" t="s">
        <v>75</v>
      </c>
      <c r="O167" s="55" t="s">
        <v>346</v>
      </c>
      <c r="P167" s="230" t="s">
        <v>79</v>
      </c>
      <c r="Q167" s="205" t="s">
        <v>231</v>
      </c>
      <c r="R167" s="1" t="str">
        <f t="shared" si="23"/>
        <v/>
      </c>
      <c r="S167" s="1" t="str">
        <f t="shared" si="23"/>
        <v/>
      </c>
      <c r="T167" s="1" t="str">
        <f t="shared" si="23"/>
        <v/>
      </c>
      <c r="U167" s="1" t="str">
        <f t="shared" si="23"/>
        <v/>
      </c>
      <c r="V167" s="113" t="s">
        <v>447</v>
      </c>
      <c r="W167" s="413" t="s">
        <v>448</v>
      </c>
      <c r="X167" s="115">
        <v>1</v>
      </c>
      <c r="Y167" s="116" t="s">
        <v>75</v>
      </c>
      <c r="Z167" s="117"/>
      <c r="AA167" s="116">
        <v>383.33</v>
      </c>
      <c r="AB167" s="118">
        <f t="shared" si="29"/>
        <v>0.17599999999999999</v>
      </c>
      <c r="AC167" s="119">
        <f t="shared" si="33"/>
        <v>315.86392000000001</v>
      </c>
      <c r="AD167" s="119"/>
      <c r="AE167" s="120"/>
      <c r="AF167" s="120"/>
      <c r="AG167" s="120"/>
      <c r="AH167" s="120"/>
      <c r="AI167" s="147" t="s">
        <v>75</v>
      </c>
      <c r="AJ167" s="55" t="s">
        <v>346</v>
      </c>
      <c r="AK167" s="230" t="s">
        <v>79</v>
      </c>
      <c r="AL167" s="230" t="s">
        <v>231</v>
      </c>
    </row>
    <row r="168" spans="1:46">
      <c r="A168" s="113" t="s">
        <v>449</v>
      </c>
      <c r="B168" s="413" t="s">
        <v>450</v>
      </c>
      <c r="C168" s="115">
        <v>1</v>
      </c>
      <c r="D168" s="116" t="s">
        <v>75</v>
      </c>
      <c r="E168" s="117"/>
      <c r="F168" s="116">
        <v>958.33</v>
      </c>
      <c r="G168" s="118">
        <f t="shared" si="28"/>
        <v>0.17599999999999999</v>
      </c>
      <c r="H168" s="119">
        <f t="shared" si="32"/>
        <v>789.66392000000008</v>
      </c>
      <c r="I168" s="119"/>
      <c r="J168" s="120"/>
      <c r="K168" s="120"/>
      <c r="L168" s="134"/>
      <c r="M168" s="120"/>
      <c r="N168" s="147" t="s">
        <v>75</v>
      </c>
      <c r="O168" s="55" t="s">
        <v>346</v>
      </c>
      <c r="P168" s="230" t="s">
        <v>79</v>
      </c>
      <c r="Q168" s="205" t="s">
        <v>231</v>
      </c>
      <c r="R168" s="1" t="str">
        <f t="shared" si="23"/>
        <v/>
      </c>
      <c r="S168" s="1" t="str">
        <f t="shared" si="23"/>
        <v/>
      </c>
      <c r="T168" s="1" t="str">
        <f t="shared" si="23"/>
        <v/>
      </c>
      <c r="U168" s="1" t="str">
        <f t="shared" si="23"/>
        <v/>
      </c>
      <c r="V168" s="113" t="s">
        <v>449</v>
      </c>
      <c r="W168" s="413" t="s">
        <v>450</v>
      </c>
      <c r="X168" s="115">
        <v>1</v>
      </c>
      <c r="Y168" s="116" t="s">
        <v>75</v>
      </c>
      <c r="Z168" s="117"/>
      <c r="AA168" s="116">
        <v>958.33</v>
      </c>
      <c r="AB168" s="118">
        <f t="shared" si="29"/>
        <v>0.17599999999999999</v>
      </c>
      <c r="AC168" s="119">
        <f t="shared" si="33"/>
        <v>789.66392000000008</v>
      </c>
      <c r="AD168" s="119"/>
      <c r="AE168" s="120"/>
      <c r="AF168" s="120"/>
      <c r="AG168" s="120"/>
      <c r="AH168" s="120"/>
      <c r="AI168" s="147" t="s">
        <v>75</v>
      </c>
      <c r="AJ168" s="55" t="s">
        <v>346</v>
      </c>
      <c r="AK168" s="230" t="s">
        <v>79</v>
      </c>
      <c r="AL168" s="230" t="s">
        <v>231</v>
      </c>
    </row>
    <row r="169" spans="1:46">
      <c r="A169" s="113" t="s">
        <v>451</v>
      </c>
      <c r="B169" s="413" t="s">
        <v>452</v>
      </c>
      <c r="C169" s="115">
        <v>1</v>
      </c>
      <c r="D169" s="116" t="s">
        <v>75</v>
      </c>
      <c r="E169" s="117"/>
      <c r="F169" s="116">
        <v>2108.33</v>
      </c>
      <c r="G169" s="118">
        <f t="shared" si="28"/>
        <v>0.17599999999999999</v>
      </c>
      <c r="H169" s="119">
        <f t="shared" si="32"/>
        <v>1737.2639199999999</v>
      </c>
      <c r="I169" s="119"/>
      <c r="J169" s="120"/>
      <c r="K169" s="120"/>
      <c r="L169" s="134"/>
      <c r="M169" s="120"/>
      <c r="N169" s="147" t="s">
        <v>75</v>
      </c>
      <c r="O169" s="55" t="s">
        <v>346</v>
      </c>
      <c r="P169" s="230" t="s">
        <v>79</v>
      </c>
      <c r="Q169" s="205" t="s">
        <v>231</v>
      </c>
      <c r="R169" s="1" t="str">
        <f t="shared" si="23"/>
        <v/>
      </c>
      <c r="S169" s="1" t="str">
        <f t="shared" si="23"/>
        <v/>
      </c>
      <c r="T169" s="1" t="str">
        <f t="shared" si="23"/>
        <v/>
      </c>
      <c r="U169" s="1" t="str">
        <f t="shared" si="23"/>
        <v/>
      </c>
      <c r="V169" s="113" t="s">
        <v>451</v>
      </c>
      <c r="W169" s="413" t="s">
        <v>452</v>
      </c>
      <c r="X169" s="115">
        <v>1</v>
      </c>
      <c r="Y169" s="116" t="s">
        <v>75</v>
      </c>
      <c r="Z169" s="117"/>
      <c r="AA169" s="116">
        <v>2108.33</v>
      </c>
      <c r="AB169" s="118">
        <f t="shared" si="29"/>
        <v>0.17599999999999999</v>
      </c>
      <c r="AC169" s="119">
        <f t="shared" si="33"/>
        <v>1737.2639199999999</v>
      </c>
      <c r="AD169" s="119"/>
      <c r="AE169" s="120"/>
      <c r="AF169" s="120"/>
      <c r="AG169" s="120"/>
      <c r="AH169" s="120"/>
      <c r="AI169" s="147" t="s">
        <v>75</v>
      </c>
      <c r="AJ169" s="55" t="s">
        <v>346</v>
      </c>
      <c r="AK169" s="230" t="s">
        <v>79</v>
      </c>
      <c r="AL169" s="230" t="s">
        <v>231</v>
      </c>
    </row>
    <row r="170" spans="1:46">
      <c r="A170" s="113" t="s">
        <v>453</v>
      </c>
      <c r="B170" s="413" t="s">
        <v>454</v>
      </c>
      <c r="C170" s="115">
        <v>1</v>
      </c>
      <c r="D170" s="116" t="s">
        <v>75</v>
      </c>
      <c r="E170" s="117"/>
      <c r="F170" s="116">
        <v>0</v>
      </c>
      <c r="G170" s="118">
        <f t="shared" si="28"/>
        <v>0.17599999999999999</v>
      </c>
      <c r="H170" s="119">
        <f t="shared" si="32"/>
        <v>0</v>
      </c>
      <c r="I170" s="119"/>
      <c r="J170" s="120"/>
      <c r="K170" s="120"/>
      <c r="L170" s="134"/>
      <c r="M170" s="120"/>
      <c r="N170" s="147" t="s">
        <v>75</v>
      </c>
      <c r="O170" s="55" t="s">
        <v>346</v>
      </c>
      <c r="P170" s="230" t="s">
        <v>79</v>
      </c>
      <c r="Q170" s="205" t="s">
        <v>231</v>
      </c>
      <c r="R170" s="1" t="str">
        <f t="shared" si="23"/>
        <v/>
      </c>
      <c r="S170" s="1" t="str">
        <f t="shared" si="23"/>
        <v/>
      </c>
      <c r="T170" s="1" t="str">
        <f t="shared" si="23"/>
        <v/>
      </c>
      <c r="U170" s="1" t="str">
        <f t="shared" si="23"/>
        <v/>
      </c>
      <c r="V170" s="113" t="s">
        <v>453</v>
      </c>
      <c r="W170" s="413" t="s">
        <v>455</v>
      </c>
      <c r="X170" s="115">
        <v>1</v>
      </c>
      <c r="Y170" s="116" t="s">
        <v>75</v>
      </c>
      <c r="Z170" s="117"/>
      <c r="AA170" s="116">
        <v>0</v>
      </c>
      <c r="AB170" s="118">
        <f t="shared" si="29"/>
        <v>0.17599999999999999</v>
      </c>
      <c r="AC170" s="119">
        <f t="shared" si="33"/>
        <v>0</v>
      </c>
      <c r="AD170" s="119"/>
      <c r="AE170" s="120"/>
      <c r="AF170" s="120"/>
      <c r="AG170" s="120"/>
      <c r="AH170" s="120"/>
      <c r="AI170" s="147" t="s">
        <v>75</v>
      </c>
      <c r="AJ170" s="55" t="s">
        <v>346</v>
      </c>
      <c r="AK170" s="230" t="s">
        <v>79</v>
      </c>
      <c r="AL170" s="230" t="s">
        <v>231</v>
      </c>
    </row>
    <row r="171" spans="1:46">
      <c r="A171" s="25" t="s">
        <v>456</v>
      </c>
      <c r="B171" s="413" t="s">
        <v>457</v>
      </c>
      <c r="C171" s="115">
        <v>1</v>
      </c>
      <c r="D171" s="116" t="s">
        <v>75</v>
      </c>
      <c r="E171" s="117"/>
      <c r="F171" s="116">
        <v>0</v>
      </c>
      <c r="G171" s="118">
        <f t="shared" si="28"/>
        <v>0.17599999999999999</v>
      </c>
      <c r="H171" s="119">
        <f t="shared" si="32"/>
        <v>0</v>
      </c>
      <c r="I171" s="119"/>
      <c r="J171" s="120"/>
      <c r="K171" s="120"/>
      <c r="L171" s="134"/>
      <c r="M171" s="120"/>
      <c r="N171" s="147" t="s">
        <v>75</v>
      </c>
      <c r="O171" s="55" t="s">
        <v>346</v>
      </c>
      <c r="P171" s="230" t="s">
        <v>79</v>
      </c>
      <c r="Q171" s="205" t="s">
        <v>231</v>
      </c>
      <c r="R171" s="1" t="str">
        <f t="shared" si="23"/>
        <v/>
      </c>
      <c r="S171" s="1" t="str">
        <f t="shared" si="23"/>
        <v/>
      </c>
      <c r="T171" s="1" t="str">
        <f t="shared" si="23"/>
        <v/>
      </c>
      <c r="U171" s="1" t="str">
        <f t="shared" si="23"/>
        <v/>
      </c>
      <c r="V171" s="113" t="s">
        <v>458</v>
      </c>
      <c r="W171" s="413" t="s">
        <v>459</v>
      </c>
      <c r="X171" s="115">
        <v>1</v>
      </c>
      <c r="Y171" s="116" t="s">
        <v>75</v>
      </c>
      <c r="Z171" s="117"/>
      <c r="AA171" s="116">
        <v>0</v>
      </c>
      <c r="AB171" s="118">
        <f t="shared" si="29"/>
        <v>0.17599999999999999</v>
      </c>
      <c r="AC171" s="119">
        <f t="shared" si="33"/>
        <v>0</v>
      </c>
      <c r="AD171" s="119"/>
      <c r="AE171" s="120"/>
      <c r="AF171" s="120"/>
      <c r="AG171" s="120"/>
      <c r="AH171" s="120"/>
      <c r="AI171" s="147" t="s">
        <v>75</v>
      </c>
      <c r="AJ171" s="55" t="s">
        <v>346</v>
      </c>
      <c r="AK171" s="230" t="s">
        <v>79</v>
      </c>
      <c r="AL171" s="230" t="s">
        <v>231</v>
      </c>
    </row>
    <row r="172" spans="1:46" customFormat="1">
      <c r="A172" s="443" t="s">
        <v>460</v>
      </c>
      <c r="B172" s="444" t="s">
        <v>461</v>
      </c>
      <c r="C172" s="148">
        <v>1</v>
      </c>
      <c r="D172" s="438" t="s">
        <v>75</v>
      </c>
      <c r="E172" s="445" t="s">
        <v>77</v>
      </c>
      <c r="F172" s="445"/>
      <c r="G172" s="446"/>
      <c r="H172" s="438">
        <v>0</v>
      </c>
      <c r="I172" s="436"/>
      <c r="J172" s="438"/>
      <c r="K172" s="438"/>
      <c r="L172" s="438" t="s">
        <v>77</v>
      </c>
      <c r="M172" s="438" t="s">
        <v>77</v>
      </c>
      <c r="N172" s="439"/>
      <c r="O172" s="440"/>
      <c r="P172" s="441"/>
      <c r="Q172" s="442"/>
      <c r="R172" s="1" t="str">
        <f t="shared" si="23"/>
        <v/>
      </c>
      <c r="S172" s="1" t="str">
        <f t="shared" si="23"/>
        <v/>
      </c>
      <c r="T172" s="1" t="str">
        <f t="shared" si="23"/>
        <v/>
      </c>
      <c r="U172" s="1" t="str">
        <f t="shared" si="23"/>
        <v/>
      </c>
      <c r="V172" s="443"/>
      <c r="W172" s="444"/>
      <c r="X172" s="148"/>
      <c r="Y172" s="438"/>
      <c r="Z172" s="445"/>
      <c r="AA172" s="445"/>
      <c r="AB172" s="446"/>
      <c r="AC172" s="438"/>
      <c r="AD172" s="436"/>
      <c r="AE172" s="438"/>
      <c r="AF172" s="438"/>
      <c r="AG172" s="438"/>
      <c r="AH172" s="438"/>
      <c r="AI172" s="439"/>
      <c r="AJ172" s="440"/>
      <c r="AK172" s="441"/>
      <c r="AL172" s="442"/>
      <c r="AM172" s="437"/>
      <c r="AN172" s="437"/>
      <c r="AO172" s="437"/>
      <c r="AP172" s="437"/>
      <c r="AQ172" s="437"/>
      <c r="AR172" s="437"/>
      <c r="AS172" s="437"/>
      <c r="AT172" s="437"/>
    </row>
    <row r="173" spans="1:46">
      <c r="A173" s="402" t="s">
        <v>462</v>
      </c>
      <c r="B173" s="575"/>
      <c r="C173" s="115"/>
      <c r="D173" s="116"/>
      <c r="E173" s="117"/>
      <c r="F173" s="116"/>
      <c r="G173" s="118"/>
      <c r="H173" s="119"/>
      <c r="I173" s="394"/>
      <c r="J173" s="134"/>
      <c r="K173" s="134"/>
      <c r="L173" s="134"/>
      <c r="M173" s="120"/>
      <c r="N173" s="147"/>
      <c r="O173" s="55"/>
      <c r="P173" s="230"/>
      <c r="Q173" s="205"/>
      <c r="R173" s="1" t="str">
        <f t="shared" si="23"/>
        <v/>
      </c>
      <c r="S173" s="1" t="str">
        <f t="shared" si="23"/>
        <v/>
      </c>
      <c r="T173" s="1" t="str">
        <f t="shared" si="23"/>
        <v/>
      </c>
      <c r="U173" s="1" t="str">
        <f t="shared" si="23"/>
        <v/>
      </c>
      <c r="V173" s="588" t="s">
        <v>462</v>
      </c>
      <c r="W173" s="589"/>
      <c r="X173" s="395"/>
      <c r="Y173" s="396"/>
      <c r="Z173" s="397"/>
      <c r="AA173" s="396"/>
      <c r="AB173" s="393"/>
      <c r="AC173" s="394"/>
      <c r="AD173" s="394"/>
      <c r="AE173" s="134"/>
      <c r="AF173" s="134"/>
      <c r="AG173" s="134"/>
      <c r="AH173" s="134"/>
      <c r="AI173" s="147"/>
      <c r="AJ173" s="55"/>
      <c r="AK173" s="230"/>
      <c r="AL173" s="230"/>
    </row>
    <row r="174" spans="1:46">
      <c r="A174" s="402" t="s">
        <v>463</v>
      </c>
      <c r="B174" s="403"/>
      <c r="C174" s="395"/>
      <c r="D174" s="396"/>
      <c r="E174" s="397"/>
      <c r="F174" s="396"/>
      <c r="G174" s="393"/>
      <c r="H174" s="394"/>
      <c r="I174" s="394"/>
      <c r="J174" s="134"/>
      <c r="K174" s="134"/>
      <c r="L174" s="134"/>
      <c r="M174" s="120"/>
      <c r="N174" s="147"/>
      <c r="O174" s="55"/>
      <c r="P174" s="230"/>
      <c r="Q174" s="205"/>
      <c r="R174" s="1" t="str">
        <f t="shared" si="23"/>
        <v/>
      </c>
      <c r="S174" s="1" t="str">
        <f t="shared" si="23"/>
        <v/>
      </c>
      <c r="T174" s="1" t="str">
        <f t="shared" si="23"/>
        <v/>
      </c>
      <c r="U174" s="1" t="str">
        <f t="shared" si="23"/>
        <v/>
      </c>
      <c r="V174" s="588" t="s">
        <v>464</v>
      </c>
      <c r="W174" s="589"/>
      <c r="X174" s="395"/>
      <c r="Y174" s="396"/>
      <c r="Z174" s="397"/>
      <c r="AA174" s="396"/>
      <c r="AB174" s="393"/>
      <c r="AC174" s="394"/>
      <c r="AD174" s="394"/>
      <c r="AE174" s="134"/>
      <c r="AF174" s="134"/>
      <c r="AG174" s="134"/>
      <c r="AH174" s="134"/>
      <c r="AI174" s="147"/>
      <c r="AJ174" s="55"/>
      <c r="AK174" s="230"/>
      <c r="AL174" s="230"/>
    </row>
    <row r="175" spans="1:46">
      <c r="A175" s="103" t="s">
        <v>465</v>
      </c>
      <c r="B175" s="104" t="s">
        <v>466</v>
      </c>
      <c r="C175" s="105">
        <v>1</v>
      </c>
      <c r="D175" s="106" t="s">
        <v>82</v>
      </c>
      <c r="E175" s="155" t="s">
        <v>465</v>
      </c>
      <c r="F175" s="320"/>
      <c r="G175" s="109"/>
      <c r="H175" s="100">
        <v>23</v>
      </c>
      <c r="I175" s="144"/>
      <c r="J175" s="101"/>
      <c r="K175" s="101"/>
      <c r="L175" s="17" t="s">
        <v>77</v>
      </c>
      <c r="M175" s="17" t="s">
        <v>77</v>
      </c>
      <c r="N175" s="68" t="s">
        <v>83</v>
      </c>
      <c r="O175" s="55" t="s">
        <v>84</v>
      </c>
      <c r="P175" s="230" t="s">
        <v>85</v>
      </c>
      <c r="Q175" s="205" t="s">
        <v>86</v>
      </c>
      <c r="R175" s="1" t="str">
        <f t="shared" si="23"/>
        <v/>
      </c>
      <c r="S175" s="1" t="str">
        <f t="shared" si="23"/>
        <v/>
      </c>
      <c r="T175" s="1" t="str">
        <f t="shared" si="23"/>
        <v/>
      </c>
      <c r="U175" s="1" t="str">
        <f t="shared" si="23"/>
        <v/>
      </c>
      <c r="V175" s="103" t="s">
        <v>465</v>
      </c>
      <c r="W175" s="104" t="s">
        <v>466</v>
      </c>
      <c r="X175" s="105">
        <v>1</v>
      </c>
      <c r="Y175" s="106" t="s">
        <v>82</v>
      </c>
      <c r="Z175" s="155" t="s">
        <v>465</v>
      </c>
      <c r="AA175" s="320"/>
      <c r="AB175" s="109"/>
      <c r="AC175" s="100">
        <v>23</v>
      </c>
      <c r="AD175" s="100"/>
      <c r="AE175" s="101"/>
      <c r="AF175" s="101"/>
      <c r="AG175" s="17" t="s">
        <v>77</v>
      </c>
      <c r="AH175" s="17" t="s">
        <v>77</v>
      </c>
      <c r="AI175" s="68" t="s">
        <v>83</v>
      </c>
      <c r="AJ175" s="55" t="s">
        <v>84</v>
      </c>
      <c r="AK175" s="230" t="s">
        <v>85</v>
      </c>
      <c r="AL175" s="230" t="s">
        <v>86</v>
      </c>
    </row>
    <row r="176" spans="1:46">
      <c r="A176" s="103" t="s">
        <v>467</v>
      </c>
      <c r="B176" s="104" t="s">
        <v>468</v>
      </c>
      <c r="C176" s="105">
        <v>1</v>
      </c>
      <c r="D176" s="106" t="s">
        <v>82</v>
      </c>
      <c r="E176" s="155" t="s">
        <v>467</v>
      </c>
      <c r="F176" s="320"/>
      <c r="G176" s="109"/>
      <c r="H176" s="100">
        <v>46</v>
      </c>
      <c r="I176" s="144"/>
      <c r="J176" s="101"/>
      <c r="K176" s="101"/>
      <c r="L176" s="17" t="s">
        <v>77</v>
      </c>
      <c r="M176" s="17" t="s">
        <v>77</v>
      </c>
      <c r="N176" s="68" t="s">
        <v>83</v>
      </c>
      <c r="O176" s="55" t="s">
        <v>84</v>
      </c>
      <c r="P176" s="230" t="s">
        <v>85</v>
      </c>
      <c r="Q176" s="205" t="s">
        <v>86</v>
      </c>
      <c r="R176" s="1" t="str">
        <f t="shared" si="23"/>
        <v/>
      </c>
      <c r="S176" s="1" t="str">
        <f t="shared" si="23"/>
        <v/>
      </c>
      <c r="T176" s="1" t="str">
        <f t="shared" si="23"/>
        <v/>
      </c>
      <c r="U176" s="1" t="str">
        <f t="shared" si="23"/>
        <v/>
      </c>
      <c r="V176" s="103" t="s">
        <v>467</v>
      </c>
      <c r="W176" s="104" t="s">
        <v>468</v>
      </c>
      <c r="X176" s="105">
        <v>1</v>
      </c>
      <c r="Y176" s="106" t="s">
        <v>82</v>
      </c>
      <c r="Z176" s="155" t="s">
        <v>467</v>
      </c>
      <c r="AA176" s="320"/>
      <c r="AB176" s="109"/>
      <c r="AC176" s="100">
        <v>46</v>
      </c>
      <c r="AD176" s="100"/>
      <c r="AE176" s="101"/>
      <c r="AF176" s="101"/>
      <c r="AG176" s="17" t="s">
        <v>77</v>
      </c>
      <c r="AH176" s="17" t="s">
        <v>77</v>
      </c>
      <c r="AI176" s="68" t="s">
        <v>83</v>
      </c>
      <c r="AJ176" s="55" t="s">
        <v>84</v>
      </c>
      <c r="AK176" s="230" t="s">
        <v>85</v>
      </c>
      <c r="AL176" s="230" t="s">
        <v>86</v>
      </c>
    </row>
    <row r="177" spans="1:38">
      <c r="A177" s="103" t="s">
        <v>469</v>
      </c>
      <c r="B177" s="104" t="s">
        <v>470</v>
      </c>
      <c r="C177" s="105">
        <v>1</v>
      </c>
      <c r="D177" s="106" t="s">
        <v>82</v>
      </c>
      <c r="E177" s="155" t="s">
        <v>469</v>
      </c>
      <c r="F177" s="320"/>
      <c r="G177" s="109"/>
      <c r="H177" s="100">
        <v>70</v>
      </c>
      <c r="I177" s="144"/>
      <c r="J177" s="101"/>
      <c r="K177" s="101"/>
      <c r="L177" s="17" t="s">
        <v>77</v>
      </c>
      <c r="M177" s="17" t="s">
        <v>77</v>
      </c>
      <c r="N177" s="68" t="s">
        <v>83</v>
      </c>
      <c r="O177" s="55" t="s">
        <v>84</v>
      </c>
      <c r="P177" s="230" t="s">
        <v>85</v>
      </c>
      <c r="Q177" s="205" t="s">
        <v>86</v>
      </c>
      <c r="R177" s="1" t="str">
        <f t="shared" si="23"/>
        <v/>
      </c>
      <c r="S177" s="1" t="str">
        <f t="shared" si="23"/>
        <v/>
      </c>
      <c r="T177" s="1" t="str">
        <f t="shared" si="23"/>
        <v/>
      </c>
      <c r="U177" s="1" t="str">
        <f t="shared" si="23"/>
        <v/>
      </c>
      <c r="V177" s="103" t="s">
        <v>469</v>
      </c>
      <c r="W177" s="104" t="s">
        <v>470</v>
      </c>
      <c r="X177" s="105">
        <v>1</v>
      </c>
      <c r="Y177" s="106" t="s">
        <v>82</v>
      </c>
      <c r="Z177" s="155" t="s">
        <v>469</v>
      </c>
      <c r="AA177" s="320"/>
      <c r="AB177" s="109"/>
      <c r="AC177" s="100">
        <v>70</v>
      </c>
      <c r="AD177" s="100"/>
      <c r="AE177" s="101"/>
      <c r="AF177" s="101"/>
      <c r="AG177" s="17" t="s">
        <v>77</v>
      </c>
      <c r="AH177" s="17" t="s">
        <v>77</v>
      </c>
      <c r="AI177" s="68" t="s">
        <v>83</v>
      </c>
      <c r="AJ177" s="55" t="s">
        <v>84</v>
      </c>
      <c r="AK177" s="230" t="s">
        <v>85</v>
      </c>
      <c r="AL177" s="230" t="s">
        <v>86</v>
      </c>
    </row>
    <row r="178" spans="1:38">
      <c r="A178" s="103" t="s">
        <v>471</v>
      </c>
      <c r="B178" s="104" t="s">
        <v>472</v>
      </c>
      <c r="C178" s="105">
        <v>1</v>
      </c>
      <c r="D178" s="106" t="s">
        <v>82</v>
      </c>
      <c r="E178" s="155" t="s">
        <v>471</v>
      </c>
      <c r="F178" s="320"/>
      <c r="G178" s="109"/>
      <c r="H178" s="100">
        <v>20</v>
      </c>
      <c r="I178" s="144"/>
      <c r="J178" s="101"/>
      <c r="K178" s="101"/>
      <c r="L178" s="17" t="s">
        <v>77</v>
      </c>
      <c r="M178" s="17" t="s">
        <v>77</v>
      </c>
      <c r="N178" s="68" t="s">
        <v>83</v>
      </c>
      <c r="O178" s="55" t="s">
        <v>84</v>
      </c>
      <c r="P178" s="230" t="s">
        <v>85</v>
      </c>
      <c r="Q178" s="205" t="s">
        <v>86</v>
      </c>
      <c r="R178" s="1" t="str">
        <f t="shared" si="23"/>
        <v/>
      </c>
      <c r="S178" s="1" t="str">
        <f t="shared" si="23"/>
        <v/>
      </c>
      <c r="T178" s="1" t="str">
        <f t="shared" si="23"/>
        <v/>
      </c>
      <c r="U178" s="1" t="str">
        <f t="shared" si="23"/>
        <v/>
      </c>
      <c r="V178" s="103" t="s">
        <v>471</v>
      </c>
      <c r="W178" s="104" t="s">
        <v>472</v>
      </c>
      <c r="X178" s="105">
        <v>1</v>
      </c>
      <c r="Y178" s="106" t="s">
        <v>82</v>
      </c>
      <c r="Z178" s="155" t="s">
        <v>471</v>
      </c>
      <c r="AA178" s="320"/>
      <c r="AB178" s="109"/>
      <c r="AC178" s="100">
        <v>20</v>
      </c>
      <c r="AD178" s="100"/>
      <c r="AE178" s="101"/>
      <c r="AF178" s="101"/>
      <c r="AG178" s="17" t="s">
        <v>77</v>
      </c>
      <c r="AH178" s="17" t="s">
        <v>77</v>
      </c>
      <c r="AI178" s="68" t="s">
        <v>83</v>
      </c>
      <c r="AJ178" s="55" t="s">
        <v>84</v>
      </c>
      <c r="AK178" s="230" t="s">
        <v>85</v>
      </c>
      <c r="AL178" s="230" t="s">
        <v>86</v>
      </c>
    </row>
    <row r="179" spans="1:38">
      <c r="A179" s="103" t="s">
        <v>473</v>
      </c>
      <c r="B179" s="104" t="s">
        <v>474</v>
      </c>
      <c r="C179" s="105">
        <v>1</v>
      </c>
      <c r="D179" s="106" t="s">
        <v>82</v>
      </c>
      <c r="E179" s="155" t="s">
        <v>473</v>
      </c>
      <c r="F179" s="320"/>
      <c r="G179" s="109"/>
      <c r="H179" s="100">
        <v>55</v>
      </c>
      <c r="I179" s="144"/>
      <c r="J179" s="101"/>
      <c r="K179" s="101"/>
      <c r="L179" s="17" t="s">
        <v>77</v>
      </c>
      <c r="M179" s="17" t="s">
        <v>77</v>
      </c>
      <c r="N179" s="68" t="s">
        <v>83</v>
      </c>
      <c r="O179" s="55" t="s">
        <v>84</v>
      </c>
      <c r="P179" s="230" t="s">
        <v>85</v>
      </c>
      <c r="Q179" s="205" t="s">
        <v>86</v>
      </c>
      <c r="R179" s="1" t="str">
        <f t="shared" si="23"/>
        <v/>
      </c>
      <c r="S179" s="1" t="str">
        <f t="shared" si="23"/>
        <v/>
      </c>
      <c r="T179" s="1" t="str">
        <f t="shared" si="23"/>
        <v/>
      </c>
      <c r="U179" s="1" t="str">
        <f t="shared" si="23"/>
        <v/>
      </c>
      <c r="V179" s="103" t="s">
        <v>473</v>
      </c>
      <c r="W179" s="104" t="s">
        <v>474</v>
      </c>
      <c r="X179" s="105">
        <v>1</v>
      </c>
      <c r="Y179" s="106" t="s">
        <v>82</v>
      </c>
      <c r="Z179" s="155" t="s">
        <v>473</v>
      </c>
      <c r="AA179" s="320"/>
      <c r="AB179" s="109"/>
      <c r="AC179" s="100">
        <v>55</v>
      </c>
      <c r="AD179" s="100"/>
      <c r="AE179" s="101"/>
      <c r="AF179" s="101"/>
      <c r="AG179" s="17" t="s">
        <v>77</v>
      </c>
      <c r="AH179" s="17" t="s">
        <v>77</v>
      </c>
      <c r="AI179" s="68" t="s">
        <v>83</v>
      </c>
      <c r="AJ179" s="55" t="s">
        <v>84</v>
      </c>
      <c r="AK179" s="230" t="s">
        <v>85</v>
      </c>
      <c r="AL179" s="230" t="s">
        <v>86</v>
      </c>
    </row>
    <row r="180" spans="1:38">
      <c r="A180" s="103" t="s">
        <v>475</v>
      </c>
      <c r="B180" s="104" t="s">
        <v>476</v>
      </c>
      <c r="C180" s="105">
        <v>1</v>
      </c>
      <c r="D180" s="106" t="s">
        <v>82</v>
      </c>
      <c r="E180" s="155" t="s">
        <v>475</v>
      </c>
      <c r="F180" s="320"/>
      <c r="G180" s="109"/>
      <c r="H180" s="100">
        <v>82</v>
      </c>
      <c r="I180" s="144"/>
      <c r="J180" s="101"/>
      <c r="K180" s="101"/>
      <c r="L180" s="17" t="s">
        <v>77</v>
      </c>
      <c r="M180" s="17" t="s">
        <v>77</v>
      </c>
      <c r="N180" s="68" t="s">
        <v>83</v>
      </c>
      <c r="O180" s="55" t="s">
        <v>84</v>
      </c>
      <c r="P180" s="230" t="s">
        <v>85</v>
      </c>
      <c r="Q180" s="205" t="s">
        <v>86</v>
      </c>
      <c r="R180" s="1" t="str">
        <f t="shared" si="23"/>
        <v/>
      </c>
      <c r="S180" s="1" t="str">
        <f t="shared" si="23"/>
        <v/>
      </c>
      <c r="T180" s="1" t="str">
        <f t="shared" si="23"/>
        <v/>
      </c>
      <c r="U180" s="1" t="str">
        <f t="shared" si="23"/>
        <v/>
      </c>
      <c r="V180" s="103" t="s">
        <v>475</v>
      </c>
      <c r="W180" s="104" t="s">
        <v>476</v>
      </c>
      <c r="X180" s="105">
        <v>1</v>
      </c>
      <c r="Y180" s="106" t="s">
        <v>82</v>
      </c>
      <c r="Z180" s="155" t="s">
        <v>475</v>
      </c>
      <c r="AA180" s="320"/>
      <c r="AB180" s="109"/>
      <c r="AC180" s="100">
        <v>82</v>
      </c>
      <c r="AD180" s="100"/>
      <c r="AE180" s="101"/>
      <c r="AF180" s="101"/>
      <c r="AG180" s="17" t="s">
        <v>77</v>
      </c>
      <c r="AH180" s="17" t="s">
        <v>77</v>
      </c>
      <c r="AI180" s="68" t="s">
        <v>83</v>
      </c>
      <c r="AJ180" s="55" t="s">
        <v>84</v>
      </c>
      <c r="AK180" s="230" t="s">
        <v>85</v>
      </c>
      <c r="AL180" s="230" t="s">
        <v>86</v>
      </c>
    </row>
    <row r="181" spans="1:38">
      <c r="A181" s="103" t="s">
        <v>477</v>
      </c>
      <c r="B181" s="104" t="s">
        <v>478</v>
      </c>
      <c r="C181" s="105">
        <v>1</v>
      </c>
      <c r="D181" s="106" t="s">
        <v>82</v>
      </c>
      <c r="E181" s="155" t="s">
        <v>477</v>
      </c>
      <c r="F181" s="320"/>
      <c r="G181" s="109"/>
      <c r="H181" s="100">
        <v>84</v>
      </c>
      <c r="I181" s="144"/>
      <c r="J181" s="101"/>
      <c r="K181" s="101"/>
      <c r="L181" s="17" t="s">
        <v>77</v>
      </c>
      <c r="M181" s="17" t="s">
        <v>77</v>
      </c>
      <c r="N181" s="68" t="s">
        <v>83</v>
      </c>
      <c r="O181" s="55" t="s">
        <v>84</v>
      </c>
      <c r="P181" s="230" t="s">
        <v>85</v>
      </c>
      <c r="Q181" s="205" t="s">
        <v>86</v>
      </c>
      <c r="R181" s="1" t="str">
        <f t="shared" si="23"/>
        <v/>
      </c>
      <c r="S181" s="1" t="str">
        <f t="shared" si="23"/>
        <v/>
      </c>
      <c r="T181" s="1" t="str">
        <f t="shared" si="23"/>
        <v/>
      </c>
      <c r="U181" s="1" t="str">
        <f t="shared" si="23"/>
        <v/>
      </c>
      <c r="V181" s="103" t="s">
        <v>477</v>
      </c>
      <c r="W181" s="104" t="s">
        <v>478</v>
      </c>
      <c r="X181" s="105">
        <v>1</v>
      </c>
      <c r="Y181" s="106" t="s">
        <v>82</v>
      </c>
      <c r="Z181" s="155" t="s">
        <v>477</v>
      </c>
      <c r="AA181" s="320"/>
      <c r="AB181" s="109"/>
      <c r="AC181" s="100">
        <v>84</v>
      </c>
      <c r="AD181" s="100"/>
      <c r="AE181" s="101"/>
      <c r="AF181" s="101"/>
      <c r="AG181" s="17" t="s">
        <v>77</v>
      </c>
      <c r="AH181" s="17" t="s">
        <v>77</v>
      </c>
      <c r="AI181" s="68" t="s">
        <v>83</v>
      </c>
      <c r="AJ181" s="55" t="s">
        <v>84</v>
      </c>
      <c r="AK181" s="230" t="s">
        <v>85</v>
      </c>
      <c r="AL181" s="230" t="s">
        <v>86</v>
      </c>
    </row>
    <row r="182" spans="1:38">
      <c r="A182" s="103" t="s">
        <v>479</v>
      </c>
      <c r="B182" s="104" t="s">
        <v>480</v>
      </c>
      <c r="C182" s="105">
        <v>1</v>
      </c>
      <c r="D182" s="106" t="s">
        <v>82</v>
      </c>
      <c r="E182" s="155" t="s">
        <v>479</v>
      </c>
      <c r="F182" s="320"/>
      <c r="G182" s="109"/>
      <c r="H182" s="100">
        <v>35</v>
      </c>
      <c r="I182" s="144"/>
      <c r="J182" s="101"/>
      <c r="K182" s="101"/>
      <c r="L182" s="17" t="s">
        <v>77</v>
      </c>
      <c r="M182" s="17" t="s">
        <v>77</v>
      </c>
      <c r="N182" s="68" t="s">
        <v>83</v>
      </c>
      <c r="O182" s="55" t="s">
        <v>84</v>
      </c>
      <c r="P182" s="230" t="s">
        <v>85</v>
      </c>
      <c r="Q182" s="205" t="s">
        <v>86</v>
      </c>
      <c r="R182" s="1" t="str">
        <f t="shared" si="23"/>
        <v/>
      </c>
      <c r="S182" s="1" t="str">
        <f t="shared" si="23"/>
        <v/>
      </c>
      <c r="T182" s="1" t="str">
        <f t="shared" si="23"/>
        <v/>
      </c>
      <c r="U182" s="1" t="str">
        <f t="shared" si="23"/>
        <v/>
      </c>
      <c r="V182" s="103" t="s">
        <v>479</v>
      </c>
      <c r="W182" s="104" t="s">
        <v>480</v>
      </c>
      <c r="X182" s="105">
        <v>1</v>
      </c>
      <c r="Y182" s="106" t="s">
        <v>82</v>
      </c>
      <c r="Z182" s="155" t="s">
        <v>479</v>
      </c>
      <c r="AA182" s="320"/>
      <c r="AB182" s="109"/>
      <c r="AC182" s="100">
        <v>35</v>
      </c>
      <c r="AD182" s="100"/>
      <c r="AE182" s="101"/>
      <c r="AF182" s="101"/>
      <c r="AG182" s="17" t="s">
        <v>77</v>
      </c>
      <c r="AH182" s="17" t="s">
        <v>77</v>
      </c>
      <c r="AI182" s="68" t="s">
        <v>83</v>
      </c>
      <c r="AJ182" s="55" t="s">
        <v>84</v>
      </c>
      <c r="AK182" s="230" t="s">
        <v>85</v>
      </c>
      <c r="AL182" s="230" t="s">
        <v>86</v>
      </c>
    </row>
    <row r="183" spans="1:38">
      <c r="A183" s="103" t="s">
        <v>481</v>
      </c>
      <c r="B183" s="104" t="s">
        <v>482</v>
      </c>
      <c r="C183" s="105">
        <v>1</v>
      </c>
      <c r="D183" s="106" t="s">
        <v>82</v>
      </c>
      <c r="E183" s="155" t="s">
        <v>481</v>
      </c>
      <c r="F183" s="320"/>
      <c r="G183" s="109"/>
      <c r="H183" s="100">
        <v>80</v>
      </c>
      <c r="I183" s="144"/>
      <c r="J183" s="101"/>
      <c r="K183" s="101"/>
      <c r="L183" s="17" t="s">
        <v>77</v>
      </c>
      <c r="M183" s="17" t="s">
        <v>77</v>
      </c>
      <c r="N183" s="68" t="s">
        <v>83</v>
      </c>
      <c r="O183" s="55" t="s">
        <v>84</v>
      </c>
      <c r="P183" s="230" t="s">
        <v>85</v>
      </c>
      <c r="Q183" s="205" t="s">
        <v>86</v>
      </c>
      <c r="R183" s="1" t="str">
        <f t="shared" si="23"/>
        <v/>
      </c>
      <c r="S183" s="1" t="str">
        <f t="shared" si="23"/>
        <v/>
      </c>
      <c r="T183" s="1" t="str">
        <f t="shared" si="23"/>
        <v/>
      </c>
      <c r="U183" s="1" t="str">
        <f t="shared" si="23"/>
        <v/>
      </c>
      <c r="V183" s="103" t="s">
        <v>481</v>
      </c>
      <c r="W183" s="104" t="s">
        <v>482</v>
      </c>
      <c r="X183" s="105">
        <v>1</v>
      </c>
      <c r="Y183" s="106" t="s">
        <v>82</v>
      </c>
      <c r="Z183" s="155" t="s">
        <v>481</v>
      </c>
      <c r="AA183" s="320"/>
      <c r="AB183" s="109"/>
      <c r="AC183" s="100">
        <v>80</v>
      </c>
      <c r="AD183" s="100"/>
      <c r="AE183" s="101"/>
      <c r="AF183" s="101"/>
      <c r="AG183" s="17" t="s">
        <v>77</v>
      </c>
      <c r="AH183" s="17" t="s">
        <v>77</v>
      </c>
      <c r="AI183" s="68" t="s">
        <v>83</v>
      </c>
      <c r="AJ183" s="55" t="s">
        <v>84</v>
      </c>
      <c r="AK183" s="230" t="s">
        <v>85</v>
      </c>
      <c r="AL183" s="230" t="s">
        <v>86</v>
      </c>
    </row>
    <row r="184" spans="1:38">
      <c r="A184" s="103" t="s">
        <v>483</v>
      </c>
      <c r="B184" s="104" t="s">
        <v>484</v>
      </c>
      <c r="C184" s="105">
        <v>1</v>
      </c>
      <c r="D184" s="106" t="s">
        <v>82</v>
      </c>
      <c r="E184" s="155" t="s">
        <v>483</v>
      </c>
      <c r="F184" s="320"/>
      <c r="G184" s="109"/>
      <c r="H184" s="100">
        <v>120</v>
      </c>
      <c r="I184" s="144"/>
      <c r="J184" s="101"/>
      <c r="K184" s="101"/>
      <c r="L184" s="17" t="s">
        <v>77</v>
      </c>
      <c r="M184" s="17" t="s">
        <v>77</v>
      </c>
      <c r="N184" s="68" t="s">
        <v>83</v>
      </c>
      <c r="O184" s="55" t="s">
        <v>84</v>
      </c>
      <c r="P184" s="230" t="s">
        <v>85</v>
      </c>
      <c r="Q184" s="205" t="s">
        <v>86</v>
      </c>
      <c r="R184" s="1" t="str">
        <f t="shared" si="23"/>
        <v/>
      </c>
      <c r="S184" s="1" t="str">
        <f t="shared" si="23"/>
        <v/>
      </c>
      <c r="T184" s="1" t="str">
        <f t="shared" si="23"/>
        <v/>
      </c>
      <c r="U184" s="1" t="str">
        <f t="shared" si="23"/>
        <v/>
      </c>
      <c r="V184" s="103" t="s">
        <v>483</v>
      </c>
      <c r="W184" s="104" t="s">
        <v>484</v>
      </c>
      <c r="X184" s="105">
        <v>1</v>
      </c>
      <c r="Y184" s="106" t="s">
        <v>82</v>
      </c>
      <c r="Z184" s="155" t="s">
        <v>483</v>
      </c>
      <c r="AA184" s="320"/>
      <c r="AB184" s="109"/>
      <c r="AC184" s="100">
        <v>120</v>
      </c>
      <c r="AD184" s="100"/>
      <c r="AE184" s="101"/>
      <c r="AF184" s="101"/>
      <c r="AG184" s="17" t="s">
        <v>77</v>
      </c>
      <c r="AH184" s="17" t="s">
        <v>77</v>
      </c>
      <c r="AI184" s="68" t="s">
        <v>83</v>
      </c>
      <c r="AJ184" s="55" t="s">
        <v>84</v>
      </c>
      <c r="AK184" s="230" t="s">
        <v>85</v>
      </c>
      <c r="AL184" s="230" t="s">
        <v>86</v>
      </c>
    </row>
    <row r="185" spans="1:38">
      <c r="A185" s="103" t="s">
        <v>485</v>
      </c>
      <c r="B185" s="104" t="s">
        <v>486</v>
      </c>
      <c r="C185" s="105">
        <v>1</v>
      </c>
      <c r="D185" s="106" t="s">
        <v>82</v>
      </c>
      <c r="E185" s="155" t="s">
        <v>485</v>
      </c>
      <c r="F185" s="320"/>
      <c r="G185" s="109"/>
      <c r="H185" s="100">
        <v>185</v>
      </c>
      <c r="I185" s="144"/>
      <c r="J185" s="101"/>
      <c r="K185" s="101"/>
      <c r="L185" s="17" t="s">
        <v>77</v>
      </c>
      <c r="M185" s="17" t="s">
        <v>77</v>
      </c>
      <c r="N185" s="68" t="s">
        <v>83</v>
      </c>
      <c r="O185" s="55" t="s">
        <v>84</v>
      </c>
      <c r="P185" s="230" t="s">
        <v>85</v>
      </c>
      <c r="Q185" s="205" t="s">
        <v>86</v>
      </c>
      <c r="R185" s="1" t="str">
        <f t="shared" si="23"/>
        <v/>
      </c>
      <c r="S185" s="1" t="str">
        <f t="shared" si="23"/>
        <v/>
      </c>
      <c r="T185" s="1" t="str">
        <f t="shared" si="23"/>
        <v/>
      </c>
      <c r="U185" s="1" t="str">
        <f t="shared" si="23"/>
        <v/>
      </c>
      <c r="V185" s="103" t="s">
        <v>485</v>
      </c>
      <c r="W185" s="104" t="s">
        <v>486</v>
      </c>
      <c r="X185" s="105">
        <v>1</v>
      </c>
      <c r="Y185" s="106" t="s">
        <v>82</v>
      </c>
      <c r="Z185" s="155" t="s">
        <v>485</v>
      </c>
      <c r="AA185" s="320"/>
      <c r="AB185" s="109"/>
      <c r="AC185" s="100">
        <v>185</v>
      </c>
      <c r="AD185" s="100"/>
      <c r="AE185" s="101"/>
      <c r="AF185" s="101"/>
      <c r="AG185" s="17" t="s">
        <v>77</v>
      </c>
      <c r="AH185" s="17" t="s">
        <v>77</v>
      </c>
      <c r="AI185" s="68" t="s">
        <v>83</v>
      </c>
      <c r="AJ185" s="55" t="s">
        <v>84</v>
      </c>
      <c r="AK185" s="230" t="s">
        <v>85</v>
      </c>
      <c r="AL185" s="230" t="s">
        <v>86</v>
      </c>
    </row>
    <row r="186" spans="1:38" ht="38.25">
      <c r="A186" s="238" t="s">
        <v>487</v>
      </c>
      <c r="B186" s="239" t="s">
        <v>488</v>
      </c>
      <c r="C186" s="240">
        <v>1</v>
      </c>
      <c r="D186" s="241" t="s">
        <v>82</v>
      </c>
      <c r="E186" s="247" t="s">
        <v>487</v>
      </c>
      <c r="F186" s="245"/>
      <c r="G186" s="77"/>
      <c r="H186" s="242">
        <v>366</v>
      </c>
      <c r="I186" s="248"/>
      <c r="J186" s="71"/>
      <c r="K186" s="71"/>
      <c r="L186" s="71" t="s">
        <v>77</v>
      </c>
      <c r="M186" s="71" t="s">
        <v>77</v>
      </c>
      <c r="N186" s="68" t="s">
        <v>83</v>
      </c>
      <c r="O186" s="55" t="s">
        <v>84</v>
      </c>
      <c r="P186" s="230" t="s">
        <v>85</v>
      </c>
      <c r="Q186" s="205" t="s">
        <v>86</v>
      </c>
      <c r="R186" s="1" t="str">
        <f t="shared" si="23"/>
        <v/>
      </c>
      <c r="S186" s="1" t="str">
        <f t="shared" si="23"/>
        <v/>
      </c>
      <c r="T186" s="1" t="str">
        <f t="shared" si="23"/>
        <v/>
      </c>
      <c r="U186" s="1" t="str">
        <f t="shared" si="23"/>
        <v/>
      </c>
      <c r="V186" s="238" t="s">
        <v>487</v>
      </c>
      <c r="W186" s="239" t="s">
        <v>488</v>
      </c>
      <c r="X186" s="240">
        <v>1</v>
      </c>
      <c r="Y186" s="241" t="s">
        <v>82</v>
      </c>
      <c r="Z186" s="247" t="s">
        <v>487</v>
      </c>
      <c r="AA186" s="245"/>
      <c r="AB186" s="77"/>
      <c r="AC186" s="242">
        <v>366</v>
      </c>
      <c r="AD186" s="69"/>
      <c r="AE186" s="71"/>
      <c r="AF186" s="71"/>
      <c r="AG186" s="71" t="s">
        <v>77</v>
      </c>
      <c r="AH186" s="71" t="s">
        <v>77</v>
      </c>
      <c r="AI186" s="68" t="s">
        <v>83</v>
      </c>
      <c r="AJ186" s="55" t="s">
        <v>84</v>
      </c>
      <c r="AK186" s="230" t="s">
        <v>85</v>
      </c>
      <c r="AL186" s="230" t="s">
        <v>86</v>
      </c>
    </row>
    <row r="187" spans="1:38">
      <c r="A187" s="103" t="s">
        <v>489</v>
      </c>
      <c r="B187" s="104" t="s">
        <v>490</v>
      </c>
      <c r="C187" s="105">
        <v>1</v>
      </c>
      <c r="D187" s="106" t="s">
        <v>82</v>
      </c>
      <c r="E187" s="155" t="s">
        <v>489</v>
      </c>
      <c r="F187" s="320"/>
      <c r="G187" s="22"/>
      <c r="H187" s="100">
        <v>486</v>
      </c>
      <c r="I187" s="185"/>
      <c r="J187" s="17"/>
      <c r="K187" s="17"/>
      <c r="L187" s="17" t="s">
        <v>77</v>
      </c>
      <c r="M187" s="17" t="s">
        <v>77</v>
      </c>
      <c r="N187" s="68" t="s">
        <v>83</v>
      </c>
      <c r="O187" s="55" t="s">
        <v>84</v>
      </c>
      <c r="P187" s="230" t="s">
        <v>85</v>
      </c>
      <c r="Q187" s="205" t="s">
        <v>86</v>
      </c>
      <c r="R187" s="1" t="str">
        <f t="shared" si="23"/>
        <v/>
      </c>
      <c r="S187" s="1" t="str">
        <f t="shared" si="23"/>
        <v/>
      </c>
      <c r="T187" s="1" t="str">
        <f t="shared" si="23"/>
        <v/>
      </c>
      <c r="U187" s="1" t="str">
        <f t="shared" si="23"/>
        <v/>
      </c>
      <c r="V187" s="103" t="s">
        <v>489</v>
      </c>
      <c r="W187" s="104" t="s">
        <v>490</v>
      </c>
      <c r="X187" s="105">
        <v>1</v>
      </c>
      <c r="Y187" s="106" t="s">
        <v>82</v>
      </c>
      <c r="Z187" s="155" t="s">
        <v>489</v>
      </c>
      <c r="AA187" s="320"/>
      <c r="AB187" s="22"/>
      <c r="AC187" s="100">
        <v>486</v>
      </c>
      <c r="AD187" s="31"/>
      <c r="AE187" s="17"/>
      <c r="AF187" s="17"/>
      <c r="AG187" s="17" t="s">
        <v>77</v>
      </c>
      <c r="AH187" s="17" t="s">
        <v>77</v>
      </c>
      <c r="AI187" s="68" t="s">
        <v>83</v>
      </c>
      <c r="AJ187" s="55" t="s">
        <v>84</v>
      </c>
      <c r="AK187" s="230" t="s">
        <v>85</v>
      </c>
      <c r="AL187" s="230" t="s">
        <v>86</v>
      </c>
    </row>
    <row r="188" spans="1:38">
      <c r="A188" s="103" t="s">
        <v>491</v>
      </c>
      <c r="B188" s="104" t="s">
        <v>492</v>
      </c>
      <c r="C188" s="105">
        <v>1</v>
      </c>
      <c r="D188" s="106" t="s">
        <v>82</v>
      </c>
      <c r="E188" s="155" t="s">
        <v>491</v>
      </c>
      <c r="F188" s="320"/>
      <c r="G188" s="109"/>
      <c r="H188" s="100">
        <v>355.49</v>
      </c>
      <c r="I188" s="144"/>
      <c r="J188" s="101"/>
      <c r="K188" s="101"/>
      <c r="L188" s="17"/>
      <c r="M188" s="17"/>
      <c r="N188" s="68" t="s">
        <v>83</v>
      </c>
      <c r="O188" s="55" t="s">
        <v>84</v>
      </c>
      <c r="P188" s="230" t="s">
        <v>85</v>
      </c>
      <c r="Q188" s="205" t="s">
        <v>86</v>
      </c>
      <c r="R188" s="1" t="str">
        <f t="shared" si="23"/>
        <v/>
      </c>
      <c r="S188" s="1" t="str">
        <f t="shared" si="23"/>
        <v/>
      </c>
      <c r="T188" s="1" t="str">
        <f t="shared" si="23"/>
        <v/>
      </c>
      <c r="U188" s="1" t="str">
        <f t="shared" si="23"/>
        <v/>
      </c>
      <c r="V188" s="103" t="s">
        <v>491</v>
      </c>
      <c r="W188" s="104" t="s">
        <v>493</v>
      </c>
      <c r="X188" s="105">
        <v>1</v>
      </c>
      <c r="Y188" s="106" t="s">
        <v>82</v>
      </c>
      <c r="Z188" s="155" t="s">
        <v>491</v>
      </c>
      <c r="AA188" s="320"/>
      <c r="AB188" s="109"/>
      <c r="AC188" s="100">
        <v>129</v>
      </c>
      <c r="AD188" s="100"/>
      <c r="AE188" s="101"/>
      <c r="AF188" s="101"/>
      <c r="AG188" s="17"/>
      <c r="AH188" s="17"/>
      <c r="AI188" s="68" t="s">
        <v>83</v>
      </c>
      <c r="AJ188" s="55" t="s">
        <v>84</v>
      </c>
      <c r="AK188" s="230" t="s">
        <v>85</v>
      </c>
      <c r="AL188" s="230" t="s">
        <v>281</v>
      </c>
    </row>
    <row r="189" spans="1:38">
      <c r="A189" s="103"/>
      <c r="B189" s="104"/>
      <c r="C189" s="105"/>
      <c r="D189" s="106"/>
      <c r="E189" s="155"/>
      <c r="F189" s="320"/>
      <c r="G189" s="109"/>
      <c r="H189" s="100"/>
      <c r="I189" s="144"/>
      <c r="J189" s="101"/>
      <c r="K189" s="101"/>
      <c r="L189" s="17"/>
      <c r="M189" s="17"/>
      <c r="N189" s="68"/>
      <c r="O189" s="55"/>
      <c r="P189" s="230"/>
      <c r="Q189" s="205"/>
      <c r="R189" s="1" t="str">
        <f t="shared" si="23"/>
        <v/>
      </c>
      <c r="S189" s="1" t="str">
        <f t="shared" si="23"/>
        <v/>
      </c>
      <c r="T189" s="1" t="str">
        <f t="shared" si="23"/>
        <v/>
      </c>
      <c r="U189" s="1" t="str">
        <f t="shared" si="23"/>
        <v/>
      </c>
      <c r="V189" s="103" t="s">
        <v>494</v>
      </c>
      <c r="W189" s="104" t="s">
        <v>495</v>
      </c>
      <c r="X189" s="105">
        <v>1</v>
      </c>
      <c r="Y189" s="106" t="s">
        <v>82</v>
      </c>
      <c r="Z189" s="155" t="s">
        <v>494</v>
      </c>
      <c r="AA189" s="320"/>
      <c r="AB189" s="109"/>
      <c r="AC189" s="100">
        <v>221</v>
      </c>
      <c r="AD189" s="100"/>
      <c r="AE189" s="101"/>
      <c r="AF189" s="101"/>
      <c r="AG189" s="17"/>
      <c r="AH189" s="17"/>
      <c r="AI189" s="68" t="s">
        <v>83</v>
      </c>
      <c r="AJ189" s="55" t="s">
        <v>84</v>
      </c>
      <c r="AK189" s="230" t="s">
        <v>85</v>
      </c>
      <c r="AL189" s="230" t="s">
        <v>284</v>
      </c>
    </row>
    <row r="190" spans="1:38">
      <c r="A190" s="103" t="s">
        <v>496</v>
      </c>
      <c r="B190" s="104" t="s">
        <v>497</v>
      </c>
      <c r="C190" s="105">
        <v>1</v>
      </c>
      <c r="D190" s="106" t="s">
        <v>82</v>
      </c>
      <c r="E190" s="155" t="s">
        <v>496</v>
      </c>
      <c r="F190" s="320"/>
      <c r="G190" s="109"/>
      <c r="H190" s="100">
        <v>573.38</v>
      </c>
      <c r="I190" s="144"/>
      <c r="J190" s="101"/>
      <c r="K190" s="101"/>
      <c r="L190" s="17"/>
      <c r="M190" s="17"/>
      <c r="N190" s="68" t="s">
        <v>83</v>
      </c>
      <c r="O190" s="55" t="s">
        <v>84</v>
      </c>
      <c r="P190" s="230" t="s">
        <v>85</v>
      </c>
      <c r="Q190" s="205" t="s">
        <v>86</v>
      </c>
      <c r="R190" s="1" t="str">
        <f t="shared" si="23"/>
        <v/>
      </c>
      <c r="S190" s="1" t="str">
        <f t="shared" si="23"/>
        <v/>
      </c>
      <c r="T190" s="1" t="str">
        <f t="shared" si="23"/>
        <v/>
      </c>
      <c r="U190" s="1" t="str">
        <f t="shared" si="23"/>
        <v/>
      </c>
      <c r="V190" s="103" t="s">
        <v>496</v>
      </c>
      <c r="W190" s="104" t="s">
        <v>497</v>
      </c>
      <c r="X190" s="105">
        <v>1</v>
      </c>
      <c r="Y190" s="106" t="s">
        <v>82</v>
      </c>
      <c r="Z190" s="155" t="s">
        <v>496</v>
      </c>
      <c r="AA190" s="320"/>
      <c r="AB190" s="109"/>
      <c r="AC190" s="100">
        <v>111</v>
      </c>
      <c r="AD190" s="100"/>
      <c r="AE190" s="101"/>
      <c r="AF190" s="101"/>
      <c r="AG190" s="17"/>
      <c r="AH190" s="17"/>
      <c r="AI190" s="68" t="s">
        <v>83</v>
      </c>
      <c r="AJ190" s="55" t="s">
        <v>84</v>
      </c>
      <c r="AK190" s="230" t="s">
        <v>85</v>
      </c>
      <c r="AL190" s="230" t="s">
        <v>287</v>
      </c>
    </row>
    <row r="191" spans="1:38">
      <c r="A191" s="103"/>
      <c r="B191" s="104"/>
      <c r="C191" s="105"/>
      <c r="D191" s="106"/>
      <c r="E191" s="155"/>
      <c r="F191" s="320"/>
      <c r="G191" s="109"/>
      <c r="H191" s="100"/>
      <c r="I191" s="144"/>
      <c r="J191" s="101"/>
      <c r="K191" s="101"/>
      <c r="L191" s="17"/>
      <c r="M191" s="17"/>
      <c r="N191" s="68"/>
      <c r="O191" s="55"/>
      <c r="P191" s="230"/>
      <c r="Q191" s="205"/>
      <c r="R191" s="1" t="str">
        <f t="shared" si="23"/>
        <v/>
      </c>
      <c r="S191" s="1" t="str">
        <f t="shared" si="23"/>
        <v/>
      </c>
      <c r="T191" s="1" t="str">
        <f t="shared" si="23"/>
        <v/>
      </c>
      <c r="U191" s="1" t="str">
        <f t="shared" si="23"/>
        <v/>
      </c>
      <c r="V191" s="103" t="s">
        <v>498</v>
      </c>
      <c r="W191" s="104" t="s">
        <v>499</v>
      </c>
      <c r="X191" s="105">
        <v>1</v>
      </c>
      <c r="Y191" s="106" t="s">
        <v>82</v>
      </c>
      <c r="Z191" s="155" t="s">
        <v>498</v>
      </c>
      <c r="AA191" s="320"/>
      <c r="AB191" s="109"/>
      <c r="AC191" s="100">
        <v>209</v>
      </c>
      <c r="AD191" s="100"/>
      <c r="AE191" s="101"/>
      <c r="AF191" s="101"/>
      <c r="AG191" s="17"/>
      <c r="AH191" s="17"/>
      <c r="AI191" s="68" t="s">
        <v>83</v>
      </c>
      <c r="AJ191" s="55" t="s">
        <v>84</v>
      </c>
      <c r="AK191" s="230" t="s">
        <v>85</v>
      </c>
      <c r="AL191" s="230" t="s">
        <v>290</v>
      </c>
    </row>
    <row r="192" spans="1:38">
      <c r="A192" s="93" t="s">
        <v>500</v>
      </c>
      <c r="B192" s="94" t="s">
        <v>501</v>
      </c>
      <c r="C192" s="95">
        <v>1</v>
      </c>
      <c r="D192" s="96" t="s">
        <v>75</v>
      </c>
      <c r="E192" s="140" t="s">
        <v>500</v>
      </c>
      <c r="F192" s="96">
        <v>2290.41</v>
      </c>
      <c r="G192" s="141">
        <f>rv_mbp16_eg</f>
        <v>0.17599999999999999</v>
      </c>
      <c r="H192" s="98">
        <f t="shared" ref="H192:H201" si="34">F192-(F192*G192)</f>
        <v>1887.29784</v>
      </c>
      <c r="I192" s="95" t="s">
        <v>502</v>
      </c>
      <c r="J192" s="122" cm="1">
        <f t="array" ref="J192">mbp16_5pl</f>
        <v>58.998399999999997</v>
      </c>
      <c r="K192" s="122">
        <f>H192+J192</f>
        <v>1946.2962399999999</v>
      </c>
      <c r="L192" s="120" t="s">
        <v>77</v>
      </c>
      <c r="M192" s="120">
        <v>0.42</v>
      </c>
      <c r="N192" s="147" t="s">
        <v>75</v>
      </c>
      <c r="O192" s="55" t="s">
        <v>503</v>
      </c>
      <c r="P192" s="268" t="s">
        <v>504</v>
      </c>
      <c r="Q192" s="56" t="s">
        <v>231</v>
      </c>
      <c r="R192" s="1">
        <f t="shared" si="23"/>
        <v>385.34183496407718</v>
      </c>
      <c r="S192" s="1">
        <f t="shared" si="23"/>
        <v>197.15972382116067</v>
      </c>
      <c r="T192" s="1">
        <f t="shared" si="23"/>
        <v>141.42167847580637</v>
      </c>
      <c r="U192" s="1">
        <f t="shared" si="23"/>
        <v>121.15184689645972</v>
      </c>
      <c r="V192" s="93" t="s">
        <v>500</v>
      </c>
      <c r="W192" s="94" t="s">
        <v>501</v>
      </c>
      <c r="X192" s="95">
        <v>1</v>
      </c>
      <c r="Y192" s="96" t="s">
        <v>75</v>
      </c>
      <c r="Z192" s="140" t="s">
        <v>500</v>
      </c>
      <c r="AA192" s="96">
        <v>2290.41</v>
      </c>
      <c r="AB192" s="141">
        <f>rv_mbp16_eg</f>
        <v>0.17599999999999999</v>
      </c>
      <c r="AC192" s="145">
        <f t="shared" ref="AC192:AC201" si="35">AA192-(AA192*AB192)</f>
        <v>1887.29784</v>
      </c>
      <c r="AD192" s="95" t="s">
        <v>502</v>
      </c>
      <c r="AE192" s="122">
        <v>59</v>
      </c>
      <c r="AF192" s="122">
        <f>AC192+AE192</f>
        <v>1946.29784</v>
      </c>
      <c r="AG192" s="120" t="s">
        <v>77</v>
      </c>
      <c r="AH192" s="120">
        <v>0.42</v>
      </c>
      <c r="AI192" s="147" t="s">
        <v>75</v>
      </c>
      <c r="AJ192" s="55" t="s">
        <v>503</v>
      </c>
      <c r="AK192" s="230" t="s">
        <v>79</v>
      </c>
      <c r="AL192" s="230" t="s">
        <v>231</v>
      </c>
    </row>
    <row r="193" spans="1:38">
      <c r="A193" s="103" t="s">
        <v>502</v>
      </c>
      <c r="B193" s="104" t="s">
        <v>505</v>
      </c>
      <c r="C193" s="181">
        <v>1</v>
      </c>
      <c r="D193" s="106" t="s">
        <v>82</v>
      </c>
      <c r="E193" s="105" t="s">
        <v>502</v>
      </c>
      <c r="F193" s="108">
        <v>71.599999999999994</v>
      </c>
      <c r="G193" s="180">
        <v>0.17599999999999999</v>
      </c>
      <c r="H193" s="100">
        <f t="shared" si="34"/>
        <v>58.998399999999997</v>
      </c>
      <c r="I193" s="412"/>
      <c r="J193" s="409"/>
      <c r="K193" s="409"/>
      <c r="L193" s="120" t="s">
        <v>77</v>
      </c>
      <c r="M193" s="120" t="s">
        <v>77</v>
      </c>
      <c r="N193" s="68" t="s">
        <v>83</v>
      </c>
      <c r="O193" s="55" t="s">
        <v>84</v>
      </c>
      <c r="P193" s="230" t="s">
        <v>85</v>
      </c>
      <c r="Q193" s="205" t="s">
        <v>86</v>
      </c>
      <c r="R193" s="1" t="str">
        <f t="shared" si="23"/>
        <v/>
      </c>
      <c r="S193" s="1" t="str">
        <f t="shared" si="23"/>
        <v/>
      </c>
      <c r="T193" s="1" t="str">
        <f t="shared" si="23"/>
        <v/>
      </c>
      <c r="U193" s="1" t="str">
        <f t="shared" si="23"/>
        <v/>
      </c>
      <c r="V193" s="103" t="s">
        <v>502</v>
      </c>
      <c r="W193" s="104" t="s">
        <v>505</v>
      </c>
      <c r="X193" s="181">
        <v>1</v>
      </c>
      <c r="Y193" s="106" t="s">
        <v>82</v>
      </c>
      <c r="Z193" s="105" t="s">
        <v>502</v>
      </c>
      <c r="AA193" s="108">
        <v>71.599999999999994</v>
      </c>
      <c r="AB193" s="180">
        <v>0.17599999999999999</v>
      </c>
      <c r="AC193" s="100">
        <f t="shared" si="35"/>
        <v>58.998399999999997</v>
      </c>
      <c r="AD193" s="412"/>
      <c r="AE193" s="409"/>
      <c r="AF193" s="409"/>
      <c r="AG193" s="120" t="s">
        <v>77</v>
      </c>
      <c r="AH193" s="120" t="s">
        <v>77</v>
      </c>
      <c r="AI193" s="68" t="s">
        <v>83</v>
      </c>
      <c r="AJ193" s="55" t="s">
        <v>84</v>
      </c>
      <c r="AK193" s="230" t="s">
        <v>85</v>
      </c>
      <c r="AL193" s="230" t="s">
        <v>231</v>
      </c>
    </row>
    <row r="194" spans="1:38">
      <c r="A194" s="113" t="s">
        <v>506</v>
      </c>
      <c r="B194" s="273" t="s">
        <v>507</v>
      </c>
      <c r="C194" s="115">
        <v>1</v>
      </c>
      <c r="D194" s="116" t="s">
        <v>75</v>
      </c>
      <c r="E194" s="117" t="s">
        <v>77</v>
      </c>
      <c r="F194" s="116">
        <v>575</v>
      </c>
      <c r="G194" s="118">
        <f t="shared" ref="G194:G201" si="36">rv_mbp16_eg_cto</f>
        <v>0.17599999999999999</v>
      </c>
      <c r="H194" s="119">
        <f t="shared" si="34"/>
        <v>473.8</v>
      </c>
      <c r="I194" s="119"/>
      <c r="J194" s="120"/>
      <c r="K194" s="120"/>
      <c r="L194" s="120" t="s">
        <v>77</v>
      </c>
      <c r="M194" s="120" t="s">
        <v>77</v>
      </c>
      <c r="N194" s="147" t="s">
        <v>75</v>
      </c>
      <c r="O194" s="55" t="s">
        <v>503</v>
      </c>
      <c r="P194" s="268" t="s">
        <v>504</v>
      </c>
      <c r="Q194" s="56" t="s">
        <v>231</v>
      </c>
      <c r="R194" s="1" t="str">
        <f t="shared" si="23"/>
        <v/>
      </c>
      <c r="S194" s="1" t="str">
        <f t="shared" si="23"/>
        <v/>
      </c>
      <c r="T194" s="1" t="str">
        <f t="shared" si="23"/>
        <v/>
      </c>
      <c r="U194" s="1" t="str">
        <f t="shared" si="23"/>
        <v/>
      </c>
      <c r="V194" s="113" t="s">
        <v>506</v>
      </c>
      <c r="W194" s="273" t="s">
        <v>507</v>
      </c>
      <c r="X194" s="115">
        <v>1</v>
      </c>
      <c r="Y194" s="116" t="s">
        <v>75</v>
      </c>
      <c r="Z194" s="117" t="s">
        <v>77</v>
      </c>
      <c r="AA194" s="116">
        <v>575</v>
      </c>
      <c r="AB194" s="118">
        <f t="shared" ref="AB194:AB201" si="37">rv_mbp16_eg_cto</f>
        <v>0.17599999999999999</v>
      </c>
      <c r="AC194" s="119">
        <f t="shared" si="35"/>
        <v>473.8</v>
      </c>
      <c r="AD194" s="119"/>
      <c r="AE194" s="120"/>
      <c r="AF194" s="120"/>
      <c r="AG194" s="120" t="s">
        <v>77</v>
      </c>
      <c r="AH194" s="120" t="s">
        <v>77</v>
      </c>
      <c r="AI194" s="147" t="s">
        <v>75</v>
      </c>
      <c r="AJ194" s="55" t="s">
        <v>503</v>
      </c>
      <c r="AK194" s="230" t="s">
        <v>79</v>
      </c>
      <c r="AL194" s="230" t="s">
        <v>89</v>
      </c>
    </row>
    <row r="195" spans="1:38">
      <c r="A195" s="113" t="s">
        <v>508</v>
      </c>
      <c r="B195" s="273" t="s">
        <v>509</v>
      </c>
      <c r="C195" s="115">
        <v>1</v>
      </c>
      <c r="D195" s="116" t="s">
        <v>75</v>
      </c>
      <c r="E195" s="117" t="s">
        <v>77</v>
      </c>
      <c r="F195" s="116">
        <v>725</v>
      </c>
      <c r="G195" s="118">
        <f t="shared" si="36"/>
        <v>0.17599999999999999</v>
      </c>
      <c r="H195" s="119">
        <f t="shared" si="34"/>
        <v>597.4</v>
      </c>
      <c r="I195" s="119"/>
      <c r="J195" s="120"/>
      <c r="K195" s="120"/>
      <c r="L195" s="120" t="s">
        <v>77</v>
      </c>
      <c r="M195" s="120" t="s">
        <v>77</v>
      </c>
      <c r="N195" s="147" t="s">
        <v>75</v>
      </c>
      <c r="O195" s="55" t="s">
        <v>503</v>
      </c>
      <c r="P195" s="268" t="s">
        <v>504</v>
      </c>
      <c r="Q195" s="56" t="s">
        <v>231</v>
      </c>
      <c r="R195" s="1" t="str">
        <f t="shared" si="23"/>
        <v/>
      </c>
      <c r="S195" s="1" t="str">
        <f t="shared" si="23"/>
        <v/>
      </c>
      <c r="T195" s="1" t="str">
        <f t="shared" si="23"/>
        <v/>
      </c>
      <c r="U195" s="1" t="str">
        <f t="shared" si="23"/>
        <v/>
      </c>
      <c r="V195" s="113" t="s">
        <v>508</v>
      </c>
      <c r="W195" s="273" t="s">
        <v>509</v>
      </c>
      <c r="X195" s="115">
        <v>1</v>
      </c>
      <c r="Y195" s="116" t="s">
        <v>75</v>
      </c>
      <c r="Z195" s="117" t="s">
        <v>77</v>
      </c>
      <c r="AA195" s="116">
        <v>725</v>
      </c>
      <c r="AB195" s="118">
        <f t="shared" si="37"/>
        <v>0.17599999999999999</v>
      </c>
      <c r="AC195" s="119">
        <f t="shared" si="35"/>
        <v>597.4</v>
      </c>
      <c r="AD195" s="119"/>
      <c r="AE195" s="120"/>
      <c r="AF195" s="120"/>
      <c r="AG195" s="120" t="s">
        <v>77</v>
      </c>
      <c r="AH195" s="120" t="s">
        <v>77</v>
      </c>
      <c r="AI195" s="147" t="s">
        <v>75</v>
      </c>
      <c r="AJ195" s="55" t="s">
        <v>503</v>
      </c>
      <c r="AK195" s="230" t="s">
        <v>79</v>
      </c>
      <c r="AL195" s="230" t="s">
        <v>89</v>
      </c>
    </row>
    <row r="196" spans="1:38">
      <c r="A196" s="113" t="s">
        <v>510</v>
      </c>
      <c r="B196" s="273" t="s">
        <v>511</v>
      </c>
      <c r="C196" s="115">
        <v>1</v>
      </c>
      <c r="D196" s="116" t="s">
        <v>75</v>
      </c>
      <c r="E196" s="117" t="s">
        <v>77</v>
      </c>
      <c r="F196" s="116">
        <v>383.33</v>
      </c>
      <c r="G196" s="118">
        <f t="shared" si="36"/>
        <v>0.17599999999999999</v>
      </c>
      <c r="H196" s="119">
        <f t="shared" si="34"/>
        <v>315.86392000000001</v>
      </c>
      <c r="I196" s="119"/>
      <c r="J196" s="120"/>
      <c r="K196" s="120"/>
      <c r="L196" s="120" t="s">
        <v>77</v>
      </c>
      <c r="M196" s="120" t="s">
        <v>77</v>
      </c>
      <c r="N196" s="147" t="s">
        <v>75</v>
      </c>
      <c r="O196" s="55" t="s">
        <v>503</v>
      </c>
      <c r="P196" s="268" t="s">
        <v>504</v>
      </c>
      <c r="Q196" s="56" t="s">
        <v>231</v>
      </c>
      <c r="R196" s="1" t="str">
        <f t="shared" si="23"/>
        <v/>
      </c>
      <c r="S196" s="1" t="str">
        <f t="shared" si="23"/>
        <v/>
      </c>
      <c r="T196" s="1" t="str">
        <f t="shared" si="23"/>
        <v/>
      </c>
      <c r="U196" s="1" t="str">
        <f t="shared" si="23"/>
        <v/>
      </c>
      <c r="V196" s="113" t="s">
        <v>510</v>
      </c>
      <c r="W196" s="273" t="s">
        <v>511</v>
      </c>
      <c r="X196" s="115">
        <v>1</v>
      </c>
      <c r="Y196" s="116" t="s">
        <v>75</v>
      </c>
      <c r="Z196" s="117" t="s">
        <v>77</v>
      </c>
      <c r="AA196" s="116">
        <v>383.33</v>
      </c>
      <c r="AB196" s="118">
        <f t="shared" si="37"/>
        <v>0.17599999999999999</v>
      </c>
      <c r="AC196" s="119">
        <f t="shared" si="35"/>
        <v>315.86392000000001</v>
      </c>
      <c r="AD196" s="119"/>
      <c r="AE196" s="120"/>
      <c r="AF196" s="120"/>
      <c r="AG196" s="120" t="s">
        <v>77</v>
      </c>
      <c r="AH196" s="120" t="s">
        <v>77</v>
      </c>
      <c r="AI196" s="147" t="s">
        <v>75</v>
      </c>
      <c r="AJ196" s="55" t="s">
        <v>503</v>
      </c>
      <c r="AK196" s="230" t="s">
        <v>79</v>
      </c>
      <c r="AL196" s="230" t="s">
        <v>89</v>
      </c>
    </row>
    <row r="197" spans="1:38">
      <c r="A197" s="113" t="s">
        <v>512</v>
      </c>
      <c r="B197" s="273" t="s">
        <v>513</v>
      </c>
      <c r="C197" s="115">
        <v>1</v>
      </c>
      <c r="D197" s="116" t="s">
        <v>75</v>
      </c>
      <c r="E197" s="117" t="s">
        <v>77</v>
      </c>
      <c r="F197" s="116">
        <v>383.33</v>
      </c>
      <c r="G197" s="118">
        <f t="shared" si="36"/>
        <v>0.17599999999999999</v>
      </c>
      <c r="H197" s="119">
        <f t="shared" si="34"/>
        <v>315.86392000000001</v>
      </c>
      <c r="I197" s="119"/>
      <c r="J197" s="120"/>
      <c r="K197" s="120"/>
      <c r="L197" s="120" t="s">
        <v>77</v>
      </c>
      <c r="M197" s="120" t="s">
        <v>77</v>
      </c>
      <c r="N197" s="147" t="s">
        <v>75</v>
      </c>
      <c r="O197" s="55" t="s">
        <v>503</v>
      </c>
      <c r="P197" s="268" t="s">
        <v>504</v>
      </c>
      <c r="Q197" s="56" t="s">
        <v>231</v>
      </c>
      <c r="R197" s="1" t="str">
        <f t="shared" si="23"/>
        <v/>
      </c>
      <c r="S197" s="1" t="str">
        <f t="shared" si="23"/>
        <v/>
      </c>
      <c r="T197" s="1" t="str">
        <f t="shared" si="23"/>
        <v/>
      </c>
      <c r="U197" s="1" t="str">
        <f t="shared" ref="U197:U260" si="38">+IF($K197&lt;&gt;"",U$2*$K197,"")</f>
        <v/>
      </c>
      <c r="V197" s="113" t="s">
        <v>512</v>
      </c>
      <c r="W197" s="273" t="s">
        <v>513</v>
      </c>
      <c r="X197" s="115">
        <v>1</v>
      </c>
      <c r="Y197" s="116" t="s">
        <v>75</v>
      </c>
      <c r="Z197" s="117" t="s">
        <v>77</v>
      </c>
      <c r="AA197" s="116">
        <v>383.33</v>
      </c>
      <c r="AB197" s="118">
        <f t="shared" si="37"/>
        <v>0.17599999999999999</v>
      </c>
      <c r="AC197" s="119">
        <f t="shared" si="35"/>
        <v>315.86392000000001</v>
      </c>
      <c r="AD197" s="119"/>
      <c r="AE197" s="120"/>
      <c r="AF197" s="120"/>
      <c r="AG197" s="120" t="s">
        <v>77</v>
      </c>
      <c r="AH197" s="120" t="s">
        <v>77</v>
      </c>
      <c r="AI197" s="147" t="s">
        <v>75</v>
      </c>
      <c r="AJ197" s="55" t="s">
        <v>503</v>
      </c>
      <c r="AK197" s="230" t="s">
        <v>79</v>
      </c>
      <c r="AL197" s="230" t="s">
        <v>89</v>
      </c>
    </row>
    <row r="198" spans="1:38">
      <c r="A198" s="113" t="s">
        <v>514</v>
      </c>
      <c r="B198" s="273" t="s">
        <v>515</v>
      </c>
      <c r="C198" s="115">
        <v>1</v>
      </c>
      <c r="D198" s="116" t="s">
        <v>75</v>
      </c>
      <c r="E198" s="117" t="s">
        <v>77</v>
      </c>
      <c r="F198" s="116">
        <v>191.67</v>
      </c>
      <c r="G198" s="118">
        <f t="shared" si="36"/>
        <v>0.17599999999999999</v>
      </c>
      <c r="H198" s="119">
        <f t="shared" si="34"/>
        <v>157.93608</v>
      </c>
      <c r="I198" s="119"/>
      <c r="J198" s="120"/>
      <c r="K198" s="120"/>
      <c r="L198" s="120" t="s">
        <v>77</v>
      </c>
      <c r="M198" s="120" t="s">
        <v>77</v>
      </c>
      <c r="N198" s="147" t="s">
        <v>75</v>
      </c>
      <c r="O198" s="55" t="s">
        <v>503</v>
      </c>
      <c r="P198" s="268" t="s">
        <v>504</v>
      </c>
      <c r="Q198" s="56" t="s">
        <v>231</v>
      </c>
      <c r="R198" s="1" t="str">
        <f t="shared" ref="R198:U261" si="39">+IF($K198&lt;&gt;"",R$2*$K198,"")</f>
        <v/>
      </c>
      <c r="S198" s="1" t="str">
        <f t="shared" si="39"/>
        <v/>
      </c>
      <c r="T198" s="1" t="str">
        <f t="shared" si="39"/>
        <v/>
      </c>
      <c r="U198" s="1" t="str">
        <f t="shared" si="38"/>
        <v/>
      </c>
      <c r="V198" s="113" t="s">
        <v>514</v>
      </c>
      <c r="W198" s="273" t="s">
        <v>515</v>
      </c>
      <c r="X198" s="115">
        <v>1</v>
      </c>
      <c r="Y198" s="116" t="s">
        <v>75</v>
      </c>
      <c r="Z198" s="117" t="s">
        <v>77</v>
      </c>
      <c r="AA198" s="116">
        <v>191.67</v>
      </c>
      <c r="AB198" s="118">
        <f t="shared" si="37"/>
        <v>0.17599999999999999</v>
      </c>
      <c r="AC198" s="119">
        <f t="shared" si="35"/>
        <v>157.93608</v>
      </c>
      <c r="AD198" s="119"/>
      <c r="AE198" s="120"/>
      <c r="AF198" s="120"/>
      <c r="AG198" s="120" t="s">
        <v>77</v>
      </c>
      <c r="AH198" s="120" t="s">
        <v>77</v>
      </c>
      <c r="AI198" s="147" t="s">
        <v>75</v>
      </c>
      <c r="AJ198" s="55" t="s">
        <v>503</v>
      </c>
      <c r="AK198" s="230" t="s">
        <v>79</v>
      </c>
      <c r="AL198" s="230" t="s">
        <v>89</v>
      </c>
    </row>
    <row r="199" spans="1:38">
      <c r="A199" s="113" t="s">
        <v>516</v>
      </c>
      <c r="B199" s="273" t="s">
        <v>517</v>
      </c>
      <c r="C199" s="115">
        <v>1</v>
      </c>
      <c r="D199" s="116" t="s">
        <v>75</v>
      </c>
      <c r="E199" s="117" t="s">
        <v>77</v>
      </c>
      <c r="F199" s="116">
        <v>575</v>
      </c>
      <c r="G199" s="118">
        <f t="shared" si="36"/>
        <v>0.17599999999999999</v>
      </c>
      <c r="H199" s="119">
        <f t="shared" si="34"/>
        <v>473.8</v>
      </c>
      <c r="I199" s="119"/>
      <c r="J199" s="120"/>
      <c r="K199" s="120"/>
      <c r="L199" s="120" t="s">
        <v>77</v>
      </c>
      <c r="M199" s="120" t="s">
        <v>77</v>
      </c>
      <c r="N199" s="147" t="s">
        <v>75</v>
      </c>
      <c r="O199" s="55" t="s">
        <v>503</v>
      </c>
      <c r="P199" s="268" t="s">
        <v>504</v>
      </c>
      <c r="Q199" s="56" t="s">
        <v>231</v>
      </c>
      <c r="R199" s="1" t="str">
        <f t="shared" si="39"/>
        <v/>
      </c>
      <c r="S199" s="1" t="str">
        <f t="shared" si="39"/>
        <v/>
      </c>
      <c r="T199" s="1" t="str">
        <f t="shared" si="39"/>
        <v/>
      </c>
      <c r="U199" s="1" t="str">
        <f t="shared" si="38"/>
        <v/>
      </c>
      <c r="V199" s="113" t="s">
        <v>516</v>
      </c>
      <c r="W199" s="273" t="s">
        <v>517</v>
      </c>
      <c r="X199" s="115">
        <v>1</v>
      </c>
      <c r="Y199" s="116" t="s">
        <v>75</v>
      </c>
      <c r="Z199" s="117" t="s">
        <v>77</v>
      </c>
      <c r="AA199" s="116">
        <v>575</v>
      </c>
      <c r="AB199" s="118">
        <f t="shared" si="37"/>
        <v>0.17599999999999999</v>
      </c>
      <c r="AC199" s="119">
        <f t="shared" si="35"/>
        <v>473.8</v>
      </c>
      <c r="AD199" s="119"/>
      <c r="AE199" s="120"/>
      <c r="AF199" s="120"/>
      <c r="AG199" s="120" t="s">
        <v>77</v>
      </c>
      <c r="AH199" s="120" t="s">
        <v>77</v>
      </c>
      <c r="AI199" s="147" t="s">
        <v>75</v>
      </c>
      <c r="AJ199" s="55" t="s">
        <v>503</v>
      </c>
      <c r="AK199" s="230" t="s">
        <v>79</v>
      </c>
      <c r="AL199" s="230" t="s">
        <v>89</v>
      </c>
    </row>
    <row r="200" spans="1:38">
      <c r="A200" s="113" t="s">
        <v>518</v>
      </c>
      <c r="B200" s="273" t="s">
        <v>519</v>
      </c>
      <c r="C200" s="115">
        <v>1</v>
      </c>
      <c r="D200" s="116" t="s">
        <v>75</v>
      </c>
      <c r="E200" s="117" t="s">
        <v>77</v>
      </c>
      <c r="F200" s="116">
        <v>1150</v>
      </c>
      <c r="G200" s="118">
        <f t="shared" si="36"/>
        <v>0.17599999999999999</v>
      </c>
      <c r="H200" s="119">
        <f t="shared" si="34"/>
        <v>947.6</v>
      </c>
      <c r="I200" s="119"/>
      <c r="J200" s="120"/>
      <c r="K200" s="120"/>
      <c r="L200" s="120" t="s">
        <v>77</v>
      </c>
      <c r="M200" s="120" t="s">
        <v>77</v>
      </c>
      <c r="N200" s="147" t="s">
        <v>75</v>
      </c>
      <c r="O200" s="55" t="s">
        <v>503</v>
      </c>
      <c r="P200" s="268" t="s">
        <v>504</v>
      </c>
      <c r="Q200" s="56" t="s">
        <v>231</v>
      </c>
      <c r="R200" s="1" t="str">
        <f t="shared" si="39"/>
        <v/>
      </c>
      <c r="S200" s="1" t="str">
        <f t="shared" si="39"/>
        <v/>
      </c>
      <c r="T200" s="1" t="str">
        <f t="shared" si="39"/>
        <v/>
      </c>
      <c r="U200" s="1" t="str">
        <f t="shared" si="38"/>
        <v/>
      </c>
      <c r="V200" s="113" t="s">
        <v>518</v>
      </c>
      <c r="W200" s="273" t="s">
        <v>519</v>
      </c>
      <c r="X200" s="115">
        <v>1</v>
      </c>
      <c r="Y200" s="116" t="s">
        <v>75</v>
      </c>
      <c r="Z200" s="117" t="s">
        <v>77</v>
      </c>
      <c r="AA200" s="116">
        <v>1150</v>
      </c>
      <c r="AB200" s="118">
        <f t="shared" si="37"/>
        <v>0.17599999999999999</v>
      </c>
      <c r="AC200" s="119">
        <f t="shared" si="35"/>
        <v>947.6</v>
      </c>
      <c r="AD200" s="119"/>
      <c r="AE200" s="120"/>
      <c r="AF200" s="120"/>
      <c r="AG200" s="120" t="s">
        <v>77</v>
      </c>
      <c r="AH200" s="120" t="s">
        <v>77</v>
      </c>
      <c r="AI200" s="147" t="s">
        <v>75</v>
      </c>
      <c r="AJ200" s="55" t="s">
        <v>503</v>
      </c>
      <c r="AK200" s="230" t="s">
        <v>79</v>
      </c>
      <c r="AL200" s="230" t="s">
        <v>89</v>
      </c>
    </row>
    <row r="201" spans="1:38">
      <c r="A201" s="113" t="s">
        <v>520</v>
      </c>
      <c r="B201" s="273" t="s">
        <v>521</v>
      </c>
      <c r="C201" s="115">
        <v>1</v>
      </c>
      <c r="D201" s="116" t="s">
        <v>75</v>
      </c>
      <c r="E201" s="117" t="s">
        <v>77</v>
      </c>
      <c r="F201" s="116">
        <v>2300</v>
      </c>
      <c r="G201" s="118">
        <f t="shared" si="36"/>
        <v>0.17599999999999999</v>
      </c>
      <c r="H201" s="119">
        <f t="shared" si="34"/>
        <v>1895.2</v>
      </c>
      <c r="I201" s="119"/>
      <c r="J201" s="120"/>
      <c r="K201" s="120"/>
      <c r="L201" s="120" t="s">
        <v>77</v>
      </c>
      <c r="M201" s="120" t="s">
        <v>77</v>
      </c>
      <c r="N201" s="147" t="s">
        <v>75</v>
      </c>
      <c r="O201" s="55" t="s">
        <v>503</v>
      </c>
      <c r="P201" s="268" t="s">
        <v>504</v>
      </c>
      <c r="Q201" s="56" t="s">
        <v>231</v>
      </c>
      <c r="R201" s="1" t="str">
        <f t="shared" si="39"/>
        <v/>
      </c>
      <c r="S201" s="1" t="str">
        <f t="shared" si="39"/>
        <v/>
      </c>
      <c r="T201" s="1" t="str">
        <f t="shared" si="39"/>
        <v/>
      </c>
      <c r="U201" s="1" t="str">
        <f t="shared" si="38"/>
        <v/>
      </c>
      <c r="V201" s="113" t="s">
        <v>520</v>
      </c>
      <c r="W201" s="273" t="s">
        <v>521</v>
      </c>
      <c r="X201" s="115">
        <v>1</v>
      </c>
      <c r="Y201" s="116" t="s">
        <v>75</v>
      </c>
      <c r="Z201" s="117" t="s">
        <v>77</v>
      </c>
      <c r="AA201" s="116">
        <v>2300</v>
      </c>
      <c r="AB201" s="118">
        <f t="shared" si="37"/>
        <v>0.17599999999999999</v>
      </c>
      <c r="AC201" s="119">
        <f t="shared" si="35"/>
        <v>1895.2</v>
      </c>
      <c r="AD201" s="119"/>
      <c r="AE201" s="120"/>
      <c r="AF201" s="120"/>
      <c r="AG201" s="120" t="s">
        <v>77</v>
      </c>
      <c r="AH201" s="120" t="s">
        <v>77</v>
      </c>
      <c r="AI201" s="147" t="s">
        <v>75</v>
      </c>
      <c r="AJ201" s="55" t="s">
        <v>503</v>
      </c>
      <c r="AK201" s="230" t="s">
        <v>79</v>
      </c>
      <c r="AL201" s="230" t="s">
        <v>89</v>
      </c>
    </row>
    <row r="202" spans="1:38">
      <c r="A202" s="113" t="s">
        <v>522</v>
      </c>
      <c r="B202" s="273" t="s">
        <v>523</v>
      </c>
      <c r="C202" s="115">
        <v>1</v>
      </c>
      <c r="D202" s="116" t="s">
        <v>75</v>
      </c>
      <c r="E202" s="117" t="s">
        <v>77</v>
      </c>
      <c r="F202" s="116">
        <v>0</v>
      </c>
      <c r="G202" s="138"/>
      <c r="H202" s="119">
        <v>0</v>
      </c>
      <c r="I202" s="119"/>
      <c r="J202" s="120"/>
      <c r="K202" s="120"/>
      <c r="L202" s="120" t="s">
        <v>77</v>
      </c>
      <c r="M202" s="120" t="s">
        <v>77</v>
      </c>
      <c r="N202" s="147" t="s">
        <v>75</v>
      </c>
      <c r="O202" s="55" t="s">
        <v>503</v>
      </c>
      <c r="P202" s="268" t="s">
        <v>504</v>
      </c>
      <c r="Q202" s="56" t="s">
        <v>231</v>
      </c>
      <c r="R202" s="1" t="str">
        <f t="shared" si="39"/>
        <v/>
      </c>
      <c r="S202" s="1" t="str">
        <f t="shared" si="39"/>
        <v/>
      </c>
      <c r="T202" s="1" t="str">
        <f t="shared" si="39"/>
        <v/>
      </c>
      <c r="U202" s="1" t="str">
        <f t="shared" si="38"/>
        <v/>
      </c>
      <c r="V202" s="113" t="s">
        <v>522</v>
      </c>
      <c r="W202" s="273" t="s">
        <v>524</v>
      </c>
      <c r="X202" s="115">
        <v>1</v>
      </c>
      <c r="Y202" s="116" t="s">
        <v>75</v>
      </c>
      <c r="Z202" s="117" t="s">
        <v>77</v>
      </c>
      <c r="AA202" s="116">
        <v>0</v>
      </c>
      <c r="AB202" s="138"/>
      <c r="AC202" s="119">
        <v>0</v>
      </c>
      <c r="AD202" s="119"/>
      <c r="AE202" s="120"/>
      <c r="AF202" s="120"/>
      <c r="AG202" s="120" t="s">
        <v>77</v>
      </c>
      <c r="AH202" s="120" t="s">
        <v>77</v>
      </c>
      <c r="AI202" s="147" t="s">
        <v>75</v>
      </c>
      <c r="AJ202" s="55" t="s">
        <v>78</v>
      </c>
      <c r="AK202" s="230" t="s">
        <v>79</v>
      </c>
      <c r="AL202" s="230" t="s">
        <v>89</v>
      </c>
    </row>
    <row r="203" spans="1:38">
      <c r="A203" s="25" t="s">
        <v>525</v>
      </c>
      <c r="B203" s="273" t="s">
        <v>526</v>
      </c>
      <c r="C203" s="115">
        <v>1</v>
      </c>
      <c r="D203" s="119" t="s">
        <v>75</v>
      </c>
      <c r="E203" s="117" t="s">
        <v>77</v>
      </c>
      <c r="F203" s="116">
        <v>0</v>
      </c>
      <c r="G203" s="138"/>
      <c r="H203" s="119">
        <v>0</v>
      </c>
      <c r="I203" s="119"/>
      <c r="J203" s="120"/>
      <c r="K203" s="120"/>
      <c r="L203" s="120" t="s">
        <v>77</v>
      </c>
      <c r="M203" s="120" t="s">
        <v>77</v>
      </c>
      <c r="N203" s="147" t="s">
        <v>75</v>
      </c>
      <c r="O203" s="55" t="s">
        <v>503</v>
      </c>
      <c r="P203" s="268" t="s">
        <v>504</v>
      </c>
      <c r="Q203" s="56" t="s">
        <v>231</v>
      </c>
      <c r="R203" s="1" t="str">
        <f t="shared" si="39"/>
        <v/>
      </c>
      <c r="S203" s="1" t="str">
        <f t="shared" si="39"/>
        <v/>
      </c>
      <c r="T203" s="1" t="str">
        <f t="shared" si="39"/>
        <v/>
      </c>
      <c r="U203" s="1" t="str">
        <f t="shared" si="38"/>
        <v/>
      </c>
      <c r="V203" s="113" t="s">
        <v>527</v>
      </c>
      <c r="W203" s="273" t="s">
        <v>528</v>
      </c>
      <c r="X203" s="115">
        <v>1</v>
      </c>
      <c r="Y203" s="119" t="s">
        <v>75</v>
      </c>
      <c r="Z203" s="117" t="s">
        <v>77</v>
      </c>
      <c r="AA203" s="116">
        <v>0</v>
      </c>
      <c r="AB203" s="138"/>
      <c r="AC203" s="119">
        <v>0</v>
      </c>
      <c r="AD203" s="119"/>
      <c r="AE203" s="120"/>
      <c r="AF203" s="120"/>
      <c r="AG203" s="120" t="s">
        <v>77</v>
      </c>
      <c r="AH203" s="120" t="s">
        <v>77</v>
      </c>
      <c r="AI203" s="147" t="s">
        <v>75</v>
      </c>
      <c r="AJ203" s="55" t="s">
        <v>78</v>
      </c>
      <c r="AK203" s="230" t="s">
        <v>79</v>
      </c>
      <c r="AL203" s="230" t="s">
        <v>89</v>
      </c>
    </row>
    <row r="204" spans="1:38" s="186" customFormat="1">
      <c r="A204" s="25" t="s">
        <v>529</v>
      </c>
      <c r="B204" s="26" t="s">
        <v>530</v>
      </c>
      <c r="C204" s="29">
        <v>1</v>
      </c>
      <c r="D204" s="31" t="s">
        <v>75</v>
      </c>
      <c r="E204" s="33" t="s">
        <v>77</v>
      </c>
      <c r="F204" s="33"/>
      <c r="G204" s="22"/>
      <c r="H204" s="31">
        <v>0</v>
      </c>
      <c r="I204" s="144"/>
      <c r="J204" s="17"/>
      <c r="K204" s="17"/>
      <c r="L204" s="17" t="s">
        <v>77</v>
      </c>
      <c r="M204" s="17" t="s">
        <v>77</v>
      </c>
      <c r="N204" s="68"/>
      <c r="O204" s="55"/>
      <c r="P204" s="213"/>
      <c r="Q204" s="221"/>
      <c r="R204" s="1" t="str">
        <f t="shared" si="39"/>
        <v/>
      </c>
      <c r="S204" s="1" t="str">
        <f t="shared" si="39"/>
        <v/>
      </c>
      <c r="T204" s="1" t="str">
        <f t="shared" si="39"/>
        <v/>
      </c>
      <c r="U204" s="1" t="str">
        <f t="shared" si="38"/>
        <v/>
      </c>
      <c r="V204" s="25"/>
      <c r="W204" s="26"/>
      <c r="X204" s="29"/>
      <c r="Y204" s="31"/>
      <c r="Z204" s="33"/>
      <c r="AA204" s="33"/>
      <c r="AB204" s="22"/>
      <c r="AC204" s="31"/>
      <c r="AD204" s="144"/>
      <c r="AE204" s="17"/>
      <c r="AF204" s="17"/>
      <c r="AG204" s="17"/>
      <c r="AH204" s="17"/>
      <c r="AI204" s="68"/>
      <c r="AJ204" s="55"/>
      <c r="AK204" s="213"/>
      <c r="AL204" s="221"/>
    </row>
    <row r="205" spans="1:38">
      <c r="A205" s="93" t="s">
        <v>531</v>
      </c>
      <c r="B205" s="94" t="s">
        <v>532</v>
      </c>
      <c r="C205" s="95">
        <v>1</v>
      </c>
      <c r="D205" s="96" t="s">
        <v>75</v>
      </c>
      <c r="E205" s="140" t="s">
        <v>531</v>
      </c>
      <c r="F205" s="96">
        <v>2290.41</v>
      </c>
      <c r="G205" s="141">
        <f>rv_mbp16_eg</f>
        <v>0.17599999999999999</v>
      </c>
      <c r="H205" s="98">
        <f t="shared" ref="H205:H213" si="40">F205-(F205*G205)</f>
        <v>1887.29784</v>
      </c>
      <c r="I205" s="95" t="s">
        <v>502</v>
      </c>
      <c r="J205" s="122">
        <v>59</v>
      </c>
      <c r="K205" s="122">
        <f>H205+J205</f>
        <v>1946.29784</v>
      </c>
      <c r="L205" s="120" t="s">
        <v>77</v>
      </c>
      <c r="M205" s="120">
        <v>0.42</v>
      </c>
      <c r="N205" s="147" t="s">
        <v>75</v>
      </c>
      <c r="O205" s="55" t="s">
        <v>503</v>
      </c>
      <c r="P205" s="268" t="s">
        <v>504</v>
      </c>
      <c r="Q205" s="56" t="s">
        <v>231</v>
      </c>
      <c r="R205" s="1">
        <f t="shared" si="39"/>
        <v>385.34215174367284</v>
      </c>
      <c r="S205" s="1">
        <f t="shared" si="39"/>
        <v>197.15988590109055</v>
      </c>
      <c r="T205" s="1">
        <f t="shared" si="39"/>
        <v>141.42179473492507</v>
      </c>
      <c r="U205" s="1">
        <f t="shared" si="38"/>
        <v>121.15194649227203</v>
      </c>
      <c r="V205" s="93" t="s">
        <v>531</v>
      </c>
      <c r="W205" s="94" t="s">
        <v>532</v>
      </c>
      <c r="X205" s="95">
        <v>1</v>
      </c>
      <c r="Y205" s="96" t="s">
        <v>75</v>
      </c>
      <c r="Z205" s="140" t="s">
        <v>531</v>
      </c>
      <c r="AA205" s="96">
        <v>2290.41</v>
      </c>
      <c r="AB205" s="141">
        <f>rv_mbp16_eg</f>
        <v>0.17599999999999999</v>
      </c>
      <c r="AC205" s="145">
        <f t="shared" ref="AC205:AC213" si="41">AA205-(AA205*AB205)</f>
        <v>1887.29784</v>
      </c>
      <c r="AD205" s="95" t="s">
        <v>502</v>
      </c>
      <c r="AE205" s="122">
        <v>59</v>
      </c>
      <c r="AF205" s="122">
        <f>AC205+AE205</f>
        <v>1946.29784</v>
      </c>
      <c r="AG205" s="120" t="s">
        <v>77</v>
      </c>
      <c r="AH205" s="120">
        <v>0.42</v>
      </c>
      <c r="AI205" s="147" t="s">
        <v>75</v>
      </c>
      <c r="AJ205" s="55" t="s">
        <v>503</v>
      </c>
      <c r="AK205" s="230" t="s">
        <v>79</v>
      </c>
      <c r="AL205" s="230" t="s">
        <v>231</v>
      </c>
    </row>
    <row r="206" spans="1:38">
      <c r="A206" s="113" t="s">
        <v>533</v>
      </c>
      <c r="B206" s="273" t="s">
        <v>534</v>
      </c>
      <c r="C206" s="115">
        <v>1</v>
      </c>
      <c r="D206" s="116" t="s">
        <v>75</v>
      </c>
      <c r="E206" s="117" t="s">
        <v>77</v>
      </c>
      <c r="F206" s="116">
        <v>575</v>
      </c>
      <c r="G206" s="118">
        <f t="shared" ref="G206:G213" si="42">rv_mbp16_eg_cto</f>
        <v>0.17599999999999999</v>
      </c>
      <c r="H206" s="119">
        <f t="shared" si="40"/>
        <v>473.8</v>
      </c>
      <c r="I206" s="119"/>
      <c r="J206" s="120"/>
      <c r="K206" s="120"/>
      <c r="L206" s="120" t="s">
        <v>77</v>
      </c>
      <c r="M206" s="120" t="s">
        <v>77</v>
      </c>
      <c r="N206" s="147" t="s">
        <v>75</v>
      </c>
      <c r="O206" s="55" t="s">
        <v>503</v>
      </c>
      <c r="P206" s="268" t="s">
        <v>504</v>
      </c>
      <c r="Q206" s="56" t="s">
        <v>231</v>
      </c>
      <c r="R206" s="1" t="str">
        <f t="shared" si="39"/>
        <v/>
      </c>
      <c r="S206" s="1" t="str">
        <f t="shared" si="39"/>
        <v/>
      </c>
      <c r="T206" s="1" t="str">
        <f t="shared" si="39"/>
        <v/>
      </c>
      <c r="U206" s="1" t="str">
        <f t="shared" si="38"/>
        <v/>
      </c>
      <c r="V206" s="113" t="s">
        <v>533</v>
      </c>
      <c r="W206" s="273" t="s">
        <v>534</v>
      </c>
      <c r="X206" s="115">
        <v>1</v>
      </c>
      <c r="Y206" s="116" t="s">
        <v>75</v>
      </c>
      <c r="Z206" s="117" t="s">
        <v>77</v>
      </c>
      <c r="AA206" s="116">
        <v>575</v>
      </c>
      <c r="AB206" s="118">
        <f t="shared" ref="AB206:AB213" si="43">rv_mbp16_eg_cto</f>
        <v>0.17599999999999999</v>
      </c>
      <c r="AC206" s="119">
        <f t="shared" si="41"/>
        <v>473.8</v>
      </c>
      <c r="AD206" s="119"/>
      <c r="AE206" s="120"/>
      <c r="AF206" s="120"/>
      <c r="AG206" s="120" t="s">
        <v>77</v>
      </c>
      <c r="AH206" s="120" t="s">
        <v>77</v>
      </c>
      <c r="AI206" s="147" t="s">
        <v>75</v>
      </c>
      <c r="AJ206" s="55" t="s">
        <v>503</v>
      </c>
      <c r="AK206" s="230" t="s">
        <v>79</v>
      </c>
      <c r="AL206" s="230" t="s">
        <v>89</v>
      </c>
    </row>
    <row r="207" spans="1:38">
      <c r="A207" s="113" t="s">
        <v>535</v>
      </c>
      <c r="B207" s="273" t="s">
        <v>536</v>
      </c>
      <c r="C207" s="115">
        <v>1</v>
      </c>
      <c r="D207" s="116" t="s">
        <v>75</v>
      </c>
      <c r="E207" s="117" t="s">
        <v>77</v>
      </c>
      <c r="F207" s="116">
        <v>725</v>
      </c>
      <c r="G207" s="118">
        <f t="shared" si="42"/>
        <v>0.17599999999999999</v>
      </c>
      <c r="H207" s="119">
        <f t="shared" si="40"/>
        <v>597.4</v>
      </c>
      <c r="I207" s="119"/>
      <c r="J207" s="120"/>
      <c r="K207" s="120"/>
      <c r="L207" s="120" t="s">
        <v>77</v>
      </c>
      <c r="M207" s="120" t="s">
        <v>77</v>
      </c>
      <c r="N207" s="147" t="s">
        <v>75</v>
      </c>
      <c r="O207" s="55" t="s">
        <v>503</v>
      </c>
      <c r="P207" s="268" t="s">
        <v>504</v>
      </c>
      <c r="Q207" s="56" t="s">
        <v>231</v>
      </c>
      <c r="R207" s="1" t="str">
        <f t="shared" si="39"/>
        <v/>
      </c>
      <c r="S207" s="1" t="str">
        <f t="shared" si="39"/>
        <v/>
      </c>
      <c r="T207" s="1" t="str">
        <f t="shared" si="39"/>
        <v/>
      </c>
      <c r="U207" s="1" t="str">
        <f t="shared" si="38"/>
        <v/>
      </c>
      <c r="V207" s="113" t="s">
        <v>535</v>
      </c>
      <c r="W207" s="273" t="s">
        <v>536</v>
      </c>
      <c r="X207" s="115">
        <v>1</v>
      </c>
      <c r="Y207" s="116" t="s">
        <v>75</v>
      </c>
      <c r="Z207" s="117" t="s">
        <v>77</v>
      </c>
      <c r="AA207" s="116">
        <v>725</v>
      </c>
      <c r="AB207" s="118">
        <f t="shared" si="43"/>
        <v>0.17599999999999999</v>
      </c>
      <c r="AC207" s="119">
        <f t="shared" si="41"/>
        <v>597.4</v>
      </c>
      <c r="AD207" s="119"/>
      <c r="AE207" s="120"/>
      <c r="AF207" s="120"/>
      <c r="AG207" s="120" t="s">
        <v>77</v>
      </c>
      <c r="AH207" s="120" t="s">
        <v>77</v>
      </c>
      <c r="AI207" s="147" t="s">
        <v>75</v>
      </c>
      <c r="AJ207" s="55" t="s">
        <v>503</v>
      </c>
      <c r="AK207" s="230" t="s">
        <v>79</v>
      </c>
      <c r="AL207" s="230" t="s">
        <v>89</v>
      </c>
    </row>
    <row r="208" spans="1:38">
      <c r="A208" s="113" t="s">
        <v>537</v>
      </c>
      <c r="B208" s="273" t="s">
        <v>538</v>
      </c>
      <c r="C208" s="115">
        <v>1</v>
      </c>
      <c r="D208" s="116" t="s">
        <v>75</v>
      </c>
      <c r="E208" s="117" t="s">
        <v>77</v>
      </c>
      <c r="F208" s="116">
        <v>383.33</v>
      </c>
      <c r="G208" s="118">
        <f t="shared" si="42"/>
        <v>0.17599999999999999</v>
      </c>
      <c r="H208" s="119">
        <f t="shared" si="40"/>
        <v>315.86392000000001</v>
      </c>
      <c r="I208" s="119"/>
      <c r="J208" s="120"/>
      <c r="K208" s="120"/>
      <c r="L208" s="120" t="s">
        <v>77</v>
      </c>
      <c r="M208" s="120" t="s">
        <v>77</v>
      </c>
      <c r="N208" s="147" t="s">
        <v>75</v>
      </c>
      <c r="O208" s="55" t="s">
        <v>503</v>
      </c>
      <c r="P208" s="268" t="s">
        <v>504</v>
      </c>
      <c r="Q208" s="56" t="s">
        <v>231</v>
      </c>
      <c r="R208" s="1" t="str">
        <f t="shared" si="39"/>
        <v/>
      </c>
      <c r="S208" s="1" t="str">
        <f t="shared" si="39"/>
        <v/>
      </c>
      <c r="T208" s="1" t="str">
        <f t="shared" si="39"/>
        <v/>
      </c>
      <c r="U208" s="1" t="str">
        <f t="shared" si="38"/>
        <v/>
      </c>
      <c r="V208" s="113" t="s">
        <v>537</v>
      </c>
      <c r="W208" s="273" t="s">
        <v>538</v>
      </c>
      <c r="X208" s="115">
        <v>1</v>
      </c>
      <c r="Y208" s="116" t="s">
        <v>75</v>
      </c>
      <c r="Z208" s="117" t="s">
        <v>77</v>
      </c>
      <c r="AA208" s="116">
        <v>383.33</v>
      </c>
      <c r="AB208" s="118">
        <f t="shared" si="43"/>
        <v>0.17599999999999999</v>
      </c>
      <c r="AC208" s="119">
        <f t="shared" si="41"/>
        <v>315.86392000000001</v>
      </c>
      <c r="AD208" s="119"/>
      <c r="AE208" s="120"/>
      <c r="AF208" s="120"/>
      <c r="AG208" s="120" t="s">
        <v>77</v>
      </c>
      <c r="AH208" s="120" t="s">
        <v>77</v>
      </c>
      <c r="AI208" s="147" t="s">
        <v>75</v>
      </c>
      <c r="AJ208" s="55" t="s">
        <v>503</v>
      </c>
      <c r="AK208" s="230" t="s">
        <v>79</v>
      </c>
      <c r="AL208" s="230" t="s">
        <v>89</v>
      </c>
    </row>
    <row r="209" spans="1:46">
      <c r="A209" s="113" t="s">
        <v>539</v>
      </c>
      <c r="B209" s="273" t="s">
        <v>540</v>
      </c>
      <c r="C209" s="115">
        <v>1</v>
      </c>
      <c r="D209" s="116" t="s">
        <v>75</v>
      </c>
      <c r="E209" s="117" t="s">
        <v>77</v>
      </c>
      <c r="F209" s="116">
        <v>383.33</v>
      </c>
      <c r="G209" s="118">
        <f t="shared" si="42"/>
        <v>0.17599999999999999</v>
      </c>
      <c r="H209" s="119">
        <f t="shared" si="40"/>
        <v>315.86392000000001</v>
      </c>
      <c r="I209" s="119"/>
      <c r="J209" s="120"/>
      <c r="K209" s="120"/>
      <c r="L209" s="120" t="s">
        <v>77</v>
      </c>
      <c r="M209" s="120" t="s">
        <v>77</v>
      </c>
      <c r="N209" s="147" t="s">
        <v>75</v>
      </c>
      <c r="O209" s="55" t="s">
        <v>503</v>
      </c>
      <c r="P209" s="268" t="s">
        <v>504</v>
      </c>
      <c r="Q209" s="56" t="s">
        <v>231</v>
      </c>
      <c r="R209" s="1" t="str">
        <f t="shared" si="39"/>
        <v/>
      </c>
      <c r="S209" s="1" t="str">
        <f t="shared" si="39"/>
        <v/>
      </c>
      <c r="T209" s="1" t="str">
        <f t="shared" si="39"/>
        <v/>
      </c>
      <c r="U209" s="1" t="str">
        <f t="shared" si="38"/>
        <v/>
      </c>
      <c r="V209" s="113" t="s">
        <v>539</v>
      </c>
      <c r="W209" s="273" t="s">
        <v>540</v>
      </c>
      <c r="X209" s="115">
        <v>1</v>
      </c>
      <c r="Y209" s="116" t="s">
        <v>75</v>
      </c>
      <c r="Z209" s="117" t="s">
        <v>77</v>
      </c>
      <c r="AA209" s="116">
        <v>383.33</v>
      </c>
      <c r="AB209" s="118">
        <f t="shared" si="43"/>
        <v>0.17599999999999999</v>
      </c>
      <c r="AC209" s="119">
        <f t="shared" si="41"/>
        <v>315.86392000000001</v>
      </c>
      <c r="AD209" s="119"/>
      <c r="AE209" s="120"/>
      <c r="AF209" s="120"/>
      <c r="AG209" s="120" t="s">
        <v>77</v>
      </c>
      <c r="AH209" s="120" t="s">
        <v>77</v>
      </c>
      <c r="AI209" s="147" t="s">
        <v>75</v>
      </c>
      <c r="AJ209" s="55" t="s">
        <v>503</v>
      </c>
      <c r="AK209" s="230" t="s">
        <v>79</v>
      </c>
      <c r="AL209" s="230" t="s">
        <v>89</v>
      </c>
    </row>
    <row r="210" spans="1:46">
      <c r="A210" s="113" t="s">
        <v>541</v>
      </c>
      <c r="B210" s="273" t="s">
        <v>542</v>
      </c>
      <c r="C210" s="115">
        <v>1</v>
      </c>
      <c r="D210" s="116" t="s">
        <v>75</v>
      </c>
      <c r="E210" s="117" t="s">
        <v>77</v>
      </c>
      <c r="F210" s="116">
        <v>191.67</v>
      </c>
      <c r="G210" s="118">
        <f t="shared" si="42"/>
        <v>0.17599999999999999</v>
      </c>
      <c r="H210" s="119">
        <f t="shared" si="40"/>
        <v>157.93608</v>
      </c>
      <c r="I210" s="119"/>
      <c r="J210" s="120"/>
      <c r="K210" s="120"/>
      <c r="L210" s="120" t="s">
        <v>77</v>
      </c>
      <c r="M210" s="120" t="s">
        <v>77</v>
      </c>
      <c r="N210" s="147" t="s">
        <v>75</v>
      </c>
      <c r="O210" s="55" t="s">
        <v>503</v>
      </c>
      <c r="P210" s="268" t="s">
        <v>504</v>
      </c>
      <c r="Q210" s="56" t="s">
        <v>231</v>
      </c>
      <c r="R210" s="1" t="str">
        <f t="shared" si="39"/>
        <v/>
      </c>
      <c r="S210" s="1" t="str">
        <f t="shared" si="39"/>
        <v/>
      </c>
      <c r="T210" s="1" t="str">
        <f t="shared" si="39"/>
        <v/>
      </c>
      <c r="U210" s="1" t="str">
        <f t="shared" si="38"/>
        <v/>
      </c>
      <c r="V210" s="113" t="s">
        <v>541</v>
      </c>
      <c r="W210" s="273" t="s">
        <v>542</v>
      </c>
      <c r="X210" s="115">
        <v>1</v>
      </c>
      <c r="Y210" s="116" t="s">
        <v>75</v>
      </c>
      <c r="Z210" s="117" t="s">
        <v>77</v>
      </c>
      <c r="AA210" s="116">
        <v>191.67</v>
      </c>
      <c r="AB210" s="118">
        <f t="shared" si="43"/>
        <v>0.17599999999999999</v>
      </c>
      <c r="AC210" s="119">
        <f t="shared" si="41"/>
        <v>157.93608</v>
      </c>
      <c r="AD210" s="119"/>
      <c r="AE210" s="120"/>
      <c r="AF210" s="120"/>
      <c r="AG210" s="120" t="s">
        <v>77</v>
      </c>
      <c r="AH210" s="120" t="s">
        <v>77</v>
      </c>
      <c r="AI210" s="147" t="s">
        <v>75</v>
      </c>
      <c r="AJ210" s="55" t="s">
        <v>503</v>
      </c>
      <c r="AK210" s="230" t="s">
        <v>79</v>
      </c>
      <c r="AL210" s="230" t="s">
        <v>89</v>
      </c>
    </row>
    <row r="211" spans="1:46">
      <c r="A211" s="113" t="s">
        <v>543</v>
      </c>
      <c r="B211" s="273" t="s">
        <v>544</v>
      </c>
      <c r="C211" s="115">
        <v>1</v>
      </c>
      <c r="D211" s="116" t="s">
        <v>75</v>
      </c>
      <c r="E211" s="117" t="s">
        <v>77</v>
      </c>
      <c r="F211" s="116">
        <v>575</v>
      </c>
      <c r="G211" s="118">
        <f t="shared" si="42"/>
        <v>0.17599999999999999</v>
      </c>
      <c r="H211" s="119">
        <f t="shared" si="40"/>
        <v>473.8</v>
      </c>
      <c r="I211" s="119"/>
      <c r="J211" s="120"/>
      <c r="K211" s="120"/>
      <c r="L211" s="120" t="s">
        <v>77</v>
      </c>
      <c r="M211" s="120" t="s">
        <v>77</v>
      </c>
      <c r="N211" s="147" t="s">
        <v>75</v>
      </c>
      <c r="O211" s="55" t="s">
        <v>503</v>
      </c>
      <c r="P211" s="268" t="s">
        <v>504</v>
      </c>
      <c r="Q211" s="56" t="s">
        <v>231</v>
      </c>
      <c r="R211" s="1" t="str">
        <f t="shared" si="39"/>
        <v/>
      </c>
      <c r="S211" s="1" t="str">
        <f t="shared" si="39"/>
        <v/>
      </c>
      <c r="T211" s="1" t="str">
        <f t="shared" si="39"/>
        <v/>
      </c>
      <c r="U211" s="1" t="str">
        <f t="shared" si="38"/>
        <v/>
      </c>
      <c r="V211" s="113" t="s">
        <v>543</v>
      </c>
      <c r="W211" s="273" t="s">
        <v>544</v>
      </c>
      <c r="X211" s="115">
        <v>1</v>
      </c>
      <c r="Y211" s="116" t="s">
        <v>75</v>
      </c>
      <c r="Z211" s="117" t="s">
        <v>77</v>
      </c>
      <c r="AA211" s="116">
        <v>575</v>
      </c>
      <c r="AB211" s="118">
        <f t="shared" si="43"/>
        <v>0.17599999999999999</v>
      </c>
      <c r="AC211" s="119">
        <f t="shared" si="41"/>
        <v>473.8</v>
      </c>
      <c r="AD211" s="119"/>
      <c r="AE211" s="120"/>
      <c r="AF211" s="120"/>
      <c r="AG211" s="120" t="s">
        <v>77</v>
      </c>
      <c r="AH211" s="120" t="s">
        <v>77</v>
      </c>
      <c r="AI211" s="147" t="s">
        <v>75</v>
      </c>
      <c r="AJ211" s="55" t="s">
        <v>503</v>
      </c>
      <c r="AK211" s="230" t="s">
        <v>79</v>
      </c>
      <c r="AL211" s="230" t="s">
        <v>89</v>
      </c>
    </row>
    <row r="212" spans="1:46">
      <c r="A212" s="113" t="s">
        <v>545</v>
      </c>
      <c r="B212" s="273" t="s">
        <v>546</v>
      </c>
      <c r="C212" s="115">
        <v>1</v>
      </c>
      <c r="D212" s="116" t="s">
        <v>75</v>
      </c>
      <c r="E212" s="117" t="s">
        <v>77</v>
      </c>
      <c r="F212" s="116">
        <v>1150</v>
      </c>
      <c r="G212" s="118">
        <f t="shared" si="42"/>
        <v>0.17599999999999999</v>
      </c>
      <c r="H212" s="119">
        <f t="shared" si="40"/>
        <v>947.6</v>
      </c>
      <c r="I212" s="119"/>
      <c r="J212" s="120"/>
      <c r="K212" s="120"/>
      <c r="L212" s="120" t="s">
        <v>77</v>
      </c>
      <c r="M212" s="120" t="s">
        <v>77</v>
      </c>
      <c r="N212" s="147" t="s">
        <v>75</v>
      </c>
      <c r="O212" s="55" t="s">
        <v>503</v>
      </c>
      <c r="P212" s="268" t="s">
        <v>504</v>
      </c>
      <c r="Q212" s="56" t="s">
        <v>231</v>
      </c>
      <c r="R212" s="1" t="str">
        <f t="shared" si="39"/>
        <v/>
      </c>
      <c r="S212" s="1" t="str">
        <f t="shared" si="39"/>
        <v/>
      </c>
      <c r="T212" s="1" t="str">
        <f t="shared" si="39"/>
        <v/>
      </c>
      <c r="U212" s="1" t="str">
        <f t="shared" si="38"/>
        <v/>
      </c>
      <c r="V212" s="113" t="s">
        <v>545</v>
      </c>
      <c r="W212" s="273" t="s">
        <v>546</v>
      </c>
      <c r="X212" s="115">
        <v>1</v>
      </c>
      <c r="Y212" s="116" t="s">
        <v>75</v>
      </c>
      <c r="Z212" s="117" t="s">
        <v>77</v>
      </c>
      <c r="AA212" s="116">
        <v>1150</v>
      </c>
      <c r="AB212" s="118">
        <f t="shared" si="43"/>
        <v>0.17599999999999999</v>
      </c>
      <c r="AC212" s="119">
        <f t="shared" si="41"/>
        <v>947.6</v>
      </c>
      <c r="AD212" s="119"/>
      <c r="AE212" s="120"/>
      <c r="AF212" s="120"/>
      <c r="AG212" s="120" t="s">
        <v>77</v>
      </c>
      <c r="AH212" s="120" t="s">
        <v>77</v>
      </c>
      <c r="AI212" s="147" t="s">
        <v>75</v>
      </c>
      <c r="AJ212" s="55" t="s">
        <v>503</v>
      </c>
      <c r="AK212" s="230" t="s">
        <v>79</v>
      </c>
      <c r="AL212" s="230" t="s">
        <v>89</v>
      </c>
    </row>
    <row r="213" spans="1:46">
      <c r="A213" s="113" t="s">
        <v>547</v>
      </c>
      <c r="B213" s="273" t="s">
        <v>548</v>
      </c>
      <c r="C213" s="115">
        <v>1</v>
      </c>
      <c r="D213" s="116" t="s">
        <v>75</v>
      </c>
      <c r="E213" s="117" t="s">
        <v>77</v>
      </c>
      <c r="F213" s="116">
        <v>2300</v>
      </c>
      <c r="G213" s="118">
        <f t="shared" si="42"/>
        <v>0.17599999999999999</v>
      </c>
      <c r="H213" s="119">
        <f t="shared" si="40"/>
        <v>1895.2</v>
      </c>
      <c r="I213" s="119"/>
      <c r="J213" s="120"/>
      <c r="K213" s="120"/>
      <c r="L213" s="120" t="s">
        <v>77</v>
      </c>
      <c r="M213" s="120" t="s">
        <v>77</v>
      </c>
      <c r="N213" s="147" t="s">
        <v>75</v>
      </c>
      <c r="O213" s="55" t="s">
        <v>503</v>
      </c>
      <c r="P213" s="268" t="s">
        <v>504</v>
      </c>
      <c r="Q213" s="56" t="s">
        <v>231</v>
      </c>
      <c r="R213" s="1" t="str">
        <f t="shared" si="39"/>
        <v/>
      </c>
      <c r="S213" s="1" t="str">
        <f t="shared" si="39"/>
        <v/>
      </c>
      <c r="T213" s="1" t="str">
        <f t="shared" si="39"/>
        <v/>
      </c>
      <c r="U213" s="1" t="str">
        <f t="shared" si="38"/>
        <v/>
      </c>
      <c r="V213" s="113" t="s">
        <v>547</v>
      </c>
      <c r="W213" s="273" t="s">
        <v>548</v>
      </c>
      <c r="X213" s="115">
        <v>1</v>
      </c>
      <c r="Y213" s="116" t="s">
        <v>75</v>
      </c>
      <c r="Z213" s="117" t="s">
        <v>77</v>
      </c>
      <c r="AA213" s="116">
        <v>2300</v>
      </c>
      <c r="AB213" s="118">
        <f t="shared" si="43"/>
        <v>0.17599999999999999</v>
      </c>
      <c r="AC213" s="119">
        <f t="shared" si="41"/>
        <v>1895.2</v>
      </c>
      <c r="AD213" s="119"/>
      <c r="AE213" s="120"/>
      <c r="AF213" s="120"/>
      <c r="AG213" s="120" t="s">
        <v>77</v>
      </c>
      <c r="AH213" s="120" t="s">
        <v>77</v>
      </c>
      <c r="AI213" s="147" t="s">
        <v>75</v>
      </c>
      <c r="AJ213" s="55" t="s">
        <v>503</v>
      </c>
      <c r="AK213" s="230" t="s">
        <v>79</v>
      </c>
      <c r="AL213" s="230" t="s">
        <v>89</v>
      </c>
    </row>
    <row r="214" spans="1:46">
      <c r="A214" s="113" t="s">
        <v>549</v>
      </c>
      <c r="B214" s="273" t="s">
        <v>550</v>
      </c>
      <c r="C214" s="115">
        <v>1</v>
      </c>
      <c r="D214" s="116" t="s">
        <v>75</v>
      </c>
      <c r="E214" s="117" t="s">
        <v>77</v>
      </c>
      <c r="F214" s="116">
        <v>0</v>
      </c>
      <c r="G214" s="138"/>
      <c r="H214" s="119">
        <v>0</v>
      </c>
      <c r="I214" s="119"/>
      <c r="J214" s="120"/>
      <c r="K214" s="120"/>
      <c r="L214" s="120" t="s">
        <v>77</v>
      </c>
      <c r="M214" s="120" t="s">
        <v>77</v>
      </c>
      <c r="N214" s="147" t="s">
        <v>75</v>
      </c>
      <c r="O214" s="55" t="s">
        <v>503</v>
      </c>
      <c r="P214" s="268" t="s">
        <v>504</v>
      </c>
      <c r="Q214" s="56" t="s">
        <v>231</v>
      </c>
      <c r="R214" s="1" t="str">
        <f t="shared" si="39"/>
        <v/>
      </c>
      <c r="S214" s="1" t="str">
        <f t="shared" si="39"/>
        <v/>
      </c>
      <c r="T214" s="1" t="str">
        <f t="shared" si="39"/>
        <v/>
      </c>
      <c r="U214" s="1" t="str">
        <f t="shared" si="38"/>
        <v/>
      </c>
      <c r="V214" s="113" t="s">
        <v>549</v>
      </c>
      <c r="W214" s="273" t="s">
        <v>551</v>
      </c>
      <c r="X214" s="115">
        <v>1</v>
      </c>
      <c r="Y214" s="116" t="s">
        <v>75</v>
      </c>
      <c r="Z214" s="117" t="s">
        <v>77</v>
      </c>
      <c r="AA214" s="116">
        <v>0</v>
      </c>
      <c r="AB214" s="138"/>
      <c r="AC214" s="119">
        <v>0</v>
      </c>
      <c r="AD214" s="119"/>
      <c r="AE214" s="120"/>
      <c r="AF214" s="120"/>
      <c r="AG214" s="120" t="s">
        <v>77</v>
      </c>
      <c r="AH214" s="120" t="s">
        <v>77</v>
      </c>
      <c r="AI214" s="147" t="s">
        <v>75</v>
      </c>
      <c r="AJ214" s="55" t="s">
        <v>78</v>
      </c>
      <c r="AK214" s="230" t="s">
        <v>79</v>
      </c>
      <c r="AL214" s="230" t="s">
        <v>89</v>
      </c>
    </row>
    <row r="215" spans="1:46">
      <c r="A215" s="25" t="s">
        <v>552</v>
      </c>
      <c r="B215" s="273" t="s">
        <v>553</v>
      </c>
      <c r="C215" s="115">
        <v>1</v>
      </c>
      <c r="D215" s="119" t="s">
        <v>75</v>
      </c>
      <c r="E215" s="117" t="s">
        <v>77</v>
      </c>
      <c r="F215" s="116">
        <v>0</v>
      </c>
      <c r="G215" s="138"/>
      <c r="H215" s="119">
        <v>0</v>
      </c>
      <c r="I215" s="119"/>
      <c r="J215" s="120"/>
      <c r="K215" s="120"/>
      <c r="L215" s="120" t="s">
        <v>77</v>
      </c>
      <c r="M215" s="120" t="s">
        <v>77</v>
      </c>
      <c r="N215" s="147" t="s">
        <v>75</v>
      </c>
      <c r="O215" s="55" t="s">
        <v>503</v>
      </c>
      <c r="P215" s="268" t="s">
        <v>504</v>
      </c>
      <c r="Q215" s="56" t="s">
        <v>231</v>
      </c>
      <c r="R215" s="1" t="str">
        <f t="shared" si="39"/>
        <v/>
      </c>
      <c r="S215" s="1" t="str">
        <f t="shared" si="39"/>
        <v/>
      </c>
      <c r="T215" s="1" t="str">
        <f t="shared" si="39"/>
        <v/>
      </c>
      <c r="U215" s="1" t="str">
        <f t="shared" si="38"/>
        <v/>
      </c>
      <c r="V215" s="113" t="s">
        <v>554</v>
      </c>
      <c r="W215" s="273" t="s">
        <v>555</v>
      </c>
      <c r="X215" s="115">
        <v>1</v>
      </c>
      <c r="Y215" s="119" t="s">
        <v>75</v>
      </c>
      <c r="Z215" s="117" t="s">
        <v>77</v>
      </c>
      <c r="AA215" s="116">
        <v>0</v>
      </c>
      <c r="AB215" s="138"/>
      <c r="AC215" s="119">
        <v>0</v>
      </c>
      <c r="AD215" s="119"/>
      <c r="AE215" s="120"/>
      <c r="AF215" s="120"/>
      <c r="AG215" s="120" t="s">
        <v>77</v>
      </c>
      <c r="AH215" s="120" t="s">
        <v>77</v>
      </c>
      <c r="AI215" s="147" t="s">
        <v>75</v>
      </c>
      <c r="AJ215" s="55" t="s">
        <v>78</v>
      </c>
      <c r="AK215" s="230" t="s">
        <v>79</v>
      </c>
      <c r="AL215" s="230" t="s">
        <v>89</v>
      </c>
    </row>
    <row r="216" spans="1:46" customFormat="1">
      <c r="A216" s="443" t="s">
        <v>556</v>
      </c>
      <c r="B216" s="444" t="s">
        <v>557</v>
      </c>
      <c r="C216" s="148">
        <v>1</v>
      </c>
      <c r="D216" s="438" t="s">
        <v>75</v>
      </c>
      <c r="E216" s="445" t="s">
        <v>77</v>
      </c>
      <c r="F216" s="445"/>
      <c r="G216" s="446"/>
      <c r="H216" s="438">
        <v>0</v>
      </c>
      <c r="I216" s="436"/>
      <c r="J216" s="438"/>
      <c r="K216" s="438"/>
      <c r="L216" s="438" t="s">
        <v>77</v>
      </c>
      <c r="M216" s="438" t="s">
        <v>77</v>
      </c>
      <c r="N216" s="439"/>
      <c r="O216" s="440"/>
      <c r="P216" s="441"/>
      <c r="Q216" s="442"/>
      <c r="R216" s="1" t="str">
        <f t="shared" si="39"/>
        <v/>
      </c>
      <c r="S216" s="1" t="str">
        <f t="shared" si="39"/>
        <v/>
      </c>
      <c r="T216" s="1" t="str">
        <f t="shared" si="39"/>
        <v/>
      </c>
      <c r="U216" s="1" t="str">
        <f t="shared" si="38"/>
        <v/>
      </c>
      <c r="V216" s="443"/>
      <c r="W216" s="444"/>
      <c r="X216" s="148"/>
      <c r="Y216" s="438"/>
      <c r="Z216" s="445"/>
      <c r="AA216" s="445"/>
      <c r="AB216" s="446"/>
      <c r="AC216" s="438"/>
      <c r="AD216" s="436"/>
      <c r="AE216" s="438"/>
      <c r="AF216" s="438"/>
      <c r="AG216" s="438"/>
      <c r="AH216" s="438"/>
      <c r="AI216" s="439"/>
      <c r="AJ216" s="440"/>
      <c r="AK216" s="441"/>
      <c r="AL216" s="442"/>
      <c r="AM216" s="437"/>
      <c r="AN216" s="437"/>
      <c r="AO216" s="437"/>
      <c r="AP216" s="437"/>
      <c r="AQ216" s="437"/>
      <c r="AR216" s="437"/>
      <c r="AS216" s="437"/>
      <c r="AT216" s="437"/>
    </row>
    <row r="217" spans="1:46">
      <c r="A217" s="93" t="s">
        <v>558</v>
      </c>
      <c r="B217" s="94" t="s">
        <v>559</v>
      </c>
      <c r="C217" s="95">
        <v>1</v>
      </c>
      <c r="D217" s="96" t="s">
        <v>75</v>
      </c>
      <c r="E217" s="140" t="s">
        <v>558</v>
      </c>
      <c r="F217" s="96">
        <v>2482.08</v>
      </c>
      <c r="G217" s="141">
        <f>rv_mbp16_mg</f>
        <v>0.17599999999999999</v>
      </c>
      <c r="H217" s="98">
        <f t="shared" ref="H217:H225" si="44">F217-(F217*G217)</f>
        <v>2045.2339199999999</v>
      </c>
      <c r="I217" s="95" t="s">
        <v>502</v>
      </c>
      <c r="J217" s="122">
        <v>59</v>
      </c>
      <c r="K217" s="122">
        <f>H217+J217</f>
        <v>2104.2339199999997</v>
      </c>
      <c r="L217" s="120" t="s">
        <v>77</v>
      </c>
      <c r="M217" s="120">
        <v>0.42</v>
      </c>
      <c r="N217" s="147" t="s">
        <v>75</v>
      </c>
      <c r="O217" s="55" t="s">
        <v>503</v>
      </c>
      <c r="P217" s="268" t="s">
        <v>504</v>
      </c>
      <c r="Q217" s="56" t="s">
        <v>231</v>
      </c>
      <c r="R217" s="1">
        <f t="shared" si="39"/>
        <v>416.61148147028899</v>
      </c>
      <c r="S217" s="1">
        <f t="shared" si="39"/>
        <v>213.15880388399572</v>
      </c>
      <c r="T217" s="1">
        <f t="shared" si="39"/>
        <v>152.89773815322462</v>
      </c>
      <c r="U217" s="1">
        <f t="shared" si="38"/>
        <v>130.98305410597578</v>
      </c>
      <c r="V217" s="93" t="s">
        <v>558</v>
      </c>
      <c r="W217" s="94" t="s">
        <v>559</v>
      </c>
      <c r="X217" s="95">
        <v>1</v>
      </c>
      <c r="Y217" s="96" t="s">
        <v>75</v>
      </c>
      <c r="Z217" s="140" t="s">
        <v>558</v>
      </c>
      <c r="AA217" s="96">
        <v>2482.08</v>
      </c>
      <c r="AB217" s="141">
        <f>rv_mbp16_mg</f>
        <v>0.17599999999999999</v>
      </c>
      <c r="AC217" s="145">
        <f t="shared" ref="AC217:AC225" si="45">AA217-(AA217*AB217)</f>
        <v>2045.2339199999999</v>
      </c>
      <c r="AD217" s="95" t="s">
        <v>502</v>
      </c>
      <c r="AE217" s="122">
        <v>59</v>
      </c>
      <c r="AF217" s="122">
        <f>AC217+AE217</f>
        <v>2104.2339199999997</v>
      </c>
      <c r="AG217" s="120" t="s">
        <v>77</v>
      </c>
      <c r="AH217" s="120">
        <v>0.42</v>
      </c>
      <c r="AI217" s="147" t="s">
        <v>75</v>
      </c>
      <c r="AJ217" s="55" t="s">
        <v>503</v>
      </c>
      <c r="AK217" s="230" t="s">
        <v>79</v>
      </c>
      <c r="AL217" s="230" t="s">
        <v>231</v>
      </c>
    </row>
    <row r="218" spans="1:46">
      <c r="A218" s="113" t="s">
        <v>560</v>
      </c>
      <c r="B218" s="114" t="s">
        <v>561</v>
      </c>
      <c r="C218" s="115">
        <v>1</v>
      </c>
      <c r="D218" s="116" t="s">
        <v>75</v>
      </c>
      <c r="E218" s="117" t="s">
        <v>77</v>
      </c>
      <c r="F218" s="116">
        <v>575</v>
      </c>
      <c r="G218" s="118">
        <f t="shared" ref="G218:G224" si="46">rv_mbp16_mg_cto</f>
        <v>0.17599999999999999</v>
      </c>
      <c r="H218" s="119">
        <f t="shared" si="44"/>
        <v>473.8</v>
      </c>
      <c r="I218" s="119"/>
      <c r="J218" s="120"/>
      <c r="K218" s="120"/>
      <c r="L218" s="120" t="s">
        <v>77</v>
      </c>
      <c r="M218" s="120" t="s">
        <v>77</v>
      </c>
      <c r="N218" s="147" t="s">
        <v>75</v>
      </c>
      <c r="O218" s="55" t="s">
        <v>503</v>
      </c>
      <c r="P218" s="268" t="s">
        <v>504</v>
      </c>
      <c r="Q218" s="56" t="s">
        <v>231</v>
      </c>
      <c r="R218" s="1" t="str">
        <f t="shared" si="39"/>
        <v/>
      </c>
      <c r="S218" s="1" t="str">
        <f t="shared" si="39"/>
        <v/>
      </c>
      <c r="T218" s="1" t="str">
        <f t="shared" si="39"/>
        <v/>
      </c>
      <c r="U218" s="1" t="str">
        <f t="shared" si="38"/>
        <v/>
      </c>
      <c r="V218" s="113" t="s">
        <v>560</v>
      </c>
      <c r="W218" s="114" t="s">
        <v>561</v>
      </c>
      <c r="X218" s="115">
        <v>1</v>
      </c>
      <c r="Y218" s="116" t="s">
        <v>75</v>
      </c>
      <c r="Z218" s="117" t="s">
        <v>77</v>
      </c>
      <c r="AA218" s="116">
        <v>575</v>
      </c>
      <c r="AB218" s="118">
        <f t="shared" ref="AB218:AB224" si="47">rv_mbp16_mg_cto</f>
        <v>0.17599999999999999</v>
      </c>
      <c r="AC218" s="119">
        <f t="shared" si="45"/>
        <v>473.8</v>
      </c>
      <c r="AD218" s="119"/>
      <c r="AE218" s="120"/>
      <c r="AF218" s="120"/>
      <c r="AG218" s="120" t="s">
        <v>77</v>
      </c>
      <c r="AH218" s="120" t="s">
        <v>77</v>
      </c>
      <c r="AI218" s="147" t="s">
        <v>75</v>
      </c>
      <c r="AJ218" s="55" t="s">
        <v>503</v>
      </c>
      <c r="AK218" s="230" t="s">
        <v>79</v>
      </c>
      <c r="AL218" s="230" t="s">
        <v>89</v>
      </c>
    </row>
    <row r="219" spans="1:46">
      <c r="A219" s="113" t="s">
        <v>562</v>
      </c>
      <c r="B219" s="114" t="s">
        <v>563</v>
      </c>
      <c r="C219" s="115">
        <v>1</v>
      </c>
      <c r="D219" s="116" t="s">
        <v>75</v>
      </c>
      <c r="E219" s="117" t="s">
        <v>77</v>
      </c>
      <c r="F219" s="116">
        <v>725</v>
      </c>
      <c r="G219" s="118">
        <f t="shared" si="46"/>
        <v>0.17599999999999999</v>
      </c>
      <c r="H219" s="119">
        <f t="shared" si="44"/>
        <v>597.4</v>
      </c>
      <c r="I219" s="119"/>
      <c r="J219" s="120"/>
      <c r="K219" s="120"/>
      <c r="L219" s="120" t="s">
        <v>77</v>
      </c>
      <c r="M219" s="120" t="s">
        <v>77</v>
      </c>
      <c r="N219" s="147" t="s">
        <v>75</v>
      </c>
      <c r="O219" s="55" t="s">
        <v>503</v>
      </c>
      <c r="P219" s="268" t="s">
        <v>504</v>
      </c>
      <c r="Q219" s="56" t="s">
        <v>231</v>
      </c>
      <c r="R219" s="1" t="str">
        <f t="shared" si="39"/>
        <v/>
      </c>
      <c r="S219" s="1" t="str">
        <f t="shared" si="39"/>
        <v/>
      </c>
      <c r="T219" s="1" t="str">
        <f t="shared" si="39"/>
        <v/>
      </c>
      <c r="U219" s="1" t="str">
        <f t="shared" si="38"/>
        <v/>
      </c>
      <c r="V219" s="113" t="s">
        <v>562</v>
      </c>
      <c r="W219" s="114" t="s">
        <v>563</v>
      </c>
      <c r="X219" s="115">
        <v>1</v>
      </c>
      <c r="Y219" s="116" t="s">
        <v>75</v>
      </c>
      <c r="Z219" s="117" t="s">
        <v>77</v>
      </c>
      <c r="AA219" s="116">
        <v>725</v>
      </c>
      <c r="AB219" s="118">
        <f t="shared" si="47"/>
        <v>0.17599999999999999</v>
      </c>
      <c r="AC219" s="119">
        <f t="shared" si="45"/>
        <v>597.4</v>
      </c>
      <c r="AD219" s="119"/>
      <c r="AE219" s="120"/>
      <c r="AF219" s="120"/>
      <c r="AG219" s="120" t="s">
        <v>77</v>
      </c>
      <c r="AH219" s="120" t="s">
        <v>77</v>
      </c>
      <c r="AI219" s="147" t="s">
        <v>75</v>
      </c>
      <c r="AJ219" s="55" t="s">
        <v>503</v>
      </c>
      <c r="AK219" s="230" t="s">
        <v>79</v>
      </c>
      <c r="AL219" s="230" t="s">
        <v>89</v>
      </c>
    </row>
    <row r="220" spans="1:46">
      <c r="A220" s="113" t="s">
        <v>564</v>
      </c>
      <c r="B220" s="114" t="s">
        <v>565</v>
      </c>
      <c r="C220" s="115">
        <v>1</v>
      </c>
      <c r="D220" s="116" t="s">
        <v>75</v>
      </c>
      <c r="E220" s="117" t="s">
        <v>77</v>
      </c>
      <c r="F220" s="116">
        <v>383.33</v>
      </c>
      <c r="G220" s="118">
        <f t="shared" si="46"/>
        <v>0.17599999999999999</v>
      </c>
      <c r="H220" s="119">
        <f t="shared" si="44"/>
        <v>315.86392000000001</v>
      </c>
      <c r="I220" s="119"/>
      <c r="J220" s="120"/>
      <c r="K220" s="120"/>
      <c r="L220" s="120" t="s">
        <v>77</v>
      </c>
      <c r="M220" s="120" t="s">
        <v>77</v>
      </c>
      <c r="N220" s="147" t="s">
        <v>75</v>
      </c>
      <c r="O220" s="55" t="s">
        <v>503</v>
      </c>
      <c r="P220" s="268" t="s">
        <v>504</v>
      </c>
      <c r="Q220" s="56" t="s">
        <v>231</v>
      </c>
      <c r="R220" s="1" t="str">
        <f t="shared" si="39"/>
        <v/>
      </c>
      <c r="S220" s="1" t="str">
        <f t="shared" si="39"/>
        <v/>
      </c>
      <c r="T220" s="1" t="str">
        <f t="shared" si="39"/>
        <v/>
      </c>
      <c r="U220" s="1" t="str">
        <f t="shared" si="38"/>
        <v/>
      </c>
      <c r="V220" s="113" t="s">
        <v>564</v>
      </c>
      <c r="W220" s="114" t="s">
        <v>565</v>
      </c>
      <c r="X220" s="115">
        <v>1</v>
      </c>
      <c r="Y220" s="116" t="s">
        <v>75</v>
      </c>
      <c r="Z220" s="117" t="s">
        <v>77</v>
      </c>
      <c r="AA220" s="116">
        <v>383.33</v>
      </c>
      <c r="AB220" s="118">
        <f t="shared" si="47"/>
        <v>0.17599999999999999</v>
      </c>
      <c r="AC220" s="119">
        <f t="shared" si="45"/>
        <v>315.86392000000001</v>
      </c>
      <c r="AD220" s="119"/>
      <c r="AE220" s="120"/>
      <c r="AF220" s="120"/>
      <c r="AG220" s="120" t="s">
        <v>77</v>
      </c>
      <c r="AH220" s="120" t="s">
        <v>77</v>
      </c>
      <c r="AI220" s="147" t="s">
        <v>75</v>
      </c>
      <c r="AJ220" s="55" t="s">
        <v>503</v>
      </c>
      <c r="AK220" s="230" t="s">
        <v>79</v>
      </c>
      <c r="AL220" s="230" t="s">
        <v>89</v>
      </c>
    </row>
    <row r="221" spans="1:46">
      <c r="A221" s="113" t="s">
        <v>566</v>
      </c>
      <c r="B221" s="114" t="s">
        <v>567</v>
      </c>
      <c r="C221" s="115">
        <v>1</v>
      </c>
      <c r="D221" s="116" t="s">
        <v>75</v>
      </c>
      <c r="E221" s="117" t="s">
        <v>77</v>
      </c>
      <c r="F221" s="116">
        <v>383.33</v>
      </c>
      <c r="G221" s="118">
        <f t="shared" si="46"/>
        <v>0.17599999999999999</v>
      </c>
      <c r="H221" s="119">
        <f t="shared" si="44"/>
        <v>315.86392000000001</v>
      </c>
      <c r="I221" s="119"/>
      <c r="J221" s="120"/>
      <c r="K221" s="120"/>
      <c r="L221" s="120" t="s">
        <v>77</v>
      </c>
      <c r="M221" s="120" t="s">
        <v>77</v>
      </c>
      <c r="N221" s="147" t="s">
        <v>75</v>
      </c>
      <c r="O221" s="55" t="s">
        <v>503</v>
      </c>
      <c r="P221" s="268" t="s">
        <v>504</v>
      </c>
      <c r="Q221" s="56" t="s">
        <v>231</v>
      </c>
      <c r="R221" s="1" t="str">
        <f t="shared" si="39"/>
        <v/>
      </c>
      <c r="S221" s="1" t="str">
        <f t="shared" si="39"/>
        <v/>
      </c>
      <c r="T221" s="1" t="str">
        <f t="shared" si="39"/>
        <v/>
      </c>
      <c r="U221" s="1" t="str">
        <f t="shared" si="38"/>
        <v/>
      </c>
      <c r="V221" s="113" t="s">
        <v>566</v>
      </c>
      <c r="W221" s="114" t="s">
        <v>567</v>
      </c>
      <c r="X221" s="115">
        <v>1</v>
      </c>
      <c r="Y221" s="116" t="s">
        <v>75</v>
      </c>
      <c r="Z221" s="117" t="s">
        <v>77</v>
      </c>
      <c r="AA221" s="116">
        <v>383.33</v>
      </c>
      <c r="AB221" s="118">
        <f t="shared" si="47"/>
        <v>0.17599999999999999</v>
      </c>
      <c r="AC221" s="119">
        <f t="shared" si="45"/>
        <v>315.86392000000001</v>
      </c>
      <c r="AD221" s="119"/>
      <c r="AE221" s="120"/>
      <c r="AF221" s="120"/>
      <c r="AG221" s="120" t="s">
        <v>77</v>
      </c>
      <c r="AH221" s="120" t="s">
        <v>77</v>
      </c>
      <c r="AI221" s="147" t="s">
        <v>75</v>
      </c>
      <c r="AJ221" s="55" t="s">
        <v>503</v>
      </c>
      <c r="AK221" s="230" t="s">
        <v>79</v>
      </c>
      <c r="AL221" s="230" t="s">
        <v>89</v>
      </c>
    </row>
    <row r="222" spans="1:46">
      <c r="A222" s="113" t="s">
        <v>568</v>
      </c>
      <c r="B222" s="114" t="s">
        <v>569</v>
      </c>
      <c r="C222" s="115">
        <v>1</v>
      </c>
      <c r="D222" s="116" t="s">
        <v>75</v>
      </c>
      <c r="E222" s="117" t="s">
        <v>77</v>
      </c>
      <c r="F222" s="116">
        <v>383.33</v>
      </c>
      <c r="G222" s="118">
        <f t="shared" si="46"/>
        <v>0.17599999999999999</v>
      </c>
      <c r="H222" s="119">
        <f t="shared" si="44"/>
        <v>315.86392000000001</v>
      </c>
      <c r="I222" s="119"/>
      <c r="J222" s="120"/>
      <c r="K222" s="120"/>
      <c r="L222" s="120" t="s">
        <v>77</v>
      </c>
      <c r="M222" s="120" t="s">
        <v>77</v>
      </c>
      <c r="N222" s="147" t="s">
        <v>75</v>
      </c>
      <c r="O222" s="55" t="s">
        <v>503</v>
      </c>
      <c r="P222" s="268" t="s">
        <v>504</v>
      </c>
      <c r="Q222" s="56" t="s">
        <v>231</v>
      </c>
      <c r="R222" s="1" t="str">
        <f t="shared" si="39"/>
        <v/>
      </c>
      <c r="S222" s="1" t="str">
        <f t="shared" si="39"/>
        <v/>
      </c>
      <c r="T222" s="1" t="str">
        <f t="shared" si="39"/>
        <v/>
      </c>
      <c r="U222" s="1" t="str">
        <f t="shared" si="38"/>
        <v/>
      </c>
      <c r="V222" s="113" t="s">
        <v>568</v>
      </c>
      <c r="W222" s="114" t="s">
        <v>569</v>
      </c>
      <c r="X222" s="115">
        <v>1</v>
      </c>
      <c r="Y222" s="116" t="s">
        <v>75</v>
      </c>
      <c r="Z222" s="117" t="s">
        <v>77</v>
      </c>
      <c r="AA222" s="116">
        <v>383.33</v>
      </c>
      <c r="AB222" s="118">
        <f t="shared" si="47"/>
        <v>0.17599999999999999</v>
      </c>
      <c r="AC222" s="119">
        <f t="shared" si="45"/>
        <v>315.86392000000001</v>
      </c>
      <c r="AD222" s="119"/>
      <c r="AE222" s="120"/>
      <c r="AF222" s="120"/>
      <c r="AG222" s="120" t="s">
        <v>77</v>
      </c>
      <c r="AH222" s="120" t="s">
        <v>77</v>
      </c>
      <c r="AI222" s="147" t="s">
        <v>75</v>
      </c>
      <c r="AJ222" s="55" t="s">
        <v>503</v>
      </c>
      <c r="AK222" s="230" t="s">
        <v>79</v>
      </c>
      <c r="AL222" s="230" t="s">
        <v>89</v>
      </c>
    </row>
    <row r="223" spans="1:46">
      <c r="A223" s="113" t="s">
        <v>570</v>
      </c>
      <c r="B223" s="114" t="s">
        <v>571</v>
      </c>
      <c r="C223" s="115">
        <v>1</v>
      </c>
      <c r="D223" s="116" t="s">
        <v>75</v>
      </c>
      <c r="E223" s="117" t="s">
        <v>77</v>
      </c>
      <c r="F223" s="116">
        <v>958.33</v>
      </c>
      <c r="G223" s="118">
        <f t="shared" si="46"/>
        <v>0.17599999999999999</v>
      </c>
      <c r="H223" s="119">
        <f t="shared" si="44"/>
        <v>789.66392000000008</v>
      </c>
      <c r="I223" s="119"/>
      <c r="J223" s="120"/>
      <c r="K223" s="120"/>
      <c r="L223" s="120" t="s">
        <v>77</v>
      </c>
      <c r="M223" s="120" t="s">
        <v>77</v>
      </c>
      <c r="N223" s="147" t="s">
        <v>75</v>
      </c>
      <c r="O223" s="55" t="s">
        <v>503</v>
      </c>
      <c r="P223" s="268" t="s">
        <v>504</v>
      </c>
      <c r="Q223" s="56" t="s">
        <v>231</v>
      </c>
      <c r="R223" s="1" t="str">
        <f t="shared" si="39"/>
        <v/>
      </c>
      <c r="S223" s="1" t="str">
        <f t="shared" si="39"/>
        <v/>
      </c>
      <c r="T223" s="1" t="str">
        <f t="shared" si="39"/>
        <v/>
      </c>
      <c r="U223" s="1" t="str">
        <f t="shared" si="38"/>
        <v/>
      </c>
      <c r="V223" s="113" t="s">
        <v>570</v>
      </c>
      <c r="W223" s="114" t="s">
        <v>571</v>
      </c>
      <c r="X223" s="115">
        <v>1</v>
      </c>
      <c r="Y223" s="116" t="s">
        <v>75</v>
      </c>
      <c r="Z223" s="117" t="s">
        <v>77</v>
      </c>
      <c r="AA223" s="116">
        <v>958.33</v>
      </c>
      <c r="AB223" s="118">
        <f t="shared" si="47"/>
        <v>0.17599999999999999</v>
      </c>
      <c r="AC223" s="119">
        <f t="shared" si="45"/>
        <v>789.66392000000008</v>
      </c>
      <c r="AD223" s="119"/>
      <c r="AE223" s="120"/>
      <c r="AF223" s="120"/>
      <c r="AG223" s="120" t="s">
        <v>77</v>
      </c>
      <c r="AH223" s="120" t="s">
        <v>77</v>
      </c>
      <c r="AI223" s="147" t="s">
        <v>75</v>
      </c>
      <c r="AJ223" s="55" t="s">
        <v>503</v>
      </c>
      <c r="AK223" s="230" t="s">
        <v>79</v>
      </c>
      <c r="AL223" s="230" t="s">
        <v>89</v>
      </c>
    </row>
    <row r="224" spans="1:46">
      <c r="A224" s="113" t="s">
        <v>572</v>
      </c>
      <c r="B224" s="114" t="s">
        <v>573</v>
      </c>
      <c r="C224" s="115">
        <v>1</v>
      </c>
      <c r="D224" s="116" t="s">
        <v>75</v>
      </c>
      <c r="E224" s="117" t="s">
        <v>77</v>
      </c>
      <c r="F224" s="116">
        <v>2108.33</v>
      </c>
      <c r="G224" s="118">
        <f t="shared" si="46"/>
        <v>0.17599999999999999</v>
      </c>
      <c r="H224" s="119">
        <f t="shared" si="44"/>
        <v>1737.2639199999999</v>
      </c>
      <c r="I224" s="119"/>
      <c r="J224" s="120"/>
      <c r="K224" s="120"/>
      <c r="L224" s="120" t="s">
        <v>77</v>
      </c>
      <c r="M224" s="120" t="s">
        <v>77</v>
      </c>
      <c r="N224" s="147" t="s">
        <v>75</v>
      </c>
      <c r="O224" s="55" t="s">
        <v>503</v>
      </c>
      <c r="P224" s="268" t="s">
        <v>504</v>
      </c>
      <c r="Q224" s="56" t="s">
        <v>231</v>
      </c>
      <c r="R224" s="1" t="str">
        <f t="shared" si="39"/>
        <v/>
      </c>
      <c r="S224" s="1" t="str">
        <f t="shared" si="39"/>
        <v/>
      </c>
      <c r="T224" s="1" t="str">
        <f t="shared" si="39"/>
        <v/>
      </c>
      <c r="U224" s="1" t="str">
        <f t="shared" si="38"/>
        <v/>
      </c>
      <c r="V224" s="113" t="s">
        <v>572</v>
      </c>
      <c r="W224" s="114" t="s">
        <v>573</v>
      </c>
      <c r="X224" s="115">
        <v>1</v>
      </c>
      <c r="Y224" s="116" t="s">
        <v>75</v>
      </c>
      <c r="Z224" s="117" t="s">
        <v>77</v>
      </c>
      <c r="AA224" s="116">
        <v>2108.33</v>
      </c>
      <c r="AB224" s="118">
        <f t="shared" si="47"/>
        <v>0.17599999999999999</v>
      </c>
      <c r="AC224" s="119">
        <f t="shared" si="45"/>
        <v>1737.2639199999999</v>
      </c>
      <c r="AD224" s="119"/>
      <c r="AE224" s="120"/>
      <c r="AF224" s="120"/>
      <c r="AG224" s="120" t="s">
        <v>77</v>
      </c>
      <c r="AH224" s="120" t="s">
        <v>77</v>
      </c>
      <c r="AI224" s="147" t="s">
        <v>75</v>
      </c>
      <c r="AJ224" s="55" t="s">
        <v>503</v>
      </c>
      <c r="AK224" s="230" t="s">
        <v>79</v>
      </c>
      <c r="AL224" s="230" t="s">
        <v>89</v>
      </c>
    </row>
    <row r="225" spans="1:46">
      <c r="A225" s="113" t="s">
        <v>574</v>
      </c>
      <c r="B225" s="114" t="s">
        <v>575</v>
      </c>
      <c r="C225" s="115">
        <v>1</v>
      </c>
      <c r="D225" s="116" t="s">
        <v>75</v>
      </c>
      <c r="E225" s="117" t="s">
        <v>77</v>
      </c>
      <c r="F225" s="116">
        <v>0</v>
      </c>
      <c r="G225" s="118"/>
      <c r="H225" s="119">
        <f t="shared" si="44"/>
        <v>0</v>
      </c>
      <c r="I225" s="119"/>
      <c r="J225" s="120"/>
      <c r="K225" s="120"/>
      <c r="L225" s="120" t="s">
        <v>77</v>
      </c>
      <c r="M225" s="120" t="s">
        <v>77</v>
      </c>
      <c r="N225" s="147" t="s">
        <v>75</v>
      </c>
      <c r="O225" s="55" t="s">
        <v>503</v>
      </c>
      <c r="P225" s="268" t="s">
        <v>504</v>
      </c>
      <c r="Q225" s="56" t="s">
        <v>231</v>
      </c>
      <c r="R225" s="1" t="str">
        <f t="shared" si="39"/>
        <v/>
      </c>
      <c r="S225" s="1" t="str">
        <f t="shared" si="39"/>
        <v/>
      </c>
      <c r="T225" s="1" t="str">
        <f t="shared" si="39"/>
        <v/>
      </c>
      <c r="U225" s="1" t="str">
        <f t="shared" si="38"/>
        <v/>
      </c>
      <c r="V225" s="113" t="s">
        <v>574</v>
      </c>
      <c r="W225" s="114" t="s">
        <v>576</v>
      </c>
      <c r="X225" s="115">
        <v>1</v>
      </c>
      <c r="Y225" s="116" t="s">
        <v>75</v>
      </c>
      <c r="Z225" s="117" t="s">
        <v>77</v>
      </c>
      <c r="AA225" s="116">
        <v>0</v>
      </c>
      <c r="AB225" s="118"/>
      <c r="AC225" s="119">
        <f t="shared" si="45"/>
        <v>0</v>
      </c>
      <c r="AD225" s="119"/>
      <c r="AE225" s="120"/>
      <c r="AF225" s="120"/>
      <c r="AG225" s="120" t="s">
        <v>77</v>
      </c>
      <c r="AH225" s="120" t="s">
        <v>77</v>
      </c>
      <c r="AI225" s="147" t="s">
        <v>75</v>
      </c>
      <c r="AJ225" s="55" t="s">
        <v>503</v>
      </c>
      <c r="AK225" s="230" t="s">
        <v>79</v>
      </c>
      <c r="AL225" s="230" t="s">
        <v>89</v>
      </c>
    </row>
    <row r="226" spans="1:46">
      <c r="A226" s="25" t="s">
        <v>577</v>
      </c>
      <c r="B226" s="114" t="s">
        <v>578</v>
      </c>
      <c r="C226" s="115">
        <v>1</v>
      </c>
      <c r="D226" s="116" t="s">
        <v>75</v>
      </c>
      <c r="E226" s="117" t="s">
        <v>77</v>
      </c>
      <c r="F226" s="116">
        <v>0</v>
      </c>
      <c r="G226" s="138"/>
      <c r="H226" s="119">
        <v>0</v>
      </c>
      <c r="I226" s="119"/>
      <c r="J226" s="120"/>
      <c r="K226" s="120"/>
      <c r="L226" s="120" t="s">
        <v>77</v>
      </c>
      <c r="M226" s="120" t="s">
        <v>77</v>
      </c>
      <c r="N226" s="147" t="s">
        <v>75</v>
      </c>
      <c r="O226" s="55" t="s">
        <v>503</v>
      </c>
      <c r="P226" s="268" t="s">
        <v>504</v>
      </c>
      <c r="Q226" s="56" t="s">
        <v>231</v>
      </c>
      <c r="R226" s="1" t="str">
        <f t="shared" si="39"/>
        <v/>
      </c>
      <c r="S226" s="1" t="str">
        <f t="shared" si="39"/>
        <v/>
      </c>
      <c r="T226" s="1" t="str">
        <f t="shared" si="39"/>
        <v/>
      </c>
      <c r="U226" s="1" t="str">
        <f t="shared" si="38"/>
        <v/>
      </c>
      <c r="V226" s="113" t="s">
        <v>579</v>
      </c>
      <c r="W226" s="114" t="s">
        <v>580</v>
      </c>
      <c r="X226" s="115">
        <v>1</v>
      </c>
      <c r="Y226" s="116" t="s">
        <v>75</v>
      </c>
      <c r="Z226" s="117" t="s">
        <v>77</v>
      </c>
      <c r="AA226" s="116">
        <v>0</v>
      </c>
      <c r="AB226" s="138"/>
      <c r="AC226" s="119">
        <v>0</v>
      </c>
      <c r="AD226" s="119"/>
      <c r="AE226" s="120"/>
      <c r="AF226" s="120"/>
      <c r="AG226" s="120" t="s">
        <v>77</v>
      </c>
      <c r="AH226" s="120" t="s">
        <v>77</v>
      </c>
      <c r="AI226" s="147" t="s">
        <v>75</v>
      </c>
      <c r="AJ226" s="55" t="s">
        <v>78</v>
      </c>
      <c r="AK226" s="230" t="s">
        <v>79</v>
      </c>
      <c r="AL226" s="230" t="s">
        <v>89</v>
      </c>
    </row>
    <row r="227" spans="1:46" customFormat="1">
      <c r="A227" s="443" t="s">
        <v>581</v>
      </c>
      <c r="B227" s="444" t="s">
        <v>582</v>
      </c>
      <c r="C227" s="148">
        <v>1</v>
      </c>
      <c r="D227" s="438" t="s">
        <v>75</v>
      </c>
      <c r="E227" s="445" t="s">
        <v>77</v>
      </c>
      <c r="F227" s="445"/>
      <c r="G227" s="446"/>
      <c r="H227" s="438">
        <v>0</v>
      </c>
      <c r="I227" s="436"/>
      <c r="J227" s="438"/>
      <c r="K227" s="438"/>
      <c r="L227" s="438" t="s">
        <v>77</v>
      </c>
      <c r="M227" s="438" t="s">
        <v>77</v>
      </c>
      <c r="N227" s="439"/>
      <c r="O227" s="440"/>
      <c r="P227" s="441"/>
      <c r="Q227" s="442"/>
      <c r="R227" s="1" t="str">
        <f t="shared" si="39"/>
        <v/>
      </c>
      <c r="S227" s="1" t="str">
        <f t="shared" si="39"/>
        <v/>
      </c>
      <c r="T227" s="1" t="str">
        <f t="shared" si="39"/>
        <v/>
      </c>
      <c r="U227" s="1" t="str">
        <f t="shared" si="38"/>
        <v/>
      </c>
      <c r="V227" s="443"/>
      <c r="W227" s="444"/>
      <c r="X227" s="148"/>
      <c r="Y227" s="438"/>
      <c r="Z227" s="445"/>
      <c r="AA227" s="445"/>
      <c r="AB227" s="446"/>
      <c r="AC227" s="438"/>
      <c r="AD227" s="436"/>
      <c r="AE227" s="438"/>
      <c r="AF227" s="438"/>
      <c r="AG227" s="438"/>
      <c r="AH227" s="438"/>
      <c r="AI227" s="439"/>
      <c r="AJ227" s="440"/>
      <c r="AK227" s="441"/>
      <c r="AL227" s="442"/>
      <c r="AM227" s="437"/>
      <c r="AN227" s="437"/>
      <c r="AO227" s="437"/>
      <c r="AP227" s="437"/>
      <c r="AQ227" s="437"/>
      <c r="AR227" s="437"/>
      <c r="AS227" s="437"/>
      <c r="AT227" s="437"/>
    </row>
    <row r="228" spans="1:46">
      <c r="A228" s="93" t="s">
        <v>583</v>
      </c>
      <c r="B228" s="94" t="s">
        <v>584</v>
      </c>
      <c r="C228" s="95">
        <v>1</v>
      </c>
      <c r="D228" s="96" t="s">
        <v>75</v>
      </c>
      <c r="E228" s="140" t="s">
        <v>583</v>
      </c>
      <c r="F228" s="96">
        <v>2482.08</v>
      </c>
      <c r="G228" s="141">
        <f>rv_mbp16_mg</f>
        <v>0.17599999999999999</v>
      </c>
      <c r="H228" s="98">
        <f t="shared" ref="H228:H236" si="48">F228-(F228*G228)</f>
        <v>2045.2339199999999</v>
      </c>
      <c r="I228" s="95" t="s">
        <v>502</v>
      </c>
      <c r="J228" s="122">
        <v>59</v>
      </c>
      <c r="K228" s="122">
        <f>H228+J228</f>
        <v>2104.2339199999997</v>
      </c>
      <c r="L228" s="120" t="s">
        <v>77</v>
      </c>
      <c r="M228" s="120">
        <v>0.42</v>
      </c>
      <c r="N228" s="147" t="s">
        <v>75</v>
      </c>
      <c r="O228" s="55" t="s">
        <v>503</v>
      </c>
      <c r="P228" s="268" t="s">
        <v>504</v>
      </c>
      <c r="Q228" s="56" t="s">
        <v>231</v>
      </c>
      <c r="R228" s="1">
        <f t="shared" si="39"/>
        <v>416.61148147028899</v>
      </c>
      <c r="S228" s="1">
        <f t="shared" si="39"/>
        <v>213.15880388399572</v>
      </c>
      <c r="T228" s="1">
        <f t="shared" si="39"/>
        <v>152.89773815322462</v>
      </c>
      <c r="U228" s="1">
        <f t="shared" si="38"/>
        <v>130.98305410597578</v>
      </c>
      <c r="V228" s="93" t="s">
        <v>583</v>
      </c>
      <c r="W228" s="94" t="s">
        <v>584</v>
      </c>
      <c r="X228" s="95">
        <v>1</v>
      </c>
      <c r="Y228" s="96" t="s">
        <v>75</v>
      </c>
      <c r="Z228" s="140" t="s">
        <v>583</v>
      </c>
      <c r="AA228" s="96">
        <v>2482.08</v>
      </c>
      <c r="AB228" s="141">
        <f>rv_mbp16_mg</f>
        <v>0.17599999999999999</v>
      </c>
      <c r="AC228" s="145">
        <f t="shared" ref="AC228:AC236" si="49">AA228-(AA228*AB228)</f>
        <v>2045.2339199999999</v>
      </c>
      <c r="AD228" s="95" t="s">
        <v>502</v>
      </c>
      <c r="AE228" s="122">
        <v>59</v>
      </c>
      <c r="AF228" s="122">
        <f>AC228+AE228</f>
        <v>2104.2339199999997</v>
      </c>
      <c r="AG228" s="120" t="s">
        <v>77</v>
      </c>
      <c r="AH228" s="120">
        <v>0.42</v>
      </c>
      <c r="AI228" s="147" t="s">
        <v>75</v>
      </c>
      <c r="AJ228" s="55" t="s">
        <v>503</v>
      </c>
      <c r="AK228" s="230" t="s">
        <v>79</v>
      </c>
      <c r="AL228" s="230" t="s">
        <v>231</v>
      </c>
    </row>
    <row r="229" spans="1:46">
      <c r="A229" s="113" t="s">
        <v>585</v>
      </c>
      <c r="B229" s="114" t="s">
        <v>586</v>
      </c>
      <c r="C229" s="115">
        <v>1</v>
      </c>
      <c r="D229" s="116" t="s">
        <v>75</v>
      </c>
      <c r="E229" s="117" t="s">
        <v>77</v>
      </c>
      <c r="F229" s="116">
        <v>575</v>
      </c>
      <c r="G229" s="118">
        <f t="shared" ref="G229:G235" si="50">rv_mbp16_mg_cto</f>
        <v>0.17599999999999999</v>
      </c>
      <c r="H229" s="119">
        <f t="shared" si="48"/>
        <v>473.8</v>
      </c>
      <c r="I229" s="119"/>
      <c r="J229" s="120"/>
      <c r="K229" s="120"/>
      <c r="L229" s="120" t="s">
        <v>77</v>
      </c>
      <c r="M229" s="120" t="s">
        <v>77</v>
      </c>
      <c r="N229" s="147" t="s">
        <v>75</v>
      </c>
      <c r="O229" s="55" t="s">
        <v>503</v>
      </c>
      <c r="P229" s="268" t="s">
        <v>504</v>
      </c>
      <c r="Q229" s="56" t="s">
        <v>231</v>
      </c>
      <c r="R229" s="1" t="str">
        <f t="shared" si="39"/>
        <v/>
      </c>
      <c r="S229" s="1" t="str">
        <f t="shared" si="39"/>
        <v/>
      </c>
      <c r="T229" s="1" t="str">
        <f t="shared" si="39"/>
        <v/>
      </c>
      <c r="U229" s="1" t="str">
        <f t="shared" si="38"/>
        <v/>
      </c>
      <c r="V229" s="113" t="s">
        <v>585</v>
      </c>
      <c r="W229" s="114" t="s">
        <v>586</v>
      </c>
      <c r="X229" s="115">
        <v>1</v>
      </c>
      <c r="Y229" s="116" t="s">
        <v>75</v>
      </c>
      <c r="Z229" s="117" t="s">
        <v>77</v>
      </c>
      <c r="AA229" s="116">
        <v>575</v>
      </c>
      <c r="AB229" s="118">
        <f t="shared" ref="AB229:AB235" si="51">rv_mbp16_mg_cto</f>
        <v>0.17599999999999999</v>
      </c>
      <c r="AC229" s="119">
        <f t="shared" si="49"/>
        <v>473.8</v>
      </c>
      <c r="AD229" s="119"/>
      <c r="AE229" s="120"/>
      <c r="AF229" s="120"/>
      <c r="AG229" s="120" t="s">
        <v>77</v>
      </c>
      <c r="AH229" s="120" t="s">
        <v>77</v>
      </c>
      <c r="AI229" s="147" t="s">
        <v>75</v>
      </c>
      <c r="AJ229" s="55" t="s">
        <v>503</v>
      </c>
      <c r="AK229" s="230" t="s">
        <v>79</v>
      </c>
      <c r="AL229" s="230" t="s">
        <v>89</v>
      </c>
    </row>
    <row r="230" spans="1:46">
      <c r="A230" s="113" t="s">
        <v>587</v>
      </c>
      <c r="B230" s="114" t="s">
        <v>588</v>
      </c>
      <c r="C230" s="115">
        <v>1</v>
      </c>
      <c r="D230" s="116" t="s">
        <v>75</v>
      </c>
      <c r="E230" s="117" t="s">
        <v>77</v>
      </c>
      <c r="F230" s="116">
        <v>725</v>
      </c>
      <c r="G230" s="118">
        <f t="shared" si="50"/>
        <v>0.17599999999999999</v>
      </c>
      <c r="H230" s="119">
        <f t="shared" si="48"/>
        <v>597.4</v>
      </c>
      <c r="I230" s="119"/>
      <c r="J230" s="120"/>
      <c r="K230" s="120"/>
      <c r="L230" s="120" t="s">
        <v>77</v>
      </c>
      <c r="M230" s="120" t="s">
        <v>77</v>
      </c>
      <c r="N230" s="147" t="s">
        <v>75</v>
      </c>
      <c r="O230" s="55" t="s">
        <v>503</v>
      </c>
      <c r="P230" s="268" t="s">
        <v>504</v>
      </c>
      <c r="Q230" s="56" t="s">
        <v>231</v>
      </c>
      <c r="R230" s="1" t="str">
        <f t="shared" si="39"/>
        <v/>
      </c>
      <c r="S230" s="1" t="str">
        <f t="shared" si="39"/>
        <v/>
      </c>
      <c r="T230" s="1" t="str">
        <f t="shared" si="39"/>
        <v/>
      </c>
      <c r="U230" s="1" t="str">
        <f t="shared" si="38"/>
        <v/>
      </c>
      <c r="V230" s="113" t="s">
        <v>587</v>
      </c>
      <c r="W230" s="114" t="s">
        <v>588</v>
      </c>
      <c r="X230" s="115">
        <v>1</v>
      </c>
      <c r="Y230" s="116" t="s">
        <v>75</v>
      </c>
      <c r="Z230" s="117" t="s">
        <v>77</v>
      </c>
      <c r="AA230" s="116">
        <v>725</v>
      </c>
      <c r="AB230" s="118">
        <f t="shared" si="51"/>
        <v>0.17599999999999999</v>
      </c>
      <c r="AC230" s="119">
        <f t="shared" si="49"/>
        <v>597.4</v>
      </c>
      <c r="AD230" s="119"/>
      <c r="AE230" s="120"/>
      <c r="AF230" s="120"/>
      <c r="AG230" s="120" t="s">
        <v>77</v>
      </c>
      <c r="AH230" s="120" t="s">
        <v>77</v>
      </c>
      <c r="AI230" s="147" t="s">
        <v>75</v>
      </c>
      <c r="AJ230" s="55" t="s">
        <v>503</v>
      </c>
      <c r="AK230" s="230" t="s">
        <v>79</v>
      </c>
      <c r="AL230" s="230" t="s">
        <v>89</v>
      </c>
    </row>
    <row r="231" spans="1:46">
      <c r="A231" s="113" t="s">
        <v>589</v>
      </c>
      <c r="B231" s="114" t="s">
        <v>590</v>
      </c>
      <c r="C231" s="115">
        <v>1</v>
      </c>
      <c r="D231" s="116" t="s">
        <v>75</v>
      </c>
      <c r="E231" s="117" t="s">
        <v>77</v>
      </c>
      <c r="F231" s="116">
        <v>383.33</v>
      </c>
      <c r="G231" s="118">
        <f t="shared" si="50"/>
        <v>0.17599999999999999</v>
      </c>
      <c r="H231" s="119">
        <f t="shared" si="48"/>
        <v>315.86392000000001</v>
      </c>
      <c r="I231" s="119"/>
      <c r="J231" s="120"/>
      <c r="K231" s="120"/>
      <c r="L231" s="120" t="s">
        <v>77</v>
      </c>
      <c r="M231" s="120" t="s">
        <v>77</v>
      </c>
      <c r="N231" s="147" t="s">
        <v>75</v>
      </c>
      <c r="O231" s="55" t="s">
        <v>503</v>
      </c>
      <c r="P231" s="268" t="s">
        <v>504</v>
      </c>
      <c r="Q231" s="56" t="s">
        <v>231</v>
      </c>
      <c r="R231" s="1" t="str">
        <f t="shared" si="39"/>
        <v/>
      </c>
      <c r="S231" s="1" t="str">
        <f t="shared" si="39"/>
        <v/>
      </c>
      <c r="T231" s="1" t="str">
        <f t="shared" si="39"/>
        <v/>
      </c>
      <c r="U231" s="1" t="str">
        <f t="shared" si="38"/>
        <v/>
      </c>
      <c r="V231" s="113" t="s">
        <v>589</v>
      </c>
      <c r="W231" s="114" t="s">
        <v>590</v>
      </c>
      <c r="X231" s="115">
        <v>1</v>
      </c>
      <c r="Y231" s="116" t="s">
        <v>75</v>
      </c>
      <c r="Z231" s="117" t="s">
        <v>77</v>
      </c>
      <c r="AA231" s="116">
        <v>383.33</v>
      </c>
      <c r="AB231" s="118">
        <f t="shared" si="51"/>
        <v>0.17599999999999999</v>
      </c>
      <c r="AC231" s="119">
        <f t="shared" si="49"/>
        <v>315.86392000000001</v>
      </c>
      <c r="AD231" s="119"/>
      <c r="AE231" s="120"/>
      <c r="AF231" s="120"/>
      <c r="AG231" s="120" t="s">
        <v>77</v>
      </c>
      <c r="AH231" s="120" t="s">
        <v>77</v>
      </c>
      <c r="AI231" s="147" t="s">
        <v>75</v>
      </c>
      <c r="AJ231" s="55" t="s">
        <v>503</v>
      </c>
      <c r="AK231" s="230" t="s">
        <v>79</v>
      </c>
      <c r="AL231" s="230" t="s">
        <v>89</v>
      </c>
    </row>
    <row r="232" spans="1:46">
      <c r="A232" s="113" t="s">
        <v>591</v>
      </c>
      <c r="B232" s="114" t="s">
        <v>592</v>
      </c>
      <c r="C232" s="115">
        <v>1</v>
      </c>
      <c r="D232" s="116" t="s">
        <v>75</v>
      </c>
      <c r="E232" s="117" t="s">
        <v>77</v>
      </c>
      <c r="F232" s="116">
        <v>383.33</v>
      </c>
      <c r="G232" s="118">
        <f t="shared" si="50"/>
        <v>0.17599999999999999</v>
      </c>
      <c r="H232" s="119">
        <f t="shared" si="48"/>
        <v>315.86392000000001</v>
      </c>
      <c r="I232" s="119"/>
      <c r="J232" s="120"/>
      <c r="K232" s="120"/>
      <c r="L232" s="120" t="s">
        <v>77</v>
      </c>
      <c r="M232" s="120" t="s">
        <v>77</v>
      </c>
      <c r="N232" s="147" t="s">
        <v>75</v>
      </c>
      <c r="O232" s="55" t="s">
        <v>503</v>
      </c>
      <c r="P232" s="268" t="s">
        <v>504</v>
      </c>
      <c r="Q232" s="56" t="s">
        <v>231</v>
      </c>
      <c r="R232" s="1" t="str">
        <f t="shared" si="39"/>
        <v/>
      </c>
      <c r="S232" s="1" t="str">
        <f t="shared" si="39"/>
        <v/>
      </c>
      <c r="T232" s="1" t="str">
        <f t="shared" si="39"/>
        <v/>
      </c>
      <c r="U232" s="1" t="str">
        <f t="shared" si="38"/>
        <v/>
      </c>
      <c r="V232" s="113" t="s">
        <v>591</v>
      </c>
      <c r="W232" s="114" t="s">
        <v>592</v>
      </c>
      <c r="X232" s="115">
        <v>1</v>
      </c>
      <c r="Y232" s="116" t="s">
        <v>75</v>
      </c>
      <c r="Z232" s="117" t="s">
        <v>77</v>
      </c>
      <c r="AA232" s="116">
        <v>383.33</v>
      </c>
      <c r="AB232" s="118">
        <f t="shared" si="51"/>
        <v>0.17599999999999999</v>
      </c>
      <c r="AC232" s="119">
        <f t="shared" si="49"/>
        <v>315.86392000000001</v>
      </c>
      <c r="AD232" s="119"/>
      <c r="AE232" s="120"/>
      <c r="AF232" s="120"/>
      <c r="AG232" s="120" t="s">
        <v>77</v>
      </c>
      <c r="AH232" s="120" t="s">
        <v>77</v>
      </c>
      <c r="AI232" s="147" t="s">
        <v>75</v>
      </c>
      <c r="AJ232" s="55" t="s">
        <v>503</v>
      </c>
      <c r="AK232" s="230" t="s">
        <v>79</v>
      </c>
      <c r="AL232" s="230" t="s">
        <v>89</v>
      </c>
    </row>
    <row r="233" spans="1:46">
      <c r="A233" s="113" t="s">
        <v>593</v>
      </c>
      <c r="B233" s="114" t="s">
        <v>594</v>
      </c>
      <c r="C233" s="115">
        <v>1</v>
      </c>
      <c r="D233" s="116" t="s">
        <v>75</v>
      </c>
      <c r="E233" s="117" t="s">
        <v>77</v>
      </c>
      <c r="F233" s="116">
        <v>383.33</v>
      </c>
      <c r="G233" s="118">
        <f t="shared" si="50"/>
        <v>0.17599999999999999</v>
      </c>
      <c r="H233" s="119">
        <f t="shared" si="48"/>
        <v>315.86392000000001</v>
      </c>
      <c r="I233" s="119"/>
      <c r="J233" s="120"/>
      <c r="K233" s="120"/>
      <c r="L233" s="120" t="s">
        <v>77</v>
      </c>
      <c r="M233" s="120" t="s">
        <v>77</v>
      </c>
      <c r="N233" s="147" t="s">
        <v>75</v>
      </c>
      <c r="O233" s="55" t="s">
        <v>503</v>
      </c>
      <c r="P233" s="268" t="s">
        <v>504</v>
      </c>
      <c r="Q233" s="56" t="s">
        <v>231</v>
      </c>
      <c r="R233" s="1" t="str">
        <f t="shared" si="39"/>
        <v/>
      </c>
      <c r="S233" s="1" t="str">
        <f t="shared" si="39"/>
        <v/>
      </c>
      <c r="T233" s="1" t="str">
        <f t="shared" si="39"/>
        <v/>
      </c>
      <c r="U233" s="1" t="str">
        <f t="shared" si="38"/>
        <v/>
      </c>
      <c r="V233" s="113" t="s">
        <v>593</v>
      </c>
      <c r="W233" s="114" t="s">
        <v>594</v>
      </c>
      <c r="X233" s="115">
        <v>1</v>
      </c>
      <c r="Y233" s="116" t="s">
        <v>75</v>
      </c>
      <c r="Z233" s="117" t="s">
        <v>77</v>
      </c>
      <c r="AA233" s="116">
        <v>383.33</v>
      </c>
      <c r="AB233" s="118">
        <f t="shared" si="51"/>
        <v>0.17599999999999999</v>
      </c>
      <c r="AC233" s="119">
        <f t="shared" si="49"/>
        <v>315.86392000000001</v>
      </c>
      <c r="AD233" s="119"/>
      <c r="AE233" s="120"/>
      <c r="AF233" s="120"/>
      <c r="AG233" s="120" t="s">
        <v>77</v>
      </c>
      <c r="AH233" s="120" t="s">
        <v>77</v>
      </c>
      <c r="AI233" s="147" t="s">
        <v>75</v>
      </c>
      <c r="AJ233" s="55" t="s">
        <v>503</v>
      </c>
      <c r="AK233" s="230" t="s">
        <v>79</v>
      </c>
      <c r="AL233" s="230" t="s">
        <v>89</v>
      </c>
    </row>
    <row r="234" spans="1:46">
      <c r="A234" s="113" t="s">
        <v>595</v>
      </c>
      <c r="B234" s="114" t="s">
        <v>596</v>
      </c>
      <c r="C234" s="115">
        <v>1</v>
      </c>
      <c r="D234" s="116" t="s">
        <v>75</v>
      </c>
      <c r="E234" s="117" t="s">
        <v>77</v>
      </c>
      <c r="F234" s="116">
        <v>958.33</v>
      </c>
      <c r="G234" s="118">
        <f t="shared" si="50"/>
        <v>0.17599999999999999</v>
      </c>
      <c r="H234" s="119">
        <f t="shared" si="48"/>
        <v>789.66392000000008</v>
      </c>
      <c r="I234" s="119"/>
      <c r="J234" s="120"/>
      <c r="K234" s="120"/>
      <c r="L234" s="120" t="s">
        <v>77</v>
      </c>
      <c r="M234" s="120" t="s">
        <v>77</v>
      </c>
      <c r="N234" s="147" t="s">
        <v>75</v>
      </c>
      <c r="O234" s="55" t="s">
        <v>503</v>
      </c>
      <c r="P234" s="268" t="s">
        <v>504</v>
      </c>
      <c r="Q234" s="56" t="s">
        <v>231</v>
      </c>
      <c r="R234" s="1" t="str">
        <f t="shared" si="39"/>
        <v/>
      </c>
      <c r="S234" s="1" t="str">
        <f t="shared" si="39"/>
        <v/>
      </c>
      <c r="T234" s="1" t="str">
        <f t="shared" si="39"/>
        <v/>
      </c>
      <c r="U234" s="1" t="str">
        <f t="shared" si="38"/>
        <v/>
      </c>
      <c r="V234" s="113" t="s">
        <v>595</v>
      </c>
      <c r="W234" s="114" t="s">
        <v>596</v>
      </c>
      <c r="X234" s="115">
        <v>1</v>
      </c>
      <c r="Y234" s="116" t="s">
        <v>75</v>
      </c>
      <c r="Z234" s="117" t="s">
        <v>77</v>
      </c>
      <c r="AA234" s="116">
        <v>958.33</v>
      </c>
      <c r="AB234" s="118">
        <f t="shared" si="51"/>
        <v>0.17599999999999999</v>
      </c>
      <c r="AC234" s="119">
        <f t="shared" si="49"/>
        <v>789.66392000000008</v>
      </c>
      <c r="AD234" s="119"/>
      <c r="AE234" s="120"/>
      <c r="AF234" s="120"/>
      <c r="AG234" s="120" t="s">
        <v>77</v>
      </c>
      <c r="AH234" s="120" t="s">
        <v>77</v>
      </c>
      <c r="AI234" s="147" t="s">
        <v>75</v>
      </c>
      <c r="AJ234" s="55" t="s">
        <v>503</v>
      </c>
      <c r="AK234" s="230" t="s">
        <v>79</v>
      </c>
      <c r="AL234" s="230" t="s">
        <v>89</v>
      </c>
    </row>
    <row r="235" spans="1:46">
      <c r="A235" s="113" t="s">
        <v>597</v>
      </c>
      <c r="B235" s="114" t="s">
        <v>598</v>
      </c>
      <c r="C235" s="115">
        <v>1</v>
      </c>
      <c r="D235" s="116" t="s">
        <v>75</v>
      </c>
      <c r="E235" s="117" t="s">
        <v>77</v>
      </c>
      <c r="F235" s="116">
        <v>2108.33</v>
      </c>
      <c r="G235" s="118">
        <f t="shared" si="50"/>
        <v>0.17599999999999999</v>
      </c>
      <c r="H235" s="119">
        <f t="shared" si="48"/>
        <v>1737.2639199999999</v>
      </c>
      <c r="I235" s="119"/>
      <c r="J235" s="120"/>
      <c r="K235" s="120"/>
      <c r="L235" s="120" t="s">
        <v>77</v>
      </c>
      <c r="M235" s="120" t="s">
        <v>77</v>
      </c>
      <c r="N235" s="147" t="s">
        <v>75</v>
      </c>
      <c r="O235" s="55" t="s">
        <v>503</v>
      </c>
      <c r="P235" s="268" t="s">
        <v>504</v>
      </c>
      <c r="Q235" s="56" t="s">
        <v>231</v>
      </c>
      <c r="R235" s="1" t="str">
        <f t="shared" si="39"/>
        <v/>
      </c>
      <c r="S235" s="1" t="str">
        <f t="shared" si="39"/>
        <v/>
      </c>
      <c r="T235" s="1" t="str">
        <f t="shared" si="39"/>
        <v/>
      </c>
      <c r="U235" s="1" t="str">
        <f t="shared" si="38"/>
        <v/>
      </c>
      <c r="V235" s="113" t="s">
        <v>597</v>
      </c>
      <c r="W235" s="114" t="s">
        <v>598</v>
      </c>
      <c r="X235" s="115">
        <v>1</v>
      </c>
      <c r="Y235" s="116" t="s">
        <v>75</v>
      </c>
      <c r="Z235" s="117" t="s">
        <v>77</v>
      </c>
      <c r="AA235" s="116">
        <v>2108.33</v>
      </c>
      <c r="AB235" s="118">
        <f t="shared" si="51"/>
        <v>0.17599999999999999</v>
      </c>
      <c r="AC235" s="119">
        <f t="shared" si="49"/>
        <v>1737.2639199999999</v>
      </c>
      <c r="AD235" s="119"/>
      <c r="AE235" s="120"/>
      <c r="AF235" s="120"/>
      <c r="AG235" s="120" t="s">
        <v>77</v>
      </c>
      <c r="AH235" s="120" t="s">
        <v>77</v>
      </c>
      <c r="AI235" s="147" t="s">
        <v>75</v>
      </c>
      <c r="AJ235" s="55" t="s">
        <v>503</v>
      </c>
      <c r="AK235" s="230" t="s">
        <v>79</v>
      </c>
      <c r="AL235" s="230" t="s">
        <v>89</v>
      </c>
    </row>
    <row r="236" spans="1:46">
      <c r="A236" s="113" t="s">
        <v>599</v>
      </c>
      <c r="B236" s="114" t="s">
        <v>600</v>
      </c>
      <c r="C236" s="115">
        <v>1</v>
      </c>
      <c r="D236" s="116" t="s">
        <v>75</v>
      </c>
      <c r="E236" s="117" t="s">
        <v>77</v>
      </c>
      <c r="F236" s="116">
        <v>0</v>
      </c>
      <c r="G236" s="118"/>
      <c r="H236" s="119">
        <f t="shared" si="48"/>
        <v>0</v>
      </c>
      <c r="I236" s="119"/>
      <c r="J236" s="120"/>
      <c r="K236" s="120"/>
      <c r="L236" s="120" t="s">
        <v>77</v>
      </c>
      <c r="M236" s="120" t="s">
        <v>77</v>
      </c>
      <c r="N236" s="147" t="s">
        <v>75</v>
      </c>
      <c r="O236" s="55" t="s">
        <v>503</v>
      </c>
      <c r="P236" s="268" t="s">
        <v>504</v>
      </c>
      <c r="Q236" s="56" t="s">
        <v>231</v>
      </c>
      <c r="R236" s="1" t="str">
        <f t="shared" si="39"/>
        <v/>
      </c>
      <c r="S236" s="1" t="str">
        <f t="shared" si="39"/>
        <v/>
      </c>
      <c r="T236" s="1" t="str">
        <f t="shared" si="39"/>
        <v/>
      </c>
      <c r="U236" s="1" t="str">
        <f t="shared" si="38"/>
        <v/>
      </c>
      <c r="V236" s="113" t="s">
        <v>599</v>
      </c>
      <c r="W236" s="114" t="s">
        <v>601</v>
      </c>
      <c r="X236" s="115">
        <v>1</v>
      </c>
      <c r="Y236" s="116" t="s">
        <v>75</v>
      </c>
      <c r="Z236" s="117" t="s">
        <v>77</v>
      </c>
      <c r="AA236" s="116">
        <v>0</v>
      </c>
      <c r="AB236" s="118"/>
      <c r="AC236" s="119">
        <f t="shared" si="49"/>
        <v>0</v>
      </c>
      <c r="AD236" s="119"/>
      <c r="AE236" s="120"/>
      <c r="AF236" s="120"/>
      <c r="AG236" s="120" t="s">
        <v>77</v>
      </c>
      <c r="AH236" s="120" t="s">
        <v>77</v>
      </c>
      <c r="AI236" s="147" t="s">
        <v>75</v>
      </c>
      <c r="AJ236" s="55" t="s">
        <v>503</v>
      </c>
      <c r="AK236" s="230" t="s">
        <v>79</v>
      </c>
      <c r="AL236" s="230" t="s">
        <v>89</v>
      </c>
    </row>
    <row r="237" spans="1:46">
      <c r="A237" s="25" t="s">
        <v>602</v>
      </c>
      <c r="B237" s="114" t="s">
        <v>603</v>
      </c>
      <c r="C237" s="115">
        <v>1</v>
      </c>
      <c r="D237" s="116" t="s">
        <v>75</v>
      </c>
      <c r="E237" s="117" t="s">
        <v>77</v>
      </c>
      <c r="F237" s="116">
        <v>0</v>
      </c>
      <c r="G237" s="138"/>
      <c r="H237" s="119">
        <v>0</v>
      </c>
      <c r="I237" s="119"/>
      <c r="J237" s="120"/>
      <c r="K237" s="120"/>
      <c r="L237" s="120" t="s">
        <v>77</v>
      </c>
      <c r="M237" s="120" t="s">
        <v>77</v>
      </c>
      <c r="N237" s="147" t="s">
        <v>75</v>
      </c>
      <c r="O237" s="55" t="s">
        <v>503</v>
      </c>
      <c r="P237" s="268" t="s">
        <v>504</v>
      </c>
      <c r="Q237" s="56" t="s">
        <v>231</v>
      </c>
      <c r="R237" s="1" t="str">
        <f t="shared" si="39"/>
        <v/>
      </c>
      <c r="S237" s="1" t="str">
        <f t="shared" si="39"/>
        <v/>
      </c>
      <c r="T237" s="1" t="str">
        <f t="shared" si="39"/>
        <v/>
      </c>
      <c r="U237" s="1" t="str">
        <f t="shared" si="38"/>
        <v/>
      </c>
      <c r="V237" s="113" t="s">
        <v>604</v>
      </c>
      <c r="W237" s="114" t="s">
        <v>605</v>
      </c>
      <c r="X237" s="115">
        <v>1</v>
      </c>
      <c r="Y237" s="116" t="s">
        <v>75</v>
      </c>
      <c r="Z237" s="117" t="s">
        <v>77</v>
      </c>
      <c r="AA237" s="116">
        <v>0</v>
      </c>
      <c r="AB237" s="138"/>
      <c r="AC237" s="119">
        <v>0</v>
      </c>
      <c r="AD237" s="119"/>
      <c r="AE237" s="120"/>
      <c r="AF237" s="120"/>
      <c r="AG237" s="120" t="s">
        <v>77</v>
      </c>
      <c r="AH237" s="120" t="s">
        <v>77</v>
      </c>
      <c r="AI237" s="147" t="s">
        <v>75</v>
      </c>
      <c r="AJ237" s="55" t="s">
        <v>78</v>
      </c>
      <c r="AK237" s="230" t="s">
        <v>79</v>
      </c>
      <c r="AL237" s="230" t="s">
        <v>89</v>
      </c>
    </row>
    <row r="238" spans="1:46" customFormat="1">
      <c r="A238" s="443" t="s">
        <v>606</v>
      </c>
      <c r="B238" s="444" t="s">
        <v>607</v>
      </c>
      <c r="C238" s="148">
        <v>1</v>
      </c>
      <c r="D238" s="438" t="s">
        <v>75</v>
      </c>
      <c r="E238" s="445" t="s">
        <v>77</v>
      </c>
      <c r="F238" s="445"/>
      <c r="G238" s="446"/>
      <c r="H238" s="438">
        <v>0</v>
      </c>
      <c r="I238" s="436"/>
      <c r="J238" s="438"/>
      <c r="K238" s="438"/>
      <c r="L238" s="438" t="s">
        <v>77</v>
      </c>
      <c r="M238" s="438" t="s">
        <v>77</v>
      </c>
      <c r="N238" s="439"/>
      <c r="O238" s="440"/>
      <c r="P238" s="441"/>
      <c r="Q238" s="442"/>
      <c r="R238" s="1" t="str">
        <f t="shared" si="39"/>
        <v/>
      </c>
      <c r="S238" s="1" t="str">
        <f t="shared" si="39"/>
        <v/>
      </c>
      <c r="T238" s="1" t="str">
        <f t="shared" si="39"/>
        <v/>
      </c>
      <c r="U238" s="1" t="str">
        <f t="shared" si="38"/>
        <v/>
      </c>
      <c r="V238" s="443"/>
      <c r="W238" s="444"/>
      <c r="X238" s="148"/>
      <c r="Y238" s="438"/>
      <c r="Z238" s="445"/>
      <c r="AA238" s="445"/>
      <c r="AB238" s="446"/>
      <c r="AC238" s="438"/>
      <c r="AD238" s="436"/>
      <c r="AE238" s="438"/>
      <c r="AF238" s="438"/>
      <c r="AG238" s="438"/>
      <c r="AH238" s="438"/>
      <c r="AI238" s="439"/>
      <c r="AJ238" s="440"/>
      <c r="AK238" s="441"/>
      <c r="AL238" s="442"/>
      <c r="AM238" s="437"/>
      <c r="AN238" s="437"/>
      <c r="AO238" s="437"/>
      <c r="AP238" s="437"/>
      <c r="AQ238" s="437"/>
      <c r="AR238" s="437"/>
      <c r="AS238" s="437"/>
      <c r="AT238" s="437"/>
    </row>
    <row r="239" spans="1:46">
      <c r="A239" s="93" t="s">
        <v>608</v>
      </c>
      <c r="B239" s="94" t="s">
        <v>609</v>
      </c>
      <c r="C239" s="95">
        <v>1</v>
      </c>
      <c r="D239" s="96" t="s">
        <v>75</v>
      </c>
      <c r="E239" s="140" t="s">
        <v>608</v>
      </c>
      <c r="F239" s="96">
        <v>3207.08</v>
      </c>
      <c r="G239" s="141">
        <f>rv_mbp16_hg</f>
        <v>0.17599999999999999</v>
      </c>
      <c r="H239" s="98">
        <f t="shared" ref="H239:H247" si="52">F239-(F239*G239)</f>
        <v>2642.6339200000002</v>
      </c>
      <c r="I239" s="95" t="s">
        <v>502</v>
      </c>
      <c r="J239" s="122">
        <v>59</v>
      </c>
      <c r="K239" s="122">
        <f>H239+J239</f>
        <v>2701.6339200000002</v>
      </c>
      <c r="L239" s="120" t="s">
        <v>77</v>
      </c>
      <c r="M239" s="120">
        <v>0.42</v>
      </c>
      <c r="N239" s="147" t="s">
        <v>75</v>
      </c>
      <c r="O239" s="55" t="s">
        <v>503</v>
      </c>
      <c r="P239" s="268" t="s">
        <v>504</v>
      </c>
      <c r="Q239" s="56" t="s">
        <v>231</v>
      </c>
      <c r="R239" s="1">
        <f t="shared" si="39"/>
        <v>534.88906299998462</v>
      </c>
      <c r="S239" s="1">
        <f t="shared" si="39"/>
        <v>273.6753977046576</v>
      </c>
      <c r="T239" s="1">
        <f t="shared" si="39"/>
        <v>196.30598659203721</v>
      </c>
      <c r="U239" s="1">
        <f t="shared" si="38"/>
        <v>168.16964053022181</v>
      </c>
      <c r="V239" s="93" t="s">
        <v>608</v>
      </c>
      <c r="W239" s="94" t="s">
        <v>609</v>
      </c>
      <c r="X239" s="95">
        <v>1</v>
      </c>
      <c r="Y239" s="96" t="s">
        <v>75</v>
      </c>
      <c r="Z239" s="140" t="s">
        <v>608</v>
      </c>
      <c r="AA239" s="96">
        <v>3207.08</v>
      </c>
      <c r="AB239" s="141">
        <f>rv_mbp16_hg</f>
        <v>0.17599999999999999</v>
      </c>
      <c r="AC239" s="145">
        <f t="shared" ref="AC239:AC253" si="53">AA239-(AA239*AB239)</f>
        <v>2642.6339200000002</v>
      </c>
      <c r="AD239" s="95" t="s">
        <v>502</v>
      </c>
      <c r="AE239" s="122">
        <v>59</v>
      </c>
      <c r="AF239" s="122">
        <f>AC239+AE239</f>
        <v>2701.6339200000002</v>
      </c>
      <c r="AG239" s="120" t="s">
        <v>77</v>
      </c>
      <c r="AH239" s="120">
        <v>0.42</v>
      </c>
      <c r="AI239" s="147" t="s">
        <v>75</v>
      </c>
      <c r="AJ239" s="55" t="s">
        <v>503</v>
      </c>
      <c r="AK239" s="230" t="s">
        <v>79</v>
      </c>
      <c r="AL239" s="230" t="s">
        <v>231</v>
      </c>
    </row>
    <row r="240" spans="1:46">
      <c r="A240" s="113" t="s">
        <v>610</v>
      </c>
      <c r="B240" s="114" t="s">
        <v>611</v>
      </c>
      <c r="C240" s="115">
        <v>1</v>
      </c>
      <c r="D240" s="116" t="s">
        <v>75</v>
      </c>
      <c r="E240" s="117" t="s">
        <v>77</v>
      </c>
      <c r="F240" s="116">
        <v>383.33</v>
      </c>
      <c r="G240" s="118">
        <f t="shared" ref="G240:G253" si="54">rv_mbp16_hg_cto</f>
        <v>0.17599999999999999</v>
      </c>
      <c r="H240" s="119">
        <f t="shared" si="52"/>
        <v>315.86392000000001</v>
      </c>
      <c r="I240" s="119"/>
      <c r="J240" s="120"/>
      <c r="K240" s="120"/>
      <c r="L240" s="120" t="s">
        <v>77</v>
      </c>
      <c r="M240" s="120" t="s">
        <v>77</v>
      </c>
      <c r="N240" s="147" t="s">
        <v>75</v>
      </c>
      <c r="O240" s="55" t="s">
        <v>503</v>
      </c>
      <c r="P240" s="268" t="s">
        <v>504</v>
      </c>
      <c r="Q240" s="56" t="s">
        <v>231</v>
      </c>
      <c r="R240" s="1" t="str">
        <f t="shared" si="39"/>
        <v/>
      </c>
      <c r="S240" s="1" t="str">
        <f t="shared" si="39"/>
        <v/>
      </c>
      <c r="T240" s="1" t="str">
        <f t="shared" si="39"/>
        <v/>
      </c>
      <c r="U240" s="1" t="str">
        <f t="shared" si="38"/>
        <v/>
      </c>
      <c r="V240" s="113" t="s">
        <v>610</v>
      </c>
      <c r="W240" s="114" t="s">
        <v>611</v>
      </c>
      <c r="X240" s="115">
        <v>1</v>
      </c>
      <c r="Y240" s="116" t="s">
        <v>75</v>
      </c>
      <c r="Z240" s="117" t="s">
        <v>77</v>
      </c>
      <c r="AA240" s="116">
        <v>383.33</v>
      </c>
      <c r="AB240" s="118">
        <f t="shared" ref="AB240:AB253" si="55">rv_mbp16_hg_cto</f>
        <v>0.17599999999999999</v>
      </c>
      <c r="AC240" s="119">
        <f t="shared" si="53"/>
        <v>315.86392000000001</v>
      </c>
      <c r="AD240" s="119"/>
      <c r="AE240" s="120"/>
      <c r="AF240" s="120"/>
      <c r="AG240" s="120" t="s">
        <v>77</v>
      </c>
      <c r="AH240" s="120" t="s">
        <v>77</v>
      </c>
      <c r="AI240" s="147" t="s">
        <v>75</v>
      </c>
      <c r="AJ240" s="55" t="s">
        <v>503</v>
      </c>
      <c r="AK240" s="230" t="s">
        <v>79</v>
      </c>
      <c r="AL240" s="230" t="s">
        <v>89</v>
      </c>
    </row>
    <row r="241" spans="1:46">
      <c r="A241" s="113" t="s">
        <v>612</v>
      </c>
      <c r="B241" s="114" t="s">
        <v>613</v>
      </c>
      <c r="C241" s="115">
        <v>1</v>
      </c>
      <c r="D241" s="116" t="s">
        <v>75</v>
      </c>
      <c r="E241" s="117" t="s">
        <v>77</v>
      </c>
      <c r="F241" s="116">
        <v>383.33</v>
      </c>
      <c r="G241" s="118">
        <f t="shared" si="54"/>
        <v>0.17599999999999999</v>
      </c>
      <c r="H241" s="119">
        <f t="shared" si="52"/>
        <v>315.86392000000001</v>
      </c>
      <c r="I241" s="119"/>
      <c r="J241" s="120"/>
      <c r="K241" s="120"/>
      <c r="L241" s="120" t="s">
        <v>77</v>
      </c>
      <c r="M241" s="120" t="s">
        <v>77</v>
      </c>
      <c r="N241" s="147" t="s">
        <v>75</v>
      </c>
      <c r="O241" s="55" t="s">
        <v>503</v>
      </c>
      <c r="P241" s="268" t="s">
        <v>504</v>
      </c>
      <c r="Q241" s="56" t="s">
        <v>231</v>
      </c>
      <c r="R241" s="1" t="str">
        <f t="shared" si="39"/>
        <v/>
      </c>
      <c r="S241" s="1" t="str">
        <f t="shared" si="39"/>
        <v/>
      </c>
      <c r="T241" s="1" t="str">
        <f t="shared" si="39"/>
        <v/>
      </c>
      <c r="U241" s="1" t="str">
        <f t="shared" si="38"/>
        <v/>
      </c>
      <c r="V241" s="113" t="s">
        <v>612</v>
      </c>
      <c r="W241" s="114" t="s">
        <v>613</v>
      </c>
      <c r="X241" s="115">
        <v>1</v>
      </c>
      <c r="Y241" s="116" t="s">
        <v>75</v>
      </c>
      <c r="Z241" s="117" t="s">
        <v>77</v>
      </c>
      <c r="AA241" s="116">
        <v>383.33</v>
      </c>
      <c r="AB241" s="118">
        <f t="shared" si="55"/>
        <v>0.17599999999999999</v>
      </c>
      <c r="AC241" s="119">
        <f t="shared" si="53"/>
        <v>315.86392000000001</v>
      </c>
      <c r="AD241" s="119"/>
      <c r="AE241" s="120"/>
      <c r="AF241" s="120"/>
      <c r="AG241" s="120" t="s">
        <v>77</v>
      </c>
      <c r="AH241" s="120" t="s">
        <v>77</v>
      </c>
      <c r="AI241" s="147" t="s">
        <v>75</v>
      </c>
      <c r="AJ241" s="55" t="s">
        <v>503</v>
      </c>
      <c r="AK241" s="230" t="s">
        <v>79</v>
      </c>
      <c r="AL241" s="230" t="s">
        <v>89</v>
      </c>
    </row>
    <row r="242" spans="1:46">
      <c r="A242" s="113" t="s">
        <v>614</v>
      </c>
      <c r="B242" s="114" t="s">
        <v>615</v>
      </c>
      <c r="C242" s="115">
        <v>1</v>
      </c>
      <c r="D242" s="116" t="s">
        <v>75</v>
      </c>
      <c r="E242" s="117" t="s">
        <v>77</v>
      </c>
      <c r="F242" s="116">
        <v>958.33</v>
      </c>
      <c r="G242" s="118">
        <f t="shared" si="54"/>
        <v>0.17599999999999999</v>
      </c>
      <c r="H242" s="119">
        <f t="shared" si="52"/>
        <v>789.66392000000008</v>
      </c>
      <c r="I242" s="119"/>
      <c r="J242" s="120"/>
      <c r="K242" s="120"/>
      <c r="L242" s="120" t="s">
        <v>77</v>
      </c>
      <c r="M242" s="120" t="s">
        <v>77</v>
      </c>
      <c r="N242" s="147" t="s">
        <v>75</v>
      </c>
      <c r="O242" s="55" t="s">
        <v>503</v>
      </c>
      <c r="P242" s="268" t="s">
        <v>504</v>
      </c>
      <c r="Q242" s="56" t="s">
        <v>231</v>
      </c>
      <c r="R242" s="1" t="str">
        <f t="shared" si="39"/>
        <v/>
      </c>
      <c r="S242" s="1" t="str">
        <f t="shared" si="39"/>
        <v/>
      </c>
      <c r="T242" s="1" t="str">
        <f t="shared" si="39"/>
        <v/>
      </c>
      <c r="U242" s="1" t="str">
        <f t="shared" si="38"/>
        <v/>
      </c>
      <c r="V242" s="113" t="s">
        <v>614</v>
      </c>
      <c r="W242" s="114" t="s">
        <v>615</v>
      </c>
      <c r="X242" s="115">
        <v>1</v>
      </c>
      <c r="Y242" s="116" t="s">
        <v>75</v>
      </c>
      <c r="Z242" s="117" t="s">
        <v>77</v>
      </c>
      <c r="AA242" s="116">
        <v>958.33</v>
      </c>
      <c r="AB242" s="118">
        <f t="shared" si="55"/>
        <v>0.17599999999999999</v>
      </c>
      <c r="AC242" s="119">
        <f t="shared" si="53"/>
        <v>789.66392000000008</v>
      </c>
      <c r="AD242" s="119"/>
      <c r="AE242" s="120"/>
      <c r="AF242" s="120"/>
      <c r="AG242" s="120" t="s">
        <v>77</v>
      </c>
      <c r="AH242" s="120" t="s">
        <v>77</v>
      </c>
      <c r="AI242" s="147" t="s">
        <v>75</v>
      </c>
      <c r="AJ242" s="55" t="s">
        <v>503</v>
      </c>
      <c r="AK242" s="230" t="s">
        <v>79</v>
      </c>
      <c r="AL242" s="230" t="s">
        <v>89</v>
      </c>
    </row>
    <row r="243" spans="1:46">
      <c r="A243" s="113" t="s">
        <v>616</v>
      </c>
      <c r="B243" s="114" t="s">
        <v>617</v>
      </c>
      <c r="C243" s="115">
        <v>1</v>
      </c>
      <c r="D243" s="116" t="s">
        <v>75</v>
      </c>
      <c r="E243" s="117" t="s">
        <v>77</v>
      </c>
      <c r="F243" s="116">
        <v>2108.33</v>
      </c>
      <c r="G243" s="118">
        <f t="shared" si="54"/>
        <v>0.17599999999999999</v>
      </c>
      <c r="H243" s="119">
        <f t="shared" si="52"/>
        <v>1737.2639199999999</v>
      </c>
      <c r="I243" s="119"/>
      <c r="J243" s="120"/>
      <c r="K243" s="120"/>
      <c r="L243" s="120" t="s">
        <v>77</v>
      </c>
      <c r="M243" s="120" t="s">
        <v>77</v>
      </c>
      <c r="N243" s="147" t="s">
        <v>75</v>
      </c>
      <c r="O243" s="55" t="s">
        <v>503</v>
      </c>
      <c r="P243" s="268" t="s">
        <v>504</v>
      </c>
      <c r="Q243" s="56" t="s">
        <v>231</v>
      </c>
      <c r="R243" s="1" t="str">
        <f t="shared" si="39"/>
        <v/>
      </c>
      <c r="S243" s="1" t="str">
        <f t="shared" si="39"/>
        <v/>
      </c>
      <c r="T243" s="1" t="str">
        <f t="shared" si="39"/>
        <v/>
      </c>
      <c r="U243" s="1" t="str">
        <f t="shared" si="38"/>
        <v/>
      </c>
      <c r="V243" s="113" t="s">
        <v>616</v>
      </c>
      <c r="W243" s="114" t="s">
        <v>617</v>
      </c>
      <c r="X243" s="115">
        <v>1</v>
      </c>
      <c r="Y243" s="116" t="s">
        <v>75</v>
      </c>
      <c r="Z243" s="117" t="s">
        <v>77</v>
      </c>
      <c r="AA243" s="116">
        <v>2108.33</v>
      </c>
      <c r="AB243" s="118">
        <f t="shared" si="55"/>
        <v>0.17599999999999999</v>
      </c>
      <c r="AC243" s="119">
        <f t="shared" si="53"/>
        <v>1737.2639199999999</v>
      </c>
      <c r="AD243" s="119"/>
      <c r="AE243" s="120"/>
      <c r="AF243" s="120"/>
      <c r="AG243" s="120" t="s">
        <v>77</v>
      </c>
      <c r="AH243" s="120" t="s">
        <v>77</v>
      </c>
      <c r="AI243" s="147" t="s">
        <v>75</v>
      </c>
      <c r="AJ243" s="55" t="s">
        <v>503</v>
      </c>
      <c r="AK243" s="230" t="s">
        <v>79</v>
      </c>
      <c r="AL243" s="230" t="s">
        <v>89</v>
      </c>
    </row>
    <row r="244" spans="1:46">
      <c r="A244" s="113" t="s">
        <v>618</v>
      </c>
      <c r="B244" s="114" t="s">
        <v>619</v>
      </c>
      <c r="C244" s="115">
        <v>1</v>
      </c>
      <c r="D244" s="116" t="s">
        <v>75</v>
      </c>
      <c r="E244" s="117" t="s">
        <v>77</v>
      </c>
      <c r="F244" s="116">
        <v>0</v>
      </c>
      <c r="G244" s="118">
        <f t="shared" si="54"/>
        <v>0.17599999999999999</v>
      </c>
      <c r="H244" s="119">
        <f t="shared" si="52"/>
        <v>0</v>
      </c>
      <c r="I244" s="119"/>
      <c r="J244" s="120"/>
      <c r="K244" s="120"/>
      <c r="L244" s="120" t="s">
        <v>77</v>
      </c>
      <c r="M244" s="120" t="s">
        <v>77</v>
      </c>
      <c r="N244" s="147" t="s">
        <v>75</v>
      </c>
      <c r="O244" s="55" t="s">
        <v>503</v>
      </c>
      <c r="P244" s="268" t="s">
        <v>504</v>
      </c>
      <c r="Q244" s="56" t="s">
        <v>231</v>
      </c>
      <c r="R244" s="1" t="str">
        <f t="shared" si="39"/>
        <v/>
      </c>
      <c r="S244" s="1" t="str">
        <f t="shared" si="39"/>
        <v/>
      </c>
      <c r="T244" s="1" t="str">
        <f t="shared" si="39"/>
        <v/>
      </c>
      <c r="U244" s="1" t="str">
        <f t="shared" si="38"/>
        <v/>
      </c>
      <c r="V244" s="113" t="s">
        <v>618</v>
      </c>
      <c r="W244" s="114" t="s">
        <v>620</v>
      </c>
      <c r="X244" s="115">
        <v>1</v>
      </c>
      <c r="Y244" s="116" t="s">
        <v>75</v>
      </c>
      <c r="Z244" s="117" t="s">
        <v>77</v>
      </c>
      <c r="AA244" s="116">
        <v>0</v>
      </c>
      <c r="AB244" s="118">
        <f t="shared" si="55"/>
        <v>0.17599999999999999</v>
      </c>
      <c r="AC244" s="119">
        <f t="shared" si="53"/>
        <v>0</v>
      </c>
      <c r="AD244" s="119"/>
      <c r="AE244" s="120"/>
      <c r="AF244" s="120"/>
      <c r="AG244" s="120" t="s">
        <v>77</v>
      </c>
      <c r="AH244" s="120" t="s">
        <v>77</v>
      </c>
      <c r="AI244" s="147" t="s">
        <v>75</v>
      </c>
      <c r="AJ244" s="55" t="s">
        <v>503</v>
      </c>
      <c r="AK244" s="230" t="s">
        <v>79</v>
      </c>
      <c r="AL244" s="230" t="s">
        <v>89</v>
      </c>
    </row>
    <row r="245" spans="1:46">
      <c r="A245" s="25" t="s">
        <v>621</v>
      </c>
      <c r="B245" s="114" t="s">
        <v>622</v>
      </c>
      <c r="C245" s="115">
        <v>1</v>
      </c>
      <c r="D245" s="116" t="s">
        <v>75</v>
      </c>
      <c r="E245" s="117" t="s">
        <v>77</v>
      </c>
      <c r="F245" s="116">
        <v>0</v>
      </c>
      <c r="G245" s="118">
        <f t="shared" si="54"/>
        <v>0.17599999999999999</v>
      </c>
      <c r="H245" s="119">
        <f t="shared" si="52"/>
        <v>0</v>
      </c>
      <c r="I245" s="119"/>
      <c r="J245" s="120"/>
      <c r="K245" s="120"/>
      <c r="L245" s="120" t="s">
        <v>77</v>
      </c>
      <c r="M245" s="120" t="s">
        <v>77</v>
      </c>
      <c r="N245" s="147" t="s">
        <v>75</v>
      </c>
      <c r="O245" s="55" t="s">
        <v>503</v>
      </c>
      <c r="P245" s="268" t="s">
        <v>504</v>
      </c>
      <c r="Q245" s="56" t="s">
        <v>231</v>
      </c>
      <c r="R245" s="1" t="str">
        <f t="shared" si="39"/>
        <v/>
      </c>
      <c r="S245" s="1" t="str">
        <f t="shared" si="39"/>
        <v/>
      </c>
      <c r="T245" s="1" t="str">
        <f t="shared" si="39"/>
        <v/>
      </c>
      <c r="U245" s="1" t="str">
        <f t="shared" si="38"/>
        <v/>
      </c>
      <c r="V245" s="113" t="s">
        <v>623</v>
      </c>
      <c r="W245" s="114" t="s">
        <v>624</v>
      </c>
      <c r="X245" s="115">
        <v>1</v>
      </c>
      <c r="Y245" s="116" t="s">
        <v>75</v>
      </c>
      <c r="Z245" s="117" t="s">
        <v>77</v>
      </c>
      <c r="AA245" s="116">
        <v>0</v>
      </c>
      <c r="AB245" s="118">
        <f t="shared" si="55"/>
        <v>0.17599999999999999</v>
      </c>
      <c r="AC245" s="119">
        <f t="shared" si="53"/>
        <v>0</v>
      </c>
      <c r="AD245" s="119"/>
      <c r="AE245" s="120"/>
      <c r="AF245" s="120"/>
      <c r="AG245" s="120" t="s">
        <v>77</v>
      </c>
      <c r="AH245" s="120" t="s">
        <v>77</v>
      </c>
      <c r="AI245" s="147" t="s">
        <v>75</v>
      </c>
      <c r="AJ245" s="55" t="s">
        <v>503</v>
      </c>
      <c r="AK245" s="230" t="s">
        <v>79</v>
      </c>
      <c r="AL245" s="230" t="s">
        <v>89</v>
      </c>
    </row>
    <row r="246" spans="1:46" customFormat="1">
      <c r="A246" s="443" t="s">
        <v>625</v>
      </c>
      <c r="B246" s="444" t="s">
        <v>626</v>
      </c>
      <c r="C246" s="148">
        <v>1</v>
      </c>
      <c r="D246" s="438" t="s">
        <v>75</v>
      </c>
      <c r="E246" s="445" t="s">
        <v>77</v>
      </c>
      <c r="F246" s="445"/>
      <c r="G246" s="446"/>
      <c r="H246" s="438">
        <v>0</v>
      </c>
      <c r="I246" s="436"/>
      <c r="J246" s="438"/>
      <c r="K246" s="438"/>
      <c r="L246" s="438" t="s">
        <v>77</v>
      </c>
      <c r="M246" s="438" t="s">
        <v>77</v>
      </c>
      <c r="N246" s="439"/>
      <c r="O246" s="440"/>
      <c r="P246" s="441"/>
      <c r="Q246" s="442"/>
      <c r="R246" s="1" t="str">
        <f t="shared" si="39"/>
        <v/>
      </c>
      <c r="S246" s="1" t="str">
        <f t="shared" si="39"/>
        <v/>
      </c>
      <c r="T246" s="1" t="str">
        <f t="shared" si="39"/>
        <v/>
      </c>
      <c r="U246" s="1" t="str">
        <f t="shared" si="38"/>
        <v/>
      </c>
      <c r="V246" s="443"/>
      <c r="W246" s="444"/>
      <c r="X246" s="148"/>
      <c r="Y246" s="438"/>
      <c r="Z246" s="445"/>
      <c r="AA246" s="445"/>
      <c r="AB246" s="446"/>
      <c r="AC246" s="438"/>
      <c r="AD246" s="436"/>
      <c r="AE246" s="438"/>
      <c r="AF246" s="438"/>
      <c r="AG246" s="438"/>
      <c r="AH246" s="438"/>
      <c r="AI246" s="439"/>
      <c r="AJ246" s="440"/>
      <c r="AK246" s="441"/>
      <c r="AL246" s="442"/>
      <c r="AM246" s="437"/>
      <c r="AN246" s="437"/>
      <c r="AO246" s="437"/>
      <c r="AP246" s="437"/>
      <c r="AQ246" s="437"/>
      <c r="AR246" s="437"/>
      <c r="AS246" s="437"/>
      <c r="AT246" s="437"/>
    </row>
    <row r="247" spans="1:46">
      <c r="A247" s="93" t="s">
        <v>627</v>
      </c>
      <c r="B247" s="94" t="s">
        <v>628</v>
      </c>
      <c r="C247" s="95">
        <v>1</v>
      </c>
      <c r="D247" s="96" t="s">
        <v>75</v>
      </c>
      <c r="E247" s="140" t="s">
        <v>627</v>
      </c>
      <c r="F247" s="96">
        <v>3207.08</v>
      </c>
      <c r="G247" s="141">
        <f>rv_mbp16_hg</f>
        <v>0.17599999999999999</v>
      </c>
      <c r="H247" s="98">
        <f t="shared" si="52"/>
        <v>2642.6339200000002</v>
      </c>
      <c r="I247" s="95" t="s">
        <v>502</v>
      </c>
      <c r="J247" s="122">
        <v>59</v>
      </c>
      <c r="K247" s="122">
        <f>H247+J247</f>
        <v>2701.6339200000002</v>
      </c>
      <c r="L247" s="120" t="s">
        <v>77</v>
      </c>
      <c r="M247" s="120">
        <v>0.42</v>
      </c>
      <c r="N247" s="147" t="s">
        <v>75</v>
      </c>
      <c r="O247" s="55" t="s">
        <v>503</v>
      </c>
      <c r="P247" s="268" t="s">
        <v>504</v>
      </c>
      <c r="Q247" s="56" t="s">
        <v>231</v>
      </c>
      <c r="R247" s="1">
        <f t="shared" si="39"/>
        <v>534.88906299998462</v>
      </c>
      <c r="S247" s="1">
        <f t="shared" si="39"/>
        <v>273.6753977046576</v>
      </c>
      <c r="T247" s="1">
        <f t="shared" si="39"/>
        <v>196.30598659203721</v>
      </c>
      <c r="U247" s="1">
        <f t="shared" si="38"/>
        <v>168.16964053022181</v>
      </c>
      <c r="V247" s="93" t="s">
        <v>627</v>
      </c>
      <c r="W247" s="94" t="s">
        <v>628</v>
      </c>
      <c r="X247" s="95">
        <v>1</v>
      </c>
      <c r="Y247" s="96" t="s">
        <v>75</v>
      </c>
      <c r="Z247" s="140" t="s">
        <v>627</v>
      </c>
      <c r="AA247" s="96">
        <v>3207.08</v>
      </c>
      <c r="AB247" s="141">
        <f>rv_mbp16_hg</f>
        <v>0.17599999999999999</v>
      </c>
      <c r="AC247" s="145">
        <f t="shared" si="53"/>
        <v>2642.6339200000002</v>
      </c>
      <c r="AD247" s="95" t="s">
        <v>502</v>
      </c>
      <c r="AE247" s="122">
        <v>59</v>
      </c>
      <c r="AF247" s="122">
        <f>AC247+AE247</f>
        <v>2701.6339200000002</v>
      </c>
      <c r="AG247" s="120" t="s">
        <v>77</v>
      </c>
      <c r="AH247" s="120">
        <v>0.42</v>
      </c>
      <c r="AI247" s="147" t="s">
        <v>75</v>
      </c>
      <c r="AJ247" s="55" t="s">
        <v>503</v>
      </c>
      <c r="AK247" s="230" t="s">
        <v>79</v>
      </c>
      <c r="AL247" s="230" t="s">
        <v>231</v>
      </c>
    </row>
    <row r="248" spans="1:46">
      <c r="A248" s="113" t="s">
        <v>629</v>
      </c>
      <c r="B248" s="114" t="s">
        <v>630</v>
      </c>
      <c r="C248" s="115">
        <v>1</v>
      </c>
      <c r="D248" s="116" t="s">
        <v>75</v>
      </c>
      <c r="E248" s="117" t="s">
        <v>77</v>
      </c>
      <c r="F248" s="116">
        <v>383.33</v>
      </c>
      <c r="G248" s="118">
        <f t="shared" si="54"/>
        <v>0.17599999999999999</v>
      </c>
      <c r="H248" s="119">
        <f t="shared" ref="H248:H253" si="56">F248-(F248*G248)</f>
        <v>315.86392000000001</v>
      </c>
      <c r="I248" s="119"/>
      <c r="J248" s="120"/>
      <c r="K248" s="120"/>
      <c r="L248" s="120" t="s">
        <v>77</v>
      </c>
      <c r="M248" s="120" t="s">
        <v>77</v>
      </c>
      <c r="N248" s="147" t="s">
        <v>75</v>
      </c>
      <c r="O248" s="55" t="s">
        <v>503</v>
      </c>
      <c r="P248" s="268" t="s">
        <v>504</v>
      </c>
      <c r="Q248" s="56" t="s">
        <v>231</v>
      </c>
      <c r="R248" s="1" t="str">
        <f t="shared" si="39"/>
        <v/>
      </c>
      <c r="S248" s="1" t="str">
        <f t="shared" si="39"/>
        <v/>
      </c>
      <c r="T248" s="1" t="str">
        <f t="shared" si="39"/>
        <v/>
      </c>
      <c r="U248" s="1" t="str">
        <f t="shared" si="38"/>
        <v/>
      </c>
      <c r="V248" s="113" t="s">
        <v>629</v>
      </c>
      <c r="W248" s="114" t="s">
        <v>630</v>
      </c>
      <c r="X248" s="115">
        <v>1</v>
      </c>
      <c r="Y248" s="116" t="s">
        <v>75</v>
      </c>
      <c r="Z248" s="117" t="s">
        <v>77</v>
      </c>
      <c r="AA248" s="116">
        <v>383.33</v>
      </c>
      <c r="AB248" s="118">
        <f t="shared" si="55"/>
        <v>0.17599999999999999</v>
      </c>
      <c r="AC248" s="119">
        <f t="shared" si="53"/>
        <v>315.86392000000001</v>
      </c>
      <c r="AD248" s="119"/>
      <c r="AE248" s="120"/>
      <c r="AF248" s="120"/>
      <c r="AG248" s="120" t="s">
        <v>77</v>
      </c>
      <c r="AH248" s="120" t="s">
        <v>77</v>
      </c>
      <c r="AI248" s="147" t="s">
        <v>75</v>
      </c>
      <c r="AJ248" s="55" t="s">
        <v>503</v>
      </c>
      <c r="AK248" s="230" t="s">
        <v>79</v>
      </c>
      <c r="AL248" s="230" t="s">
        <v>89</v>
      </c>
    </row>
    <row r="249" spans="1:46">
      <c r="A249" s="113" t="s">
        <v>631</v>
      </c>
      <c r="B249" s="114" t="s">
        <v>632</v>
      </c>
      <c r="C249" s="115">
        <v>1</v>
      </c>
      <c r="D249" s="116" t="s">
        <v>75</v>
      </c>
      <c r="E249" s="117" t="s">
        <v>77</v>
      </c>
      <c r="F249" s="116">
        <v>383.33</v>
      </c>
      <c r="G249" s="118">
        <f t="shared" si="54"/>
        <v>0.17599999999999999</v>
      </c>
      <c r="H249" s="119">
        <f t="shared" si="56"/>
        <v>315.86392000000001</v>
      </c>
      <c r="I249" s="119"/>
      <c r="J249" s="120"/>
      <c r="K249" s="120"/>
      <c r="L249" s="120" t="s">
        <v>77</v>
      </c>
      <c r="M249" s="120" t="s">
        <v>77</v>
      </c>
      <c r="N249" s="147" t="s">
        <v>75</v>
      </c>
      <c r="O249" s="55" t="s">
        <v>503</v>
      </c>
      <c r="P249" s="268" t="s">
        <v>504</v>
      </c>
      <c r="Q249" s="56" t="s">
        <v>231</v>
      </c>
      <c r="R249" s="1" t="str">
        <f t="shared" si="39"/>
        <v/>
      </c>
      <c r="S249" s="1" t="str">
        <f t="shared" si="39"/>
        <v/>
      </c>
      <c r="T249" s="1" t="str">
        <f t="shared" si="39"/>
        <v/>
      </c>
      <c r="U249" s="1" t="str">
        <f t="shared" si="38"/>
        <v/>
      </c>
      <c r="V249" s="113" t="s">
        <v>631</v>
      </c>
      <c r="W249" s="114" t="s">
        <v>632</v>
      </c>
      <c r="X249" s="115">
        <v>1</v>
      </c>
      <c r="Y249" s="116" t="s">
        <v>75</v>
      </c>
      <c r="Z249" s="117" t="s">
        <v>77</v>
      </c>
      <c r="AA249" s="116">
        <v>383.33</v>
      </c>
      <c r="AB249" s="118">
        <f t="shared" si="55"/>
        <v>0.17599999999999999</v>
      </c>
      <c r="AC249" s="119">
        <f t="shared" si="53"/>
        <v>315.86392000000001</v>
      </c>
      <c r="AD249" s="119"/>
      <c r="AE249" s="120"/>
      <c r="AF249" s="120"/>
      <c r="AG249" s="120" t="s">
        <v>77</v>
      </c>
      <c r="AH249" s="120" t="s">
        <v>77</v>
      </c>
      <c r="AI249" s="147" t="s">
        <v>75</v>
      </c>
      <c r="AJ249" s="55" t="s">
        <v>503</v>
      </c>
      <c r="AK249" s="230" t="s">
        <v>79</v>
      </c>
      <c r="AL249" s="230" t="s">
        <v>89</v>
      </c>
    </row>
    <row r="250" spans="1:46">
      <c r="A250" s="113" t="s">
        <v>633</v>
      </c>
      <c r="B250" s="114" t="s">
        <v>634</v>
      </c>
      <c r="C250" s="115">
        <v>1</v>
      </c>
      <c r="D250" s="116" t="s">
        <v>75</v>
      </c>
      <c r="E250" s="117" t="s">
        <v>77</v>
      </c>
      <c r="F250" s="116">
        <v>958.33</v>
      </c>
      <c r="G250" s="118">
        <f t="shared" si="54"/>
        <v>0.17599999999999999</v>
      </c>
      <c r="H250" s="119">
        <f t="shared" si="56"/>
        <v>789.66392000000008</v>
      </c>
      <c r="I250" s="119"/>
      <c r="J250" s="120"/>
      <c r="K250" s="120"/>
      <c r="L250" s="120" t="s">
        <v>77</v>
      </c>
      <c r="M250" s="120" t="s">
        <v>77</v>
      </c>
      <c r="N250" s="147" t="s">
        <v>75</v>
      </c>
      <c r="O250" s="55" t="s">
        <v>503</v>
      </c>
      <c r="P250" s="268" t="s">
        <v>504</v>
      </c>
      <c r="Q250" s="56" t="s">
        <v>231</v>
      </c>
      <c r="R250" s="1" t="str">
        <f t="shared" si="39"/>
        <v/>
      </c>
      <c r="S250" s="1" t="str">
        <f t="shared" si="39"/>
        <v/>
      </c>
      <c r="T250" s="1" t="str">
        <f t="shared" si="39"/>
        <v/>
      </c>
      <c r="U250" s="1" t="str">
        <f t="shared" si="38"/>
        <v/>
      </c>
      <c r="V250" s="113" t="s">
        <v>633</v>
      </c>
      <c r="W250" s="114" t="s">
        <v>634</v>
      </c>
      <c r="X250" s="115">
        <v>1</v>
      </c>
      <c r="Y250" s="116" t="s">
        <v>75</v>
      </c>
      <c r="Z250" s="117" t="s">
        <v>77</v>
      </c>
      <c r="AA250" s="116">
        <v>958.33</v>
      </c>
      <c r="AB250" s="118">
        <f t="shared" si="55"/>
        <v>0.17599999999999999</v>
      </c>
      <c r="AC250" s="119">
        <f t="shared" si="53"/>
        <v>789.66392000000008</v>
      </c>
      <c r="AD250" s="119"/>
      <c r="AE250" s="120"/>
      <c r="AF250" s="120"/>
      <c r="AG250" s="120" t="s">
        <v>77</v>
      </c>
      <c r="AH250" s="120" t="s">
        <v>77</v>
      </c>
      <c r="AI250" s="147" t="s">
        <v>75</v>
      </c>
      <c r="AJ250" s="55" t="s">
        <v>503</v>
      </c>
      <c r="AK250" s="230" t="s">
        <v>79</v>
      </c>
      <c r="AL250" s="230" t="s">
        <v>89</v>
      </c>
    </row>
    <row r="251" spans="1:46">
      <c r="A251" s="113" t="s">
        <v>635</v>
      </c>
      <c r="B251" s="114" t="s">
        <v>636</v>
      </c>
      <c r="C251" s="115">
        <v>1</v>
      </c>
      <c r="D251" s="116" t="s">
        <v>75</v>
      </c>
      <c r="E251" s="117" t="s">
        <v>77</v>
      </c>
      <c r="F251" s="116">
        <v>2108.33</v>
      </c>
      <c r="G251" s="118">
        <f t="shared" si="54"/>
        <v>0.17599999999999999</v>
      </c>
      <c r="H251" s="119">
        <f t="shared" si="56"/>
        <v>1737.2639199999999</v>
      </c>
      <c r="I251" s="119"/>
      <c r="J251" s="120"/>
      <c r="K251" s="120"/>
      <c r="L251" s="120" t="s">
        <v>77</v>
      </c>
      <c r="M251" s="120" t="s">
        <v>77</v>
      </c>
      <c r="N251" s="147" t="s">
        <v>75</v>
      </c>
      <c r="O251" s="55" t="s">
        <v>503</v>
      </c>
      <c r="P251" s="268" t="s">
        <v>504</v>
      </c>
      <c r="Q251" s="56" t="s">
        <v>231</v>
      </c>
      <c r="R251" s="1" t="str">
        <f t="shared" si="39"/>
        <v/>
      </c>
      <c r="S251" s="1" t="str">
        <f t="shared" si="39"/>
        <v/>
      </c>
      <c r="T251" s="1" t="str">
        <f t="shared" si="39"/>
        <v/>
      </c>
      <c r="U251" s="1" t="str">
        <f t="shared" si="38"/>
        <v/>
      </c>
      <c r="V251" s="113" t="s">
        <v>635</v>
      </c>
      <c r="W251" s="114" t="s">
        <v>636</v>
      </c>
      <c r="X251" s="115">
        <v>1</v>
      </c>
      <c r="Y251" s="116" t="s">
        <v>75</v>
      </c>
      <c r="Z251" s="117" t="s">
        <v>77</v>
      </c>
      <c r="AA251" s="116">
        <v>2108.33</v>
      </c>
      <c r="AB251" s="118">
        <f t="shared" si="55"/>
        <v>0.17599999999999999</v>
      </c>
      <c r="AC251" s="119">
        <f t="shared" si="53"/>
        <v>1737.2639199999999</v>
      </c>
      <c r="AD251" s="119"/>
      <c r="AE251" s="120"/>
      <c r="AF251" s="120"/>
      <c r="AG251" s="120" t="s">
        <v>77</v>
      </c>
      <c r="AH251" s="120" t="s">
        <v>77</v>
      </c>
      <c r="AI251" s="147" t="s">
        <v>75</v>
      </c>
      <c r="AJ251" s="55" t="s">
        <v>503</v>
      </c>
      <c r="AK251" s="230" t="s">
        <v>79</v>
      </c>
      <c r="AL251" s="230" t="s">
        <v>89</v>
      </c>
    </row>
    <row r="252" spans="1:46">
      <c r="A252" s="113" t="s">
        <v>637</v>
      </c>
      <c r="B252" s="114" t="s">
        <v>638</v>
      </c>
      <c r="C252" s="115">
        <v>1</v>
      </c>
      <c r="D252" s="116" t="s">
        <v>75</v>
      </c>
      <c r="E252" s="117" t="s">
        <v>77</v>
      </c>
      <c r="F252" s="116">
        <v>0</v>
      </c>
      <c r="G252" s="118">
        <f t="shared" si="54"/>
        <v>0.17599999999999999</v>
      </c>
      <c r="H252" s="119">
        <f t="shared" si="56"/>
        <v>0</v>
      </c>
      <c r="I252" s="119"/>
      <c r="J252" s="120"/>
      <c r="K252" s="120"/>
      <c r="L252" s="120" t="s">
        <v>77</v>
      </c>
      <c r="M252" s="120" t="s">
        <v>77</v>
      </c>
      <c r="N252" s="147" t="s">
        <v>75</v>
      </c>
      <c r="O252" s="55" t="s">
        <v>503</v>
      </c>
      <c r="P252" s="268" t="s">
        <v>504</v>
      </c>
      <c r="Q252" s="56" t="s">
        <v>231</v>
      </c>
      <c r="R252" s="1" t="str">
        <f t="shared" si="39"/>
        <v/>
      </c>
      <c r="S252" s="1" t="str">
        <f t="shared" si="39"/>
        <v/>
      </c>
      <c r="T252" s="1" t="str">
        <f t="shared" si="39"/>
        <v/>
      </c>
      <c r="U252" s="1" t="str">
        <f t="shared" si="38"/>
        <v/>
      </c>
      <c r="V252" s="113" t="s">
        <v>637</v>
      </c>
      <c r="W252" s="114" t="s">
        <v>639</v>
      </c>
      <c r="X252" s="115">
        <v>1</v>
      </c>
      <c r="Y252" s="116" t="s">
        <v>75</v>
      </c>
      <c r="Z252" s="117" t="s">
        <v>77</v>
      </c>
      <c r="AA252" s="116">
        <v>0</v>
      </c>
      <c r="AB252" s="118">
        <f t="shared" si="55"/>
        <v>0.17599999999999999</v>
      </c>
      <c r="AC252" s="119">
        <f t="shared" si="53"/>
        <v>0</v>
      </c>
      <c r="AD252" s="119"/>
      <c r="AE252" s="120"/>
      <c r="AF252" s="120"/>
      <c r="AG252" s="120" t="s">
        <v>77</v>
      </c>
      <c r="AH252" s="120" t="s">
        <v>77</v>
      </c>
      <c r="AI252" s="147" t="s">
        <v>75</v>
      </c>
      <c r="AJ252" s="55" t="s">
        <v>503</v>
      </c>
      <c r="AK252" s="230" t="s">
        <v>79</v>
      </c>
      <c r="AL252" s="230" t="s">
        <v>89</v>
      </c>
    </row>
    <row r="253" spans="1:46">
      <c r="A253" s="25" t="s">
        <v>640</v>
      </c>
      <c r="B253" s="114" t="s">
        <v>641</v>
      </c>
      <c r="C253" s="115">
        <v>1</v>
      </c>
      <c r="D253" s="116" t="s">
        <v>75</v>
      </c>
      <c r="E253" s="117" t="s">
        <v>77</v>
      </c>
      <c r="F253" s="116">
        <v>0</v>
      </c>
      <c r="G253" s="118">
        <f t="shared" si="54"/>
        <v>0.17599999999999999</v>
      </c>
      <c r="H253" s="119">
        <f t="shared" si="56"/>
        <v>0</v>
      </c>
      <c r="I253" s="119"/>
      <c r="J253" s="120"/>
      <c r="K253" s="120"/>
      <c r="L253" s="120" t="s">
        <v>77</v>
      </c>
      <c r="M253" s="120" t="s">
        <v>77</v>
      </c>
      <c r="N253" s="147" t="s">
        <v>75</v>
      </c>
      <c r="O253" s="55" t="s">
        <v>503</v>
      </c>
      <c r="P253" s="268" t="s">
        <v>504</v>
      </c>
      <c r="Q253" s="56" t="s">
        <v>231</v>
      </c>
      <c r="R253" s="1" t="str">
        <f t="shared" si="39"/>
        <v/>
      </c>
      <c r="S253" s="1" t="str">
        <f t="shared" si="39"/>
        <v/>
      </c>
      <c r="T253" s="1" t="str">
        <f t="shared" si="39"/>
        <v/>
      </c>
      <c r="U253" s="1" t="str">
        <f t="shared" si="38"/>
        <v/>
      </c>
      <c r="V253" s="113" t="s">
        <v>642</v>
      </c>
      <c r="W253" s="114" t="s">
        <v>643</v>
      </c>
      <c r="X253" s="115">
        <v>1</v>
      </c>
      <c r="Y253" s="116" t="s">
        <v>75</v>
      </c>
      <c r="Z253" s="117" t="s">
        <v>77</v>
      </c>
      <c r="AA253" s="116">
        <v>0</v>
      </c>
      <c r="AB253" s="118">
        <f t="shared" si="55"/>
        <v>0.17599999999999999</v>
      </c>
      <c r="AC253" s="119">
        <f t="shared" si="53"/>
        <v>0</v>
      </c>
      <c r="AD253" s="119"/>
      <c r="AE253" s="120"/>
      <c r="AF253" s="120"/>
      <c r="AG253" s="120" t="s">
        <v>77</v>
      </c>
      <c r="AH253" s="120" t="s">
        <v>77</v>
      </c>
      <c r="AI253" s="147" t="s">
        <v>75</v>
      </c>
      <c r="AJ253" s="55" t="s">
        <v>503</v>
      </c>
      <c r="AK253" s="230" t="s">
        <v>79</v>
      </c>
      <c r="AL253" s="230" t="s">
        <v>89</v>
      </c>
    </row>
    <row r="254" spans="1:46" customFormat="1">
      <c r="A254" s="443" t="s">
        <v>644</v>
      </c>
      <c r="B254" s="444" t="s">
        <v>645</v>
      </c>
      <c r="C254" s="148">
        <v>1</v>
      </c>
      <c r="D254" s="438" t="s">
        <v>75</v>
      </c>
      <c r="E254" s="445" t="s">
        <v>77</v>
      </c>
      <c r="F254" s="445"/>
      <c r="G254" s="446"/>
      <c r="H254" s="438">
        <v>0</v>
      </c>
      <c r="I254" s="436"/>
      <c r="J254" s="438"/>
      <c r="K254" s="438"/>
      <c r="L254" s="438" t="s">
        <v>77</v>
      </c>
      <c r="M254" s="438" t="s">
        <v>77</v>
      </c>
      <c r="N254" s="439"/>
      <c r="O254" s="440"/>
      <c r="P254" s="441"/>
      <c r="Q254" s="442"/>
      <c r="R254" s="1" t="str">
        <f t="shared" si="39"/>
        <v/>
      </c>
      <c r="S254" s="1" t="str">
        <f t="shared" si="39"/>
        <v/>
      </c>
      <c r="T254" s="1" t="str">
        <f t="shared" si="39"/>
        <v/>
      </c>
      <c r="U254" s="1" t="str">
        <f t="shared" si="38"/>
        <v/>
      </c>
      <c r="V254" s="443"/>
      <c r="W254" s="444"/>
      <c r="X254" s="148"/>
      <c r="Y254" s="438"/>
      <c r="Z254" s="445"/>
      <c r="AA254" s="445"/>
      <c r="AB254" s="446"/>
      <c r="AC254" s="438"/>
      <c r="AD254" s="436"/>
      <c r="AE254" s="438"/>
      <c r="AF254" s="438"/>
      <c r="AG254" s="438"/>
      <c r="AH254" s="438"/>
      <c r="AI254" s="439"/>
      <c r="AJ254" s="440"/>
      <c r="AK254" s="441"/>
      <c r="AL254" s="442"/>
      <c r="AM254" s="437"/>
      <c r="AN254" s="437"/>
      <c r="AO254" s="437"/>
      <c r="AP254" s="437"/>
      <c r="AQ254" s="437"/>
      <c r="AR254" s="437"/>
      <c r="AS254" s="437"/>
      <c r="AT254" s="437"/>
    </row>
    <row r="255" spans="1:46">
      <c r="A255" s="402" t="s">
        <v>646</v>
      </c>
      <c r="B255" s="403"/>
      <c r="C255" s="395"/>
      <c r="D255" s="396"/>
      <c r="E255" s="397"/>
      <c r="F255" s="396"/>
      <c r="G255" s="393"/>
      <c r="H255" s="394"/>
      <c r="I255" s="394"/>
      <c r="J255" s="134"/>
      <c r="K255" s="134"/>
      <c r="L255" s="134"/>
      <c r="M255" s="120"/>
      <c r="N255" s="147"/>
      <c r="O255" s="55"/>
      <c r="P255" s="329"/>
      <c r="Q255" s="330"/>
      <c r="R255" s="1" t="str">
        <f t="shared" si="39"/>
        <v/>
      </c>
      <c r="S255" s="1" t="str">
        <f t="shared" si="39"/>
        <v/>
      </c>
      <c r="T255" s="1" t="str">
        <f t="shared" si="39"/>
        <v/>
      </c>
      <c r="U255" s="1" t="str">
        <f t="shared" si="38"/>
        <v/>
      </c>
      <c r="V255" s="588" t="s">
        <v>646</v>
      </c>
      <c r="W255" s="589"/>
      <c r="X255" s="395"/>
      <c r="Y255" s="396"/>
      <c r="Z255" s="397"/>
      <c r="AA255" s="396"/>
      <c r="AB255" s="393"/>
      <c r="AC255" s="394"/>
      <c r="AD255" s="394"/>
      <c r="AE255" s="134"/>
      <c r="AF255" s="134"/>
      <c r="AG255" s="134"/>
      <c r="AH255" s="134"/>
      <c r="AI255" s="147"/>
      <c r="AJ255" s="55"/>
      <c r="AK255" s="230"/>
      <c r="AL255" s="230"/>
    </row>
    <row r="256" spans="1:46">
      <c r="A256" s="402" t="s">
        <v>647</v>
      </c>
      <c r="B256" s="403"/>
      <c r="C256" s="395"/>
      <c r="D256" s="396"/>
      <c r="E256" s="397"/>
      <c r="F256" s="396"/>
      <c r="G256" s="393"/>
      <c r="H256" s="394"/>
      <c r="I256" s="394"/>
      <c r="J256" s="134"/>
      <c r="K256" s="134"/>
      <c r="L256" s="134"/>
      <c r="M256" s="120"/>
      <c r="N256" s="147"/>
      <c r="O256" s="55"/>
      <c r="P256" s="329"/>
      <c r="Q256" s="330"/>
      <c r="R256" s="1" t="str">
        <f t="shared" si="39"/>
        <v/>
      </c>
      <c r="S256" s="1" t="str">
        <f t="shared" si="39"/>
        <v/>
      </c>
      <c r="T256" s="1" t="str">
        <f t="shared" si="39"/>
        <v/>
      </c>
      <c r="U256" s="1" t="str">
        <f t="shared" si="38"/>
        <v/>
      </c>
      <c r="V256" s="588" t="s">
        <v>648</v>
      </c>
      <c r="W256" s="589"/>
      <c r="X256" s="395"/>
      <c r="Y256" s="396"/>
      <c r="Z256" s="397"/>
      <c r="AA256" s="396"/>
      <c r="AB256" s="393"/>
      <c r="AC256" s="394"/>
      <c r="AD256" s="394"/>
      <c r="AE256" s="134"/>
      <c r="AF256" s="134"/>
      <c r="AG256" s="134"/>
      <c r="AH256" s="134"/>
      <c r="AI256" s="147"/>
      <c r="AJ256" s="55"/>
      <c r="AK256" s="230"/>
      <c r="AL256" s="230"/>
    </row>
    <row r="257" spans="1:38">
      <c r="A257" s="103" t="s">
        <v>649</v>
      </c>
      <c r="B257" s="104" t="s">
        <v>650</v>
      </c>
      <c r="C257" s="105">
        <v>1</v>
      </c>
      <c r="D257" s="106" t="s">
        <v>82</v>
      </c>
      <c r="E257" s="105" t="s">
        <v>649</v>
      </c>
      <c r="F257" s="108"/>
      <c r="G257" s="109"/>
      <c r="H257" s="100">
        <v>32</v>
      </c>
      <c r="I257" s="399"/>
      <c r="J257" s="410"/>
      <c r="K257" s="410"/>
      <c r="L257" s="46" t="s">
        <v>77</v>
      </c>
      <c r="M257" s="17" t="s">
        <v>77</v>
      </c>
      <c r="N257" s="68" t="s">
        <v>83</v>
      </c>
      <c r="O257" s="55" t="s">
        <v>84</v>
      </c>
      <c r="P257" s="268" t="s">
        <v>85</v>
      </c>
      <c r="Q257" s="56" t="s">
        <v>86</v>
      </c>
      <c r="R257" s="1" t="str">
        <f t="shared" si="39"/>
        <v/>
      </c>
      <c r="S257" s="1" t="str">
        <f t="shared" si="39"/>
        <v/>
      </c>
      <c r="T257" s="1" t="str">
        <f t="shared" si="39"/>
        <v/>
      </c>
      <c r="U257" s="1" t="str">
        <f t="shared" si="38"/>
        <v/>
      </c>
      <c r="V257" s="103" t="s">
        <v>649</v>
      </c>
      <c r="W257" s="104" t="s">
        <v>650</v>
      </c>
      <c r="X257" s="105">
        <v>1</v>
      </c>
      <c r="Y257" s="106" t="s">
        <v>82</v>
      </c>
      <c r="Z257" s="105" t="s">
        <v>649</v>
      </c>
      <c r="AA257" s="108"/>
      <c r="AB257" s="109"/>
      <c r="AC257" s="100">
        <v>32</v>
      </c>
      <c r="AD257" s="100"/>
      <c r="AE257" s="410"/>
      <c r="AF257" s="410"/>
      <c r="AG257" s="46" t="s">
        <v>77</v>
      </c>
      <c r="AH257" s="46" t="s">
        <v>77</v>
      </c>
      <c r="AI257" s="68" t="s">
        <v>83</v>
      </c>
      <c r="AJ257" s="55" t="s">
        <v>84</v>
      </c>
      <c r="AK257" s="230" t="s">
        <v>85</v>
      </c>
      <c r="AL257" s="230" t="s">
        <v>86</v>
      </c>
    </row>
    <row r="258" spans="1:38">
      <c r="A258" s="103" t="s">
        <v>651</v>
      </c>
      <c r="B258" s="104" t="s">
        <v>652</v>
      </c>
      <c r="C258" s="105">
        <v>1</v>
      </c>
      <c r="D258" s="106" t="s">
        <v>82</v>
      </c>
      <c r="E258" s="105" t="s">
        <v>651</v>
      </c>
      <c r="F258" s="108"/>
      <c r="G258" s="109"/>
      <c r="H258" s="100">
        <v>61</v>
      </c>
      <c r="I258" s="399"/>
      <c r="J258" s="410"/>
      <c r="K258" s="410"/>
      <c r="L258" s="46" t="s">
        <v>77</v>
      </c>
      <c r="M258" s="17" t="s">
        <v>77</v>
      </c>
      <c r="N258" s="68" t="s">
        <v>83</v>
      </c>
      <c r="O258" s="55" t="s">
        <v>84</v>
      </c>
      <c r="P258" s="268" t="s">
        <v>85</v>
      </c>
      <c r="Q258" s="56" t="s">
        <v>86</v>
      </c>
      <c r="R258" s="1" t="str">
        <f t="shared" si="39"/>
        <v/>
      </c>
      <c r="S258" s="1" t="str">
        <f t="shared" si="39"/>
        <v/>
      </c>
      <c r="T258" s="1" t="str">
        <f t="shared" si="39"/>
        <v/>
      </c>
      <c r="U258" s="1" t="str">
        <f t="shared" si="38"/>
        <v/>
      </c>
      <c r="V258" s="103" t="s">
        <v>651</v>
      </c>
      <c r="W258" s="104" t="s">
        <v>652</v>
      </c>
      <c r="X258" s="105">
        <v>1</v>
      </c>
      <c r="Y258" s="106" t="s">
        <v>82</v>
      </c>
      <c r="Z258" s="105" t="s">
        <v>651</v>
      </c>
      <c r="AA258" s="108"/>
      <c r="AB258" s="109"/>
      <c r="AC258" s="100">
        <v>61</v>
      </c>
      <c r="AD258" s="100"/>
      <c r="AE258" s="410"/>
      <c r="AF258" s="410"/>
      <c r="AG258" s="46" t="s">
        <v>77</v>
      </c>
      <c r="AH258" s="46" t="s">
        <v>77</v>
      </c>
      <c r="AI258" s="68" t="s">
        <v>83</v>
      </c>
      <c r="AJ258" s="55" t="s">
        <v>84</v>
      </c>
      <c r="AK258" s="230" t="s">
        <v>85</v>
      </c>
      <c r="AL258" s="230" t="s">
        <v>86</v>
      </c>
    </row>
    <row r="259" spans="1:38">
      <c r="A259" s="103" t="s">
        <v>653</v>
      </c>
      <c r="B259" s="104" t="s">
        <v>654</v>
      </c>
      <c r="C259" s="105">
        <v>1</v>
      </c>
      <c r="D259" s="106" t="s">
        <v>82</v>
      </c>
      <c r="E259" s="105" t="s">
        <v>653</v>
      </c>
      <c r="F259" s="108"/>
      <c r="G259" s="109"/>
      <c r="H259" s="100">
        <v>91</v>
      </c>
      <c r="I259" s="399"/>
      <c r="J259" s="410"/>
      <c r="K259" s="410"/>
      <c r="L259" s="46" t="s">
        <v>77</v>
      </c>
      <c r="M259" s="17" t="s">
        <v>77</v>
      </c>
      <c r="N259" s="68" t="s">
        <v>83</v>
      </c>
      <c r="O259" s="55" t="s">
        <v>84</v>
      </c>
      <c r="P259" s="268" t="s">
        <v>85</v>
      </c>
      <c r="Q259" s="56" t="s">
        <v>86</v>
      </c>
      <c r="R259" s="1" t="str">
        <f t="shared" si="39"/>
        <v/>
      </c>
      <c r="S259" s="1" t="str">
        <f t="shared" si="39"/>
        <v/>
      </c>
      <c r="T259" s="1" t="str">
        <f t="shared" si="39"/>
        <v/>
      </c>
      <c r="U259" s="1" t="str">
        <f t="shared" si="38"/>
        <v/>
      </c>
      <c r="V259" s="103" t="s">
        <v>653</v>
      </c>
      <c r="W259" s="104" t="s">
        <v>654</v>
      </c>
      <c r="X259" s="105">
        <v>1</v>
      </c>
      <c r="Y259" s="106" t="s">
        <v>82</v>
      </c>
      <c r="Z259" s="105" t="s">
        <v>653</v>
      </c>
      <c r="AA259" s="108"/>
      <c r="AB259" s="109"/>
      <c r="AC259" s="100">
        <v>91</v>
      </c>
      <c r="AD259" s="100"/>
      <c r="AE259" s="410"/>
      <c r="AF259" s="410"/>
      <c r="AG259" s="46" t="s">
        <v>77</v>
      </c>
      <c r="AH259" s="46" t="s">
        <v>77</v>
      </c>
      <c r="AI259" s="68" t="s">
        <v>83</v>
      </c>
      <c r="AJ259" s="55" t="s">
        <v>84</v>
      </c>
      <c r="AK259" s="230" t="s">
        <v>85</v>
      </c>
      <c r="AL259" s="230" t="s">
        <v>86</v>
      </c>
    </row>
    <row r="260" spans="1:38">
      <c r="A260" s="103" t="s">
        <v>655</v>
      </c>
      <c r="B260" s="104" t="s">
        <v>656</v>
      </c>
      <c r="C260" s="105">
        <v>1</v>
      </c>
      <c r="D260" s="106" t="s">
        <v>82</v>
      </c>
      <c r="E260" s="105" t="s">
        <v>655</v>
      </c>
      <c r="F260" s="108"/>
      <c r="G260" s="109"/>
      <c r="H260" s="100">
        <v>24</v>
      </c>
      <c r="I260" s="399"/>
      <c r="J260" s="410"/>
      <c r="K260" s="410"/>
      <c r="L260" s="46" t="s">
        <v>77</v>
      </c>
      <c r="M260" s="17" t="s">
        <v>77</v>
      </c>
      <c r="N260" s="68" t="s">
        <v>83</v>
      </c>
      <c r="O260" s="55" t="s">
        <v>84</v>
      </c>
      <c r="P260" s="268" t="s">
        <v>85</v>
      </c>
      <c r="Q260" s="56" t="s">
        <v>86</v>
      </c>
      <c r="R260" s="1" t="str">
        <f t="shared" si="39"/>
        <v/>
      </c>
      <c r="S260" s="1" t="str">
        <f t="shared" si="39"/>
        <v/>
      </c>
      <c r="T260" s="1" t="str">
        <f t="shared" si="39"/>
        <v/>
      </c>
      <c r="U260" s="1" t="str">
        <f t="shared" si="38"/>
        <v/>
      </c>
      <c r="V260" s="103" t="s">
        <v>655</v>
      </c>
      <c r="W260" s="104" t="s">
        <v>656</v>
      </c>
      <c r="X260" s="105">
        <v>1</v>
      </c>
      <c r="Y260" s="106" t="s">
        <v>82</v>
      </c>
      <c r="Z260" s="105" t="s">
        <v>655</v>
      </c>
      <c r="AA260" s="108"/>
      <c r="AB260" s="109"/>
      <c r="AC260" s="100">
        <v>24</v>
      </c>
      <c r="AD260" s="100"/>
      <c r="AE260" s="410"/>
      <c r="AF260" s="410"/>
      <c r="AG260" s="46" t="s">
        <v>77</v>
      </c>
      <c r="AH260" s="46" t="s">
        <v>77</v>
      </c>
      <c r="AI260" s="68" t="s">
        <v>83</v>
      </c>
      <c r="AJ260" s="55" t="s">
        <v>84</v>
      </c>
      <c r="AK260" s="230" t="s">
        <v>85</v>
      </c>
      <c r="AL260" s="230" t="s">
        <v>86</v>
      </c>
    </row>
    <row r="261" spans="1:38">
      <c r="A261" s="103" t="s">
        <v>657</v>
      </c>
      <c r="B261" s="104" t="s">
        <v>658</v>
      </c>
      <c r="C261" s="105">
        <v>1</v>
      </c>
      <c r="D261" s="106" t="s">
        <v>82</v>
      </c>
      <c r="E261" s="105" t="s">
        <v>657</v>
      </c>
      <c r="F261" s="108"/>
      <c r="G261" s="109"/>
      <c r="H261" s="100">
        <v>77</v>
      </c>
      <c r="I261" s="399"/>
      <c r="J261" s="410"/>
      <c r="K261" s="410"/>
      <c r="L261" s="46" t="s">
        <v>77</v>
      </c>
      <c r="M261" s="17" t="s">
        <v>77</v>
      </c>
      <c r="N261" s="68" t="s">
        <v>83</v>
      </c>
      <c r="O261" s="55" t="s">
        <v>84</v>
      </c>
      <c r="P261" s="268" t="s">
        <v>85</v>
      </c>
      <c r="Q261" s="56" t="s">
        <v>86</v>
      </c>
      <c r="R261" s="1" t="str">
        <f t="shared" si="39"/>
        <v/>
      </c>
      <c r="S261" s="1" t="str">
        <f t="shared" si="39"/>
        <v/>
      </c>
      <c r="T261" s="1" t="str">
        <f t="shared" si="39"/>
        <v/>
      </c>
      <c r="U261" s="1" t="str">
        <f t="shared" si="39"/>
        <v/>
      </c>
      <c r="V261" s="103" t="s">
        <v>657</v>
      </c>
      <c r="W261" s="104" t="s">
        <v>658</v>
      </c>
      <c r="X261" s="105">
        <v>1</v>
      </c>
      <c r="Y261" s="106" t="s">
        <v>82</v>
      </c>
      <c r="Z261" s="105" t="s">
        <v>657</v>
      </c>
      <c r="AA261" s="108"/>
      <c r="AB261" s="109"/>
      <c r="AC261" s="100">
        <v>77</v>
      </c>
      <c r="AD261" s="100"/>
      <c r="AE261" s="410"/>
      <c r="AF261" s="410"/>
      <c r="AG261" s="46" t="s">
        <v>77</v>
      </c>
      <c r="AH261" s="46" t="s">
        <v>77</v>
      </c>
      <c r="AI261" s="68" t="s">
        <v>83</v>
      </c>
      <c r="AJ261" s="55" t="s">
        <v>84</v>
      </c>
      <c r="AK261" s="230" t="s">
        <v>85</v>
      </c>
      <c r="AL261" s="230" t="s">
        <v>86</v>
      </c>
    </row>
    <row r="262" spans="1:38">
      <c r="A262" s="103" t="s">
        <v>659</v>
      </c>
      <c r="B262" s="104" t="s">
        <v>660</v>
      </c>
      <c r="C262" s="105">
        <v>1</v>
      </c>
      <c r="D262" s="106" t="s">
        <v>82</v>
      </c>
      <c r="E262" s="105" t="s">
        <v>659</v>
      </c>
      <c r="F262" s="108"/>
      <c r="G262" s="109"/>
      <c r="H262" s="100">
        <v>111</v>
      </c>
      <c r="I262" s="399"/>
      <c r="J262" s="410"/>
      <c r="K262" s="410"/>
      <c r="L262" s="46" t="s">
        <v>77</v>
      </c>
      <c r="M262" s="17" t="s">
        <v>77</v>
      </c>
      <c r="N262" s="68" t="s">
        <v>83</v>
      </c>
      <c r="O262" s="55" t="s">
        <v>84</v>
      </c>
      <c r="P262" s="268" t="s">
        <v>85</v>
      </c>
      <c r="Q262" s="56" t="s">
        <v>86</v>
      </c>
      <c r="R262" s="1" t="str">
        <f t="shared" ref="R262:U325" si="57">+IF($K262&lt;&gt;"",R$2*$K262,"")</f>
        <v/>
      </c>
      <c r="S262" s="1" t="str">
        <f t="shared" si="57"/>
        <v/>
      </c>
      <c r="T262" s="1" t="str">
        <f t="shared" si="57"/>
        <v/>
      </c>
      <c r="U262" s="1" t="str">
        <f t="shared" si="57"/>
        <v/>
      </c>
      <c r="V262" s="103" t="s">
        <v>659</v>
      </c>
      <c r="W262" s="104" t="s">
        <v>660</v>
      </c>
      <c r="X262" s="105">
        <v>1</v>
      </c>
      <c r="Y262" s="106" t="s">
        <v>82</v>
      </c>
      <c r="Z262" s="105" t="s">
        <v>659</v>
      </c>
      <c r="AA262" s="108"/>
      <c r="AB262" s="109"/>
      <c r="AC262" s="100">
        <v>111</v>
      </c>
      <c r="AD262" s="100"/>
      <c r="AE262" s="410"/>
      <c r="AF262" s="410"/>
      <c r="AG262" s="46" t="s">
        <v>77</v>
      </c>
      <c r="AH262" s="46" t="s">
        <v>77</v>
      </c>
      <c r="AI262" s="68" t="s">
        <v>83</v>
      </c>
      <c r="AJ262" s="55" t="s">
        <v>84</v>
      </c>
      <c r="AK262" s="230" t="s">
        <v>85</v>
      </c>
      <c r="AL262" s="230" t="s">
        <v>86</v>
      </c>
    </row>
    <row r="263" spans="1:38">
      <c r="A263" s="103" t="s">
        <v>661</v>
      </c>
      <c r="B263" s="104" t="s">
        <v>662</v>
      </c>
      <c r="C263" s="105">
        <v>1</v>
      </c>
      <c r="D263" s="106" t="s">
        <v>82</v>
      </c>
      <c r="E263" s="105" t="s">
        <v>661</v>
      </c>
      <c r="F263" s="108"/>
      <c r="G263" s="109"/>
      <c r="H263" s="100">
        <v>110</v>
      </c>
      <c r="I263" s="399"/>
      <c r="J263" s="410"/>
      <c r="K263" s="410"/>
      <c r="L263" s="46" t="s">
        <v>77</v>
      </c>
      <c r="M263" s="17" t="s">
        <v>77</v>
      </c>
      <c r="N263" s="68" t="s">
        <v>83</v>
      </c>
      <c r="O263" s="55" t="s">
        <v>84</v>
      </c>
      <c r="P263" s="268" t="s">
        <v>85</v>
      </c>
      <c r="Q263" s="56" t="s">
        <v>86</v>
      </c>
      <c r="R263" s="1" t="str">
        <f t="shared" si="57"/>
        <v/>
      </c>
      <c r="S263" s="1" t="str">
        <f t="shared" si="57"/>
        <v/>
      </c>
      <c r="T263" s="1" t="str">
        <f t="shared" si="57"/>
        <v/>
      </c>
      <c r="U263" s="1" t="str">
        <f t="shared" si="57"/>
        <v/>
      </c>
      <c r="V263" s="103" t="s">
        <v>661</v>
      </c>
      <c r="W263" s="104" t="s">
        <v>662</v>
      </c>
      <c r="X263" s="105">
        <v>1</v>
      </c>
      <c r="Y263" s="106" t="s">
        <v>82</v>
      </c>
      <c r="Z263" s="105" t="s">
        <v>661</v>
      </c>
      <c r="AA263" s="108"/>
      <c r="AB263" s="109"/>
      <c r="AC263" s="100">
        <v>110</v>
      </c>
      <c r="AD263" s="100"/>
      <c r="AE263" s="410"/>
      <c r="AF263" s="410"/>
      <c r="AG263" s="46" t="s">
        <v>77</v>
      </c>
      <c r="AH263" s="46" t="s">
        <v>77</v>
      </c>
      <c r="AI263" s="68" t="s">
        <v>83</v>
      </c>
      <c r="AJ263" s="55" t="s">
        <v>84</v>
      </c>
      <c r="AK263" s="230" t="s">
        <v>85</v>
      </c>
      <c r="AL263" s="230" t="s">
        <v>86</v>
      </c>
    </row>
    <row r="264" spans="1:38">
      <c r="A264" s="103" t="s">
        <v>663</v>
      </c>
      <c r="B264" s="104" t="s">
        <v>664</v>
      </c>
      <c r="C264" s="105">
        <v>1</v>
      </c>
      <c r="D264" s="106" t="s">
        <v>82</v>
      </c>
      <c r="E264" s="105" t="s">
        <v>663</v>
      </c>
      <c r="F264" s="108"/>
      <c r="G264" s="109"/>
      <c r="H264" s="100">
        <v>41</v>
      </c>
      <c r="I264" s="399"/>
      <c r="J264" s="410"/>
      <c r="K264" s="410"/>
      <c r="L264" s="46" t="s">
        <v>77</v>
      </c>
      <c r="M264" s="17" t="s">
        <v>77</v>
      </c>
      <c r="N264" s="68" t="s">
        <v>83</v>
      </c>
      <c r="O264" s="55" t="s">
        <v>84</v>
      </c>
      <c r="P264" s="268" t="s">
        <v>85</v>
      </c>
      <c r="Q264" s="56" t="s">
        <v>86</v>
      </c>
      <c r="R264" s="1" t="str">
        <f t="shared" si="57"/>
        <v/>
      </c>
      <c r="S264" s="1" t="str">
        <f t="shared" si="57"/>
        <v/>
      </c>
      <c r="T264" s="1" t="str">
        <f t="shared" si="57"/>
        <v/>
      </c>
      <c r="U264" s="1" t="str">
        <f t="shared" si="57"/>
        <v/>
      </c>
      <c r="V264" s="103" t="s">
        <v>663</v>
      </c>
      <c r="W264" s="104" t="s">
        <v>664</v>
      </c>
      <c r="X264" s="105">
        <v>1</v>
      </c>
      <c r="Y264" s="106" t="s">
        <v>82</v>
      </c>
      <c r="Z264" s="105" t="s">
        <v>663</v>
      </c>
      <c r="AA264" s="108"/>
      <c r="AB264" s="109"/>
      <c r="AC264" s="100">
        <v>41</v>
      </c>
      <c r="AD264" s="100"/>
      <c r="AE264" s="410"/>
      <c r="AF264" s="410"/>
      <c r="AG264" s="46" t="s">
        <v>77</v>
      </c>
      <c r="AH264" s="46" t="s">
        <v>77</v>
      </c>
      <c r="AI264" s="68" t="s">
        <v>83</v>
      </c>
      <c r="AJ264" s="55" t="s">
        <v>84</v>
      </c>
      <c r="AK264" s="230" t="s">
        <v>85</v>
      </c>
      <c r="AL264" s="230" t="s">
        <v>86</v>
      </c>
    </row>
    <row r="265" spans="1:38">
      <c r="A265" s="103" t="s">
        <v>665</v>
      </c>
      <c r="B265" s="104" t="s">
        <v>666</v>
      </c>
      <c r="C265" s="105">
        <v>1</v>
      </c>
      <c r="D265" s="106" t="s">
        <v>82</v>
      </c>
      <c r="E265" s="105" t="s">
        <v>665</v>
      </c>
      <c r="F265" s="108"/>
      <c r="G265" s="109"/>
      <c r="H265" s="100">
        <v>101</v>
      </c>
      <c r="I265" s="399"/>
      <c r="J265" s="410"/>
      <c r="K265" s="410"/>
      <c r="L265" s="46" t="s">
        <v>77</v>
      </c>
      <c r="M265" s="17" t="s">
        <v>77</v>
      </c>
      <c r="N265" s="68" t="s">
        <v>83</v>
      </c>
      <c r="O265" s="55" t="s">
        <v>84</v>
      </c>
      <c r="P265" s="268" t="s">
        <v>85</v>
      </c>
      <c r="Q265" s="56" t="s">
        <v>86</v>
      </c>
      <c r="R265" s="1" t="str">
        <f t="shared" si="57"/>
        <v/>
      </c>
      <c r="S265" s="1" t="str">
        <f t="shared" si="57"/>
        <v/>
      </c>
      <c r="T265" s="1" t="str">
        <f t="shared" si="57"/>
        <v/>
      </c>
      <c r="U265" s="1" t="str">
        <f t="shared" si="57"/>
        <v/>
      </c>
      <c r="V265" s="103" t="s">
        <v>665</v>
      </c>
      <c r="W265" s="104" t="s">
        <v>666</v>
      </c>
      <c r="X265" s="105">
        <v>1</v>
      </c>
      <c r="Y265" s="106" t="s">
        <v>82</v>
      </c>
      <c r="Z265" s="105" t="s">
        <v>665</v>
      </c>
      <c r="AA265" s="108"/>
      <c r="AB265" s="109"/>
      <c r="AC265" s="100">
        <v>101</v>
      </c>
      <c r="AD265" s="100"/>
      <c r="AE265" s="410"/>
      <c r="AF265" s="410"/>
      <c r="AG265" s="46" t="s">
        <v>77</v>
      </c>
      <c r="AH265" s="46" t="s">
        <v>77</v>
      </c>
      <c r="AI265" s="68" t="s">
        <v>83</v>
      </c>
      <c r="AJ265" s="55" t="s">
        <v>84</v>
      </c>
      <c r="AK265" s="230" t="s">
        <v>85</v>
      </c>
      <c r="AL265" s="230" t="s">
        <v>86</v>
      </c>
    </row>
    <row r="266" spans="1:38">
      <c r="A266" s="103" t="s">
        <v>667</v>
      </c>
      <c r="B266" s="104" t="s">
        <v>668</v>
      </c>
      <c r="C266" s="105">
        <v>1</v>
      </c>
      <c r="D266" s="106" t="s">
        <v>82</v>
      </c>
      <c r="E266" s="105" t="s">
        <v>667</v>
      </c>
      <c r="F266" s="108"/>
      <c r="G266" s="109"/>
      <c r="H266" s="100">
        <v>161</v>
      </c>
      <c r="I266" s="399"/>
      <c r="J266" s="410"/>
      <c r="K266" s="410"/>
      <c r="L266" s="46" t="s">
        <v>77</v>
      </c>
      <c r="M266" s="17" t="s">
        <v>77</v>
      </c>
      <c r="N266" s="68" t="s">
        <v>83</v>
      </c>
      <c r="O266" s="55" t="s">
        <v>84</v>
      </c>
      <c r="P266" s="268" t="s">
        <v>85</v>
      </c>
      <c r="Q266" s="56" t="s">
        <v>86</v>
      </c>
      <c r="R266" s="1" t="str">
        <f t="shared" si="57"/>
        <v/>
      </c>
      <c r="S266" s="1" t="str">
        <f t="shared" si="57"/>
        <v/>
      </c>
      <c r="T266" s="1" t="str">
        <f t="shared" si="57"/>
        <v/>
      </c>
      <c r="U266" s="1" t="str">
        <f t="shared" si="57"/>
        <v/>
      </c>
      <c r="V266" s="103" t="s">
        <v>667</v>
      </c>
      <c r="W266" s="104" t="s">
        <v>668</v>
      </c>
      <c r="X266" s="105">
        <v>1</v>
      </c>
      <c r="Y266" s="106" t="s">
        <v>82</v>
      </c>
      <c r="Z266" s="105" t="s">
        <v>667</v>
      </c>
      <c r="AA266" s="108"/>
      <c r="AB266" s="109"/>
      <c r="AC266" s="100">
        <v>161</v>
      </c>
      <c r="AD266" s="100"/>
      <c r="AE266" s="410"/>
      <c r="AF266" s="410"/>
      <c r="AG266" s="46" t="s">
        <v>77</v>
      </c>
      <c r="AH266" s="46" t="s">
        <v>77</v>
      </c>
      <c r="AI266" s="68" t="s">
        <v>83</v>
      </c>
      <c r="AJ266" s="55" t="s">
        <v>84</v>
      </c>
      <c r="AK266" s="230" t="s">
        <v>85</v>
      </c>
      <c r="AL266" s="230" t="s">
        <v>86</v>
      </c>
    </row>
    <row r="267" spans="1:38">
      <c r="A267" s="103" t="s">
        <v>669</v>
      </c>
      <c r="B267" s="104" t="s">
        <v>670</v>
      </c>
      <c r="C267" s="105">
        <v>1</v>
      </c>
      <c r="D267" s="106" t="s">
        <v>82</v>
      </c>
      <c r="E267" s="105" t="s">
        <v>669</v>
      </c>
      <c r="F267" s="108"/>
      <c r="G267" s="109"/>
      <c r="H267" s="100">
        <v>236</v>
      </c>
      <c r="I267" s="399"/>
      <c r="J267" s="410"/>
      <c r="K267" s="410"/>
      <c r="L267" s="46" t="s">
        <v>77</v>
      </c>
      <c r="M267" s="17" t="s">
        <v>77</v>
      </c>
      <c r="N267" s="68" t="s">
        <v>83</v>
      </c>
      <c r="O267" s="55" t="s">
        <v>84</v>
      </c>
      <c r="P267" s="268" t="s">
        <v>85</v>
      </c>
      <c r="Q267" s="56" t="s">
        <v>86</v>
      </c>
      <c r="R267" s="1" t="str">
        <f t="shared" si="57"/>
        <v/>
      </c>
      <c r="S267" s="1" t="str">
        <f t="shared" si="57"/>
        <v/>
      </c>
      <c r="T267" s="1" t="str">
        <f t="shared" si="57"/>
        <v/>
      </c>
      <c r="U267" s="1" t="str">
        <f t="shared" si="57"/>
        <v/>
      </c>
      <c r="V267" s="103" t="s">
        <v>669</v>
      </c>
      <c r="W267" s="104" t="s">
        <v>670</v>
      </c>
      <c r="X267" s="105">
        <v>1</v>
      </c>
      <c r="Y267" s="106" t="s">
        <v>82</v>
      </c>
      <c r="Z267" s="105" t="s">
        <v>669</v>
      </c>
      <c r="AA267" s="108"/>
      <c r="AB267" s="109"/>
      <c r="AC267" s="100">
        <v>236</v>
      </c>
      <c r="AD267" s="100"/>
      <c r="AE267" s="410"/>
      <c r="AF267" s="410"/>
      <c r="AG267" s="46" t="s">
        <v>77</v>
      </c>
      <c r="AH267" s="46" t="s">
        <v>77</v>
      </c>
      <c r="AI267" s="68" t="s">
        <v>83</v>
      </c>
      <c r="AJ267" s="55" t="s">
        <v>84</v>
      </c>
      <c r="AK267" s="230" t="s">
        <v>85</v>
      </c>
      <c r="AL267" s="230" t="s">
        <v>86</v>
      </c>
    </row>
    <row r="268" spans="1:38" ht="38.25">
      <c r="A268" s="238" t="s">
        <v>671</v>
      </c>
      <c r="B268" s="239" t="s">
        <v>672</v>
      </c>
      <c r="C268" s="240">
        <v>1</v>
      </c>
      <c r="D268" s="241" t="s">
        <v>82</v>
      </c>
      <c r="E268" s="247" t="s">
        <v>671</v>
      </c>
      <c r="F268" s="245"/>
      <c r="G268" s="243"/>
      <c r="H268" s="242">
        <v>573</v>
      </c>
      <c r="I268" s="401"/>
      <c r="J268" s="336"/>
      <c r="K268" s="336"/>
      <c r="L268" s="336" t="s">
        <v>77</v>
      </c>
      <c r="M268" s="71" t="s">
        <v>77</v>
      </c>
      <c r="N268" s="68" t="s">
        <v>83</v>
      </c>
      <c r="O268" s="55" t="s">
        <v>84</v>
      </c>
      <c r="P268" s="268" t="s">
        <v>85</v>
      </c>
      <c r="Q268" s="56" t="s">
        <v>86</v>
      </c>
      <c r="R268" s="1" t="str">
        <f t="shared" si="57"/>
        <v/>
      </c>
      <c r="S268" s="1" t="str">
        <f t="shared" si="57"/>
        <v/>
      </c>
      <c r="T268" s="1" t="str">
        <f t="shared" si="57"/>
        <v/>
      </c>
      <c r="U268" s="1" t="str">
        <f t="shared" si="57"/>
        <v/>
      </c>
      <c r="V268" s="238" t="s">
        <v>671</v>
      </c>
      <c r="W268" s="239" t="s">
        <v>672</v>
      </c>
      <c r="X268" s="240">
        <v>1</v>
      </c>
      <c r="Y268" s="241" t="s">
        <v>82</v>
      </c>
      <c r="Z268" s="247" t="s">
        <v>671</v>
      </c>
      <c r="AA268" s="245"/>
      <c r="AB268" s="243"/>
      <c r="AC268" s="242">
        <v>573</v>
      </c>
      <c r="AD268" s="69"/>
      <c r="AE268" s="336"/>
      <c r="AF268" s="336"/>
      <c r="AG268" s="336" t="s">
        <v>77</v>
      </c>
      <c r="AH268" s="336" t="s">
        <v>77</v>
      </c>
      <c r="AI268" s="68" t="s">
        <v>83</v>
      </c>
      <c r="AJ268" s="55" t="s">
        <v>84</v>
      </c>
      <c r="AK268" s="230" t="s">
        <v>85</v>
      </c>
      <c r="AL268" s="230" t="s">
        <v>86</v>
      </c>
    </row>
    <row r="269" spans="1:38" ht="25.5">
      <c r="A269" s="238" t="s">
        <v>673</v>
      </c>
      <c r="B269" s="239" t="s">
        <v>674</v>
      </c>
      <c r="C269" s="240">
        <v>1</v>
      </c>
      <c r="D269" s="241" t="s">
        <v>82</v>
      </c>
      <c r="E269" s="247" t="s">
        <v>673</v>
      </c>
      <c r="F269" s="245"/>
      <c r="G269" s="243"/>
      <c r="H269" s="242">
        <v>693</v>
      </c>
      <c r="I269" s="401"/>
      <c r="J269" s="336"/>
      <c r="K269" s="336"/>
      <c r="L269" s="336" t="s">
        <v>77</v>
      </c>
      <c r="M269" s="71" t="s">
        <v>77</v>
      </c>
      <c r="N269" s="68" t="s">
        <v>83</v>
      </c>
      <c r="O269" s="55" t="s">
        <v>84</v>
      </c>
      <c r="P269" s="268" t="s">
        <v>85</v>
      </c>
      <c r="Q269" s="56" t="s">
        <v>86</v>
      </c>
      <c r="R269" s="1" t="str">
        <f t="shared" si="57"/>
        <v/>
      </c>
      <c r="S269" s="1" t="str">
        <f t="shared" si="57"/>
        <v/>
      </c>
      <c r="T269" s="1" t="str">
        <f t="shared" si="57"/>
        <v/>
      </c>
      <c r="U269" s="1" t="str">
        <f t="shared" si="57"/>
        <v/>
      </c>
      <c r="V269" s="238" t="s">
        <v>673</v>
      </c>
      <c r="W269" s="239" t="s">
        <v>674</v>
      </c>
      <c r="X269" s="240">
        <v>1</v>
      </c>
      <c r="Y269" s="241" t="s">
        <v>82</v>
      </c>
      <c r="Z269" s="247" t="s">
        <v>673</v>
      </c>
      <c r="AA269" s="245"/>
      <c r="AB269" s="243"/>
      <c r="AC269" s="242">
        <v>693</v>
      </c>
      <c r="AD269" s="69"/>
      <c r="AE269" s="336"/>
      <c r="AF269" s="336"/>
      <c r="AG269" s="336" t="s">
        <v>77</v>
      </c>
      <c r="AH269" s="336" t="s">
        <v>77</v>
      </c>
      <c r="AI269" s="68" t="s">
        <v>83</v>
      </c>
      <c r="AJ269" s="55" t="s">
        <v>84</v>
      </c>
      <c r="AK269" s="230" t="s">
        <v>85</v>
      </c>
      <c r="AL269" s="230" t="s">
        <v>86</v>
      </c>
    </row>
    <row r="270" spans="1:38">
      <c r="A270" s="103" t="s">
        <v>675</v>
      </c>
      <c r="B270" s="104" t="s">
        <v>676</v>
      </c>
      <c r="C270" s="105">
        <v>1</v>
      </c>
      <c r="D270" s="241" t="s">
        <v>82</v>
      </c>
      <c r="E270" s="105" t="s">
        <v>675</v>
      </c>
      <c r="F270" s="108"/>
      <c r="G270" s="109"/>
      <c r="H270" s="100">
        <v>382.62</v>
      </c>
      <c r="I270" s="399"/>
      <c r="J270" s="410"/>
      <c r="K270" s="410"/>
      <c r="L270" s="46"/>
      <c r="M270" s="17"/>
      <c r="N270" s="68" t="s">
        <v>83</v>
      </c>
      <c r="O270" s="55" t="s">
        <v>84</v>
      </c>
      <c r="P270" s="268" t="s">
        <v>85</v>
      </c>
      <c r="Q270" s="56" t="s">
        <v>281</v>
      </c>
      <c r="R270" s="1" t="str">
        <f t="shared" si="57"/>
        <v/>
      </c>
      <c r="S270" s="1" t="str">
        <f t="shared" si="57"/>
        <v/>
      </c>
      <c r="T270" s="1" t="str">
        <f t="shared" si="57"/>
        <v/>
      </c>
      <c r="U270" s="1" t="str">
        <f t="shared" si="57"/>
        <v/>
      </c>
      <c r="V270" s="25" t="s">
        <v>675</v>
      </c>
      <c r="W270" s="26" t="s">
        <v>677</v>
      </c>
      <c r="X270" s="29">
        <v>1</v>
      </c>
      <c r="Y270" s="241" t="s">
        <v>82</v>
      </c>
      <c r="Z270" s="29" t="s">
        <v>675</v>
      </c>
      <c r="AA270" s="35"/>
      <c r="AB270" s="22"/>
      <c r="AC270" s="31">
        <v>189</v>
      </c>
      <c r="AD270" s="100"/>
      <c r="AE270" s="410"/>
      <c r="AF270" s="410"/>
      <c r="AG270" s="46"/>
      <c r="AH270" s="46"/>
      <c r="AI270" s="68" t="s">
        <v>83</v>
      </c>
      <c r="AJ270" s="55" t="s">
        <v>84</v>
      </c>
      <c r="AK270" s="230" t="s">
        <v>85</v>
      </c>
      <c r="AL270" s="230" t="s">
        <v>281</v>
      </c>
    </row>
    <row r="271" spans="1:38">
      <c r="A271" s="103"/>
      <c r="B271" s="104"/>
      <c r="C271" s="105"/>
      <c r="D271" s="241"/>
      <c r="E271" s="105"/>
      <c r="F271" s="108"/>
      <c r="G271" s="109"/>
      <c r="H271" s="100"/>
      <c r="I271" s="399"/>
      <c r="J271" s="410"/>
      <c r="K271" s="410"/>
      <c r="L271" s="46"/>
      <c r="M271" s="17"/>
      <c r="N271" s="68"/>
      <c r="O271" s="55"/>
      <c r="P271" s="268"/>
      <c r="Q271" s="56"/>
      <c r="R271" s="1" t="str">
        <f t="shared" si="57"/>
        <v/>
      </c>
      <c r="S271" s="1" t="str">
        <f t="shared" si="57"/>
        <v/>
      </c>
      <c r="T271" s="1" t="str">
        <f t="shared" si="57"/>
        <v/>
      </c>
      <c r="U271" s="1" t="str">
        <f t="shared" si="57"/>
        <v/>
      </c>
      <c r="V271" s="25" t="s">
        <v>678</v>
      </c>
      <c r="W271" s="26" t="s">
        <v>679</v>
      </c>
      <c r="X271" s="29">
        <v>1</v>
      </c>
      <c r="Y271" s="241" t="s">
        <v>82</v>
      </c>
      <c r="Z271" s="29" t="s">
        <v>678</v>
      </c>
      <c r="AA271" s="35"/>
      <c r="AB271" s="22"/>
      <c r="AC271" s="31">
        <v>332</v>
      </c>
      <c r="AD271" s="100"/>
      <c r="AE271" s="410"/>
      <c r="AF271" s="410"/>
      <c r="AG271" s="46"/>
      <c r="AH271" s="46"/>
      <c r="AI271" s="68" t="s">
        <v>83</v>
      </c>
      <c r="AJ271" s="55" t="s">
        <v>84</v>
      </c>
      <c r="AK271" s="230" t="s">
        <v>85</v>
      </c>
      <c r="AL271" s="230" t="s">
        <v>284</v>
      </c>
    </row>
    <row r="272" spans="1:38">
      <c r="A272" s="103" t="s">
        <v>680</v>
      </c>
      <c r="B272" s="104" t="s">
        <v>681</v>
      </c>
      <c r="C272" s="105">
        <v>1</v>
      </c>
      <c r="D272" s="241" t="s">
        <v>82</v>
      </c>
      <c r="E272" s="105" t="s">
        <v>680</v>
      </c>
      <c r="F272" s="108"/>
      <c r="G272" s="109"/>
      <c r="H272" s="100">
        <v>411.42</v>
      </c>
      <c r="I272" s="399"/>
      <c r="J272" s="410"/>
      <c r="K272" s="410"/>
      <c r="L272" s="46"/>
      <c r="M272" s="17"/>
      <c r="N272" s="68" t="s">
        <v>83</v>
      </c>
      <c r="O272" s="55" t="s">
        <v>84</v>
      </c>
      <c r="P272" s="268" t="s">
        <v>85</v>
      </c>
      <c r="Q272" s="56" t="s">
        <v>86</v>
      </c>
      <c r="R272" s="1" t="str">
        <f t="shared" si="57"/>
        <v/>
      </c>
      <c r="S272" s="1" t="str">
        <f t="shared" si="57"/>
        <v/>
      </c>
      <c r="T272" s="1" t="str">
        <f t="shared" si="57"/>
        <v/>
      </c>
      <c r="U272" s="1" t="str">
        <f t="shared" si="57"/>
        <v/>
      </c>
      <c r="V272" s="25" t="s">
        <v>680</v>
      </c>
      <c r="W272" s="26" t="s">
        <v>682</v>
      </c>
      <c r="X272" s="29">
        <v>1</v>
      </c>
      <c r="Y272" s="241" t="s">
        <v>82</v>
      </c>
      <c r="Z272" s="29" t="s">
        <v>680</v>
      </c>
      <c r="AA272" s="35"/>
      <c r="AB272" s="22"/>
      <c r="AC272" s="31">
        <v>165</v>
      </c>
      <c r="AD272" s="100"/>
      <c r="AE272" s="410"/>
      <c r="AF272" s="410"/>
      <c r="AG272" s="46"/>
      <c r="AH272" s="46"/>
      <c r="AI272" s="68" t="s">
        <v>83</v>
      </c>
      <c r="AJ272" s="55" t="s">
        <v>84</v>
      </c>
      <c r="AK272" s="230" t="s">
        <v>85</v>
      </c>
      <c r="AL272" s="230" t="s">
        <v>287</v>
      </c>
    </row>
    <row r="273" spans="1:38">
      <c r="A273" s="25"/>
      <c r="B273" s="26"/>
      <c r="C273" s="29"/>
      <c r="D273" s="241"/>
      <c r="E273" s="29"/>
      <c r="F273" s="35"/>
      <c r="G273" s="22"/>
      <c r="H273" s="31"/>
      <c r="I273" s="399"/>
      <c r="J273" s="410"/>
      <c r="K273" s="410"/>
      <c r="L273" s="46"/>
      <c r="M273" s="17"/>
      <c r="N273" s="68"/>
      <c r="O273" s="55"/>
      <c r="P273" s="268"/>
      <c r="Q273" s="56"/>
      <c r="R273" s="1" t="str">
        <f t="shared" si="57"/>
        <v/>
      </c>
      <c r="S273" s="1" t="str">
        <f t="shared" si="57"/>
        <v/>
      </c>
      <c r="T273" s="1" t="str">
        <f t="shared" si="57"/>
        <v/>
      </c>
      <c r="U273" s="1" t="str">
        <f t="shared" si="57"/>
        <v/>
      </c>
      <c r="V273" s="25" t="s">
        <v>683</v>
      </c>
      <c r="W273" s="26" t="s">
        <v>684</v>
      </c>
      <c r="X273" s="29">
        <v>1</v>
      </c>
      <c r="Y273" s="241" t="s">
        <v>82</v>
      </c>
      <c r="Z273" s="29" t="s">
        <v>683</v>
      </c>
      <c r="AA273" s="35"/>
      <c r="AB273" s="22"/>
      <c r="AC273" s="31">
        <v>313</v>
      </c>
      <c r="AD273" s="100"/>
      <c r="AE273" s="410"/>
      <c r="AF273" s="410"/>
      <c r="AG273" s="46"/>
      <c r="AH273" s="46"/>
      <c r="AI273" s="68" t="s">
        <v>83</v>
      </c>
      <c r="AJ273" s="55" t="s">
        <v>84</v>
      </c>
      <c r="AK273" s="230" t="s">
        <v>85</v>
      </c>
      <c r="AL273" s="230" t="s">
        <v>290</v>
      </c>
    </row>
    <row r="274" spans="1:38">
      <c r="A274" s="93" t="s">
        <v>685</v>
      </c>
      <c r="B274" s="135" t="s">
        <v>686</v>
      </c>
      <c r="C274" s="95">
        <v>1</v>
      </c>
      <c r="D274" s="110" t="s">
        <v>75</v>
      </c>
      <c r="E274" s="111" t="s">
        <v>685</v>
      </c>
      <c r="F274" s="112">
        <v>665.23</v>
      </c>
      <c r="G274" s="97">
        <v>0.16500000000000001</v>
      </c>
      <c r="H274" s="98">
        <f t="shared" ref="H274:H280" si="58">F274-(F274*G274)</f>
        <v>555.46704999999997</v>
      </c>
      <c r="I274" s="144" t="s">
        <v>687</v>
      </c>
      <c r="J274" s="99">
        <f>mm_5pl</f>
        <v>44.998150000000003</v>
      </c>
      <c r="K274" s="130">
        <f>H274+J274</f>
        <v>600.46519999999998</v>
      </c>
      <c r="L274" s="17" t="s">
        <v>77</v>
      </c>
      <c r="M274" s="17">
        <v>0.6</v>
      </c>
      <c r="N274" s="68" t="s">
        <v>75</v>
      </c>
      <c r="O274" s="55" t="s">
        <v>688</v>
      </c>
      <c r="P274" s="230" t="s">
        <v>689</v>
      </c>
      <c r="Q274" s="205" t="s">
        <v>690</v>
      </c>
      <c r="R274" s="1">
        <f t="shared" si="57"/>
        <v>118.88445204008184</v>
      </c>
      <c r="S274" s="1">
        <f t="shared" si="57"/>
        <v>60.827098446338262</v>
      </c>
      <c r="T274" s="1">
        <f t="shared" si="57"/>
        <v>43.630971845432313</v>
      </c>
      <c r="U274" s="1">
        <f t="shared" si="57"/>
        <v>37.377387101694275</v>
      </c>
      <c r="V274" s="93" t="s">
        <v>685</v>
      </c>
      <c r="W274" s="135" t="s">
        <v>686</v>
      </c>
      <c r="X274" s="95">
        <v>1</v>
      </c>
      <c r="Y274" s="110" t="s">
        <v>75</v>
      </c>
      <c r="Z274" s="111" t="s">
        <v>685</v>
      </c>
      <c r="AA274" s="112">
        <v>665.23</v>
      </c>
      <c r="AB274" s="97">
        <v>0.16500000000000001</v>
      </c>
      <c r="AC274" s="98">
        <f t="shared" ref="AC274:AC280" si="59">AA274-(AA274*AB274)</f>
        <v>555.46704999999997</v>
      </c>
      <c r="AD274" s="144" t="s">
        <v>687</v>
      </c>
      <c r="AE274" s="99">
        <f>mm_5pl</f>
        <v>44.998150000000003</v>
      </c>
      <c r="AF274" s="130">
        <f>AC274+AE274</f>
        <v>600.46519999999998</v>
      </c>
      <c r="AG274" s="17" t="s">
        <v>77</v>
      </c>
      <c r="AH274" s="17">
        <v>0.6</v>
      </c>
      <c r="AI274" s="68" t="s">
        <v>75</v>
      </c>
      <c r="AJ274" s="55" t="s">
        <v>688</v>
      </c>
      <c r="AK274" s="230" t="s">
        <v>689</v>
      </c>
      <c r="AL274" s="230" t="s">
        <v>690</v>
      </c>
    </row>
    <row r="275" spans="1:38" s="174" customFormat="1">
      <c r="A275" s="103" t="s">
        <v>687</v>
      </c>
      <c r="B275" s="104" t="s">
        <v>691</v>
      </c>
      <c r="C275" s="105">
        <v>1</v>
      </c>
      <c r="D275" s="108" t="s">
        <v>82</v>
      </c>
      <c r="E275" s="245" t="s">
        <v>687</v>
      </c>
      <c r="F275" s="108">
        <v>53.89</v>
      </c>
      <c r="G275" s="180">
        <v>0.16500000000000001</v>
      </c>
      <c r="H275" s="100">
        <f t="shared" si="58"/>
        <v>44.998150000000003</v>
      </c>
      <c r="I275" s="192"/>
      <c r="J275" s="173"/>
      <c r="K275" s="173"/>
      <c r="L275" s="120" t="s">
        <v>77</v>
      </c>
      <c r="M275" s="120" t="s">
        <v>77</v>
      </c>
      <c r="N275" s="68" t="s">
        <v>83</v>
      </c>
      <c r="O275" s="55" t="s">
        <v>84</v>
      </c>
      <c r="P275" s="265" t="s">
        <v>85</v>
      </c>
      <c r="Q275" s="203" t="s">
        <v>692</v>
      </c>
      <c r="R275" s="1" t="str">
        <f t="shared" si="57"/>
        <v/>
      </c>
      <c r="S275" s="1" t="str">
        <f t="shared" si="57"/>
        <v/>
      </c>
      <c r="T275" s="1" t="str">
        <f t="shared" si="57"/>
        <v/>
      </c>
      <c r="U275" s="1" t="str">
        <f t="shared" si="57"/>
        <v/>
      </c>
      <c r="V275" s="103" t="s">
        <v>687</v>
      </c>
      <c r="W275" s="104" t="s">
        <v>691</v>
      </c>
      <c r="X275" s="105">
        <v>1</v>
      </c>
      <c r="Y275" s="108" t="s">
        <v>82</v>
      </c>
      <c r="Z275" s="245" t="s">
        <v>687</v>
      </c>
      <c r="AA275" s="108">
        <v>53.89</v>
      </c>
      <c r="AB275" s="180">
        <v>0.16500000000000001</v>
      </c>
      <c r="AC275" s="100">
        <f t="shared" si="59"/>
        <v>44.998150000000003</v>
      </c>
      <c r="AD275" s="192"/>
      <c r="AE275" s="173"/>
      <c r="AF275" s="173"/>
      <c r="AG275" s="120" t="s">
        <v>77</v>
      </c>
      <c r="AH275" s="120" t="s">
        <v>77</v>
      </c>
      <c r="AI275" s="68" t="s">
        <v>83</v>
      </c>
      <c r="AJ275" s="55" t="s">
        <v>84</v>
      </c>
      <c r="AK275" s="230" t="s">
        <v>85</v>
      </c>
      <c r="AL275" s="230" t="s">
        <v>692</v>
      </c>
    </row>
    <row r="276" spans="1:38">
      <c r="A276" s="25" t="s">
        <v>693</v>
      </c>
      <c r="B276" s="123" t="s">
        <v>694</v>
      </c>
      <c r="C276" s="29">
        <v>1</v>
      </c>
      <c r="D276" s="35" t="s">
        <v>75</v>
      </c>
      <c r="E276" s="33" t="s">
        <v>77</v>
      </c>
      <c r="F276" s="35">
        <v>191.67</v>
      </c>
      <c r="G276" s="102">
        <f t="shared" ref="G276:G280" si="60">rv_mm_eg_cto</f>
        <v>0.16500000000000001</v>
      </c>
      <c r="H276" s="31">
        <f t="shared" si="58"/>
        <v>160.04444999999998</v>
      </c>
      <c r="I276" s="185"/>
      <c r="J276" s="17"/>
      <c r="K276" s="17"/>
      <c r="L276" s="17" t="s">
        <v>77</v>
      </c>
      <c r="M276" s="17" t="s">
        <v>77</v>
      </c>
      <c r="N276" s="68" t="s">
        <v>75</v>
      </c>
      <c r="O276" s="55" t="s">
        <v>688</v>
      </c>
      <c r="P276" s="230" t="s">
        <v>689</v>
      </c>
      <c r="Q276" s="205" t="s">
        <v>690</v>
      </c>
      <c r="R276" s="1" t="str">
        <f t="shared" si="57"/>
        <v/>
      </c>
      <c r="S276" s="1" t="str">
        <f t="shared" si="57"/>
        <v/>
      </c>
      <c r="T276" s="1" t="str">
        <f t="shared" si="57"/>
        <v/>
      </c>
      <c r="U276" s="1" t="str">
        <f t="shared" si="57"/>
        <v/>
      </c>
      <c r="V276" s="25" t="s">
        <v>693</v>
      </c>
      <c r="W276" s="123" t="s">
        <v>694</v>
      </c>
      <c r="X276" s="29">
        <v>1</v>
      </c>
      <c r="Y276" s="35" t="s">
        <v>75</v>
      </c>
      <c r="Z276" s="33" t="s">
        <v>77</v>
      </c>
      <c r="AA276" s="35">
        <v>191.67</v>
      </c>
      <c r="AB276" s="102">
        <f t="shared" ref="AB276:AB280" si="61">rv_mm_eg_cto</f>
        <v>0.16500000000000001</v>
      </c>
      <c r="AC276" s="31">
        <f t="shared" si="59"/>
        <v>160.04444999999998</v>
      </c>
      <c r="AD276" s="185"/>
      <c r="AE276" s="17"/>
      <c r="AF276" s="17"/>
      <c r="AG276" s="17" t="s">
        <v>77</v>
      </c>
      <c r="AH276" s="17" t="s">
        <v>77</v>
      </c>
      <c r="AI276" s="68" t="s">
        <v>75</v>
      </c>
      <c r="AJ276" s="55" t="s">
        <v>688</v>
      </c>
      <c r="AK276" s="230" t="s">
        <v>689</v>
      </c>
      <c r="AL276" s="230" t="s">
        <v>89</v>
      </c>
    </row>
    <row r="277" spans="1:38">
      <c r="A277" s="25" t="s">
        <v>695</v>
      </c>
      <c r="B277" s="26" t="s">
        <v>696</v>
      </c>
      <c r="C277" s="29">
        <v>1</v>
      </c>
      <c r="D277" s="35" t="s">
        <v>75</v>
      </c>
      <c r="E277" s="33" t="s">
        <v>77</v>
      </c>
      <c r="F277" s="35">
        <v>191.67</v>
      </c>
      <c r="G277" s="102">
        <f t="shared" si="60"/>
        <v>0.16500000000000001</v>
      </c>
      <c r="H277" s="31">
        <f t="shared" si="58"/>
        <v>160.04444999999998</v>
      </c>
      <c r="I277" s="185"/>
      <c r="J277" s="17"/>
      <c r="K277" s="17"/>
      <c r="L277" s="17" t="s">
        <v>77</v>
      </c>
      <c r="M277" s="17" t="s">
        <v>77</v>
      </c>
      <c r="N277" s="68" t="s">
        <v>75</v>
      </c>
      <c r="O277" s="55" t="s">
        <v>688</v>
      </c>
      <c r="P277" s="230" t="s">
        <v>689</v>
      </c>
      <c r="Q277" s="205" t="s">
        <v>690</v>
      </c>
      <c r="R277" s="1" t="str">
        <f t="shared" si="57"/>
        <v/>
      </c>
      <c r="S277" s="1" t="str">
        <f t="shared" si="57"/>
        <v/>
      </c>
      <c r="T277" s="1" t="str">
        <f t="shared" si="57"/>
        <v/>
      </c>
      <c r="U277" s="1" t="str">
        <f t="shared" si="57"/>
        <v/>
      </c>
      <c r="V277" s="25" t="s">
        <v>695</v>
      </c>
      <c r="W277" s="26" t="s">
        <v>696</v>
      </c>
      <c r="X277" s="29">
        <v>1</v>
      </c>
      <c r="Y277" s="35" t="s">
        <v>75</v>
      </c>
      <c r="Z277" s="33" t="s">
        <v>77</v>
      </c>
      <c r="AA277" s="35">
        <v>191.67</v>
      </c>
      <c r="AB277" s="102">
        <f t="shared" si="61"/>
        <v>0.16500000000000001</v>
      </c>
      <c r="AC277" s="31">
        <f t="shared" si="59"/>
        <v>160.04444999999998</v>
      </c>
      <c r="AD277" s="185"/>
      <c r="AE277" s="17"/>
      <c r="AF277" s="17"/>
      <c r="AG277" s="17" t="s">
        <v>77</v>
      </c>
      <c r="AH277" s="17" t="s">
        <v>77</v>
      </c>
      <c r="AI277" s="68" t="s">
        <v>75</v>
      </c>
      <c r="AJ277" s="55" t="s">
        <v>688</v>
      </c>
      <c r="AK277" s="230" t="s">
        <v>689</v>
      </c>
      <c r="AL277" s="230" t="s">
        <v>89</v>
      </c>
    </row>
    <row r="278" spans="1:38">
      <c r="A278" s="25" t="s">
        <v>697</v>
      </c>
      <c r="B278" s="26" t="s">
        <v>698</v>
      </c>
      <c r="C278" s="29">
        <v>1</v>
      </c>
      <c r="D278" s="35" t="s">
        <v>75</v>
      </c>
      <c r="E278" s="33" t="s">
        <v>77</v>
      </c>
      <c r="F278" s="35">
        <v>383.33</v>
      </c>
      <c r="G278" s="102">
        <f t="shared" si="60"/>
        <v>0.16500000000000001</v>
      </c>
      <c r="H278" s="31">
        <f t="shared" si="58"/>
        <v>320.08054999999996</v>
      </c>
      <c r="I278" s="185"/>
      <c r="J278" s="17"/>
      <c r="K278" s="17"/>
      <c r="L278" s="17" t="s">
        <v>77</v>
      </c>
      <c r="M278" s="17" t="s">
        <v>77</v>
      </c>
      <c r="N278" s="68" t="s">
        <v>75</v>
      </c>
      <c r="O278" s="55" t="s">
        <v>688</v>
      </c>
      <c r="P278" s="230" t="s">
        <v>689</v>
      </c>
      <c r="Q278" s="205" t="s">
        <v>690</v>
      </c>
      <c r="R278" s="1" t="str">
        <f t="shared" si="57"/>
        <v/>
      </c>
      <c r="S278" s="1" t="str">
        <f t="shared" si="57"/>
        <v/>
      </c>
      <c r="T278" s="1" t="str">
        <f t="shared" si="57"/>
        <v/>
      </c>
      <c r="U278" s="1" t="str">
        <f t="shared" si="57"/>
        <v/>
      </c>
      <c r="V278" s="25" t="s">
        <v>697</v>
      </c>
      <c r="W278" s="26" t="s">
        <v>698</v>
      </c>
      <c r="X278" s="29">
        <v>1</v>
      </c>
      <c r="Y278" s="35" t="s">
        <v>75</v>
      </c>
      <c r="Z278" s="33" t="s">
        <v>77</v>
      </c>
      <c r="AA278" s="35">
        <v>383.33</v>
      </c>
      <c r="AB278" s="102">
        <f t="shared" si="61"/>
        <v>0.16500000000000001</v>
      </c>
      <c r="AC278" s="31">
        <f t="shared" si="59"/>
        <v>320.08054999999996</v>
      </c>
      <c r="AD278" s="185"/>
      <c r="AE278" s="17"/>
      <c r="AF278" s="17"/>
      <c r="AG278" s="17" t="s">
        <v>77</v>
      </c>
      <c r="AH278" s="17" t="s">
        <v>77</v>
      </c>
      <c r="AI278" s="68" t="s">
        <v>75</v>
      </c>
      <c r="AJ278" s="55" t="s">
        <v>688</v>
      </c>
      <c r="AK278" s="230" t="s">
        <v>689</v>
      </c>
      <c r="AL278" s="230" t="s">
        <v>89</v>
      </c>
    </row>
    <row r="279" spans="1:38">
      <c r="A279" s="25" t="s">
        <v>699</v>
      </c>
      <c r="B279" s="26" t="s">
        <v>700</v>
      </c>
      <c r="C279" s="29">
        <v>1</v>
      </c>
      <c r="D279" s="35" t="s">
        <v>75</v>
      </c>
      <c r="E279" s="33" t="s">
        <v>77</v>
      </c>
      <c r="F279" s="35">
        <v>766.67</v>
      </c>
      <c r="G279" s="102">
        <f t="shared" si="60"/>
        <v>0.16500000000000001</v>
      </c>
      <c r="H279" s="31">
        <f t="shared" si="58"/>
        <v>640.16944999999998</v>
      </c>
      <c r="I279" s="185"/>
      <c r="J279" s="17"/>
      <c r="K279" s="17"/>
      <c r="L279" s="17" t="s">
        <v>77</v>
      </c>
      <c r="M279" s="17" t="s">
        <v>77</v>
      </c>
      <c r="N279" s="68" t="s">
        <v>75</v>
      </c>
      <c r="O279" s="55" t="s">
        <v>688</v>
      </c>
      <c r="P279" s="230" t="s">
        <v>689</v>
      </c>
      <c r="Q279" s="205" t="s">
        <v>690</v>
      </c>
      <c r="R279" s="1" t="str">
        <f t="shared" si="57"/>
        <v/>
      </c>
      <c r="S279" s="1" t="str">
        <f t="shared" si="57"/>
        <v/>
      </c>
      <c r="T279" s="1" t="str">
        <f t="shared" si="57"/>
        <v/>
      </c>
      <c r="U279" s="1" t="str">
        <f t="shared" si="57"/>
        <v/>
      </c>
      <c r="V279" s="25" t="s">
        <v>699</v>
      </c>
      <c r="W279" s="26" t="s">
        <v>700</v>
      </c>
      <c r="X279" s="29">
        <v>1</v>
      </c>
      <c r="Y279" s="35" t="s">
        <v>75</v>
      </c>
      <c r="Z279" s="33" t="s">
        <v>77</v>
      </c>
      <c r="AA279" s="35">
        <v>766.67</v>
      </c>
      <c r="AB279" s="102">
        <f t="shared" si="61"/>
        <v>0.16500000000000001</v>
      </c>
      <c r="AC279" s="31">
        <f t="shared" si="59"/>
        <v>640.16944999999998</v>
      </c>
      <c r="AD279" s="185"/>
      <c r="AE279" s="17"/>
      <c r="AF279" s="17"/>
      <c r="AG279" s="17" t="s">
        <v>77</v>
      </c>
      <c r="AH279" s="17" t="s">
        <v>77</v>
      </c>
      <c r="AI279" s="68" t="s">
        <v>75</v>
      </c>
      <c r="AJ279" s="55" t="s">
        <v>688</v>
      </c>
      <c r="AK279" s="230" t="s">
        <v>689</v>
      </c>
      <c r="AL279" s="230" t="s">
        <v>89</v>
      </c>
    </row>
    <row r="280" spans="1:38">
      <c r="A280" s="25" t="s">
        <v>701</v>
      </c>
      <c r="B280" s="26" t="s">
        <v>702</v>
      </c>
      <c r="C280" s="29">
        <v>1</v>
      </c>
      <c r="D280" s="35" t="s">
        <v>75</v>
      </c>
      <c r="E280" s="33" t="s">
        <v>77</v>
      </c>
      <c r="F280" s="35">
        <v>95.83</v>
      </c>
      <c r="G280" s="102">
        <f t="shared" si="60"/>
        <v>0.16500000000000001</v>
      </c>
      <c r="H280" s="31">
        <f t="shared" si="58"/>
        <v>80.018050000000002</v>
      </c>
      <c r="I280" s="185"/>
      <c r="J280" s="17"/>
      <c r="K280" s="17"/>
      <c r="L280" s="17" t="s">
        <v>77</v>
      </c>
      <c r="M280" s="17" t="s">
        <v>77</v>
      </c>
      <c r="N280" s="68" t="s">
        <v>75</v>
      </c>
      <c r="O280" s="55" t="s">
        <v>688</v>
      </c>
      <c r="P280" s="230" t="s">
        <v>689</v>
      </c>
      <c r="Q280" s="205" t="s">
        <v>690</v>
      </c>
      <c r="R280" s="1" t="str">
        <f t="shared" si="57"/>
        <v/>
      </c>
      <c r="S280" s="1" t="str">
        <f t="shared" si="57"/>
        <v/>
      </c>
      <c r="T280" s="1" t="str">
        <f t="shared" si="57"/>
        <v/>
      </c>
      <c r="U280" s="1" t="str">
        <f t="shared" si="57"/>
        <v/>
      </c>
      <c r="V280" s="25" t="s">
        <v>701</v>
      </c>
      <c r="W280" s="26" t="s">
        <v>702</v>
      </c>
      <c r="X280" s="29">
        <v>1</v>
      </c>
      <c r="Y280" s="35" t="s">
        <v>75</v>
      </c>
      <c r="Z280" s="33" t="s">
        <v>77</v>
      </c>
      <c r="AA280" s="35">
        <v>95.83</v>
      </c>
      <c r="AB280" s="102">
        <f t="shared" si="61"/>
        <v>0.16500000000000001</v>
      </c>
      <c r="AC280" s="31">
        <f t="shared" si="59"/>
        <v>80.018050000000002</v>
      </c>
      <c r="AD280" s="185"/>
      <c r="AE280" s="17"/>
      <c r="AF280" s="17"/>
      <c r="AG280" s="17" t="s">
        <v>77</v>
      </c>
      <c r="AH280" s="17" t="s">
        <v>77</v>
      </c>
      <c r="AI280" s="68" t="s">
        <v>75</v>
      </c>
      <c r="AJ280" s="55" t="s">
        <v>688</v>
      </c>
      <c r="AK280" s="230" t="s">
        <v>689</v>
      </c>
      <c r="AL280" s="230" t="s">
        <v>89</v>
      </c>
    </row>
    <row r="281" spans="1:38">
      <c r="A281" s="103" t="s">
        <v>703</v>
      </c>
      <c r="B281" s="104" t="s">
        <v>704</v>
      </c>
      <c r="C281" s="105">
        <v>1</v>
      </c>
      <c r="D281" s="106" t="s">
        <v>82</v>
      </c>
      <c r="E281" s="105" t="s">
        <v>703</v>
      </c>
      <c r="F281" s="108"/>
      <c r="G281" s="109"/>
      <c r="H281" s="100">
        <v>8.75</v>
      </c>
      <c r="I281" s="185"/>
      <c r="J281" s="17"/>
      <c r="K281" s="17"/>
      <c r="L281" s="17" t="s">
        <v>77</v>
      </c>
      <c r="M281" s="17" t="s">
        <v>77</v>
      </c>
      <c r="N281" s="68" t="s">
        <v>83</v>
      </c>
      <c r="O281" s="55" t="s">
        <v>84</v>
      </c>
      <c r="P281" s="230" t="s">
        <v>85</v>
      </c>
      <c r="Q281" s="205" t="s">
        <v>692</v>
      </c>
      <c r="R281" s="1" t="str">
        <f t="shared" si="57"/>
        <v/>
      </c>
      <c r="S281" s="1" t="str">
        <f t="shared" si="57"/>
        <v/>
      </c>
      <c r="T281" s="1" t="str">
        <f t="shared" si="57"/>
        <v/>
      </c>
      <c r="U281" s="1" t="str">
        <f t="shared" si="57"/>
        <v/>
      </c>
      <c r="V281" s="103" t="s">
        <v>703</v>
      </c>
      <c r="W281" s="104" t="s">
        <v>704</v>
      </c>
      <c r="X281" s="105">
        <v>1</v>
      </c>
      <c r="Y281" s="106" t="s">
        <v>82</v>
      </c>
      <c r="Z281" s="105" t="s">
        <v>703</v>
      </c>
      <c r="AA281" s="108"/>
      <c r="AB281" s="109"/>
      <c r="AC281" s="100">
        <v>8.75</v>
      </c>
      <c r="AD281" s="185"/>
      <c r="AE281" s="17"/>
      <c r="AF281" s="17"/>
      <c r="AG281" s="17" t="s">
        <v>77</v>
      </c>
      <c r="AH281" s="17" t="s">
        <v>77</v>
      </c>
      <c r="AI281" s="68" t="s">
        <v>83</v>
      </c>
      <c r="AJ281" s="55" t="s">
        <v>84</v>
      </c>
      <c r="AK281" s="230" t="s">
        <v>85</v>
      </c>
      <c r="AL281" s="230" t="s">
        <v>692</v>
      </c>
    </row>
    <row r="282" spans="1:38">
      <c r="A282" s="103" t="s">
        <v>705</v>
      </c>
      <c r="B282" s="104" t="s">
        <v>706</v>
      </c>
      <c r="C282" s="105">
        <v>1</v>
      </c>
      <c r="D282" s="106" t="s">
        <v>82</v>
      </c>
      <c r="E282" s="105" t="s">
        <v>705</v>
      </c>
      <c r="F282" s="108"/>
      <c r="G282" s="109"/>
      <c r="H282" s="100">
        <v>13</v>
      </c>
      <c r="I282" s="185"/>
      <c r="J282" s="17"/>
      <c r="K282" s="17"/>
      <c r="L282" s="17" t="s">
        <v>77</v>
      </c>
      <c r="M282" s="17" t="s">
        <v>77</v>
      </c>
      <c r="N282" s="68" t="s">
        <v>83</v>
      </c>
      <c r="O282" s="55" t="s">
        <v>84</v>
      </c>
      <c r="P282" s="230" t="s">
        <v>85</v>
      </c>
      <c r="Q282" s="205" t="s">
        <v>692</v>
      </c>
      <c r="R282" s="1" t="str">
        <f t="shared" si="57"/>
        <v/>
      </c>
      <c r="S282" s="1" t="str">
        <f t="shared" si="57"/>
        <v/>
      </c>
      <c r="T282" s="1" t="str">
        <f t="shared" si="57"/>
        <v/>
      </c>
      <c r="U282" s="1" t="str">
        <f t="shared" si="57"/>
        <v/>
      </c>
      <c r="V282" s="103" t="s">
        <v>705</v>
      </c>
      <c r="W282" s="104" t="s">
        <v>706</v>
      </c>
      <c r="X282" s="105">
        <v>1</v>
      </c>
      <c r="Y282" s="106" t="s">
        <v>82</v>
      </c>
      <c r="Z282" s="105" t="s">
        <v>705</v>
      </c>
      <c r="AA282" s="108"/>
      <c r="AB282" s="109"/>
      <c r="AC282" s="100">
        <v>13</v>
      </c>
      <c r="AD282" s="185"/>
      <c r="AE282" s="17"/>
      <c r="AF282" s="17"/>
      <c r="AG282" s="17" t="s">
        <v>77</v>
      </c>
      <c r="AH282" s="17" t="s">
        <v>77</v>
      </c>
      <c r="AI282" s="68" t="s">
        <v>83</v>
      </c>
      <c r="AJ282" s="55" t="s">
        <v>84</v>
      </c>
      <c r="AK282" s="230" t="s">
        <v>85</v>
      </c>
      <c r="AL282" s="230" t="s">
        <v>692</v>
      </c>
    </row>
    <row r="283" spans="1:38">
      <c r="A283" s="103" t="s">
        <v>707</v>
      </c>
      <c r="B283" s="104" t="s">
        <v>708</v>
      </c>
      <c r="C283" s="105">
        <v>1</v>
      </c>
      <c r="D283" s="106" t="s">
        <v>82</v>
      </c>
      <c r="E283" s="105" t="s">
        <v>707</v>
      </c>
      <c r="F283" s="108"/>
      <c r="G283" s="109"/>
      <c r="H283" s="100">
        <v>18</v>
      </c>
      <c r="I283" s="185"/>
      <c r="J283" s="17"/>
      <c r="K283" s="17"/>
      <c r="L283" s="17" t="s">
        <v>77</v>
      </c>
      <c r="M283" s="17" t="s">
        <v>77</v>
      </c>
      <c r="N283" s="68" t="s">
        <v>83</v>
      </c>
      <c r="O283" s="55" t="s">
        <v>84</v>
      </c>
      <c r="P283" s="230" t="s">
        <v>85</v>
      </c>
      <c r="Q283" s="205" t="s">
        <v>692</v>
      </c>
      <c r="R283" s="1" t="str">
        <f t="shared" si="57"/>
        <v/>
      </c>
      <c r="S283" s="1" t="str">
        <f t="shared" si="57"/>
        <v/>
      </c>
      <c r="T283" s="1" t="str">
        <f t="shared" si="57"/>
        <v/>
      </c>
      <c r="U283" s="1" t="str">
        <f t="shared" si="57"/>
        <v/>
      </c>
      <c r="V283" s="103" t="s">
        <v>707</v>
      </c>
      <c r="W283" s="104" t="s">
        <v>708</v>
      </c>
      <c r="X283" s="105">
        <v>1</v>
      </c>
      <c r="Y283" s="106" t="s">
        <v>82</v>
      </c>
      <c r="Z283" s="105" t="s">
        <v>707</v>
      </c>
      <c r="AA283" s="108"/>
      <c r="AB283" s="109"/>
      <c r="AC283" s="100">
        <v>18</v>
      </c>
      <c r="AD283" s="185"/>
      <c r="AE283" s="17"/>
      <c r="AF283" s="17"/>
      <c r="AG283" s="17" t="s">
        <v>77</v>
      </c>
      <c r="AH283" s="17" t="s">
        <v>77</v>
      </c>
      <c r="AI283" s="68" t="s">
        <v>83</v>
      </c>
      <c r="AJ283" s="55" t="s">
        <v>84</v>
      </c>
      <c r="AK283" s="230" t="s">
        <v>85</v>
      </c>
      <c r="AL283" s="230" t="s">
        <v>692</v>
      </c>
    </row>
    <row r="284" spans="1:38">
      <c r="A284" s="103" t="s">
        <v>709</v>
      </c>
      <c r="B284" s="104" t="s">
        <v>710</v>
      </c>
      <c r="C284" s="105">
        <v>1</v>
      </c>
      <c r="D284" s="106" t="s">
        <v>82</v>
      </c>
      <c r="E284" s="105" t="s">
        <v>709</v>
      </c>
      <c r="F284" s="108"/>
      <c r="G284" s="109"/>
      <c r="H284" s="100">
        <v>20</v>
      </c>
      <c r="I284" s="185"/>
      <c r="J284" s="17"/>
      <c r="K284" s="17"/>
      <c r="L284" s="17" t="s">
        <v>77</v>
      </c>
      <c r="M284" s="17" t="s">
        <v>77</v>
      </c>
      <c r="N284" s="68" t="s">
        <v>83</v>
      </c>
      <c r="O284" s="55" t="s">
        <v>84</v>
      </c>
      <c r="P284" s="230" t="s">
        <v>85</v>
      </c>
      <c r="Q284" s="205" t="s">
        <v>692</v>
      </c>
      <c r="R284" s="1" t="str">
        <f t="shared" si="57"/>
        <v/>
      </c>
      <c r="S284" s="1" t="str">
        <f t="shared" si="57"/>
        <v/>
      </c>
      <c r="T284" s="1" t="str">
        <f t="shared" si="57"/>
        <v/>
      </c>
      <c r="U284" s="1" t="str">
        <f t="shared" si="57"/>
        <v/>
      </c>
      <c r="V284" s="103" t="s">
        <v>709</v>
      </c>
      <c r="W284" s="104" t="s">
        <v>710</v>
      </c>
      <c r="X284" s="105">
        <v>1</v>
      </c>
      <c r="Y284" s="106" t="s">
        <v>82</v>
      </c>
      <c r="Z284" s="105" t="s">
        <v>709</v>
      </c>
      <c r="AA284" s="108"/>
      <c r="AB284" s="109"/>
      <c r="AC284" s="100">
        <v>20</v>
      </c>
      <c r="AD284" s="185"/>
      <c r="AE284" s="17"/>
      <c r="AF284" s="17"/>
      <c r="AG284" s="17" t="s">
        <v>77</v>
      </c>
      <c r="AH284" s="17" t="s">
        <v>77</v>
      </c>
      <c r="AI284" s="68" t="s">
        <v>83</v>
      </c>
      <c r="AJ284" s="55" t="s">
        <v>84</v>
      </c>
      <c r="AK284" s="230" t="s">
        <v>85</v>
      </c>
      <c r="AL284" s="230" t="s">
        <v>692</v>
      </c>
    </row>
    <row r="285" spans="1:38">
      <c r="A285" s="103" t="s">
        <v>711</v>
      </c>
      <c r="B285" s="104" t="s">
        <v>712</v>
      </c>
      <c r="C285" s="105">
        <v>1</v>
      </c>
      <c r="D285" s="106" t="s">
        <v>82</v>
      </c>
      <c r="E285" s="105" t="s">
        <v>711</v>
      </c>
      <c r="F285" s="108"/>
      <c r="G285" s="109"/>
      <c r="H285" s="100">
        <v>23</v>
      </c>
      <c r="I285" s="185"/>
      <c r="J285" s="17"/>
      <c r="K285" s="17"/>
      <c r="L285" s="17" t="s">
        <v>77</v>
      </c>
      <c r="M285" s="17" t="s">
        <v>77</v>
      </c>
      <c r="N285" s="68" t="s">
        <v>83</v>
      </c>
      <c r="O285" s="55" t="s">
        <v>84</v>
      </c>
      <c r="P285" s="230" t="s">
        <v>85</v>
      </c>
      <c r="Q285" s="205" t="s">
        <v>692</v>
      </c>
      <c r="R285" s="1" t="str">
        <f t="shared" si="57"/>
        <v/>
      </c>
      <c r="S285" s="1" t="str">
        <f t="shared" si="57"/>
        <v/>
      </c>
      <c r="T285" s="1" t="str">
        <f t="shared" si="57"/>
        <v/>
      </c>
      <c r="U285" s="1" t="str">
        <f t="shared" si="57"/>
        <v/>
      </c>
      <c r="V285" s="103" t="s">
        <v>711</v>
      </c>
      <c r="W285" s="104" t="s">
        <v>712</v>
      </c>
      <c r="X285" s="105">
        <v>1</v>
      </c>
      <c r="Y285" s="106" t="s">
        <v>82</v>
      </c>
      <c r="Z285" s="105" t="s">
        <v>711</v>
      </c>
      <c r="AA285" s="108"/>
      <c r="AB285" s="109"/>
      <c r="AC285" s="100">
        <v>23</v>
      </c>
      <c r="AD285" s="185"/>
      <c r="AE285" s="17"/>
      <c r="AF285" s="17"/>
      <c r="AG285" s="17" t="s">
        <v>77</v>
      </c>
      <c r="AH285" s="17" t="s">
        <v>77</v>
      </c>
      <c r="AI285" s="68" t="s">
        <v>83</v>
      </c>
      <c r="AJ285" s="55" t="s">
        <v>84</v>
      </c>
      <c r="AK285" s="230" t="s">
        <v>85</v>
      </c>
      <c r="AL285" s="230" t="s">
        <v>692</v>
      </c>
    </row>
    <row r="286" spans="1:38">
      <c r="A286" s="103" t="s">
        <v>713</v>
      </c>
      <c r="B286" s="104" t="s">
        <v>714</v>
      </c>
      <c r="C286" s="105">
        <v>1</v>
      </c>
      <c r="D286" s="106" t="s">
        <v>82</v>
      </c>
      <c r="E286" s="105" t="s">
        <v>713</v>
      </c>
      <c r="F286" s="108"/>
      <c r="G286" s="109"/>
      <c r="H286" s="100">
        <v>52</v>
      </c>
      <c r="I286" s="185"/>
      <c r="J286" s="17"/>
      <c r="K286" s="17"/>
      <c r="L286" s="17" t="s">
        <v>77</v>
      </c>
      <c r="M286" s="17" t="s">
        <v>77</v>
      </c>
      <c r="N286" s="68" t="s">
        <v>83</v>
      </c>
      <c r="O286" s="55" t="s">
        <v>84</v>
      </c>
      <c r="P286" s="230" t="s">
        <v>85</v>
      </c>
      <c r="Q286" s="205" t="s">
        <v>692</v>
      </c>
      <c r="R286" s="1" t="str">
        <f t="shared" si="57"/>
        <v/>
      </c>
      <c r="S286" s="1" t="str">
        <f t="shared" si="57"/>
        <v/>
      </c>
      <c r="T286" s="1" t="str">
        <f t="shared" si="57"/>
        <v/>
      </c>
      <c r="U286" s="1" t="str">
        <f t="shared" si="57"/>
        <v/>
      </c>
      <c r="V286" s="103" t="s">
        <v>713</v>
      </c>
      <c r="W286" s="104" t="s">
        <v>714</v>
      </c>
      <c r="X286" s="105">
        <v>1</v>
      </c>
      <c r="Y286" s="106" t="s">
        <v>82</v>
      </c>
      <c r="Z286" s="105" t="s">
        <v>713</v>
      </c>
      <c r="AA286" s="108"/>
      <c r="AB286" s="109"/>
      <c r="AC286" s="100">
        <v>52</v>
      </c>
      <c r="AD286" s="185"/>
      <c r="AE286" s="17"/>
      <c r="AF286" s="17"/>
      <c r="AG286" s="17" t="s">
        <v>77</v>
      </c>
      <c r="AH286" s="17" t="s">
        <v>77</v>
      </c>
      <c r="AI286" s="68" t="s">
        <v>83</v>
      </c>
      <c r="AJ286" s="55" t="s">
        <v>84</v>
      </c>
      <c r="AK286" s="230" t="s">
        <v>85</v>
      </c>
      <c r="AL286" s="230" t="s">
        <v>692</v>
      </c>
    </row>
    <row r="287" spans="1:38">
      <c r="A287" s="103" t="s">
        <v>715</v>
      </c>
      <c r="B287" s="104" t="s">
        <v>716</v>
      </c>
      <c r="C287" s="105">
        <v>1</v>
      </c>
      <c r="D287" s="106" t="s">
        <v>82</v>
      </c>
      <c r="E287" s="105" t="s">
        <v>715</v>
      </c>
      <c r="F287" s="108"/>
      <c r="G287" s="109"/>
      <c r="H287" s="100">
        <v>57</v>
      </c>
      <c r="I287" s="185"/>
      <c r="J287" s="17"/>
      <c r="K287" s="17"/>
      <c r="L287" s="17" t="s">
        <v>77</v>
      </c>
      <c r="M287" s="17" t="s">
        <v>77</v>
      </c>
      <c r="N287" s="68" t="s">
        <v>83</v>
      </c>
      <c r="O287" s="55" t="s">
        <v>84</v>
      </c>
      <c r="P287" s="230" t="s">
        <v>85</v>
      </c>
      <c r="Q287" s="205" t="s">
        <v>692</v>
      </c>
      <c r="R287" s="1" t="str">
        <f t="shared" si="57"/>
        <v/>
      </c>
      <c r="S287" s="1" t="str">
        <f t="shared" si="57"/>
        <v/>
      </c>
      <c r="T287" s="1" t="str">
        <f t="shared" si="57"/>
        <v/>
      </c>
      <c r="U287" s="1" t="str">
        <f t="shared" si="57"/>
        <v/>
      </c>
      <c r="V287" s="103" t="s">
        <v>715</v>
      </c>
      <c r="W287" s="104" t="s">
        <v>716</v>
      </c>
      <c r="X287" s="105">
        <v>1</v>
      </c>
      <c r="Y287" s="106" t="s">
        <v>82</v>
      </c>
      <c r="Z287" s="105" t="s">
        <v>715</v>
      </c>
      <c r="AA287" s="108"/>
      <c r="AB287" s="109"/>
      <c r="AC287" s="100">
        <v>57</v>
      </c>
      <c r="AD287" s="185"/>
      <c r="AE287" s="17"/>
      <c r="AF287" s="17"/>
      <c r="AG287" s="17" t="s">
        <v>77</v>
      </c>
      <c r="AH287" s="17" t="s">
        <v>77</v>
      </c>
      <c r="AI287" s="68" t="s">
        <v>83</v>
      </c>
      <c r="AJ287" s="55" t="s">
        <v>84</v>
      </c>
      <c r="AK287" s="230" t="s">
        <v>85</v>
      </c>
      <c r="AL287" s="230" t="s">
        <v>692</v>
      </c>
    </row>
    <row r="288" spans="1:38">
      <c r="A288" s="103" t="s">
        <v>717</v>
      </c>
      <c r="B288" s="104" t="s">
        <v>718</v>
      </c>
      <c r="C288" s="105">
        <v>1</v>
      </c>
      <c r="D288" s="106" t="s">
        <v>82</v>
      </c>
      <c r="E288" s="105" t="s">
        <v>717</v>
      </c>
      <c r="F288" s="108"/>
      <c r="G288" s="109"/>
      <c r="H288" s="100">
        <v>37</v>
      </c>
      <c r="I288" s="185"/>
      <c r="J288" s="17"/>
      <c r="K288" s="17"/>
      <c r="L288" s="17" t="s">
        <v>77</v>
      </c>
      <c r="M288" s="17" t="s">
        <v>77</v>
      </c>
      <c r="N288" s="68" t="s">
        <v>83</v>
      </c>
      <c r="O288" s="55" t="s">
        <v>84</v>
      </c>
      <c r="P288" s="230" t="s">
        <v>85</v>
      </c>
      <c r="Q288" s="205" t="s">
        <v>692</v>
      </c>
      <c r="R288" s="1" t="str">
        <f t="shared" si="57"/>
        <v/>
      </c>
      <c r="S288" s="1" t="str">
        <f t="shared" si="57"/>
        <v/>
      </c>
      <c r="T288" s="1" t="str">
        <f t="shared" si="57"/>
        <v/>
      </c>
      <c r="U288" s="1" t="str">
        <f t="shared" si="57"/>
        <v/>
      </c>
      <c r="V288" s="103" t="s">
        <v>717</v>
      </c>
      <c r="W288" s="104" t="s">
        <v>718</v>
      </c>
      <c r="X288" s="105">
        <v>1</v>
      </c>
      <c r="Y288" s="106" t="s">
        <v>82</v>
      </c>
      <c r="Z288" s="105" t="s">
        <v>717</v>
      </c>
      <c r="AA288" s="108"/>
      <c r="AB288" s="109"/>
      <c r="AC288" s="100">
        <v>37</v>
      </c>
      <c r="AD288" s="185"/>
      <c r="AE288" s="17"/>
      <c r="AF288" s="17"/>
      <c r="AG288" s="17" t="s">
        <v>77</v>
      </c>
      <c r="AH288" s="17" t="s">
        <v>77</v>
      </c>
      <c r="AI288" s="68" t="s">
        <v>83</v>
      </c>
      <c r="AJ288" s="55" t="s">
        <v>84</v>
      </c>
      <c r="AK288" s="230" t="s">
        <v>85</v>
      </c>
      <c r="AL288" s="230" t="s">
        <v>692</v>
      </c>
    </row>
    <row r="289" spans="1:38">
      <c r="A289" s="103" t="s">
        <v>719</v>
      </c>
      <c r="B289" s="104" t="s">
        <v>720</v>
      </c>
      <c r="C289" s="105">
        <v>1</v>
      </c>
      <c r="D289" s="106" t="s">
        <v>82</v>
      </c>
      <c r="E289" s="105" t="s">
        <v>719</v>
      </c>
      <c r="F289" s="108"/>
      <c r="G289" s="109"/>
      <c r="H289" s="100">
        <v>43</v>
      </c>
      <c r="I289" s="185"/>
      <c r="J289" s="17"/>
      <c r="K289" s="17"/>
      <c r="L289" s="17" t="s">
        <v>77</v>
      </c>
      <c r="M289" s="17" t="s">
        <v>77</v>
      </c>
      <c r="N289" s="68" t="s">
        <v>83</v>
      </c>
      <c r="O289" s="55" t="s">
        <v>84</v>
      </c>
      <c r="P289" s="230" t="s">
        <v>85</v>
      </c>
      <c r="Q289" s="205" t="s">
        <v>692</v>
      </c>
      <c r="R289" s="1" t="str">
        <f t="shared" si="57"/>
        <v/>
      </c>
      <c r="S289" s="1" t="str">
        <f t="shared" si="57"/>
        <v/>
      </c>
      <c r="T289" s="1" t="str">
        <f t="shared" si="57"/>
        <v/>
      </c>
      <c r="U289" s="1" t="str">
        <f t="shared" si="57"/>
        <v/>
      </c>
      <c r="V289" s="103" t="s">
        <v>719</v>
      </c>
      <c r="W289" s="104" t="s">
        <v>720</v>
      </c>
      <c r="X289" s="105">
        <v>1</v>
      </c>
      <c r="Y289" s="106" t="s">
        <v>82</v>
      </c>
      <c r="Z289" s="105" t="s">
        <v>719</v>
      </c>
      <c r="AA289" s="108"/>
      <c r="AB289" s="109"/>
      <c r="AC289" s="100">
        <v>43</v>
      </c>
      <c r="AD289" s="185"/>
      <c r="AE289" s="17"/>
      <c r="AF289" s="17"/>
      <c r="AG289" s="17" t="s">
        <v>77</v>
      </c>
      <c r="AH289" s="17" t="s">
        <v>77</v>
      </c>
      <c r="AI289" s="68" t="s">
        <v>83</v>
      </c>
      <c r="AJ289" s="55" t="s">
        <v>84</v>
      </c>
      <c r="AK289" s="230" t="s">
        <v>85</v>
      </c>
      <c r="AL289" s="230" t="s">
        <v>692</v>
      </c>
    </row>
    <row r="290" spans="1:38">
      <c r="A290" s="103" t="s">
        <v>721</v>
      </c>
      <c r="B290" s="104" t="s">
        <v>722</v>
      </c>
      <c r="C290" s="105">
        <v>1</v>
      </c>
      <c r="D290" s="106" t="s">
        <v>82</v>
      </c>
      <c r="E290" s="105" t="s">
        <v>721</v>
      </c>
      <c r="F290" s="108"/>
      <c r="G290" s="109"/>
      <c r="H290" s="100">
        <v>52</v>
      </c>
      <c r="I290" s="185"/>
      <c r="J290" s="17"/>
      <c r="K290" s="17"/>
      <c r="L290" s="17" t="s">
        <v>77</v>
      </c>
      <c r="M290" s="17" t="s">
        <v>77</v>
      </c>
      <c r="N290" s="68" t="s">
        <v>83</v>
      </c>
      <c r="O290" s="55" t="s">
        <v>84</v>
      </c>
      <c r="P290" s="230" t="s">
        <v>85</v>
      </c>
      <c r="Q290" s="205" t="s">
        <v>692</v>
      </c>
      <c r="R290" s="1" t="str">
        <f t="shared" si="57"/>
        <v/>
      </c>
      <c r="S290" s="1" t="str">
        <f t="shared" si="57"/>
        <v/>
      </c>
      <c r="T290" s="1" t="str">
        <f t="shared" si="57"/>
        <v/>
      </c>
      <c r="U290" s="1" t="str">
        <f t="shared" si="57"/>
        <v/>
      </c>
      <c r="V290" s="103" t="s">
        <v>721</v>
      </c>
      <c r="W290" s="104" t="s">
        <v>722</v>
      </c>
      <c r="X290" s="105">
        <v>1</v>
      </c>
      <c r="Y290" s="106" t="s">
        <v>82</v>
      </c>
      <c r="Z290" s="105" t="s">
        <v>721</v>
      </c>
      <c r="AA290" s="108"/>
      <c r="AB290" s="109"/>
      <c r="AC290" s="100">
        <v>52</v>
      </c>
      <c r="AD290" s="185"/>
      <c r="AE290" s="17"/>
      <c r="AF290" s="17"/>
      <c r="AG290" s="17" t="s">
        <v>77</v>
      </c>
      <c r="AH290" s="17" t="s">
        <v>77</v>
      </c>
      <c r="AI290" s="68" t="s">
        <v>83</v>
      </c>
      <c r="AJ290" s="55" t="s">
        <v>84</v>
      </c>
      <c r="AK290" s="230" t="s">
        <v>85</v>
      </c>
      <c r="AL290" s="230" t="s">
        <v>692</v>
      </c>
    </row>
    <row r="291" spans="1:38">
      <c r="A291" s="103" t="s">
        <v>723</v>
      </c>
      <c r="B291" s="104" t="s">
        <v>724</v>
      </c>
      <c r="C291" s="105">
        <v>1</v>
      </c>
      <c r="D291" s="106" t="s">
        <v>82</v>
      </c>
      <c r="E291" s="105" t="s">
        <v>723</v>
      </c>
      <c r="F291" s="108"/>
      <c r="G291" s="109"/>
      <c r="H291" s="100">
        <v>59</v>
      </c>
      <c r="I291" s="185"/>
      <c r="J291" s="17"/>
      <c r="K291" s="17"/>
      <c r="L291" s="17" t="s">
        <v>77</v>
      </c>
      <c r="M291" s="17" t="s">
        <v>77</v>
      </c>
      <c r="N291" s="68" t="s">
        <v>83</v>
      </c>
      <c r="O291" s="55" t="s">
        <v>84</v>
      </c>
      <c r="P291" s="230" t="s">
        <v>85</v>
      </c>
      <c r="Q291" s="205" t="s">
        <v>692</v>
      </c>
      <c r="R291" s="1" t="str">
        <f t="shared" si="57"/>
        <v/>
      </c>
      <c r="S291" s="1" t="str">
        <f t="shared" si="57"/>
        <v/>
      </c>
      <c r="T291" s="1" t="str">
        <f t="shared" si="57"/>
        <v/>
      </c>
      <c r="U291" s="1" t="str">
        <f t="shared" si="57"/>
        <v/>
      </c>
      <c r="V291" s="103" t="s">
        <v>723</v>
      </c>
      <c r="W291" s="104" t="s">
        <v>724</v>
      </c>
      <c r="X291" s="105">
        <v>1</v>
      </c>
      <c r="Y291" s="106" t="s">
        <v>82</v>
      </c>
      <c r="Z291" s="105" t="s">
        <v>723</v>
      </c>
      <c r="AA291" s="108"/>
      <c r="AB291" s="109"/>
      <c r="AC291" s="100">
        <v>59</v>
      </c>
      <c r="AD291" s="185"/>
      <c r="AE291" s="17"/>
      <c r="AF291" s="17"/>
      <c r="AG291" s="17" t="s">
        <v>77</v>
      </c>
      <c r="AH291" s="17" t="s">
        <v>77</v>
      </c>
      <c r="AI291" s="68" t="s">
        <v>83</v>
      </c>
      <c r="AJ291" s="55" t="s">
        <v>84</v>
      </c>
      <c r="AK291" s="230" t="s">
        <v>85</v>
      </c>
      <c r="AL291" s="230" t="s">
        <v>692</v>
      </c>
    </row>
    <row r="292" spans="1:38" s="168" customFormat="1" ht="38.25">
      <c r="A292" s="254" t="s">
        <v>725</v>
      </c>
      <c r="B292" s="239" t="s">
        <v>726</v>
      </c>
      <c r="C292" s="240">
        <v>1</v>
      </c>
      <c r="D292" s="241" t="s">
        <v>82</v>
      </c>
      <c r="E292" s="255" t="s">
        <v>725</v>
      </c>
      <c r="F292" s="242"/>
      <c r="G292" s="243"/>
      <c r="H292" s="242">
        <v>205</v>
      </c>
      <c r="I292" s="248"/>
      <c r="J292" s="71"/>
      <c r="K292" s="71"/>
      <c r="L292" s="71" t="s">
        <v>77</v>
      </c>
      <c r="M292" s="71" t="s">
        <v>77</v>
      </c>
      <c r="N292" s="68" t="s">
        <v>83</v>
      </c>
      <c r="O292" s="55" t="s">
        <v>84</v>
      </c>
      <c r="P292" s="264" t="s">
        <v>85</v>
      </c>
      <c r="Q292" s="246" t="s">
        <v>692</v>
      </c>
      <c r="R292" s="1" t="str">
        <f t="shared" si="57"/>
        <v/>
      </c>
      <c r="S292" s="1" t="str">
        <f t="shared" si="57"/>
        <v/>
      </c>
      <c r="T292" s="1" t="str">
        <f t="shared" si="57"/>
        <v/>
      </c>
      <c r="U292" s="1" t="str">
        <f t="shared" si="57"/>
        <v/>
      </c>
      <c r="V292" s="254" t="s">
        <v>725</v>
      </c>
      <c r="W292" s="239" t="s">
        <v>726</v>
      </c>
      <c r="X292" s="240">
        <v>1</v>
      </c>
      <c r="Y292" s="241" t="s">
        <v>82</v>
      </c>
      <c r="Z292" s="255" t="s">
        <v>725</v>
      </c>
      <c r="AA292" s="242"/>
      <c r="AB292" s="243"/>
      <c r="AC292" s="242">
        <v>205</v>
      </c>
      <c r="AD292" s="248"/>
      <c r="AE292" s="71"/>
      <c r="AF292" s="71"/>
      <c r="AG292" s="71" t="s">
        <v>77</v>
      </c>
      <c r="AH292" s="71" t="s">
        <v>77</v>
      </c>
      <c r="AI292" s="68" t="s">
        <v>83</v>
      </c>
      <c r="AJ292" s="55" t="s">
        <v>84</v>
      </c>
      <c r="AK292" s="230" t="s">
        <v>85</v>
      </c>
      <c r="AL292" s="230" t="s">
        <v>692</v>
      </c>
    </row>
    <row r="293" spans="1:38">
      <c r="A293" s="156" t="s">
        <v>727</v>
      </c>
      <c r="B293" s="104" t="s">
        <v>728</v>
      </c>
      <c r="C293" s="105">
        <v>1</v>
      </c>
      <c r="D293" s="106" t="s">
        <v>82</v>
      </c>
      <c r="E293" s="157" t="s">
        <v>727</v>
      </c>
      <c r="F293" s="108"/>
      <c r="G293" s="109"/>
      <c r="H293" s="100">
        <v>280</v>
      </c>
      <c r="I293" s="185"/>
      <c r="J293" s="17"/>
      <c r="K293" s="17"/>
      <c r="L293" s="17" t="s">
        <v>77</v>
      </c>
      <c r="M293" s="17" t="s">
        <v>77</v>
      </c>
      <c r="N293" s="68" t="s">
        <v>83</v>
      </c>
      <c r="O293" s="55" t="s">
        <v>84</v>
      </c>
      <c r="P293" s="230" t="s">
        <v>85</v>
      </c>
      <c r="Q293" s="205" t="s">
        <v>692</v>
      </c>
      <c r="R293" s="1" t="str">
        <f t="shared" si="57"/>
        <v/>
      </c>
      <c r="S293" s="1" t="str">
        <f t="shared" si="57"/>
        <v/>
      </c>
      <c r="T293" s="1" t="str">
        <f t="shared" si="57"/>
        <v/>
      </c>
      <c r="U293" s="1" t="str">
        <f t="shared" si="57"/>
        <v/>
      </c>
      <c r="V293" s="156" t="s">
        <v>727</v>
      </c>
      <c r="W293" s="104" t="s">
        <v>728</v>
      </c>
      <c r="X293" s="105">
        <v>1</v>
      </c>
      <c r="Y293" s="106" t="s">
        <v>82</v>
      </c>
      <c r="Z293" s="157" t="s">
        <v>727</v>
      </c>
      <c r="AA293" s="108"/>
      <c r="AB293" s="109"/>
      <c r="AC293" s="100">
        <v>280</v>
      </c>
      <c r="AD293" s="185"/>
      <c r="AE293" s="17"/>
      <c r="AF293" s="17"/>
      <c r="AG293" s="17" t="s">
        <v>77</v>
      </c>
      <c r="AH293" s="17" t="s">
        <v>77</v>
      </c>
      <c r="AI293" s="68" t="s">
        <v>83</v>
      </c>
      <c r="AJ293" s="55" t="s">
        <v>84</v>
      </c>
      <c r="AK293" s="230" t="s">
        <v>85</v>
      </c>
      <c r="AL293" s="230" t="s">
        <v>692</v>
      </c>
    </row>
    <row r="294" spans="1:38">
      <c r="A294" s="391"/>
      <c r="B294" s="431"/>
      <c r="C294" s="392"/>
      <c r="D294" s="452"/>
      <c r="E294" s="392"/>
      <c r="F294" s="35"/>
      <c r="G294" s="22"/>
      <c r="H294" s="460"/>
      <c r="I294" s="185"/>
      <c r="J294" s="17"/>
      <c r="K294" s="17"/>
      <c r="L294" s="17"/>
      <c r="M294" s="17"/>
      <c r="N294" s="68"/>
      <c r="O294" s="55"/>
      <c r="P294" s="230"/>
      <c r="Q294" s="205"/>
      <c r="R294" s="1" t="str">
        <f t="shared" si="57"/>
        <v/>
      </c>
      <c r="S294" s="1" t="str">
        <f t="shared" si="57"/>
        <v/>
      </c>
      <c r="T294" s="1" t="str">
        <f t="shared" si="57"/>
        <v/>
      </c>
      <c r="U294" s="1" t="str">
        <f t="shared" si="57"/>
        <v/>
      </c>
      <c r="V294" s="25" t="s">
        <v>729</v>
      </c>
      <c r="W294" s="26" t="s">
        <v>730</v>
      </c>
      <c r="X294" s="29">
        <v>1</v>
      </c>
      <c r="Y294" s="106" t="s">
        <v>82</v>
      </c>
      <c r="Z294" s="29" t="s">
        <v>729</v>
      </c>
      <c r="AA294" s="35"/>
      <c r="AB294" s="22"/>
      <c r="AC294" s="31">
        <v>89</v>
      </c>
      <c r="AD294" s="185"/>
      <c r="AE294" s="17"/>
      <c r="AF294" s="17"/>
      <c r="AG294" s="17" t="s">
        <v>77</v>
      </c>
      <c r="AH294" s="17" t="s">
        <v>77</v>
      </c>
      <c r="AI294" s="68" t="s">
        <v>83</v>
      </c>
      <c r="AJ294" s="55" t="s">
        <v>84</v>
      </c>
      <c r="AK294" s="230" t="s">
        <v>85</v>
      </c>
      <c r="AL294" s="230" t="s">
        <v>692</v>
      </c>
    </row>
    <row r="295" spans="1:38">
      <c r="A295" s="391"/>
      <c r="B295" s="431"/>
      <c r="C295" s="392"/>
      <c r="D295" s="452"/>
      <c r="E295" s="392"/>
      <c r="F295" s="35"/>
      <c r="G295" s="22"/>
      <c r="H295" s="31"/>
      <c r="I295" s="185"/>
      <c r="J295" s="17"/>
      <c r="K295" s="17"/>
      <c r="L295" s="17"/>
      <c r="M295" s="17"/>
      <c r="N295" s="68"/>
      <c r="O295" s="55"/>
      <c r="P295" s="230"/>
      <c r="Q295" s="205" t="s">
        <v>86</v>
      </c>
      <c r="R295" s="1" t="str">
        <f t="shared" si="57"/>
        <v/>
      </c>
      <c r="S295" s="1" t="str">
        <f t="shared" si="57"/>
        <v/>
      </c>
      <c r="T295" s="1" t="str">
        <f t="shared" si="57"/>
        <v/>
      </c>
      <c r="U295" s="1" t="str">
        <f t="shared" si="57"/>
        <v/>
      </c>
      <c r="V295" s="25" t="s">
        <v>731</v>
      </c>
      <c r="W295" s="26" t="s">
        <v>732</v>
      </c>
      <c r="X295" s="29">
        <v>1</v>
      </c>
      <c r="Y295" s="106" t="s">
        <v>82</v>
      </c>
      <c r="Z295" s="29" t="s">
        <v>731</v>
      </c>
      <c r="AA295" s="35"/>
      <c r="AB295" s="22"/>
      <c r="AC295" s="31">
        <v>157</v>
      </c>
      <c r="AD295" s="185"/>
      <c r="AE295" s="17"/>
      <c r="AF295" s="17"/>
      <c r="AG295" s="17" t="s">
        <v>77</v>
      </c>
      <c r="AH295" s="17" t="s">
        <v>77</v>
      </c>
      <c r="AI295" s="68" t="s">
        <v>83</v>
      </c>
      <c r="AJ295" s="55" t="s">
        <v>84</v>
      </c>
      <c r="AK295" s="230" t="s">
        <v>85</v>
      </c>
      <c r="AL295" s="230" t="s">
        <v>86</v>
      </c>
    </row>
    <row r="296" spans="1:38">
      <c r="A296" s="103" t="s">
        <v>733</v>
      </c>
      <c r="B296" s="104" t="s">
        <v>734</v>
      </c>
      <c r="C296" s="105">
        <v>1</v>
      </c>
      <c r="D296" s="106" t="s">
        <v>82</v>
      </c>
      <c r="E296" s="105" t="s">
        <v>733</v>
      </c>
      <c r="F296" s="108"/>
      <c r="G296" s="109"/>
      <c r="H296" s="100">
        <v>277.22000000000003</v>
      </c>
      <c r="I296" s="185"/>
      <c r="J296" s="17"/>
      <c r="K296" s="17"/>
      <c r="L296" s="17" t="s">
        <v>77</v>
      </c>
      <c r="M296" s="17" t="s">
        <v>77</v>
      </c>
      <c r="N296" s="68" t="s">
        <v>83</v>
      </c>
      <c r="O296" s="55" t="s">
        <v>84</v>
      </c>
      <c r="P296" s="230" t="s">
        <v>85</v>
      </c>
      <c r="Q296" s="205" t="s">
        <v>86</v>
      </c>
      <c r="R296" s="1" t="str">
        <f t="shared" si="57"/>
        <v/>
      </c>
      <c r="S296" s="1" t="str">
        <f t="shared" si="57"/>
        <v/>
      </c>
      <c r="T296" s="1" t="str">
        <f t="shared" si="57"/>
        <v/>
      </c>
      <c r="U296" s="1" t="str">
        <f t="shared" si="57"/>
        <v/>
      </c>
      <c r="V296" s="25" t="s">
        <v>733</v>
      </c>
      <c r="W296" s="26" t="s">
        <v>734</v>
      </c>
      <c r="X296" s="29">
        <v>1</v>
      </c>
      <c r="Y296" s="106" t="s">
        <v>82</v>
      </c>
      <c r="Z296" s="29" t="s">
        <v>733</v>
      </c>
      <c r="AA296" s="35"/>
      <c r="AB296" s="22"/>
      <c r="AC296" s="31">
        <v>79</v>
      </c>
      <c r="AD296" s="185"/>
      <c r="AE296" s="17"/>
      <c r="AF296" s="17"/>
      <c r="AG296" s="17" t="s">
        <v>77</v>
      </c>
      <c r="AH296" s="17" t="s">
        <v>77</v>
      </c>
      <c r="AI296" s="68" t="s">
        <v>83</v>
      </c>
      <c r="AJ296" s="55" t="s">
        <v>84</v>
      </c>
      <c r="AK296" s="230" t="s">
        <v>85</v>
      </c>
      <c r="AL296" s="230" t="s">
        <v>86</v>
      </c>
    </row>
    <row r="297" spans="1:38">
      <c r="A297" s="25"/>
      <c r="B297" s="26"/>
      <c r="C297" s="29"/>
      <c r="D297" s="106"/>
      <c r="E297" s="29"/>
      <c r="F297" s="35"/>
      <c r="G297" s="22"/>
      <c r="H297" s="31"/>
      <c r="I297" s="185"/>
      <c r="J297" s="17"/>
      <c r="K297" s="17"/>
      <c r="L297" s="17"/>
      <c r="M297" s="17"/>
      <c r="N297" s="68"/>
      <c r="O297" s="55"/>
      <c r="P297" s="230"/>
      <c r="Q297" s="205"/>
      <c r="R297" s="1" t="str">
        <f t="shared" si="57"/>
        <v/>
      </c>
      <c r="S297" s="1" t="str">
        <f t="shared" si="57"/>
        <v/>
      </c>
      <c r="T297" s="1" t="str">
        <f t="shared" si="57"/>
        <v/>
      </c>
      <c r="U297" s="1" t="str">
        <f t="shared" si="57"/>
        <v/>
      </c>
      <c r="V297" s="25" t="s">
        <v>735</v>
      </c>
      <c r="W297" s="26" t="s">
        <v>736</v>
      </c>
      <c r="X297" s="29">
        <v>1</v>
      </c>
      <c r="Y297" s="106" t="s">
        <v>82</v>
      </c>
      <c r="Z297" s="29" t="s">
        <v>735</v>
      </c>
      <c r="AA297" s="35"/>
      <c r="AB297" s="22"/>
      <c r="AC297" s="31">
        <v>146</v>
      </c>
      <c r="AD297" s="185"/>
      <c r="AE297" s="17"/>
      <c r="AF297" s="17"/>
      <c r="AG297" s="17" t="s">
        <v>77</v>
      </c>
      <c r="AH297" s="17" t="s">
        <v>77</v>
      </c>
      <c r="AI297" s="68" t="s">
        <v>83</v>
      </c>
      <c r="AJ297" s="55" t="s">
        <v>84</v>
      </c>
      <c r="AK297" s="230" t="s">
        <v>85</v>
      </c>
      <c r="AL297" s="230" t="s">
        <v>86</v>
      </c>
    </row>
    <row r="298" spans="1:38">
      <c r="A298" s="93" t="s">
        <v>737</v>
      </c>
      <c r="B298" s="94" t="s">
        <v>738</v>
      </c>
      <c r="C298" s="95">
        <v>1</v>
      </c>
      <c r="D298" s="110" t="s">
        <v>75</v>
      </c>
      <c r="E298" s="111" t="s">
        <v>737</v>
      </c>
      <c r="F298" s="112">
        <v>856.9</v>
      </c>
      <c r="G298" s="97">
        <f>rv_mm_hg</f>
        <v>0.16500000000000001</v>
      </c>
      <c r="H298" s="98">
        <f t="shared" ref="H298:H310" si="62">F298-(F298*G298)</f>
        <v>715.51149999999996</v>
      </c>
      <c r="I298" s="144" t="s">
        <v>739</v>
      </c>
      <c r="J298" s="99">
        <f>mm_5pl</f>
        <v>44.998150000000003</v>
      </c>
      <c r="K298" s="133">
        <f>H298+J298</f>
        <v>760.50964999999997</v>
      </c>
      <c r="L298" s="17" t="s">
        <v>77</v>
      </c>
      <c r="M298" s="17">
        <v>0.6</v>
      </c>
      <c r="N298" s="68" t="s">
        <v>75</v>
      </c>
      <c r="O298" s="55" t="s">
        <v>740</v>
      </c>
      <c r="P298" s="230" t="s">
        <v>689</v>
      </c>
      <c r="Q298" s="205" t="s">
        <v>690</v>
      </c>
      <c r="R298" s="1">
        <f t="shared" si="57"/>
        <v>150.57121213926206</v>
      </c>
      <c r="S298" s="1">
        <f t="shared" si="57"/>
        <v>77.039594217850194</v>
      </c>
      <c r="T298" s="1">
        <f t="shared" si="57"/>
        <v>55.260113537519878</v>
      </c>
      <c r="U298" s="1">
        <f t="shared" si="57"/>
        <v>47.33973522965865</v>
      </c>
      <c r="V298" s="93" t="s">
        <v>737</v>
      </c>
      <c r="W298" s="94" t="s">
        <v>738</v>
      </c>
      <c r="X298" s="95">
        <v>1</v>
      </c>
      <c r="Y298" s="110" t="s">
        <v>75</v>
      </c>
      <c r="Z298" s="111" t="s">
        <v>737</v>
      </c>
      <c r="AA298" s="112">
        <v>856.9</v>
      </c>
      <c r="AB298" s="97">
        <f>rv_mm_hg</f>
        <v>0.16500000000000001</v>
      </c>
      <c r="AC298" s="98">
        <f t="shared" ref="AC298:AC321" si="63">AA298-(AA298*AB298)</f>
        <v>715.51149999999996</v>
      </c>
      <c r="AD298" s="144" t="s">
        <v>739</v>
      </c>
      <c r="AE298" s="99">
        <f>mm_5pl</f>
        <v>44.998150000000003</v>
      </c>
      <c r="AF298" s="133">
        <f>AC298+AE298</f>
        <v>760.50964999999997</v>
      </c>
      <c r="AG298" s="17" t="s">
        <v>77</v>
      </c>
      <c r="AH298" s="17">
        <v>0.6</v>
      </c>
      <c r="AI298" s="68" t="s">
        <v>75</v>
      </c>
      <c r="AJ298" s="55" t="s">
        <v>740</v>
      </c>
      <c r="AK298" s="230" t="s">
        <v>689</v>
      </c>
      <c r="AL298" s="230" t="s">
        <v>690</v>
      </c>
    </row>
    <row r="299" spans="1:38">
      <c r="A299" s="25" t="s">
        <v>741</v>
      </c>
      <c r="B299" s="26" t="s">
        <v>742</v>
      </c>
      <c r="C299" s="29">
        <v>1</v>
      </c>
      <c r="D299" s="35" t="s">
        <v>75</v>
      </c>
      <c r="E299" s="33" t="s">
        <v>77</v>
      </c>
      <c r="F299" s="35">
        <v>191.67</v>
      </c>
      <c r="G299" s="102">
        <f t="shared" ref="G299:G301" si="64">rv_mm_hg_cto</f>
        <v>0.16500000000000001</v>
      </c>
      <c r="H299" s="31">
        <f t="shared" si="62"/>
        <v>160.04444999999998</v>
      </c>
      <c r="I299" s="185"/>
      <c r="J299" s="17"/>
      <c r="K299" s="17"/>
      <c r="L299" s="17" t="s">
        <v>77</v>
      </c>
      <c r="M299" s="17" t="s">
        <v>77</v>
      </c>
      <c r="N299" s="68" t="s">
        <v>75</v>
      </c>
      <c r="O299" s="55" t="s">
        <v>740</v>
      </c>
      <c r="P299" s="230" t="s">
        <v>689</v>
      </c>
      <c r="Q299" s="205" t="s">
        <v>690</v>
      </c>
      <c r="R299" s="1" t="str">
        <f t="shared" si="57"/>
        <v/>
      </c>
      <c r="S299" s="1" t="str">
        <f t="shared" si="57"/>
        <v/>
      </c>
      <c r="T299" s="1" t="str">
        <f t="shared" si="57"/>
        <v/>
      </c>
      <c r="U299" s="1" t="str">
        <f t="shared" si="57"/>
        <v/>
      </c>
      <c r="V299" s="25" t="s">
        <v>741</v>
      </c>
      <c r="W299" s="26" t="s">
        <v>742</v>
      </c>
      <c r="X299" s="29">
        <v>1</v>
      </c>
      <c r="Y299" s="35" t="s">
        <v>75</v>
      </c>
      <c r="Z299" s="33" t="s">
        <v>77</v>
      </c>
      <c r="AA299" s="35">
        <v>191.67</v>
      </c>
      <c r="AB299" s="102">
        <f t="shared" ref="AB299:AB301" si="65">rv_mm_hg_cto</f>
        <v>0.16500000000000001</v>
      </c>
      <c r="AC299" s="31">
        <f t="shared" si="63"/>
        <v>160.04444999999998</v>
      </c>
      <c r="AD299" s="185"/>
      <c r="AE299" s="17"/>
      <c r="AF299" s="17"/>
      <c r="AG299" s="17" t="s">
        <v>77</v>
      </c>
      <c r="AH299" s="17" t="s">
        <v>77</v>
      </c>
      <c r="AI299" s="68" t="s">
        <v>75</v>
      </c>
      <c r="AJ299" s="55" t="s">
        <v>740</v>
      </c>
      <c r="AK299" s="230" t="s">
        <v>689</v>
      </c>
      <c r="AL299" s="230" t="s">
        <v>89</v>
      </c>
    </row>
    <row r="300" spans="1:38">
      <c r="A300" s="25" t="s">
        <v>743</v>
      </c>
      <c r="B300" s="26" t="s">
        <v>744</v>
      </c>
      <c r="C300" s="29">
        <v>1</v>
      </c>
      <c r="D300" s="35" t="s">
        <v>75</v>
      </c>
      <c r="E300" s="33" t="s">
        <v>77</v>
      </c>
      <c r="F300" s="35">
        <v>191.67</v>
      </c>
      <c r="G300" s="102">
        <f t="shared" si="64"/>
        <v>0.16500000000000001</v>
      </c>
      <c r="H300" s="31">
        <f t="shared" si="62"/>
        <v>160.04444999999998</v>
      </c>
      <c r="I300" s="185"/>
      <c r="J300" s="17"/>
      <c r="K300" s="17"/>
      <c r="L300" s="17" t="s">
        <v>77</v>
      </c>
      <c r="M300" s="17" t="s">
        <v>77</v>
      </c>
      <c r="N300" s="68" t="s">
        <v>75</v>
      </c>
      <c r="O300" s="55" t="s">
        <v>740</v>
      </c>
      <c r="P300" s="230" t="s">
        <v>689</v>
      </c>
      <c r="Q300" s="205" t="s">
        <v>690</v>
      </c>
      <c r="R300" s="1" t="str">
        <f t="shared" si="57"/>
        <v/>
      </c>
      <c r="S300" s="1" t="str">
        <f t="shared" si="57"/>
        <v/>
      </c>
      <c r="T300" s="1" t="str">
        <f t="shared" si="57"/>
        <v/>
      </c>
      <c r="U300" s="1" t="str">
        <f t="shared" si="57"/>
        <v/>
      </c>
      <c r="V300" s="25" t="s">
        <v>743</v>
      </c>
      <c r="W300" s="26" t="s">
        <v>744</v>
      </c>
      <c r="X300" s="29">
        <v>1</v>
      </c>
      <c r="Y300" s="35" t="s">
        <v>75</v>
      </c>
      <c r="Z300" s="33" t="s">
        <v>77</v>
      </c>
      <c r="AA300" s="35">
        <v>191.67</v>
      </c>
      <c r="AB300" s="102">
        <f t="shared" si="65"/>
        <v>0.16500000000000001</v>
      </c>
      <c r="AC300" s="31">
        <f t="shared" si="63"/>
        <v>160.04444999999998</v>
      </c>
      <c r="AD300" s="185"/>
      <c r="AE300" s="17"/>
      <c r="AF300" s="17"/>
      <c r="AG300" s="17" t="s">
        <v>77</v>
      </c>
      <c r="AH300" s="17" t="s">
        <v>77</v>
      </c>
      <c r="AI300" s="68" t="s">
        <v>75</v>
      </c>
      <c r="AJ300" s="55" t="s">
        <v>740</v>
      </c>
      <c r="AK300" s="230" t="s">
        <v>689</v>
      </c>
      <c r="AL300" s="230" t="s">
        <v>89</v>
      </c>
    </row>
    <row r="301" spans="1:38">
      <c r="A301" s="25" t="s">
        <v>745</v>
      </c>
      <c r="B301" s="26" t="s">
        <v>746</v>
      </c>
      <c r="C301" s="29">
        <v>1</v>
      </c>
      <c r="D301" s="35" t="s">
        <v>75</v>
      </c>
      <c r="E301" s="33" t="s">
        <v>77</v>
      </c>
      <c r="F301" s="35">
        <v>575</v>
      </c>
      <c r="G301" s="102">
        <f t="shared" si="64"/>
        <v>0.16500000000000001</v>
      </c>
      <c r="H301" s="31">
        <f t="shared" si="62"/>
        <v>480.125</v>
      </c>
      <c r="I301" s="185"/>
      <c r="J301" s="17"/>
      <c r="K301" s="17"/>
      <c r="L301" s="17" t="s">
        <v>77</v>
      </c>
      <c r="M301" s="17" t="s">
        <v>77</v>
      </c>
      <c r="N301" s="68" t="s">
        <v>75</v>
      </c>
      <c r="O301" s="55" t="s">
        <v>740</v>
      </c>
      <c r="P301" s="230" t="s">
        <v>689</v>
      </c>
      <c r="Q301" s="205" t="s">
        <v>690</v>
      </c>
      <c r="R301" s="1" t="str">
        <f t="shared" si="57"/>
        <v/>
      </c>
      <c r="S301" s="1" t="str">
        <f t="shared" si="57"/>
        <v/>
      </c>
      <c r="T301" s="1" t="str">
        <f t="shared" si="57"/>
        <v/>
      </c>
      <c r="U301" s="1" t="str">
        <f t="shared" si="57"/>
        <v/>
      </c>
      <c r="V301" s="25" t="s">
        <v>745</v>
      </c>
      <c r="W301" s="26" t="s">
        <v>746</v>
      </c>
      <c r="X301" s="29">
        <v>1</v>
      </c>
      <c r="Y301" s="35" t="s">
        <v>75</v>
      </c>
      <c r="Z301" s="33" t="s">
        <v>77</v>
      </c>
      <c r="AA301" s="35">
        <v>575</v>
      </c>
      <c r="AB301" s="102">
        <f t="shared" si="65"/>
        <v>0.16500000000000001</v>
      </c>
      <c r="AC301" s="31">
        <f t="shared" si="63"/>
        <v>480.125</v>
      </c>
      <c r="AD301" s="185"/>
      <c r="AE301" s="17"/>
      <c r="AF301" s="17"/>
      <c r="AG301" s="17" t="s">
        <v>77</v>
      </c>
      <c r="AH301" s="17" t="s">
        <v>77</v>
      </c>
      <c r="AI301" s="68" t="s">
        <v>75</v>
      </c>
      <c r="AJ301" s="55" t="s">
        <v>740</v>
      </c>
      <c r="AK301" s="230" t="s">
        <v>689</v>
      </c>
      <c r="AL301" s="230" t="s">
        <v>89</v>
      </c>
    </row>
    <row r="302" spans="1:38">
      <c r="A302" s="25" t="s">
        <v>747</v>
      </c>
      <c r="B302" s="26" t="s">
        <v>748</v>
      </c>
      <c r="C302" s="29">
        <v>1</v>
      </c>
      <c r="D302" s="35" t="s">
        <v>75</v>
      </c>
      <c r="E302" s="33" t="s">
        <v>77</v>
      </c>
      <c r="F302" s="35">
        <v>95.83</v>
      </c>
      <c r="G302" s="102">
        <f>rv_mm_hg_cto</f>
        <v>0.16500000000000001</v>
      </c>
      <c r="H302" s="31">
        <f t="shared" si="62"/>
        <v>80.018050000000002</v>
      </c>
      <c r="I302" s="185"/>
      <c r="J302" s="17"/>
      <c r="K302" s="17"/>
      <c r="L302" s="17" t="s">
        <v>77</v>
      </c>
      <c r="M302" s="17" t="s">
        <v>77</v>
      </c>
      <c r="N302" s="68" t="s">
        <v>75</v>
      </c>
      <c r="O302" s="55" t="s">
        <v>688</v>
      </c>
      <c r="P302" s="230" t="s">
        <v>689</v>
      </c>
      <c r="Q302" s="205" t="s">
        <v>690</v>
      </c>
      <c r="R302" s="1" t="str">
        <f t="shared" si="57"/>
        <v/>
      </c>
      <c r="S302" s="1" t="str">
        <f t="shared" si="57"/>
        <v/>
      </c>
      <c r="T302" s="1" t="str">
        <f t="shared" si="57"/>
        <v/>
      </c>
      <c r="U302" s="1" t="str">
        <f t="shared" si="57"/>
        <v/>
      </c>
      <c r="V302" s="25" t="s">
        <v>747</v>
      </c>
      <c r="W302" s="26" t="s">
        <v>748</v>
      </c>
      <c r="X302" s="29">
        <v>1</v>
      </c>
      <c r="Y302" s="35" t="s">
        <v>75</v>
      </c>
      <c r="Z302" s="33" t="s">
        <v>77</v>
      </c>
      <c r="AA302" s="35">
        <v>95.83</v>
      </c>
      <c r="AB302" s="102">
        <f>rv_mm_hg_cto</f>
        <v>0.16500000000000001</v>
      </c>
      <c r="AC302" s="31">
        <f t="shared" si="63"/>
        <v>80.018050000000002</v>
      </c>
      <c r="AD302" s="185"/>
      <c r="AE302" s="17"/>
      <c r="AF302" s="17"/>
      <c r="AG302" s="17" t="s">
        <v>77</v>
      </c>
      <c r="AH302" s="17" t="s">
        <v>77</v>
      </c>
      <c r="AI302" s="68" t="s">
        <v>75</v>
      </c>
      <c r="AJ302" s="55" t="s">
        <v>688</v>
      </c>
      <c r="AK302" s="230" t="s">
        <v>689</v>
      </c>
      <c r="AL302" s="230" t="s">
        <v>89</v>
      </c>
    </row>
    <row r="303" spans="1:38">
      <c r="A303" s="94" t="s">
        <v>749</v>
      </c>
      <c r="B303" s="94" t="s">
        <v>750</v>
      </c>
      <c r="C303" s="136">
        <v>1</v>
      </c>
      <c r="D303" s="137" t="s">
        <v>75</v>
      </c>
      <c r="E303" s="137" t="s">
        <v>749</v>
      </c>
      <c r="F303" s="112">
        <v>1048.57</v>
      </c>
      <c r="G303" s="97">
        <f>rv_mm_hg</f>
        <v>0.16500000000000001</v>
      </c>
      <c r="H303" s="98">
        <f t="shared" si="62"/>
        <v>875.55594999999994</v>
      </c>
      <c r="I303" s="144" t="s">
        <v>739</v>
      </c>
      <c r="J303" s="99">
        <f>mm_5pl</f>
        <v>44.998150000000003</v>
      </c>
      <c r="K303" s="133">
        <f>H303+J303</f>
        <v>920.55409999999995</v>
      </c>
      <c r="L303" s="17" t="s">
        <v>77</v>
      </c>
      <c r="M303" s="17">
        <v>0.6</v>
      </c>
      <c r="N303" s="68" t="s">
        <v>75</v>
      </c>
      <c r="O303" s="55" t="s">
        <v>740</v>
      </c>
      <c r="P303" s="230" t="s">
        <v>689</v>
      </c>
      <c r="Q303" s="205" t="s">
        <v>690</v>
      </c>
      <c r="R303" s="1">
        <f t="shared" si="57"/>
        <v>182.25797223844228</v>
      </c>
      <c r="S303" s="1">
        <f t="shared" si="57"/>
        <v>93.252089989362105</v>
      </c>
      <c r="T303" s="1">
        <f t="shared" si="57"/>
        <v>66.889255229607443</v>
      </c>
      <c r="U303" s="1">
        <f t="shared" si="57"/>
        <v>57.302083357623019</v>
      </c>
      <c r="V303" s="94" t="s">
        <v>749</v>
      </c>
      <c r="W303" s="94" t="s">
        <v>750</v>
      </c>
      <c r="X303" s="136">
        <v>1</v>
      </c>
      <c r="Y303" s="137" t="s">
        <v>75</v>
      </c>
      <c r="Z303" s="137" t="s">
        <v>749</v>
      </c>
      <c r="AA303" s="112">
        <v>1048.57</v>
      </c>
      <c r="AB303" s="97">
        <f>rv_mm_hg</f>
        <v>0.16500000000000001</v>
      </c>
      <c r="AC303" s="98">
        <f t="shared" si="63"/>
        <v>875.55594999999994</v>
      </c>
      <c r="AD303" s="144" t="s">
        <v>739</v>
      </c>
      <c r="AE303" s="99">
        <f>mm_5pl</f>
        <v>44.998150000000003</v>
      </c>
      <c r="AF303" s="133">
        <f>AC303+AE303</f>
        <v>920.55409999999995</v>
      </c>
      <c r="AG303" s="17" t="s">
        <v>77</v>
      </c>
      <c r="AH303" s="17">
        <v>0.6</v>
      </c>
      <c r="AI303" s="68" t="s">
        <v>75</v>
      </c>
      <c r="AJ303" s="55" t="s">
        <v>740</v>
      </c>
      <c r="AK303" s="230" t="s">
        <v>689</v>
      </c>
      <c r="AL303" s="230" t="s">
        <v>690</v>
      </c>
    </row>
    <row r="304" spans="1:38">
      <c r="A304" s="25" t="s">
        <v>751</v>
      </c>
      <c r="B304" s="26" t="s">
        <v>752</v>
      </c>
      <c r="C304" s="29">
        <v>1</v>
      </c>
      <c r="D304" s="35" t="s">
        <v>75</v>
      </c>
      <c r="E304" s="33" t="s">
        <v>77</v>
      </c>
      <c r="F304" s="35">
        <v>200</v>
      </c>
      <c r="G304" s="102">
        <f t="shared" ref="G304:G310" si="66">rv_mm_hg_cto</f>
        <v>0.16500000000000001</v>
      </c>
      <c r="H304" s="31">
        <f t="shared" si="62"/>
        <v>167</v>
      </c>
      <c r="I304" s="185"/>
      <c r="J304" s="17"/>
      <c r="K304" s="133"/>
      <c r="L304" s="17" t="s">
        <v>77</v>
      </c>
      <c r="M304" s="17" t="s">
        <v>77</v>
      </c>
      <c r="N304" s="68" t="s">
        <v>75</v>
      </c>
      <c r="O304" s="55" t="s">
        <v>740</v>
      </c>
      <c r="P304" s="230" t="s">
        <v>689</v>
      </c>
      <c r="Q304" s="205" t="s">
        <v>690</v>
      </c>
      <c r="R304" s="1" t="str">
        <f t="shared" si="57"/>
        <v/>
      </c>
      <c r="S304" s="1" t="str">
        <f t="shared" si="57"/>
        <v/>
      </c>
      <c r="T304" s="1" t="str">
        <f t="shared" si="57"/>
        <v/>
      </c>
      <c r="U304" s="1" t="str">
        <f t="shared" si="57"/>
        <v/>
      </c>
      <c r="V304" s="25" t="s">
        <v>751</v>
      </c>
      <c r="W304" s="26" t="s">
        <v>752</v>
      </c>
      <c r="X304" s="29">
        <v>1</v>
      </c>
      <c r="Y304" s="35" t="s">
        <v>75</v>
      </c>
      <c r="Z304" s="33" t="s">
        <v>77</v>
      </c>
      <c r="AA304" s="35">
        <v>200</v>
      </c>
      <c r="AB304" s="102">
        <f t="shared" ref="AB304:AB310" si="67">rv_mm_hg_cto</f>
        <v>0.16500000000000001</v>
      </c>
      <c r="AC304" s="31">
        <f t="shared" si="63"/>
        <v>167</v>
      </c>
      <c r="AD304" s="185"/>
      <c r="AE304" s="17"/>
      <c r="AF304" s="133"/>
      <c r="AG304" s="17" t="s">
        <v>77</v>
      </c>
      <c r="AH304" s="17" t="s">
        <v>77</v>
      </c>
      <c r="AI304" s="68" t="s">
        <v>75</v>
      </c>
      <c r="AJ304" s="55" t="s">
        <v>740</v>
      </c>
      <c r="AK304" s="230" t="s">
        <v>689</v>
      </c>
      <c r="AL304" s="230" t="s">
        <v>89</v>
      </c>
    </row>
    <row r="305" spans="1:38">
      <c r="A305" s="25" t="s">
        <v>753</v>
      </c>
      <c r="B305" s="26" t="s">
        <v>754</v>
      </c>
      <c r="C305" s="29">
        <v>1</v>
      </c>
      <c r="D305" s="35" t="s">
        <v>75</v>
      </c>
      <c r="E305" s="33" t="s">
        <v>77</v>
      </c>
      <c r="F305" s="35">
        <v>191.67</v>
      </c>
      <c r="G305" s="102">
        <f t="shared" si="66"/>
        <v>0.16500000000000001</v>
      </c>
      <c r="H305" s="31">
        <f t="shared" si="62"/>
        <v>160.04444999999998</v>
      </c>
      <c r="I305" s="185"/>
      <c r="J305" s="17"/>
      <c r="K305" s="17"/>
      <c r="L305" s="17" t="s">
        <v>77</v>
      </c>
      <c r="M305" s="17" t="s">
        <v>77</v>
      </c>
      <c r="N305" s="68" t="s">
        <v>75</v>
      </c>
      <c r="O305" s="55" t="s">
        <v>740</v>
      </c>
      <c r="P305" s="230" t="s">
        <v>689</v>
      </c>
      <c r="Q305" s="205" t="s">
        <v>690</v>
      </c>
      <c r="R305" s="1" t="str">
        <f t="shared" si="57"/>
        <v/>
      </c>
      <c r="S305" s="1" t="str">
        <f t="shared" si="57"/>
        <v/>
      </c>
      <c r="T305" s="1" t="str">
        <f t="shared" si="57"/>
        <v/>
      </c>
      <c r="U305" s="1" t="str">
        <f t="shared" si="57"/>
        <v/>
      </c>
      <c r="V305" s="25" t="s">
        <v>753</v>
      </c>
      <c r="W305" s="26" t="s">
        <v>754</v>
      </c>
      <c r="X305" s="29">
        <v>1</v>
      </c>
      <c r="Y305" s="35" t="s">
        <v>75</v>
      </c>
      <c r="Z305" s="33" t="s">
        <v>77</v>
      </c>
      <c r="AA305" s="35">
        <v>191.67</v>
      </c>
      <c r="AB305" s="102">
        <f t="shared" si="67"/>
        <v>0.16500000000000001</v>
      </c>
      <c r="AC305" s="31">
        <f t="shared" si="63"/>
        <v>160.04444999999998</v>
      </c>
      <c r="AD305" s="185"/>
      <c r="AE305" s="17"/>
      <c r="AF305" s="17"/>
      <c r="AG305" s="17" t="s">
        <v>77</v>
      </c>
      <c r="AH305" s="17" t="s">
        <v>77</v>
      </c>
      <c r="AI305" s="68" t="s">
        <v>75</v>
      </c>
      <c r="AJ305" s="55" t="s">
        <v>740</v>
      </c>
      <c r="AK305" s="230" t="s">
        <v>689</v>
      </c>
      <c r="AL305" s="230" t="s">
        <v>89</v>
      </c>
    </row>
    <row r="306" spans="1:38">
      <c r="A306" s="25" t="s">
        <v>755</v>
      </c>
      <c r="B306" s="26" t="s">
        <v>756</v>
      </c>
      <c r="C306" s="29">
        <v>1</v>
      </c>
      <c r="D306" s="35" t="s">
        <v>75</v>
      </c>
      <c r="E306" s="33" t="s">
        <v>77</v>
      </c>
      <c r="F306" s="35">
        <v>575</v>
      </c>
      <c r="G306" s="102">
        <f t="shared" si="66"/>
        <v>0.16500000000000001</v>
      </c>
      <c r="H306" s="31">
        <f t="shared" si="62"/>
        <v>480.125</v>
      </c>
      <c r="I306" s="185"/>
      <c r="J306" s="17"/>
      <c r="K306" s="17"/>
      <c r="L306" s="17" t="s">
        <v>77</v>
      </c>
      <c r="M306" s="17" t="s">
        <v>77</v>
      </c>
      <c r="N306" s="68" t="s">
        <v>75</v>
      </c>
      <c r="O306" s="55" t="s">
        <v>740</v>
      </c>
      <c r="P306" s="230" t="s">
        <v>689</v>
      </c>
      <c r="Q306" s="205" t="s">
        <v>690</v>
      </c>
      <c r="R306" s="1" t="str">
        <f t="shared" si="57"/>
        <v/>
      </c>
      <c r="S306" s="1" t="str">
        <f t="shared" si="57"/>
        <v/>
      </c>
      <c r="T306" s="1" t="str">
        <f t="shared" si="57"/>
        <v/>
      </c>
      <c r="U306" s="1" t="str">
        <f t="shared" si="57"/>
        <v/>
      </c>
      <c r="V306" s="25" t="s">
        <v>755</v>
      </c>
      <c r="W306" s="26" t="s">
        <v>756</v>
      </c>
      <c r="X306" s="29">
        <v>1</v>
      </c>
      <c r="Y306" s="35" t="s">
        <v>75</v>
      </c>
      <c r="Z306" s="33" t="s">
        <v>77</v>
      </c>
      <c r="AA306" s="35">
        <v>575</v>
      </c>
      <c r="AB306" s="102">
        <f t="shared" si="67"/>
        <v>0.16500000000000001</v>
      </c>
      <c r="AC306" s="31">
        <f t="shared" si="63"/>
        <v>480.125</v>
      </c>
      <c r="AD306" s="185"/>
      <c r="AE306" s="17"/>
      <c r="AF306" s="17"/>
      <c r="AG306" s="17" t="s">
        <v>77</v>
      </c>
      <c r="AH306" s="17" t="s">
        <v>77</v>
      </c>
      <c r="AI306" s="68" t="s">
        <v>75</v>
      </c>
      <c r="AJ306" s="55" t="s">
        <v>740</v>
      </c>
      <c r="AK306" s="230" t="s">
        <v>689</v>
      </c>
      <c r="AL306" s="230" t="s">
        <v>89</v>
      </c>
    </row>
    <row r="307" spans="1:38">
      <c r="A307" s="25" t="s">
        <v>757</v>
      </c>
      <c r="B307" s="26" t="s">
        <v>758</v>
      </c>
      <c r="C307" s="29">
        <v>1</v>
      </c>
      <c r="D307" s="35" t="s">
        <v>75</v>
      </c>
      <c r="E307" s="33" t="s">
        <v>77</v>
      </c>
      <c r="F307" s="35">
        <v>958.33</v>
      </c>
      <c r="G307" s="102">
        <f t="shared" si="66"/>
        <v>0.16500000000000001</v>
      </c>
      <c r="H307" s="31">
        <f t="shared" si="62"/>
        <v>800.20555000000002</v>
      </c>
      <c r="I307" s="185"/>
      <c r="J307" s="17"/>
      <c r="K307" s="17"/>
      <c r="L307" s="17" t="s">
        <v>77</v>
      </c>
      <c r="M307" s="17" t="s">
        <v>77</v>
      </c>
      <c r="N307" s="68" t="s">
        <v>75</v>
      </c>
      <c r="O307" s="55" t="s">
        <v>740</v>
      </c>
      <c r="P307" s="230" t="s">
        <v>689</v>
      </c>
      <c r="Q307" s="205" t="s">
        <v>690</v>
      </c>
      <c r="R307" s="1" t="str">
        <f t="shared" si="57"/>
        <v/>
      </c>
      <c r="S307" s="1" t="str">
        <f t="shared" si="57"/>
        <v/>
      </c>
      <c r="T307" s="1" t="str">
        <f t="shared" si="57"/>
        <v/>
      </c>
      <c r="U307" s="1" t="str">
        <f t="shared" si="57"/>
        <v/>
      </c>
      <c r="V307" s="25" t="s">
        <v>757</v>
      </c>
      <c r="W307" s="26" t="s">
        <v>758</v>
      </c>
      <c r="X307" s="29">
        <v>1</v>
      </c>
      <c r="Y307" s="35" t="s">
        <v>75</v>
      </c>
      <c r="Z307" s="33" t="s">
        <v>77</v>
      </c>
      <c r="AA307" s="35">
        <v>958.33</v>
      </c>
      <c r="AB307" s="102">
        <f t="shared" si="67"/>
        <v>0.16500000000000001</v>
      </c>
      <c r="AC307" s="31">
        <f t="shared" si="63"/>
        <v>800.20555000000002</v>
      </c>
      <c r="AD307" s="185"/>
      <c r="AE307" s="17"/>
      <c r="AF307" s="17"/>
      <c r="AG307" s="17" t="s">
        <v>77</v>
      </c>
      <c r="AH307" s="17" t="s">
        <v>77</v>
      </c>
      <c r="AI307" s="68" t="s">
        <v>75</v>
      </c>
      <c r="AJ307" s="55" t="s">
        <v>740</v>
      </c>
      <c r="AK307" s="230" t="s">
        <v>689</v>
      </c>
      <c r="AL307" s="205" t="s">
        <v>89</v>
      </c>
    </row>
    <row r="308" spans="1:38">
      <c r="A308" s="25" t="s">
        <v>759</v>
      </c>
      <c r="B308" s="26" t="s">
        <v>760</v>
      </c>
      <c r="C308" s="29">
        <v>1</v>
      </c>
      <c r="D308" s="35" t="s">
        <v>75</v>
      </c>
      <c r="E308" s="33" t="s">
        <v>77</v>
      </c>
      <c r="F308" s="35">
        <v>191.67</v>
      </c>
      <c r="G308" s="102">
        <f t="shared" si="66"/>
        <v>0.16500000000000001</v>
      </c>
      <c r="H308" s="31">
        <f t="shared" si="62"/>
        <v>160.04444999999998</v>
      </c>
      <c r="I308" s="185"/>
      <c r="J308" s="17"/>
      <c r="K308" s="17"/>
      <c r="L308" s="17" t="s">
        <v>77</v>
      </c>
      <c r="M308" s="17" t="s">
        <v>77</v>
      </c>
      <c r="N308" s="68" t="s">
        <v>75</v>
      </c>
      <c r="O308" s="55" t="s">
        <v>740</v>
      </c>
      <c r="P308" s="230" t="s">
        <v>689</v>
      </c>
      <c r="Q308" s="205" t="s">
        <v>690</v>
      </c>
      <c r="R308" s="1" t="str">
        <f t="shared" si="57"/>
        <v/>
      </c>
      <c r="S308" s="1" t="str">
        <f t="shared" si="57"/>
        <v/>
      </c>
      <c r="T308" s="1" t="str">
        <f t="shared" si="57"/>
        <v/>
      </c>
      <c r="U308" s="1" t="str">
        <f t="shared" si="57"/>
        <v/>
      </c>
      <c r="V308" s="25" t="s">
        <v>759</v>
      </c>
      <c r="W308" s="26" t="s">
        <v>760</v>
      </c>
      <c r="X308" s="29">
        <v>1</v>
      </c>
      <c r="Y308" s="35" t="s">
        <v>75</v>
      </c>
      <c r="Z308" s="33" t="s">
        <v>77</v>
      </c>
      <c r="AA308" s="35">
        <v>191.67</v>
      </c>
      <c r="AB308" s="102">
        <f t="shared" si="67"/>
        <v>0.16500000000000001</v>
      </c>
      <c r="AC308" s="31">
        <f t="shared" si="63"/>
        <v>160.04444999999998</v>
      </c>
      <c r="AD308" s="185"/>
      <c r="AE308" s="17"/>
      <c r="AF308" s="17"/>
      <c r="AG308" s="17" t="s">
        <v>77</v>
      </c>
      <c r="AH308" s="17" t="s">
        <v>77</v>
      </c>
      <c r="AI308" s="68" t="s">
        <v>75</v>
      </c>
      <c r="AJ308" s="55" t="s">
        <v>740</v>
      </c>
      <c r="AK308" s="230" t="s">
        <v>689</v>
      </c>
      <c r="AL308" s="205" t="s">
        <v>89</v>
      </c>
    </row>
    <row r="309" spans="1:38">
      <c r="A309" s="25" t="s">
        <v>761</v>
      </c>
      <c r="B309" s="26" t="s">
        <v>762</v>
      </c>
      <c r="C309" s="29">
        <v>1</v>
      </c>
      <c r="D309" s="35" t="s">
        <v>75</v>
      </c>
      <c r="E309" s="33" t="s">
        <v>77</v>
      </c>
      <c r="F309" s="35">
        <v>575</v>
      </c>
      <c r="G309" s="102">
        <f t="shared" si="66"/>
        <v>0.16500000000000001</v>
      </c>
      <c r="H309" s="31">
        <f t="shared" si="62"/>
        <v>480.125</v>
      </c>
      <c r="I309" s="185"/>
      <c r="J309" s="17"/>
      <c r="K309" s="17"/>
      <c r="L309" s="17" t="s">
        <v>77</v>
      </c>
      <c r="M309" s="17" t="s">
        <v>77</v>
      </c>
      <c r="N309" s="68" t="s">
        <v>75</v>
      </c>
      <c r="O309" s="55" t="s">
        <v>740</v>
      </c>
      <c r="P309" s="230" t="s">
        <v>689</v>
      </c>
      <c r="Q309" s="205" t="s">
        <v>690</v>
      </c>
      <c r="R309" s="1" t="str">
        <f t="shared" si="57"/>
        <v/>
      </c>
      <c r="S309" s="1" t="str">
        <f t="shared" si="57"/>
        <v/>
      </c>
      <c r="T309" s="1" t="str">
        <f t="shared" si="57"/>
        <v/>
      </c>
      <c r="U309" s="1" t="str">
        <f t="shared" si="57"/>
        <v/>
      </c>
      <c r="V309" s="25" t="s">
        <v>761</v>
      </c>
      <c r="W309" s="26" t="s">
        <v>762</v>
      </c>
      <c r="X309" s="29">
        <v>1</v>
      </c>
      <c r="Y309" s="35" t="s">
        <v>75</v>
      </c>
      <c r="Z309" s="33" t="s">
        <v>77</v>
      </c>
      <c r="AA309" s="35">
        <v>575</v>
      </c>
      <c r="AB309" s="102">
        <f t="shared" si="67"/>
        <v>0.16500000000000001</v>
      </c>
      <c r="AC309" s="31">
        <f t="shared" si="63"/>
        <v>480.125</v>
      </c>
      <c r="AD309" s="185"/>
      <c r="AE309" s="17"/>
      <c r="AF309" s="17"/>
      <c r="AG309" s="17" t="s">
        <v>77</v>
      </c>
      <c r="AH309" s="17" t="s">
        <v>77</v>
      </c>
      <c r="AI309" s="68" t="s">
        <v>75</v>
      </c>
      <c r="AJ309" s="55" t="s">
        <v>740</v>
      </c>
      <c r="AK309" s="230" t="s">
        <v>689</v>
      </c>
      <c r="AL309" s="205" t="s">
        <v>89</v>
      </c>
    </row>
    <row r="310" spans="1:38">
      <c r="A310" s="25" t="s">
        <v>763</v>
      </c>
      <c r="B310" s="26" t="s">
        <v>764</v>
      </c>
      <c r="C310" s="29">
        <v>1</v>
      </c>
      <c r="D310" s="35" t="s">
        <v>75</v>
      </c>
      <c r="E310" s="33" t="s">
        <v>77</v>
      </c>
      <c r="F310" s="35">
        <v>95.83</v>
      </c>
      <c r="G310" s="102">
        <f t="shared" si="66"/>
        <v>0.16500000000000001</v>
      </c>
      <c r="H310" s="31">
        <f t="shared" si="62"/>
        <v>80.018050000000002</v>
      </c>
      <c r="I310" s="185"/>
      <c r="J310" s="17"/>
      <c r="K310" s="17"/>
      <c r="L310" s="17" t="s">
        <v>77</v>
      </c>
      <c r="M310" s="17" t="s">
        <v>77</v>
      </c>
      <c r="N310" s="68" t="s">
        <v>75</v>
      </c>
      <c r="O310" s="55" t="s">
        <v>740</v>
      </c>
      <c r="P310" s="230" t="s">
        <v>689</v>
      </c>
      <c r="Q310" s="205" t="s">
        <v>690</v>
      </c>
      <c r="R310" s="1" t="str">
        <f t="shared" si="57"/>
        <v/>
      </c>
      <c r="S310" s="1" t="str">
        <f t="shared" si="57"/>
        <v/>
      </c>
      <c r="T310" s="1" t="str">
        <f t="shared" si="57"/>
        <v/>
      </c>
      <c r="U310" s="1" t="str">
        <f t="shared" si="57"/>
        <v/>
      </c>
      <c r="V310" s="25" t="s">
        <v>763</v>
      </c>
      <c r="W310" s="26" t="s">
        <v>764</v>
      </c>
      <c r="X310" s="29">
        <v>1</v>
      </c>
      <c r="Y310" s="35" t="s">
        <v>75</v>
      </c>
      <c r="Z310" s="33" t="s">
        <v>77</v>
      </c>
      <c r="AA310" s="35">
        <v>95.83</v>
      </c>
      <c r="AB310" s="102">
        <f t="shared" si="67"/>
        <v>0.16500000000000001</v>
      </c>
      <c r="AC310" s="31">
        <f t="shared" si="63"/>
        <v>80.018050000000002</v>
      </c>
      <c r="AD310" s="185"/>
      <c r="AE310" s="17"/>
      <c r="AF310" s="17"/>
      <c r="AG310" s="17" t="s">
        <v>77</v>
      </c>
      <c r="AH310" s="17" t="s">
        <v>77</v>
      </c>
      <c r="AI310" s="68" t="s">
        <v>75</v>
      </c>
      <c r="AJ310" s="55" t="s">
        <v>740</v>
      </c>
      <c r="AK310" s="230" t="s">
        <v>689</v>
      </c>
      <c r="AL310" s="205" t="s">
        <v>89</v>
      </c>
    </row>
    <row r="311" spans="1:38" s="218" customFormat="1">
      <c r="A311" s="113"/>
      <c r="B311" s="214"/>
      <c r="C311" s="146"/>
      <c r="D311" s="215"/>
      <c r="E311" s="215"/>
      <c r="F311" s="215"/>
      <c r="G311" s="251"/>
      <c r="H311" s="215"/>
      <c r="I311" s="216"/>
      <c r="J311" s="217"/>
      <c r="K311" s="217"/>
      <c r="L311" s="57"/>
      <c r="M311" s="71"/>
      <c r="N311" s="68"/>
      <c r="O311" s="55"/>
      <c r="P311" s="266"/>
      <c r="Q311" s="415"/>
      <c r="R311" s="560" t="str">
        <f t="shared" si="57"/>
        <v/>
      </c>
      <c r="S311" s="1" t="str">
        <f t="shared" si="57"/>
        <v/>
      </c>
      <c r="T311" s="1" t="str">
        <f t="shared" si="57"/>
        <v/>
      </c>
      <c r="U311" s="1" t="str">
        <f t="shared" si="57"/>
        <v/>
      </c>
      <c r="V311" s="590" t="s">
        <v>765</v>
      </c>
      <c r="W311" s="214" t="s">
        <v>766</v>
      </c>
      <c r="X311" s="146">
        <v>1</v>
      </c>
      <c r="Y311" s="215" t="s">
        <v>75</v>
      </c>
      <c r="Z311" s="215" t="s">
        <v>765</v>
      </c>
      <c r="AA311" s="215">
        <v>1038.33</v>
      </c>
      <c r="AB311" s="251">
        <f>rv_im21_eg</f>
        <v>0.17199999999999999</v>
      </c>
      <c r="AC311" s="215">
        <f t="shared" si="63"/>
        <v>859.73723999999993</v>
      </c>
      <c r="AD311" s="216" t="s">
        <v>767</v>
      </c>
      <c r="AE311" s="217" t="e">
        <f>im21_5pl</f>
        <v>#NAME?</v>
      </c>
      <c r="AF311" s="217" t="e">
        <f>AC311+AE311</f>
        <v>#NAME?</v>
      </c>
      <c r="AG311" s="57" t="s">
        <v>77</v>
      </c>
      <c r="AH311" s="71">
        <v>2.5</v>
      </c>
      <c r="AI311" s="68" t="s">
        <v>75</v>
      </c>
      <c r="AJ311" s="55" t="s">
        <v>768</v>
      </c>
      <c r="AK311" s="266" t="s">
        <v>689</v>
      </c>
      <c r="AL311" s="591" t="s">
        <v>690</v>
      </c>
    </row>
    <row r="312" spans="1:38" s="174" customFormat="1">
      <c r="A312" s="103"/>
      <c r="B312" s="104"/>
      <c r="C312" s="105"/>
      <c r="D312" s="106"/>
      <c r="E312" s="105"/>
      <c r="F312" s="108"/>
      <c r="G312" s="180"/>
      <c r="H312" s="100"/>
      <c r="I312" s="191"/>
      <c r="J312" s="172"/>
      <c r="K312" s="172"/>
      <c r="L312" s="120"/>
      <c r="M312" s="120"/>
      <c r="N312" s="68"/>
      <c r="O312" s="55"/>
      <c r="P312" s="265"/>
      <c r="Q312" s="458"/>
      <c r="R312" s="560" t="str">
        <f t="shared" si="57"/>
        <v/>
      </c>
      <c r="S312" s="1" t="str">
        <f t="shared" si="57"/>
        <v/>
      </c>
      <c r="T312" s="1" t="str">
        <f t="shared" si="57"/>
        <v/>
      </c>
      <c r="U312" s="1" t="str">
        <f t="shared" si="57"/>
        <v/>
      </c>
      <c r="V312" s="103" t="s">
        <v>767</v>
      </c>
      <c r="W312" s="104" t="s">
        <v>769</v>
      </c>
      <c r="X312" s="105">
        <v>1</v>
      </c>
      <c r="Y312" s="106" t="s">
        <v>82</v>
      </c>
      <c r="Z312" s="105" t="s">
        <v>767</v>
      </c>
      <c r="AA312" s="108">
        <v>54.35</v>
      </c>
      <c r="AB312" s="180">
        <v>0.17199999999999999</v>
      </c>
      <c r="AC312" s="100">
        <f t="shared" si="63"/>
        <v>45.001800000000003</v>
      </c>
      <c r="AD312" s="191"/>
      <c r="AE312" s="172"/>
      <c r="AF312" s="172"/>
      <c r="AG312" s="120" t="s">
        <v>77</v>
      </c>
      <c r="AH312" s="120" t="s">
        <v>77</v>
      </c>
      <c r="AI312" s="68" t="s">
        <v>83</v>
      </c>
      <c r="AJ312" s="55" t="s">
        <v>84</v>
      </c>
      <c r="AK312" s="265" t="s">
        <v>85</v>
      </c>
      <c r="AL312" s="203" t="s">
        <v>692</v>
      </c>
    </row>
    <row r="313" spans="1:38" s="121" customFormat="1">
      <c r="A313" s="113"/>
      <c r="B313" s="114"/>
      <c r="C313" s="115"/>
      <c r="D313" s="116"/>
      <c r="E313" s="117"/>
      <c r="F313" s="35"/>
      <c r="G313" s="118"/>
      <c r="H313" s="119"/>
      <c r="I313" s="192"/>
      <c r="J313" s="120"/>
      <c r="K313" s="120"/>
      <c r="L313" s="120"/>
      <c r="M313" s="120"/>
      <c r="N313" s="68"/>
      <c r="O313" s="55"/>
      <c r="P313" s="266"/>
      <c r="Q313" s="415"/>
      <c r="R313" s="560" t="str">
        <f t="shared" si="57"/>
        <v/>
      </c>
      <c r="S313" s="1" t="str">
        <f t="shared" si="57"/>
        <v/>
      </c>
      <c r="T313" s="1" t="str">
        <f t="shared" si="57"/>
        <v/>
      </c>
      <c r="U313" s="1" t="str">
        <f t="shared" si="57"/>
        <v/>
      </c>
      <c r="V313" s="113" t="s">
        <v>770</v>
      </c>
      <c r="W313" s="114" t="s">
        <v>771</v>
      </c>
      <c r="X313" s="115">
        <v>1</v>
      </c>
      <c r="Y313" s="116" t="s">
        <v>75</v>
      </c>
      <c r="Z313" s="117" t="s">
        <v>77</v>
      </c>
      <c r="AA313" s="35">
        <v>191.67</v>
      </c>
      <c r="AB313" s="118">
        <f t="shared" ref="AB313:AB319" si="68">rv_im21_eg_cto</f>
        <v>0.17199999999999999</v>
      </c>
      <c r="AC313" s="119">
        <f t="shared" si="63"/>
        <v>158.70275999999998</v>
      </c>
      <c r="AD313" s="192"/>
      <c r="AE313" s="120"/>
      <c r="AF313" s="120"/>
      <c r="AG313" s="120"/>
      <c r="AH313" s="120"/>
      <c r="AI313" s="68" t="s">
        <v>75</v>
      </c>
      <c r="AJ313" s="55" t="s">
        <v>768</v>
      </c>
      <c r="AK313" s="265" t="s">
        <v>689</v>
      </c>
      <c r="AL313" s="203" t="s">
        <v>89</v>
      </c>
    </row>
    <row r="314" spans="1:38" s="121" customFormat="1">
      <c r="A314" s="113"/>
      <c r="B314" s="114"/>
      <c r="C314" s="115"/>
      <c r="D314" s="116"/>
      <c r="E314" s="117"/>
      <c r="F314" s="116"/>
      <c r="G314" s="118"/>
      <c r="H314" s="119"/>
      <c r="I314" s="192"/>
      <c r="J314" s="120"/>
      <c r="K314" s="120"/>
      <c r="L314" s="120"/>
      <c r="M314" s="120"/>
      <c r="N314" s="68"/>
      <c r="O314" s="55"/>
      <c r="P314" s="266"/>
      <c r="Q314" s="415"/>
      <c r="R314" s="560" t="str">
        <f t="shared" si="57"/>
        <v/>
      </c>
      <c r="S314" s="1" t="str">
        <f t="shared" si="57"/>
        <v/>
      </c>
      <c r="T314" s="1" t="str">
        <f t="shared" si="57"/>
        <v/>
      </c>
      <c r="U314" s="1" t="str">
        <f t="shared" si="57"/>
        <v/>
      </c>
      <c r="V314" s="113" t="s">
        <v>772</v>
      </c>
      <c r="W314" s="114" t="s">
        <v>773</v>
      </c>
      <c r="X314" s="115">
        <v>1</v>
      </c>
      <c r="Y314" s="116" t="s">
        <v>75</v>
      </c>
      <c r="Z314" s="117" t="s">
        <v>77</v>
      </c>
      <c r="AA314" s="116">
        <v>0</v>
      </c>
      <c r="AB314" s="118">
        <f t="shared" si="68"/>
        <v>0.17199999999999999</v>
      </c>
      <c r="AC314" s="119">
        <f t="shared" si="63"/>
        <v>0</v>
      </c>
      <c r="AD314" s="192"/>
      <c r="AE314" s="120"/>
      <c r="AF314" s="120"/>
      <c r="AG314" s="120"/>
      <c r="AH314" s="120"/>
      <c r="AI314" s="68" t="s">
        <v>75</v>
      </c>
      <c r="AJ314" s="55" t="s">
        <v>768</v>
      </c>
      <c r="AK314" s="265" t="s">
        <v>689</v>
      </c>
      <c r="AL314" s="203" t="s">
        <v>89</v>
      </c>
    </row>
    <row r="315" spans="1:38" s="121" customFormat="1">
      <c r="A315" s="113"/>
      <c r="B315" s="114"/>
      <c r="C315" s="115"/>
      <c r="D315" s="116"/>
      <c r="E315" s="117"/>
      <c r="F315" s="35"/>
      <c r="G315" s="102"/>
      <c r="H315" s="31"/>
      <c r="I315" s="192"/>
      <c r="J315" s="120"/>
      <c r="K315" s="120"/>
      <c r="L315" s="120"/>
      <c r="M315" s="120"/>
      <c r="N315" s="68"/>
      <c r="O315" s="55"/>
      <c r="P315" s="266"/>
      <c r="Q315" s="415"/>
      <c r="R315" s="560" t="str">
        <f t="shared" si="57"/>
        <v/>
      </c>
      <c r="S315" s="1" t="str">
        <f t="shared" si="57"/>
        <v/>
      </c>
      <c r="T315" s="1" t="str">
        <f t="shared" si="57"/>
        <v/>
      </c>
      <c r="U315" s="1" t="str">
        <f t="shared" si="57"/>
        <v/>
      </c>
      <c r="V315" s="113" t="s">
        <v>774</v>
      </c>
      <c r="W315" s="114" t="s">
        <v>775</v>
      </c>
      <c r="X315" s="115">
        <v>1</v>
      </c>
      <c r="Y315" s="116" t="s">
        <v>75</v>
      </c>
      <c r="Z315" s="117" t="s">
        <v>77</v>
      </c>
      <c r="AA315" s="35">
        <v>41.67</v>
      </c>
      <c r="AB315" s="102">
        <f t="shared" si="68"/>
        <v>0.17199999999999999</v>
      </c>
      <c r="AC315" s="31">
        <f t="shared" si="63"/>
        <v>34.502760000000002</v>
      </c>
      <c r="AD315" s="192"/>
      <c r="AE315" s="120"/>
      <c r="AF315" s="120"/>
      <c r="AG315" s="120"/>
      <c r="AH315" s="120"/>
      <c r="AI315" s="68" t="s">
        <v>75</v>
      </c>
      <c r="AJ315" s="55" t="s">
        <v>768</v>
      </c>
      <c r="AK315" s="265" t="s">
        <v>689</v>
      </c>
      <c r="AL315" s="203" t="s">
        <v>89</v>
      </c>
    </row>
    <row r="316" spans="1:38" s="121" customFormat="1">
      <c r="A316" s="113"/>
      <c r="B316" s="114"/>
      <c r="C316" s="115"/>
      <c r="D316" s="116"/>
      <c r="E316" s="117"/>
      <c r="F316" s="35"/>
      <c r="G316" s="102"/>
      <c r="H316" s="31"/>
      <c r="I316" s="192"/>
      <c r="J316" s="120"/>
      <c r="K316" s="120"/>
      <c r="L316" s="120"/>
      <c r="M316" s="120"/>
      <c r="N316" s="68"/>
      <c r="O316" s="55"/>
      <c r="P316" s="266"/>
      <c r="Q316" s="415"/>
      <c r="R316" s="560" t="str">
        <f t="shared" si="57"/>
        <v/>
      </c>
      <c r="S316" s="1" t="str">
        <f t="shared" si="57"/>
        <v/>
      </c>
      <c r="T316" s="1" t="str">
        <f t="shared" si="57"/>
        <v/>
      </c>
      <c r="U316" s="1" t="str">
        <f t="shared" si="57"/>
        <v/>
      </c>
      <c r="V316" s="113" t="s">
        <v>776</v>
      </c>
      <c r="W316" s="114" t="s">
        <v>777</v>
      </c>
      <c r="X316" s="115">
        <v>1</v>
      </c>
      <c r="Y316" s="116" t="s">
        <v>75</v>
      </c>
      <c r="Z316" s="117" t="s">
        <v>77</v>
      </c>
      <c r="AA316" s="35">
        <v>112.5</v>
      </c>
      <c r="AB316" s="102">
        <f t="shared" si="68"/>
        <v>0.17199999999999999</v>
      </c>
      <c r="AC316" s="31">
        <f t="shared" si="63"/>
        <v>93.15</v>
      </c>
      <c r="AD316" s="192"/>
      <c r="AE316" s="120"/>
      <c r="AF316" s="120"/>
      <c r="AG316" s="120"/>
      <c r="AH316" s="120"/>
      <c r="AI316" s="68" t="s">
        <v>75</v>
      </c>
      <c r="AJ316" s="55" t="s">
        <v>768</v>
      </c>
      <c r="AK316" s="265" t="s">
        <v>689</v>
      </c>
      <c r="AL316" s="203" t="s">
        <v>89</v>
      </c>
    </row>
    <row r="317" spans="1:38" s="121" customFormat="1">
      <c r="A317" s="113"/>
      <c r="B317" s="114"/>
      <c r="C317" s="115"/>
      <c r="D317" s="116"/>
      <c r="E317" s="117"/>
      <c r="F317" s="35"/>
      <c r="G317" s="102"/>
      <c r="H317" s="31"/>
      <c r="I317" s="192"/>
      <c r="J317" s="120"/>
      <c r="K317" s="120"/>
      <c r="L317" s="120"/>
      <c r="M317" s="120"/>
      <c r="N317" s="68"/>
      <c r="O317" s="55"/>
      <c r="P317" s="266"/>
      <c r="Q317" s="415"/>
      <c r="R317" s="560" t="str">
        <f t="shared" si="57"/>
        <v/>
      </c>
      <c r="S317" s="1" t="str">
        <f t="shared" si="57"/>
        <v/>
      </c>
      <c r="T317" s="1" t="str">
        <f t="shared" si="57"/>
        <v/>
      </c>
      <c r="U317" s="1" t="str">
        <f t="shared" si="57"/>
        <v/>
      </c>
      <c r="V317" s="113" t="s">
        <v>778</v>
      </c>
      <c r="W317" s="114" t="s">
        <v>779</v>
      </c>
      <c r="X317" s="115">
        <v>1</v>
      </c>
      <c r="Y317" s="116" t="s">
        <v>75</v>
      </c>
      <c r="Z317" s="117" t="s">
        <v>77</v>
      </c>
      <c r="AA317" s="35">
        <v>21.67</v>
      </c>
      <c r="AB317" s="102">
        <f t="shared" si="68"/>
        <v>0.17199999999999999</v>
      </c>
      <c r="AC317" s="31">
        <f t="shared" si="63"/>
        <v>17.94276</v>
      </c>
      <c r="AD317" s="192"/>
      <c r="AE317" s="120"/>
      <c r="AF317" s="120"/>
      <c r="AG317" s="120"/>
      <c r="AH317" s="120"/>
      <c r="AI317" s="68" t="s">
        <v>75</v>
      </c>
      <c r="AJ317" s="55" t="s">
        <v>768</v>
      </c>
      <c r="AK317" s="265" t="s">
        <v>689</v>
      </c>
      <c r="AL317" s="203" t="s">
        <v>89</v>
      </c>
    </row>
    <row r="318" spans="1:38" s="121" customFormat="1">
      <c r="A318" s="113"/>
      <c r="B318" s="114"/>
      <c r="C318" s="115"/>
      <c r="D318" s="116"/>
      <c r="E318" s="117"/>
      <c r="F318" s="35"/>
      <c r="G318" s="102"/>
      <c r="H318" s="31"/>
      <c r="I318" s="192"/>
      <c r="J318" s="120"/>
      <c r="K318" s="120"/>
      <c r="L318" s="120"/>
      <c r="M318" s="120"/>
      <c r="N318" s="68"/>
      <c r="O318" s="55"/>
      <c r="P318" s="266"/>
      <c r="Q318" s="415"/>
      <c r="R318" s="560" t="str">
        <f t="shared" si="57"/>
        <v/>
      </c>
      <c r="S318" s="1" t="str">
        <f t="shared" si="57"/>
        <v/>
      </c>
      <c r="T318" s="1" t="str">
        <f t="shared" si="57"/>
        <v/>
      </c>
      <c r="U318" s="1" t="str">
        <f t="shared" si="57"/>
        <v/>
      </c>
      <c r="V318" s="113" t="s">
        <v>780</v>
      </c>
      <c r="W318" s="114" t="s">
        <v>781</v>
      </c>
      <c r="X318" s="115">
        <v>1</v>
      </c>
      <c r="Y318" s="116" t="s">
        <v>75</v>
      </c>
      <c r="Z318" s="117" t="s">
        <v>77</v>
      </c>
      <c r="AA318" s="35">
        <v>21.67</v>
      </c>
      <c r="AB318" s="102">
        <f t="shared" si="68"/>
        <v>0.17199999999999999</v>
      </c>
      <c r="AC318" s="31">
        <f t="shared" si="63"/>
        <v>17.94276</v>
      </c>
      <c r="AD318" s="192"/>
      <c r="AE318" s="120"/>
      <c r="AF318" s="120"/>
      <c r="AG318" s="120"/>
      <c r="AH318" s="120"/>
      <c r="AI318" s="68" t="s">
        <v>75</v>
      </c>
      <c r="AJ318" s="55" t="s">
        <v>768</v>
      </c>
      <c r="AK318" s="265" t="s">
        <v>689</v>
      </c>
      <c r="AL318" s="203" t="s">
        <v>89</v>
      </c>
    </row>
    <row r="319" spans="1:38" s="121" customFormat="1">
      <c r="A319" s="113"/>
      <c r="B319" s="114"/>
      <c r="C319" s="115"/>
      <c r="D319" s="116"/>
      <c r="E319" s="117"/>
      <c r="F319" s="35"/>
      <c r="G319" s="102"/>
      <c r="H319" s="31"/>
      <c r="I319" s="192"/>
      <c r="J319" s="120"/>
      <c r="K319" s="120"/>
      <c r="L319" s="120"/>
      <c r="M319" s="120"/>
      <c r="N319" s="68"/>
      <c r="O319" s="55"/>
      <c r="P319" s="266"/>
      <c r="Q319" s="415"/>
      <c r="R319" s="560" t="str">
        <f t="shared" si="57"/>
        <v/>
      </c>
      <c r="S319" s="1" t="str">
        <f t="shared" si="57"/>
        <v/>
      </c>
      <c r="T319" s="1" t="str">
        <f t="shared" si="57"/>
        <v/>
      </c>
      <c r="U319" s="1" t="str">
        <f t="shared" si="57"/>
        <v/>
      </c>
      <c r="V319" s="113" t="s">
        <v>782</v>
      </c>
      <c r="W319" s="114" t="s">
        <v>783</v>
      </c>
      <c r="X319" s="115">
        <v>1</v>
      </c>
      <c r="Y319" s="116" t="s">
        <v>75</v>
      </c>
      <c r="Z319" s="117" t="s">
        <v>77</v>
      </c>
      <c r="AA319" s="35">
        <v>21.67</v>
      </c>
      <c r="AB319" s="102">
        <f t="shared" si="68"/>
        <v>0.17199999999999999</v>
      </c>
      <c r="AC319" s="31">
        <f t="shared" si="63"/>
        <v>17.94276</v>
      </c>
      <c r="AD319" s="192"/>
      <c r="AE319" s="120"/>
      <c r="AF319" s="120"/>
      <c r="AG319" s="120"/>
      <c r="AH319" s="120"/>
      <c r="AI319" s="68" t="s">
        <v>75</v>
      </c>
      <c r="AJ319" s="55" t="s">
        <v>768</v>
      </c>
      <c r="AK319" s="265" t="s">
        <v>689</v>
      </c>
      <c r="AL319" s="203" t="s">
        <v>89</v>
      </c>
    </row>
    <row r="320" spans="1:38" s="121" customFormat="1">
      <c r="A320" s="113"/>
      <c r="B320" s="114"/>
      <c r="C320" s="115"/>
      <c r="D320" s="116"/>
      <c r="E320" s="117"/>
      <c r="F320" s="116"/>
      <c r="G320" s="138"/>
      <c r="H320" s="119"/>
      <c r="I320" s="192"/>
      <c r="J320" s="120"/>
      <c r="K320" s="120"/>
      <c r="L320" s="120"/>
      <c r="M320" s="120"/>
      <c r="N320" s="68"/>
      <c r="O320" s="55"/>
      <c r="P320" s="266"/>
      <c r="Q320" s="415"/>
      <c r="R320" s="560" t="str">
        <f t="shared" si="57"/>
        <v/>
      </c>
      <c r="S320" s="1" t="str">
        <f t="shared" si="57"/>
        <v/>
      </c>
      <c r="T320" s="1" t="str">
        <f t="shared" si="57"/>
        <v/>
      </c>
      <c r="U320" s="1" t="str">
        <f t="shared" si="57"/>
        <v/>
      </c>
      <c r="V320" s="113" t="s">
        <v>784</v>
      </c>
      <c r="W320" s="114" t="s">
        <v>785</v>
      </c>
      <c r="X320" s="115">
        <v>1</v>
      </c>
      <c r="Y320" s="116" t="s">
        <v>75</v>
      </c>
      <c r="Z320" s="117" t="s">
        <v>77</v>
      </c>
      <c r="AA320" s="116"/>
      <c r="AB320" s="138"/>
      <c r="AC320" s="119">
        <f t="shared" si="63"/>
        <v>0</v>
      </c>
      <c r="AD320" s="192"/>
      <c r="AE320" s="120"/>
      <c r="AF320" s="120"/>
      <c r="AG320" s="120"/>
      <c r="AH320" s="120"/>
      <c r="AI320" s="68" t="s">
        <v>75</v>
      </c>
      <c r="AJ320" s="55" t="s">
        <v>768</v>
      </c>
      <c r="AK320" s="265" t="s">
        <v>689</v>
      </c>
      <c r="AL320" s="203" t="s">
        <v>89</v>
      </c>
    </row>
    <row r="321" spans="1:38" s="121" customFormat="1">
      <c r="A321" s="113"/>
      <c r="B321" s="114"/>
      <c r="C321" s="115"/>
      <c r="D321" s="116"/>
      <c r="E321" s="117"/>
      <c r="F321" s="116"/>
      <c r="G321" s="138"/>
      <c r="H321" s="119"/>
      <c r="I321" s="192"/>
      <c r="J321" s="120"/>
      <c r="K321" s="120"/>
      <c r="L321" s="120"/>
      <c r="M321" s="120"/>
      <c r="N321" s="68"/>
      <c r="O321" s="55"/>
      <c r="P321" s="266"/>
      <c r="Q321" s="415"/>
      <c r="R321" s="560" t="str">
        <f t="shared" si="57"/>
        <v/>
      </c>
      <c r="S321" s="1" t="str">
        <f t="shared" si="57"/>
        <v/>
      </c>
      <c r="T321" s="1" t="str">
        <f t="shared" si="57"/>
        <v/>
      </c>
      <c r="U321" s="1" t="str">
        <f t="shared" si="57"/>
        <v/>
      </c>
      <c r="V321" s="113" t="s">
        <v>786</v>
      </c>
      <c r="W321" s="114" t="s">
        <v>787</v>
      </c>
      <c r="X321" s="115">
        <v>1</v>
      </c>
      <c r="Y321" s="116" t="s">
        <v>75</v>
      </c>
      <c r="Z321" s="117" t="s">
        <v>77</v>
      </c>
      <c r="AA321" s="116"/>
      <c r="AB321" s="138"/>
      <c r="AC321" s="119">
        <f t="shared" si="63"/>
        <v>0</v>
      </c>
      <c r="AD321" s="192"/>
      <c r="AE321" s="120"/>
      <c r="AF321" s="120"/>
      <c r="AG321" s="120"/>
      <c r="AH321" s="120"/>
      <c r="AI321" s="68" t="s">
        <v>75</v>
      </c>
      <c r="AJ321" s="55" t="s">
        <v>768</v>
      </c>
      <c r="AK321" s="265" t="s">
        <v>689</v>
      </c>
      <c r="AL321" s="203" t="s">
        <v>89</v>
      </c>
    </row>
    <row r="322" spans="1:38">
      <c r="A322" s="103"/>
      <c r="B322" s="104"/>
      <c r="C322" s="105"/>
      <c r="D322" s="106"/>
      <c r="E322" s="105"/>
      <c r="F322" s="108"/>
      <c r="G322" s="109"/>
      <c r="H322" s="100"/>
      <c r="I322" s="185"/>
      <c r="J322" s="17"/>
      <c r="K322" s="17"/>
      <c r="L322" s="17"/>
      <c r="M322" s="17"/>
      <c r="N322" s="68"/>
      <c r="O322" s="55"/>
      <c r="P322" s="230"/>
      <c r="Q322" s="205"/>
      <c r="R322" s="1" t="str">
        <f t="shared" si="57"/>
        <v/>
      </c>
      <c r="S322" s="1" t="str">
        <f t="shared" si="57"/>
        <v/>
      </c>
      <c r="T322" s="1" t="str">
        <f t="shared" si="57"/>
        <v/>
      </c>
      <c r="U322" s="1" t="str">
        <f t="shared" si="57"/>
        <v/>
      </c>
      <c r="V322" s="103" t="s">
        <v>788</v>
      </c>
      <c r="W322" s="104" t="s">
        <v>789</v>
      </c>
      <c r="X322" s="105">
        <v>1</v>
      </c>
      <c r="Y322" s="106" t="s">
        <v>82</v>
      </c>
      <c r="Z322" s="105" t="s">
        <v>788</v>
      </c>
      <c r="AA322" s="108"/>
      <c r="AB322" s="109"/>
      <c r="AC322" s="100">
        <v>11</v>
      </c>
      <c r="AD322" s="185"/>
      <c r="AE322" s="17"/>
      <c r="AF322" s="17"/>
      <c r="AG322" s="17" t="s">
        <v>77</v>
      </c>
      <c r="AH322" s="17" t="s">
        <v>77</v>
      </c>
      <c r="AI322" s="68" t="s">
        <v>83</v>
      </c>
      <c r="AJ322" s="55" t="s">
        <v>84</v>
      </c>
      <c r="AK322" s="230" t="s">
        <v>85</v>
      </c>
      <c r="AL322" s="205" t="s">
        <v>692</v>
      </c>
    </row>
    <row r="323" spans="1:38">
      <c r="A323" s="103"/>
      <c r="B323" s="104"/>
      <c r="C323" s="105"/>
      <c r="D323" s="106"/>
      <c r="E323" s="105"/>
      <c r="F323" s="108"/>
      <c r="G323" s="109"/>
      <c r="H323" s="100"/>
      <c r="I323" s="185"/>
      <c r="J323" s="17"/>
      <c r="K323" s="17"/>
      <c r="L323" s="17"/>
      <c r="M323" s="17"/>
      <c r="N323" s="68"/>
      <c r="O323" s="55"/>
      <c r="P323" s="230"/>
      <c r="Q323" s="205"/>
      <c r="R323" s="1" t="str">
        <f t="shared" si="57"/>
        <v/>
      </c>
      <c r="S323" s="1" t="str">
        <f t="shared" si="57"/>
        <v/>
      </c>
      <c r="T323" s="1" t="str">
        <f t="shared" si="57"/>
        <v/>
      </c>
      <c r="U323" s="1" t="str">
        <f t="shared" si="57"/>
        <v/>
      </c>
      <c r="V323" s="103" t="s">
        <v>790</v>
      </c>
      <c r="W323" s="104" t="s">
        <v>791</v>
      </c>
      <c r="X323" s="105">
        <v>1</v>
      </c>
      <c r="Y323" s="106" t="s">
        <v>82</v>
      </c>
      <c r="Z323" s="105" t="s">
        <v>790</v>
      </c>
      <c r="AA323" s="108"/>
      <c r="AB323" s="109"/>
      <c r="AC323" s="100">
        <v>16</v>
      </c>
      <c r="AD323" s="185"/>
      <c r="AE323" s="17"/>
      <c r="AF323" s="17"/>
      <c r="AG323" s="17" t="s">
        <v>77</v>
      </c>
      <c r="AH323" s="17" t="s">
        <v>77</v>
      </c>
      <c r="AI323" s="68" t="s">
        <v>83</v>
      </c>
      <c r="AJ323" s="55" t="s">
        <v>84</v>
      </c>
      <c r="AK323" s="230" t="s">
        <v>85</v>
      </c>
      <c r="AL323" s="205" t="s">
        <v>692</v>
      </c>
    </row>
    <row r="324" spans="1:38">
      <c r="A324" s="103"/>
      <c r="B324" s="104"/>
      <c r="C324" s="105"/>
      <c r="D324" s="106"/>
      <c r="E324" s="105"/>
      <c r="F324" s="108"/>
      <c r="G324" s="109"/>
      <c r="H324" s="100"/>
      <c r="I324" s="185"/>
      <c r="J324" s="17"/>
      <c r="K324" s="17"/>
      <c r="L324" s="17"/>
      <c r="M324" s="17"/>
      <c r="N324" s="68"/>
      <c r="O324" s="55"/>
      <c r="P324" s="230"/>
      <c r="Q324" s="205"/>
      <c r="R324" s="1" t="str">
        <f t="shared" si="57"/>
        <v/>
      </c>
      <c r="S324" s="1" t="str">
        <f t="shared" si="57"/>
        <v/>
      </c>
      <c r="T324" s="1" t="str">
        <f t="shared" si="57"/>
        <v/>
      </c>
      <c r="U324" s="1" t="str">
        <f t="shared" si="57"/>
        <v/>
      </c>
      <c r="V324" s="103" t="s">
        <v>792</v>
      </c>
      <c r="W324" s="104" t="s">
        <v>793</v>
      </c>
      <c r="X324" s="105">
        <v>1</v>
      </c>
      <c r="Y324" s="106" t="s">
        <v>82</v>
      </c>
      <c r="Z324" s="105" t="s">
        <v>792</v>
      </c>
      <c r="AA324" s="108"/>
      <c r="AB324" s="109"/>
      <c r="AC324" s="100">
        <v>22</v>
      </c>
      <c r="AD324" s="185"/>
      <c r="AE324" s="17"/>
      <c r="AF324" s="17"/>
      <c r="AG324" s="17" t="s">
        <v>77</v>
      </c>
      <c r="AH324" s="17" t="s">
        <v>77</v>
      </c>
      <c r="AI324" s="68" t="s">
        <v>83</v>
      </c>
      <c r="AJ324" s="55" t="s">
        <v>84</v>
      </c>
      <c r="AK324" s="230" t="s">
        <v>85</v>
      </c>
      <c r="AL324" s="205" t="s">
        <v>692</v>
      </c>
    </row>
    <row r="325" spans="1:38">
      <c r="A325" s="103"/>
      <c r="B325" s="104"/>
      <c r="C325" s="105"/>
      <c r="D325" s="106"/>
      <c r="E325" s="105"/>
      <c r="F325" s="108"/>
      <c r="G325" s="109"/>
      <c r="H325" s="100"/>
      <c r="I325" s="185"/>
      <c r="J325" s="17"/>
      <c r="K325" s="17"/>
      <c r="L325" s="17"/>
      <c r="M325" s="17"/>
      <c r="N325" s="68"/>
      <c r="O325" s="55"/>
      <c r="P325" s="230"/>
      <c r="Q325" s="205"/>
      <c r="R325" s="1" t="str">
        <f t="shared" si="57"/>
        <v/>
      </c>
      <c r="S325" s="1" t="str">
        <f t="shared" si="57"/>
        <v/>
      </c>
      <c r="T325" s="1" t="str">
        <f t="shared" si="57"/>
        <v/>
      </c>
      <c r="U325" s="1" t="str">
        <f t="shared" ref="U325:U388" si="69">+IF($K325&lt;&gt;"",U$2*$K325,"")</f>
        <v/>
      </c>
      <c r="V325" s="103" t="s">
        <v>794</v>
      </c>
      <c r="W325" s="104" t="s">
        <v>795</v>
      </c>
      <c r="X325" s="105">
        <v>1</v>
      </c>
      <c r="Y325" s="106" t="s">
        <v>82</v>
      </c>
      <c r="Z325" s="105" t="s">
        <v>794</v>
      </c>
      <c r="AA325" s="108"/>
      <c r="AB325" s="109"/>
      <c r="AC325" s="100">
        <v>20</v>
      </c>
      <c r="AD325" s="185"/>
      <c r="AE325" s="17"/>
      <c r="AF325" s="17"/>
      <c r="AG325" s="17" t="s">
        <v>77</v>
      </c>
      <c r="AH325" s="17" t="s">
        <v>77</v>
      </c>
      <c r="AI325" s="68" t="s">
        <v>83</v>
      </c>
      <c r="AJ325" s="55" t="s">
        <v>84</v>
      </c>
      <c r="AK325" s="230" t="s">
        <v>85</v>
      </c>
      <c r="AL325" s="205" t="s">
        <v>692</v>
      </c>
    </row>
    <row r="326" spans="1:38">
      <c r="A326" s="103"/>
      <c r="B326" s="104"/>
      <c r="C326" s="105"/>
      <c r="D326" s="106"/>
      <c r="E326" s="105"/>
      <c r="F326" s="108"/>
      <c r="G326" s="109"/>
      <c r="H326" s="100"/>
      <c r="I326" s="185"/>
      <c r="J326" s="17"/>
      <c r="K326" s="17"/>
      <c r="L326" s="17"/>
      <c r="M326" s="17"/>
      <c r="N326" s="68"/>
      <c r="O326" s="55"/>
      <c r="P326" s="230"/>
      <c r="Q326" s="205"/>
      <c r="R326" s="1" t="str">
        <f t="shared" ref="R326:U389" si="70">+IF($K326&lt;&gt;"",R$2*$K326,"")</f>
        <v/>
      </c>
      <c r="S326" s="1" t="str">
        <f t="shared" si="70"/>
        <v/>
      </c>
      <c r="T326" s="1" t="str">
        <f t="shared" si="70"/>
        <v/>
      </c>
      <c r="U326" s="1" t="str">
        <f t="shared" si="69"/>
        <v/>
      </c>
      <c r="V326" s="103" t="s">
        <v>796</v>
      </c>
      <c r="W326" s="104" t="s">
        <v>797</v>
      </c>
      <c r="X326" s="105">
        <v>1</v>
      </c>
      <c r="Y326" s="106" t="s">
        <v>82</v>
      </c>
      <c r="Z326" s="105" t="s">
        <v>796</v>
      </c>
      <c r="AA326" s="108"/>
      <c r="AB326" s="109"/>
      <c r="AC326" s="100">
        <v>29</v>
      </c>
      <c r="AD326" s="185"/>
      <c r="AE326" s="17"/>
      <c r="AF326" s="17"/>
      <c r="AG326" s="17" t="s">
        <v>77</v>
      </c>
      <c r="AH326" s="17" t="s">
        <v>77</v>
      </c>
      <c r="AI326" s="68" t="s">
        <v>83</v>
      </c>
      <c r="AJ326" s="55" t="s">
        <v>84</v>
      </c>
      <c r="AK326" s="230" t="s">
        <v>85</v>
      </c>
      <c r="AL326" s="205" t="s">
        <v>692</v>
      </c>
    </row>
    <row r="327" spans="1:38">
      <c r="A327" s="103"/>
      <c r="B327" s="104"/>
      <c r="C327" s="105"/>
      <c r="D327" s="106"/>
      <c r="E327" s="105"/>
      <c r="F327" s="108"/>
      <c r="G327" s="109"/>
      <c r="H327" s="100"/>
      <c r="I327" s="185"/>
      <c r="J327" s="17"/>
      <c r="K327" s="17"/>
      <c r="L327" s="17"/>
      <c r="M327" s="17"/>
      <c r="N327" s="68"/>
      <c r="O327" s="55"/>
      <c r="P327" s="230"/>
      <c r="Q327" s="205"/>
      <c r="R327" s="1" t="str">
        <f t="shared" si="70"/>
        <v/>
      </c>
      <c r="S327" s="1" t="str">
        <f t="shared" si="70"/>
        <v/>
      </c>
      <c r="T327" s="1" t="str">
        <f t="shared" si="70"/>
        <v/>
      </c>
      <c r="U327" s="1" t="str">
        <f t="shared" si="69"/>
        <v/>
      </c>
      <c r="V327" s="103" t="s">
        <v>798</v>
      </c>
      <c r="W327" s="104" t="s">
        <v>799</v>
      </c>
      <c r="X327" s="105">
        <v>1</v>
      </c>
      <c r="Y327" s="106" t="s">
        <v>82</v>
      </c>
      <c r="Z327" s="105" t="s">
        <v>798</v>
      </c>
      <c r="AA327" s="108"/>
      <c r="AB327" s="109"/>
      <c r="AC327" s="100">
        <v>34</v>
      </c>
      <c r="AD327" s="185"/>
      <c r="AE327" s="17"/>
      <c r="AF327" s="17"/>
      <c r="AG327" s="17" t="s">
        <v>77</v>
      </c>
      <c r="AH327" s="17" t="s">
        <v>77</v>
      </c>
      <c r="AI327" s="68" t="s">
        <v>83</v>
      </c>
      <c r="AJ327" s="55" t="s">
        <v>84</v>
      </c>
      <c r="AK327" s="230" t="s">
        <v>85</v>
      </c>
      <c r="AL327" s="205" t="s">
        <v>692</v>
      </c>
    </row>
    <row r="328" spans="1:38">
      <c r="A328" s="103"/>
      <c r="B328" s="104"/>
      <c r="C328" s="105"/>
      <c r="D328" s="106"/>
      <c r="E328" s="105"/>
      <c r="F328" s="108"/>
      <c r="G328" s="109"/>
      <c r="H328" s="100"/>
      <c r="I328" s="185"/>
      <c r="J328" s="17"/>
      <c r="K328" s="17"/>
      <c r="L328" s="17"/>
      <c r="M328" s="17"/>
      <c r="N328" s="68"/>
      <c r="O328" s="55"/>
      <c r="P328" s="230"/>
      <c r="Q328" s="205"/>
      <c r="R328" s="1" t="str">
        <f t="shared" si="70"/>
        <v/>
      </c>
      <c r="S328" s="1" t="str">
        <f t="shared" si="70"/>
        <v/>
      </c>
      <c r="T328" s="1" t="str">
        <f t="shared" si="70"/>
        <v/>
      </c>
      <c r="U328" s="1" t="str">
        <f t="shared" si="69"/>
        <v/>
      </c>
      <c r="V328" s="103" t="s">
        <v>800</v>
      </c>
      <c r="W328" s="104" t="s">
        <v>801</v>
      </c>
      <c r="X328" s="105">
        <v>1</v>
      </c>
      <c r="Y328" s="106" t="s">
        <v>82</v>
      </c>
      <c r="Z328" s="105" t="s">
        <v>800</v>
      </c>
      <c r="AA328" s="108"/>
      <c r="AB328" s="109"/>
      <c r="AC328" s="100">
        <v>35</v>
      </c>
      <c r="AD328" s="185"/>
      <c r="AE328" s="17"/>
      <c r="AF328" s="17"/>
      <c r="AG328" s="17" t="s">
        <v>77</v>
      </c>
      <c r="AH328" s="17" t="s">
        <v>77</v>
      </c>
      <c r="AI328" s="68" t="s">
        <v>83</v>
      </c>
      <c r="AJ328" s="55" t="s">
        <v>84</v>
      </c>
      <c r="AK328" s="230" t="s">
        <v>85</v>
      </c>
      <c r="AL328" s="205" t="s">
        <v>692</v>
      </c>
    </row>
    <row r="329" spans="1:38">
      <c r="A329" s="103"/>
      <c r="B329" s="104"/>
      <c r="C329" s="105"/>
      <c r="D329" s="106"/>
      <c r="E329" s="105"/>
      <c r="F329" s="108"/>
      <c r="G329" s="109"/>
      <c r="H329" s="100"/>
      <c r="I329" s="185"/>
      <c r="J329" s="17"/>
      <c r="K329" s="17"/>
      <c r="L329" s="17"/>
      <c r="M329" s="17"/>
      <c r="N329" s="68"/>
      <c r="O329" s="55"/>
      <c r="P329" s="230"/>
      <c r="Q329" s="205"/>
      <c r="R329" s="1" t="str">
        <f t="shared" si="70"/>
        <v/>
      </c>
      <c r="S329" s="1" t="str">
        <f t="shared" si="70"/>
        <v/>
      </c>
      <c r="T329" s="1" t="str">
        <f t="shared" si="70"/>
        <v/>
      </c>
      <c r="U329" s="1" t="str">
        <f t="shared" si="69"/>
        <v/>
      </c>
      <c r="V329" s="103" t="s">
        <v>802</v>
      </c>
      <c r="W329" s="104" t="s">
        <v>803</v>
      </c>
      <c r="X329" s="105">
        <v>1</v>
      </c>
      <c r="Y329" s="106" t="s">
        <v>82</v>
      </c>
      <c r="Z329" s="105" t="s">
        <v>802</v>
      </c>
      <c r="AA329" s="108"/>
      <c r="AB329" s="109"/>
      <c r="AC329" s="100">
        <v>15</v>
      </c>
      <c r="AD329" s="185"/>
      <c r="AE329" s="17"/>
      <c r="AF329" s="17"/>
      <c r="AG329" s="17" t="s">
        <v>77</v>
      </c>
      <c r="AH329" s="17" t="s">
        <v>77</v>
      </c>
      <c r="AI329" s="68" t="s">
        <v>83</v>
      </c>
      <c r="AJ329" s="55" t="s">
        <v>84</v>
      </c>
      <c r="AK329" s="230" t="s">
        <v>85</v>
      </c>
      <c r="AL329" s="205" t="s">
        <v>692</v>
      </c>
    </row>
    <row r="330" spans="1:38">
      <c r="A330" s="103"/>
      <c r="B330" s="104"/>
      <c r="C330" s="105"/>
      <c r="D330" s="106"/>
      <c r="E330" s="105"/>
      <c r="F330" s="108"/>
      <c r="G330" s="109"/>
      <c r="H330" s="100"/>
      <c r="I330" s="185"/>
      <c r="J330" s="17"/>
      <c r="K330" s="17"/>
      <c r="L330" s="17"/>
      <c r="M330" s="17"/>
      <c r="N330" s="68"/>
      <c r="O330" s="55"/>
      <c r="P330" s="230"/>
      <c r="Q330" s="205"/>
      <c r="R330" s="1" t="str">
        <f t="shared" si="70"/>
        <v/>
      </c>
      <c r="S330" s="1" t="str">
        <f t="shared" si="70"/>
        <v/>
      </c>
      <c r="T330" s="1" t="str">
        <f t="shared" si="70"/>
        <v/>
      </c>
      <c r="U330" s="1" t="str">
        <f t="shared" si="69"/>
        <v/>
      </c>
      <c r="V330" s="103" t="s">
        <v>804</v>
      </c>
      <c r="W330" s="104" t="s">
        <v>805</v>
      </c>
      <c r="X330" s="105">
        <v>1</v>
      </c>
      <c r="Y330" s="106" t="s">
        <v>82</v>
      </c>
      <c r="Z330" s="105" t="s">
        <v>804</v>
      </c>
      <c r="AA330" s="108"/>
      <c r="AB330" s="109"/>
      <c r="AC330" s="100">
        <v>33</v>
      </c>
      <c r="AD330" s="185"/>
      <c r="AE330" s="17"/>
      <c r="AF330" s="17"/>
      <c r="AG330" s="17" t="s">
        <v>77</v>
      </c>
      <c r="AH330" s="17" t="s">
        <v>77</v>
      </c>
      <c r="AI330" s="68" t="s">
        <v>83</v>
      </c>
      <c r="AJ330" s="55" t="s">
        <v>84</v>
      </c>
      <c r="AK330" s="230" t="s">
        <v>85</v>
      </c>
      <c r="AL330" s="205" t="s">
        <v>692</v>
      </c>
    </row>
    <row r="331" spans="1:38">
      <c r="A331" s="103"/>
      <c r="B331" s="104"/>
      <c r="C331" s="105"/>
      <c r="D331" s="106"/>
      <c r="E331" s="105"/>
      <c r="F331" s="108"/>
      <c r="G331" s="109"/>
      <c r="H331" s="100"/>
      <c r="I331" s="185"/>
      <c r="J331" s="17"/>
      <c r="K331" s="17"/>
      <c r="L331" s="17"/>
      <c r="M331" s="17"/>
      <c r="N331" s="68"/>
      <c r="O331" s="55"/>
      <c r="P331" s="230"/>
      <c r="Q331" s="205"/>
      <c r="R331" s="1" t="str">
        <f t="shared" si="70"/>
        <v/>
      </c>
      <c r="S331" s="1" t="str">
        <f t="shared" si="70"/>
        <v/>
      </c>
      <c r="T331" s="1" t="str">
        <f t="shared" si="70"/>
        <v/>
      </c>
      <c r="U331" s="1" t="str">
        <f t="shared" si="69"/>
        <v/>
      </c>
      <c r="V331" s="103" t="s">
        <v>806</v>
      </c>
      <c r="W331" s="104" t="s">
        <v>807</v>
      </c>
      <c r="X331" s="105">
        <v>1</v>
      </c>
      <c r="Y331" s="106" t="s">
        <v>82</v>
      </c>
      <c r="Z331" s="105" t="s">
        <v>806</v>
      </c>
      <c r="AA331" s="108"/>
      <c r="AB331" s="109"/>
      <c r="AC331" s="100">
        <v>44</v>
      </c>
      <c r="AD331" s="185"/>
      <c r="AE331" s="17"/>
      <c r="AF331" s="17"/>
      <c r="AG331" s="17" t="s">
        <v>77</v>
      </c>
      <c r="AH331" s="17" t="s">
        <v>77</v>
      </c>
      <c r="AI331" s="68" t="s">
        <v>83</v>
      </c>
      <c r="AJ331" s="55" t="s">
        <v>84</v>
      </c>
      <c r="AK331" s="230" t="s">
        <v>85</v>
      </c>
      <c r="AL331" s="205" t="s">
        <v>692</v>
      </c>
    </row>
    <row r="332" spans="1:38">
      <c r="A332" s="103"/>
      <c r="B332" s="104"/>
      <c r="C332" s="105"/>
      <c r="D332" s="106"/>
      <c r="E332" s="105"/>
      <c r="F332" s="108"/>
      <c r="G332" s="109"/>
      <c r="H332" s="100"/>
      <c r="I332" s="185"/>
      <c r="J332" s="17"/>
      <c r="K332" s="17"/>
      <c r="L332" s="17"/>
      <c r="M332" s="17"/>
      <c r="N332" s="68"/>
      <c r="O332" s="55"/>
      <c r="P332" s="230"/>
      <c r="Q332" s="205"/>
      <c r="R332" s="1" t="str">
        <f t="shared" si="70"/>
        <v/>
      </c>
      <c r="S332" s="1" t="str">
        <f t="shared" si="70"/>
        <v/>
      </c>
      <c r="T332" s="1" t="str">
        <f t="shared" si="70"/>
        <v/>
      </c>
      <c r="U332" s="1" t="str">
        <f t="shared" si="69"/>
        <v/>
      </c>
      <c r="V332" s="103" t="s">
        <v>808</v>
      </c>
      <c r="W332" s="104" t="s">
        <v>809</v>
      </c>
      <c r="X332" s="105">
        <v>1</v>
      </c>
      <c r="Y332" s="106" t="s">
        <v>82</v>
      </c>
      <c r="Z332" s="105" t="s">
        <v>808</v>
      </c>
      <c r="AA332" s="108"/>
      <c r="AB332" s="109"/>
      <c r="AC332" s="100">
        <v>50</v>
      </c>
      <c r="AD332" s="185"/>
      <c r="AE332" s="17"/>
      <c r="AF332" s="17"/>
      <c r="AG332" s="17" t="s">
        <v>77</v>
      </c>
      <c r="AH332" s="17" t="s">
        <v>77</v>
      </c>
      <c r="AI332" s="68" t="s">
        <v>83</v>
      </c>
      <c r="AJ332" s="55" t="s">
        <v>84</v>
      </c>
      <c r="AK332" s="230" t="s">
        <v>85</v>
      </c>
      <c r="AL332" s="205" t="s">
        <v>692</v>
      </c>
    </row>
    <row r="333" spans="1:38" s="168" customFormat="1" ht="38.25">
      <c r="A333" s="254"/>
      <c r="B333" s="239"/>
      <c r="C333" s="240"/>
      <c r="D333" s="241"/>
      <c r="E333" s="255"/>
      <c r="F333" s="242"/>
      <c r="G333" s="243"/>
      <c r="H333" s="242"/>
      <c r="I333" s="248"/>
      <c r="J333" s="71"/>
      <c r="K333" s="71"/>
      <c r="L333" s="71"/>
      <c r="M333" s="71"/>
      <c r="N333" s="68"/>
      <c r="O333" s="55"/>
      <c r="P333" s="264"/>
      <c r="Q333" s="246"/>
      <c r="R333" s="1" t="str">
        <f t="shared" si="70"/>
        <v/>
      </c>
      <c r="S333" s="1" t="str">
        <f t="shared" si="70"/>
        <v/>
      </c>
      <c r="T333" s="1" t="str">
        <f t="shared" si="70"/>
        <v/>
      </c>
      <c r="U333" s="1" t="str">
        <f t="shared" si="69"/>
        <v/>
      </c>
      <c r="V333" s="254" t="s">
        <v>810</v>
      </c>
      <c r="W333" s="239" t="s">
        <v>811</v>
      </c>
      <c r="X333" s="240">
        <v>1</v>
      </c>
      <c r="Y333" s="241" t="s">
        <v>82</v>
      </c>
      <c r="Z333" s="255" t="s">
        <v>810</v>
      </c>
      <c r="AA333" s="242"/>
      <c r="AB333" s="243"/>
      <c r="AC333" s="242">
        <v>215</v>
      </c>
      <c r="AD333" s="248"/>
      <c r="AE333" s="71"/>
      <c r="AF333" s="71"/>
      <c r="AG333" s="71" t="s">
        <v>77</v>
      </c>
      <c r="AH333" s="71" t="s">
        <v>77</v>
      </c>
      <c r="AI333" s="68" t="s">
        <v>83</v>
      </c>
      <c r="AJ333" s="55" t="s">
        <v>84</v>
      </c>
      <c r="AK333" s="264" t="s">
        <v>85</v>
      </c>
      <c r="AL333" s="246" t="s">
        <v>692</v>
      </c>
    </row>
    <row r="334" spans="1:38">
      <c r="A334" s="156"/>
      <c r="B334" s="104"/>
      <c r="C334" s="105"/>
      <c r="D334" s="106"/>
      <c r="E334" s="157"/>
      <c r="F334" s="108"/>
      <c r="G334" s="109"/>
      <c r="H334" s="100"/>
      <c r="I334" s="185"/>
      <c r="J334" s="17"/>
      <c r="K334" s="17"/>
      <c r="L334" s="17"/>
      <c r="M334" s="17"/>
      <c r="N334" s="68"/>
      <c r="O334" s="55"/>
      <c r="P334" s="230"/>
      <c r="Q334" s="205"/>
      <c r="R334" s="1" t="str">
        <f t="shared" si="70"/>
        <v/>
      </c>
      <c r="S334" s="1" t="str">
        <f t="shared" si="70"/>
        <v/>
      </c>
      <c r="T334" s="1" t="str">
        <f t="shared" si="70"/>
        <v/>
      </c>
      <c r="U334" s="1" t="str">
        <f t="shared" si="69"/>
        <v/>
      </c>
      <c r="V334" s="156" t="s">
        <v>812</v>
      </c>
      <c r="W334" s="104" t="s">
        <v>813</v>
      </c>
      <c r="X334" s="105">
        <v>1</v>
      </c>
      <c r="Y334" s="106" t="s">
        <v>82</v>
      </c>
      <c r="Z334" s="157" t="s">
        <v>812</v>
      </c>
      <c r="AA334" s="108"/>
      <c r="AB334" s="109"/>
      <c r="AC334" s="100">
        <v>365</v>
      </c>
      <c r="AD334" s="185"/>
      <c r="AE334" s="17"/>
      <c r="AF334" s="17"/>
      <c r="AG334" s="17" t="s">
        <v>77</v>
      </c>
      <c r="AH334" s="17" t="s">
        <v>77</v>
      </c>
      <c r="AI334" s="68" t="s">
        <v>83</v>
      </c>
      <c r="AJ334" s="55" t="s">
        <v>84</v>
      </c>
      <c r="AK334" s="230" t="s">
        <v>85</v>
      </c>
      <c r="AL334" s="205" t="s">
        <v>692</v>
      </c>
    </row>
    <row r="335" spans="1:38">
      <c r="A335" s="391"/>
      <c r="B335" s="431"/>
      <c r="C335" s="29"/>
      <c r="D335" s="106"/>
      <c r="E335" s="392"/>
      <c r="F335" s="35"/>
      <c r="G335" s="22"/>
      <c r="H335" s="31"/>
      <c r="I335" s="185"/>
      <c r="J335" s="17"/>
      <c r="K335" s="17"/>
      <c r="L335" s="17"/>
      <c r="M335" s="17"/>
      <c r="N335" s="68"/>
      <c r="O335" s="55"/>
      <c r="P335" s="230"/>
      <c r="Q335" s="205"/>
      <c r="R335" s="1" t="str">
        <f t="shared" si="70"/>
        <v/>
      </c>
      <c r="S335" s="1" t="str">
        <f t="shared" si="70"/>
        <v/>
      </c>
      <c r="T335" s="1" t="str">
        <f t="shared" si="70"/>
        <v/>
      </c>
      <c r="U335" s="1" t="str">
        <f t="shared" si="69"/>
        <v/>
      </c>
      <c r="V335" s="25" t="s">
        <v>814</v>
      </c>
      <c r="W335" s="26" t="s">
        <v>815</v>
      </c>
      <c r="X335" s="29">
        <v>1</v>
      </c>
      <c r="Y335" s="106" t="s">
        <v>82</v>
      </c>
      <c r="Z335" s="29" t="s">
        <v>814</v>
      </c>
      <c r="AA335" s="35"/>
      <c r="AB335" s="22"/>
      <c r="AC335" s="31">
        <v>105</v>
      </c>
      <c r="AD335" s="185"/>
      <c r="AE335" s="17"/>
      <c r="AF335" s="17"/>
      <c r="AG335" s="17" t="s">
        <v>77</v>
      </c>
      <c r="AH335" s="17" t="s">
        <v>77</v>
      </c>
      <c r="AI335" s="68" t="s">
        <v>83</v>
      </c>
      <c r="AJ335" s="55" t="s">
        <v>84</v>
      </c>
      <c r="AK335" s="230" t="s">
        <v>85</v>
      </c>
      <c r="AL335" s="205" t="s">
        <v>692</v>
      </c>
    </row>
    <row r="336" spans="1:38">
      <c r="A336" s="391"/>
      <c r="B336" s="431"/>
      <c r="C336" s="29"/>
      <c r="D336" s="106"/>
      <c r="E336" s="392"/>
      <c r="F336" s="35"/>
      <c r="G336" s="22"/>
      <c r="H336" s="185"/>
      <c r="I336" s="185"/>
      <c r="J336" s="17"/>
      <c r="K336" s="17"/>
      <c r="L336" s="17"/>
      <c r="M336" s="17"/>
      <c r="N336" s="68"/>
      <c r="O336" s="55"/>
      <c r="P336" s="230"/>
      <c r="Q336" s="205"/>
      <c r="R336" s="1" t="str">
        <f t="shared" si="70"/>
        <v/>
      </c>
      <c r="S336" s="1" t="str">
        <f t="shared" si="70"/>
        <v/>
      </c>
      <c r="T336" s="1" t="str">
        <f t="shared" si="70"/>
        <v/>
      </c>
      <c r="U336" s="1" t="str">
        <f t="shared" si="69"/>
        <v/>
      </c>
      <c r="V336" s="25" t="s">
        <v>816</v>
      </c>
      <c r="W336" s="26" t="s">
        <v>817</v>
      </c>
      <c r="X336" s="29">
        <v>1</v>
      </c>
      <c r="Y336" s="106" t="s">
        <v>82</v>
      </c>
      <c r="Z336" s="29" t="s">
        <v>816</v>
      </c>
      <c r="AA336" s="35"/>
      <c r="AB336" s="22"/>
      <c r="AC336" s="185">
        <v>183</v>
      </c>
      <c r="AD336" s="185"/>
      <c r="AE336" s="17"/>
      <c r="AF336" s="17"/>
      <c r="AG336" s="17" t="s">
        <v>77</v>
      </c>
      <c r="AH336" s="17" t="s">
        <v>77</v>
      </c>
      <c r="AI336" s="68" t="s">
        <v>83</v>
      </c>
      <c r="AJ336" s="55" t="s">
        <v>84</v>
      </c>
      <c r="AK336" s="230" t="s">
        <v>85</v>
      </c>
      <c r="AL336" s="205" t="s">
        <v>86</v>
      </c>
    </row>
    <row r="337" spans="1:38">
      <c r="A337" s="25"/>
      <c r="B337" s="26"/>
      <c r="C337" s="29"/>
      <c r="D337" s="106"/>
      <c r="E337" s="29"/>
      <c r="F337" s="35"/>
      <c r="G337" s="22"/>
      <c r="H337" s="185"/>
      <c r="I337" s="185"/>
      <c r="J337" s="17"/>
      <c r="K337" s="17"/>
      <c r="L337" s="17"/>
      <c r="M337" s="17"/>
      <c r="N337" s="68"/>
      <c r="O337" s="55"/>
      <c r="P337" s="230"/>
      <c r="Q337" s="205"/>
      <c r="R337" s="1" t="str">
        <f t="shared" si="70"/>
        <v/>
      </c>
      <c r="S337" s="1" t="str">
        <f t="shared" si="70"/>
        <v/>
      </c>
      <c r="T337" s="1" t="str">
        <f t="shared" si="70"/>
        <v/>
      </c>
      <c r="U337" s="1" t="str">
        <f t="shared" si="69"/>
        <v/>
      </c>
      <c r="V337" s="25" t="s">
        <v>818</v>
      </c>
      <c r="W337" s="26" t="s">
        <v>819</v>
      </c>
      <c r="X337" s="29">
        <v>1</v>
      </c>
      <c r="Y337" s="106" t="s">
        <v>82</v>
      </c>
      <c r="Z337" s="29" t="s">
        <v>818</v>
      </c>
      <c r="AA337" s="35"/>
      <c r="AB337" s="22"/>
      <c r="AC337" s="185">
        <v>92</v>
      </c>
      <c r="AD337" s="185"/>
      <c r="AE337" s="17"/>
      <c r="AF337" s="17"/>
      <c r="AG337" s="17" t="s">
        <v>77</v>
      </c>
      <c r="AH337" s="17" t="s">
        <v>77</v>
      </c>
      <c r="AI337" s="68" t="s">
        <v>83</v>
      </c>
      <c r="AJ337" s="55" t="s">
        <v>84</v>
      </c>
      <c r="AK337" s="230" t="s">
        <v>85</v>
      </c>
      <c r="AL337" s="205" t="s">
        <v>86</v>
      </c>
    </row>
    <row r="338" spans="1:38">
      <c r="A338" s="25"/>
      <c r="B338" s="26"/>
      <c r="C338" s="29"/>
      <c r="D338" s="106"/>
      <c r="E338" s="29"/>
      <c r="F338" s="35"/>
      <c r="G338" s="22"/>
      <c r="H338" s="31"/>
      <c r="I338" s="185"/>
      <c r="J338" s="17"/>
      <c r="K338" s="17"/>
      <c r="L338" s="17"/>
      <c r="M338" s="17"/>
      <c r="N338" s="68"/>
      <c r="O338" s="55"/>
      <c r="P338" s="230"/>
      <c r="Q338" s="205"/>
      <c r="R338" s="1" t="str">
        <f t="shared" si="70"/>
        <v/>
      </c>
      <c r="S338" s="1" t="str">
        <f t="shared" si="70"/>
        <v/>
      </c>
      <c r="T338" s="1" t="str">
        <f t="shared" si="70"/>
        <v/>
      </c>
      <c r="U338" s="1" t="str">
        <f t="shared" si="69"/>
        <v/>
      </c>
      <c r="V338" s="25" t="s">
        <v>820</v>
      </c>
      <c r="W338" s="26" t="s">
        <v>821</v>
      </c>
      <c r="X338" s="29">
        <v>1</v>
      </c>
      <c r="Y338" s="106" t="s">
        <v>82</v>
      </c>
      <c r="Z338" s="29" t="s">
        <v>820</v>
      </c>
      <c r="AA338" s="35"/>
      <c r="AB338" s="22"/>
      <c r="AC338" s="31">
        <v>279</v>
      </c>
      <c r="AD338" s="185"/>
      <c r="AE338" s="17"/>
      <c r="AF338" s="17"/>
      <c r="AG338" s="17" t="s">
        <v>77</v>
      </c>
      <c r="AH338" s="17" t="s">
        <v>77</v>
      </c>
      <c r="AI338" s="68" t="s">
        <v>83</v>
      </c>
      <c r="AJ338" s="55" t="s">
        <v>84</v>
      </c>
      <c r="AK338" s="230" t="s">
        <v>85</v>
      </c>
      <c r="AL338" s="205" t="s">
        <v>86</v>
      </c>
    </row>
    <row r="339" spans="1:38" ht="21.95" customHeight="1">
      <c r="A339" s="365" t="s">
        <v>822</v>
      </c>
      <c r="B339" s="366"/>
      <c r="C339" s="105"/>
      <c r="D339" s="106"/>
      <c r="E339" s="139"/>
      <c r="F339" s="108"/>
      <c r="G339" s="109"/>
      <c r="H339" s="100"/>
      <c r="I339" s="185"/>
      <c r="J339" s="17"/>
      <c r="K339" s="17"/>
      <c r="L339" s="17"/>
      <c r="M339" s="17"/>
      <c r="N339" s="68"/>
      <c r="O339" s="55"/>
      <c r="P339" s="230"/>
      <c r="Q339" s="205"/>
      <c r="R339" s="1" t="str">
        <f t="shared" si="70"/>
        <v/>
      </c>
      <c r="S339" s="1" t="str">
        <f t="shared" si="70"/>
        <v/>
      </c>
      <c r="T339" s="1" t="str">
        <f t="shared" si="70"/>
        <v/>
      </c>
      <c r="U339" s="1" t="str">
        <f t="shared" si="69"/>
        <v/>
      </c>
      <c r="V339" s="592" t="s">
        <v>822</v>
      </c>
      <c r="W339" s="104"/>
      <c r="X339" s="105"/>
      <c r="Y339" s="106"/>
      <c r="Z339" s="139"/>
      <c r="AA339" s="108"/>
      <c r="AB339" s="109"/>
      <c r="AC339" s="100"/>
      <c r="AD339" s="185"/>
      <c r="AE339" s="17"/>
      <c r="AF339" s="17"/>
      <c r="AG339" s="17"/>
      <c r="AH339" s="17"/>
      <c r="AI339" s="68"/>
      <c r="AJ339" s="55"/>
      <c r="AK339" s="230"/>
      <c r="AL339" s="205"/>
    </row>
    <row r="340" spans="1:38" s="121" customFormat="1">
      <c r="A340" s="93" t="s">
        <v>823</v>
      </c>
      <c r="B340" s="94" t="s">
        <v>824</v>
      </c>
      <c r="C340" s="95">
        <v>1</v>
      </c>
      <c r="D340" s="96" t="s">
        <v>75</v>
      </c>
      <c r="E340" s="140" t="s">
        <v>823</v>
      </c>
      <c r="F340" s="96">
        <v>1205</v>
      </c>
      <c r="G340" s="141">
        <f>rv_im21_hg</f>
        <v>0.17199999999999999</v>
      </c>
      <c r="H340" s="98">
        <f>F340-(F340*G340)</f>
        <v>997.74</v>
      </c>
      <c r="I340" s="95" t="s">
        <v>767</v>
      </c>
      <c r="J340" s="99">
        <f>im24_5pl</f>
        <v>45.001800000000003</v>
      </c>
      <c r="K340" s="122">
        <f>H340+J340</f>
        <v>1042.7418</v>
      </c>
      <c r="L340" s="120" t="s">
        <v>77</v>
      </c>
      <c r="M340" s="120">
        <v>2.5</v>
      </c>
      <c r="N340" s="68" t="s">
        <v>75</v>
      </c>
      <c r="O340" s="55" t="s">
        <v>825</v>
      </c>
      <c r="P340" s="268" t="s">
        <v>689</v>
      </c>
      <c r="Q340" s="56" t="s">
        <v>690</v>
      </c>
      <c r="R340" s="1">
        <f t="shared" si="70"/>
        <v>206.4495786138624</v>
      </c>
      <c r="S340" s="1">
        <f t="shared" si="70"/>
        <v>105.62969864483732</v>
      </c>
      <c r="T340" s="1">
        <f t="shared" si="70"/>
        <v>75.767651677158668</v>
      </c>
      <c r="U340" s="1">
        <f t="shared" si="69"/>
        <v>64.90794788060569</v>
      </c>
      <c r="V340" s="93" t="s">
        <v>823</v>
      </c>
      <c r="W340" s="94" t="s">
        <v>824</v>
      </c>
      <c r="X340" s="95">
        <v>1</v>
      </c>
      <c r="Y340" s="96" t="s">
        <v>75</v>
      </c>
      <c r="Z340" s="140" t="s">
        <v>823</v>
      </c>
      <c r="AA340" s="96">
        <v>1205</v>
      </c>
      <c r="AB340" s="141">
        <f>rv_im21_hg</f>
        <v>0.17199999999999999</v>
      </c>
      <c r="AC340" s="98">
        <f>AA340-(AA340*AB340)</f>
        <v>997.74</v>
      </c>
      <c r="AD340" s="95" t="s">
        <v>767</v>
      </c>
      <c r="AE340" s="99" t="e">
        <f>im21_5pl</f>
        <v>#NAME?</v>
      </c>
      <c r="AF340" s="122" t="e">
        <f>AC340+AE340</f>
        <v>#NAME?</v>
      </c>
      <c r="AG340" s="120" t="s">
        <v>77</v>
      </c>
      <c r="AH340" s="120">
        <v>2.5</v>
      </c>
      <c r="AI340" s="68" t="s">
        <v>75</v>
      </c>
      <c r="AJ340" s="55" t="s">
        <v>825</v>
      </c>
      <c r="AK340" s="268" t="s">
        <v>689</v>
      </c>
      <c r="AL340" s="56" t="s">
        <v>690</v>
      </c>
    </row>
    <row r="341" spans="1:38">
      <c r="A341" s="103" t="s">
        <v>826</v>
      </c>
      <c r="B341" s="104" t="s">
        <v>827</v>
      </c>
      <c r="C341" s="105">
        <v>1</v>
      </c>
      <c r="D341" s="106" t="s">
        <v>82</v>
      </c>
      <c r="E341" s="105" t="s">
        <v>826</v>
      </c>
      <c r="F341" s="108">
        <v>54.35</v>
      </c>
      <c r="G341" s="180">
        <f>rv_im21_hg</f>
        <v>0.17199999999999999</v>
      </c>
      <c r="H341" s="98">
        <f>F341-(F341*G341)</f>
        <v>45.001800000000003</v>
      </c>
      <c r="I341" s="100"/>
      <c r="J341" s="101"/>
      <c r="K341" s="101"/>
      <c r="L341" s="120" t="s">
        <v>77</v>
      </c>
      <c r="M341" s="120" t="s">
        <v>77</v>
      </c>
      <c r="N341" s="68" t="s">
        <v>83</v>
      </c>
      <c r="O341" s="55" t="s">
        <v>84</v>
      </c>
      <c r="P341" s="268" t="s">
        <v>85</v>
      </c>
      <c r="Q341" s="56" t="s">
        <v>692</v>
      </c>
      <c r="R341" s="1" t="str">
        <f t="shared" si="70"/>
        <v/>
      </c>
      <c r="S341" s="1" t="str">
        <f t="shared" si="70"/>
        <v/>
      </c>
      <c r="T341" s="1" t="str">
        <f t="shared" si="70"/>
        <v/>
      </c>
      <c r="U341" s="1" t="str">
        <f t="shared" si="69"/>
        <v/>
      </c>
      <c r="V341" s="103" t="s">
        <v>767</v>
      </c>
      <c r="W341" s="104" t="s">
        <v>827</v>
      </c>
      <c r="X341" s="105">
        <v>1</v>
      </c>
      <c r="Y341" s="106" t="s">
        <v>82</v>
      </c>
      <c r="Z341" s="105" t="s">
        <v>767</v>
      </c>
      <c r="AA341" s="108">
        <v>54.35</v>
      </c>
      <c r="AB341" s="180">
        <f>rv_im21_hg</f>
        <v>0.17199999999999999</v>
      </c>
      <c r="AC341" s="100" t="e">
        <f>im21_5pl</f>
        <v>#NAME?</v>
      </c>
      <c r="AD341" s="100"/>
      <c r="AE341" s="101"/>
      <c r="AF341" s="101"/>
      <c r="AG341" s="120" t="s">
        <v>77</v>
      </c>
      <c r="AH341" s="120" t="s">
        <v>77</v>
      </c>
      <c r="AI341" s="68" t="s">
        <v>83</v>
      </c>
      <c r="AJ341" s="55" t="s">
        <v>84</v>
      </c>
      <c r="AK341" s="268" t="s">
        <v>85</v>
      </c>
      <c r="AL341" s="56" t="s">
        <v>692</v>
      </c>
    </row>
    <row r="342" spans="1:38" s="121" customFormat="1">
      <c r="A342" s="113" t="s">
        <v>828</v>
      </c>
      <c r="B342" s="273" t="s">
        <v>829</v>
      </c>
      <c r="C342" s="115">
        <v>1</v>
      </c>
      <c r="D342" s="116" t="s">
        <v>75</v>
      </c>
      <c r="E342" s="117" t="s">
        <v>77</v>
      </c>
      <c r="F342" s="116">
        <v>191.67</v>
      </c>
      <c r="G342" s="118">
        <f t="shared" ref="G342:G355" si="71">rv_im21_hg_cto</f>
        <v>0.17199999999999999</v>
      </c>
      <c r="H342" s="119">
        <f t="shared" ref="H342:H355" si="72">F342-(F342*G342)</f>
        <v>158.70275999999998</v>
      </c>
      <c r="I342" s="119"/>
      <c r="J342" s="120"/>
      <c r="K342" s="120"/>
      <c r="L342" s="120" t="s">
        <v>77</v>
      </c>
      <c r="M342" s="120" t="s">
        <v>77</v>
      </c>
      <c r="N342" s="68" t="s">
        <v>75</v>
      </c>
      <c r="O342" s="55" t="s">
        <v>825</v>
      </c>
      <c r="P342" s="266" t="s">
        <v>689</v>
      </c>
      <c r="Q342" s="415" t="s">
        <v>690</v>
      </c>
      <c r="R342" s="560" t="str">
        <f t="shared" si="70"/>
        <v/>
      </c>
      <c r="S342" s="1" t="str">
        <f t="shared" si="70"/>
        <v/>
      </c>
      <c r="T342" s="1" t="str">
        <f t="shared" si="70"/>
        <v/>
      </c>
      <c r="U342" s="1" t="str">
        <f t="shared" si="69"/>
        <v/>
      </c>
      <c r="V342" s="113" t="s">
        <v>828</v>
      </c>
      <c r="W342" s="273" t="s">
        <v>829</v>
      </c>
      <c r="X342" s="115">
        <v>1</v>
      </c>
      <c r="Y342" s="116" t="s">
        <v>75</v>
      </c>
      <c r="Z342" s="117" t="s">
        <v>77</v>
      </c>
      <c r="AA342" s="116">
        <v>191.67</v>
      </c>
      <c r="AB342" s="118">
        <f t="shared" ref="AB342:AB355" si="73">rv_im21_hg_cto</f>
        <v>0.17199999999999999</v>
      </c>
      <c r="AC342" s="119">
        <f t="shared" ref="AC342:AC355" si="74">AA342-(AA342*AB342)</f>
        <v>158.70275999999998</v>
      </c>
      <c r="AD342" s="119"/>
      <c r="AE342" s="120"/>
      <c r="AF342" s="120"/>
      <c r="AG342" s="120" t="s">
        <v>77</v>
      </c>
      <c r="AH342" s="120" t="s">
        <v>77</v>
      </c>
      <c r="AI342" s="68" t="s">
        <v>75</v>
      </c>
      <c r="AJ342" s="55" t="s">
        <v>825</v>
      </c>
      <c r="AK342" s="268" t="s">
        <v>689</v>
      </c>
      <c r="AL342" s="56" t="s">
        <v>89</v>
      </c>
    </row>
    <row r="343" spans="1:38" s="121" customFormat="1">
      <c r="A343" s="113" t="s">
        <v>830</v>
      </c>
      <c r="B343" s="273" t="s">
        <v>831</v>
      </c>
      <c r="C343" s="115">
        <v>1</v>
      </c>
      <c r="D343" s="116" t="s">
        <v>75</v>
      </c>
      <c r="E343" s="117" t="s">
        <v>77</v>
      </c>
      <c r="F343" s="116">
        <v>191.67</v>
      </c>
      <c r="G343" s="118">
        <f t="shared" si="71"/>
        <v>0.17199999999999999</v>
      </c>
      <c r="H343" s="119">
        <f t="shared" si="72"/>
        <v>158.70275999999998</v>
      </c>
      <c r="I343" s="119"/>
      <c r="J343" s="120"/>
      <c r="K343" s="120"/>
      <c r="L343" s="120" t="s">
        <v>77</v>
      </c>
      <c r="M343" s="120" t="s">
        <v>77</v>
      </c>
      <c r="N343" s="68" t="s">
        <v>75</v>
      </c>
      <c r="O343" s="55" t="s">
        <v>825</v>
      </c>
      <c r="P343" s="266" t="s">
        <v>689</v>
      </c>
      <c r="Q343" s="415" t="s">
        <v>690</v>
      </c>
      <c r="R343" s="560" t="str">
        <f t="shared" si="70"/>
        <v/>
      </c>
      <c r="S343" s="1" t="str">
        <f t="shared" si="70"/>
        <v/>
      </c>
      <c r="T343" s="1" t="str">
        <f t="shared" si="70"/>
        <v/>
      </c>
      <c r="U343" s="1" t="str">
        <f t="shared" si="69"/>
        <v/>
      </c>
      <c r="V343" s="113" t="s">
        <v>830</v>
      </c>
      <c r="W343" s="273" t="s">
        <v>831</v>
      </c>
      <c r="X343" s="115">
        <v>1</v>
      </c>
      <c r="Y343" s="116" t="s">
        <v>75</v>
      </c>
      <c r="Z343" s="117" t="s">
        <v>77</v>
      </c>
      <c r="AA343" s="116">
        <v>191.67</v>
      </c>
      <c r="AB343" s="118">
        <f t="shared" si="73"/>
        <v>0.17199999999999999</v>
      </c>
      <c r="AC343" s="119">
        <f t="shared" si="74"/>
        <v>158.70275999999998</v>
      </c>
      <c r="AD343" s="119"/>
      <c r="AE343" s="120"/>
      <c r="AF343" s="120"/>
      <c r="AG343" s="120" t="s">
        <v>77</v>
      </c>
      <c r="AH343" s="120" t="s">
        <v>77</v>
      </c>
      <c r="AI343" s="68" t="s">
        <v>75</v>
      </c>
      <c r="AJ343" s="55" t="s">
        <v>825</v>
      </c>
      <c r="AK343" s="268" t="s">
        <v>689</v>
      </c>
      <c r="AL343" s="56" t="s">
        <v>89</v>
      </c>
    </row>
    <row r="344" spans="1:38" s="121" customFormat="1">
      <c r="A344" s="113" t="s">
        <v>832</v>
      </c>
      <c r="B344" s="273" t="s">
        <v>833</v>
      </c>
      <c r="C344" s="115">
        <v>1</v>
      </c>
      <c r="D344" s="116" t="s">
        <v>75</v>
      </c>
      <c r="E344" s="117" t="s">
        <v>77</v>
      </c>
      <c r="F344" s="116">
        <v>383.33</v>
      </c>
      <c r="G344" s="118">
        <f t="shared" si="71"/>
        <v>0.17199999999999999</v>
      </c>
      <c r="H344" s="119">
        <f t="shared" si="72"/>
        <v>317.39724000000001</v>
      </c>
      <c r="I344" s="119"/>
      <c r="J344" s="120"/>
      <c r="K344" s="120"/>
      <c r="L344" s="120" t="s">
        <v>77</v>
      </c>
      <c r="M344" s="120" t="s">
        <v>77</v>
      </c>
      <c r="N344" s="68" t="s">
        <v>75</v>
      </c>
      <c r="O344" s="55" t="s">
        <v>825</v>
      </c>
      <c r="P344" s="266" t="s">
        <v>689</v>
      </c>
      <c r="Q344" s="415" t="s">
        <v>690</v>
      </c>
      <c r="R344" s="560" t="str">
        <f t="shared" si="70"/>
        <v/>
      </c>
      <c r="S344" s="1" t="str">
        <f t="shared" si="70"/>
        <v/>
      </c>
      <c r="T344" s="1" t="str">
        <f t="shared" si="70"/>
        <v/>
      </c>
      <c r="U344" s="1" t="str">
        <f t="shared" si="69"/>
        <v/>
      </c>
      <c r="V344" s="113" t="s">
        <v>832</v>
      </c>
      <c r="W344" s="273" t="s">
        <v>833</v>
      </c>
      <c r="X344" s="115">
        <v>1</v>
      </c>
      <c r="Y344" s="116" t="s">
        <v>75</v>
      </c>
      <c r="Z344" s="117" t="s">
        <v>77</v>
      </c>
      <c r="AA344" s="116">
        <v>383.33</v>
      </c>
      <c r="AB344" s="118">
        <f t="shared" si="73"/>
        <v>0.17199999999999999</v>
      </c>
      <c r="AC344" s="119">
        <f t="shared" si="74"/>
        <v>317.39724000000001</v>
      </c>
      <c r="AD344" s="119"/>
      <c r="AE344" s="120"/>
      <c r="AF344" s="120"/>
      <c r="AG344" s="120" t="s">
        <v>77</v>
      </c>
      <c r="AH344" s="120" t="s">
        <v>77</v>
      </c>
      <c r="AI344" s="68" t="s">
        <v>75</v>
      </c>
      <c r="AJ344" s="55" t="s">
        <v>825</v>
      </c>
      <c r="AK344" s="268" t="s">
        <v>689</v>
      </c>
      <c r="AL344" s="56" t="s">
        <v>89</v>
      </c>
    </row>
    <row r="345" spans="1:38" s="121" customFormat="1">
      <c r="A345" s="113" t="s">
        <v>834</v>
      </c>
      <c r="B345" s="273" t="s">
        <v>835</v>
      </c>
      <c r="C345" s="115">
        <v>1</v>
      </c>
      <c r="D345" s="116" t="s">
        <v>75</v>
      </c>
      <c r="E345" s="117" t="s">
        <v>77</v>
      </c>
      <c r="F345" s="116">
        <v>21.67</v>
      </c>
      <c r="G345" s="118">
        <f t="shared" si="71"/>
        <v>0.17199999999999999</v>
      </c>
      <c r="H345" s="119">
        <f t="shared" si="72"/>
        <v>17.94276</v>
      </c>
      <c r="I345" s="119"/>
      <c r="J345" s="120"/>
      <c r="K345" s="120"/>
      <c r="L345" s="120" t="s">
        <v>77</v>
      </c>
      <c r="M345" s="120" t="s">
        <v>77</v>
      </c>
      <c r="N345" s="68" t="s">
        <v>75</v>
      </c>
      <c r="O345" s="55" t="s">
        <v>825</v>
      </c>
      <c r="P345" s="266" t="s">
        <v>689</v>
      </c>
      <c r="Q345" s="415" t="s">
        <v>690</v>
      </c>
      <c r="R345" s="560" t="str">
        <f t="shared" si="70"/>
        <v/>
      </c>
      <c r="S345" s="1" t="str">
        <f t="shared" si="70"/>
        <v/>
      </c>
      <c r="T345" s="1" t="str">
        <f t="shared" si="70"/>
        <v/>
      </c>
      <c r="U345" s="1" t="str">
        <f t="shared" si="69"/>
        <v/>
      </c>
      <c r="V345" s="113" t="s">
        <v>834</v>
      </c>
      <c r="W345" s="273" t="s">
        <v>835</v>
      </c>
      <c r="X345" s="115">
        <v>1</v>
      </c>
      <c r="Y345" s="116" t="s">
        <v>75</v>
      </c>
      <c r="Z345" s="117" t="s">
        <v>77</v>
      </c>
      <c r="AA345" s="116">
        <v>21.67</v>
      </c>
      <c r="AB345" s="118">
        <f t="shared" si="73"/>
        <v>0.17199999999999999</v>
      </c>
      <c r="AC345" s="119">
        <f t="shared" si="74"/>
        <v>17.94276</v>
      </c>
      <c r="AD345" s="119"/>
      <c r="AE345" s="120"/>
      <c r="AF345" s="120"/>
      <c r="AG345" s="120" t="s">
        <v>77</v>
      </c>
      <c r="AH345" s="120" t="s">
        <v>77</v>
      </c>
      <c r="AI345" s="68" t="s">
        <v>75</v>
      </c>
      <c r="AJ345" s="55" t="s">
        <v>825</v>
      </c>
      <c r="AK345" s="268" t="s">
        <v>689</v>
      </c>
      <c r="AL345" s="56" t="s">
        <v>89</v>
      </c>
    </row>
    <row r="346" spans="1:38" s="121" customFormat="1">
      <c r="A346" s="113" t="s">
        <v>836</v>
      </c>
      <c r="B346" s="273" t="s">
        <v>837</v>
      </c>
      <c r="C346" s="115">
        <v>1</v>
      </c>
      <c r="D346" s="116" t="s">
        <v>75</v>
      </c>
      <c r="E346" s="117" t="s">
        <v>77</v>
      </c>
      <c r="F346" s="116">
        <v>41.67</v>
      </c>
      <c r="G346" s="118">
        <f t="shared" si="71"/>
        <v>0.17199999999999999</v>
      </c>
      <c r="H346" s="119">
        <f t="shared" si="72"/>
        <v>34.502760000000002</v>
      </c>
      <c r="I346" s="119"/>
      <c r="J346" s="120"/>
      <c r="K346" s="120"/>
      <c r="L346" s="120" t="s">
        <v>77</v>
      </c>
      <c r="M346" s="120" t="s">
        <v>77</v>
      </c>
      <c r="N346" s="68" t="s">
        <v>75</v>
      </c>
      <c r="O346" s="55" t="s">
        <v>825</v>
      </c>
      <c r="P346" s="266" t="s">
        <v>689</v>
      </c>
      <c r="Q346" s="415" t="s">
        <v>690</v>
      </c>
      <c r="R346" s="560" t="str">
        <f t="shared" si="70"/>
        <v/>
      </c>
      <c r="S346" s="1" t="str">
        <f t="shared" si="70"/>
        <v/>
      </c>
      <c r="T346" s="1" t="str">
        <f t="shared" si="70"/>
        <v/>
      </c>
      <c r="U346" s="1" t="str">
        <f t="shared" si="69"/>
        <v/>
      </c>
      <c r="V346" s="113" t="s">
        <v>836</v>
      </c>
      <c r="W346" s="273" t="s">
        <v>837</v>
      </c>
      <c r="X346" s="115">
        <v>1</v>
      </c>
      <c r="Y346" s="116" t="s">
        <v>75</v>
      </c>
      <c r="Z346" s="117" t="s">
        <v>77</v>
      </c>
      <c r="AA346" s="116">
        <v>41.67</v>
      </c>
      <c r="AB346" s="118">
        <f t="shared" si="73"/>
        <v>0.17199999999999999</v>
      </c>
      <c r="AC346" s="119">
        <f t="shared" si="74"/>
        <v>34.502760000000002</v>
      </c>
      <c r="AD346" s="119"/>
      <c r="AE346" s="120"/>
      <c r="AF346" s="120"/>
      <c r="AG346" s="120" t="s">
        <v>77</v>
      </c>
      <c r="AH346" s="120" t="s">
        <v>77</v>
      </c>
      <c r="AI346" s="68" t="s">
        <v>75</v>
      </c>
      <c r="AJ346" s="55" t="s">
        <v>825</v>
      </c>
      <c r="AK346" s="268" t="s">
        <v>689</v>
      </c>
      <c r="AL346" s="56" t="s">
        <v>89</v>
      </c>
    </row>
    <row r="347" spans="1:38" s="121" customFormat="1">
      <c r="A347" s="113" t="s">
        <v>838</v>
      </c>
      <c r="B347" s="273" t="s">
        <v>839</v>
      </c>
      <c r="C347" s="115">
        <v>1</v>
      </c>
      <c r="D347" s="116" t="s">
        <v>75</v>
      </c>
      <c r="E347" s="117" t="s">
        <v>77</v>
      </c>
      <c r="F347" s="116">
        <v>112.5</v>
      </c>
      <c r="G347" s="118">
        <f t="shared" si="71"/>
        <v>0.17199999999999999</v>
      </c>
      <c r="H347" s="119">
        <f t="shared" si="72"/>
        <v>93.15</v>
      </c>
      <c r="I347" s="119"/>
      <c r="J347" s="120"/>
      <c r="K347" s="120"/>
      <c r="L347" s="120" t="s">
        <v>77</v>
      </c>
      <c r="M347" s="120" t="s">
        <v>77</v>
      </c>
      <c r="N347" s="68" t="s">
        <v>75</v>
      </c>
      <c r="O347" s="55" t="s">
        <v>825</v>
      </c>
      <c r="P347" s="266" t="s">
        <v>689</v>
      </c>
      <c r="Q347" s="415" t="s">
        <v>690</v>
      </c>
      <c r="R347" s="560" t="str">
        <f t="shared" si="70"/>
        <v/>
      </c>
      <c r="S347" s="1" t="str">
        <f t="shared" si="70"/>
        <v/>
      </c>
      <c r="T347" s="1" t="str">
        <f t="shared" si="70"/>
        <v/>
      </c>
      <c r="U347" s="1" t="str">
        <f t="shared" si="69"/>
        <v/>
      </c>
      <c r="V347" s="113" t="s">
        <v>838</v>
      </c>
      <c r="W347" s="273" t="s">
        <v>839</v>
      </c>
      <c r="X347" s="115">
        <v>1</v>
      </c>
      <c r="Y347" s="116" t="s">
        <v>75</v>
      </c>
      <c r="Z347" s="117" t="s">
        <v>77</v>
      </c>
      <c r="AA347" s="116">
        <v>112.5</v>
      </c>
      <c r="AB347" s="118">
        <f t="shared" si="73"/>
        <v>0.17199999999999999</v>
      </c>
      <c r="AC347" s="119">
        <f t="shared" si="74"/>
        <v>93.15</v>
      </c>
      <c r="AD347" s="119"/>
      <c r="AE347" s="120"/>
      <c r="AF347" s="120"/>
      <c r="AG347" s="120" t="s">
        <v>77</v>
      </c>
      <c r="AH347" s="120" t="s">
        <v>77</v>
      </c>
      <c r="AI347" s="68" t="s">
        <v>75</v>
      </c>
      <c r="AJ347" s="55" t="s">
        <v>825</v>
      </c>
      <c r="AK347" s="268" t="s">
        <v>689</v>
      </c>
      <c r="AL347" s="56" t="s">
        <v>89</v>
      </c>
    </row>
    <row r="348" spans="1:38" s="121" customFormat="1">
      <c r="A348" s="113" t="s">
        <v>840</v>
      </c>
      <c r="B348" s="273" t="s">
        <v>841</v>
      </c>
      <c r="C348" s="115">
        <v>1</v>
      </c>
      <c r="D348" s="116" t="s">
        <v>75</v>
      </c>
      <c r="E348" s="117" t="s">
        <v>77</v>
      </c>
      <c r="F348" s="116">
        <v>0</v>
      </c>
      <c r="G348" s="118"/>
      <c r="H348" s="119">
        <f t="shared" si="72"/>
        <v>0</v>
      </c>
      <c r="I348" s="119"/>
      <c r="J348" s="120"/>
      <c r="K348" s="120"/>
      <c r="L348" s="120"/>
      <c r="M348" s="120"/>
      <c r="N348" s="68" t="s">
        <v>75</v>
      </c>
      <c r="O348" s="55" t="s">
        <v>825</v>
      </c>
      <c r="P348" s="266" t="s">
        <v>689</v>
      </c>
      <c r="Q348" s="415" t="s">
        <v>690</v>
      </c>
      <c r="R348" s="560" t="str">
        <f t="shared" si="70"/>
        <v/>
      </c>
      <c r="S348" s="1" t="str">
        <f t="shared" si="70"/>
        <v/>
      </c>
      <c r="T348" s="1" t="str">
        <f t="shared" si="70"/>
        <v/>
      </c>
      <c r="U348" s="1" t="str">
        <f t="shared" si="69"/>
        <v/>
      </c>
      <c r="V348" s="113" t="s">
        <v>842</v>
      </c>
      <c r="W348" s="273" t="s">
        <v>841</v>
      </c>
      <c r="X348" s="115">
        <v>1</v>
      </c>
      <c r="Y348" s="116" t="s">
        <v>75</v>
      </c>
      <c r="Z348" s="117" t="s">
        <v>77</v>
      </c>
      <c r="AA348" s="116">
        <v>0</v>
      </c>
      <c r="AB348" s="118"/>
      <c r="AC348" s="119">
        <f t="shared" si="74"/>
        <v>0</v>
      </c>
      <c r="AD348" s="119"/>
      <c r="AE348" s="120"/>
      <c r="AF348" s="120"/>
      <c r="AG348" s="120"/>
      <c r="AH348" s="120"/>
      <c r="AI348" s="68" t="s">
        <v>75</v>
      </c>
      <c r="AJ348" s="55" t="s">
        <v>825</v>
      </c>
      <c r="AK348" s="268" t="s">
        <v>689</v>
      </c>
      <c r="AL348" s="56" t="s">
        <v>89</v>
      </c>
    </row>
    <row r="349" spans="1:38" s="121" customFormat="1">
      <c r="A349" s="25" t="s">
        <v>843</v>
      </c>
      <c r="B349" s="273" t="s">
        <v>844</v>
      </c>
      <c r="C349" s="115">
        <v>1</v>
      </c>
      <c r="D349" s="116" t="s">
        <v>75</v>
      </c>
      <c r="E349" s="117" t="s">
        <v>77</v>
      </c>
      <c r="F349" s="116">
        <v>0</v>
      </c>
      <c r="G349" s="118"/>
      <c r="H349" s="119">
        <f t="shared" si="72"/>
        <v>0</v>
      </c>
      <c r="I349" s="119"/>
      <c r="J349" s="120"/>
      <c r="K349" s="120"/>
      <c r="L349" s="120"/>
      <c r="M349" s="120"/>
      <c r="N349" s="68" t="s">
        <v>75</v>
      </c>
      <c r="O349" s="55" t="s">
        <v>825</v>
      </c>
      <c r="P349" s="266" t="s">
        <v>689</v>
      </c>
      <c r="Q349" s="415" t="s">
        <v>690</v>
      </c>
      <c r="R349" s="560" t="str">
        <f t="shared" si="70"/>
        <v/>
      </c>
      <c r="S349" s="1" t="str">
        <f t="shared" si="70"/>
        <v/>
      </c>
      <c r="T349" s="1" t="str">
        <f t="shared" si="70"/>
        <v/>
      </c>
      <c r="U349" s="1" t="str">
        <f t="shared" si="69"/>
        <v/>
      </c>
      <c r="V349" s="113" t="s">
        <v>845</v>
      </c>
      <c r="W349" s="273" t="s">
        <v>844</v>
      </c>
      <c r="X349" s="115">
        <v>1</v>
      </c>
      <c r="Y349" s="116" t="s">
        <v>75</v>
      </c>
      <c r="Z349" s="117" t="s">
        <v>77</v>
      </c>
      <c r="AA349" s="116">
        <v>0</v>
      </c>
      <c r="AB349" s="118"/>
      <c r="AC349" s="119">
        <f t="shared" si="74"/>
        <v>0</v>
      </c>
      <c r="AD349" s="119"/>
      <c r="AE349" s="120"/>
      <c r="AF349" s="120"/>
      <c r="AG349" s="120"/>
      <c r="AH349" s="120"/>
      <c r="AI349" s="68" t="s">
        <v>75</v>
      </c>
      <c r="AJ349" s="55" t="s">
        <v>825</v>
      </c>
      <c r="AK349" s="268" t="s">
        <v>689</v>
      </c>
      <c r="AL349" s="56" t="s">
        <v>89</v>
      </c>
    </row>
    <row r="350" spans="1:38" s="121" customFormat="1">
      <c r="A350" s="113" t="s">
        <v>846</v>
      </c>
      <c r="B350" s="273" t="s">
        <v>847</v>
      </c>
      <c r="C350" s="115">
        <v>1</v>
      </c>
      <c r="D350" s="116" t="s">
        <v>75</v>
      </c>
      <c r="E350" s="117" t="s">
        <v>77</v>
      </c>
      <c r="F350" s="116">
        <v>41.67</v>
      </c>
      <c r="G350" s="118">
        <f t="shared" si="71"/>
        <v>0.17199999999999999</v>
      </c>
      <c r="H350" s="119">
        <f t="shared" si="72"/>
        <v>34.502760000000002</v>
      </c>
      <c r="I350" s="119"/>
      <c r="J350" s="120"/>
      <c r="K350" s="120"/>
      <c r="L350" s="120"/>
      <c r="M350" s="120"/>
      <c r="N350" s="68" t="s">
        <v>75</v>
      </c>
      <c r="O350" s="55" t="s">
        <v>825</v>
      </c>
      <c r="P350" s="266" t="s">
        <v>689</v>
      </c>
      <c r="Q350" s="415" t="s">
        <v>690</v>
      </c>
      <c r="R350" s="560" t="str">
        <f t="shared" si="70"/>
        <v/>
      </c>
      <c r="S350" s="1" t="str">
        <f t="shared" si="70"/>
        <v/>
      </c>
      <c r="T350" s="1" t="str">
        <f t="shared" si="70"/>
        <v/>
      </c>
      <c r="U350" s="1" t="str">
        <f t="shared" si="69"/>
        <v/>
      </c>
      <c r="V350" s="113" t="s">
        <v>846</v>
      </c>
      <c r="W350" s="273" t="s">
        <v>847</v>
      </c>
      <c r="X350" s="115">
        <v>1</v>
      </c>
      <c r="Y350" s="116" t="s">
        <v>75</v>
      </c>
      <c r="Z350" s="117" t="s">
        <v>77</v>
      </c>
      <c r="AA350" s="116">
        <v>41.67</v>
      </c>
      <c r="AB350" s="118">
        <f t="shared" si="73"/>
        <v>0.17199999999999999</v>
      </c>
      <c r="AC350" s="119">
        <f t="shared" si="74"/>
        <v>34.502760000000002</v>
      </c>
      <c r="AD350" s="119"/>
      <c r="AE350" s="120"/>
      <c r="AF350" s="120"/>
      <c r="AG350" s="120"/>
      <c r="AH350" s="120"/>
      <c r="AI350" s="68" t="s">
        <v>75</v>
      </c>
      <c r="AJ350" s="55" t="s">
        <v>825</v>
      </c>
      <c r="AK350" s="268" t="s">
        <v>689</v>
      </c>
      <c r="AL350" s="56" t="s">
        <v>89</v>
      </c>
    </row>
    <row r="351" spans="1:38" s="121" customFormat="1">
      <c r="A351" s="113" t="s">
        <v>848</v>
      </c>
      <c r="B351" s="273" t="s">
        <v>849</v>
      </c>
      <c r="C351" s="115">
        <v>1</v>
      </c>
      <c r="D351" s="116" t="s">
        <v>75</v>
      </c>
      <c r="E351" s="117" t="s">
        <v>77</v>
      </c>
      <c r="F351" s="116">
        <v>41.67</v>
      </c>
      <c r="G351" s="118">
        <f t="shared" si="71"/>
        <v>0.17199999999999999</v>
      </c>
      <c r="H351" s="119">
        <f t="shared" si="72"/>
        <v>34.502760000000002</v>
      </c>
      <c r="I351" s="119"/>
      <c r="J351" s="120"/>
      <c r="K351" s="120"/>
      <c r="L351" s="120"/>
      <c r="M351" s="120"/>
      <c r="N351" s="68" t="s">
        <v>75</v>
      </c>
      <c r="O351" s="55" t="s">
        <v>825</v>
      </c>
      <c r="P351" s="266" t="s">
        <v>689</v>
      </c>
      <c r="Q351" s="415" t="s">
        <v>690</v>
      </c>
      <c r="R351" s="560" t="str">
        <f t="shared" si="70"/>
        <v/>
      </c>
      <c r="S351" s="1" t="str">
        <f t="shared" si="70"/>
        <v/>
      </c>
      <c r="T351" s="1" t="str">
        <f t="shared" si="70"/>
        <v/>
      </c>
      <c r="U351" s="1" t="str">
        <f t="shared" si="69"/>
        <v/>
      </c>
      <c r="V351" s="113" t="s">
        <v>848</v>
      </c>
      <c r="W351" s="273" t="s">
        <v>849</v>
      </c>
      <c r="X351" s="115">
        <v>1</v>
      </c>
      <c r="Y351" s="116" t="s">
        <v>75</v>
      </c>
      <c r="Z351" s="117" t="s">
        <v>77</v>
      </c>
      <c r="AA351" s="116">
        <v>41.67</v>
      </c>
      <c r="AB351" s="118">
        <f t="shared" si="73"/>
        <v>0.17199999999999999</v>
      </c>
      <c r="AC351" s="119">
        <f t="shared" si="74"/>
        <v>34.502760000000002</v>
      </c>
      <c r="AD351" s="119"/>
      <c r="AE351" s="120"/>
      <c r="AF351" s="120"/>
      <c r="AG351" s="120"/>
      <c r="AH351" s="120"/>
      <c r="AI351" s="68" t="s">
        <v>75</v>
      </c>
      <c r="AJ351" s="55" t="s">
        <v>825</v>
      </c>
      <c r="AK351" s="268" t="s">
        <v>689</v>
      </c>
      <c r="AL351" s="56" t="s">
        <v>89</v>
      </c>
    </row>
    <row r="352" spans="1:38" s="121" customFormat="1">
      <c r="A352" s="25" t="s">
        <v>850</v>
      </c>
      <c r="B352" s="273" t="s">
        <v>851</v>
      </c>
      <c r="C352" s="115">
        <v>1</v>
      </c>
      <c r="D352" s="116" t="s">
        <v>75</v>
      </c>
      <c r="E352" s="117" t="s">
        <v>77</v>
      </c>
      <c r="F352" s="116">
        <v>41.67</v>
      </c>
      <c r="G352" s="118">
        <f t="shared" si="71"/>
        <v>0.17199999999999999</v>
      </c>
      <c r="H352" s="119">
        <f t="shared" si="72"/>
        <v>34.502760000000002</v>
      </c>
      <c r="I352" s="119"/>
      <c r="J352" s="120"/>
      <c r="K352" s="120"/>
      <c r="L352" s="120"/>
      <c r="M352" s="120"/>
      <c r="N352" s="68" t="s">
        <v>75</v>
      </c>
      <c r="O352" s="55" t="s">
        <v>825</v>
      </c>
      <c r="P352" s="266" t="s">
        <v>689</v>
      </c>
      <c r="Q352" s="415" t="s">
        <v>690</v>
      </c>
      <c r="R352" s="560" t="str">
        <f t="shared" si="70"/>
        <v/>
      </c>
      <c r="S352" s="1" t="str">
        <f t="shared" si="70"/>
        <v/>
      </c>
      <c r="T352" s="1" t="str">
        <f t="shared" si="70"/>
        <v/>
      </c>
      <c r="U352" s="1" t="str">
        <f t="shared" si="69"/>
        <v/>
      </c>
      <c r="V352" s="113" t="s">
        <v>852</v>
      </c>
      <c r="W352" s="273" t="s">
        <v>851</v>
      </c>
      <c r="X352" s="115">
        <v>1</v>
      </c>
      <c r="Y352" s="116" t="s">
        <v>75</v>
      </c>
      <c r="Z352" s="117" t="s">
        <v>77</v>
      </c>
      <c r="AA352" s="116">
        <v>41.67</v>
      </c>
      <c r="AB352" s="118">
        <f t="shared" si="73"/>
        <v>0.17199999999999999</v>
      </c>
      <c r="AC352" s="119">
        <f t="shared" si="74"/>
        <v>34.502760000000002</v>
      </c>
      <c r="AD352" s="119"/>
      <c r="AE352" s="120"/>
      <c r="AF352" s="120"/>
      <c r="AG352" s="120"/>
      <c r="AH352" s="120"/>
      <c r="AI352" s="68" t="s">
        <v>75</v>
      </c>
      <c r="AJ352" s="55" t="s">
        <v>825</v>
      </c>
      <c r="AK352" s="268" t="s">
        <v>689</v>
      </c>
      <c r="AL352" s="56" t="s">
        <v>89</v>
      </c>
    </row>
    <row r="353" spans="1:38" s="121" customFormat="1">
      <c r="A353" s="113" t="s">
        <v>853</v>
      </c>
      <c r="B353" s="273" t="s">
        <v>854</v>
      </c>
      <c r="C353" s="115">
        <v>1</v>
      </c>
      <c r="D353" s="116" t="s">
        <v>75</v>
      </c>
      <c r="E353" s="117" t="s">
        <v>77</v>
      </c>
      <c r="F353" s="116">
        <v>63.33</v>
      </c>
      <c r="G353" s="118">
        <f t="shared" si="71"/>
        <v>0.17199999999999999</v>
      </c>
      <c r="H353" s="119">
        <f t="shared" si="72"/>
        <v>52.437240000000003</v>
      </c>
      <c r="I353" s="119"/>
      <c r="J353" s="120"/>
      <c r="K353" s="120"/>
      <c r="L353" s="120"/>
      <c r="M353" s="120"/>
      <c r="N353" s="68" t="s">
        <v>75</v>
      </c>
      <c r="O353" s="55" t="s">
        <v>825</v>
      </c>
      <c r="P353" s="266" t="s">
        <v>689</v>
      </c>
      <c r="Q353" s="415" t="s">
        <v>690</v>
      </c>
      <c r="R353" s="560" t="str">
        <f t="shared" si="70"/>
        <v/>
      </c>
      <c r="S353" s="1" t="str">
        <f t="shared" si="70"/>
        <v/>
      </c>
      <c r="T353" s="1" t="str">
        <f t="shared" si="70"/>
        <v/>
      </c>
      <c r="U353" s="1" t="str">
        <f t="shared" si="69"/>
        <v/>
      </c>
      <c r="V353" s="113" t="s">
        <v>853</v>
      </c>
      <c r="W353" s="273" t="s">
        <v>854</v>
      </c>
      <c r="X353" s="115">
        <v>1</v>
      </c>
      <c r="Y353" s="116" t="s">
        <v>75</v>
      </c>
      <c r="Z353" s="117" t="s">
        <v>77</v>
      </c>
      <c r="AA353" s="116">
        <v>63.33</v>
      </c>
      <c r="AB353" s="118">
        <f t="shared" si="73"/>
        <v>0.17199999999999999</v>
      </c>
      <c r="AC353" s="119">
        <f t="shared" si="74"/>
        <v>52.437240000000003</v>
      </c>
      <c r="AD353" s="119"/>
      <c r="AE353" s="120"/>
      <c r="AF353" s="120"/>
      <c r="AG353" s="120"/>
      <c r="AH353" s="120"/>
      <c r="AI353" s="68" t="s">
        <v>75</v>
      </c>
      <c r="AJ353" s="55" t="s">
        <v>825</v>
      </c>
      <c r="AK353" s="268" t="s">
        <v>689</v>
      </c>
      <c r="AL353" s="56" t="s">
        <v>89</v>
      </c>
    </row>
    <row r="354" spans="1:38" s="121" customFormat="1">
      <c r="A354" s="113" t="s">
        <v>855</v>
      </c>
      <c r="B354" s="273" t="s">
        <v>856</v>
      </c>
      <c r="C354" s="115">
        <v>1</v>
      </c>
      <c r="D354" s="116" t="s">
        <v>75</v>
      </c>
      <c r="E354" s="117" t="s">
        <v>77</v>
      </c>
      <c r="F354" s="116">
        <v>63.33</v>
      </c>
      <c r="G354" s="118">
        <f t="shared" si="71"/>
        <v>0.17199999999999999</v>
      </c>
      <c r="H354" s="119">
        <f t="shared" si="72"/>
        <v>52.437240000000003</v>
      </c>
      <c r="I354" s="119"/>
      <c r="J354" s="120"/>
      <c r="K354" s="120"/>
      <c r="L354" s="120"/>
      <c r="M354" s="120"/>
      <c r="N354" s="68" t="s">
        <v>75</v>
      </c>
      <c r="O354" s="55" t="s">
        <v>825</v>
      </c>
      <c r="P354" s="266" t="s">
        <v>689</v>
      </c>
      <c r="Q354" s="415" t="s">
        <v>690</v>
      </c>
      <c r="R354" s="560" t="str">
        <f t="shared" si="70"/>
        <v/>
      </c>
      <c r="S354" s="1" t="str">
        <f t="shared" si="70"/>
        <v/>
      </c>
      <c r="T354" s="1" t="str">
        <f t="shared" si="70"/>
        <v/>
      </c>
      <c r="U354" s="1" t="str">
        <f t="shared" si="69"/>
        <v/>
      </c>
      <c r="V354" s="113" t="s">
        <v>855</v>
      </c>
      <c r="W354" s="273" t="s">
        <v>856</v>
      </c>
      <c r="X354" s="115">
        <v>1</v>
      </c>
      <c r="Y354" s="116" t="s">
        <v>75</v>
      </c>
      <c r="Z354" s="117" t="s">
        <v>77</v>
      </c>
      <c r="AA354" s="116">
        <v>63.33</v>
      </c>
      <c r="AB354" s="118">
        <f t="shared" si="73"/>
        <v>0.17199999999999999</v>
      </c>
      <c r="AC354" s="119">
        <f t="shared" si="74"/>
        <v>52.437240000000003</v>
      </c>
      <c r="AD354" s="119"/>
      <c r="AE354" s="120"/>
      <c r="AF354" s="120"/>
      <c r="AG354" s="120"/>
      <c r="AH354" s="120"/>
      <c r="AI354" s="68" t="s">
        <v>75</v>
      </c>
      <c r="AJ354" s="55" t="s">
        <v>825</v>
      </c>
      <c r="AK354" s="268" t="s">
        <v>689</v>
      </c>
      <c r="AL354" s="56" t="s">
        <v>89</v>
      </c>
    </row>
    <row r="355" spans="1:38" s="121" customFormat="1">
      <c r="A355" s="25" t="s">
        <v>857</v>
      </c>
      <c r="B355" s="273" t="s">
        <v>858</v>
      </c>
      <c r="C355" s="115">
        <v>1</v>
      </c>
      <c r="D355" s="116" t="s">
        <v>75</v>
      </c>
      <c r="E355" s="117" t="s">
        <v>77</v>
      </c>
      <c r="F355" s="116">
        <v>63.33</v>
      </c>
      <c r="G355" s="118">
        <f t="shared" si="71"/>
        <v>0.17199999999999999</v>
      </c>
      <c r="H355" s="119">
        <f t="shared" si="72"/>
        <v>52.437240000000003</v>
      </c>
      <c r="I355" s="119"/>
      <c r="J355" s="120"/>
      <c r="K355" s="120"/>
      <c r="L355" s="120"/>
      <c r="M355" s="120"/>
      <c r="N355" s="68" t="s">
        <v>75</v>
      </c>
      <c r="O355" s="55" t="s">
        <v>825</v>
      </c>
      <c r="P355" s="266" t="s">
        <v>689</v>
      </c>
      <c r="Q355" s="415" t="s">
        <v>690</v>
      </c>
      <c r="R355" s="560" t="str">
        <f t="shared" si="70"/>
        <v/>
      </c>
      <c r="S355" s="1" t="str">
        <f t="shared" si="70"/>
        <v/>
      </c>
      <c r="T355" s="1" t="str">
        <f t="shared" si="70"/>
        <v/>
      </c>
      <c r="U355" s="1" t="str">
        <f t="shared" si="69"/>
        <v/>
      </c>
      <c r="V355" s="113" t="s">
        <v>859</v>
      </c>
      <c r="W355" s="273" t="s">
        <v>858</v>
      </c>
      <c r="X355" s="115">
        <v>1</v>
      </c>
      <c r="Y355" s="116" t="s">
        <v>75</v>
      </c>
      <c r="Z355" s="117" t="s">
        <v>77</v>
      </c>
      <c r="AA355" s="116">
        <v>63.33</v>
      </c>
      <c r="AB355" s="118">
        <f t="shared" si="73"/>
        <v>0.17199999999999999</v>
      </c>
      <c r="AC355" s="119">
        <f t="shared" si="74"/>
        <v>52.437240000000003</v>
      </c>
      <c r="AD355" s="119"/>
      <c r="AE355" s="120"/>
      <c r="AF355" s="120"/>
      <c r="AG355" s="120"/>
      <c r="AH355" s="120"/>
      <c r="AI355" s="68" t="s">
        <v>75</v>
      </c>
      <c r="AJ355" s="55" t="s">
        <v>825</v>
      </c>
      <c r="AK355" s="268" t="s">
        <v>689</v>
      </c>
      <c r="AL355" s="56" t="s">
        <v>89</v>
      </c>
    </row>
    <row r="356" spans="1:38" s="121" customFormat="1" ht="21.95" customHeight="1">
      <c r="A356" s="367" t="s">
        <v>860</v>
      </c>
      <c r="B356" s="368"/>
      <c r="C356" s="115"/>
      <c r="D356" s="116"/>
      <c r="E356" s="117"/>
      <c r="F356" s="116"/>
      <c r="G356" s="118"/>
      <c r="H356" s="119"/>
      <c r="I356" s="119"/>
      <c r="J356" s="120"/>
      <c r="K356" s="120"/>
      <c r="L356" s="120"/>
      <c r="M356" s="120"/>
      <c r="N356" s="68"/>
      <c r="O356" s="55"/>
      <c r="P356" s="268"/>
      <c r="Q356" s="56"/>
      <c r="R356" s="1" t="str">
        <f t="shared" si="70"/>
        <v/>
      </c>
      <c r="S356" s="1" t="str">
        <f t="shared" si="70"/>
        <v/>
      </c>
      <c r="T356" s="1" t="str">
        <f t="shared" si="70"/>
        <v/>
      </c>
      <c r="U356" s="1" t="str">
        <f t="shared" si="69"/>
        <v/>
      </c>
      <c r="V356" s="593" t="s">
        <v>860</v>
      </c>
      <c r="W356" s="594"/>
      <c r="X356" s="115"/>
      <c r="Y356" s="116"/>
      <c r="Z356" s="117"/>
      <c r="AA356" s="116"/>
      <c r="AB356" s="118"/>
      <c r="AC356" s="119"/>
      <c r="AD356" s="119"/>
      <c r="AE356" s="120"/>
      <c r="AF356" s="120"/>
      <c r="AG356" s="120"/>
      <c r="AH356" s="120"/>
      <c r="AI356" s="68"/>
      <c r="AJ356" s="55"/>
      <c r="AK356" s="268"/>
      <c r="AL356" s="56"/>
    </row>
    <row r="357" spans="1:38" s="121" customFormat="1">
      <c r="A357" s="93" t="s">
        <v>861</v>
      </c>
      <c r="B357" s="94" t="s">
        <v>862</v>
      </c>
      <c r="C357" s="95">
        <v>1</v>
      </c>
      <c r="D357" s="96" t="s">
        <v>75</v>
      </c>
      <c r="E357" s="140" t="s">
        <v>861</v>
      </c>
      <c r="F357" s="96">
        <v>1388.33</v>
      </c>
      <c r="G357" s="141">
        <f>rv_im21_hg</f>
        <v>0.17199999999999999</v>
      </c>
      <c r="H357" s="98">
        <f t="shared" ref="H357:H380" si="75">F357-(F357*G357)</f>
        <v>1149.5372399999999</v>
      </c>
      <c r="I357" s="95" t="s">
        <v>767</v>
      </c>
      <c r="J357" s="99">
        <f>im24_5pl</f>
        <v>45.001800000000003</v>
      </c>
      <c r="K357" s="122">
        <f>H357+J357</f>
        <v>1194.5390399999999</v>
      </c>
      <c r="L357" s="17" t="s">
        <v>77</v>
      </c>
      <c r="M357" s="17">
        <v>2.5</v>
      </c>
      <c r="N357" s="68" t="s">
        <v>75</v>
      </c>
      <c r="O357" s="55" t="s">
        <v>863</v>
      </c>
      <c r="P357" s="268" t="s">
        <v>689</v>
      </c>
      <c r="Q357" s="56" t="s">
        <v>690</v>
      </c>
      <c r="R357" s="1">
        <f t="shared" si="70"/>
        <v>236.50349630733871</v>
      </c>
      <c r="S357" s="1">
        <f t="shared" si="70"/>
        <v>121.00675240475951</v>
      </c>
      <c r="T357" s="1">
        <f t="shared" si="70"/>
        <v>86.797535015367643</v>
      </c>
      <c r="U357" s="1">
        <f t="shared" si="69"/>
        <v>74.356928771502922</v>
      </c>
      <c r="V357" s="93" t="s">
        <v>861</v>
      </c>
      <c r="W357" s="94" t="s">
        <v>862</v>
      </c>
      <c r="X357" s="95">
        <v>1</v>
      </c>
      <c r="Y357" s="96" t="s">
        <v>75</v>
      </c>
      <c r="Z357" s="140" t="s">
        <v>861</v>
      </c>
      <c r="AA357" s="96">
        <v>1388.33</v>
      </c>
      <c r="AB357" s="141">
        <f>rv_im21_hg</f>
        <v>0.17199999999999999</v>
      </c>
      <c r="AC357" s="98">
        <f t="shared" ref="AC357:AC368" si="76">AA357-(AA357*AB357)</f>
        <v>1149.5372399999999</v>
      </c>
      <c r="AD357" s="95" t="s">
        <v>767</v>
      </c>
      <c r="AE357" s="99" t="e">
        <f>im21_5pl</f>
        <v>#NAME?</v>
      </c>
      <c r="AF357" s="122" t="e">
        <f>AC357+AE357</f>
        <v>#NAME?</v>
      </c>
      <c r="AG357" s="17" t="s">
        <v>77</v>
      </c>
      <c r="AH357" s="17">
        <v>2.5</v>
      </c>
      <c r="AI357" s="68" t="s">
        <v>75</v>
      </c>
      <c r="AJ357" s="55" t="s">
        <v>863</v>
      </c>
      <c r="AK357" s="268" t="s">
        <v>689</v>
      </c>
      <c r="AL357" s="56" t="s">
        <v>690</v>
      </c>
    </row>
    <row r="358" spans="1:38" s="121" customFormat="1">
      <c r="A358" s="113" t="s">
        <v>864</v>
      </c>
      <c r="B358" s="273" t="s">
        <v>865</v>
      </c>
      <c r="C358" s="115">
        <v>1</v>
      </c>
      <c r="D358" s="116" t="s">
        <v>75</v>
      </c>
      <c r="E358" s="117" t="s">
        <v>77</v>
      </c>
      <c r="F358" s="35">
        <v>191.67</v>
      </c>
      <c r="G358" s="102">
        <f t="shared" ref="G358:G368" si="77">rv_im21_hg_cto</f>
        <v>0.17199999999999999</v>
      </c>
      <c r="H358" s="31">
        <f t="shared" si="75"/>
        <v>158.70275999999998</v>
      </c>
      <c r="I358" s="119"/>
      <c r="J358" s="120"/>
      <c r="K358" s="120"/>
      <c r="L358" s="120" t="s">
        <v>77</v>
      </c>
      <c r="M358" s="120" t="s">
        <v>77</v>
      </c>
      <c r="N358" s="68" t="s">
        <v>75</v>
      </c>
      <c r="O358" s="55" t="s">
        <v>863</v>
      </c>
      <c r="P358" s="268" t="s">
        <v>689</v>
      </c>
      <c r="Q358" s="56" t="s">
        <v>690</v>
      </c>
      <c r="R358" s="1" t="str">
        <f t="shared" si="70"/>
        <v/>
      </c>
      <c r="S358" s="1" t="str">
        <f t="shared" si="70"/>
        <v/>
      </c>
      <c r="T358" s="1" t="str">
        <f t="shared" si="70"/>
        <v/>
      </c>
      <c r="U358" s="1" t="str">
        <f t="shared" si="69"/>
        <v/>
      </c>
      <c r="V358" s="113" t="s">
        <v>866</v>
      </c>
      <c r="W358" s="273" t="s">
        <v>865</v>
      </c>
      <c r="X358" s="115">
        <v>1</v>
      </c>
      <c r="Y358" s="116" t="s">
        <v>75</v>
      </c>
      <c r="Z358" s="117" t="s">
        <v>77</v>
      </c>
      <c r="AA358" s="35">
        <v>191.67</v>
      </c>
      <c r="AB358" s="102">
        <f t="shared" ref="AB358:AB368" si="78">rv_im21_hg_cto</f>
        <v>0.17199999999999999</v>
      </c>
      <c r="AC358" s="31">
        <f t="shared" si="76"/>
        <v>158.70275999999998</v>
      </c>
      <c r="AD358" s="119"/>
      <c r="AE358" s="120"/>
      <c r="AF358" s="120"/>
      <c r="AG358" s="120" t="s">
        <v>77</v>
      </c>
      <c r="AH358" s="120" t="s">
        <v>77</v>
      </c>
      <c r="AI358" s="68" t="s">
        <v>75</v>
      </c>
      <c r="AJ358" s="55" t="s">
        <v>863</v>
      </c>
      <c r="AK358" s="268" t="s">
        <v>689</v>
      </c>
      <c r="AL358" s="56" t="s">
        <v>89</v>
      </c>
    </row>
    <row r="359" spans="1:38" s="121" customFormat="1">
      <c r="A359" s="113" t="s">
        <v>867</v>
      </c>
      <c r="B359" s="273" t="s">
        <v>868</v>
      </c>
      <c r="C359" s="115">
        <v>1</v>
      </c>
      <c r="D359" s="116" t="s">
        <v>75</v>
      </c>
      <c r="E359" s="117" t="s">
        <v>77</v>
      </c>
      <c r="F359" s="35">
        <v>191.67</v>
      </c>
      <c r="G359" s="102">
        <f t="shared" si="77"/>
        <v>0.17199999999999999</v>
      </c>
      <c r="H359" s="31">
        <f t="shared" si="75"/>
        <v>158.70275999999998</v>
      </c>
      <c r="I359" s="119"/>
      <c r="J359" s="120"/>
      <c r="K359" s="120"/>
      <c r="L359" s="120" t="s">
        <v>77</v>
      </c>
      <c r="M359" s="120" t="s">
        <v>77</v>
      </c>
      <c r="N359" s="68" t="s">
        <v>75</v>
      </c>
      <c r="O359" s="55" t="s">
        <v>863</v>
      </c>
      <c r="P359" s="268" t="s">
        <v>689</v>
      </c>
      <c r="Q359" s="56" t="s">
        <v>690</v>
      </c>
      <c r="R359" s="1" t="str">
        <f t="shared" si="70"/>
        <v/>
      </c>
      <c r="S359" s="1" t="str">
        <f t="shared" si="70"/>
        <v/>
      </c>
      <c r="T359" s="1" t="str">
        <f t="shared" si="70"/>
        <v/>
      </c>
      <c r="U359" s="1" t="str">
        <f t="shared" si="69"/>
        <v/>
      </c>
      <c r="V359" s="113" t="s">
        <v>869</v>
      </c>
      <c r="W359" s="273" t="s">
        <v>868</v>
      </c>
      <c r="X359" s="115">
        <v>1</v>
      </c>
      <c r="Y359" s="116" t="s">
        <v>75</v>
      </c>
      <c r="Z359" s="117" t="s">
        <v>77</v>
      </c>
      <c r="AA359" s="35">
        <v>191.67</v>
      </c>
      <c r="AB359" s="102">
        <f t="shared" si="78"/>
        <v>0.17199999999999999</v>
      </c>
      <c r="AC359" s="31">
        <f t="shared" si="76"/>
        <v>158.70275999999998</v>
      </c>
      <c r="AD359" s="119"/>
      <c r="AE359" s="120"/>
      <c r="AF359" s="120"/>
      <c r="AG359" s="120" t="s">
        <v>77</v>
      </c>
      <c r="AH359" s="120" t="s">
        <v>77</v>
      </c>
      <c r="AI359" s="68" t="s">
        <v>75</v>
      </c>
      <c r="AJ359" s="55" t="s">
        <v>863</v>
      </c>
      <c r="AK359" s="268" t="s">
        <v>689</v>
      </c>
      <c r="AL359" s="56" t="s">
        <v>89</v>
      </c>
    </row>
    <row r="360" spans="1:38" s="121" customFormat="1">
      <c r="A360" s="113" t="s">
        <v>870</v>
      </c>
      <c r="B360" s="273" t="s">
        <v>871</v>
      </c>
      <c r="C360" s="115">
        <v>1</v>
      </c>
      <c r="D360" s="116" t="s">
        <v>75</v>
      </c>
      <c r="E360" s="117" t="s">
        <v>77</v>
      </c>
      <c r="F360" s="35">
        <v>383.33</v>
      </c>
      <c r="G360" s="102">
        <f t="shared" si="77"/>
        <v>0.17199999999999999</v>
      </c>
      <c r="H360" s="31">
        <f t="shared" si="75"/>
        <v>317.39724000000001</v>
      </c>
      <c r="I360" s="119"/>
      <c r="J360" s="120"/>
      <c r="K360" s="120"/>
      <c r="L360" s="120" t="s">
        <v>77</v>
      </c>
      <c r="M360" s="120" t="s">
        <v>77</v>
      </c>
      <c r="N360" s="68" t="s">
        <v>75</v>
      </c>
      <c r="O360" s="55" t="s">
        <v>863</v>
      </c>
      <c r="P360" s="268" t="s">
        <v>689</v>
      </c>
      <c r="Q360" s="56" t="s">
        <v>690</v>
      </c>
      <c r="R360" s="1" t="str">
        <f t="shared" si="70"/>
        <v/>
      </c>
      <c r="S360" s="1" t="str">
        <f t="shared" si="70"/>
        <v/>
      </c>
      <c r="T360" s="1" t="str">
        <f t="shared" si="70"/>
        <v/>
      </c>
      <c r="U360" s="1" t="str">
        <f t="shared" si="69"/>
        <v/>
      </c>
      <c r="V360" s="113" t="s">
        <v>870</v>
      </c>
      <c r="W360" s="273" t="s">
        <v>871</v>
      </c>
      <c r="X360" s="115">
        <v>1</v>
      </c>
      <c r="Y360" s="116" t="s">
        <v>75</v>
      </c>
      <c r="Z360" s="117" t="s">
        <v>77</v>
      </c>
      <c r="AA360" s="35">
        <v>383.33</v>
      </c>
      <c r="AB360" s="102">
        <f t="shared" si="78"/>
        <v>0.17199999999999999</v>
      </c>
      <c r="AC360" s="31">
        <f t="shared" si="76"/>
        <v>317.39724000000001</v>
      </c>
      <c r="AD360" s="119"/>
      <c r="AE360" s="120"/>
      <c r="AF360" s="120"/>
      <c r="AG360" s="120" t="s">
        <v>77</v>
      </c>
      <c r="AH360" s="120" t="s">
        <v>77</v>
      </c>
      <c r="AI360" s="68" t="s">
        <v>75</v>
      </c>
      <c r="AJ360" s="55" t="s">
        <v>863</v>
      </c>
      <c r="AK360" s="268" t="s">
        <v>689</v>
      </c>
      <c r="AL360" s="56" t="s">
        <v>89</v>
      </c>
    </row>
    <row r="361" spans="1:38" s="121" customFormat="1">
      <c r="A361" s="113" t="s">
        <v>872</v>
      </c>
      <c r="B361" s="273" t="s">
        <v>873</v>
      </c>
      <c r="C361" s="115">
        <v>1</v>
      </c>
      <c r="D361" s="116" t="s">
        <v>75</v>
      </c>
      <c r="E361" s="117" t="s">
        <v>77</v>
      </c>
      <c r="F361" s="35">
        <v>766.67</v>
      </c>
      <c r="G361" s="102">
        <f t="shared" si="77"/>
        <v>0.17199999999999999</v>
      </c>
      <c r="H361" s="31">
        <f t="shared" si="75"/>
        <v>634.80276000000003</v>
      </c>
      <c r="I361" s="119"/>
      <c r="J361" s="120"/>
      <c r="K361" s="120"/>
      <c r="L361" s="120" t="s">
        <v>77</v>
      </c>
      <c r="M361" s="120" t="s">
        <v>77</v>
      </c>
      <c r="N361" s="68" t="s">
        <v>75</v>
      </c>
      <c r="O361" s="55" t="s">
        <v>863</v>
      </c>
      <c r="P361" s="268" t="s">
        <v>689</v>
      </c>
      <c r="Q361" s="56" t="s">
        <v>690</v>
      </c>
      <c r="R361" s="1" t="str">
        <f t="shared" si="70"/>
        <v/>
      </c>
      <c r="S361" s="1" t="str">
        <f t="shared" si="70"/>
        <v/>
      </c>
      <c r="T361" s="1" t="str">
        <f t="shared" si="70"/>
        <v/>
      </c>
      <c r="U361" s="1" t="str">
        <f t="shared" si="69"/>
        <v/>
      </c>
      <c r="V361" s="113" t="s">
        <v>872</v>
      </c>
      <c r="W361" s="273" t="s">
        <v>873</v>
      </c>
      <c r="X361" s="115">
        <v>1</v>
      </c>
      <c r="Y361" s="116" t="s">
        <v>75</v>
      </c>
      <c r="Z361" s="117" t="s">
        <v>77</v>
      </c>
      <c r="AA361" s="35">
        <v>766.67</v>
      </c>
      <c r="AB361" s="102">
        <f t="shared" si="78"/>
        <v>0.17199999999999999</v>
      </c>
      <c r="AC361" s="31">
        <f t="shared" si="76"/>
        <v>634.80276000000003</v>
      </c>
      <c r="AD361" s="119"/>
      <c r="AE361" s="120"/>
      <c r="AF361" s="120"/>
      <c r="AG361" s="120" t="s">
        <v>77</v>
      </c>
      <c r="AH361" s="120" t="s">
        <v>77</v>
      </c>
      <c r="AI361" s="68" t="s">
        <v>75</v>
      </c>
      <c r="AJ361" s="55" t="s">
        <v>863</v>
      </c>
      <c r="AK361" s="268" t="s">
        <v>689</v>
      </c>
      <c r="AL361" s="56" t="s">
        <v>89</v>
      </c>
    </row>
    <row r="362" spans="1:38" s="121" customFormat="1">
      <c r="A362" s="113" t="s">
        <v>874</v>
      </c>
      <c r="B362" s="273" t="s">
        <v>875</v>
      </c>
      <c r="C362" s="115">
        <v>1</v>
      </c>
      <c r="D362" s="116" t="s">
        <v>75</v>
      </c>
      <c r="E362" s="117" t="s">
        <v>77</v>
      </c>
      <c r="F362" s="116">
        <v>41.67</v>
      </c>
      <c r="G362" s="102">
        <f t="shared" si="77"/>
        <v>0.17199999999999999</v>
      </c>
      <c r="H362" s="31">
        <f t="shared" si="75"/>
        <v>34.502760000000002</v>
      </c>
      <c r="I362" s="119"/>
      <c r="J362" s="120"/>
      <c r="K362" s="120"/>
      <c r="L362" s="120"/>
      <c r="M362" s="120"/>
      <c r="N362" s="68" t="s">
        <v>75</v>
      </c>
      <c r="O362" s="55" t="s">
        <v>863</v>
      </c>
      <c r="P362" s="268" t="s">
        <v>689</v>
      </c>
      <c r="Q362" s="56" t="s">
        <v>690</v>
      </c>
      <c r="R362" s="1" t="str">
        <f t="shared" si="70"/>
        <v/>
      </c>
      <c r="S362" s="1" t="str">
        <f t="shared" si="70"/>
        <v/>
      </c>
      <c r="T362" s="1" t="str">
        <f t="shared" si="70"/>
        <v/>
      </c>
      <c r="U362" s="1" t="str">
        <f t="shared" si="69"/>
        <v/>
      </c>
      <c r="V362" s="113" t="s">
        <v>874</v>
      </c>
      <c r="W362" s="273" t="s">
        <v>875</v>
      </c>
      <c r="X362" s="115">
        <v>1</v>
      </c>
      <c r="Y362" s="116" t="s">
        <v>75</v>
      </c>
      <c r="Z362" s="117" t="s">
        <v>77</v>
      </c>
      <c r="AA362" s="116">
        <v>41.67</v>
      </c>
      <c r="AB362" s="102">
        <f t="shared" si="78"/>
        <v>0.17199999999999999</v>
      </c>
      <c r="AC362" s="31">
        <f t="shared" si="76"/>
        <v>34.502760000000002</v>
      </c>
      <c r="AD362" s="119"/>
      <c r="AE362" s="120"/>
      <c r="AF362" s="120"/>
      <c r="AG362" s="120"/>
      <c r="AH362" s="120"/>
      <c r="AI362" s="68" t="s">
        <v>75</v>
      </c>
      <c r="AJ362" s="55" t="s">
        <v>863</v>
      </c>
      <c r="AK362" s="268" t="s">
        <v>689</v>
      </c>
      <c r="AL362" s="56" t="s">
        <v>89</v>
      </c>
    </row>
    <row r="363" spans="1:38" s="121" customFormat="1">
      <c r="A363" s="113" t="s">
        <v>876</v>
      </c>
      <c r="B363" s="273" t="s">
        <v>877</v>
      </c>
      <c r="C363" s="115">
        <v>1</v>
      </c>
      <c r="D363" s="116" t="s">
        <v>75</v>
      </c>
      <c r="E363" s="117" t="s">
        <v>77</v>
      </c>
      <c r="F363" s="35">
        <v>112.5</v>
      </c>
      <c r="G363" s="102">
        <f t="shared" si="77"/>
        <v>0.17199999999999999</v>
      </c>
      <c r="H363" s="31">
        <f t="shared" si="75"/>
        <v>93.15</v>
      </c>
      <c r="I363" s="119"/>
      <c r="J363" s="120"/>
      <c r="K363" s="120"/>
      <c r="L363" s="120" t="s">
        <v>77</v>
      </c>
      <c r="M363" s="120" t="s">
        <v>77</v>
      </c>
      <c r="N363" s="68" t="s">
        <v>75</v>
      </c>
      <c r="O363" s="55" t="s">
        <v>863</v>
      </c>
      <c r="P363" s="268" t="s">
        <v>689</v>
      </c>
      <c r="Q363" s="56" t="s">
        <v>690</v>
      </c>
      <c r="R363" s="1" t="str">
        <f t="shared" si="70"/>
        <v/>
      </c>
      <c r="S363" s="1" t="str">
        <f t="shared" si="70"/>
        <v/>
      </c>
      <c r="T363" s="1" t="str">
        <f t="shared" si="70"/>
        <v/>
      </c>
      <c r="U363" s="1" t="str">
        <f t="shared" si="69"/>
        <v/>
      </c>
      <c r="V363" s="113" t="s">
        <v>876</v>
      </c>
      <c r="W363" s="273" t="s">
        <v>877</v>
      </c>
      <c r="X363" s="115">
        <v>1</v>
      </c>
      <c r="Y363" s="116" t="s">
        <v>75</v>
      </c>
      <c r="Z363" s="117" t="s">
        <v>77</v>
      </c>
      <c r="AA363" s="35">
        <v>112.5</v>
      </c>
      <c r="AB363" s="102">
        <f t="shared" si="78"/>
        <v>0.17199999999999999</v>
      </c>
      <c r="AC363" s="31">
        <f t="shared" si="76"/>
        <v>93.15</v>
      </c>
      <c r="AD363" s="119"/>
      <c r="AE363" s="120"/>
      <c r="AF363" s="120"/>
      <c r="AG363" s="120" t="s">
        <v>77</v>
      </c>
      <c r="AH363" s="120" t="s">
        <v>77</v>
      </c>
      <c r="AI363" s="68" t="s">
        <v>75</v>
      </c>
      <c r="AJ363" s="55" t="s">
        <v>863</v>
      </c>
      <c r="AK363" s="268" t="s">
        <v>689</v>
      </c>
      <c r="AL363" s="56" t="s">
        <v>89</v>
      </c>
    </row>
    <row r="364" spans="1:38" s="121" customFormat="1">
      <c r="A364" s="113" t="s">
        <v>878</v>
      </c>
      <c r="B364" s="273" t="s">
        <v>879</v>
      </c>
      <c r="C364" s="115">
        <v>1</v>
      </c>
      <c r="D364" s="116" t="s">
        <v>75</v>
      </c>
      <c r="E364" s="117" t="s">
        <v>77</v>
      </c>
      <c r="F364" s="35">
        <v>0</v>
      </c>
      <c r="G364" s="102"/>
      <c r="H364" s="31">
        <f t="shared" si="75"/>
        <v>0</v>
      </c>
      <c r="I364" s="119"/>
      <c r="J364" s="120"/>
      <c r="K364" s="120"/>
      <c r="L364" s="120" t="s">
        <v>77</v>
      </c>
      <c r="M364" s="120" t="s">
        <v>77</v>
      </c>
      <c r="N364" s="68" t="s">
        <v>75</v>
      </c>
      <c r="O364" s="55" t="s">
        <v>863</v>
      </c>
      <c r="P364" s="268" t="s">
        <v>689</v>
      </c>
      <c r="Q364" s="56" t="s">
        <v>690</v>
      </c>
      <c r="R364" s="1" t="str">
        <f t="shared" si="70"/>
        <v/>
      </c>
      <c r="S364" s="1" t="str">
        <f t="shared" si="70"/>
        <v/>
      </c>
      <c r="T364" s="1" t="str">
        <f t="shared" si="70"/>
        <v/>
      </c>
      <c r="U364" s="1" t="str">
        <f t="shared" si="69"/>
        <v/>
      </c>
      <c r="V364" s="113" t="s">
        <v>878</v>
      </c>
      <c r="W364" s="273" t="s">
        <v>879</v>
      </c>
      <c r="X364" s="115">
        <v>1</v>
      </c>
      <c r="Y364" s="116" t="s">
        <v>75</v>
      </c>
      <c r="Z364" s="117" t="s">
        <v>77</v>
      </c>
      <c r="AA364" s="35">
        <v>0</v>
      </c>
      <c r="AB364" s="102"/>
      <c r="AC364" s="31">
        <f t="shared" si="76"/>
        <v>0</v>
      </c>
      <c r="AD364" s="119"/>
      <c r="AE364" s="120"/>
      <c r="AF364" s="120"/>
      <c r="AG364" s="120" t="s">
        <v>77</v>
      </c>
      <c r="AH364" s="120" t="s">
        <v>77</v>
      </c>
      <c r="AI364" s="68" t="s">
        <v>75</v>
      </c>
      <c r="AJ364" s="55" t="s">
        <v>863</v>
      </c>
      <c r="AK364" s="268" t="s">
        <v>689</v>
      </c>
      <c r="AL364" s="56" t="s">
        <v>89</v>
      </c>
    </row>
    <row r="365" spans="1:38" s="121" customFormat="1">
      <c r="A365" s="25" t="s">
        <v>880</v>
      </c>
      <c r="B365" s="273" t="s">
        <v>881</v>
      </c>
      <c r="C365" s="115">
        <v>1</v>
      </c>
      <c r="D365" s="116" t="s">
        <v>75</v>
      </c>
      <c r="E365" s="117" t="s">
        <v>77</v>
      </c>
      <c r="F365" s="116">
        <v>0</v>
      </c>
      <c r="G365" s="118"/>
      <c r="H365" s="119">
        <f t="shared" si="75"/>
        <v>0</v>
      </c>
      <c r="I365" s="119"/>
      <c r="J365" s="120"/>
      <c r="K365" s="120"/>
      <c r="L365" s="120"/>
      <c r="M365" s="120"/>
      <c r="N365" s="68" t="s">
        <v>75</v>
      </c>
      <c r="O365" s="55" t="s">
        <v>863</v>
      </c>
      <c r="P365" s="268" t="s">
        <v>689</v>
      </c>
      <c r="Q365" s="56" t="s">
        <v>690</v>
      </c>
      <c r="R365" s="1" t="str">
        <f t="shared" si="70"/>
        <v/>
      </c>
      <c r="S365" s="1" t="str">
        <f t="shared" si="70"/>
        <v/>
      </c>
      <c r="T365" s="1" t="str">
        <f t="shared" si="70"/>
        <v/>
      </c>
      <c r="U365" s="1" t="str">
        <f t="shared" si="69"/>
        <v/>
      </c>
      <c r="V365" s="113" t="s">
        <v>882</v>
      </c>
      <c r="W365" s="273" t="s">
        <v>881</v>
      </c>
      <c r="X365" s="115">
        <v>1</v>
      </c>
      <c r="Y365" s="116" t="s">
        <v>75</v>
      </c>
      <c r="Z365" s="117" t="s">
        <v>77</v>
      </c>
      <c r="AA365" s="116">
        <v>0</v>
      </c>
      <c r="AB365" s="118"/>
      <c r="AC365" s="119">
        <f t="shared" si="76"/>
        <v>0</v>
      </c>
      <c r="AD365" s="119"/>
      <c r="AE365" s="120"/>
      <c r="AF365" s="120"/>
      <c r="AG365" s="120"/>
      <c r="AH365" s="120"/>
      <c r="AI365" s="68" t="s">
        <v>75</v>
      </c>
      <c r="AJ365" s="55" t="s">
        <v>863</v>
      </c>
      <c r="AK365" s="268" t="s">
        <v>689</v>
      </c>
      <c r="AL365" s="56" t="s">
        <v>89</v>
      </c>
    </row>
    <row r="366" spans="1:38" s="121" customFormat="1">
      <c r="A366" s="113" t="s">
        <v>883</v>
      </c>
      <c r="B366" s="273" t="s">
        <v>884</v>
      </c>
      <c r="C366" s="115">
        <v>1</v>
      </c>
      <c r="D366" s="116" t="s">
        <v>75</v>
      </c>
      <c r="E366" s="117" t="s">
        <v>77</v>
      </c>
      <c r="F366" s="116">
        <v>21.67</v>
      </c>
      <c r="G366" s="118">
        <f t="shared" si="77"/>
        <v>0.17199999999999999</v>
      </c>
      <c r="H366" s="119">
        <f t="shared" si="75"/>
        <v>17.94276</v>
      </c>
      <c r="I366" s="119"/>
      <c r="J366" s="120"/>
      <c r="K366" s="120"/>
      <c r="L366" s="120"/>
      <c r="M366" s="120"/>
      <c r="N366" s="68" t="s">
        <v>75</v>
      </c>
      <c r="O366" s="55" t="s">
        <v>863</v>
      </c>
      <c r="P366" s="268" t="s">
        <v>689</v>
      </c>
      <c r="Q366" s="56" t="s">
        <v>690</v>
      </c>
      <c r="R366" s="1" t="str">
        <f t="shared" si="70"/>
        <v/>
      </c>
      <c r="S366" s="1" t="str">
        <f t="shared" si="70"/>
        <v/>
      </c>
      <c r="T366" s="1" t="str">
        <f t="shared" si="70"/>
        <v/>
      </c>
      <c r="U366" s="1" t="str">
        <f t="shared" si="69"/>
        <v/>
      </c>
      <c r="V366" s="113" t="s">
        <v>883</v>
      </c>
      <c r="W366" s="273" t="s">
        <v>884</v>
      </c>
      <c r="X366" s="115">
        <v>1</v>
      </c>
      <c r="Y366" s="116" t="s">
        <v>75</v>
      </c>
      <c r="Z366" s="117" t="s">
        <v>77</v>
      </c>
      <c r="AA366" s="116">
        <v>21.67</v>
      </c>
      <c r="AB366" s="118">
        <f t="shared" si="78"/>
        <v>0.17199999999999999</v>
      </c>
      <c r="AC366" s="119">
        <f t="shared" si="76"/>
        <v>17.94276</v>
      </c>
      <c r="AD366" s="119"/>
      <c r="AE366" s="120"/>
      <c r="AF366" s="120"/>
      <c r="AG366" s="120"/>
      <c r="AH366" s="120"/>
      <c r="AI366" s="68" t="s">
        <v>75</v>
      </c>
      <c r="AJ366" s="55" t="s">
        <v>863</v>
      </c>
      <c r="AK366" s="268" t="s">
        <v>689</v>
      </c>
      <c r="AL366" s="56" t="s">
        <v>89</v>
      </c>
    </row>
    <row r="367" spans="1:38" s="121" customFormat="1">
      <c r="A367" s="113" t="s">
        <v>885</v>
      </c>
      <c r="B367" s="273" t="s">
        <v>886</v>
      </c>
      <c r="C367" s="115">
        <v>1</v>
      </c>
      <c r="D367" s="116" t="s">
        <v>75</v>
      </c>
      <c r="E367" s="117" t="s">
        <v>77</v>
      </c>
      <c r="F367" s="116">
        <v>21.67</v>
      </c>
      <c r="G367" s="118">
        <f t="shared" si="77"/>
        <v>0.17199999999999999</v>
      </c>
      <c r="H367" s="119">
        <f t="shared" si="75"/>
        <v>17.94276</v>
      </c>
      <c r="I367" s="119"/>
      <c r="J367" s="120"/>
      <c r="K367" s="120"/>
      <c r="L367" s="120"/>
      <c r="M367" s="120"/>
      <c r="N367" s="68" t="s">
        <v>75</v>
      </c>
      <c r="O367" s="55" t="s">
        <v>863</v>
      </c>
      <c r="P367" s="268" t="s">
        <v>689</v>
      </c>
      <c r="Q367" s="56" t="s">
        <v>690</v>
      </c>
      <c r="R367" s="1" t="str">
        <f t="shared" si="70"/>
        <v/>
      </c>
      <c r="S367" s="1" t="str">
        <f t="shared" si="70"/>
        <v/>
      </c>
      <c r="T367" s="1" t="str">
        <f t="shared" si="70"/>
        <v/>
      </c>
      <c r="U367" s="1" t="str">
        <f t="shared" si="69"/>
        <v/>
      </c>
      <c r="V367" s="113" t="s">
        <v>885</v>
      </c>
      <c r="W367" s="273" t="s">
        <v>886</v>
      </c>
      <c r="X367" s="115">
        <v>1</v>
      </c>
      <c r="Y367" s="116" t="s">
        <v>75</v>
      </c>
      <c r="Z367" s="117" t="s">
        <v>77</v>
      </c>
      <c r="AA367" s="116">
        <v>21.67</v>
      </c>
      <c r="AB367" s="118">
        <f t="shared" si="78"/>
        <v>0.17199999999999999</v>
      </c>
      <c r="AC367" s="119">
        <f t="shared" si="76"/>
        <v>17.94276</v>
      </c>
      <c r="AD367" s="119"/>
      <c r="AE367" s="120"/>
      <c r="AF367" s="120"/>
      <c r="AG367" s="120"/>
      <c r="AH367" s="120"/>
      <c r="AI367" s="68" t="s">
        <v>75</v>
      </c>
      <c r="AJ367" s="55" t="s">
        <v>863</v>
      </c>
      <c r="AK367" s="268" t="s">
        <v>689</v>
      </c>
      <c r="AL367" s="56" t="s">
        <v>89</v>
      </c>
    </row>
    <row r="368" spans="1:38" s="121" customFormat="1">
      <c r="A368" s="25" t="s">
        <v>887</v>
      </c>
      <c r="B368" s="273" t="s">
        <v>888</v>
      </c>
      <c r="C368" s="115">
        <v>1</v>
      </c>
      <c r="D368" s="116" t="s">
        <v>75</v>
      </c>
      <c r="E368" s="117" t="s">
        <v>77</v>
      </c>
      <c r="F368" s="116">
        <v>21.67</v>
      </c>
      <c r="G368" s="118">
        <f t="shared" si="77"/>
        <v>0.17199999999999999</v>
      </c>
      <c r="H368" s="119">
        <f t="shared" si="75"/>
        <v>17.94276</v>
      </c>
      <c r="I368" s="119"/>
      <c r="J368" s="120"/>
      <c r="K368" s="120"/>
      <c r="L368" s="120"/>
      <c r="M368" s="120"/>
      <c r="N368" s="68" t="s">
        <v>75</v>
      </c>
      <c r="O368" s="55" t="s">
        <v>863</v>
      </c>
      <c r="P368" s="268" t="s">
        <v>689</v>
      </c>
      <c r="Q368" s="56" t="s">
        <v>690</v>
      </c>
      <c r="R368" s="1" t="str">
        <f t="shared" si="70"/>
        <v/>
      </c>
      <c r="S368" s="1" t="str">
        <f t="shared" si="70"/>
        <v/>
      </c>
      <c r="T368" s="1" t="str">
        <f t="shared" si="70"/>
        <v/>
      </c>
      <c r="U368" s="1" t="str">
        <f t="shared" si="69"/>
        <v/>
      </c>
      <c r="V368" s="113" t="s">
        <v>889</v>
      </c>
      <c r="W368" s="273" t="s">
        <v>888</v>
      </c>
      <c r="X368" s="115">
        <v>1</v>
      </c>
      <c r="Y368" s="116" t="s">
        <v>75</v>
      </c>
      <c r="Z368" s="117" t="s">
        <v>77</v>
      </c>
      <c r="AA368" s="116">
        <v>21.67</v>
      </c>
      <c r="AB368" s="118">
        <f t="shared" si="78"/>
        <v>0.17199999999999999</v>
      </c>
      <c r="AC368" s="119">
        <f t="shared" si="76"/>
        <v>17.94276</v>
      </c>
      <c r="AD368" s="119"/>
      <c r="AE368" s="120"/>
      <c r="AF368" s="120"/>
      <c r="AG368" s="120"/>
      <c r="AH368" s="120"/>
      <c r="AI368" s="68" t="s">
        <v>75</v>
      </c>
      <c r="AJ368" s="55" t="s">
        <v>863</v>
      </c>
      <c r="AK368" s="268" t="s">
        <v>689</v>
      </c>
      <c r="AL368" s="56" t="s">
        <v>89</v>
      </c>
    </row>
    <row r="369" spans="1:38" s="121" customFormat="1" ht="23.1" customHeight="1">
      <c r="A369" s="411" t="s">
        <v>860</v>
      </c>
      <c r="B369" s="411"/>
      <c r="C369" s="115"/>
      <c r="D369" s="116"/>
      <c r="E369" s="117"/>
      <c r="F369" s="116"/>
      <c r="G369" s="118"/>
      <c r="H369" s="119"/>
      <c r="I369" s="119"/>
      <c r="J369" s="120"/>
      <c r="K369" s="120"/>
      <c r="L369" s="120"/>
      <c r="M369" s="120"/>
      <c r="N369" s="68"/>
      <c r="O369" s="55"/>
      <c r="P369" s="268"/>
      <c r="Q369" s="56"/>
      <c r="R369" s="1" t="str">
        <f t="shared" si="70"/>
        <v/>
      </c>
      <c r="S369" s="1" t="str">
        <f t="shared" si="70"/>
        <v/>
      </c>
      <c r="T369" s="1" t="str">
        <f t="shared" si="70"/>
        <v/>
      </c>
      <c r="U369" s="1" t="str">
        <f t="shared" si="69"/>
        <v/>
      </c>
      <c r="V369" s="595" t="s">
        <v>860</v>
      </c>
      <c r="W369" s="596"/>
      <c r="X369" s="115"/>
      <c r="Y369" s="116"/>
      <c r="Z369" s="117"/>
      <c r="AA369" s="116"/>
      <c r="AB369" s="118"/>
      <c r="AC369" s="119"/>
      <c r="AD369" s="119"/>
      <c r="AE369" s="120"/>
      <c r="AF369" s="120"/>
      <c r="AG369" s="120"/>
      <c r="AH369" s="120"/>
      <c r="AI369" s="68"/>
      <c r="AJ369" s="55"/>
      <c r="AK369" s="268"/>
      <c r="AL369" s="56"/>
    </row>
    <row r="370" spans="1:38">
      <c r="A370" s="414" t="s">
        <v>890</v>
      </c>
      <c r="B370" s="94" t="s">
        <v>891</v>
      </c>
      <c r="C370" s="95">
        <v>1</v>
      </c>
      <c r="D370" s="96" t="s">
        <v>75</v>
      </c>
      <c r="E370" s="140" t="s">
        <v>890</v>
      </c>
      <c r="F370" s="96">
        <v>1580</v>
      </c>
      <c r="G370" s="141">
        <f>rv_im21_hg</f>
        <v>0.17199999999999999</v>
      </c>
      <c r="H370" s="98">
        <f t="shared" si="75"/>
        <v>1308.24</v>
      </c>
      <c r="I370" s="95" t="s">
        <v>767</v>
      </c>
      <c r="J370" s="99">
        <f>im24_5pl</f>
        <v>45.001800000000003</v>
      </c>
      <c r="K370" s="122">
        <f>H370+J370</f>
        <v>1353.2418</v>
      </c>
      <c r="L370" s="17" t="s">
        <v>77</v>
      </c>
      <c r="M370" s="17">
        <v>2.5</v>
      </c>
      <c r="N370" s="68" t="s">
        <v>75</v>
      </c>
      <c r="O370" s="55" t="s">
        <v>892</v>
      </c>
      <c r="P370" s="268" t="s">
        <v>689</v>
      </c>
      <c r="Q370" s="56" t="s">
        <v>690</v>
      </c>
      <c r="R370" s="1">
        <f t="shared" si="70"/>
        <v>267.92461889670545</v>
      </c>
      <c r="S370" s="1">
        <f t="shared" si="70"/>
        <v>137.08333503806716</v>
      </c>
      <c r="T370" s="1">
        <f t="shared" si="70"/>
        <v>98.329186896862879</v>
      </c>
      <c r="U370" s="1">
        <f t="shared" si="69"/>
        <v>84.235760208574192</v>
      </c>
      <c r="V370" s="414" t="s">
        <v>890</v>
      </c>
      <c r="W370" s="94" t="s">
        <v>891</v>
      </c>
      <c r="X370" s="95">
        <v>1</v>
      </c>
      <c r="Y370" s="96" t="s">
        <v>75</v>
      </c>
      <c r="Z370" s="140" t="s">
        <v>890</v>
      </c>
      <c r="AA370" s="96">
        <v>1580</v>
      </c>
      <c r="AB370" s="141">
        <f>rv_im21_hg</f>
        <v>0.17199999999999999</v>
      </c>
      <c r="AC370" s="98">
        <f t="shared" ref="AC370:AC380" si="79">AA370-(AA370*AB370)</f>
        <v>1308.24</v>
      </c>
      <c r="AD370" s="95" t="s">
        <v>767</v>
      </c>
      <c r="AE370" s="99" t="e">
        <f>im21_5pl</f>
        <v>#NAME?</v>
      </c>
      <c r="AF370" s="122" t="e">
        <f>AC370+AE370</f>
        <v>#NAME?</v>
      </c>
      <c r="AG370" s="17" t="s">
        <v>77</v>
      </c>
      <c r="AH370" s="17">
        <v>2.5</v>
      </c>
      <c r="AI370" s="68" t="s">
        <v>75</v>
      </c>
      <c r="AJ370" s="55" t="s">
        <v>892</v>
      </c>
      <c r="AK370" s="268" t="s">
        <v>689</v>
      </c>
      <c r="AL370" s="56" t="s">
        <v>690</v>
      </c>
    </row>
    <row r="371" spans="1:38">
      <c r="A371" s="113" t="s">
        <v>893</v>
      </c>
      <c r="B371" s="273" t="s">
        <v>894</v>
      </c>
      <c r="C371" s="115">
        <v>1</v>
      </c>
      <c r="D371" s="116" t="s">
        <v>75</v>
      </c>
      <c r="E371" s="117" t="s">
        <v>77</v>
      </c>
      <c r="F371" s="35">
        <v>191.67</v>
      </c>
      <c r="G371" s="102">
        <f t="shared" ref="G371:G380" si="80">rv_im21_hg_cto</f>
        <v>0.17199999999999999</v>
      </c>
      <c r="H371" s="31">
        <f t="shared" si="75"/>
        <v>158.70275999999998</v>
      </c>
      <c r="I371" s="119"/>
      <c r="J371" s="120"/>
      <c r="K371" s="120"/>
      <c r="L371" s="120" t="s">
        <v>77</v>
      </c>
      <c r="M371" s="120" t="s">
        <v>77</v>
      </c>
      <c r="N371" s="68" t="s">
        <v>75</v>
      </c>
      <c r="O371" s="55" t="s">
        <v>892</v>
      </c>
      <c r="P371" s="268" t="s">
        <v>689</v>
      </c>
      <c r="Q371" s="56" t="s">
        <v>690</v>
      </c>
      <c r="R371" s="1" t="str">
        <f t="shared" si="70"/>
        <v/>
      </c>
      <c r="S371" s="1" t="str">
        <f t="shared" si="70"/>
        <v/>
      </c>
      <c r="T371" s="1" t="str">
        <f t="shared" si="70"/>
        <v/>
      </c>
      <c r="U371" s="1" t="str">
        <f t="shared" si="69"/>
        <v/>
      </c>
      <c r="V371" s="113" t="s">
        <v>893</v>
      </c>
      <c r="W371" s="273" t="s">
        <v>894</v>
      </c>
      <c r="X371" s="115">
        <v>1</v>
      </c>
      <c r="Y371" s="116" t="s">
        <v>75</v>
      </c>
      <c r="Z371" s="117" t="s">
        <v>77</v>
      </c>
      <c r="AA371" s="35">
        <v>191.67</v>
      </c>
      <c r="AB371" s="102">
        <f t="shared" ref="AB371:AB380" si="81">rv_im21_hg_cto</f>
        <v>0.17199999999999999</v>
      </c>
      <c r="AC371" s="31">
        <f t="shared" si="79"/>
        <v>158.70275999999998</v>
      </c>
      <c r="AD371" s="119"/>
      <c r="AE371" s="120"/>
      <c r="AF371" s="120"/>
      <c r="AG371" s="120" t="s">
        <v>77</v>
      </c>
      <c r="AH371" s="120" t="s">
        <v>77</v>
      </c>
      <c r="AI371" s="68" t="s">
        <v>75</v>
      </c>
      <c r="AJ371" s="55" t="s">
        <v>892</v>
      </c>
      <c r="AK371" s="268" t="s">
        <v>689</v>
      </c>
      <c r="AL371" s="56" t="s">
        <v>89</v>
      </c>
    </row>
    <row r="372" spans="1:38">
      <c r="A372" s="113" t="s">
        <v>895</v>
      </c>
      <c r="B372" s="273" t="s">
        <v>896</v>
      </c>
      <c r="C372" s="115">
        <v>1</v>
      </c>
      <c r="D372" s="116" t="s">
        <v>75</v>
      </c>
      <c r="E372" s="117" t="s">
        <v>77</v>
      </c>
      <c r="F372" s="35">
        <v>191.67</v>
      </c>
      <c r="G372" s="102">
        <f t="shared" si="80"/>
        <v>0.17199999999999999</v>
      </c>
      <c r="H372" s="31">
        <f t="shared" si="75"/>
        <v>158.70275999999998</v>
      </c>
      <c r="I372" s="119"/>
      <c r="J372" s="120"/>
      <c r="K372" s="120"/>
      <c r="L372" s="120" t="s">
        <v>77</v>
      </c>
      <c r="M372" s="120" t="s">
        <v>77</v>
      </c>
      <c r="N372" s="68" t="s">
        <v>75</v>
      </c>
      <c r="O372" s="55" t="s">
        <v>892</v>
      </c>
      <c r="P372" s="268" t="s">
        <v>689</v>
      </c>
      <c r="Q372" s="56" t="s">
        <v>690</v>
      </c>
      <c r="R372" s="1" t="str">
        <f t="shared" si="70"/>
        <v/>
      </c>
      <c r="S372" s="1" t="str">
        <f t="shared" si="70"/>
        <v/>
      </c>
      <c r="T372" s="1" t="str">
        <f t="shared" si="70"/>
        <v/>
      </c>
      <c r="U372" s="1" t="str">
        <f t="shared" si="69"/>
        <v/>
      </c>
      <c r="V372" s="113" t="s">
        <v>895</v>
      </c>
      <c r="W372" s="273" t="s">
        <v>896</v>
      </c>
      <c r="X372" s="115">
        <v>1</v>
      </c>
      <c r="Y372" s="116" t="s">
        <v>75</v>
      </c>
      <c r="Z372" s="117" t="s">
        <v>77</v>
      </c>
      <c r="AA372" s="35">
        <v>191.67</v>
      </c>
      <c r="AB372" s="102">
        <f t="shared" si="81"/>
        <v>0.17199999999999999</v>
      </c>
      <c r="AC372" s="31">
        <f t="shared" si="79"/>
        <v>158.70275999999998</v>
      </c>
      <c r="AD372" s="119"/>
      <c r="AE372" s="120"/>
      <c r="AF372" s="120"/>
      <c r="AG372" s="120" t="s">
        <v>77</v>
      </c>
      <c r="AH372" s="120" t="s">
        <v>77</v>
      </c>
      <c r="AI372" s="68" t="s">
        <v>75</v>
      </c>
      <c r="AJ372" s="55" t="s">
        <v>892</v>
      </c>
      <c r="AK372" s="268" t="s">
        <v>689</v>
      </c>
      <c r="AL372" s="56" t="s">
        <v>89</v>
      </c>
    </row>
    <row r="373" spans="1:38">
      <c r="A373" s="113" t="s">
        <v>897</v>
      </c>
      <c r="B373" s="273" t="s">
        <v>898</v>
      </c>
      <c r="C373" s="115">
        <v>1</v>
      </c>
      <c r="D373" s="116" t="s">
        <v>75</v>
      </c>
      <c r="E373" s="117" t="s">
        <v>77</v>
      </c>
      <c r="F373" s="35">
        <v>575</v>
      </c>
      <c r="G373" s="102">
        <f t="shared" si="80"/>
        <v>0.17199999999999999</v>
      </c>
      <c r="H373" s="31">
        <f t="shared" si="75"/>
        <v>476.1</v>
      </c>
      <c r="I373" s="119"/>
      <c r="J373" s="120"/>
      <c r="K373" s="120"/>
      <c r="L373" s="120" t="s">
        <v>77</v>
      </c>
      <c r="M373" s="120" t="s">
        <v>77</v>
      </c>
      <c r="N373" s="68" t="s">
        <v>75</v>
      </c>
      <c r="O373" s="55" t="s">
        <v>892</v>
      </c>
      <c r="P373" s="268" t="s">
        <v>689</v>
      </c>
      <c r="Q373" s="56" t="s">
        <v>690</v>
      </c>
      <c r="R373" s="1" t="str">
        <f t="shared" si="70"/>
        <v/>
      </c>
      <c r="S373" s="1" t="str">
        <f t="shared" si="70"/>
        <v/>
      </c>
      <c r="T373" s="1" t="str">
        <f t="shared" si="70"/>
        <v/>
      </c>
      <c r="U373" s="1" t="str">
        <f t="shared" si="69"/>
        <v/>
      </c>
      <c r="V373" s="113" t="s">
        <v>897</v>
      </c>
      <c r="W373" s="273" t="s">
        <v>898</v>
      </c>
      <c r="X373" s="115">
        <v>1</v>
      </c>
      <c r="Y373" s="116" t="s">
        <v>75</v>
      </c>
      <c r="Z373" s="117" t="s">
        <v>77</v>
      </c>
      <c r="AA373" s="35">
        <v>575</v>
      </c>
      <c r="AB373" s="102">
        <f t="shared" si="81"/>
        <v>0.17199999999999999</v>
      </c>
      <c r="AC373" s="31">
        <f t="shared" si="79"/>
        <v>476.1</v>
      </c>
      <c r="AD373" s="119"/>
      <c r="AE373" s="120"/>
      <c r="AF373" s="120"/>
      <c r="AG373" s="120" t="s">
        <v>77</v>
      </c>
      <c r="AH373" s="120" t="s">
        <v>77</v>
      </c>
      <c r="AI373" s="68" t="s">
        <v>75</v>
      </c>
      <c r="AJ373" s="55" t="s">
        <v>892</v>
      </c>
      <c r="AK373" s="268" t="s">
        <v>689</v>
      </c>
      <c r="AL373" s="56" t="s">
        <v>89</v>
      </c>
    </row>
    <row r="374" spans="1:38">
      <c r="A374" s="113" t="s">
        <v>899</v>
      </c>
      <c r="B374" s="273" t="s">
        <v>900</v>
      </c>
      <c r="C374" s="115">
        <v>1</v>
      </c>
      <c r="D374" s="116" t="s">
        <v>75</v>
      </c>
      <c r="E374" s="117" t="s">
        <v>77</v>
      </c>
      <c r="F374" s="35">
        <v>41.67</v>
      </c>
      <c r="G374" s="102">
        <f t="shared" si="80"/>
        <v>0.17199999999999999</v>
      </c>
      <c r="H374" s="31">
        <f t="shared" si="75"/>
        <v>34.502760000000002</v>
      </c>
      <c r="I374" s="119"/>
      <c r="J374" s="120"/>
      <c r="K374" s="120"/>
      <c r="L374" s="120" t="s">
        <v>77</v>
      </c>
      <c r="M374" s="120" t="s">
        <v>77</v>
      </c>
      <c r="N374" s="68" t="s">
        <v>75</v>
      </c>
      <c r="O374" s="55" t="s">
        <v>892</v>
      </c>
      <c r="P374" s="268" t="s">
        <v>689</v>
      </c>
      <c r="Q374" s="56" t="s">
        <v>690</v>
      </c>
      <c r="R374" s="1" t="str">
        <f t="shared" si="70"/>
        <v/>
      </c>
      <c r="S374" s="1" t="str">
        <f t="shared" si="70"/>
        <v/>
      </c>
      <c r="T374" s="1" t="str">
        <f t="shared" si="70"/>
        <v/>
      </c>
      <c r="U374" s="1" t="str">
        <f t="shared" si="69"/>
        <v/>
      </c>
      <c r="V374" s="113" t="s">
        <v>899</v>
      </c>
      <c r="W374" s="273" t="s">
        <v>900</v>
      </c>
      <c r="X374" s="115">
        <v>1</v>
      </c>
      <c r="Y374" s="116" t="s">
        <v>75</v>
      </c>
      <c r="Z374" s="117" t="s">
        <v>77</v>
      </c>
      <c r="AA374" s="35">
        <v>41.67</v>
      </c>
      <c r="AB374" s="102">
        <f t="shared" si="81"/>
        <v>0.17199999999999999</v>
      </c>
      <c r="AC374" s="31">
        <f t="shared" si="79"/>
        <v>34.502760000000002</v>
      </c>
      <c r="AD374" s="119"/>
      <c r="AE374" s="120"/>
      <c r="AF374" s="120"/>
      <c r="AG374" s="120" t="s">
        <v>77</v>
      </c>
      <c r="AH374" s="120" t="s">
        <v>77</v>
      </c>
      <c r="AI374" s="68" t="s">
        <v>75</v>
      </c>
      <c r="AJ374" s="55" t="s">
        <v>892</v>
      </c>
      <c r="AK374" s="268" t="s">
        <v>689</v>
      </c>
      <c r="AL374" s="56" t="s">
        <v>89</v>
      </c>
    </row>
    <row r="375" spans="1:38">
      <c r="A375" s="113" t="s">
        <v>901</v>
      </c>
      <c r="B375" s="273" t="s">
        <v>902</v>
      </c>
      <c r="C375" s="115">
        <v>1</v>
      </c>
      <c r="D375" s="116" t="s">
        <v>75</v>
      </c>
      <c r="E375" s="117" t="s">
        <v>77</v>
      </c>
      <c r="F375" s="35">
        <v>112.5</v>
      </c>
      <c r="G375" s="102">
        <f t="shared" si="80"/>
        <v>0.17199999999999999</v>
      </c>
      <c r="H375" s="31">
        <f t="shared" si="75"/>
        <v>93.15</v>
      </c>
      <c r="I375" s="119"/>
      <c r="J375" s="120"/>
      <c r="K375" s="120"/>
      <c r="L375" s="120" t="s">
        <v>77</v>
      </c>
      <c r="M375" s="120" t="s">
        <v>77</v>
      </c>
      <c r="N375" s="68" t="s">
        <v>75</v>
      </c>
      <c r="O375" s="55" t="s">
        <v>892</v>
      </c>
      <c r="P375" s="268" t="s">
        <v>689</v>
      </c>
      <c r="Q375" s="56" t="s">
        <v>690</v>
      </c>
      <c r="R375" s="1" t="str">
        <f t="shared" si="70"/>
        <v/>
      </c>
      <c r="S375" s="1" t="str">
        <f t="shared" si="70"/>
        <v/>
      </c>
      <c r="T375" s="1" t="str">
        <f t="shared" si="70"/>
        <v/>
      </c>
      <c r="U375" s="1" t="str">
        <f t="shared" si="69"/>
        <v/>
      </c>
      <c r="V375" s="113" t="s">
        <v>901</v>
      </c>
      <c r="W375" s="273" t="s">
        <v>902</v>
      </c>
      <c r="X375" s="115">
        <v>1</v>
      </c>
      <c r="Y375" s="116" t="s">
        <v>75</v>
      </c>
      <c r="Z375" s="117" t="s">
        <v>77</v>
      </c>
      <c r="AA375" s="35">
        <v>112.5</v>
      </c>
      <c r="AB375" s="102">
        <f t="shared" si="81"/>
        <v>0.17199999999999999</v>
      </c>
      <c r="AC375" s="31">
        <f t="shared" si="79"/>
        <v>93.15</v>
      </c>
      <c r="AD375" s="119"/>
      <c r="AE375" s="120"/>
      <c r="AF375" s="120"/>
      <c r="AG375" s="120" t="s">
        <v>77</v>
      </c>
      <c r="AH375" s="120" t="s">
        <v>77</v>
      </c>
      <c r="AI375" s="68" t="s">
        <v>75</v>
      </c>
      <c r="AJ375" s="55" t="s">
        <v>892</v>
      </c>
      <c r="AK375" s="268" t="s">
        <v>689</v>
      </c>
      <c r="AL375" s="56" t="s">
        <v>89</v>
      </c>
    </row>
    <row r="376" spans="1:38">
      <c r="A376" s="113" t="s">
        <v>903</v>
      </c>
      <c r="B376" s="273" t="s">
        <v>904</v>
      </c>
      <c r="C376" s="115">
        <v>1</v>
      </c>
      <c r="D376" s="116" t="s">
        <v>75</v>
      </c>
      <c r="E376" s="117" t="s">
        <v>77</v>
      </c>
      <c r="F376" s="35">
        <v>0</v>
      </c>
      <c r="G376" s="102"/>
      <c r="H376" s="31">
        <f t="shared" si="75"/>
        <v>0</v>
      </c>
      <c r="I376" s="119"/>
      <c r="J376" s="120"/>
      <c r="K376" s="120"/>
      <c r="L376" s="120" t="s">
        <v>77</v>
      </c>
      <c r="M376" s="120" t="s">
        <v>77</v>
      </c>
      <c r="N376" s="68" t="s">
        <v>75</v>
      </c>
      <c r="O376" s="55" t="s">
        <v>892</v>
      </c>
      <c r="P376" s="268" t="s">
        <v>689</v>
      </c>
      <c r="Q376" s="56" t="s">
        <v>690</v>
      </c>
      <c r="R376" s="1" t="str">
        <f t="shared" si="70"/>
        <v/>
      </c>
      <c r="S376" s="1" t="str">
        <f t="shared" si="70"/>
        <v/>
      </c>
      <c r="T376" s="1" t="str">
        <f t="shared" si="70"/>
        <v/>
      </c>
      <c r="U376" s="1" t="str">
        <f t="shared" si="69"/>
        <v/>
      </c>
      <c r="V376" s="113" t="s">
        <v>903</v>
      </c>
      <c r="W376" s="273" t="s">
        <v>904</v>
      </c>
      <c r="X376" s="115">
        <v>1</v>
      </c>
      <c r="Y376" s="116" t="s">
        <v>75</v>
      </c>
      <c r="Z376" s="117" t="s">
        <v>77</v>
      </c>
      <c r="AA376" s="35">
        <v>0</v>
      </c>
      <c r="AB376" s="102"/>
      <c r="AC376" s="31">
        <f t="shared" si="79"/>
        <v>0</v>
      </c>
      <c r="AD376" s="119"/>
      <c r="AE376" s="120"/>
      <c r="AF376" s="120"/>
      <c r="AG376" s="120" t="s">
        <v>77</v>
      </c>
      <c r="AH376" s="120" t="s">
        <v>77</v>
      </c>
      <c r="AI376" s="68" t="s">
        <v>75</v>
      </c>
      <c r="AJ376" s="55" t="s">
        <v>892</v>
      </c>
      <c r="AK376" s="268" t="s">
        <v>689</v>
      </c>
      <c r="AL376" s="56" t="s">
        <v>89</v>
      </c>
    </row>
    <row r="377" spans="1:38">
      <c r="A377" s="25" t="s">
        <v>905</v>
      </c>
      <c r="B377" s="273" t="s">
        <v>906</v>
      </c>
      <c r="C377" s="115">
        <v>1</v>
      </c>
      <c r="D377" s="116" t="s">
        <v>75</v>
      </c>
      <c r="E377" s="117" t="s">
        <v>77</v>
      </c>
      <c r="F377" s="35">
        <v>0</v>
      </c>
      <c r="G377" s="102"/>
      <c r="H377" s="31">
        <f t="shared" si="75"/>
        <v>0</v>
      </c>
      <c r="I377" s="119"/>
      <c r="J377" s="120"/>
      <c r="K377" s="120"/>
      <c r="L377" s="120" t="s">
        <v>77</v>
      </c>
      <c r="M377" s="120" t="s">
        <v>77</v>
      </c>
      <c r="N377" s="68" t="s">
        <v>75</v>
      </c>
      <c r="O377" s="55" t="s">
        <v>892</v>
      </c>
      <c r="P377" s="268" t="s">
        <v>689</v>
      </c>
      <c r="Q377" s="56" t="s">
        <v>690</v>
      </c>
      <c r="R377" s="1" t="str">
        <f t="shared" si="70"/>
        <v/>
      </c>
      <c r="S377" s="1" t="str">
        <f t="shared" si="70"/>
        <v/>
      </c>
      <c r="T377" s="1" t="str">
        <f t="shared" si="70"/>
        <v/>
      </c>
      <c r="U377" s="1" t="str">
        <f t="shared" si="69"/>
        <v/>
      </c>
      <c r="V377" s="113" t="s">
        <v>907</v>
      </c>
      <c r="W377" s="273" t="s">
        <v>906</v>
      </c>
      <c r="X377" s="115">
        <v>1</v>
      </c>
      <c r="Y377" s="116" t="s">
        <v>75</v>
      </c>
      <c r="Z377" s="117" t="s">
        <v>77</v>
      </c>
      <c r="AA377" s="35">
        <v>0</v>
      </c>
      <c r="AB377" s="102"/>
      <c r="AC377" s="31">
        <f t="shared" si="79"/>
        <v>0</v>
      </c>
      <c r="AD377" s="119"/>
      <c r="AE377" s="120"/>
      <c r="AF377" s="120"/>
      <c r="AG377" s="120" t="s">
        <v>77</v>
      </c>
      <c r="AH377" s="120" t="s">
        <v>77</v>
      </c>
      <c r="AI377" s="68" t="s">
        <v>75</v>
      </c>
      <c r="AJ377" s="55" t="s">
        <v>892</v>
      </c>
      <c r="AK377" s="268" t="s">
        <v>689</v>
      </c>
      <c r="AL377" s="56" t="s">
        <v>89</v>
      </c>
    </row>
    <row r="378" spans="1:38">
      <c r="A378" s="113" t="s">
        <v>908</v>
      </c>
      <c r="B378" s="273" t="s">
        <v>909</v>
      </c>
      <c r="C378" s="115">
        <v>1</v>
      </c>
      <c r="D378" s="116" t="s">
        <v>75</v>
      </c>
      <c r="E378" s="117" t="s">
        <v>77</v>
      </c>
      <c r="F378" s="35">
        <v>21.67</v>
      </c>
      <c r="G378" s="102">
        <f t="shared" si="80"/>
        <v>0.17199999999999999</v>
      </c>
      <c r="H378" s="31">
        <f t="shared" si="75"/>
        <v>17.94276</v>
      </c>
      <c r="I378" s="119"/>
      <c r="J378" s="120"/>
      <c r="K378" s="120"/>
      <c r="L378" s="120" t="s">
        <v>77</v>
      </c>
      <c r="M378" s="120" t="s">
        <v>77</v>
      </c>
      <c r="N378" s="68" t="s">
        <v>75</v>
      </c>
      <c r="O378" s="55" t="s">
        <v>892</v>
      </c>
      <c r="P378" s="268" t="s">
        <v>689</v>
      </c>
      <c r="Q378" s="56" t="s">
        <v>690</v>
      </c>
      <c r="R378" s="1" t="str">
        <f t="shared" si="70"/>
        <v/>
      </c>
      <c r="S378" s="1" t="str">
        <f t="shared" si="70"/>
        <v/>
      </c>
      <c r="T378" s="1" t="str">
        <f t="shared" si="70"/>
        <v/>
      </c>
      <c r="U378" s="1" t="str">
        <f t="shared" si="69"/>
        <v/>
      </c>
      <c r="V378" s="113" t="s">
        <v>908</v>
      </c>
      <c r="W378" s="273" t="s">
        <v>909</v>
      </c>
      <c r="X378" s="115">
        <v>1</v>
      </c>
      <c r="Y378" s="116" t="s">
        <v>75</v>
      </c>
      <c r="Z378" s="117" t="s">
        <v>77</v>
      </c>
      <c r="AA378" s="35">
        <v>21.67</v>
      </c>
      <c r="AB378" s="102">
        <f t="shared" si="81"/>
        <v>0.17199999999999999</v>
      </c>
      <c r="AC378" s="31">
        <f t="shared" si="79"/>
        <v>17.94276</v>
      </c>
      <c r="AD378" s="119"/>
      <c r="AE378" s="120"/>
      <c r="AF378" s="120"/>
      <c r="AG378" s="120" t="s">
        <v>77</v>
      </c>
      <c r="AH378" s="120" t="s">
        <v>77</v>
      </c>
      <c r="AI378" s="68" t="s">
        <v>75</v>
      </c>
      <c r="AJ378" s="55" t="s">
        <v>892</v>
      </c>
      <c r="AK378" s="268" t="s">
        <v>689</v>
      </c>
      <c r="AL378" s="56" t="s">
        <v>89</v>
      </c>
    </row>
    <row r="379" spans="1:38">
      <c r="A379" s="113" t="s">
        <v>910</v>
      </c>
      <c r="B379" s="273" t="s">
        <v>911</v>
      </c>
      <c r="C379" s="115">
        <v>1</v>
      </c>
      <c r="D379" s="116" t="s">
        <v>75</v>
      </c>
      <c r="E379" s="117" t="s">
        <v>77</v>
      </c>
      <c r="F379" s="35">
        <v>21.67</v>
      </c>
      <c r="G379" s="102">
        <f t="shared" si="80"/>
        <v>0.17199999999999999</v>
      </c>
      <c r="H379" s="31">
        <f t="shared" si="75"/>
        <v>17.94276</v>
      </c>
      <c r="I379" s="119"/>
      <c r="J379" s="120"/>
      <c r="K379" s="120"/>
      <c r="L379" s="120" t="s">
        <v>77</v>
      </c>
      <c r="M379" s="120" t="s">
        <v>77</v>
      </c>
      <c r="N379" s="68" t="s">
        <v>75</v>
      </c>
      <c r="O379" s="55" t="s">
        <v>892</v>
      </c>
      <c r="P379" s="268" t="s">
        <v>689</v>
      </c>
      <c r="Q379" s="56" t="s">
        <v>690</v>
      </c>
      <c r="R379" s="1" t="str">
        <f t="shared" si="70"/>
        <v/>
      </c>
      <c r="S379" s="1" t="str">
        <f t="shared" si="70"/>
        <v/>
      </c>
      <c r="T379" s="1" t="str">
        <f t="shared" si="70"/>
        <v/>
      </c>
      <c r="U379" s="1" t="str">
        <f t="shared" si="69"/>
        <v/>
      </c>
      <c r="V379" s="113" t="s">
        <v>910</v>
      </c>
      <c r="W379" s="273" t="s">
        <v>911</v>
      </c>
      <c r="X379" s="115">
        <v>1</v>
      </c>
      <c r="Y379" s="116" t="s">
        <v>75</v>
      </c>
      <c r="Z379" s="117" t="s">
        <v>77</v>
      </c>
      <c r="AA379" s="35">
        <v>21.67</v>
      </c>
      <c r="AB379" s="102">
        <f t="shared" si="81"/>
        <v>0.17199999999999999</v>
      </c>
      <c r="AC379" s="31">
        <f t="shared" si="79"/>
        <v>17.94276</v>
      </c>
      <c r="AD379" s="119"/>
      <c r="AE379" s="120"/>
      <c r="AF379" s="120"/>
      <c r="AG379" s="120" t="s">
        <v>77</v>
      </c>
      <c r="AH379" s="120" t="s">
        <v>77</v>
      </c>
      <c r="AI379" s="68" t="s">
        <v>75</v>
      </c>
      <c r="AJ379" s="55" t="s">
        <v>892</v>
      </c>
      <c r="AK379" s="268" t="s">
        <v>689</v>
      </c>
      <c r="AL379" s="56" t="s">
        <v>89</v>
      </c>
    </row>
    <row r="380" spans="1:38">
      <c r="A380" s="25" t="s">
        <v>912</v>
      </c>
      <c r="B380" s="273" t="s">
        <v>913</v>
      </c>
      <c r="C380" s="115">
        <v>1</v>
      </c>
      <c r="D380" s="116" t="s">
        <v>75</v>
      </c>
      <c r="E380" s="117" t="s">
        <v>77</v>
      </c>
      <c r="F380" s="35">
        <v>21.67</v>
      </c>
      <c r="G380" s="102">
        <f t="shared" si="80"/>
        <v>0.17199999999999999</v>
      </c>
      <c r="H380" s="31">
        <f t="shared" si="75"/>
        <v>17.94276</v>
      </c>
      <c r="I380" s="119"/>
      <c r="J380" s="120"/>
      <c r="K380" s="120"/>
      <c r="L380" s="120" t="s">
        <v>77</v>
      </c>
      <c r="M380" s="120" t="s">
        <v>77</v>
      </c>
      <c r="N380" s="68" t="s">
        <v>75</v>
      </c>
      <c r="O380" s="55" t="s">
        <v>892</v>
      </c>
      <c r="P380" s="268" t="s">
        <v>689</v>
      </c>
      <c r="Q380" s="56" t="s">
        <v>690</v>
      </c>
      <c r="R380" s="1" t="str">
        <f t="shared" si="70"/>
        <v/>
      </c>
      <c r="S380" s="1" t="str">
        <f t="shared" si="70"/>
        <v/>
      </c>
      <c r="T380" s="1" t="str">
        <f t="shared" si="70"/>
        <v/>
      </c>
      <c r="U380" s="1" t="str">
        <f t="shared" si="69"/>
        <v/>
      </c>
      <c r="V380" s="113" t="s">
        <v>914</v>
      </c>
      <c r="W380" s="273" t="s">
        <v>913</v>
      </c>
      <c r="X380" s="115">
        <v>1</v>
      </c>
      <c r="Y380" s="116" t="s">
        <v>75</v>
      </c>
      <c r="Z380" s="117" t="s">
        <v>77</v>
      </c>
      <c r="AA380" s="35">
        <v>21.67</v>
      </c>
      <c r="AB380" s="102">
        <f t="shared" si="81"/>
        <v>0.17199999999999999</v>
      </c>
      <c r="AC380" s="31">
        <f t="shared" si="79"/>
        <v>17.94276</v>
      </c>
      <c r="AD380" s="119"/>
      <c r="AE380" s="120"/>
      <c r="AF380" s="120"/>
      <c r="AG380" s="120" t="s">
        <v>77</v>
      </c>
      <c r="AH380" s="120" t="s">
        <v>77</v>
      </c>
      <c r="AI380" s="68" t="s">
        <v>75</v>
      </c>
      <c r="AJ380" s="55" t="s">
        <v>892</v>
      </c>
      <c r="AK380" s="268" t="s">
        <v>689</v>
      </c>
      <c r="AL380" s="56" t="s">
        <v>89</v>
      </c>
    </row>
    <row r="381" spans="1:38">
      <c r="A381" s="103" t="s">
        <v>915</v>
      </c>
      <c r="B381" s="104" t="s">
        <v>916</v>
      </c>
      <c r="C381" s="105">
        <v>1</v>
      </c>
      <c r="D381" s="106" t="s">
        <v>82</v>
      </c>
      <c r="E381" s="105" t="s">
        <v>915</v>
      </c>
      <c r="F381" s="108"/>
      <c r="G381" s="109"/>
      <c r="H381" s="100">
        <v>11</v>
      </c>
      <c r="I381" s="119"/>
      <c r="J381" s="120"/>
      <c r="K381" s="120"/>
      <c r="L381" s="120" t="s">
        <v>77</v>
      </c>
      <c r="M381" s="120" t="s">
        <v>77</v>
      </c>
      <c r="N381" s="68" t="s">
        <v>83</v>
      </c>
      <c r="O381" s="55" t="s">
        <v>84</v>
      </c>
      <c r="P381" s="268" t="s">
        <v>85</v>
      </c>
      <c r="Q381" s="56" t="s">
        <v>692</v>
      </c>
      <c r="R381" s="1" t="str">
        <f t="shared" si="70"/>
        <v/>
      </c>
      <c r="S381" s="1" t="str">
        <f t="shared" si="70"/>
        <v/>
      </c>
      <c r="T381" s="1" t="str">
        <f t="shared" si="70"/>
        <v/>
      </c>
      <c r="U381" s="1" t="str">
        <f t="shared" si="69"/>
        <v/>
      </c>
      <c r="V381" s="103" t="s">
        <v>788</v>
      </c>
      <c r="W381" s="104" t="s">
        <v>917</v>
      </c>
      <c r="X381" s="105">
        <v>1</v>
      </c>
      <c r="Y381" s="106" t="s">
        <v>82</v>
      </c>
      <c r="Z381" s="105" t="s">
        <v>788</v>
      </c>
      <c r="AA381" s="108"/>
      <c r="AB381" s="109"/>
      <c r="AC381" s="100">
        <v>11</v>
      </c>
      <c r="AD381" s="119"/>
      <c r="AE381" s="120"/>
      <c r="AF381" s="120"/>
      <c r="AG381" s="120" t="s">
        <v>77</v>
      </c>
      <c r="AH381" s="120" t="s">
        <v>77</v>
      </c>
      <c r="AI381" s="68" t="s">
        <v>83</v>
      </c>
      <c r="AJ381" s="55" t="s">
        <v>84</v>
      </c>
      <c r="AK381" s="268" t="s">
        <v>85</v>
      </c>
      <c r="AL381" s="56" t="s">
        <v>692</v>
      </c>
    </row>
    <row r="382" spans="1:38">
      <c r="A382" s="103" t="s">
        <v>918</v>
      </c>
      <c r="B382" s="104" t="s">
        <v>919</v>
      </c>
      <c r="C382" s="105">
        <v>1</v>
      </c>
      <c r="D382" s="106" t="s">
        <v>82</v>
      </c>
      <c r="E382" s="105" t="s">
        <v>918</v>
      </c>
      <c r="F382" s="108"/>
      <c r="G382" s="109"/>
      <c r="H382" s="100">
        <v>16</v>
      </c>
      <c r="I382" s="119"/>
      <c r="J382" s="120"/>
      <c r="K382" s="120"/>
      <c r="L382" s="120" t="s">
        <v>77</v>
      </c>
      <c r="M382" s="120" t="s">
        <v>77</v>
      </c>
      <c r="N382" s="68" t="s">
        <v>83</v>
      </c>
      <c r="O382" s="55" t="s">
        <v>84</v>
      </c>
      <c r="P382" s="268" t="s">
        <v>85</v>
      </c>
      <c r="Q382" s="56" t="s">
        <v>692</v>
      </c>
      <c r="R382" s="1" t="str">
        <f t="shared" si="70"/>
        <v/>
      </c>
      <c r="S382" s="1" t="str">
        <f t="shared" si="70"/>
        <v/>
      </c>
      <c r="T382" s="1" t="str">
        <f t="shared" si="70"/>
        <v/>
      </c>
      <c r="U382" s="1" t="str">
        <f t="shared" si="69"/>
        <v/>
      </c>
      <c r="V382" s="103" t="s">
        <v>790</v>
      </c>
      <c r="W382" s="104" t="s">
        <v>920</v>
      </c>
      <c r="X382" s="105">
        <v>1</v>
      </c>
      <c r="Y382" s="106" t="s">
        <v>82</v>
      </c>
      <c r="Z382" s="105" t="s">
        <v>790</v>
      </c>
      <c r="AA382" s="108"/>
      <c r="AB382" s="109"/>
      <c r="AC382" s="100">
        <v>16</v>
      </c>
      <c r="AD382" s="119"/>
      <c r="AE382" s="120"/>
      <c r="AF382" s="120"/>
      <c r="AG382" s="120" t="s">
        <v>77</v>
      </c>
      <c r="AH382" s="120" t="s">
        <v>77</v>
      </c>
      <c r="AI382" s="68" t="s">
        <v>83</v>
      </c>
      <c r="AJ382" s="55" t="s">
        <v>84</v>
      </c>
      <c r="AK382" s="268" t="s">
        <v>85</v>
      </c>
      <c r="AL382" s="56" t="s">
        <v>692</v>
      </c>
    </row>
    <row r="383" spans="1:38">
      <c r="A383" s="103" t="s">
        <v>921</v>
      </c>
      <c r="B383" s="104" t="s">
        <v>922</v>
      </c>
      <c r="C383" s="105">
        <v>1</v>
      </c>
      <c r="D383" s="106" t="s">
        <v>82</v>
      </c>
      <c r="E383" s="105" t="s">
        <v>921</v>
      </c>
      <c r="F383" s="108"/>
      <c r="G383" s="109"/>
      <c r="H383" s="100">
        <v>22</v>
      </c>
      <c r="I383" s="119"/>
      <c r="J383" s="120"/>
      <c r="K383" s="120"/>
      <c r="L383" s="120" t="s">
        <v>77</v>
      </c>
      <c r="M383" s="120" t="s">
        <v>77</v>
      </c>
      <c r="N383" s="68" t="s">
        <v>83</v>
      </c>
      <c r="O383" s="55" t="s">
        <v>84</v>
      </c>
      <c r="P383" s="268" t="s">
        <v>85</v>
      </c>
      <c r="Q383" s="56" t="s">
        <v>692</v>
      </c>
      <c r="R383" s="1" t="str">
        <f t="shared" si="70"/>
        <v/>
      </c>
      <c r="S383" s="1" t="str">
        <f t="shared" si="70"/>
        <v/>
      </c>
      <c r="T383" s="1" t="str">
        <f t="shared" si="70"/>
        <v/>
      </c>
      <c r="U383" s="1" t="str">
        <f t="shared" si="69"/>
        <v/>
      </c>
      <c r="V383" s="103" t="s">
        <v>792</v>
      </c>
      <c r="W383" s="104" t="s">
        <v>923</v>
      </c>
      <c r="X383" s="105">
        <v>1</v>
      </c>
      <c r="Y383" s="106" t="s">
        <v>82</v>
      </c>
      <c r="Z383" s="105" t="s">
        <v>792</v>
      </c>
      <c r="AA383" s="108"/>
      <c r="AB383" s="109"/>
      <c r="AC383" s="100">
        <v>22</v>
      </c>
      <c r="AD383" s="119"/>
      <c r="AE383" s="120"/>
      <c r="AF383" s="120"/>
      <c r="AG383" s="120" t="s">
        <v>77</v>
      </c>
      <c r="AH383" s="120" t="s">
        <v>77</v>
      </c>
      <c r="AI383" s="68" t="s">
        <v>83</v>
      </c>
      <c r="AJ383" s="55" t="s">
        <v>84</v>
      </c>
      <c r="AK383" s="268" t="s">
        <v>85</v>
      </c>
      <c r="AL383" s="56" t="s">
        <v>692</v>
      </c>
    </row>
    <row r="384" spans="1:38">
      <c r="A384" s="103" t="s">
        <v>924</v>
      </c>
      <c r="B384" s="104" t="s">
        <v>925</v>
      </c>
      <c r="C384" s="105">
        <v>1</v>
      </c>
      <c r="D384" s="106" t="s">
        <v>82</v>
      </c>
      <c r="E384" s="105" t="s">
        <v>924</v>
      </c>
      <c r="F384" s="108"/>
      <c r="G384" s="109"/>
      <c r="H384" s="100">
        <v>20</v>
      </c>
      <c r="I384" s="119"/>
      <c r="J384" s="120"/>
      <c r="K384" s="120"/>
      <c r="L384" s="120" t="s">
        <v>77</v>
      </c>
      <c r="M384" s="120" t="s">
        <v>77</v>
      </c>
      <c r="N384" s="68" t="s">
        <v>83</v>
      </c>
      <c r="O384" s="55" t="s">
        <v>84</v>
      </c>
      <c r="P384" s="268" t="s">
        <v>85</v>
      </c>
      <c r="Q384" s="56" t="s">
        <v>692</v>
      </c>
      <c r="R384" s="1" t="str">
        <f t="shared" si="70"/>
        <v/>
      </c>
      <c r="S384" s="1" t="str">
        <f t="shared" si="70"/>
        <v/>
      </c>
      <c r="T384" s="1" t="str">
        <f t="shared" si="70"/>
        <v/>
      </c>
      <c r="U384" s="1" t="str">
        <f t="shared" si="69"/>
        <v/>
      </c>
      <c r="V384" s="103" t="s">
        <v>794</v>
      </c>
      <c r="W384" s="104" t="s">
        <v>926</v>
      </c>
      <c r="X384" s="105">
        <v>1</v>
      </c>
      <c r="Y384" s="106" t="s">
        <v>82</v>
      </c>
      <c r="Z384" s="105" t="s">
        <v>794</v>
      </c>
      <c r="AA384" s="108"/>
      <c r="AB384" s="109"/>
      <c r="AC384" s="100">
        <v>20</v>
      </c>
      <c r="AD384" s="119"/>
      <c r="AE384" s="120"/>
      <c r="AF384" s="120"/>
      <c r="AG384" s="120" t="s">
        <v>77</v>
      </c>
      <c r="AH384" s="120" t="s">
        <v>77</v>
      </c>
      <c r="AI384" s="68" t="s">
        <v>83</v>
      </c>
      <c r="AJ384" s="55" t="s">
        <v>84</v>
      </c>
      <c r="AK384" s="268" t="s">
        <v>85</v>
      </c>
      <c r="AL384" s="56" t="s">
        <v>692</v>
      </c>
    </row>
    <row r="385" spans="1:38">
      <c r="A385" s="103" t="s">
        <v>927</v>
      </c>
      <c r="B385" s="104" t="s">
        <v>928</v>
      </c>
      <c r="C385" s="105">
        <v>1</v>
      </c>
      <c r="D385" s="106" t="s">
        <v>82</v>
      </c>
      <c r="E385" s="105" t="s">
        <v>927</v>
      </c>
      <c r="F385" s="108"/>
      <c r="G385" s="109"/>
      <c r="H385" s="100">
        <v>29</v>
      </c>
      <c r="I385" s="119"/>
      <c r="J385" s="120"/>
      <c r="K385" s="120"/>
      <c r="L385" s="120" t="s">
        <v>77</v>
      </c>
      <c r="M385" s="120" t="s">
        <v>77</v>
      </c>
      <c r="N385" s="68" t="s">
        <v>83</v>
      </c>
      <c r="O385" s="55" t="s">
        <v>84</v>
      </c>
      <c r="P385" s="268" t="s">
        <v>85</v>
      </c>
      <c r="Q385" s="56" t="s">
        <v>692</v>
      </c>
      <c r="R385" s="1" t="str">
        <f t="shared" si="70"/>
        <v/>
      </c>
      <c r="S385" s="1" t="str">
        <f t="shared" si="70"/>
        <v/>
      </c>
      <c r="T385" s="1" t="str">
        <f t="shared" si="70"/>
        <v/>
      </c>
      <c r="U385" s="1" t="str">
        <f t="shared" si="69"/>
        <v/>
      </c>
      <c r="V385" s="103" t="s">
        <v>796</v>
      </c>
      <c r="W385" s="104" t="s">
        <v>929</v>
      </c>
      <c r="X385" s="105">
        <v>1</v>
      </c>
      <c r="Y385" s="106" t="s">
        <v>82</v>
      </c>
      <c r="Z385" s="105" t="s">
        <v>796</v>
      </c>
      <c r="AA385" s="108"/>
      <c r="AB385" s="109"/>
      <c r="AC385" s="100">
        <v>29</v>
      </c>
      <c r="AD385" s="119"/>
      <c r="AE385" s="120"/>
      <c r="AF385" s="120"/>
      <c r="AG385" s="120" t="s">
        <v>77</v>
      </c>
      <c r="AH385" s="120" t="s">
        <v>77</v>
      </c>
      <c r="AI385" s="68" t="s">
        <v>83</v>
      </c>
      <c r="AJ385" s="55" t="s">
        <v>84</v>
      </c>
      <c r="AK385" s="268" t="s">
        <v>85</v>
      </c>
      <c r="AL385" s="56" t="s">
        <v>692</v>
      </c>
    </row>
    <row r="386" spans="1:38">
      <c r="A386" s="103" t="s">
        <v>930</v>
      </c>
      <c r="B386" s="104" t="s">
        <v>931</v>
      </c>
      <c r="C386" s="105">
        <v>1</v>
      </c>
      <c r="D386" s="106" t="s">
        <v>82</v>
      </c>
      <c r="E386" s="105" t="s">
        <v>930</v>
      </c>
      <c r="F386" s="108"/>
      <c r="G386" s="109"/>
      <c r="H386" s="100">
        <v>34</v>
      </c>
      <c r="I386" s="119"/>
      <c r="J386" s="120"/>
      <c r="K386" s="120"/>
      <c r="L386" s="120" t="s">
        <v>77</v>
      </c>
      <c r="M386" s="120" t="s">
        <v>77</v>
      </c>
      <c r="N386" s="68" t="s">
        <v>83</v>
      </c>
      <c r="O386" s="55" t="s">
        <v>84</v>
      </c>
      <c r="P386" s="268" t="s">
        <v>85</v>
      </c>
      <c r="Q386" s="56" t="s">
        <v>692</v>
      </c>
      <c r="R386" s="1" t="str">
        <f t="shared" si="70"/>
        <v/>
      </c>
      <c r="S386" s="1" t="str">
        <f t="shared" si="70"/>
        <v/>
      </c>
      <c r="T386" s="1" t="str">
        <f t="shared" si="70"/>
        <v/>
      </c>
      <c r="U386" s="1" t="str">
        <f t="shared" si="69"/>
        <v/>
      </c>
      <c r="V386" s="103" t="s">
        <v>798</v>
      </c>
      <c r="W386" s="104" t="s">
        <v>932</v>
      </c>
      <c r="X386" s="105">
        <v>1</v>
      </c>
      <c r="Y386" s="106" t="s">
        <v>82</v>
      </c>
      <c r="Z386" s="105" t="s">
        <v>798</v>
      </c>
      <c r="AA386" s="108"/>
      <c r="AB386" s="109"/>
      <c r="AC386" s="100">
        <v>34</v>
      </c>
      <c r="AD386" s="119"/>
      <c r="AE386" s="120"/>
      <c r="AF386" s="120"/>
      <c r="AG386" s="120" t="s">
        <v>77</v>
      </c>
      <c r="AH386" s="120" t="s">
        <v>77</v>
      </c>
      <c r="AI386" s="68" t="s">
        <v>83</v>
      </c>
      <c r="AJ386" s="55" t="s">
        <v>84</v>
      </c>
      <c r="AK386" s="268" t="s">
        <v>85</v>
      </c>
      <c r="AL386" s="56" t="s">
        <v>692</v>
      </c>
    </row>
    <row r="387" spans="1:38">
      <c r="A387" s="103" t="s">
        <v>933</v>
      </c>
      <c r="B387" s="104" t="s">
        <v>934</v>
      </c>
      <c r="C387" s="105">
        <v>1</v>
      </c>
      <c r="D387" s="106" t="s">
        <v>82</v>
      </c>
      <c r="E387" s="105" t="s">
        <v>933</v>
      </c>
      <c r="F387" s="108"/>
      <c r="G387" s="109"/>
      <c r="H387" s="100">
        <v>35</v>
      </c>
      <c r="I387" s="119"/>
      <c r="J387" s="120"/>
      <c r="K387" s="120"/>
      <c r="L387" s="120" t="s">
        <v>77</v>
      </c>
      <c r="M387" s="120" t="s">
        <v>77</v>
      </c>
      <c r="N387" s="68" t="s">
        <v>83</v>
      </c>
      <c r="O387" s="55" t="s">
        <v>84</v>
      </c>
      <c r="P387" s="268" t="s">
        <v>85</v>
      </c>
      <c r="Q387" s="56" t="s">
        <v>692</v>
      </c>
      <c r="R387" s="1" t="str">
        <f t="shared" si="70"/>
        <v/>
      </c>
      <c r="S387" s="1" t="str">
        <f t="shared" si="70"/>
        <v/>
      </c>
      <c r="T387" s="1" t="str">
        <f t="shared" si="70"/>
        <v/>
      </c>
      <c r="U387" s="1" t="str">
        <f t="shared" si="69"/>
        <v/>
      </c>
      <c r="V387" s="103" t="s">
        <v>800</v>
      </c>
      <c r="W387" s="104" t="s">
        <v>935</v>
      </c>
      <c r="X387" s="105">
        <v>1</v>
      </c>
      <c r="Y387" s="106" t="s">
        <v>82</v>
      </c>
      <c r="Z387" s="105" t="s">
        <v>800</v>
      </c>
      <c r="AA387" s="108"/>
      <c r="AB387" s="109"/>
      <c r="AC387" s="100">
        <v>35</v>
      </c>
      <c r="AD387" s="119"/>
      <c r="AE387" s="120"/>
      <c r="AF387" s="120"/>
      <c r="AG387" s="120" t="s">
        <v>77</v>
      </c>
      <c r="AH387" s="120" t="s">
        <v>77</v>
      </c>
      <c r="AI387" s="68" t="s">
        <v>83</v>
      </c>
      <c r="AJ387" s="55" t="s">
        <v>84</v>
      </c>
      <c r="AK387" s="268" t="s">
        <v>85</v>
      </c>
      <c r="AL387" s="56" t="s">
        <v>692</v>
      </c>
    </row>
    <row r="388" spans="1:38">
      <c r="A388" s="103" t="s">
        <v>936</v>
      </c>
      <c r="B388" s="104" t="s">
        <v>937</v>
      </c>
      <c r="C388" s="105">
        <v>1</v>
      </c>
      <c r="D388" s="106" t="s">
        <v>82</v>
      </c>
      <c r="E388" s="105" t="s">
        <v>936</v>
      </c>
      <c r="F388" s="108"/>
      <c r="G388" s="109"/>
      <c r="H388" s="100">
        <v>15</v>
      </c>
      <c r="I388" s="119"/>
      <c r="J388" s="120"/>
      <c r="K388" s="120"/>
      <c r="L388" s="120" t="s">
        <v>77</v>
      </c>
      <c r="M388" s="120" t="s">
        <v>77</v>
      </c>
      <c r="N388" s="68" t="s">
        <v>83</v>
      </c>
      <c r="O388" s="55" t="s">
        <v>84</v>
      </c>
      <c r="P388" s="268" t="s">
        <v>85</v>
      </c>
      <c r="Q388" s="56" t="s">
        <v>692</v>
      </c>
      <c r="R388" s="1" t="str">
        <f t="shared" si="70"/>
        <v/>
      </c>
      <c r="S388" s="1" t="str">
        <f t="shared" si="70"/>
        <v/>
      </c>
      <c r="T388" s="1" t="str">
        <f t="shared" si="70"/>
        <v/>
      </c>
      <c r="U388" s="1" t="str">
        <f t="shared" si="69"/>
        <v/>
      </c>
      <c r="V388" s="103" t="s">
        <v>802</v>
      </c>
      <c r="W388" s="104" t="s">
        <v>938</v>
      </c>
      <c r="X388" s="105">
        <v>1</v>
      </c>
      <c r="Y388" s="106" t="s">
        <v>82</v>
      </c>
      <c r="Z388" s="105" t="s">
        <v>802</v>
      </c>
      <c r="AA388" s="108"/>
      <c r="AB388" s="109"/>
      <c r="AC388" s="100">
        <v>15</v>
      </c>
      <c r="AD388" s="119"/>
      <c r="AE388" s="120"/>
      <c r="AF388" s="120"/>
      <c r="AG388" s="120" t="s">
        <v>77</v>
      </c>
      <c r="AH388" s="120" t="s">
        <v>77</v>
      </c>
      <c r="AI388" s="68" t="s">
        <v>83</v>
      </c>
      <c r="AJ388" s="55" t="s">
        <v>84</v>
      </c>
      <c r="AK388" s="268" t="s">
        <v>85</v>
      </c>
      <c r="AL388" s="56" t="s">
        <v>692</v>
      </c>
    </row>
    <row r="389" spans="1:38">
      <c r="A389" s="103" t="s">
        <v>939</v>
      </c>
      <c r="B389" s="104" t="s">
        <v>940</v>
      </c>
      <c r="C389" s="105">
        <v>1</v>
      </c>
      <c r="D389" s="106" t="s">
        <v>82</v>
      </c>
      <c r="E389" s="105" t="s">
        <v>939</v>
      </c>
      <c r="F389" s="108"/>
      <c r="G389" s="109"/>
      <c r="H389" s="100">
        <v>33</v>
      </c>
      <c r="I389" s="119"/>
      <c r="J389" s="120"/>
      <c r="K389" s="120"/>
      <c r="L389" s="120" t="s">
        <v>77</v>
      </c>
      <c r="M389" s="120" t="s">
        <v>77</v>
      </c>
      <c r="N389" s="68" t="s">
        <v>83</v>
      </c>
      <c r="O389" s="55" t="s">
        <v>84</v>
      </c>
      <c r="P389" s="268" t="s">
        <v>85</v>
      </c>
      <c r="Q389" s="56" t="s">
        <v>692</v>
      </c>
      <c r="R389" s="1" t="str">
        <f t="shared" si="70"/>
        <v/>
      </c>
      <c r="S389" s="1" t="str">
        <f t="shared" si="70"/>
        <v/>
      </c>
      <c r="T389" s="1" t="str">
        <f t="shared" si="70"/>
        <v/>
      </c>
      <c r="U389" s="1" t="str">
        <f t="shared" si="70"/>
        <v/>
      </c>
      <c r="V389" s="103" t="s">
        <v>804</v>
      </c>
      <c r="W389" s="104" t="s">
        <v>941</v>
      </c>
      <c r="X389" s="105">
        <v>1</v>
      </c>
      <c r="Y389" s="106" t="s">
        <v>82</v>
      </c>
      <c r="Z389" s="105" t="s">
        <v>804</v>
      </c>
      <c r="AA389" s="108"/>
      <c r="AB389" s="109"/>
      <c r="AC389" s="100">
        <v>33</v>
      </c>
      <c r="AD389" s="119"/>
      <c r="AE389" s="120"/>
      <c r="AF389" s="120"/>
      <c r="AG389" s="120" t="s">
        <v>77</v>
      </c>
      <c r="AH389" s="120" t="s">
        <v>77</v>
      </c>
      <c r="AI389" s="68" t="s">
        <v>83</v>
      </c>
      <c r="AJ389" s="55" t="s">
        <v>84</v>
      </c>
      <c r="AK389" s="268" t="s">
        <v>85</v>
      </c>
      <c r="AL389" s="56" t="s">
        <v>692</v>
      </c>
    </row>
    <row r="390" spans="1:38">
      <c r="A390" s="103" t="s">
        <v>942</v>
      </c>
      <c r="B390" s="104" t="s">
        <v>943</v>
      </c>
      <c r="C390" s="105">
        <v>1</v>
      </c>
      <c r="D390" s="106" t="s">
        <v>82</v>
      </c>
      <c r="E390" s="105" t="s">
        <v>942</v>
      </c>
      <c r="F390" s="108"/>
      <c r="G390" s="109"/>
      <c r="H390" s="100">
        <v>44</v>
      </c>
      <c r="I390" s="119"/>
      <c r="J390" s="120"/>
      <c r="K390" s="120"/>
      <c r="L390" s="120" t="s">
        <v>77</v>
      </c>
      <c r="M390" s="120" t="s">
        <v>77</v>
      </c>
      <c r="N390" s="68" t="s">
        <v>83</v>
      </c>
      <c r="O390" s="55" t="s">
        <v>84</v>
      </c>
      <c r="P390" s="268" t="s">
        <v>85</v>
      </c>
      <c r="Q390" s="56" t="s">
        <v>692</v>
      </c>
      <c r="R390" s="1" t="str">
        <f t="shared" ref="R390:U453" si="82">+IF($K390&lt;&gt;"",R$2*$K390,"")</f>
        <v/>
      </c>
      <c r="S390" s="1" t="str">
        <f t="shared" si="82"/>
        <v/>
      </c>
      <c r="T390" s="1" t="str">
        <f t="shared" si="82"/>
        <v/>
      </c>
      <c r="U390" s="1" t="str">
        <f t="shared" si="82"/>
        <v/>
      </c>
      <c r="V390" s="103" t="s">
        <v>806</v>
      </c>
      <c r="W390" s="104" t="s">
        <v>944</v>
      </c>
      <c r="X390" s="105">
        <v>1</v>
      </c>
      <c r="Y390" s="106" t="s">
        <v>82</v>
      </c>
      <c r="Z390" s="105" t="s">
        <v>806</v>
      </c>
      <c r="AA390" s="108"/>
      <c r="AB390" s="109"/>
      <c r="AC390" s="100">
        <v>44</v>
      </c>
      <c r="AD390" s="119"/>
      <c r="AE390" s="120"/>
      <c r="AF390" s="120"/>
      <c r="AG390" s="120" t="s">
        <v>77</v>
      </c>
      <c r="AH390" s="120" t="s">
        <v>77</v>
      </c>
      <c r="AI390" s="68" t="s">
        <v>83</v>
      </c>
      <c r="AJ390" s="55" t="s">
        <v>84</v>
      </c>
      <c r="AK390" s="268" t="s">
        <v>85</v>
      </c>
      <c r="AL390" s="56" t="s">
        <v>692</v>
      </c>
    </row>
    <row r="391" spans="1:38">
      <c r="A391" s="103" t="s">
        <v>945</v>
      </c>
      <c r="B391" s="104" t="s">
        <v>946</v>
      </c>
      <c r="C391" s="105">
        <v>1</v>
      </c>
      <c r="D391" s="106" t="s">
        <v>82</v>
      </c>
      <c r="E391" s="105" t="s">
        <v>945</v>
      </c>
      <c r="F391" s="108"/>
      <c r="G391" s="109"/>
      <c r="H391" s="100">
        <v>50</v>
      </c>
      <c r="I391" s="119"/>
      <c r="J391" s="120"/>
      <c r="K391" s="120"/>
      <c r="L391" s="120" t="s">
        <v>77</v>
      </c>
      <c r="M391" s="120" t="s">
        <v>77</v>
      </c>
      <c r="N391" s="68" t="s">
        <v>83</v>
      </c>
      <c r="O391" s="55" t="s">
        <v>84</v>
      </c>
      <c r="P391" s="268" t="s">
        <v>85</v>
      </c>
      <c r="Q391" s="56" t="s">
        <v>692</v>
      </c>
      <c r="R391" s="1" t="str">
        <f t="shared" si="82"/>
        <v/>
      </c>
      <c r="S391" s="1" t="str">
        <f t="shared" si="82"/>
        <v/>
      </c>
      <c r="T391" s="1" t="str">
        <f t="shared" si="82"/>
        <v/>
      </c>
      <c r="U391" s="1" t="str">
        <f t="shared" si="82"/>
        <v/>
      </c>
      <c r="V391" s="103" t="s">
        <v>808</v>
      </c>
      <c r="W391" s="104" t="s">
        <v>947</v>
      </c>
      <c r="X391" s="105">
        <v>1</v>
      </c>
      <c r="Y391" s="106" t="s">
        <v>82</v>
      </c>
      <c r="Z391" s="105" t="s">
        <v>808</v>
      </c>
      <c r="AA391" s="108"/>
      <c r="AB391" s="109"/>
      <c r="AC391" s="100">
        <v>50</v>
      </c>
      <c r="AD391" s="119"/>
      <c r="AE391" s="120"/>
      <c r="AF391" s="120"/>
      <c r="AG391" s="120" t="s">
        <v>77</v>
      </c>
      <c r="AH391" s="120" t="s">
        <v>77</v>
      </c>
      <c r="AI391" s="68" t="s">
        <v>83</v>
      </c>
      <c r="AJ391" s="55" t="s">
        <v>84</v>
      </c>
      <c r="AK391" s="268" t="s">
        <v>85</v>
      </c>
      <c r="AL391" s="56" t="s">
        <v>692</v>
      </c>
    </row>
    <row r="392" spans="1:38" s="168" customFormat="1" ht="38.1" customHeight="1">
      <c r="A392" s="254" t="s">
        <v>948</v>
      </c>
      <c r="B392" s="239" t="s">
        <v>949</v>
      </c>
      <c r="C392" s="240">
        <v>1</v>
      </c>
      <c r="D392" s="241" t="s">
        <v>82</v>
      </c>
      <c r="E392" s="255" t="s">
        <v>948</v>
      </c>
      <c r="F392" s="242"/>
      <c r="G392" s="243"/>
      <c r="H392" s="242">
        <v>215</v>
      </c>
      <c r="I392" s="269"/>
      <c r="J392" s="57"/>
      <c r="K392" s="57"/>
      <c r="L392" s="57" t="s">
        <v>77</v>
      </c>
      <c r="M392" s="57" t="s">
        <v>77</v>
      </c>
      <c r="N392" s="68" t="s">
        <v>83</v>
      </c>
      <c r="O392" s="55" t="s">
        <v>84</v>
      </c>
      <c r="P392" s="270" t="s">
        <v>85</v>
      </c>
      <c r="Q392" s="271" t="s">
        <v>692</v>
      </c>
      <c r="R392" s="1" t="str">
        <f t="shared" si="82"/>
        <v/>
      </c>
      <c r="S392" s="1" t="str">
        <f t="shared" si="82"/>
        <v/>
      </c>
      <c r="T392" s="1" t="str">
        <f t="shared" si="82"/>
        <v/>
      </c>
      <c r="U392" s="1" t="str">
        <f t="shared" si="82"/>
        <v/>
      </c>
      <c r="V392" s="254" t="s">
        <v>810</v>
      </c>
      <c r="W392" s="239" t="s">
        <v>950</v>
      </c>
      <c r="X392" s="240">
        <v>1</v>
      </c>
      <c r="Y392" s="241" t="s">
        <v>82</v>
      </c>
      <c r="Z392" s="255" t="s">
        <v>810</v>
      </c>
      <c r="AA392" s="242"/>
      <c r="AB392" s="243"/>
      <c r="AC392" s="242">
        <v>215</v>
      </c>
      <c r="AD392" s="269"/>
      <c r="AE392" s="57"/>
      <c r="AF392" s="57"/>
      <c r="AG392" s="57" t="s">
        <v>77</v>
      </c>
      <c r="AH392" s="57" t="s">
        <v>77</v>
      </c>
      <c r="AI392" s="68" t="s">
        <v>83</v>
      </c>
      <c r="AJ392" s="55" t="s">
        <v>84</v>
      </c>
      <c r="AK392" s="270" t="s">
        <v>85</v>
      </c>
      <c r="AL392" s="271" t="s">
        <v>692</v>
      </c>
    </row>
    <row r="393" spans="1:38" s="168" customFormat="1" ht="25.5">
      <c r="A393" s="254" t="s">
        <v>951</v>
      </c>
      <c r="B393" s="239" t="s">
        <v>952</v>
      </c>
      <c r="C393" s="240">
        <v>1</v>
      </c>
      <c r="D393" s="241" t="s">
        <v>82</v>
      </c>
      <c r="E393" s="255" t="s">
        <v>951</v>
      </c>
      <c r="F393" s="242"/>
      <c r="G393" s="243"/>
      <c r="H393" s="242">
        <v>365</v>
      </c>
      <c r="I393" s="269"/>
      <c r="J393" s="57"/>
      <c r="K393" s="57"/>
      <c r="L393" s="57" t="s">
        <v>77</v>
      </c>
      <c r="M393" s="57" t="s">
        <v>77</v>
      </c>
      <c r="N393" s="68" t="s">
        <v>83</v>
      </c>
      <c r="O393" s="55" t="s">
        <v>84</v>
      </c>
      <c r="P393" s="270" t="s">
        <v>85</v>
      </c>
      <c r="Q393" s="271" t="s">
        <v>692</v>
      </c>
      <c r="R393" s="1" t="str">
        <f t="shared" si="82"/>
        <v/>
      </c>
      <c r="S393" s="1" t="str">
        <f t="shared" si="82"/>
        <v/>
      </c>
      <c r="T393" s="1" t="str">
        <f t="shared" si="82"/>
        <v/>
      </c>
      <c r="U393" s="1" t="str">
        <f t="shared" si="82"/>
        <v/>
      </c>
      <c r="V393" s="254" t="s">
        <v>812</v>
      </c>
      <c r="W393" s="239" t="s">
        <v>953</v>
      </c>
      <c r="X393" s="240">
        <v>1</v>
      </c>
      <c r="Y393" s="241" t="s">
        <v>82</v>
      </c>
      <c r="Z393" s="255" t="s">
        <v>812</v>
      </c>
      <c r="AA393" s="242"/>
      <c r="AB393" s="243"/>
      <c r="AC393" s="242">
        <v>365</v>
      </c>
      <c r="AD393" s="269"/>
      <c r="AE393" s="57"/>
      <c r="AF393" s="57"/>
      <c r="AG393" s="57" t="s">
        <v>77</v>
      </c>
      <c r="AH393" s="57" t="s">
        <v>77</v>
      </c>
      <c r="AI393" s="68" t="s">
        <v>83</v>
      </c>
      <c r="AJ393" s="55" t="s">
        <v>84</v>
      </c>
      <c r="AK393" s="270" t="s">
        <v>85</v>
      </c>
      <c r="AL393" s="271" t="s">
        <v>692</v>
      </c>
    </row>
    <row r="394" spans="1:38">
      <c r="A394" s="25"/>
      <c r="B394" s="431"/>
      <c r="C394" s="29"/>
      <c r="D394" s="241"/>
      <c r="E394" s="392"/>
      <c r="F394" s="35"/>
      <c r="G394" s="22"/>
      <c r="H394" s="460"/>
      <c r="I394" s="119"/>
      <c r="J394" s="120"/>
      <c r="K394" s="120"/>
      <c r="L394" s="120"/>
      <c r="M394" s="120"/>
      <c r="N394" s="68"/>
      <c r="O394" s="55"/>
      <c r="P394" s="268"/>
      <c r="Q394" s="56"/>
      <c r="R394" s="1" t="str">
        <f t="shared" si="82"/>
        <v/>
      </c>
      <c r="S394" s="1" t="str">
        <f t="shared" si="82"/>
        <v/>
      </c>
      <c r="T394" s="1" t="str">
        <f t="shared" si="82"/>
        <v/>
      </c>
      <c r="U394" s="1" t="str">
        <f t="shared" si="82"/>
        <v/>
      </c>
      <c r="V394" s="25" t="s">
        <v>814</v>
      </c>
      <c r="W394" s="26" t="s">
        <v>954</v>
      </c>
      <c r="X394" s="29">
        <v>1</v>
      </c>
      <c r="Y394" s="241" t="s">
        <v>82</v>
      </c>
      <c r="Z394" s="29" t="s">
        <v>814</v>
      </c>
      <c r="AA394" s="35"/>
      <c r="AB394" s="22"/>
      <c r="AC394" s="31">
        <v>105</v>
      </c>
      <c r="AD394" s="119"/>
      <c r="AE394" s="120"/>
      <c r="AF394" s="120"/>
      <c r="AG394" s="120" t="s">
        <v>77</v>
      </c>
      <c r="AH394" s="120" t="s">
        <v>77</v>
      </c>
      <c r="AI394" s="68" t="s">
        <v>83</v>
      </c>
      <c r="AJ394" s="55" t="s">
        <v>84</v>
      </c>
      <c r="AK394" s="268" t="s">
        <v>85</v>
      </c>
      <c r="AL394" s="56" t="s">
        <v>692</v>
      </c>
    </row>
    <row r="395" spans="1:38">
      <c r="A395" s="391"/>
      <c r="B395" s="431"/>
      <c r="C395" s="29"/>
      <c r="D395" s="241"/>
      <c r="E395" s="392"/>
      <c r="F395" s="35"/>
      <c r="G395" s="22"/>
      <c r="H395" s="31"/>
      <c r="I395" s="119"/>
      <c r="J395" s="120"/>
      <c r="K395" s="120"/>
      <c r="L395" s="120"/>
      <c r="M395" s="120"/>
      <c r="N395" s="68"/>
      <c r="O395" s="55"/>
      <c r="P395" s="268"/>
      <c r="Q395" s="56"/>
      <c r="R395" s="1" t="str">
        <f t="shared" si="82"/>
        <v/>
      </c>
      <c r="S395" s="1" t="str">
        <f t="shared" si="82"/>
        <v/>
      </c>
      <c r="T395" s="1" t="str">
        <f t="shared" si="82"/>
        <v/>
      </c>
      <c r="U395" s="1" t="str">
        <f t="shared" si="82"/>
        <v/>
      </c>
      <c r="V395" s="25" t="s">
        <v>816</v>
      </c>
      <c r="W395" s="26" t="s">
        <v>955</v>
      </c>
      <c r="X395" s="29">
        <v>1</v>
      </c>
      <c r="Y395" s="241" t="s">
        <v>82</v>
      </c>
      <c r="Z395" s="29" t="s">
        <v>816</v>
      </c>
      <c r="AA395" s="35"/>
      <c r="AB395" s="22"/>
      <c r="AC395" s="31">
        <v>183</v>
      </c>
      <c r="AD395" s="119"/>
      <c r="AE395" s="120"/>
      <c r="AF395" s="120"/>
      <c r="AG395" s="120" t="s">
        <v>77</v>
      </c>
      <c r="AH395" s="120" t="s">
        <v>77</v>
      </c>
      <c r="AI395" s="68" t="s">
        <v>83</v>
      </c>
      <c r="AJ395" s="55" t="s">
        <v>84</v>
      </c>
      <c r="AK395" s="268" t="s">
        <v>85</v>
      </c>
      <c r="AL395" s="56" t="s">
        <v>86</v>
      </c>
    </row>
    <row r="396" spans="1:38">
      <c r="A396" s="103" t="s">
        <v>956</v>
      </c>
      <c r="B396" s="104" t="s">
        <v>957</v>
      </c>
      <c r="C396" s="105">
        <v>1</v>
      </c>
      <c r="D396" s="241" t="s">
        <v>82</v>
      </c>
      <c r="E396" s="105" t="s">
        <v>956</v>
      </c>
      <c r="F396" s="108"/>
      <c r="G396" s="109"/>
      <c r="H396" s="100">
        <v>284.06</v>
      </c>
      <c r="I396" s="119"/>
      <c r="J396" s="120"/>
      <c r="K396" s="120"/>
      <c r="L396" s="120" t="s">
        <v>77</v>
      </c>
      <c r="M396" s="120" t="s">
        <v>77</v>
      </c>
      <c r="N396" s="68" t="s">
        <v>83</v>
      </c>
      <c r="O396" s="55" t="s">
        <v>84</v>
      </c>
      <c r="P396" s="268" t="s">
        <v>689</v>
      </c>
      <c r="Q396" s="56" t="s">
        <v>690</v>
      </c>
      <c r="R396" s="1" t="str">
        <f t="shared" si="82"/>
        <v/>
      </c>
      <c r="S396" s="1" t="str">
        <f t="shared" si="82"/>
        <v/>
      </c>
      <c r="T396" s="1" t="str">
        <f t="shared" si="82"/>
        <v/>
      </c>
      <c r="U396" s="1" t="str">
        <f t="shared" si="82"/>
        <v/>
      </c>
      <c r="V396" s="25" t="s">
        <v>818</v>
      </c>
      <c r="W396" s="26" t="s">
        <v>958</v>
      </c>
      <c r="X396" s="29">
        <v>1</v>
      </c>
      <c r="Y396" s="241" t="s">
        <v>82</v>
      </c>
      <c r="Z396" s="29" t="s">
        <v>818</v>
      </c>
      <c r="AA396" s="35"/>
      <c r="AB396" s="22"/>
      <c r="AC396" s="31">
        <v>92</v>
      </c>
      <c r="AD396" s="119"/>
      <c r="AE396" s="120"/>
      <c r="AF396" s="120"/>
      <c r="AG396" s="120" t="s">
        <v>77</v>
      </c>
      <c r="AH396" s="120" t="s">
        <v>77</v>
      </c>
      <c r="AI396" s="68" t="s">
        <v>83</v>
      </c>
      <c r="AJ396" s="55" t="s">
        <v>84</v>
      </c>
      <c r="AK396" s="268" t="s">
        <v>85</v>
      </c>
      <c r="AL396" s="56" t="s">
        <v>86</v>
      </c>
    </row>
    <row r="397" spans="1:38" s="168" customFormat="1">
      <c r="A397" s="231"/>
      <c r="B397" s="272"/>
      <c r="C397" s="233"/>
      <c r="D397" s="241"/>
      <c r="E397" s="233"/>
      <c r="F397" s="69"/>
      <c r="G397" s="77"/>
      <c r="H397" s="69"/>
      <c r="I397" s="269"/>
      <c r="J397" s="57"/>
      <c r="K397" s="57"/>
      <c r="L397" s="57"/>
      <c r="M397" s="57"/>
      <c r="N397" s="68"/>
      <c r="O397" s="55"/>
      <c r="P397" s="268"/>
      <c r="Q397" s="56"/>
      <c r="R397" s="1" t="str">
        <f t="shared" si="82"/>
        <v/>
      </c>
      <c r="S397" s="1" t="str">
        <f t="shared" si="82"/>
        <v/>
      </c>
      <c r="T397" s="1" t="str">
        <f t="shared" si="82"/>
        <v/>
      </c>
      <c r="U397" s="1" t="str">
        <f t="shared" si="82"/>
        <v/>
      </c>
      <c r="V397" s="231" t="s">
        <v>820</v>
      </c>
      <c r="W397" s="272" t="s">
        <v>959</v>
      </c>
      <c r="X397" s="233">
        <v>1</v>
      </c>
      <c r="Y397" s="241" t="s">
        <v>82</v>
      </c>
      <c r="Z397" s="233" t="s">
        <v>820</v>
      </c>
      <c r="AA397" s="69"/>
      <c r="AB397" s="77"/>
      <c r="AC397" s="69">
        <v>279</v>
      </c>
      <c r="AD397" s="269"/>
      <c r="AE397" s="57"/>
      <c r="AF397" s="57"/>
      <c r="AG397" s="57" t="s">
        <v>77</v>
      </c>
      <c r="AH397" s="57" t="s">
        <v>77</v>
      </c>
      <c r="AI397" s="68" t="s">
        <v>83</v>
      </c>
      <c r="AJ397" s="55" t="s">
        <v>84</v>
      </c>
      <c r="AK397" s="270" t="s">
        <v>85</v>
      </c>
      <c r="AL397" s="271" t="s">
        <v>86</v>
      </c>
    </row>
    <row r="398" spans="1:38" s="168" customFormat="1">
      <c r="A398" s="249"/>
      <c r="B398" s="214"/>
      <c r="C398" s="146"/>
      <c r="D398" s="215"/>
      <c r="E398" s="250"/>
      <c r="F398" s="215"/>
      <c r="G398" s="251"/>
      <c r="H398" s="252"/>
      <c r="I398" s="216"/>
      <c r="J398" s="253"/>
      <c r="K398" s="217"/>
      <c r="L398" s="71"/>
      <c r="M398" s="71"/>
      <c r="N398" s="260"/>
      <c r="O398" s="55"/>
      <c r="P398" s="264"/>
      <c r="Q398" s="246"/>
      <c r="R398" s="1" t="str">
        <f t="shared" si="82"/>
        <v/>
      </c>
      <c r="S398" s="1" t="str">
        <f t="shared" si="82"/>
        <v/>
      </c>
      <c r="T398" s="1" t="str">
        <f t="shared" si="82"/>
        <v/>
      </c>
      <c r="U398" s="1" t="str">
        <f t="shared" si="82"/>
        <v/>
      </c>
      <c r="V398" s="249" t="s">
        <v>960</v>
      </c>
      <c r="W398" s="214" t="s">
        <v>961</v>
      </c>
      <c r="X398" s="146">
        <v>1</v>
      </c>
      <c r="Y398" s="215" t="s">
        <v>75</v>
      </c>
      <c r="Z398" s="250" t="s">
        <v>960</v>
      </c>
      <c r="AA398" s="215">
        <v>1663.33</v>
      </c>
      <c r="AB398" s="251">
        <f>rv_im27_eg</f>
        <v>0.17199999999999999</v>
      </c>
      <c r="AC398" s="252">
        <f t="shared" ref="AC398:AC412" si="83">AA398-(AA398*AB398)</f>
        <v>1377.2372399999999</v>
      </c>
      <c r="AD398" s="216" t="s">
        <v>962</v>
      </c>
      <c r="AE398" s="253">
        <f>im27_5pl</f>
        <v>0</v>
      </c>
      <c r="AF398" s="217">
        <f>AC398+AE398</f>
        <v>1377.2372399999999</v>
      </c>
      <c r="AG398" s="71" t="s">
        <v>77</v>
      </c>
      <c r="AH398" s="71">
        <v>2.5</v>
      </c>
      <c r="AI398" s="260" t="s">
        <v>75</v>
      </c>
      <c r="AJ398" s="55" t="s">
        <v>963</v>
      </c>
      <c r="AK398" s="264" t="s">
        <v>689</v>
      </c>
      <c r="AL398" s="246" t="s">
        <v>690</v>
      </c>
    </row>
    <row r="399" spans="1:38" s="174" customFormat="1" ht="41.1" customHeight="1">
      <c r="A399" s="615"/>
      <c r="B399" s="104"/>
      <c r="C399" s="105"/>
      <c r="D399" s="106"/>
      <c r="E399" s="105"/>
      <c r="F399" s="108"/>
      <c r="G399" s="180"/>
      <c r="H399" s="100"/>
      <c r="I399" s="191"/>
      <c r="J399" s="172"/>
      <c r="K399" s="172"/>
      <c r="L399" s="120"/>
      <c r="M399" s="120"/>
      <c r="N399" s="258"/>
      <c r="O399" s="55"/>
      <c r="P399" s="265"/>
      <c r="Q399" s="203"/>
      <c r="R399" s="1" t="str">
        <f t="shared" si="82"/>
        <v/>
      </c>
      <c r="S399" s="1" t="str">
        <f t="shared" si="82"/>
        <v/>
      </c>
      <c r="T399" s="1" t="str">
        <f t="shared" si="82"/>
        <v/>
      </c>
      <c r="U399" s="1" t="str">
        <f t="shared" si="82"/>
        <v/>
      </c>
      <c r="V399" s="103" t="s">
        <v>962</v>
      </c>
      <c r="W399" s="104" t="s">
        <v>964</v>
      </c>
      <c r="X399" s="105">
        <v>1</v>
      </c>
      <c r="Y399" s="106" t="s">
        <v>82</v>
      </c>
      <c r="Z399" s="105" t="s">
        <v>962</v>
      </c>
      <c r="AA399" s="108">
        <v>71.260000000000005</v>
      </c>
      <c r="AB399" s="180">
        <v>0.17199999999999999</v>
      </c>
      <c r="AC399" s="100">
        <f t="shared" si="83"/>
        <v>59.003280000000004</v>
      </c>
      <c r="AD399" s="191"/>
      <c r="AE399" s="172"/>
      <c r="AF399" s="172"/>
      <c r="AG399" s="120" t="s">
        <v>77</v>
      </c>
      <c r="AH399" s="120" t="s">
        <v>77</v>
      </c>
      <c r="AI399" s="258" t="s">
        <v>83</v>
      </c>
      <c r="AJ399" s="55" t="s">
        <v>84</v>
      </c>
      <c r="AK399" s="265" t="s">
        <v>85</v>
      </c>
      <c r="AL399" s="203" t="s">
        <v>692</v>
      </c>
    </row>
    <row r="400" spans="1:38" s="121" customFormat="1">
      <c r="A400" s="113"/>
      <c r="B400" s="114"/>
      <c r="C400" s="115"/>
      <c r="D400" s="116"/>
      <c r="E400" s="117"/>
      <c r="F400" s="35"/>
      <c r="G400" s="102"/>
      <c r="H400" s="31"/>
      <c r="I400" s="192"/>
      <c r="J400" s="120"/>
      <c r="K400" s="120"/>
      <c r="L400" s="120"/>
      <c r="M400" s="120"/>
      <c r="N400" s="262"/>
      <c r="O400" s="55"/>
      <c r="P400" s="264"/>
      <c r="Q400" s="246"/>
      <c r="R400" s="1" t="str">
        <f t="shared" si="82"/>
        <v/>
      </c>
      <c r="S400" s="1" t="str">
        <f t="shared" si="82"/>
        <v/>
      </c>
      <c r="T400" s="1" t="str">
        <f t="shared" si="82"/>
        <v/>
      </c>
      <c r="U400" s="1" t="str">
        <f t="shared" si="82"/>
        <v/>
      </c>
      <c r="V400" s="113" t="s">
        <v>965</v>
      </c>
      <c r="W400" s="114" t="s">
        <v>966</v>
      </c>
      <c r="X400" s="115">
        <v>1</v>
      </c>
      <c r="Y400" s="116" t="s">
        <v>75</v>
      </c>
      <c r="Z400" s="117" t="s">
        <v>77</v>
      </c>
      <c r="AA400" s="35">
        <v>287.5</v>
      </c>
      <c r="AB400" s="102">
        <f t="shared" ref="AB400:AB410" si="84">rv_im27_eg_cto</f>
        <v>0.17199999999999999</v>
      </c>
      <c r="AC400" s="31">
        <f t="shared" si="83"/>
        <v>238.05</v>
      </c>
      <c r="AD400" s="192"/>
      <c r="AE400" s="120"/>
      <c r="AF400" s="120"/>
      <c r="AG400" s="120" t="s">
        <v>77</v>
      </c>
      <c r="AH400" s="120" t="s">
        <v>77</v>
      </c>
      <c r="AI400" s="262" t="s">
        <v>75</v>
      </c>
      <c r="AJ400" s="55" t="s">
        <v>963</v>
      </c>
      <c r="AK400" s="265" t="s">
        <v>689</v>
      </c>
      <c r="AL400" s="203" t="s">
        <v>89</v>
      </c>
    </row>
    <row r="401" spans="1:38" s="121" customFormat="1">
      <c r="A401" s="113"/>
      <c r="B401" s="114"/>
      <c r="C401" s="115"/>
      <c r="D401" s="116"/>
      <c r="E401" s="117"/>
      <c r="F401" s="35"/>
      <c r="G401" s="102"/>
      <c r="H401" s="31"/>
      <c r="I401" s="192"/>
      <c r="J401" s="120"/>
      <c r="K401" s="120"/>
      <c r="L401" s="120"/>
      <c r="M401" s="120"/>
      <c r="N401" s="262"/>
      <c r="O401" s="55"/>
      <c r="P401" s="264"/>
      <c r="Q401" s="246"/>
      <c r="R401" s="1" t="str">
        <f t="shared" si="82"/>
        <v/>
      </c>
      <c r="S401" s="1" t="str">
        <f t="shared" si="82"/>
        <v/>
      </c>
      <c r="T401" s="1" t="str">
        <f t="shared" si="82"/>
        <v/>
      </c>
      <c r="U401" s="1" t="str">
        <f t="shared" si="82"/>
        <v/>
      </c>
      <c r="V401" s="113" t="s">
        <v>967</v>
      </c>
      <c r="W401" s="114" t="s">
        <v>968</v>
      </c>
      <c r="X401" s="115">
        <v>1</v>
      </c>
      <c r="Y401" s="116" t="s">
        <v>75</v>
      </c>
      <c r="Z401" s="117" t="s">
        <v>77</v>
      </c>
      <c r="AA401" s="35">
        <v>191.67</v>
      </c>
      <c r="AB401" s="102">
        <f t="shared" si="84"/>
        <v>0.17199999999999999</v>
      </c>
      <c r="AC401" s="31">
        <f t="shared" si="83"/>
        <v>158.70275999999998</v>
      </c>
      <c r="AD401" s="192"/>
      <c r="AE401" s="120"/>
      <c r="AF401" s="120"/>
      <c r="AG401" s="120" t="s">
        <v>77</v>
      </c>
      <c r="AH401" s="120" t="s">
        <v>77</v>
      </c>
      <c r="AI401" s="262" t="s">
        <v>75</v>
      </c>
      <c r="AJ401" s="55" t="s">
        <v>963</v>
      </c>
      <c r="AK401" s="265" t="s">
        <v>689</v>
      </c>
      <c r="AL401" s="203" t="s">
        <v>89</v>
      </c>
    </row>
    <row r="402" spans="1:38" s="121" customFormat="1">
      <c r="A402" s="113"/>
      <c r="B402" s="114"/>
      <c r="C402" s="115"/>
      <c r="D402" s="116"/>
      <c r="E402" s="117"/>
      <c r="F402" s="35"/>
      <c r="G402" s="102"/>
      <c r="H402" s="31"/>
      <c r="I402" s="192"/>
      <c r="J402" s="120"/>
      <c r="K402" s="120"/>
      <c r="L402" s="120"/>
      <c r="M402" s="120"/>
      <c r="N402" s="262"/>
      <c r="O402" s="55"/>
      <c r="P402" s="264"/>
      <c r="Q402" s="246"/>
      <c r="R402" s="1" t="str">
        <f t="shared" si="82"/>
        <v/>
      </c>
      <c r="S402" s="1" t="str">
        <f t="shared" si="82"/>
        <v/>
      </c>
      <c r="T402" s="1" t="str">
        <f t="shared" si="82"/>
        <v/>
      </c>
      <c r="U402" s="1" t="str">
        <f t="shared" si="82"/>
        <v/>
      </c>
      <c r="V402" s="113" t="s">
        <v>969</v>
      </c>
      <c r="W402" s="114" t="s">
        <v>970</v>
      </c>
      <c r="X402" s="115">
        <v>1</v>
      </c>
      <c r="Y402" s="116" t="s">
        <v>75</v>
      </c>
      <c r="Z402" s="117" t="s">
        <v>77</v>
      </c>
      <c r="AA402" s="35">
        <v>575</v>
      </c>
      <c r="AB402" s="102">
        <f t="shared" si="84"/>
        <v>0.17199999999999999</v>
      </c>
      <c r="AC402" s="31">
        <f t="shared" si="83"/>
        <v>476.1</v>
      </c>
      <c r="AD402" s="192"/>
      <c r="AE402" s="120"/>
      <c r="AF402" s="120"/>
      <c r="AG402" s="120" t="s">
        <v>77</v>
      </c>
      <c r="AH402" s="120" t="s">
        <v>77</v>
      </c>
      <c r="AI402" s="262" t="s">
        <v>75</v>
      </c>
      <c r="AJ402" s="55" t="s">
        <v>963</v>
      </c>
      <c r="AK402" s="265" t="s">
        <v>689</v>
      </c>
      <c r="AL402" s="203" t="s">
        <v>89</v>
      </c>
    </row>
    <row r="403" spans="1:38" s="121" customFormat="1">
      <c r="A403" s="113"/>
      <c r="B403" s="114"/>
      <c r="C403" s="115"/>
      <c r="D403" s="116"/>
      <c r="E403" s="117"/>
      <c r="F403" s="35"/>
      <c r="G403" s="102"/>
      <c r="H403" s="31"/>
      <c r="I403" s="192"/>
      <c r="J403" s="120"/>
      <c r="K403" s="120"/>
      <c r="L403" s="120"/>
      <c r="M403" s="120"/>
      <c r="N403" s="262"/>
      <c r="O403" s="55"/>
      <c r="P403" s="264"/>
      <c r="Q403" s="246"/>
      <c r="R403" s="1" t="str">
        <f t="shared" si="82"/>
        <v/>
      </c>
      <c r="S403" s="1" t="str">
        <f t="shared" si="82"/>
        <v/>
      </c>
      <c r="T403" s="1" t="str">
        <f t="shared" si="82"/>
        <v/>
      </c>
      <c r="U403" s="1" t="str">
        <f t="shared" si="82"/>
        <v/>
      </c>
      <c r="V403" s="113" t="s">
        <v>971</v>
      </c>
      <c r="W403" s="114" t="s">
        <v>972</v>
      </c>
      <c r="X403" s="115">
        <v>1</v>
      </c>
      <c r="Y403" s="116" t="s">
        <v>75</v>
      </c>
      <c r="Z403" s="117" t="s">
        <v>77</v>
      </c>
      <c r="AA403" s="35">
        <v>958.33</v>
      </c>
      <c r="AB403" s="102">
        <f t="shared" si="84"/>
        <v>0.17199999999999999</v>
      </c>
      <c r="AC403" s="31">
        <f t="shared" si="83"/>
        <v>793.49724000000003</v>
      </c>
      <c r="AD403" s="192"/>
      <c r="AE403" s="120"/>
      <c r="AF403" s="120"/>
      <c r="AG403" s="120" t="s">
        <v>77</v>
      </c>
      <c r="AH403" s="120" t="s">
        <v>77</v>
      </c>
      <c r="AI403" s="262" t="s">
        <v>75</v>
      </c>
      <c r="AJ403" s="55" t="s">
        <v>963</v>
      </c>
      <c r="AK403" s="265" t="s">
        <v>689</v>
      </c>
      <c r="AL403" s="203" t="s">
        <v>89</v>
      </c>
    </row>
    <row r="404" spans="1:38" s="121" customFormat="1">
      <c r="A404" s="113"/>
      <c r="B404" s="114"/>
      <c r="C404" s="115"/>
      <c r="D404" s="116"/>
      <c r="E404" s="117"/>
      <c r="F404" s="35"/>
      <c r="G404" s="102"/>
      <c r="H404" s="31"/>
      <c r="I404" s="192"/>
      <c r="J404" s="120"/>
      <c r="K404" s="120"/>
      <c r="L404" s="120"/>
      <c r="M404" s="120"/>
      <c r="N404" s="262"/>
      <c r="O404" s="55"/>
      <c r="P404" s="264"/>
      <c r="Q404" s="246"/>
      <c r="R404" s="1" t="str">
        <f t="shared" si="82"/>
        <v/>
      </c>
      <c r="S404" s="1" t="str">
        <f t="shared" si="82"/>
        <v/>
      </c>
      <c r="T404" s="1" t="str">
        <f t="shared" si="82"/>
        <v/>
      </c>
      <c r="U404" s="1" t="str">
        <f t="shared" si="82"/>
        <v/>
      </c>
      <c r="V404" s="113" t="s">
        <v>973</v>
      </c>
      <c r="W404" s="114" t="s">
        <v>974</v>
      </c>
      <c r="X404" s="115">
        <v>1</v>
      </c>
      <c r="Y404" s="116" t="s">
        <v>75</v>
      </c>
      <c r="Z404" s="117" t="s">
        <v>77</v>
      </c>
      <c r="AA404" s="35">
        <v>2491.67</v>
      </c>
      <c r="AB404" s="102">
        <f t="shared" ref="AB404:AB405" si="85">rv_im21_hg_cto</f>
        <v>0.17199999999999999</v>
      </c>
      <c r="AC404" s="31">
        <f t="shared" si="83"/>
        <v>2063.1027600000002</v>
      </c>
      <c r="AD404" s="192"/>
      <c r="AE404" s="120"/>
      <c r="AF404" s="120"/>
      <c r="AG404" s="120" t="s">
        <v>77</v>
      </c>
      <c r="AH404" s="120" t="s">
        <v>77</v>
      </c>
      <c r="AI404" s="262" t="s">
        <v>75</v>
      </c>
      <c r="AJ404" s="55" t="s">
        <v>963</v>
      </c>
      <c r="AK404" s="265" t="s">
        <v>689</v>
      </c>
      <c r="AL404" s="203" t="s">
        <v>89</v>
      </c>
    </row>
    <row r="405" spans="1:38" s="121" customFormat="1">
      <c r="A405" s="113"/>
      <c r="B405" s="114"/>
      <c r="C405" s="115"/>
      <c r="D405" s="116"/>
      <c r="E405" s="117"/>
      <c r="F405" s="35"/>
      <c r="G405" s="102"/>
      <c r="H405" s="31"/>
      <c r="I405" s="192"/>
      <c r="J405" s="120"/>
      <c r="K405" s="120"/>
      <c r="L405" s="120"/>
      <c r="M405" s="120"/>
      <c r="N405" s="262"/>
      <c r="O405" s="55"/>
      <c r="P405" s="264"/>
      <c r="Q405" s="246"/>
      <c r="R405" s="1" t="str">
        <f t="shared" si="82"/>
        <v/>
      </c>
      <c r="S405" s="1" t="str">
        <f t="shared" si="82"/>
        <v/>
      </c>
      <c r="T405" s="1" t="str">
        <f t="shared" si="82"/>
        <v/>
      </c>
      <c r="U405" s="1" t="str">
        <f t="shared" si="82"/>
        <v/>
      </c>
      <c r="V405" s="113" t="s">
        <v>975</v>
      </c>
      <c r="W405" s="114" t="s">
        <v>976</v>
      </c>
      <c r="X405" s="115">
        <v>1</v>
      </c>
      <c r="Y405" s="116" t="s">
        <v>75</v>
      </c>
      <c r="Z405" s="117" t="s">
        <v>77</v>
      </c>
      <c r="AA405" s="35">
        <v>95.83</v>
      </c>
      <c r="AB405" s="102">
        <f t="shared" si="85"/>
        <v>0.17199999999999999</v>
      </c>
      <c r="AC405" s="31">
        <f t="shared" si="83"/>
        <v>79.347239999999999</v>
      </c>
      <c r="AD405" s="192"/>
      <c r="AE405" s="120"/>
      <c r="AF405" s="120"/>
      <c r="AG405" s="120" t="s">
        <v>77</v>
      </c>
      <c r="AH405" s="120" t="s">
        <v>77</v>
      </c>
      <c r="AI405" s="262" t="s">
        <v>75</v>
      </c>
      <c r="AJ405" s="55" t="s">
        <v>963</v>
      </c>
      <c r="AK405" s="265" t="s">
        <v>689</v>
      </c>
      <c r="AL405" s="203" t="s">
        <v>89</v>
      </c>
    </row>
    <row r="406" spans="1:38" s="121" customFormat="1">
      <c r="A406" s="113"/>
      <c r="B406" s="114"/>
      <c r="C406" s="115"/>
      <c r="D406" s="116"/>
      <c r="E406" s="117"/>
      <c r="F406" s="35"/>
      <c r="G406" s="102"/>
      <c r="H406" s="31"/>
      <c r="I406" s="192"/>
      <c r="J406" s="120"/>
      <c r="K406" s="120"/>
      <c r="L406" s="120"/>
      <c r="M406" s="120"/>
      <c r="N406" s="262"/>
      <c r="O406" s="55"/>
      <c r="P406" s="264"/>
      <c r="Q406" s="246"/>
      <c r="R406" s="1" t="str">
        <f t="shared" si="82"/>
        <v/>
      </c>
      <c r="S406" s="1" t="str">
        <f t="shared" si="82"/>
        <v/>
      </c>
      <c r="T406" s="1" t="str">
        <f t="shared" si="82"/>
        <v/>
      </c>
      <c r="U406" s="1" t="str">
        <f t="shared" si="82"/>
        <v/>
      </c>
      <c r="V406" s="113" t="s">
        <v>977</v>
      </c>
      <c r="W406" s="114" t="s">
        <v>978</v>
      </c>
      <c r="X406" s="115">
        <v>1</v>
      </c>
      <c r="Y406" s="116" t="s">
        <v>75</v>
      </c>
      <c r="Z406" s="117" t="s">
        <v>77</v>
      </c>
      <c r="AA406" s="35">
        <v>41.67</v>
      </c>
      <c r="AB406" s="102">
        <f t="shared" si="84"/>
        <v>0.17199999999999999</v>
      </c>
      <c r="AC406" s="31">
        <f t="shared" si="83"/>
        <v>34.502760000000002</v>
      </c>
      <c r="AD406" s="192"/>
      <c r="AE406" s="120"/>
      <c r="AF406" s="120"/>
      <c r="AG406" s="120"/>
      <c r="AH406" s="120"/>
      <c r="AI406" s="262" t="s">
        <v>75</v>
      </c>
      <c r="AJ406" s="55" t="s">
        <v>963</v>
      </c>
      <c r="AK406" s="265" t="s">
        <v>689</v>
      </c>
      <c r="AL406" s="203" t="s">
        <v>89</v>
      </c>
    </row>
    <row r="407" spans="1:38" s="121" customFormat="1">
      <c r="A407" s="113"/>
      <c r="B407" s="114"/>
      <c r="C407" s="115"/>
      <c r="D407" s="116"/>
      <c r="E407" s="117"/>
      <c r="F407" s="35"/>
      <c r="G407" s="102"/>
      <c r="H407" s="31"/>
      <c r="I407" s="192"/>
      <c r="J407" s="120"/>
      <c r="K407" s="120"/>
      <c r="L407" s="120"/>
      <c r="M407" s="120"/>
      <c r="N407" s="262"/>
      <c r="O407" s="55"/>
      <c r="P407" s="264"/>
      <c r="Q407" s="246"/>
      <c r="R407" s="1" t="str">
        <f t="shared" si="82"/>
        <v/>
      </c>
      <c r="S407" s="1" t="str">
        <f t="shared" si="82"/>
        <v/>
      </c>
      <c r="T407" s="1" t="str">
        <f t="shared" si="82"/>
        <v/>
      </c>
      <c r="U407" s="1" t="str">
        <f t="shared" si="82"/>
        <v/>
      </c>
      <c r="V407" s="113" t="s">
        <v>979</v>
      </c>
      <c r="W407" s="114" t="s">
        <v>980</v>
      </c>
      <c r="X407" s="115">
        <v>1</v>
      </c>
      <c r="Y407" s="116" t="s">
        <v>75</v>
      </c>
      <c r="Z407" s="117" t="s">
        <v>77</v>
      </c>
      <c r="AA407" s="35">
        <v>112.5</v>
      </c>
      <c r="AB407" s="102">
        <f t="shared" si="84"/>
        <v>0.17199999999999999</v>
      </c>
      <c r="AC407" s="31">
        <f t="shared" si="83"/>
        <v>93.15</v>
      </c>
      <c r="AD407" s="192"/>
      <c r="AE407" s="120"/>
      <c r="AF407" s="120"/>
      <c r="AG407" s="120"/>
      <c r="AH407" s="120"/>
      <c r="AI407" s="262" t="s">
        <v>75</v>
      </c>
      <c r="AJ407" s="55" t="s">
        <v>963</v>
      </c>
      <c r="AK407" s="265" t="s">
        <v>689</v>
      </c>
      <c r="AL407" s="203" t="s">
        <v>89</v>
      </c>
    </row>
    <row r="408" spans="1:38" s="121" customFormat="1">
      <c r="A408" s="113"/>
      <c r="B408" s="114"/>
      <c r="C408" s="115"/>
      <c r="D408" s="116"/>
      <c r="E408" s="117"/>
      <c r="F408" s="35"/>
      <c r="G408" s="102"/>
      <c r="H408" s="31"/>
      <c r="I408" s="192"/>
      <c r="J408" s="120"/>
      <c r="K408" s="120"/>
      <c r="L408" s="120"/>
      <c r="M408" s="120"/>
      <c r="N408" s="262"/>
      <c r="O408" s="55"/>
      <c r="P408" s="264"/>
      <c r="Q408" s="246"/>
      <c r="R408" s="1" t="str">
        <f t="shared" si="82"/>
        <v/>
      </c>
      <c r="S408" s="1" t="str">
        <f t="shared" si="82"/>
        <v/>
      </c>
      <c r="T408" s="1" t="str">
        <f t="shared" si="82"/>
        <v/>
      </c>
      <c r="U408" s="1" t="str">
        <f t="shared" si="82"/>
        <v/>
      </c>
      <c r="V408" s="113" t="s">
        <v>981</v>
      </c>
      <c r="W408" s="114" t="s">
        <v>982</v>
      </c>
      <c r="X408" s="115">
        <v>1</v>
      </c>
      <c r="Y408" s="116" t="s">
        <v>75</v>
      </c>
      <c r="Z408" s="117" t="s">
        <v>77</v>
      </c>
      <c r="AA408" s="35">
        <v>21.67</v>
      </c>
      <c r="AB408" s="102">
        <f t="shared" si="84"/>
        <v>0.17199999999999999</v>
      </c>
      <c r="AC408" s="31">
        <f t="shared" si="83"/>
        <v>17.94276</v>
      </c>
      <c r="AD408" s="192"/>
      <c r="AE408" s="120"/>
      <c r="AF408" s="120"/>
      <c r="AG408" s="120"/>
      <c r="AH408" s="120"/>
      <c r="AI408" s="262" t="s">
        <v>75</v>
      </c>
      <c r="AJ408" s="55" t="s">
        <v>963</v>
      </c>
      <c r="AK408" s="265" t="s">
        <v>689</v>
      </c>
      <c r="AL408" s="203" t="s">
        <v>89</v>
      </c>
    </row>
    <row r="409" spans="1:38" s="121" customFormat="1">
      <c r="A409" s="113"/>
      <c r="B409" s="114"/>
      <c r="C409" s="115"/>
      <c r="D409" s="116"/>
      <c r="E409" s="117"/>
      <c r="F409" s="35"/>
      <c r="G409" s="102"/>
      <c r="H409" s="31"/>
      <c r="I409" s="192"/>
      <c r="J409" s="120"/>
      <c r="K409" s="120"/>
      <c r="L409" s="120"/>
      <c r="M409" s="120"/>
      <c r="N409" s="262"/>
      <c r="O409" s="55"/>
      <c r="P409" s="264"/>
      <c r="Q409" s="246"/>
      <c r="R409" s="1" t="str">
        <f t="shared" si="82"/>
        <v/>
      </c>
      <c r="S409" s="1" t="str">
        <f t="shared" si="82"/>
        <v/>
      </c>
      <c r="T409" s="1" t="str">
        <f t="shared" si="82"/>
        <v/>
      </c>
      <c r="U409" s="1" t="str">
        <f t="shared" si="82"/>
        <v/>
      </c>
      <c r="V409" s="113" t="s">
        <v>983</v>
      </c>
      <c r="W409" s="114" t="s">
        <v>984</v>
      </c>
      <c r="X409" s="115">
        <v>1</v>
      </c>
      <c r="Y409" s="116" t="s">
        <v>75</v>
      </c>
      <c r="Z409" s="117" t="s">
        <v>77</v>
      </c>
      <c r="AA409" s="35">
        <v>21.67</v>
      </c>
      <c r="AB409" s="102">
        <f t="shared" si="84"/>
        <v>0.17199999999999999</v>
      </c>
      <c r="AC409" s="31">
        <f t="shared" si="83"/>
        <v>17.94276</v>
      </c>
      <c r="AD409" s="192"/>
      <c r="AE409" s="120"/>
      <c r="AF409" s="120"/>
      <c r="AG409" s="120"/>
      <c r="AH409" s="120"/>
      <c r="AI409" s="262" t="s">
        <v>75</v>
      </c>
      <c r="AJ409" s="55" t="s">
        <v>963</v>
      </c>
      <c r="AK409" s="265" t="s">
        <v>689</v>
      </c>
      <c r="AL409" s="203" t="s">
        <v>89</v>
      </c>
    </row>
    <row r="410" spans="1:38" s="121" customFormat="1">
      <c r="A410" s="113"/>
      <c r="B410" s="114"/>
      <c r="C410" s="115"/>
      <c r="D410" s="116"/>
      <c r="E410" s="117"/>
      <c r="F410" s="35"/>
      <c r="G410" s="102"/>
      <c r="H410" s="31"/>
      <c r="I410" s="192"/>
      <c r="J410" s="120"/>
      <c r="K410" s="120"/>
      <c r="L410" s="120"/>
      <c r="M410" s="120"/>
      <c r="N410" s="262"/>
      <c r="O410" s="55"/>
      <c r="P410" s="264"/>
      <c r="Q410" s="246"/>
      <c r="R410" s="1" t="str">
        <f t="shared" si="82"/>
        <v/>
      </c>
      <c r="S410" s="1" t="str">
        <f t="shared" si="82"/>
        <v/>
      </c>
      <c r="T410" s="1" t="str">
        <f t="shared" si="82"/>
        <v/>
      </c>
      <c r="U410" s="1" t="str">
        <f t="shared" si="82"/>
        <v/>
      </c>
      <c r="V410" s="113" t="s">
        <v>985</v>
      </c>
      <c r="W410" s="114" t="s">
        <v>986</v>
      </c>
      <c r="X410" s="115">
        <v>1</v>
      </c>
      <c r="Y410" s="116" t="s">
        <v>75</v>
      </c>
      <c r="Z410" s="117" t="s">
        <v>77</v>
      </c>
      <c r="AA410" s="35">
        <v>21.67</v>
      </c>
      <c r="AB410" s="102">
        <f t="shared" si="84"/>
        <v>0.17199999999999999</v>
      </c>
      <c r="AC410" s="31">
        <f t="shared" si="83"/>
        <v>17.94276</v>
      </c>
      <c r="AD410" s="192"/>
      <c r="AE410" s="120"/>
      <c r="AF410" s="120"/>
      <c r="AG410" s="120"/>
      <c r="AH410" s="120"/>
      <c r="AI410" s="262" t="s">
        <v>75</v>
      </c>
      <c r="AJ410" s="55" t="s">
        <v>963</v>
      </c>
      <c r="AK410" s="265" t="s">
        <v>689</v>
      </c>
      <c r="AL410" s="203" t="s">
        <v>89</v>
      </c>
    </row>
    <row r="411" spans="1:38" s="121" customFormat="1">
      <c r="A411" s="113"/>
      <c r="B411" s="114"/>
      <c r="C411" s="115"/>
      <c r="D411" s="116"/>
      <c r="E411" s="117"/>
      <c r="F411" s="116"/>
      <c r="G411" s="138"/>
      <c r="H411" s="119"/>
      <c r="I411" s="192"/>
      <c r="J411" s="120"/>
      <c r="K411" s="120"/>
      <c r="L411" s="120"/>
      <c r="M411" s="120"/>
      <c r="N411" s="262"/>
      <c r="O411" s="55"/>
      <c r="P411" s="264"/>
      <c r="Q411" s="246"/>
      <c r="R411" s="1" t="str">
        <f t="shared" si="82"/>
        <v/>
      </c>
      <c r="S411" s="1" t="str">
        <f t="shared" si="82"/>
        <v/>
      </c>
      <c r="T411" s="1" t="str">
        <f t="shared" si="82"/>
        <v/>
      </c>
      <c r="U411" s="1" t="str">
        <f t="shared" si="82"/>
        <v/>
      </c>
      <c r="V411" s="113" t="s">
        <v>987</v>
      </c>
      <c r="W411" s="114" t="s">
        <v>988</v>
      </c>
      <c r="X411" s="115">
        <v>1</v>
      </c>
      <c r="Y411" s="116" t="s">
        <v>75</v>
      </c>
      <c r="Z411" s="117" t="s">
        <v>77</v>
      </c>
      <c r="AA411" s="116"/>
      <c r="AB411" s="138"/>
      <c r="AC411" s="119">
        <f t="shared" si="83"/>
        <v>0</v>
      </c>
      <c r="AD411" s="192"/>
      <c r="AE411" s="120"/>
      <c r="AF411" s="120"/>
      <c r="AG411" s="120"/>
      <c r="AH411" s="120"/>
      <c r="AI411" s="262" t="s">
        <v>75</v>
      </c>
      <c r="AJ411" s="55" t="s">
        <v>963</v>
      </c>
      <c r="AK411" s="265" t="s">
        <v>689</v>
      </c>
      <c r="AL411" s="203" t="s">
        <v>89</v>
      </c>
    </row>
    <row r="412" spans="1:38" s="121" customFormat="1">
      <c r="A412" s="113"/>
      <c r="B412" s="114"/>
      <c r="C412" s="115"/>
      <c r="D412" s="116"/>
      <c r="E412" s="117"/>
      <c r="F412" s="116"/>
      <c r="G412" s="138"/>
      <c r="H412" s="119"/>
      <c r="I412" s="192"/>
      <c r="J412" s="120"/>
      <c r="K412" s="120"/>
      <c r="L412" s="120"/>
      <c r="M412" s="120"/>
      <c r="N412" s="262"/>
      <c r="O412" s="55"/>
      <c r="P412" s="264"/>
      <c r="Q412" s="246"/>
      <c r="R412" s="1" t="str">
        <f t="shared" si="82"/>
        <v/>
      </c>
      <c r="S412" s="1" t="str">
        <f t="shared" si="82"/>
        <v/>
      </c>
      <c r="T412" s="1" t="str">
        <f t="shared" si="82"/>
        <v/>
      </c>
      <c r="U412" s="1" t="str">
        <f t="shared" si="82"/>
        <v/>
      </c>
      <c r="V412" s="113" t="s">
        <v>989</v>
      </c>
      <c r="W412" s="114" t="s">
        <v>990</v>
      </c>
      <c r="X412" s="115">
        <v>1</v>
      </c>
      <c r="Y412" s="116" t="s">
        <v>75</v>
      </c>
      <c r="Z412" s="117" t="s">
        <v>77</v>
      </c>
      <c r="AA412" s="116"/>
      <c r="AB412" s="138"/>
      <c r="AC412" s="119">
        <f t="shared" si="83"/>
        <v>0</v>
      </c>
      <c r="AD412" s="192"/>
      <c r="AE412" s="120"/>
      <c r="AF412" s="120"/>
      <c r="AG412" s="120"/>
      <c r="AH412" s="120"/>
      <c r="AI412" s="262" t="s">
        <v>75</v>
      </c>
      <c r="AJ412" s="55" t="s">
        <v>963</v>
      </c>
      <c r="AK412" s="265" t="s">
        <v>689</v>
      </c>
      <c r="AL412" s="203" t="s">
        <v>89</v>
      </c>
    </row>
    <row r="413" spans="1:38">
      <c r="A413" s="103"/>
      <c r="B413" s="104"/>
      <c r="C413" s="105"/>
      <c r="D413" s="106"/>
      <c r="E413" s="105"/>
      <c r="F413" s="108"/>
      <c r="G413" s="109"/>
      <c r="H413" s="100"/>
      <c r="I413" s="185"/>
      <c r="J413" s="17"/>
      <c r="K413" s="17"/>
      <c r="L413" s="17"/>
      <c r="M413" s="17"/>
      <c r="N413" s="258"/>
      <c r="O413" s="55"/>
      <c r="P413" s="230"/>
      <c r="Q413" s="205"/>
      <c r="R413" s="1" t="str">
        <f t="shared" si="82"/>
        <v/>
      </c>
      <c r="S413" s="1" t="str">
        <f t="shared" si="82"/>
        <v/>
      </c>
      <c r="T413" s="1" t="str">
        <f t="shared" si="82"/>
        <v/>
      </c>
      <c r="U413" s="1" t="str">
        <f t="shared" si="82"/>
        <v/>
      </c>
      <c r="V413" s="103" t="s">
        <v>991</v>
      </c>
      <c r="W413" s="104" t="s">
        <v>992</v>
      </c>
      <c r="X413" s="105">
        <v>1</v>
      </c>
      <c r="Y413" s="106" t="s">
        <v>82</v>
      </c>
      <c r="Z413" s="105" t="s">
        <v>991</v>
      </c>
      <c r="AA413" s="108"/>
      <c r="AB413" s="109"/>
      <c r="AC413" s="100">
        <v>11</v>
      </c>
      <c r="AD413" s="185"/>
      <c r="AE413" s="17"/>
      <c r="AF413" s="17"/>
      <c r="AG413" s="17" t="s">
        <v>77</v>
      </c>
      <c r="AH413" s="17" t="s">
        <v>77</v>
      </c>
      <c r="AI413" s="258" t="s">
        <v>83</v>
      </c>
      <c r="AJ413" s="55" t="s">
        <v>84</v>
      </c>
      <c r="AK413" s="230" t="s">
        <v>85</v>
      </c>
      <c r="AL413" s="205" t="s">
        <v>692</v>
      </c>
    </row>
    <row r="414" spans="1:38">
      <c r="A414" s="103"/>
      <c r="B414" s="104"/>
      <c r="C414" s="105"/>
      <c r="D414" s="106"/>
      <c r="E414" s="105"/>
      <c r="F414" s="108"/>
      <c r="G414" s="109"/>
      <c r="H414" s="100"/>
      <c r="I414" s="185"/>
      <c r="J414" s="17"/>
      <c r="K414" s="17"/>
      <c r="L414" s="17"/>
      <c r="M414" s="17"/>
      <c r="N414" s="258"/>
      <c r="O414" s="55"/>
      <c r="P414" s="230"/>
      <c r="Q414" s="205"/>
      <c r="R414" s="1" t="str">
        <f t="shared" si="82"/>
        <v/>
      </c>
      <c r="S414" s="1" t="str">
        <f t="shared" si="82"/>
        <v/>
      </c>
      <c r="T414" s="1" t="str">
        <f t="shared" si="82"/>
        <v/>
      </c>
      <c r="U414" s="1" t="str">
        <f t="shared" si="82"/>
        <v/>
      </c>
      <c r="V414" s="103" t="s">
        <v>993</v>
      </c>
      <c r="W414" s="104" t="s">
        <v>994</v>
      </c>
      <c r="X414" s="105">
        <v>1</v>
      </c>
      <c r="Y414" s="106" t="s">
        <v>82</v>
      </c>
      <c r="Z414" s="105" t="s">
        <v>993</v>
      </c>
      <c r="AA414" s="108"/>
      <c r="AB414" s="109"/>
      <c r="AC414" s="100">
        <v>16</v>
      </c>
      <c r="AD414" s="185"/>
      <c r="AE414" s="17"/>
      <c r="AF414" s="17"/>
      <c r="AG414" s="17" t="s">
        <v>77</v>
      </c>
      <c r="AH414" s="17" t="s">
        <v>77</v>
      </c>
      <c r="AI414" s="258" t="s">
        <v>83</v>
      </c>
      <c r="AJ414" s="55" t="s">
        <v>84</v>
      </c>
      <c r="AK414" s="230" t="s">
        <v>85</v>
      </c>
      <c r="AL414" s="205" t="s">
        <v>692</v>
      </c>
    </row>
    <row r="415" spans="1:38">
      <c r="A415" s="103"/>
      <c r="B415" s="104"/>
      <c r="C415" s="105"/>
      <c r="D415" s="106"/>
      <c r="E415" s="105"/>
      <c r="F415" s="108"/>
      <c r="G415" s="109"/>
      <c r="H415" s="100"/>
      <c r="I415" s="185"/>
      <c r="J415" s="17"/>
      <c r="K415" s="17"/>
      <c r="L415" s="17"/>
      <c r="M415" s="17"/>
      <c r="N415" s="258"/>
      <c r="O415" s="55"/>
      <c r="P415" s="230"/>
      <c r="Q415" s="205"/>
      <c r="R415" s="1" t="str">
        <f t="shared" si="82"/>
        <v/>
      </c>
      <c r="S415" s="1" t="str">
        <f t="shared" si="82"/>
        <v/>
      </c>
      <c r="T415" s="1" t="str">
        <f t="shared" si="82"/>
        <v/>
      </c>
      <c r="U415" s="1" t="str">
        <f t="shared" si="82"/>
        <v/>
      </c>
      <c r="V415" s="103" t="s">
        <v>995</v>
      </c>
      <c r="W415" s="104" t="s">
        <v>996</v>
      </c>
      <c r="X415" s="105">
        <v>1</v>
      </c>
      <c r="Y415" s="106" t="s">
        <v>82</v>
      </c>
      <c r="Z415" s="105" t="s">
        <v>995</v>
      </c>
      <c r="AA415" s="108"/>
      <c r="AB415" s="109"/>
      <c r="AC415" s="100">
        <v>61</v>
      </c>
      <c r="AD415" s="185"/>
      <c r="AE415" s="17"/>
      <c r="AF415" s="17"/>
      <c r="AG415" s="17" t="s">
        <v>77</v>
      </c>
      <c r="AH415" s="17" t="s">
        <v>77</v>
      </c>
      <c r="AI415" s="258" t="s">
        <v>83</v>
      </c>
      <c r="AJ415" s="55" t="s">
        <v>84</v>
      </c>
      <c r="AK415" s="230" t="s">
        <v>85</v>
      </c>
      <c r="AL415" s="205" t="s">
        <v>692</v>
      </c>
    </row>
    <row r="416" spans="1:38">
      <c r="A416" s="103"/>
      <c r="B416" s="104"/>
      <c r="C416" s="105"/>
      <c r="D416" s="106"/>
      <c r="E416" s="105"/>
      <c r="F416" s="108"/>
      <c r="G416" s="109"/>
      <c r="H416" s="100"/>
      <c r="I416" s="185"/>
      <c r="J416" s="17"/>
      <c r="K416" s="17"/>
      <c r="L416" s="17"/>
      <c r="M416" s="17"/>
      <c r="N416" s="258"/>
      <c r="O416" s="55"/>
      <c r="P416" s="230"/>
      <c r="Q416" s="205"/>
      <c r="R416" s="1" t="str">
        <f t="shared" si="82"/>
        <v/>
      </c>
      <c r="S416" s="1" t="str">
        <f t="shared" si="82"/>
        <v/>
      </c>
      <c r="T416" s="1" t="str">
        <f t="shared" si="82"/>
        <v/>
      </c>
      <c r="U416" s="1" t="str">
        <f t="shared" si="82"/>
        <v/>
      </c>
      <c r="V416" s="103" t="s">
        <v>997</v>
      </c>
      <c r="W416" s="104" t="s">
        <v>998</v>
      </c>
      <c r="X416" s="105">
        <v>1</v>
      </c>
      <c r="Y416" s="106" t="s">
        <v>82</v>
      </c>
      <c r="Z416" s="105" t="s">
        <v>997</v>
      </c>
      <c r="AA416" s="108"/>
      <c r="AB416" s="109"/>
      <c r="AC416" s="100">
        <v>26</v>
      </c>
      <c r="AD416" s="185"/>
      <c r="AE416" s="17"/>
      <c r="AF416" s="17"/>
      <c r="AG416" s="17" t="s">
        <v>77</v>
      </c>
      <c r="AH416" s="17" t="s">
        <v>77</v>
      </c>
      <c r="AI416" s="258" t="s">
        <v>83</v>
      </c>
      <c r="AJ416" s="55" t="s">
        <v>84</v>
      </c>
      <c r="AK416" s="230" t="s">
        <v>85</v>
      </c>
      <c r="AL416" s="205" t="s">
        <v>692</v>
      </c>
    </row>
    <row r="417" spans="1:38">
      <c r="A417" s="103"/>
      <c r="B417" s="104"/>
      <c r="C417" s="105"/>
      <c r="D417" s="106"/>
      <c r="E417" s="105"/>
      <c r="F417" s="108"/>
      <c r="G417" s="109"/>
      <c r="H417" s="100"/>
      <c r="I417" s="185"/>
      <c r="J417" s="17"/>
      <c r="K417" s="17"/>
      <c r="L417" s="17"/>
      <c r="M417" s="17"/>
      <c r="N417" s="258"/>
      <c r="O417" s="55"/>
      <c r="P417" s="230"/>
      <c r="Q417" s="205"/>
      <c r="R417" s="1" t="str">
        <f t="shared" si="82"/>
        <v/>
      </c>
      <c r="S417" s="1" t="str">
        <f t="shared" si="82"/>
        <v/>
      </c>
      <c r="T417" s="1" t="str">
        <f t="shared" si="82"/>
        <v/>
      </c>
      <c r="U417" s="1" t="str">
        <f t="shared" si="82"/>
        <v/>
      </c>
      <c r="V417" s="103" t="s">
        <v>999</v>
      </c>
      <c r="W417" s="104" t="s">
        <v>1000</v>
      </c>
      <c r="X417" s="105">
        <v>1</v>
      </c>
      <c r="Y417" s="106" t="s">
        <v>82</v>
      </c>
      <c r="Z417" s="105" t="s">
        <v>999</v>
      </c>
      <c r="AA417" s="108"/>
      <c r="AB417" s="109"/>
      <c r="AC417" s="100">
        <v>56</v>
      </c>
      <c r="AD417" s="185"/>
      <c r="AE417" s="17"/>
      <c r="AF417" s="17"/>
      <c r="AG417" s="17" t="s">
        <v>77</v>
      </c>
      <c r="AH417" s="17" t="s">
        <v>77</v>
      </c>
      <c r="AI417" s="258" t="s">
        <v>83</v>
      </c>
      <c r="AJ417" s="55" t="s">
        <v>84</v>
      </c>
      <c r="AK417" s="230" t="s">
        <v>85</v>
      </c>
      <c r="AL417" s="205" t="s">
        <v>692</v>
      </c>
    </row>
    <row r="418" spans="1:38">
      <c r="A418" s="103"/>
      <c r="B418" s="104"/>
      <c r="C418" s="105"/>
      <c r="D418" s="106"/>
      <c r="E418" s="105"/>
      <c r="F418" s="108"/>
      <c r="G418" s="109"/>
      <c r="H418" s="100"/>
      <c r="I418" s="185"/>
      <c r="J418" s="17"/>
      <c r="K418" s="17"/>
      <c r="L418" s="17"/>
      <c r="M418" s="17"/>
      <c r="N418" s="258"/>
      <c r="O418" s="55"/>
      <c r="P418" s="230"/>
      <c r="Q418" s="205"/>
      <c r="R418" s="1" t="str">
        <f t="shared" si="82"/>
        <v/>
      </c>
      <c r="S418" s="1" t="str">
        <f t="shared" si="82"/>
        <v/>
      </c>
      <c r="T418" s="1" t="str">
        <f t="shared" si="82"/>
        <v/>
      </c>
      <c r="U418" s="1" t="str">
        <f t="shared" si="82"/>
        <v/>
      </c>
      <c r="V418" s="103" t="s">
        <v>1001</v>
      </c>
      <c r="W418" s="104" t="s">
        <v>1002</v>
      </c>
      <c r="X418" s="105">
        <v>1</v>
      </c>
      <c r="Y418" s="106" t="s">
        <v>82</v>
      </c>
      <c r="Z418" s="105" t="s">
        <v>1001</v>
      </c>
      <c r="AA418" s="108"/>
      <c r="AB418" s="109"/>
      <c r="AC418" s="100">
        <v>71</v>
      </c>
      <c r="AD418" s="185"/>
      <c r="AE418" s="17"/>
      <c r="AF418" s="17"/>
      <c r="AG418" s="17" t="s">
        <v>77</v>
      </c>
      <c r="AH418" s="17" t="s">
        <v>77</v>
      </c>
      <c r="AI418" s="258" t="s">
        <v>83</v>
      </c>
      <c r="AJ418" s="55" t="s">
        <v>84</v>
      </c>
      <c r="AK418" s="230" t="s">
        <v>85</v>
      </c>
      <c r="AL418" s="205" t="s">
        <v>692</v>
      </c>
    </row>
    <row r="419" spans="1:38">
      <c r="A419" s="103"/>
      <c r="B419" s="104"/>
      <c r="C419" s="105"/>
      <c r="D419" s="106"/>
      <c r="E419" s="105"/>
      <c r="F419" s="108"/>
      <c r="G419" s="109"/>
      <c r="H419" s="100"/>
      <c r="I419" s="185"/>
      <c r="J419" s="17"/>
      <c r="K419" s="17"/>
      <c r="L419" s="17"/>
      <c r="M419" s="17"/>
      <c r="N419" s="258"/>
      <c r="O419" s="55"/>
      <c r="P419" s="230"/>
      <c r="Q419" s="205"/>
      <c r="R419" s="1" t="str">
        <f t="shared" si="82"/>
        <v/>
      </c>
      <c r="S419" s="1" t="str">
        <f t="shared" si="82"/>
        <v/>
      </c>
      <c r="T419" s="1" t="str">
        <f t="shared" si="82"/>
        <v/>
      </c>
      <c r="U419" s="1" t="str">
        <f t="shared" si="82"/>
        <v/>
      </c>
      <c r="V419" s="103" t="s">
        <v>1003</v>
      </c>
      <c r="W419" s="104" t="s">
        <v>1004</v>
      </c>
      <c r="X419" s="105">
        <v>1</v>
      </c>
      <c r="Y419" s="106" t="s">
        <v>82</v>
      </c>
      <c r="Z419" s="105" t="s">
        <v>1003</v>
      </c>
      <c r="AA419" s="108"/>
      <c r="AB419" s="109"/>
      <c r="AC419" s="100">
        <v>74</v>
      </c>
      <c r="AD419" s="185"/>
      <c r="AE419" s="17"/>
      <c r="AF419" s="17"/>
      <c r="AG419" s="17" t="s">
        <v>77</v>
      </c>
      <c r="AH419" s="17" t="s">
        <v>77</v>
      </c>
      <c r="AI419" s="258" t="s">
        <v>83</v>
      </c>
      <c r="AJ419" s="55" t="s">
        <v>84</v>
      </c>
      <c r="AK419" s="230" t="s">
        <v>85</v>
      </c>
      <c r="AL419" s="205" t="s">
        <v>692</v>
      </c>
    </row>
    <row r="420" spans="1:38">
      <c r="A420" s="103"/>
      <c r="B420" s="104"/>
      <c r="C420" s="105"/>
      <c r="D420" s="106"/>
      <c r="E420" s="105"/>
      <c r="F420" s="108"/>
      <c r="G420" s="109"/>
      <c r="H420" s="100"/>
      <c r="I420" s="185"/>
      <c r="J420" s="17"/>
      <c r="K420" s="17"/>
      <c r="L420" s="17"/>
      <c r="M420" s="17"/>
      <c r="N420" s="258"/>
      <c r="O420" s="55"/>
      <c r="P420" s="230"/>
      <c r="Q420" s="205"/>
      <c r="R420" s="1" t="str">
        <f t="shared" si="82"/>
        <v/>
      </c>
      <c r="S420" s="1" t="str">
        <f t="shared" si="82"/>
        <v/>
      </c>
      <c r="T420" s="1" t="str">
        <f t="shared" si="82"/>
        <v/>
      </c>
      <c r="U420" s="1" t="str">
        <f t="shared" si="82"/>
        <v/>
      </c>
      <c r="V420" s="103" t="s">
        <v>1005</v>
      </c>
      <c r="W420" s="104" t="s">
        <v>1006</v>
      </c>
      <c r="X420" s="105">
        <v>1</v>
      </c>
      <c r="Y420" s="106" t="s">
        <v>82</v>
      </c>
      <c r="Z420" s="105" t="s">
        <v>1005</v>
      </c>
      <c r="AA420" s="108"/>
      <c r="AB420" s="109"/>
      <c r="AC420" s="100">
        <v>21</v>
      </c>
      <c r="AD420" s="185"/>
      <c r="AE420" s="17"/>
      <c r="AF420" s="17"/>
      <c r="AG420" s="17" t="s">
        <v>77</v>
      </c>
      <c r="AH420" s="17" t="s">
        <v>77</v>
      </c>
      <c r="AI420" s="258" t="s">
        <v>83</v>
      </c>
      <c r="AJ420" s="55" t="s">
        <v>84</v>
      </c>
      <c r="AK420" s="230" t="s">
        <v>85</v>
      </c>
      <c r="AL420" s="205" t="s">
        <v>692</v>
      </c>
    </row>
    <row r="421" spans="1:38">
      <c r="A421" s="103"/>
      <c r="B421" s="104"/>
      <c r="C421" s="105"/>
      <c r="D421" s="106"/>
      <c r="E421" s="105"/>
      <c r="F421" s="108"/>
      <c r="G421" s="109"/>
      <c r="H421" s="100"/>
      <c r="I421" s="185"/>
      <c r="J421" s="17"/>
      <c r="K421" s="17"/>
      <c r="L421" s="17"/>
      <c r="M421" s="17"/>
      <c r="N421" s="258"/>
      <c r="O421" s="55"/>
      <c r="P421" s="230"/>
      <c r="Q421" s="205"/>
      <c r="R421" s="1" t="str">
        <f t="shared" si="82"/>
        <v/>
      </c>
      <c r="S421" s="1" t="str">
        <f t="shared" si="82"/>
        <v/>
      </c>
      <c r="T421" s="1" t="str">
        <f t="shared" si="82"/>
        <v/>
      </c>
      <c r="U421" s="1" t="str">
        <f t="shared" si="82"/>
        <v/>
      </c>
      <c r="V421" s="103" t="s">
        <v>1007</v>
      </c>
      <c r="W421" s="104" t="s">
        <v>1008</v>
      </c>
      <c r="X421" s="105">
        <v>1</v>
      </c>
      <c r="Y421" s="106" t="s">
        <v>82</v>
      </c>
      <c r="Z421" s="105" t="s">
        <v>1007</v>
      </c>
      <c r="AA421" s="108"/>
      <c r="AB421" s="109"/>
      <c r="AC421" s="100">
        <v>56</v>
      </c>
      <c r="AD421" s="185"/>
      <c r="AE421" s="17"/>
      <c r="AF421" s="17"/>
      <c r="AG421" s="17" t="s">
        <v>77</v>
      </c>
      <c r="AH421" s="17" t="s">
        <v>77</v>
      </c>
      <c r="AI421" s="258" t="s">
        <v>83</v>
      </c>
      <c r="AJ421" s="55" t="s">
        <v>84</v>
      </c>
      <c r="AK421" s="230" t="s">
        <v>85</v>
      </c>
      <c r="AL421" s="205" t="s">
        <v>692</v>
      </c>
    </row>
    <row r="422" spans="1:38">
      <c r="A422" s="103"/>
      <c r="B422" s="104"/>
      <c r="C422" s="105"/>
      <c r="D422" s="106"/>
      <c r="E422" s="105"/>
      <c r="F422" s="108"/>
      <c r="G422" s="109"/>
      <c r="H422" s="100"/>
      <c r="I422" s="185"/>
      <c r="J422" s="17"/>
      <c r="K422" s="17"/>
      <c r="L422" s="17"/>
      <c r="M422" s="17"/>
      <c r="N422" s="258"/>
      <c r="O422" s="55"/>
      <c r="P422" s="230"/>
      <c r="Q422" s="205"/>
      <c r="R422" s="1" t="str">
        <f t="shared" si="82"/>
        <v/>
      </c>
      <c r="S422" s="1" t="str">
        <f t="shared" si="82"/>
        <v/>
      </c>
      <c r="T422" s="1" t="str">
        <f t="shared" si="82"/>
        <v/>
      </c>
      <c r="U422" s="1" t="str">
        <f t="shared" si="82"/>
        <v/>
      </c>
      <c r="V422" s="103" t="s">
        <v>1009</v>
      </c>
      <c r="W422" s="104" t="s">
        <v>1010</v>
      </c>
      <c r="X422" s="105">
        <v>1</v>
      </c>
      <c r="Y422" s="106" t="s">
        <v>82</v>
      </c>
      <c r="Z422" s="105" t="s">
        <v>1009</v>
      </c>
      <c r="AA422" s="108"/>
      <c r="AB422" s="109"/>
      <c r="AC422" s="100">
        <v>79</v>
      </c>
      <c r="AD422" s="185"/>
      <c r="AE422" s="17"/>
      <c r="AF422" s="17"/>
      <c r="AG422" s="17" t="s">
        <v>77</v>
      </c>
      <c r="AH422" s="17" t="s">
        <v>77</v>
      </c>
      <c r="AI422" s="258" t="s">
        <v>83</v>
      </c>
      <c r="AJ422" s="55" t="s">
        <v>84</v>
      </c>
      <c r="AK422" s="230" t="s">
        <v>85</v>
      </c>
      <c r="AL422" s="205" t="s">
        <v>692</v>
      </c>
    </row>
    <row r="423" spans="1:38" ht="12.95" customHeight="1">
      <c r="A423" s="103"/>
      <c r="B423" s="104"/>
      <c r="C423" s="105"/>
      <c r="D423" s="106"/>
      <c r="E423" s="105"/>
      <c r="F423" s="108"/>
      <c r="G423" s="109"/>
      <c r="H423" s="100"/>
      <c r="I423" s="185"/>
      <c r="J423" s="17"/>
      <c r="K423" s="17"/>
      <c r="L423" s="17"/>
      <c r="M423" s="17"/>
      <c r="N423" s="258"/>
      <c r="O423" s="55"/>
      <c r="P423" s="230"/>
      <c r="Q423" s="205"/>
      <c r="R423" s="1" t="str">
        <f t="shared" si="82"/>
        <v/>
      </c>
      <c r="S423" s="1" t="str">
        <f t="shared" si="82"/>
        <v/>
      </c>
      <c r="T423" s="1" t="str">
        <f t="shared" si="82"/>
        <v/>
      </c>
      <c r="U423" s="1" t="str">
        <f t="shared" si="82"/>
        <v/>
      </c>
      <c r="V423" s="103" t="s">
        <v>1011</v>
      </c>
      <c r="W423" s="104" t="s">
        <v>1012</v>
      </c>
      <c r="X423" s="105">
        <v>1</v>
      </c>
      <c r="Y423" s="106" t="s">
        <v>82</v>
      </c>
      <c r="Z423" s="105" t="s">
        <v>1011</v>
      </c>
      <c r="AA423" s="108"/>
      <c r="AB423" s="109"/>
      <c r="AC423" s="100">
        <v>106</v>
      </c>
      <c r="AD423" s="185"/>
      <c r="AE423" s="17"/>
      <c r="AF423" s="17"/>
      <c r="AG423" s="17" t="s">
        <v>77</v>
      </c>
      <c r="AH423" s="17" t="s">
        <v>77</v>
      </c>
      <c r="AI423" s="258" t="s">
        <v>83</v>
      </c>
      <c r="AJ423" s="55" t="s">
        <v>84</v>
      </c>
      <c r="AK423" s="230" t="s">
        <v>85</v>
      </c>
      <c r="AL423" s="205" t="s">
        <v>692</v>
      </c>
    </row>
    <row r="424" spans="1:38" s="168" customFormat="1" ht="27" customHeight="1">
      <c r="A424" s="254"/>
      <c r="B424" s="239"/>
      <c r="C424" s="240"/>
      <c r="D424" s="106"/>
      <c r="E424" s="255"/>
      <c r="F424" s="242"/>
      <c r="G424" s="243"/>
      <c r="H424" s="242"/>
      <c r="I424" s="248"/>
      <c r="J424" s="71"/>
      <c r="K424" s="71"/>
      <c r="L424" s="71"/>
      <c r="M424" s="71"/>
      <c r="N424" s="259"/>
      <c r="O424" s="55"/>
      <c r="P424" s="264"/>
      <c r="Q424" s="246"/>
      <c r="R424" s="1" t="str">
        <f t="shared" si="82"/>
        <v/>
      </c>
      <c r="S424" s="1" t="str">
        <f t="shared" si="82"/>
        <v/>
      </c>
      <c r="T424" s="1" t="str">
        <f t="shared" si="82"/>
        <v/>
      </c>
      <c r="U424" s="1" t="str">
        <f t="shared" si="82"/>
        <v/>
      </c>
      <c r="V424" s="254" t="s">
        <v>1013</v>
      </c>
      <c r="W424" s="239" t="s">
        <v>1014</v>
      </c>
      <c r="X424" s="240">
        <v>1</v>
      </c>
      <c r="Y424" s="106" t="s">
        <v>82</v>
      </c>
      <c r="Z424" s="255" t="s">
        <v>1013</v>
      </c>
      <c r="AA424" s="242"/>
      <c r="AB424" s="243"/>
      <c r="AC424" s="242">
        <v>201</v>
      </c>
      <c r="AD424" s="248"/>
      <c r="AE424" s="71"/>
      <c r="AF424" s="71"/>
      <c r="AG424" s="71" t="s">
        <v>77</v>
      </c>
      <c r="AH424" s="71" t="s">
        <v>77</v>
      </c>
      <c r="AI424" s="259" t="s">
        <v>83</v>
      </c>
      <c r="AJ424" s="55" t="s">
        <v>84</v>
      </c>
      <c r="AK424" s="264" t="s">
        <v>85</v>
      </c>
      <c r="AL424" s="246" t="s">
        <v>692</v>
      </c>
    </row>
    <row r="425" spans="1:38" ht="12.95" customHeight="1">
      <c r="A425" s="156"/>
      <c r="B425" s="104"/>
      <c r="C425" s="105"/>
      <c r="D425" s="106"/>
      <c r="E425" s="157"/>
      <c r="F425" s="108"/>
      <c r="G425" s="109"/>
      <c r="H425" s="100"/>
      <c r="I425" s="185"/>
      <c r="J425" s="17"/>
      <c r="K425" s="17"/>
      <c r="L425" s="17"/>
      <c r="M425" s="17"/>
      <c r="N425" s="258"/>
      <c r="O425" s="55"/>
      <c r="P425" s="230"/>
      <c r="Q425" s="205"/>
      <c r="R425" s="1" t="str">
        <f t="shared" si="82"/>
        <v/>
      </c>
      <c r="S425" s="1" t="str">
        <f t="shared" si="82"/>
        <v/>
      </c>
      <c r="T425" s="1" t="str">
        <f t="shared" si="82"/>
        <v/>
      </c>
      <c r="U425" s="1" t="str">
        <f t="shared" si="82"/>
        <v/>
      </c>
      <c r="V425" s="156" t="s">
        <v>1015</v>
      </c>
      <c r="W425" s="104" t="s">
        <v>1016</v>
      </c>
      <c r="X425" s="105">
        <v>1</v>
      </c>
      <c r="Y425" s="106" t="s">
        <v>82</v>
      </c>
      <c r="Z425" s="157" t="s">
        <v>1015</v>
      </c>
      <c r="AA425" s="108"/>
      <c r="AB425" s="109"/>
      <c r="AC425" s="100">
        <v>331</v>
      </c>
      <c r="AD425" s="185"/>
      <c r="AE425" s="17"/>
      <c r="AF425" s="17"/>
      <c r="AG425" s="17" t="s">
        <v>77</v>
      </c>
      <c r="AH425" s="17" t="s">
        <v>77</v>
      </c>
      <c r="AI425" s="258" t="s">
        <v>83</v>
      </c>
      <c r="AJ425" s="55" t="s">
        <v>84</v>
      </c>
      <c r="AK425" s="230" t="s">
        <v>85</v>
      </c>
      <c r="AL425" s="205" t="s">
        <v>692</v>
      </c>
    </row>
    <row r="426" spans="1:38">
      <c r="A426" s="391"/>
      <c r="B426" s="431"/>
      <c r="C426" s="29"/>
      <c r="D426" s="106"/>
      <c r="E426" s="392"/>
      <c r="F426" s="35"/>
      <c r="G426" s="22"/>
      <c r="H426" s="31"/>
      <c r="I426" s="185"/>
      <c r="J426" s="17"/>
      <c r="K426" s="17"/>
      <c r="L426" s="17"/>
      <c r="M426" s="17"/>
      <c r="N426" s="258"/>
      <c r="O426" s="55"/>
      <c r="P426" s="230"/>
      <c r="Q426" s="205"/>
      <c r="R426" s="1" t="str">
        <f t="shared" si="82"/>
        <v/>
      </c>
      <c r="S426" s="1" t="str">
        <f t="shared" si="82"/>
        <v/>
      </c>
      <c r="T426" s="1" t="str">
        <f t="shared" si="82"/>
        <v/>
      </c>
      <c r="U426" s="1" t="str">
        <f t="shared" si="82"/>
        <v/>
      </c>
      <c r="V426" s="25" t="s">
        <v>1017</v>
      </c>
      <c r="W426" s="26" t="s">
        <v>1018</v>
      </c>
      <c r="X426" s="29">
        <v>1</v>
      </c>
      <c r="Y426" s="106" t="s">
        <v>82</v>
      </c>
      <c r="Z426" s="29" t="s">
        <v>1017</v>
      </c>
      <c r="AA426" s="35"/>
      <c r="AB426" s="22"/>
      <c r="AC426" s="31">
        <v>169</v>
      </c>
      <c r="AD426" s="185"/>
      <c r="AE426" s="17"/>
      <c r="AF426" s="17"/>
      <c r="AG426" s="17" t="s">
        <v>77</v>
      </c>
      <c r="AH426" s="17" t="s">
        <v>77</v>
      </c>
      <c r="AI426" s="258" t="s">
        <v>83</v>
      </c>
      <c r="AJ426" s="55" t="s">
        <v>84</v>
      </c>
      <c r="AK426" s="230" t="s">
        <v>85</v>
      </c>
      <c r="AL426" s="205" t="s">
        <v>692</v>
      </c>
    </row>
    <row r="427" spans="1:38">
      <c r="A427" s="25"/>
      <c r="B427" s="26"/>
      <c r="C427" s="29"/>
      <c r="D427" s="106"/>
      <c r="E427" s="29"/>
      <c r="F427" s="35"/>
      <c r="G427" s="22"/>
      <c r="H427" s="185"/>
      <c r="I427" s="185"/>
      <c r="J427" s="17"/>
      <c r="K427" s="17"/>
      <c r="L427" s="17"/>
      <c r="M427" s="17"/>
      <c r="N427" s="258"/>
      <c r="O427" s="55"/>
      <c r="P427" s="230"/>
      <c r="Q427" s="205"/>
      <c r="R427" s="1" t="str">
        <f t="shared" si="82"/>
        <v/>
      </c>
      <c r="S427" s="1" t="str">
        <f t="shared" si="82"/>
        <v/>
      </c>
      <c r="T427" s="1" t="str">
        <f t="shared" si="82"/>
        <v/>
      </c>
      <c r="U427" s="1" t="str">
        <f t="shared" si="82"/>
        <v/>
      </c>
      <c r="V427" s="25" t="s">
        <v>1019</v>
      </c>
      <c r="W427" s="26" t="s">
        <v>1020</v>
      </c>
      <c r="X427" s="29">
        <v>1</v>
      </c>
      <c r="Y427" s="106" t="s">
        <v>82</v>
      </c>
      <c r="Z427" s="29" t="s">
        <v>1019</v>
      </c>
      <c r="AA427" s="35"/>
      <c r="AB427" s="22"/>
      <c r="AC427" s="185">
        <v>295</v>
      </c>
      <c r="AD427" s="185"/>
      <c r="AE427" s="17"/>
      <c r="AF427" s="17"/>
      <c r="AG427" s="17" t="s">
        <v>77</v>
      </c>
      <c r="AH427" s="17" t="s">
        <v>77</v>
      </c>
      <c r="AI427" s="258" t="s">
        <v>83</v>
      </c>
      <c r="AJ427" s="55" t="s">
        <v>84</v>
      </c>
      <c r="AK427" s="230" t="s">
        <v>85</v>
      </c>
      <c r="AL427" s="205" t="s">
        <v>86</v>
      </c>
    </row>
    <row r="428" spans="1:38">
      <c r="A428" s="25"/>
      <c r="B428" s="26"/>
      <c r="C428" s="29"/>
      <c r="D428" s="106"/>
      <c r="E428" s="29"/>
      <c r="F428" s="35"/>
      <c r="G428" s="22"/>
      <c r="H428" s="185"/>
      <c r="I428" s="185"/>
      <c r="J428" s="17"/>
      <c r="K428" s="17"/>
      <c r="L428" s="17"/>
      <c r="M428" s="17"/>
      <c r="N428" s="258"/>
      <c r="O428" s="55"/>
      <c r="P428" s="230"/>
      <c r="Q428" s="205"/>
      <c r="R428" s="1" t="str">
        <f t="shared" si="82"/>
        <v/>
      </c>
      <c r="S428" s="1" t="str">
        <f t="shared" si="82"/>
        <v/>
      </c>
      <c r="T428" s="1" t="str">
        <f t="shared" si="82"/>
        <v/>
      </c>
      <c r="U428" s="1" t="str">
        <f t="shared" si="82"/>
        <v/>
      </c>
      <c r="V428" s="25" t="s">
        <v>1021</v>
      </c>
      <c r="W428" s="26" t="s">
        <v>1022</v>
      </c>
      <c r="X428" s="29">
        <v>1</v>
      </c>
      <c r="Y428" s="106" t="s">
        <v>82</v>
      </c>
      <c r="Z428" s="29" t="s">
        <v>1021</v>
      </c>
      <c r="AA428" s="35"/>
      <c r="AB428" s="22"/>
      <c r="AC428" s="185">
        <v>148</v>
      </c>
      <c r="AD428" s="185"/>
      <c r="AE428" s="17"/>
      <c r="AF428" s="17"/>
      <c r="AG428" s="17" t="s">
        <v>77</v>
      </c>
      <c r="AH428" s="17" t="s">
        <v>77</v>
      </c>
      <c r="AI428" s="258" t="s">
        <v>83</v>
      </c>
      <c r="AJ428" s="55" t="s">
        <v>84</v>
      </c>
      <c r="AK428" s="230" t="s">
        <v>85</v>
      </c>
      <c r="AL428" s="205" t="s">
        <v>86</v>
      </c>
    </row>
    <row r="429" spans="1:38">
      <c r="A429" s="25"/>
      <c r="B429" s="26"/>
      <c r="C429" s="29"/>
      <c r="D429" s="106"/>
      <c r="E429" s="29"/>
      <c r="F429" s="35"/>
      <c r="G429" s="22"/>
      <c r="H429" s="185"/>
      <c r="I429" s="185"/>
      <c r="J429" s="17"/>
      <c r="K429" s="17"/>
      <c r="L429" s="17"/>
      <c r="M429" s="17"/>
      <c r="N429" s="258"/>
      <c r="O429" s="55"/>
      <c r="P429" s="230"/>
      <c r="Q429" s="205"/>
      <c r="R429" s="1" t="str">
        <f t="shared" si="82"/>
        <v/>
      </c>
      <c r="S429" s="1" t="str">
        <f t="shared" si="82"/>
        <v/>
      </c>
      <c r="T429" s="1" t="str">
        <f t="shared" si="82"/>
        <v/>
      </c>
      <c r="U429" s="1" t="str">
        <f t="shared" si="82"/>
        <v/>
      </c>
      <c r="V429" s="25" t="s">
        <v>1023</v>
      </c>
      <c r="W429" s="26" t="s">
        <v>1024</v>
      </c>
      <c r="X429" s="29">
        <v>1</v>
      </c>
      <c r="Y429" s="106" t="s">
        <v>82</v>
      </c>
      <c r="Z429" s="29" t="s">
        <v>1023</v>
      </c>
      <c r="AA429" s="35"/>
      <c r="AB429" s="22"/>
      <c r="AC429" s="185">
        <v>279</v>
      </c>
      <c r="AD429" s="185"/>
      <c r="AE429" s="17"/>
      <c r="AF429" s="17"/>
      <c r="AG429" s="17" t="s">
        <v>77</v>
      </c>
      <c r="AH429" s="17" t="s">
        <v>77</v>
      </c>
      <c r="AI429" s="258" t="s">
        <v>83</v>
      </c>
      <c r="AJ429" s="55" t="s">
        <v>84</v>
      </c>
      <c r="AK429" s="230" t="s">
        <v>85</v>
      </c>
      <c r="AL429" s="205" t="s">
        <v>86</v>
      </c>
    </row>
    <row r="430" spans="1:38">
      <c r="A430" s="93"/>
      <c r="B430" s="94"/>
      <c r="C430" s="95"/>
      <c r="D430" s="96"/>
      <c r="E430" s="140"/>
      <c r="F430" s="96"/>
      <c r="G430" s="141"/>
      <c r="H430" s="98"/>
      <c r="I430" s="193"/>
      <c r="J430" s="99"/>
      <c r="K430" s="122"/>
      <c r="L430" s="17"/>
      <c r="M430" s="17"/>
      <c r="N430" s="257"/>
      <c r="O430" s="55"/>
      <c r="P430" s="230"/>
      <c r="Q430" s="205"/>
      <c r="R430" s="1" t="str">
        <f t="shared" si="82"/>
        <v/>
      </c>
      <c r="S430" s="1" t="str">
        <f t="shared" si="82"/>
        <v/>
      </c>
      <c r="T430" s="1" t="str">
        <f t="shared" si="82"/>
        <v/>
      </c>
      <c r="U430" s="1" t="str">
        <f t="shared" si="82"/>
        <v/>
      </c>
      <c r="V430" s="93" t="s">
        <v>1025</v>
      </c>
      <c r="W430" s="94" t="s">
        <v>1026</v>
      </c>
      <c r="X430" s="95">
        <v>1</v>
      </c>
      <c r="Y430" s="96" t="s">
        <v>75</v>
      </c>
      <c r="Z430" s="140" t="s">
        <v>1025</v>
      </c>
      <c r="AA430" s="96">
        <v>1871.67</v>
      </c>
      <c r="AB430" s="141">
        <f>rv_im27_eg</f>
        <v>0.17199999999999999</v>
      </c>
      <c r="AC430" s="98">
        <f t="shared" ref="AC430:AC494" si="86">AA430-(AA430*AB430)</f>
        <v>1549.7427600000001</v>
      </c>
      <c r="AD430" s="193" t="s">
        <v>962</v>
      </c>
      <c r="AE430" s="99">
        <f>im27_5pl</f>
        <v>0</v>
      </c>
      <c r="AF430" s="122">
        <f>AC430+AE430</f>
        <v>1549.7427600000001</v>
      </c>
      <c r="AG430" s="17" t="s">
        <v>77</v>
      </c>
      <c r="AH430" s="17">
        <v>2.5</v>
      </c>
      <c r="AI430" s="257" t="s">
        <v>75</v>
      </c>
      <c r="AJ430" s="55" t="s">
        <v>1027</v>
      </c>
      <c r="AK430" s="230" t="s">
        <v>689</v>
      </c>
      <c r="AL430" s="205" t="s">
        <v>690</v>
      </c>
    </row>
    <row r="431" spans="1:38">
      <c r="A431" s="25"/>
      <c r="B431" s="26"/>
      <c r="C431" s="29"/>
      <c r="E431" s="33"/>
      <c r="F431" s="35"/>
      <c r="G431" s="102"/>
      <c r="H431" s="31"/>
      <c r="I431" s="185"/>
      <c r="J431" s="46"/>
      <c r="K431" s="46"/>
      <c r="L431" s="17"/>
      <c r="M431" s="17"/>
      <c r="N431" s="258"/>
      <c r="O431" s="55"/>
      <c r="P431" s="264"/>
      <c r="Q431" s="246"/>
      <c r="R431" s="1" t="str">
        <f t="shared" si="82"/>
        <v/>
      </c>
      <c r="S431" s="1" t="str">
        <f t="shared" si="82"/>
        <v/>
      </c>
      <c r="T431" s="1" t="str">
        <f t="shared" si="82"/>
        <v/>
      </c>
      <c r="U431" s="1" t="str">
        <f t="shared" si="82"/>
        <v/>
      </c>
      <c r="V431" s="25" t="s">
        <v>1028</v>
      </c>
      <c r="W431" s="26" t="s">
        <v>1029</v>
      </c>
      <c r="X431" s="29">
        <v>1</v>
      </c>
      <c r="Y431" s="35" t="s">
        <v>75</v>
      </c>
      <c r="Z431" s="33" t="s">
        <v>77</v>
      </c>
      <c r="AA431" s="35">
        <v>287.5</v>
      </c>
      <c r="AB431" s="102">
        <f t="shared" ref="AB431:AB444" si="87">rv_im27_eg_cto</f>
        <v>0.17199999999999999</v>
      </c>
      <c r="AC431" s="31">
        <f t="shared" si="86"/>
        <v>238.05</v>
      </c>
      <c r="AD431" s="185"/>
      <c r="AE431" s="46"/>
      <c r="AF431" s="46"/>
      <c r="AG431" s="17" t="s">
        <v>77</v>
      </c>
      <c r="AH431" s="17" t="s">
        <v>77</v>
      </c>
      <c r="AI431" s="258" t="s">
        <v>75</v>
      </c>
      <c r="AJ431" s="55" t="s">
        <v>1027</v>
      </c>
      <c r="AK431" s="230" t="s">
        <v>689</v>
      </c>
      <c r="AL431" s="205" t="s">
        <v>89</v>
      </c>
    </row>
    <row r="432" spans="1:38">
      <c r="A432" s="25"/>
      <c r="B432" s="26"/>
      <c r="C432" s="29"/>
      <c r="E432" s="33"/>
      <c r="F432" s="35"/>
      <c r="G432" s="102"/>
      <c r="H432" s="31"/>
      <c r="I432" s="185"/>
      <c r="J432" s="46"/>
      <c r="K432" s="46"/>
      <c r="L432" s="17"/>
      <c r="M432" s="17"/>
      <c r="N432" s="258"/>
      <c r="O432" s="55"/>
      <c r="P432" s="264"/>
      <c r="Q432" s="246"/>
      <c r="R432" s="1" t="str">
        <f t="shared" si="82"/>
        <v/>
      </c>
      <c r="S432" s="1" t="str">
        <f t="shared" si="82"/>
        <v/>
      </c>
      <c r="T432" s="1" t="str">
        <f t="shared" si="82"/>
        <v/>
      </c>
      <c r="U432" s="1" t="str">
        <f t="shared" si="82"/>
        <v/>
      </c>
      <c r="V432" s="25" t="s">
        <v>1030</v>
      </c>
      <c r="W432" s="26" t="s">
        <v>1031</v>
      </c>
      <c r="X432" s="29">
        <v>1</v>
      </c>
      <c r="Y432" s="35" t="s">
        <v>75</v>
      </c>
      <c r="Z432" s="33" t="s">
        <v>77</v>
      </c>
      <c r="AA432" s="35">
        <v>479.17</v>
      </c>
      <c r="AB432" s="102">
        <f t="shared" si="87"/>
        <v>0.17199999999999999</v>
      </c>
      <c r="AC432" s="31">
        <f t="shared" si="86"/>
        <v>396.75276000000002</v>
      </c>
      <c r="AD432" s="185"/>
      <c r="AE432" s="46"/>
      <c r="AF432" s="46"/>
      <c r="AG432" s="17" t="s">
        <v>77</v>
      </c>
      <c r="AH432" s="17" t="s">
        <v>77</v>
      </c>
      <c r="AI432" s="258" t="s">
        <v>75</v>
      </c>
      <c r="AJ432" s="55" t="s">
        <v>1027</v>
      </c>
      <c r="AK432" s="230" t="s">
        <v>689</v>
      </c>
      <c r="AL432" s="205" t="s">
        <v>89</v>
      </c>
    </row>
    <row r="433" spans="1:38">
      <c r="A433" s="25"/>
      <c r="B433" s="26"/>
      <c r="C433" s="29"/>
      <c r="E433" s="33"/>
      <c r="F433" s="35"/>
      <c r="G433" s="102"/>
      <c r="H433" s="31"/>
      <c r="I433" s="185"/>
      <c r="J433" s="46"/>
      <c r="K433" s="46"/>
      <c r="L433" s="17"/>
      <c r="M433" s="17"/>
      <c r="N433" s="258"/>
      <c r="O433" s="55"/>
      <c r="P433" s="264"/>
      <c r="Q433" s="246"/>
      <c r="R433" s="1" t="str">
        <f t="shared" si="82"/>
        <v/>
      </c>
      <c r="S433" s="1" t="str">
        <f t="shared" si="82"/>
        <v/>
      </c>
      <c r="T433" s="1" t="str">
        <f t="shared" si="82"/>
        <v/>
      </c>
      <c r="U433" s="1" t="str">
        <f t="shared" si="82"/>
        <v/>
      </c>
      <c r="V433" s="25" t="s">
        <v>1032</v>
      </c>
      <c r="W433" s="26" t="s">
        <v>1033</v>
      </c>
      <c r="X433" s="29">
        <v>1</v>
      </c>
      <c r="Y433" s="35" t="s">
        <v>75</v>
      </c>
      <c r="Z433" s="33" t="s">
        <v>77</v>
      </c>
      <c r="AA433" s="35">
        <v>191.67</v>
      </c>
      <c r="AB433" s="102">
        <f t="shared" si="87"/>
        <v>0.17199999999999999</v>
      </c>
      <c r="AC433" s="31">
        <f t="shared" si="86"/>
        <v>158.70275999999998</v>
      </c>
      <c r="AD433" s="185"/>
      <c r="AE433" s="46"/>
      <c r="AF433" s="46"/>
      <c r="AG433" s="17"/>
      <c r="AH433" s="17" t="s">
        <v>77</v>
      </c>
      <c r="AI433" s="258" t="s">
        <v>75</v>
      </c>
      <c r="AJ433" s="55" t="s">
        <v>1027</v>
      </c>
      <c r="AK433" s="230" t="s">
        <v>689</v>
      </c>
      <c r="AL433" s="205" t="s">
        <v>89</v>
      </c>
    </row>
    <row r="434" spans="1:38">
      <c r="A434" s="25"/>
      <c r="B434" s="26"/>
      <c r="C434" s="29"/>
      <c r="E434" s="33"/>
      <c r="F434" s="35"/>
      <c r="G434" s="102"/>
      <c r="H434" s="31"/>
      <c r="I434" s="185"/>
      <c r="J434" s="46"/>
      <c r="K434" s="46"/>
      <c r="L434" s="17"/>
      <c r="M434" s="17"/>
      <c r="N434" s="258"/>
      <c r="O434" s="55"/>
      <c r="P434" s="264"/>
      <c r="Q434" s="246"/>
      <c r="R434" s="1" t="str">
        <f t="shared" si="82"/>
        <v/>
      </c>
      <c r="S434" s="1" t="str">
        <f t="shared" si="82"/>
        <v/>
      </c>
      <c r="T434" s="1" t="str">
        <f t="shared" si="82"/>
        <v/>
      </c>
      <c r="U434" s="1" t="str">
        <f t="shared" si="82"/>
        <v/>
      </c>
      <c r="V434" s="25" t="s">
        <v>1034</v>
      </c>
      <c r="W434" s="26" t="s">
        <v>1035</v>
      </c>
      <c r="X434" s="29">
        <v>1</v>
      </c>
      <c r="Y434" s="35" t="s">
        <v>75</v>
      </c>
      <c r="Z434" s="33" t="s">
        <v>77</v>
      </c>
      <c r="AA434" s="35">
        <v>575</v>
      </c>
      <c r="AB434" s="102">
        <f t="shared" si="87"/>
        <v>0.17199999999999999</v>
      </c>
      <c r="AC434" s="31">
        <f t="shared" si="86"/>
        <v>476.1</v>
      </c>
      <c r="AD434" s="185"/>
      <c r="AE434" s="46"/>
      <c r="AF434" s="46"/>
      <c r="AG434" s="17" t="s">
        <v>77</v>
      </c>
      <c r="AH434" s="17" t="s">
        <v>77</v>
      </c>
      <c r="AI434" s="258" t="s">
        <v>75</v>
      </c>
      <c r="AJ434" s="55" t="s">
        <v>1027</v>
      </c>
      <c r="AK434" s="230" t="s">
        <v>689</v>
      </c>
      <c r="AL434" s="205" t="s">
        <v>89</v>
      </c>
    </row>
    <row r="435" spans="1:38">
      <c r="A435" s="25"/>
      <c r="B435" s="26"/>
      <c r="C435" s="29"/>
      <c r="E435" s="33"/>
      <c r="F435" s="35"/>
      <c r="G435" s="102"/>
      <c r="H435" s="31"/>
      <c r="I435" s="185"/>
      <c r="J435" s="46"/>
      <c r="K435" s="46"/>
      <c r="L435" s="17"/>
      <c r="M435" s="17"/>
      <c r="N435" s="258"/>
      <c r="O435" s="55"/>
      <c r="P435" s="264"/>
      <c r="Q435" s="246"/>
      <c r="R435" s="1" t="str">
        <f t="shared" si="82"/>
        <v/>
      </c>
      <c r="S435" s="1" t="str">
        <f t="shared" si="82"/>
        <v/>
      </c>
      <c r="T435" s="1" t="str">
        <f t="shared" si="82"/>
        <v/>
      </c>
      <c r="U435" s="1" t="str">
        <f t="shared" si="82"/>
        <v/>
      </c>
      <c r="V435" s="25" t="s">
        <v>1036</v>
      </c>
      <c r="W435" s="26" t="s">
        <v>1037</v>
      </c>
      <c r="X435" s="29">
        <v>1</v>
      </c>
      <c r="Y435" s="35" t="s">
        <v>75</v>
      </c>
      <c r="Z435" s="33" t="s">
        <v>77</v>
      </c>
      <c r="AA435" s="35">
        <v>953.83</v>
      </c>
      <c r="AB435" s="102">
        <f t="shared" si="87"/>
        <v>0.17199999999999999</v>
      </c>
      <c r="AC435" s="31">
        <f t="shared" si="86"/>
        <v>789.77124000000003</v>
      </c>
      <c r="AD435" s="185"/>
      <c r="AE435" s="46"/>
      <c r="AF435" s="46"/>
      <c r="AG435" s="17" t="s">
        <v>77</v>
      </c>
      <c r="AH435" s="17" t="s">
        <v>77</v>
      </c>
      <c r="AI435" s="258" t="s">
        <v>75</v>
      </c>
      <c r="AJ435" s="55" t="s">
        <v>1027</v>
      </c>
      <c r="AK435" s="230" t="s">
        <v>689</v>
      </c>
      <c r="AL435" s="205" t="s">
        <v>89</v>
      </c>
    </row>
    <row r="436" spans="1:38">
      <c r="A436" s="25"/>
      <c r="B436" s="26"/>
      <c r="C436" s="29"/>
      <c r="E436" s="33"/>
      <c r="F436" s="35"/>
      <c r="G436" s="102"/>
      <c r="H436" s="31"/>
      <c r="I436" s="185"/>
      <c r="J436" s="46"/>
      <c r="K436" s="46"/>
      <c r="L436" s="17"/>
      <c r="M436" s="17"/>
      <c r="N436" s="258"/>
      <c r="O436" s="55"/>
      <c r="P436" s="264"/>
      <c r="Q436" s="246"/>
      <c r="R436" s="1" t="str">
        <f t="shared" si="82"/>
        <v/>
      </c>
      <c r="S436" s="1" t="str">
        <f t="shared" si="82"/>
        <v/>
      </c>
      <c r="T436" s="1" t="str">
        <f t="shared" si="82"/>
        <v/>
      </c>
      <c r="U436" s="1" t="str">
        <f t="shared" si="82"/>
        <v/>
      </c>
      <c r="V436" s="25" t="s">
        <v>1038</v>
      </c>
      <c r="W436" s="26" t="s">
        <v>1039</v>
      </c>
      <c r="X436" s="29">
        <v>1</v>
      </c>
      <c r="Y436" s="35" t="s">
        <v>75</v>
      </c>
      <c r="Z436" s="33" t="s">
        <v>77</v>
      </c>
      <c r="AA436" s="35">
        <v>2491.67</v>
      </c>
      <c r="AB436" s="102">
        <f t="shared" ref="AB436" si="88">rv_im21_hg_cto</f>
        <v>0.17199999999999999</v>
      </c>
      <c r="AC436" s="31">
        <f t="shared" si="86"/>
        <v>2063.1027600000002</v>
      </c>
      <c r="AD436" s="185"/>
      <c r="AE436" s="46"/>
      <c r="AF436" s="46"/>
      <c r="AG436" s="17" t="s">
        <v>77</v>
      </c>
      <c r="AH436" s="17" t="s">
        <v>77</v>
      </c>
      <c r="AI436" s="258" t="s">
        <v>75</v>
      </c>
      <c r="AJ436" s="55" t="s">
        <v>1027</v>
      </c>
      <c r="AK436" s="230" t="s">
        <v>689</v>
      </c>
      <c r="AL436" s="205" t="s">
        <v>89</v>
      </c>
    </row>
    <row r="437" spans="1:38">
      <c r="A437" s="25"/>
      <c r="B437" s="26"/>
      <c r="C437" s="29"/>
      <c r="E437" s="33"/>
      <c r="F437" s="35"/>
      <c r="G437" s="102"/>
      <c r="H437" s="31"/>
      <c r="I437" s="185"/>
      <c r="J437" s="46"/>
      <c r="K437" s="46"/>
      <c r="L437" s="17"/>
      <c r="M437" s="17"/>
      <c r="N437" s="258"/>
      <c r="O437" s="55"/>
      <c r="P437" s="264"/>
      <c r="Q437" s="246"/>
      <c r="R437" s="1" t="str">
        <f t="shared" si="82"/>
        <v/>
      </c>
      <c r="S437" s="1" t="str">
        <f t="shared" si="82"/>
        <v/>
      </c>
      <c r="T437" s="1" t="str">
        <f t="shared" si="82"/>
        <v/>
      </c>
      <c r="U437" s="1" t="str">
        <f t="shared" si="82"/>
        <v/>
      </c>
      <c r="V437" s="25" t="s">
        <v>1040</v>
      </c>
      <c r="W437" s="26" t="s">
        <v>1041</v>
      </c>
      <c r="X437" s="29">
        <v>1</v>
      </c>
      <c r="Y437" s="35" t="s">
        <v>75</v>
      </c>
      <c r="Z437" s="33" t="s">
        <v>77</v>
      </c>
      <c r="AA437" s="35">
        <v>191.67</v>
      </c>
      <c r="AB437" s="102">
        <f t="shared" si="87"/>
        <v>0.17199999999999999</v>
      </c>
      <c r="AC437" s="31">
        <f t="shared" si="86"/>
        <v>158.70275999999998</v>
      </c>
      <c r="AD437" s="185"/>
      <c r="AE437" s="46"/>
      <c r="AF437" s="46"/>
      <c r="AG437" s="17" t="s">
        <v>77</v>
      </c>
      <c r="AH437" s="17" t="s">
        <v>77</v>
      </c>
      <c r="AI437" s="258" t="s">
        <v>75</v>
      </c>
      <c r="AJ437" s="55" t="s">
        <v>1027</v>
      </c>
      <c r="AK437" s="230" t="s">
        <v>689</v>
      </c>
      <c r="AL437" s="205" t="s">
        <v>89</v>
      </c>
    </row>
    <row r="438" spans="1:38">
      <c r="A438" s="25"/>
      <c r="B438" s="26"/>
      <c r="C438" s="29"/>
      <c r="E438" s="33"/>
      <c r="F438" s="35"/>
      <c r="G438" s="102"/>
      <c r="H438" s="31"/>
      <c r="I438" s="185"/>
      <c r="J438" s="46"/>
      <c r="K438" s="46"/>
      <c r="L438" s="17"/>
      <c r="M438" s="17"/>
      <c r="N438" s="258"/>
      <c r="O438" s="55"/>
      <c r="P438" s="264"/>
      <c r="Q438" s="246"/>
      <c r="R438" s="1" t="str">
        <f t="shared" si="82"/>
        <v/>
      </c>
      <c r="S438" s="1" t="str">
        <f t="shared" si="82"/>
        <v/>
      </c>
      <c r="T438" s="1" t="str">
        <f t="shared" si="82"/>
        <v/>
      </c>
      <c r="U438" s="1" t="str">
        <f t="shared" si="82"/>
        <v/>
      </c>
      <c r="V438" s="25" t="s">
        <v>1042</v>
      </c>
      <c r="W438" s="26" t="s">
        <v>1043</v>
      </c>
      <c r="X438" s="29">
        <v>1</v>
      </c>
      <c r="Y438" s="35" t="s">
        <v>75</v>
      </c>
      <c r="Z438" s="33" t="s">
        <v>77</v>
      </c>
      <c r="AA438" s="35">
        <v>575</v>
      </c>
      <c r="AB438" s="102">
        <f t="shared" si="87"/>
        <v>0.17199999999999999</v>
      </c>
      <c r="AC438" s="31">
        <f t="shared" si="86"/>
        <v>476.1</v>
      </c>
      <c r="AD438" s="185"/>
      <c r="AE438" s="46"/>
      <c r="AF438" s="46"/>
      <c r="AG438" s="17" t="s">
        <v>77</v>
      </c>
      <c r="AH438" s="17" t="s">
        <v>77</v>
      </c>
      <c r="AI438" s="258" t="s">
        <v>75</v>
      </c>
      <c r="AJ438" s="55" t="s">
        <v>1027</v>
      </c>
      <c r="AK438" s="230" t="s">
        <v>689</v>
      </c>
      <c r="AL438" s="205" t="s">
        <v>89</v>
      </c>
    </row>
    <row r="439" spans="1:38">
      <c r="A439" s="25"/>
      <c r="B439" s="26"/>
      <c r="C439" s="29"/>
      <c r="E439" s="33"/>
      <c r="F439" s="35"/>
      <c r="G439" s="102"/>
      <c r="H439" s="31"/>
      <c r="I439" s="185"/>
      <c r="J439" s="46"/>
      <c r="K439" s="46"/>
      <c r="L439" s="17"/>
      <c r="M439" s="17"/>
      <c r="N439" s="258"/>
      <c r="O439" s="55"/>
      <c r="P439" s="264"/>
      <c r="Q439" s="246"/>
      <c r="R439" s="1" t="str">
        <f t="shared" si="82"/>
        <v/>
      </c>
      <c r="S439" s="1" t="str">
        <f t="shared" si="82"/>
        <v/>
      </c>
      <c r="T439" s="1" t="str">
        <f t="shared" si="82"/>
        <v/>
      </c>
      <c r="U439" s="1" t="str">
        <f t="shared" si="82"/>
        <v/>
      </c>
      <c r="V439" s="25" t="s">
        <v>1044</v>
      </c>
      <c r="W439" s="26" t="s">
        <v>1045</v>
      </c>
      <c r="X439" s="29">
        <v>1</v>
      </c>
      <c r="Y439" s="35" t="s">
        <v>75</v>
      </c>
      <c r="Z439" s="33" t="s">
        <v>77</v>
      </c>
      <c r="AA439" s="35">
        <v>95.83</v>
      </c>
      <c r="AB439" s="102">
        <f t="shared" ref="AB439" si="89">rv_im21_hg_cto</f>
        <v>0.17199999999999999</v>
      </c>
      <c r="AC439" s="31">
        <f t="shared" si="86"/>
        <v>79.347239999999999</v>
      </c>
      <c r="AD439" s="185"/>
      <c r="AE439" s="46"/>
      <c r="AF439" s="46"/>
      <c r="AG439" s="17" t="s">
        <v>77</v>
      </c>
      <c r="AH439" s="17" t="s">
        <v>77</v>
      </c>
      <c r="AI439" s="258" t="s">
        <v>75</v>
      </c>
      <c r="AJ439" s="55" t="s">
        <v>1027</v>
      </c>
      <c r="AK439" s="230" t="s">
        <v>689</v>
      </c>
      <c r="AL439" s="205" t="s">
        <v>89</v>
      </c>
    </row>
    <row r="440" spans="1:38">
      <c r="A440" s="25"/>
      <c r="B440" s="26"/>
      <c r="C440" s="29"/>
      <c r="E440" s="33"/>
      <c r="F440" s="35"/>
      <c r="G440" s="102"/>
      <c r="H440" s="31"/>
      <c r="I440" s="185"/>
      <c r="J440" s="46"/>
      <c r="K440" s="46"/>
      <c r="L440" s="17"/>
      <c r="M440" s="17"/>
      <c r="N440" s="258"/>
      <c r="O440" s="55"/>
      <c r="P440" s="264"/>
      <c r="Q440" s="246"/>
      <c r="R440" s="1" t="str">
        <f t="shared" si="82"/>
        <v/>
      </c>
      <c r="S440" s="1" t="str">
        <f t="shared" si="82"/>
        <v/>
      </c>
      <c r="T440" s="1" t="str">
        <f t="shared" si="82"/>
        <v/>
      </c>
      <c r="U440" s="1" t="str">
        <f t="shared" si="82"/>
        <v/>
      </c>
      <c r="V440" s="25" t="s">
        <v>1046</v>
      </c>
      <c r="W440" s="26" t="s">
        <v>1047</v>
      </c>
      <c r="X440" s="29">
        <v>1</v>
      </c>
      <c r="Y440" s="35" t="s">
        <v>75</v>
      </c>
      <c r="Z440" s="33" t="s">
        <v>77</v>
      </c>
      <c r="AA440" s="35">
        <v>41.67</v>
      </c>
      <c r="AB440" s="102">
        <f t="shared" si="87"/>
        <v>0.17199999999999999</v>
      </c>
      <c r="AC440" s="31">
        <f t="shared" si="86"/>
        <v>34.502760000000002</v>
      </c>
      <c r="AD440" s="185"/>
      <c r="AE440" s="46"/>
      <c r="AF440" s="46"/>
      <c r="AG440" s="17" t="s">
        <v>77</v>
      </c>
      <c r="AH440" s="17"/>
      <c r="AI440" s="258" t="s">
        <v>75</v>
      </c>
      <c r="AJ440" s="55" t="s">
        <v>1027</v>
      </c>
      <c r="AK440" s="230" t="s">
        <v>689</v>
      </c>
      <c r="AL440" s="205" t="s">
        <v>89</v>
      </c>
    </row>
    <row r="441" spans="1:38">
      <c r="A441" s="25"/>
      <c r="B441" s="26"/>
      <c r="C441" s="29"/>
      <c r="E441" s="33"/>
      <c r="F441" s="35"/>
      <c r="G441" s="102"/>
      <c r="H441" s="31"/>
      <c r="I441" s="185"/>
      <c r="J441" s="46"/>
      <c r="K441" s="46"/>
      <c r="L441" s="17"/>
      <c r="M441" s="17"/>
      <c r="N441" s="258"/>
      <c r="O441" s="55"/>
      <c r="P441" s="264"/>
      <c r="Q441" s="246"/>
      <c r="R441" s="1" t="str">
        <f t="shared" si="82"/>
        <v/>
      </c>
      <c r="S441" s="1" t="str">
        <f t="shared" si="82"/>
        <v/>
      </c>
      <c r="T441" s="1" t="str">
        <f t="shared" si="82"/>
        <v/>
      </c>
      <c r="U441" s="1" t="str">
        <f t="shared" si="82"/>
        <v/>
      </c>
      <c r="V441" s="25" t="s">
        <v>1048</v>
      </c>
      <c r="W441" s="26" t="s">
        <v>1049</v>
      </c>
      <c r="X441" s="29">
        <v>1</v>
      </c>
      <c r="Y441" s="35" t="s">
        <v>75</v>
      </c>
      <c r="Z441" s="33" t="s">
        <v>77</v>
      </c>
      <c r="AA441" s="35">
        <v>112.5</v>
      </c>
      <c r="AB441" s="102">
        <f t="shared" si="87"/>
        <v>0.17199999999999999</v>
      </c>
      <c r="AC441" s="31">
        <f t="shared" si="86"/>
        <v>93.15</v>
      </c>
      <c r="AD441" s="185"/>
      <c r="AE441" s="46"/>
      <c r="AF441" s="46"/>
      <c r="AG441" s="17"/>
      <c r="AH441" s="17"/>
      <c r="AI441" s="258" t="s">
        <v>75</v>
      </c>
      <c r="AJ441" s="55" t="s">
        <v>1027</v>
      </c>
      <c r="AK441" s="230" t="s">
        <v>689</v>
      </c>
      <c r="AL441" s="205" t="s">
        <v>89</v>
      </c>
    </row>
    <row r="442" spans="1:38">
      <c r="A442" s="25"/>
      <c r="B442" s="26"/>
      <c r="C442" s="29"/>
      <c r="E442" s="33"/>
      <c r="F442" s="35"/>
      <c r="G442" s="102"/>
      <c r="H442" s="31"/>
      <c r="I442" s="185"/>
      <c r="J442" s="46"/>
      <c r="K442" s="46"/>
      <c r="L442" s="17"/>
      <c r="M442" s="17"/>
      <c r="N442" s="258"/>
      <c r="O442" s="55"/>
      <c r="P442" s="264"/>
      <c r="Q442" s="246"/>
      <c r="R442" s="1" t="str">
        <f t="shared" si="82"/>
        <v/>
      </c>
      <c r="S442" s="1" t="str">
        <f t="shared" si="82"/>
        <v/>
      </c>
      <c r="T442" s="1" t="str">
        <f t="shared" si="82"/>
        <v/>
      </c>
      <c r="U442" s="1" t="str">
        <f t="shared" si="82"/>
        <v/>
      </c>
      <c r="V442" s="25" t="s">
        <v>1050</v>
      </c>
      <c r="W442" s="26" t="s">
        <v>1051</v>
      </c>
      <c r="X442" s="29">
        <v>1</v>
      </c>
      <c r="Y442" s="35" t="s">
        <v>75</v>
      </c>
      <c r="Z442" s="33" t="s">
        <v>77</v>
      </c>
      <c r="AA442" s="35">
        <v>21.67</v>
      </c>
      <c r="AB442" s="102">
        <f t="shared" si="87"/>
        <v>0.17199999999999999</v>
      </c>
      <c r="AC442" s="31">
        <f t="shared" si="86"/>
        <v>17.94276</v>
      </c>
      <c r="AD442" s="185"/>
      <c r="AE442" s="46"/>
      <c r="AF442" s="46"/>
      <c r="AG442" s="17"/>
      <c r="AH442" s="17"/>
      <c r="AI442" s="258" t="s">
        <v>75</v>
      </c>
      <c r="AJ442" s="55" t="s">
        <v>1027</v>
      </c>
      <c r="AK442" s="230" t="s">
        <v>689</v>
      </c>
      <c r="AL442" s="205" t="s">
        <v>89</v>
      </c>
    </row>
    <row r="443" spans="1:38">
      <c r="A443" s="25"/>
      <c r="B443" s="26"/>
      <c r="C443" s="29"/>
      <c r="E443" s="33"/>
      <c r="F443" s="35"/>
      <c r="G443" s="102"/>
      <c r="H443" s="31"/>
      <c r="I443" s="185"/>
      <c r="J443" s="46"/>
      <c r="K443" s="46"/>
      <c r="L443" s="17"/>
      <c r="M443" s="17"/>
      <c r="N443" s="258"/>
      <c r="O443" s="55"/>
      <c r="P443" s="264"/>
      <c r="Q443" s="246"/>
      <c r="R443" s="1" t="str">
        <f t="shared" si="82"/>
        <v/>
      </c>
      <c r="S443" s="1" t="str">
        <f t="shared" si="82"/>
        <v/>
      </c>
      <c r="T443" s="1" t="str">
        <f t="shared" si="82"/>
        <v/>
      </c>
      <c r="U443" s="1" t="str">
        <f t="shared" si="82"/>
        <v/>
      </c>
      <c r="V443" s="25" t="s">
        <v>1052</v>
      </c>
      <c r="W443" s="26" t="s">
        <v>1053</v>
      </c>
      <c r="X443" s="29">
        <v>1</v>
      </c>
      <c r="Y443" s="35" t="s">
        <v>75</v>
      </c>
      <c r="Z443" s="33" t="s">
        <v>77</v>
      </c>
      <c r="AA443" s="35">
        <v>21.67</v>
      </c>
      <c r="AB443" s="102">
        <f t="shared" si="87"/>
        <v>0.17199999999999999</v>
      </c>
      <c r="AC443" s="31">
        <f t="shared" si="86"/>
        <v>17.94276</v>
      </c>
      <c r="AD443" s="185"/>
      <c r="AE443" s="46"/>
      <c r="AF443" s="46"/>
      <c r="AG443" s="17"/>
      <c r="AH443" s="17"/>
      <c r="AI443" s="258" t="s">
        <v>75</v>
      </c>
      <c r="AJ443" s="55" t="s">
        <v>1027</v>
      </c>
      <c r="AK443" s="230" t="s">
        <v>689</v>
      </c>
      <c r="AL443" s="205" t="s">
        <v>89</v>
      </c>
    </row>
    <row r="444" spans="1:38">
      <c r="A444" s="25"/>
      <c r="B444" s="26"/>
      <c r="C444" s="29"/>
      <c r="E444" s="33"/>
      <c r="F444" s="35"/>
      <c r="G444" s="102"/>
      <c r="H444" s="31"/>
      <c r="I444" s="185"/>
      <c r="J444" s="46"/>
      <c r="K444" s="46"/>
      <c r="L444" s="17"/>
      <c r="M444" s="17"/>
      <c r="N444" s="258"/>
      <c r="O444" s="55"/>
      <c r="P444" s="264"/>
      <c r="Q444" s="246"/>
      <c r="R444" s="1" t="str">
        <f t="shared" si="82"/>
        <v/>
      </c>
      <c r="S444" s="1" t="str">
        <f t="shared" si="82"/>
        <v/>
      </c>
      <c r="T444" s="1" t="str">
        <f t="shared" si="82"/>
        <v/>
      </c>
      <c r="U444" s="1" t="str">
        <f t="shared" si="82"/>
        <v/>
      </c>
      <c r="V444" s="25" t="s">
        <v>1054</v>
      </c>
      <c r="W444" s="26" t="s">
        <v>1055</v>
      </c>
      <c r="X444" s="29">
        <v>1</v>
      </c>
      <c r="Y444" s="35" t="s">
        <v>75</v>
      </c>
      <c r="Z444" s="33" t="s">
        <v>77</v>
      </c>
      <c r="AA444" s="35">
        <v>21.67</v>
      </c>
      <c r="AB444" s="102">
        <f t="shared" si="87"/>
        <v>0.17199999999999999</v>
      </c>
      <c r="AC444" s="31">
        <f t="shared" si="86"/>
        <v>17.94276</v>
      </c>
      <c r="AD444" s="185"/>
      <c r="AE444" s="46"/>
      <c r="AF444" s="46"/>
      <c r="AG444" s="17"/>
      <c r="AH444" s="17"/>
      <c r="AI444" s="258" t="s">
        <v>75</v>
      </c>
      <c r="AJ444" s="55" t="s">
        <v>1027</v>
      </c>
      <c r="AK444" s="230" t="s">
        <v>689</v>
      </c>
      <c r="AL444" s="205" t="s">
        <v>89</v>
      </c>
    </row>
    <row r="445" spans="1:38">
      <c r="A445" s="25"/>
      <c r="B445" s="26"/>
      <c r="C445" s="29"/>
      <c r="E445" s="33"/>
      <c r="F445" s="35"/>
      <c r="G445" s="22"/>
      <c r="H445" s="31"/>
      <c r="I445" s="185"/>
      <c r="J445" s="46"/>
      <c r="K445" s="46"/>
      <c r="L445" s="17"/>
      <c r="M445" s="17"/>
      <c r="N445" s="258"/>
      <c r="O445" s="55"/>
      <c r="P445" s="264"/>
      <c r="Q445" s="246"/>
      <c r="R445" s="1" t="str">
        <f t="shared" si="82"/>
        <v/>
      </c>
      <c r="S445" s="1" t="str">
        <f t="shared" si="82"/>
        <v/>
      </c>
      <c r="T445" s="1" t="str">
        <f t="shared" si="82"/>
        <v/>
      </c>
      <c r="U445" s="1" t="str">
        <f t="shared" si="82"/>
        <v/>
      </c>
      <c r="V445" s="25" t="s">
        <v>1056</v>
      </c>
      <c r="W445" s="26" t="s">
        <v>1057</v>
      </c>
      <c r="X445" s="29">
        <v>1</v>
      </c>
      <c r="Y445" s="35" t="s">
        <v>75</v>
      </c>
      <c r="Z445" s="33" t="s">
        <v>77</v>
      </c>
      <c r="AA445" s="35"/>
      <c r="AB445" s="22"/>
      <c r="AC445" s="31">
        <f t="shared" si="86"/>
        <v>0</v>
      </c>
      <c r="AD445" s="185"/>
      <c r="AE445" s="46"/>
      <c r="AF445" s="46"/>
      <c r="AG445" s="17"/>
      <c r="AH445" s="17"/>
      <c r="AI445" s="258" t="s">
        <v>75</v>
      </c>
      <c r="AJ445" s="55" t="s">
        <v>1027</v>
      </c>
      <c r="AK445" s="230" t="s">
        <v>689</v>
      </c>
      <c r="AL445" s="205" t="s">
        <v>89</v>
      </c>
    </row>
    <row r="446" spans="1:38">
      <c r="A446" s="25"/>
      <c r="B446" s="26"/>
      <c r="C446" s="29"/>
      <c r="E446" s="33"/>
      <c r="F446" s="35"/>
      <c r="G446" s="22"/>
      <c r="H446" s="31"/>
      <c r="I446" s="185"/>
      <c r="J446" s="46"/>
      <c r="K446" s="46"/>
      <c r="L446" s="17"/>
      <c r="M446" s="17"/>
      <c r="N446" s="258"/>
      <c r="O446" s="55"/>
      <c r="P446" s="264"/>
      <c r="Q446" s="246"/>
      <c r="R446" s="1" t="str">
        <f t="shared" si="82"/>
        <v/>
      </c>
      <c r="S446" s="1" t="str">
        <f t="shared" si="82"/>
        <v/>
      </c>
      <c r="T446" s="1" t="str">
        <f t="shared" si="82"/>
        <v/>
      </c>
      <c r="U446" s="1" t="str">
        <f t="shared" si="82"/>
        <v/>
      </c>
      <c r="V446" s="25" t="s">
        <v>1058</v>
      </c>
      <c r="W446" s="26" t="s">
        <v>1059</v>
      </c>
      <c r="X446" s="29">
        <v>1</v>
      </c>
      <c r="Y446" s="35" t="s">
        <v>75</v>
      </c>
      <c r="Z446" s="33" t="s">
        <v>77</v>
      </c>
      <c r="AA446" s="35"/>
      <c r="AB446" s="22"/>
      <c r="AC446" s="31">
        <f t="shared" si="86"/>
        <v>0</v>
      </c>
      <c r="AD446" s="185"/>
      <c r="AE446" s="46"/>
      <c r="AF446" s="46"/>
      <c r="AG446" s="17"/>
      <c r="AH446" s="17"/>
      <c r="AI446" s="258" t="s">
        <v>75</v>
      </c>
      <c r="AJ446" s="55" t="s">
        <v>1027</v>
      </c>
      <c r="AK446" s="230" t="s">
        <v>689</v>
      </c>
      <c r="AL446" s="205" t="s">
        <v>89</v>
      </c>
    </row>
    <row r="447" spans="1:38">
      <c r="A447" s="93"/>
      <c r="B447" s="94"/>
      <c r="C447" s="95"/>
      <c r="D447" s="96"/>
      <c r="E447" s="140"/>
      <c r="F447" s="96"/>
      <c r="G447" s="141"/>
      <c r="H447" s="98"/>
      <c r="I447" s="193"/>
      <c r="J447" s="99"/>
      <c r="K447" s="122"/>
      <c r="L447" s="17"/>
      <c r="M447" s="17"/>
      <c r="N447" s="257"/>
      <c r="O447" s="55"/>
      <c r="P447" s="264"/>
      <c r="Q447" s="246"/>
      <c r="R447" s="1" t="str">
        <f t="shared" si="82"/>
        <v/>
      </c>
      <c r="S447" s="1" t="str">
        <f t="shared" si="82"/>
        <v/>
      </c>
      <c r="T447" s="1" t="str">
        <f t="shared" si="82"/>
        <v/>
      </c>
      <c r="U447" s="1" t="str">
        <f t="shared" si="82"/>
        <v/>
      </c>
      <c r="V447" s="93" t="s">
        <v>1060</v>
      </c>
      <c r="W447" s="94" t="s">
        <v>1061</v>
      </c>
      <c r="X447" s="95">
        <v>1</v>
      </c>
      <c r="Y447" s="96" t="s">
        <v>75</v>
      </c>
      <c r="Z447" s="140" t="s">
        <v>1060</v>
      </c>
      <c r="AA447" s="96">
        <v>2163.33</v>
      </c>
      <c r="AB447" s="141">
        <f>rv_im27_hg</f>
        <v>0.17199999999999999</v>
      </c>
      <c r="AC447" s="98">
        <f t="shared" si="86"/>
        <v>1791.2372399999999</v>
      </c>
      <c r="AD447" s="193" t="s">
        <v>962</v>
      </c>
      <c r="AE447" s="99">
        <f>im27_5pl</f>
        <v>0</v>
      </c>
      <c r="AF447" s="122">
        <f>AC447+AE447</f>
        <v>1791.2372399999999</v>
      </c>
      <c r="AG447" s="17" t="s">
        <v>77</v>
      </c>
      <c r="AH447" s="17">
        <v>2.5</v>
      </c>
      <c r="AI447" s="257" t="s">
        <v>75</v>
      </c>
      <c r="AJ447" s="55" t="s">
        <v>1062</v>
      </c>
      <c r="AK447" s="230" t="s">
        <v>689</v>
      </c>
      <c r="AL447" s="205" t="s">
        <v>690</v>
      </c>
    </row>
    <row r="448" spans="1:38">
      <c r="A448" s="25"/>
      <c r="B448" s="26"/>
      <c r="C448" s="29"/>
      <c r="E448" s="33"/>
      <c r="F448" s="35"/>
      <c r="G448" s="102"/>
      <c r="H448" s="31"/>
      <c r="I448" s="185"/>
      <c r="J448" s="46"/>
      <c r="K448" s="46"/>
      <c r="L448" s="17"/>
      <c r="M448" s="17"/>
      <c r="N448" s="258"/>
      <c r="O448" s="55"/>
      <c r="P448" s="264"/>
      <c r="Q448" s="246"/>
      <c r="R448" s="1" t="str">
        <f t="shared" si="82"/>
        <v/>
      </c>
      <c r="S448" s="1" t="str">
        <f t="shared" si="82"/>
        <v/>
      </c>
      <c r="T448" s="1" t="str">
        <f t="shared" si="82"/>
        <v/>
      </c>
      <c r="U448" s="1" t="str">
        <f t="shared" si="82"/>
        <v/>
      </c>
      <c r="V448" s="25" t="s">
        <v>1063</v>
      </c>
      <c r="W448" s="26" t="s">
        <v>1064</v>
      </c>
      <c r="X448" s="29">
        <v>1</v>
      </c>
      <c r="Y448" s="35" t="s">
        <v>75</v>
      </c>
      <c r="Z448" s="33" t="s">
        <v>77</v>
      </c>
      <c r="AA448" s="35">
        <v>287.5</v>
      </c>
      <c r="AB448" s="102">
        <f t="shared" ref="AB448:AB465" si="90">rv_im27_hg_cto</f>
        <v>0.17199999999999999</v>
      </c>
      <c r="AC448" s="31">
        <f t="shared" si="86"/>
        <v>238.05</v>
      </c>
      <c r="AD448" s="185"/>
      <c r="AE448" s="46"/>
      <c r="AF448" s="46"/>
      <c r="AG448" s="17" t="s">
        <v>77</v>
      </c>
      <c r="AH448" s="17" t="s">
        <v>77</v>
      </c>
      <c r="AI448" s="258" t="s">
        <v>75</v>
      </c>
      <c r="AJ448" s="55" t="s">
        <v>1062</v>
      </c>
      <c r="AK448" s="230" t="s">
        <v>689</v>
      </c>
      <c r="AL448" s="205" t="s">
        <v>89</v>
      </c>
    </row>
    <row r="449" spans="1:38">
      <c r="A449" s="25"/>
      <c r="B449" s="26"/>
      <c r="C449" s="29"/>
      <c r="E449" s="33"/>
      <c r="F449" s="35"/>
      <c r="G449" s="102"/>
      <c r="H449" s="31"/>
      <c r="I449" s="185"/>
      <c r="J449" s="46"/>
      <c r="K449" s="46"/>
      <c r="L449" s="17"/>
      <c r="M449" s="17"/>
      <c r="N449" s="258"/>
      <c r="O449" s="55"/>
      <c r="P449" s="264"/>
      <c r="Q449" s="246"/>
      <c r="R449" s="1" t="str">
        <f t="shared" si="82"/>
        <v/>
      </c>
      <c r="S449" s="1" t="str">
        <f t="shared" si="82"/>
        <v/>
      </c>
      <c r="T449" s="1" t="str">
        <f t="shared" si="82"/>
        <v/>
      </c>
      <c r="U449" s="1" t="str">
        <f t="shared" si="82"/>
        <v/>
      </c>
      <c r="V449" s="25" t="s">
        <v>1065</v>
      </c>
      <c r="W449" s="26" t="s">
        <v>1066</v>
      </c>
      <c r="X449" s="29">
        <v>1</v>
      </c>
      <c r="Y449" s="35" t="s">
        <v>75</v>
      </c>
      <c r="Z449" s="33" t="s">
        <v>77</v>
      </c>
      <c r="AA449" s="35">
        <v>383.33</v>
      </c>
      <c r="AB449" s="102">
        <f t="shared" si="90"/>
        <v>0.17199999999999999</v>
      </c>
      <c r="AC449" s="31">
        <f t="shared" si="86"/>
        <v>317.39724000000001</v>
      </c>
      <c r="AD449" s="185"/>
      <c r="AE449" s="46"/>
      <c r="AF449" s="46"/>
      <c r="AG449" s="17" t="s">
        <v>77</v>
      </c>
      <c r="AH449" s="17" t="s">
        <v>77</v>
      </c>
      <c r="AI449" s="258" t="s">
        <v>75</v>
      </c>
      <c r="AJ449" s="55" t="s">
        <v>1062</v>
      </c>
      <c r="AK449" s="230" t="s">
        <v>689</v>
      </c>
      <c r="AL449" s="205" t="s">
        <v>89</v>
      </c>
    </row>
    <row r="450" spans="1:38">
      <c r="A450" s="25"/>
      <c r="B450" s="26"/>
      <c r="C450" s="29"/>
      <c r="E450" s="33"/>
      <c r="F450" s="35"/>
      <c r="G450" s="102"/>
      <c r="H450" s="31"/>
      <c r="I450" s="185"/>
      <c r="J450" s="46"/>
      <c r="K450" s="46"/>
      <c r="L450" s="17"/>
      <c r="M450" s="17"/>
      <c r="N450" s="258"/>
      <c r="O450" s="55"/>
      <c r="P450" s="264"/>
      <c r="Q450" s="246"/>
      <c r="R450" s="1" t="str">
        <f t="shared" si="82"/>
        <v/>
      </c>
      <c r="S450" s="1" t="str">
        <f t="shared" si="82"/>
        <v/>
      </c>
      <c r="T450" s="1" t="str">
        <f t="shared" si="82"/>
        <v/>
      </c>
      <c r="U450" s="1" t="str">
        <f t="shared" si="82"/>
        <v/>
      </c>
      <c r="V450" s="25" t="s">
        <v>1067</v>
      </c>
      <c r="W450" s="26" t="s">
        <v>1068</v>
      </c>
      <c r="X450" s="29">
        <v>1</v>
      </c>
      <c r="Y450" s="35" t="s">
        <v>75</v>
      </c>
      <c r="Z450" s="33" t="s">
        <v>77</v>
      </c>
      <c r="AA450" s="35">
        <v>191.67</v>
      </c>
      <c r="AB450" s="102">
        <f t="shared" si="90"/>
        <v>0.17199999999999999</v>
      </c>
      <c r="AC450" s="31">
        <f t="shared" si="86"/>
        <v>158.70275999999998</v>
      </c>
      <c r="AD450" s="185"/>
      <c r="AE450" s="46"/>
      <c r="AF450" s="46"/>
      <c r="AG450" s="17" t="s">
        <v>77</v>
      </c>
      <c r="AH450" s="17" t="s">
        <v>77</v>
      </c>
      <c r="AI450" s="258" t="s">
        <v>75</v>
      </c>
      <c r="AJ450" s="55" t="s">
        <v>1062</v>
      </c>
      <c r="AK450" s="230" t="s">
        <v>689</v>
      </c>
      <c r="AL450" s="205" t="s">
        <v>89</v>
      </c>
    </row>
    <row r="451" spans="1:38">
      <c r="A451" s="25"/>
      <c r="B451" s="26"/>
      <c r="C451" s="29"/>
      <c r="E451" s="33"/>
      <c r="F451" s="35"/>
      <c r="G451" s="102"/>
      <c r="H451" s="31"/>
      <c r="I451" s="185"/>
      <c r="J451" s="46"/>
      <c r="K451" s="46"/>
      <c r="L451" s="17"/>
      <c r="M451" s="17"/>
      <c r="N451" s="258"/>
      <c r="O451" s="55"/>
      <c r="P451" s="264"/>
      <c r="Q451" s="246"/>
      <c r="R451" s="1" t="str">
        <f t="shared" si="82"/>
        <v/>
      </c>
      <c r="S451" s="1" t="str">
        <f t="shared" si="82"/>
        <v/>
      </c>
      <c r="T451" s="1" t="str">
        <f t="shared" si="82"/>
        <v/>
      </c>
      <c r="U451" s="1" t="str">
        <f t="shared" si="82"/>
        <v/>
      </c>
      <c r="V451" s="25" t="s">
        <v>1069</v>
      </c>
      <c r="W451" s="26" t="s">
        <v>1070</v>
      </c>
      <c r="X451" s="29">
        <v>1</v>
      </c>
      <c r="Y451" s="35" t="s">
        <v>75</v>
      </c>
      <c r="Z451" s="33" t="s">
        <v>77</v>
      </c>
      <c r="AA451" s="35">
        <v>575</v>
      </c>
      <c r="AB451" s="102">
        <f t="shared" si="90"/>
        <v>0.17199999999999999</v>
      </c>
      <c r="AC451" s="31">
        <f t="shared" si="86"/>
        <v>476.1</v>
      </c>
      <c r="AD451" s="185"/>
      <c r="AE451" s="46"/>
      <c r="AF451" s="46"/>
      <c r="AG451" s="17" t="s">
        <v>77</v>
      </c>
      <c r="AH451" s="17" t="s">
        <v>77</v>
      </c>
      <c r="AI451" s="258" t="s">
        <v>75</v>
      </c>
      <c r="AJ451" s="55" t="s">
        <v>1062</v>
      </c>
      <c r="AK451" s="230" t="s">
        <v>689</v>
      </c>
      <c r="AL451" s="205" t="s">
        <v>89</v>
      </c>
    </row>
    <row r="452" spans="1:38">
      <c r="A452" s="25"/>
      <c r="B452" s="26"/>
      <c r="C452" s="29"/>
      <c r="E452" s="33"/>
      <c r="F452" s="35"/>
      <c r="G452" s="102"/>
      <c r="H452" s="31"/>
      <c r="I452" s="185"/>
      <c r="J452" s="46"/>
      <c r="K452" s="46"/>
      <c r="L452" s="17"/>
      <c r="M452" s="17"/>
      <c r="N452" s="258"/>
      <c r="O452" s="55"/>
      <c r="P452" s="264"/>
      <c r="Q452" s="246"/>
      <c r="R452" s="1" t="str">
        <f t="shared" si="82"/>
        <v/>
      </c>
      <c r="S452" s="1" t="str">
        <f t="shared" si="82"/>
        <v/>
      </c>
      <c r="T452" s="1" t="str">
        <f t="shared" si="82"/>
        <v/>
      </c>
      <c r="U452" s="1" t="str">
        <f t="shared" si="82"/>
        <v/>
      </c>
      <c r="V452" s="25" t="s">
        <v>1071</v>
      </c>
      <c r="W452" s="26" t="s">
        <v>1072</v>
      </c>
      <c r="X452" s="29">
        <v>1</v>
      </c>
      <c r="Y452" s="35" t="s">
        <v>75</v>
      </c>
      <c r="Z452" s="33" t="s">
        <v>77</v>
      </c>
      <c r="AA452" s="35">
        <v>958.33</v>
      </c>
      <c r="AB452" s="102">
        <f t="shared" si="90"/>
        <v>0.17199999999999999</v>
      </c>
      <c r="AC452" s="31">
        <f t="shared" si="86"/>
        <v>793.49724000000003</v>
      </c>
      <c r="AD452" s="185"/>
      <c r="AE452" s="46"/>
      <c r="AF452" s="46"/>
      <c r="AG452" s="17" t="s">
        <v>77</v>
      </c>
      <c r="AH452" s="17" t="s">
        <v>77</v>
      </c>
      <c r="AI452" s="258" t="s">
        <v>75</v>
      </c>
      <c r="AJ452" s="55" t="s">
        <v>1062</v>
      </c>
      <c r="AK452" s="230" t="s">
        <v>689</v>
      </c>
      <c r="AL452" s="205" t="s">
        <v>89</v>
      </c>
    </row>
    <row r="453" spans="1:38">
      <c r="A453" s="25"/>
      <c r="B453" s="26"/>
      <c r="C453" s="29"/>
      <c r="E453" s="33"/>
      <c r="F453" s="35"/>
      <c r="G453" s="102"/>
      <c r="H453" s="31"/>
      <c r="I453" s="185"/>
      <c r="J453" s="46"/>
      <c r="K453" s="46"/>
      <c r="L453" s="17"/>
      <c r="M453" s="17"/>
      <c r="N453" s="258"/>
      <c r="O453" s="55"/>
      <c r="P453" s="264"/>
      <c r="Q453" s="246"/>
      <c r="R453" s="1" t="str">
        <f t="shared" si="82"/>
        <v/>
      </c>
      <c r="S453" s="1" t="str">
        <f t="shared" si="82"/>
        <v/>
      </c>
      <c r="T453" s="1" t="str">
        <f t="shared" si="82"/>
        <v/>
      </c>
      <c r="U453" s="1" t="str">
        <f t="shared" ref="U453:U516" si="91">+IF($K453&lt;&gt;"",U$2*$K453,"")</f>
        <v/>
      </c>
      <c r="V453" s="25" t="s">
        <v>1073</v>
      </c>
      <c r="W453" s="26" t="s">
        <v>1074</v>
      </c>
      <c r="X453" s="29">
        <v>1</v>
      </c>
      <c r="Y453" s="35" t="s">
        <v>75</v>
      </c>
      <c r="Z453" s="33" t="s">
        <v>77</v>
      </c>
      <c r="AA453" s="35">
        <v>2491.67</v>
      </c>
      <c r="AB453" s="102">
        <f t="shared" si="90"/>
        <v>0.17199999999999999</v>
      </c>
      <c r="AC453" s="31">
        <f t="shared" si="86"/>
        <v>2063.1027600000002</v>
      </c>
      <c r="AD453" s="185"/>
      <c r="AE453" s="46"/>
      <c r="AF453" s="46"/>
      <c r="AG453" s="17" t="s">
        <v>77</v>
      </c>
      <c r="AH453" s="17" t="s">
        <v>77</v>
      </c>
      <c r="AI453" s="258" t="s">
        <v>75</v>
      </c>
      <c r="AJ453" s="55" t="s">
        <v>1062</v>
      </c>
      <c r="AK453" s="230" t="s">
        <v>689</v>
      </c>
      <c r="AL453" s="205" t="s">
        <v>89</v>
      </c>
    </row>
    <row r="454" spans="1:38">
      <c r="A454" s="25"/>
      <c r="B454" s="26"/>
      <c r="C454" s="29"/>
      <c r="E454" s="33"/>
      <c r="F454" s="35"/>
      <c r="G454" s="102"/>
      <c r="H454" s="31"/>
      <c r="I454" s="185"/>
      <c r="J454" s="46"/>
      <c r="K454" s="46"/>
      <c r="L454" s="17"/>
      <c r="M454" s="17"/>
      <c r="N454" s="258"/>
      <c r="O454" s="55"/>
      <c r="P454" s="264"/>
      <c r="Q454" s="246"/>
      <c r="R454" s="1" t="str">
        <f t="shared" ref="R454:U517" si="92">+IF($K454&lt;&gt;"",R$2*$K454,"")</f>
        <v/>
      </c>
      <c r="S454" s="1" t="str">
        <f t="shared" si="92"/>
        <v/>
      </c>
      <c r="T454" s="1" t="str">
        <f t="shared" si="92"/>
        <v/>
      </c>
      <c r="U454" s="1" t="str">
        <f t="shared" si="91"/>
        <v/>
      </c>
      <c r="V454" s="25" t="s">
        <v>1075</v>
      </c>
      <c r="W454" s="26" t="s">
        <v>1076</v>
      </c>
      <c r="X454" s="29">
        <v>1</v>
      </c>
      <c r="Y454" s="35" t="s">
        <v>75</v>
      </c>
      <c r="Z454" s="33" t="s">
        <v>77</v>
      </c>
      <c r="AA454" s="35">
        <v>287.5</v>
      </c>
      <c r="AB454" s="102">
        <f t="shared" si="90"/>
        <v>0.17199999999999999</v>
      </c>
      <c r="AC454" s="31">
        <f t="shared" si="86"/>
        <v>238.05</v>
      </c>
      <c r="AD454" s="185"/>
      <c r="AE454" s="46"/>
      <c r="AF454" s="46"/>
      <c r="AG454" s="17" t="s">
        <v>77</v>
      </c>
      <c r="AH454" s="17" t="s">
        <v>77</v>
      </c>
      <c r="AI454" s="258" t="s">
        <v>75</v>
      </c>
      <c r="AJ454" s="55" t="s">
        <v>1062</v>
      </c>
      <c r="AK454" s="230" t="s">
        <v>689</v>
      </c>
      <c r="AL454" s="205" t="s">
        <v>89</v>
      </c>
    </row>
    <row r="455" spans="1:38">
      <c r="A455" s="25"/>
      <c r="B455" s="26"/>
      <c r="C455" s="29"/>
      <c r="E455" s="33"/>
      <c r="F455" s="35"/>
      <c r="G455" s="102"/>
      <c r="H455" s="31"/>
      <c r="I455" s="185"/>
      <c r="J455" s="46"/>
      <c r="K455" s="46"/>
      <c r="L455" s="17"/>
      <c r="M455" s="17"/>
      <c r="N455" s="258"/>
      <c r="O455" s="55"/>
      <c r="P455" s="264"/>
      <c r="Q455" s="246"/>
      <c r="R455" s="1" t="str">
        <f t="shared" si="92"/>
        <v/>
      </c>
      <c r="S455" s="1" t="str">
        <f t="shared" si="92"/>
        <v/>
      </c>
      <c r="T455" s="1" t="str">
        <f t="shared" si="92"/>
        <v/>
      </c>
      <c r="U455" s="1" t="str">
        <f t="shared" si="91"/>
        <v/>
      </c>
      <c r="V455" s="25" t="s">
        <v>1077</v>
      </c>
      <c r="W455" s="26" t="s">
        <v>1078</v>
      </c>
      <c r="X455" s="29">
        <v>1</v>
      </c>
      <c r="Y455" s="35" t="s">
        <v>75</v>
      </c>
      <c r="Z455" s="33" t="s">
        <v>77</v>
      </c>
      <c r="AA455" s="35">
        <v>479.17</v>
      </c>
      <c r="AB455" s="102">
        <f t="shared" si="90"/>
        <v>0.17199999999999999</v>
      </c>
      <c r="AC455" s="31">
        <f t="shared" si="86"/>
        <v>396.75276000000002</v>
      </c>
      <c r="AD455" s="185"/>
      <c r="AE455" s="46"/>
      <c r="AF455" s="46"/>
      <c r="AG455" s="17" t="s">
        <v>77</v>
      </c>
      <c r="AH455" s="17" t="s">
        <v>77</v>
      </c>
      <c r="AI455" s="258" t="s">
        <v>75</v>
      </c>
      <c r="AJ455" s="55" t="s">
        <v>1062</v>
      </c>
      <c r="AK455" s="230" t="s">
        <v>689</v>
      </c>
      <c r="AL455" s="205" t="s">
        <v>89</v>
      </c>
    </row>
    <row r="456" spans="1:38">
      <c r="A456" s="25"/>
      <c r="B456" s="26"/>
      <c r="C456" s="29"/>
      <c r="E456" s="33"/>
      <c r="F456" s="35"/>
      <c r="G456" s="102"/>
      <c r="H456" s="31"/>
      <c r="I456" s="185"/>
      <c r="J456" s="46"/>
      <c r="K456" s="46"/>
      <c r="L456" s="17"/>
      <c r="M456" s="17"/>
      <c r="N456" s="258"/>
      <c r="O456" s="55"/>
      <c r="P456" s="264"/>
      <c r="Q456" s="246"/>
      <c r="R456" s="1" t="str">
        <f t="shared" si="92"/>
        <v/>
      </c>
      <c r="S456" s="1" t="str">
        <f t="shared" si="92"/>
        <v/>
      </c>
      <c r="T456" s="1" t="str">
        <f t="shared" si="92"/>
        <v/>
      </c>
      <c r="U456" s="1" t="str">
        <f t="shared" si="91"/>
        <v/>
      </c>
      <c r="V456" s="25" t="s">
        <v>1079</v>
      </c>
      <c r="W456" s="26" t="s">
        <v>1080</v>
      </c>
      <c r="X456" s="29">
        <v>1</v>
      </c>
      <c r="Y456" s="35" t="s">
        <v>75</v>
      </c>
      <c r="Z456" s="33" t="s">
        <v>77</v>
      </c>
      <c r="AA456" s="35">
        <v>191.67</v>
      </c>
      <c r="AB456" s="102">
        <f t="shared" si="90"/>
        <v>0.17199999999999999</v>
      </c>
      <c r="AC456" s="31">
        <f t="shared" si="86"/>
        <v>158.70275999999998</v>
      </c>
      <c r="AD456" s="185"/>
      <c r="AE456" s="46"/>
      <c r="AF456" s="46"/>
      <c r="AG456" s="17" t="s">
        <v>77</v>
      </c>
      <c r="AH456" s="17" t="s">
        <v>77</v>
      </c>
      <c r="AI456" s="258" t="s">
        <v>75</v>
      </c>
      <c r="AJ456" s="55" t="s">
        <v>1062</v>
      </c>
      <c r="AK456" s="230" t="s">
        <v>689</v>
      </c>
      <c r="AL456" s="205" t="s">
        <v>89</v>
      </c>
    </row>
    <row r="457" spans="1:38">
      <c r="A457" s="25"/>
      <c r="B457" s="26"/>
      <c r="C457" s="29"/>
      <c r="E457" s="33"/>
      <c r="F457" s="35"/>
      <c r="G457" s="102"/>
      <c r="H457" s="31"/>
      <c r="I457" s="185"/>
      <c r="J457" s="46"/>
      <c r="K457" s="46"/>
      <c r="L457" s="17"/>
      <c r="M457" s="17"/>
      <c r="N457" s="258"/>
      <c r="O457" s="55"/>
      <c r="P457" s="264"/>
      <c r="Q457" s="246"/>
      <c r="R457" s="1" t="str">
        <f t="shared" si="92"/>
        <v/>
      </c>
      <c r="S457" s="1" t="str">
        <f t="shared" si="92"/>
        <v/>
      </c>
      <c r="T457" s="1" t="str">
        <f t="shared" si="92"/>
        <v/>
      </c>
      <c r="U457" s="1" t="str">
        <f t="shared" si="91"/>
        <v/>
      </c>
      <c r="V457" s="25" t="s">
        <v>1081</v>
      </c>
      <c r="W457" s="26" t="s">
        <v>1082</v>
      </c>
      <c r="X457" s="29">
        <v>1</v>
      </c>
      <c r="Y457" s="35" t="s">
        <v>75</v>
      </c>
      <c r="Z457" s="33" t="s">
        <v>77</v>
      </c>
      <c r="AA457" s="35">
        <v>575</v>
      </c>
      <c r="AB457" s="102">
        <f t="shared" si="90"/>
        <v>0.17199999999999999</v>
      </c>
      <c r="AC457" s="31">
        <f t="shared" si="86"/>
        <v>476.1</v>
      </c>
      <c r="AD457" s="185"/>
      <c r="AE457" s="46"/>
      <c r="AF457" s="46"/>
      <c r="AG457" s="17" t="s">
        <v>77</v>
      </c>
      <c r="AH457" s="17" t="s">
        <v>77</v>
      </c>
      <c r="AI457" s="258" t="s">
        <v>75</v>
      </c>
      <c r="AJ457" s="55" t="s">
        <v>1062</v>
      </c>
      <c r="AK457" s="230" t="s">
        <v>689</v>
      </c>
      <c r="AL457" s="205" t="s">
        <v>89</v>
      </c>
    </row>
    <row r="458" spans="1:38">
      <c r="A458" s="25"/>
      <c r="B458" s="26"/>
      <c r="C458" s="29"/>
      <c r="E458" s="33"/>
      <c r="F458" s="35"/>
      <c r="G458" s="102"/>
      <c r="H458" s="31"/>
      <c r="I458" s="185"/>
      <c r="J458" s="46"/>
      <c r="K458" s="46"/>
      <c r="L458" s="17"/>
      <c r="M458" s="17"/>
      <c r="N458" s="258"/>
      <c r="O458" s="55"/>
      <c r="P458" s="264"/>
      <c r="Q458" s="246"/>
      <c r="R458" s="1" t="str">
        <f t="shared" si="92"/>
        <v/>
      </c>
      <c r="S458" s="1" t="str">
        <f t="shared" si="92"/>
        <v/>
      </c>
      <c r="T458" s="1" t="str">
        <f t="shared" si="92"/>
        <v/>
      </c>
      <c r="U458" s="1" t="str">
        <f t="shared" si="91"/>
        <v/>
      </c>
      <c r="V458" s="25" t="s">
        <v>1083</v>
      </c>
      <c r="W458" s="26" t="s">
        <v>1084</v>
      </c>
      <c r="X458" s="29">
        <v>1</v>
      </c>
      <c r="Y458" s="35" t="s">
        <v>75</v>
      </c>
      <c r="Z458" s="33" t="s">
        <v>77</v>
      </c>
      <c r="AA458" s="35">
        <v>1150</v>
      </c>
      <c r="AB458" s="102">
        <f t="shared" si="90"/>
        <v>0.17199999999999999</v>
      </c>
      <c r="AC458" s="31">
        <f t="shared" si="86"/>
        <v>952.2</v>
      </c>
      <c r="AD458" s="185"/>
      <c r="AE458" s="46"/>
      <c r="AF458" s="46"/>
      <c r="AG458" s="17" t="s">
        <v>77</v>
      </c>
      <c r="AH458" s="17" t="s">
        <v>77</v>
      </c>
      <c r="AI458" s="258" t="s">
        <v>75</v>
      </c>
      <c r="AJ458" s="55" t="s">
        <v>1062</v>
      </c>
      <c r="AK458" s="230" t="s">
        <v>689</v>
      </c>
      <c r="AL458" s="205" t="s">
        <v>89</v>
      </c>
    </row>
    <row r="459" spans="1:38">
      <c r="A459" s="25"/>
      <c r="B459" s="26"/>
      <c r="C459" s="29"/>
      <c r="E459" s="33"/>
      <c r="F459" s="35"/>
      <c r="G459" s="102"/>
      <c r="H459" s="31"/>
      <c r="I459" s="185"/>
      <c r="J459" s="46"/>
      <c r="K459" s="46"/>
      <c r="L459" s="17"/>
      <c r="M459" s="17"/>
      <c r="N459" s="258"/>
      <c r="O459" s="55"/>
      <c r="P459" s="264"/>
      <c r="Q459" s="246"/>
      <c r="R459" s="1" t="str">
        <f t="shared" si="92"/>
        <v/>
      </c>
      <c r="S459" s="1" t="str">
        <f t="shared" si="92"/>
        <v/>
      </c>
      <c r="T459" s="1" t="str">
        <f t="shared" si="92"/>
        <v/>
      </c>
      <c r="U459" s="1" t="str">
        <f t="shared" si="91"/>
        <v/>
      </c>
      <c r="V459" s="25" t="s">
        <v>1085</v>
      </c>
      <c r="W459" s="26" t="s">
        <v>1086</v>
      </c>
      <c r="X459" s="29">
        <v>1</v>
      </c>
      <c r="Y459" s="35" t="s">
        <v>75</v>
      </c>
      <c r="Z459" s="33" t="s">
        <v>77</v>
      </c>
      <c r="AA459" s="35">
        <v>2300</v>
      </c>
      <c r="AB459" s="102">
        <f t="shared" si="90"/>
        <v>0.17199999999999999</v>
      </c>
      <c r="AC459" s="31">
        <f t="shared" si="86"/>
        <v>1904.4</v>
      </c>
      <c r="AD459" s="185"/>
      <c r="AE459" s="46"/>
      <c r="AF459" s="46"/>
      <c r="AG459" s="17" t="s">
        <v>77</v>
      </c>
      <c r="AH459" s="17" t="s">
        <v>77</v>
      </c>
      <c r="AI459" s="258" t="s">
        <v>75</v>
      </c>
      <c r="AJ459" s="55" t="s">
        <v>1062</v>
      </c>
      <c r="AK459" s="230" t="s">
        <v>689</v>
      </c>
      <c r="AL459" s="205" t="s">
        <v>89</v>
      </c>
    </row>
    <row r="460" spans="1:38">
      <c r="A460" s="25"/>
      <c r="B460" s="26"/>
      <c r="C460" s="29"/>
      <c r="E460" s="33"/>
      <c r="F460" s="35"/>
      <c r="G460" s="102"/>
      <c r="H460" s="31"/>
      <c r="I460" s="185"/>
      <c r="J460" s="46"/>
      <c r="K460" s="46"/>
      <c r="L460" s="17"/>
      <c r="M460" s="17"/>
      <c r="N460" s="258"/>
      <c r="O460" s="55"/>
      <c r="P460" s="264"/>
      <c r="Q460" s="246"/>
      <c r="R460" s="1" t="str">
        <f t="shared" si="92"/>
        <v/>
      </c>
      <c r="S460" s="1" t="str">
        <f t="shared" si="92"/>
        <v/>
      </c>
      <c r="T460" s="1" t="str">
        <f t="shared" si="92"/>
        <v/>
      </c>
      <c r="U460" s="1" t="str">
        <f t="shared" si="91"/>
        <v/>
      </c>
      <c r="V460" s="25" t="s">
        <v>1087</v>
      </c>
      <c r="W460" s="26" t="s">
        <v>1088</v>
      </c>
      <c r="X460" s="29">
        <v>1</v>
      </c>
      <c r="Y460" s="35" t="s">
        <v>75</v>
      </c>
      <c r="Z460" s="33" t="s">
        <v>77</v>
      </c>
      <c r="AA460" s="35">
        <v>95.83</v>
      </c>
      <c r="AB460" s="102">
        <f t="shared" si="90"/>
        <v>0.17199999999999999</v>
      </c>
      <c r="AC460" s="31">
        <f t="shared" si="86"/>
        <v>79.347239999999999</v>
      </c>
      <c r="AD460" s="185"/>
      <c r="AE460" s="46"/>
      <c r="AF460" s="46"/>
      <c r="AG460" s="17" t="s">
        <v>77</v>
      </c>
      <c r="AH460" s="17" t="s">
        <v>77</v>
      </c>
      <c r="AI460" s="258" t="s">
        <v>75</v>
      </c>
      <c r="AJ460" s="55" t="s">
        <v>1062</v>
      </c>
      <c r="AK460" s="230" t="s">
        <v>689</v>
      </c>
      <c r="AL460" s="205" t="s">
        <v>89</v>
      </c>
    </row>
    <row r="461" spans="1:38">
      <c r="A461" s="25"/>
      <c r="B461" s="26"/>
      <c r="C461" s="29"/>
      <c r="E461" s="33"/>
      <c r="F461" s="35"/>
      <c r="G461" s="102"/>
      <c r="H461" s="31"/>
      <c r="I461" s="185"/>
      <c r="J461" s="46"/>
      <c r="K461" s="46"/>
      <c r="L461" s="17"/>
      <c r="M461" s="17"/>
      <c r="N461" s="258"/>
      <c r="O461" s="55"/>
      <c r="P461" s="264"/>
      <c r="Q461" s="246"/>
      <c r="R461" s="1" t="str">
        <f t="shared" si="92"/>
        <v/>
      </c>
      <c r="S461" s="1" t="str">
        <f t="shared" si="92"/>
        <v/>
      </c>
      <c r="T461" s="1" t="str">
        <f t="shared" si="92"/>
        <v/>
      </c>
      <c r="U461" s="1" t="str">
        <f t="shared" si="91"/>
        <v/>
      </c>
      <c r="V461" s="25" t="s">
        <v>1089</v>
      </c>
      <c r="W461" s="26" t="s">
        <v>1090</v>
      </c>
      <c r="X461" s="29">
        <v>1</v>
      </c>
      <c r="Y461" s="35" t="s">
        <v>75</v>
      </c>
      <c r="Z461" s="33" t="s">
        <v>77</v>
      </c>
      <c r="AA461" s="35">
        <v>41.67</v>
      </c>
      <c r="AB461" s="102">
        <f t="shared" si="90"/>
        <v>0.17199999999999999</v>
      </c>
      <c r="AC461" s="31">
        <f t="shared" si="86"/>
        <v>34.502760000000002</v>
      </c>
      <c r="AD461" s="185"/>
      <c r="AE461" s="46"/>
      <c r="AF461" s="46"/>
      <c r="AG461" s="17"/>
      <c r="AH461" s="17"/>
      <c r="AI461" s="258" t="s">
        <v>75</v>
      </c>
      <c r="AJ461" s="55" t="s">
        <v>1062</v>
      </c>
      <c r="AK461" s="230" t="s">
        <v>689</v>
      </c>
      <c r="AL461" s="205" t="s">
        <v>89</v>
      </c>
    </row>
    <row r="462" spans="1:38">
      <c r="A462" s="25"/>
      <c r="B462" s="26"/>
      <c r="C462" s="29"/>
      <c r="E462" s="33"/>
      <c r="F462" s="35"/>
      <c r="G462" s="102"/>
      <c r="H462" s="31"/>
      <c r="I462" s="185"/>
      <c r="J462" s="46"/>
      <c r="K462" s="46"/>
      <c r="L462" s="17"/>
      <c r="M462" s="17"/>
      <c r="N462" s="258"/>
      <c r="O462" s="55"/>
      <c r="P462" s="264"/>
      <c r="Q462" s="246"/>
      <c r="R462" s="1" t="str">
        <f t="shared" si="92"/>
        <v/>
      </c>
      <c r="S462" s="1" t="str">
        <f t="shared" si="92"/>
        <v/>
      </c>
      <c r="T462" s="1" t="str">
        <f t="shared" si="92"/>
        <v/>
      </c>
      <c r="U462" s="1" t="str">
        <f t="shared" si="91"/>
        <v/>
      </c>
      <c r="V462" s="25" t="s">
        <v>1091</v>
      </c>
      <c r="W462" s="26" t="s">
        <v>1092</v>
      </c>
      <c r="X462" s="29">
        <v>1</v>
      </c>
      <c r="Y462" s="35" t="s">
        <v>75</v>
      </c>
      <c r="Z462" s="33" t="s">
        <v>77</v>
      </c>
      <c r="AA462" s="35">
        <v>112.5</v>
      </c>
      <c r="AB462" s="102">
        <f t="shared" si="90"/>
        <v>0.17199999999999999</v>
      </c>
      <c r="AC462" s="31">
        <f t="shared" si="86"/>
        <v>93.15</v>
      </c>
      <c r="AD462" s="185"/>
      <c r="AE462" s="46"/>
      <c r="AF462" s="46"/>
      <c r="AG462" s="17"/>
      <c r="AH462" s="17"/>
      <c r="AI462" s="258" t="s">
        <v>75</v>
      </c>
      <c r="AJ462" s="55" t="s">
        <v>1062</v>
      </c>
      <c r="AK462" s="230" t="s">
        <v>689</v>
      </c>
      <c r="AL462" s="205" t="s">
        <v>89</v>
      </c>
    </row>
    <row r="463" spans="1:38">
      <c r="A463" s="25"/>
      <c r="B463" s="26"/>
      <c r="C463" s="29"/>
      <c r="E463" s="33"/>
      <c r="F463" s="35"/>
      <c r="G463" s="102"/>
      <c r="H463" s="31"/>
      <c r="I463" s="185"/>
      <c r="J463" s="46"/>
      <c r="K463" s="46"/>
      <c r="L463" s="17"/>
      <c r="M463" s="17"/>
      <c r="N463" s="258"/>
      <c r="O463" s="55"/>
      <c r="P463" s="264"/>
      <c r="Q463" s="246"/>
      <c r="R463" s="1" t="str">
        <f t="shared" si="92"/>
        <v/>
      </c>
      <c r="S463" s="1" t="str">
        <f t="shared" si="92"/>
        <v/>
      </c>
      <c r="T463" s="1" t="str">
        <f t="shared" si="92"/>
        <v/>
      </c>
      <c r="U463" s="1" t="str">
        <f t="shared" si="91"/>
        <v/>
      </c>
      <c r="V463" s="25" t="s">
        <v>1093</v>
      </c>
      <c r="W463" s="26" t="s">
        <v>1094</v>
      </c>
      <c r="X463" s="29">
        <v>1</v>
      </c>
      <c r="Y463" s="35" t="s">
        <v>75</v>
      </c>
      <c r="Z463" s="33" t="s">
        <v>77</v>
      </c>
      <c r="AA463" s="35">
        <v>21.67</v>
      </c>
      <c r="AB463" s="102">
        <f t="shared" si="90"/>
        <v>0.17199999999999999</v>
      </c>
      <c r="AC463" s="31">
        <f t="shared" si="86"/>
        <v>17.94276</v>
      </c>
      <c r="AD463" s="185"/>
      <c r="AE463" s="46"/>
      <c r="AF463" s="46"/>
      <c r="AG463" s="17"/>
      <c r="AH463" s="17"/>
      <c r="AI463" s="258" t="s">
        <v>75</v>
      </c>
      <c r="AJ463" s="55" t="s">
        <v>1062</v>
      </c>
      <c r="AK463" s="230" t="s">
        <v>689</v>
      </c>
      <c r="AL463" s="205" t="s">
        <v>89</v>
      </c>
    </row>
    <row r="464" spans="1:38">
      <c r="A464" s="25"/>
      <c r="B464" s="26"/>
      <c r="C464" s="29"/>
      <c r="E464" s="33"/>
      <c r="F464" s="35"/>
      <c r="G464" s="102"/>
      <c r="H464" s="31"/>
      <c r="I464" s="185"/>
      <c r="J464" s="46"/>
      <c r="K464" s="46"/>
      <c r="L464" s="17"/>
      <c r="M464" s="17"/>
      <c r="N464" s="258"/>
      <c r="O464" s="55"/>
      <c r="P464" s="264"/>
      <c r="Q464" s="246"/>
      <c r="R464" s="1" t="str">
        <f t="shared" si="92"/>
        <v/>
      </c>
      <c r="S464" s="1" t="str">
        <f t="shared" si="92"/>
        <v/>
      </c>
      <c r="T464" s="1" t="str">
        <f t="shared" si="92"/>
        <v/>
      </c>
      <c r="U464" s="1" t="str">
        <f t="shared" si="91"/>
        <v/>
      </c>
      <c r="V464" s="25" t="s">
        <v>1095</v>
      </c>
      <c r="W464" s="26" t="s">
        <v>1096</v>
      </c>
      <c r="X464" s="29">
        <v>1</v>
      </c>
      <c r="Y464" s="35" t="s">
        <v>75</v>
      </c>
      <c r="Z464" s="33" t="s">
        <v>77</v>
      </c>
      <c r="AA464" s="35">
        <v>21.67</v>
      </c>
      <c r="AB464" s="102">
        <f t="shared" si="90"/>
        <v>0.17199999999999999</v>
      </c>
      <c r="AC464" s="31">
        <f t="shared" si="86"/>
        <v>17.94276</v>
      </c>
      <c r="AD464" s="185"/>
      <c r="AE464" s="46"/>
      <c r="AF464" s="46"/>
      <c r="AG464" s="17"/>
      <c r="AH464" s="17"/>
      <c r="AI464" s="258" t="s">
        <v>75</v>
      </c>
      <c r="AJ464" s="55" t="s">
        <v>1062</v>
      </c>
      <c r="AK464" s="230" t="s">
        <v>689</v>
      </c>
      <c r="AL464" s="205" t="s">
        <v>89</v>
      </c>
    </row>
    <row r="465" spans="1:38">
      <c r="A465" s="25"/>
      <c r="B465" s="26"/>
      <c r="C465" s="29"/>
      <c r="E465" s="33"/>
      <c r="F465" s="35"/>
      <c r="G465" s="102"/>
      <c r="H465" s="31"/>
      <c r="I465" s="185"/>
      <c r="J465" s="46"/>
      <c r="K465" s="46"/>
      <c r="L465" s="17"/>
      <c r="M465" s="17"/>
      <c r="N465" s="258"/>
      <c r="O465" s="55"/>
      <c r="P465" s="264"/>
      <c r="Q465" s="246"/>
      <c r="R465" s="1" t="str">
        <f t="shared" si="92"/>
        <v/>
      </c>
      <c r="S465" s="1" t="str">
        <f t="shared" si="92"/>
        <v/>
      </c>
      <c r="T465" s="1" t="str">
        <f t="shared" si="92"/>
        <v/>
      </c>
      <c r="U465" s="1" t="str">
        <f t="shared" si="91"/>
        <v/>
      </c>
      <c r="V465" s="25" t="s">
        <v>1097</v>
      </c>
      <c r="W465" s="26" t="s">
        <v>1098</v>
      </c>
      <c r="X465" s="29">
        <v>1</v>
      </c>
      <c r="Y465" s="35" t="s">
        <v>75</v>
      </c>
      <c r="Z465" s="33" t="s">
        <v>77</v>
      </c>
      <c r="AA465" s="35">
        <v>21.67</v>
      </c>
      <c r="AB465" s="102">
        <f t="shared" si="90"/>
        <v>0.17199999999999999</v>
      </c>
      <c r="AC465" s="31">
        <f t="shared" si="86"/>
        <v>17.94276</v>
      </c>
      <c r="AD465" s="185"/>
      <c r="AE465" s="46"/>
      <c r="AF465" s="46"/>
      <c r="AG465" s="17"/>
      <c r="AH465" s="17"/>
      <c r="AI465" s="258" t="s">
        <v>75</v>
      </c>
      <c r="AJ465" s="55" t="s">
        <v>1062</v>
      </c>
      <c r="AK465" s="230" t="s">
        <v>689</v>
      </c>
      <c r="AL465" s="205" t="s">
        <v>89</v>
      </c>
    </row>
    <row r="466" spans="1:38">
      <c r="A466" s="25"/>
      <c r="B466" s="26"/>
      <c r="C466" s="29"/>
      <c r="E466" s="33"/>
      <c r="F466" s="35"/>
      <c r="G466" s="22"/>
      <c r="H466" s="31"/>
      <c r="I466" s="185"/>
      <c r="J466" s="46"/>
      <c r="K466" s="46"/>
      <c r="L466" s="17"/>
      <c r="M466" s="17"/>
      <c r="N466" s="258"/>
      <c r="O466" s="55"/>
      <c r="P466" s="264"/>
      <c r="Q466" s="246"/>
      <c r="R466" s="1" t="str">
        <f t="shared" si="92"/>
        <v/>
      </c>
      <c r="S466" s="1" t="str">
        <f t="shared" si="92"/>
        <v/>
      </c>
      <c r="T466" s="1" t="str">
        <f t="shared" si="92"/>
        <v/>
      </c>
      <c r="U466" s="1" t="str">
        <f t="shared" si="91"/>
        <v/>
      </c>
      <c r="V466" s="25" t="s">
        <v>1099</v>
      </c>
      <c r="W466" s="26" t="s">
        <v>1100</v>
      </c>
      <c r="X466" s="29">
        <v>1</v>
      </c>
      <c r="Y466" s="35" t="s">
        <v>75</v>
      </c>
      <c r="Z466" s="33" t="s">
        <v>77</v>
      </c>
      <c r="AA466" s="35"/>
      <c r="AB466" s="22"/>
      <c r="AC466" s="31">
        <f t="shared" si="86"/>
        <v>0</v>
      </c>
      <c r="AD466" s="185"/>
      <c r="AE466" s="46"/>
      <c r="AF466" s="46"/>
      <c r="AG466" s="17"/>
      <c r="AH466" s="17"/>
      <c r="AI466" s="258" t="s">
        <v>75</v>
      </c>
      <c r="AJ466" s="55" t="s">
        <v>1062</v>
      </c>
      <c r="AK466" s="230" t="s">
        <v>689</v>
      </c>
      <c r="AL466" s="205" t="s">
        <v>89</v>
      </c>
    </row>
    <row r="467" spans="1:38">
      <c r="A467" s="25"/>
      <c r="B467" s="26"/>
      <c r="C467" s="29"/>
      <c r="E467" s="33"/>
      <c r="F467" s="35"/>
      <c r="G467" s="22"/>
      <c r="H467" s="31"/>
      <c r="I467" s="185"/>
      <c r="J467" s="46"/>
      <c r="K467" s="46"/>
      <c r="L467" s="17"/>
      <c r="M467" s="17"/>
      <c r="N467" s="258"/>
      <c r="O467" s="55"/>
      <c r="P467" s="264"/>
      <c r="Q467" s="246"/>
      <c r="R467" s="1" t="str">
        <f t="shared" si="92"/>
        <v/>
      </c>
      <c r="S467" s="1" t="str">
        <f t="shared" si="92"/>
        <v/>
      </c>
      <c r="T467" s="1" t="str">
        <f t="shared" si="92"/>
        <v/>
      </c>
      <c r="U467" s="1" t="str">
        <f t="shared" si="91"/>
        <v/>
      </c>
      <c r="V467" s="25" t="s">
        <v>1101</v>
      </c>
      <c r="W467" s="26" t="s">
        <v>1102</v>
      </c>
      <c r="X467" s="29">
        <v>1</v>
      </c>
      <c r="Y467" s="35" t="s">
        <v>75</v>
      </c>
      <c r="Z467" s="33" t="s">
        <v>77</v>
      </c>
      <c r="AA467" s="35"/>
      <c r="AB467" s="22"/>
      <c r="AC467" s="31">
        <f t="shared" si="86"/>
        <v>0</v>
      </c>
      <c r="AD467" s="185"/>
      <c r="AE467" s="46"/>
      <c r="AF467" s="46"/>
      <c r="AG467" s="17"/>
      <c r="AH467" s="17"/>
      <c r="AI467" s="258" t="s">
        <v>75</v>
      </c>
      <c r="AJ467" s="55" t="s">
        <v>1062</v>
      </c>
      <c r="AK467" s="230" t="s">
        <v>689</v>
      </c>
      <c r="AL467" s="205" t="s">
        <v>89</v>
      </c>
    </row>
    <row r="468" spans="1:38">
      <c r="A468" s="25"/>
      <c r="B468" s="26"/>
      <c r="C468" s="29"/>
      <c r="D468" s="62"/>
      <c r="E468" s="142"/>
      <c r="F468" s="35"/>
      <c r="G468" s="22"/>
      <c r="H468" s="31"/>
      <c r="I468" s="185"/>
      <c r="J468" s="17"/>
      <c r="K468" s="17"/>
      <c r="L468" s="17"/>
      <c r="M468" s="17"/>
      <c r="N468" s="258"/>
      <c r="O468" s="55"/>
      <c r="P468" s="230"/>
      <c r="Q468" s="205"/>
      <c r="R468" s="1" t="str">
        <f t="shared" si="92"/>
        <v/>
      </c>
      <c r="S468" s="1" t="str">
        <f t="shared" si="92"/>
        <v/>
      </c>
      <c r="T468" s="1" t="str">
        <f t="shared" si="92"/>
        <v/>
      </c>
      <c r="U468" s="1" t="str">
        <f t="shared" si="91"/>
        <v/>
      </c>
      <c r="V468" s="25" t="s">
        <v>1103</v>
      </c>
      <c r="W468" s="26" t="s">
        <v>1104</v>
      </c>
      <c r="X468" s="29">
        <v>1</v>
      </c>
      <c r="Y468" s="62" t="s">
        <v>1105</v>
      </c>
      <c r="Z468" s="142" t="s">
        <v>1103</v>
      </c>
      <c r="AA468" s="35">
        <v>145</v>
      </c>
      <c r="AB468" s="22">
        <f>rv_32</f>
        <v>0.32</v>
      </c>
      <c r="AC468" s="31">
        <f t="shared" si="86"/>
        <v>98.6</v>
      </c>
      <c r="AD468" s="185"/>
      <c r="AE468" s="17"/>
      <c r="AF468" s="17"/>
      <c r="AG468" s="17" t="s">
        <v>77</v>
      </c>
      <c r="AH468" s="17" t="s">
        <v>77</v>
      </c>
      <c r="AI468" s="258" t="s">
        <v>75</v>
      </c>
      <c r="AJ468" s="55" t="s">
        <v>1106</v>
      </c>
      <c r="AK468" s="230" t="s">
        <v>504</v>
      </c>
      <c r="AL468" s="205" t="s">
        <v>89</v>
      </c>
    </row>
    <row r="469" spans="1:38">
      <c r="A469" s="25"/>
      <c r="B469" s="26"/>
      <c r="C469" s="29"/>
      <c r="D469" s="62"/>
      <c r="E469" s="142"/>
      <c r="F469" s="35"/>
      <c r="G469" s="22"/>
      <c r="H469" s="31"/>
      <c r="I469" s="185"/>
      <c r="J469" s="17"/>
      <c r="K469" s="17"/>
      <c r="L469" s="17"/>
      <c r="M469" s="17"/>
      <c r="N469" s="258"/>
      <c r="O469" s="55"/>
      <c r="P469" s="230"/>
      <c r="Q469" s="205"/>
      <c r="R469" s="1" t="str">
        <f t="shared" si="92"/>
        <v/>
      </c>
      <c r="S469" s="1" t="str">
        <f t="shared" si="92"/>
        <v/>
      </c>
      <c r="T469" s="1" t="str">
        <f t="shared" si="92"/>
        <v/>
      </c>
      <c r="U469" s="1" t="str">
        <f t="shared" si="91"/>
        <v/>
      </c>
      <c r="V469" s="25" t="s">
        <v>1107</v>
      </c>
      <c r="W469" s="26" t="s">
        <v>1108</v>
      </c>
      <c r="X469" s="29">
        <v>1</v>
      </c>
      <c r="Y469" s="62" t="s">
        <v>1105</v>
      </c>
      <c r="Z469" s="142" t="s">
        <v>1107</v>
      </c>
      <c r="AA469" s="35">
        <v>270</v>
      </c>
      <c r="AB469" s="22">
        <f>rv_32</f>
        <v>0.32</v>
      </c>
      <c r="AC469" s="31">
        <f t="shared" si="86"/>
        <v>183.6</v>
      </c>
      <c r="AD469" s="185"/>
      <c r="AE469" s="17"/>
      <c r="AF469" s="17"/>
      <c r="AG469" s="17" t="s">
        <v>77</v>
      </c>
      <c r="AH469" s="17" t="s">
        <v>77</v>
      </c>
      <c r="AI469" s="258" t="s">
        <v>75</v>
      </c>
      <c r="AJ469" s="55" t="s">
        <v>1106</v>
      </c>
      <c r="AK469" s="230" t="s">
        <v>504</v>
      </c>
      <c r="AL469" s="205" t="s">
        <v>89</v>
      </c>
    </row>
    <row r="470" spans="1:38">
      <c r="A470" s="125" t="s">
        <v>1109</v>
      </c>
      <c r="B470" s="94" t="s">
        <v>1110</v>
      </c>
      <c r="C470" s="127">
        <v>1</v>
      </c>
      <c r="D470" s="128" t="s">
        <v>75</v>
      </c>
      <c r="E470" s="131" t="s">
        <v>1109</v>
      </c>
      <c r="F470" s="128">
        <v>5414.63</v>
      </c>
      <c r="G470" s="132">
        <f>rv_mp_eg</f>
        <v>0.17199999999999999</v>
      </c>
      <c r="H470" s="129">
        <f t="shared" ref="H470:H496" si="93">F470-(F470*G470)</f>
        <v>4483.3136400000003</v>
      </c>
      <c r="I470" s="194" t="s">
        <v>1111</v>
      </c>
      <c r="J470" s="130">
        <f>mp_5pl</f>
        <v>89.001720000000006</v>
      </c>
      <c r="K470" s="130">
        <f>H470+J470</f>
        <v>4572.3153600000005</v>
      </c>
      <c r="L470" s="17" t="s">
        <v>77</v>
      </c>
      <c r="M470" s="17">
        <v>1.2</v>
      </c>
      <c r="N470" s="257" t="s">
        <v>75</v>
      </c>
      <c r="O470" s="55" t="s">
        <v>1112</v>
      </c>
      <c r="P470" s="230" t="s">
        <v>689</v>
      </c>
      <c r="Q470" s="205" t="s">
        <v>690</v>
      </c>
      <c r="R470" s="1">
        <f t="shared" si="92"/>
        <v>905.26013185784893</v>
      </c>
      <c r="S470" s="1">
        <f t="shared" si="92"/>
        <v>463.17534559941964</v>
      </c>
      <c r="T470" s="1">
        <f t="shared" si="92"/>
        <v>332.23334631315475</v>
      </c>
      <c r="U470" s="1">
        <f t="shared" si="91"/>
        <v>284.61466403339051</v>
      </c>
      <c r="V470" s="125" t="s">
        <v>1109</v>
      </c>
      <c r="W470" s="126" t="s">
        <v>1113</v>
      </c>
      <c r="X470" s="127">
        <v>1</v>
      </c>
      <c r="Y470" s="128" t="s">
        <v>75</v>
      </c>
      <c r="Z470" s="131" t="s">
        <v>1109</v>
      </c>
      <c r="AA470" s="128">
        <v>5414.63</v>
      </c>
      <c r="AB470" s="132">
        <f>rv_mp_eg</f>
        <v>0.17199999999999999</v>
      </c>
      <c r="AC470" s="129">
        <f t="shared" si="86"/>
        <v>4483.3136400000003</v>
      </c>
      <c r="AD470" s="194" t="s">
        <v>1111</v>
      </c>
      <c r="AE470" s="130">
        <f>mp_5pl</f>
        <v>89.001720000000006</v>
      </c>
      <c r="AF470" s="130">
        <f>AC470+AE470</f>
        <v>4572.3153600000005</v>
      </c>
      <c r="AG470" s="17" t="s">
        <v>77</v>
      </c>
      <c r="AH470" s="17">
        <v>1.2</v>
      </c>
      <c r="AI470" s="257" t="s">
        <v>75</v>
      </c>
      <c r="AJ470" s="55" t="s">
        <v>1112</v>
      </c>
      <c r="AK470" s="230" t="s">
        <v>689</v>
      </c>
      <c r="AL470" s="205" t="s">
        <v>690</v>
      </c>
    </row>
    <row r="471" spans="1:38" s="174" customFormat="1">
      <c r="A471" s="103" t="s">
        <v>1111</v>
      </c>
      <c r="B471" s="104" t="s">
        <v>1114</v>
      </c>
      <c r="C471" s="105">
        <v>1</v>
      </c>
      <c r="D471" s="106" t="s">
        <v>82</v>
      </c>
      <c r="E471" s="139" t="s">
        <v>1111</v>
      </c>
      <c r="F471" s="108">
        <v>107.49</v>
      </c>
      <c r="G471" s="180">
        <v>0.17199999999999999</v>
      </c>
      <c r="H471" s="100">
        <f t="shared" si="93"/>
        <v>89.001720000000006</v>
      </c>
      <c r="I471" s="192"/>
      <c r="J471" s="173"/>
      <c r="K471" s="173"/>
      <c r="L471" s="120" t="s">
        <v>77</v>
      </c>
      <c r="M471" s="120" t="s">
        <v>77</v>
      </c>
      <c r="N471" s="258" t="s">
        <v>83</v>
      </c>
      <c r="O471" s="55" t="s">
        <v>84</v>
      </c>
      <c r="P471" s="265" t="s">
        <v>85</v>
      </c>
      <c r="Q471" s="203" t="s">
        <v>692</v>
      </c>
      <c r="R471" s="1" t="str">
        <f t="shared" si="92"/>
        <v/>
      </c>
      <c r="S471" s="1" t="str">
        <f t="shared" si="92"/>
        <v/>
      </c>
      <c r="T471" s="1" t="str">
        <f t="shared" si="92"/>
        <v/>
      </c>
      <c r="U471" s="1" t="str">
        <f t="shared" si="91"/>
        <v/>
      </c>
      <c r="V471" s="103" t="s">
        <v>1111</v>
      </c>
      <c r="W471" s="104" t="s">
        <v>1114</v>
      </c>
      <c r="X471" s="105">
        <v>1</v>
      </c>
      <c r="Y471" s="106" t="s">
        <v>82</v>
      </c>
      <c r="Z471" s="139" t="s">
        <v>1111</v>
      </c>
      <c r="AA471" s="108">
        <v>107.49</v>
      </c>
      <c r="AB471" s="180">
        <v>0.17199999999999999</v>
      </c>
      <c r="AC471" s="100">
        <f t="shared" si="86"/>
        <v>89.001720000000006</v>
      </c>
      <c r="AD471" s="192"/>
      <c r="AE471" s="173"/>
      <c r="AF471" s="173"/>
      <c r="AG471" s="120" t="s">
        <v>77</v>
      </c>
      <c r="AH471" s="120" t="s">
        <v>77</v>
      </c>
      <c r="AI471" s="258" t="s">
        <v>83</v>
      </c>
      <c r="AJ471" s="55" t="s">
        <v>84</v>
      </c>
      <c r="AK471" s="265" t="s">
        <v>85</v>
      </c>
      <c r="AL471" s="203" t="s">
        <v>692</v>
      </c>
    </row>
    <row r="472" spans="1:38">
      <c r="A472" s="25" t="s">
        <v>1115</v>
      </c>
      <c r="B472" s="26" t="s">
        <v>1116</v>
      </c>
      <c r="C472" s="29">
        <v>1</v>
      </c>
      <c r="D472" s="35" t="s">
        <v>75</v>
      </c>
      <c r="E472" s="33" t="s">
        <v>77</v>
      </c>
      <c r="F472" s="35">
        <v>958.33</v>
      </c>
      <c r="G472" s="102">
        <f t="shared" ref="G472:G498" si="94">rv_mp_eg_cto</f>
        <v>0.17199999999999999</v>
      </c>
      <c r="H472" s="31">
        <f t="shared" si="93"/>
        <v>793.49724000000003</v>
      </c>
      <c r="I472" s="185"/>
      <c r="J472" s="17"/>
      <c r="K472" s="17"/>
      <c r="L472" s="17" t="s">
        <v>77</v>
      </c>
      <c r="M472" s="17" t="s">
        <v>77</v>
      </c>
      <c r="N472" s="258" t="s">
        <v>75</v>
      </c>
      <c r="O472" s="55" t="s">
        <v>1112</v>
      </c>
      <c r="P472" s="230" t="s">
        <v>689</v>
      </c>
      <c r="Q472" s="205" t="s">
        <v>690</v>
      </c>
      <c r="R472" s="1" t="str">
        <f t="shared" si="92"/>
        <v/>
      </c>
      <c r="S472" s="1" t="str">
        <f t="shared" si="92"/>
        <v/>
      </c>
      <c r="T472" s="1" t="str">
        <f t="shared" si="92"/>
        <v/>
      </c>
      <c r="U472" s="1" t="str">
        <f t="shared" si="91"/>
        <v/>
      </c>
      <c r="V472" s="25" t="s">
        <v>1115</v>
      </c>
      <c r="W472" s="26" t="s">
        <v>1116</v>
      </c>
      <c r="X472" s="29">
        <v>1</v>
      </c>
      <c r="Y472" s="35" t="s">
        <v>75</v>
      </c>
      <c r="Z472" s="33" t="s">
        <v>77</v>
      </c>
      <c r="AA472" s="35">
        <v>958.33</v>
      </c>
      <c r="AB472" s="102">
        <f t="shared" ref="AB472:AB498" si="95">rv_mp_eg_cto</f>
        <v>0.17199999999999999</v>
      </c>
      <c r="AC472" s="31">
        <f t="shared" si="86"/>
        <v>793.49724000000003</v>
      </c>
      <c r="AD472" s="185"/>
      <c r="AE472" s="17"/>
      <c r="AF472" s="17"/>
      <c r="AG472" s="17" t="s">
        <v>77</v>
      </c>
      <c r="AH472" s="17" t="s">
        <v>77</v>
      </c>
      <c r="AI472" s="258" t="s">
        <v>75</v>
      </c>
      <c r="AJ472" s="55" t="s">
        <v>1112</v>
      </c>
      <c r="AK472" s="230" t="s">
        <v>689</v>
      </c>
      <c r="AL472" s="205" t="s">
        <v>1117</v>
      </c>
    </row>
    <row r="473" spans="1:38">
      <c r="A473" s="25" t="s">
        <v>1118</v>
      </c>
      <c r="B473" s="26" t="s">
        <v>1119</v>
      </c>
      <c r="C473" s="29">
        <v>1</v>
      </c>
      <c r="D473" s="35" t="s">
        <v>75</v>
      </c>
      <c r="E473" s="33" t="s">
        <v>77</v>
      </c>
      <c r="F473" s="35">
        <v>1916.67</v>
      </c>
      <c r="G473" s="102">
        <f t="shared" si="94"/>
        <v>0.17199999999999999</v>
      </c>
      <c r="H473" s="31">
        <f t="shared" si="93"/>
        <v>1587.0027600000001</v>
      </c>
      <c r="I473" s="185"/>
      <c r="J473" s="17"/>
      <c r="K473" s="17"/>
      <c r="L473" s="17" t="s">
        <v>77</v>
      </c>
      <c r="M473" s="17" t="s">
        <v>77</v>
      </c>
      <c r="N473" s="258" t="s">
        <v>75</v>
      </c>
      <c r="O473" s="55" t="s">
        <v>1112</v>
      </c>
      <c r="P473" s="230" t="s">
        <v>689</v>
      </c>
      <c r="Q473" s="205" t="s">
        <v>690</v>
      </c>
      <c r="R473" s="1" t="str">
        <f t="shared" si="92"/>
        <v/>
      </c>
      <c r="S473" s="1" t="str">
        <f t="shared" si="92"/>
        <v/>
      </c>
      <c r="T473" s="1" t="str">
        <f t="shared" si="92"/>
        <v/>
      </c>
      <c r="U473" s="1" t="str">
        <f t="shared" si="91"/>
        <v/>
      </c>
      <c r="V473" s="25" t="s">
        <v>1118</v>
      </c>
      <c r="W473" s="26" t="s">
        <v>1119</v>
      </c>
      <c r="X473" s="29">
        <v>1</v>
      </c>
      <c r="Y473" s="35" t="s">
        <v>75</v>
      </c>
      <c r="Z473" s="33" t="s">
        <v>77</v>
      </c>
      <c r="AA473" s="35">
        <v>1916.67</v>
      </c>
      <c r="AB473" s="102">
        <f t="shared" si="95"/>
        <v>0.17199999999999999</v>
      </c>
      <c r="AC473" s="31">
        <f t="shared" si="86"/>
        <v>1587.0027600000001</v>
      </c>
      <c r="AD473" s="185"/>
      <c r="AE473" s="17"/>
      <c r="AF473" s="17"/>
      <c r="AG473" s="17" t="s">
        <v>77</v>
      </c>
      <c r="AH473" s="17" t="s">
        <v>77</v>
      </c>
      <c r="AI473" s="258" t="s">
        <v>75</v>
      </c>
      <c r="AJ473" s="55" t="s">
        <v>1112</v>
      </c>
      <c r="AK473" s="230" t="s">
        <v>689</v>
      </c>
      <c r="AL473" s="205" t="s">
        <v>1117</v>
      </c>
    </row>
    <row r="474" spans="1:38">
      <c r="A474" s="25" t="s">
        <v>1120</v>
      </c>
      <c r="B474" s="26" t="s">
        <v>1121</v>
      </c>
      <c r="C474" s="29">
        <v>1</v>
      </c>
      <c r="D474" s="35" t="s">
        <v>75</v>
      </c>
      <c r="E474" s="33" t="s">
        <v>77</v>
      </c>
      <c r="F474" s="35">
        <v>5750</v>
      </c>
      <c r="G474" s="102">
        <f t="shared" si="94"/>
        <v>0.17199999999999999</v>
      </c>
      <c r="H474" s="31">
        <f t="shared" si="93"/>
        <v>4761</v>
      </c>
      <c r="I474" s="185"/>
      <c r="J474" s="17"/>
      <c r="K474" s="17"/>
      <c r="L474" s="17" t="s">
        <v>77</v>
      </c>
      <c r="M474" s="17" t="s">
        <v>77</v>
      </c>
      <c r="N474" s="258" t="s">
        <v>75</v>
      </c>
      <c r="O474" s="55" t="s">
        <v>1112</v>
      </c>
      <c r="P474" s="230" t="s">
        <v>689</v>
      </c>
      <c r="Q474" s="205" t="s">
        <v>690</v>
      </c>
      <c r="R474" s="1" t="str">
        <f t="shared" si="92"/>
        <v/>
      </c>
      <c r="S474" s="1" t="str">
        <f t="shared" si="92"/>
        <v/>
      </c>
      <c r="T474" s="1" t="str">
        <f t="shared" si="92"/>
        <v/>
      </c>
      <c r="U474" s="1" t="str">
        <f t="shared" si="91"/>
        <v/>
      </c>
      <c r="V474" s="25" t="s">
        <v>1120</v>
      </c>
      <c r="W474" s="26" t="s">
        <v>1121</v>
      </c>
      <c r="X474" s="29">
        <v>1</v>
      </c>
      <c r="Y474" s="35" t="s">
        <v>75</v>
      </c>
      <c r="Z474" s="33" t="s">
        <v>77</v>
      </c>
      <c r="AA474" s="35">
        <v>5750</v>
      </c>
      <c r="AB474" s="102">
        <f t="shared" si="95"/>
        <v>0.17199999999999999</v>
      </c>
      <c r="AC474" s="31">
        <f t="shared" si="86"/>
        <v>4761</v>
      </c>
      <c r="AD474" s="185"/>
      <c r="AE474" s="17"/>
      <c r="AF474" s="17"/>
      <c r="AG474" s="17" t="s">
        <v>77</v>
      </c>
      <c r="AH474" s="17" t="s">
        <v>77</v>
      </c>
      <c r="AI474" s="258" t="s">
        <v>75</v>
      </c>
      <c r="AJ474" s="55" t="s">
        <v>1112</v>
      </c>
      <c r="AK474" s="230" t="s">
        <v>689</v>
      </c>
      <c r="AL474" s="205" t="s">
        <v>1117</v>
      </c>
    </row>
    <row r="475" spans="1:38">
      <c r="A475" s="25" t="s">
        <v>1122</v>
      </c>
      <c r="B475" s="26" t="s">
        <v>1123</v>
      </c>
      <c r="C475" s="29">
        <v>1</v>
      </c>
      <c r="D475" s="35" t="s">
        <v>75</v>
      </c>
      <c r="E475" s="33" t="s">
        <v>77</v>
      </c>
      <c r="F475" s="35">
        <v>6708.33</v>
      </c>
      <c r="G475" s="102">
        <f t="shared" si="94"/>
        <v>0.17199999999999999</v>
      </c>
      <c r="H475" s="31">
        <f t="shared" si="93"/>
        <v>5554.4972399999997</v>
      </c>
      <c r="I475" s="185"/>
      <c r="J475" s="17"/>
      <c r="K475" s="17"/>
      <c r="L475" s="17" t="s">
        <v>77</v>
      </c>
      <c r="M475" s="17" t="s">
        <v>77</v>
      </c>
      <c r="N475" s="258" t="s">
        <v>75</v>
      </c>
      <c r="O475" s="55" t="s">
        <v>1112</v>
      </c>
      <c r="P475" s="230" t="s">
        <v>689</v>
      </c>
      <c r="Q475" s="205" t="s">
        <v>690</v>
      </c>
      <c r="R475" s="1" t="str">
        <f t="shared" si="92"/>
        <v/>
      </c>
      <c r="S475" s="1" t="str">
        <f t="shared" si="92"/>
        <v/>
      </c>
      <c r="T475" s="1" t="str">
        <f t="shared" si="92"/>
        <v/>
      </c>
      <c r="U475" s="1" t="str">
        <f t="shared" si="91"/>
        <v/>
      </c>
      <c r="V475" s="25" t="s">
        <v>1122</v>
      </c>
      <c r="W475" s="26" t="s">
        <v>1123</v>
      </c>
      <c r="X475" s="29">
        <v>1</v>
      </c>
      <c r="Y475" s="35" t="s">
        <v>75</v>
      </c>
      <c r="Z475" s="33" t="s">
        <v>77</v>
      </c>
      <c r="AA475" s="35">
        <v>6708.33</v>
      </c>
      <c r="AB475" s="102">
        <f t="shared" si="95"/>
        <v>0.17199999999999999</v>
      </c>
      <c r="AC475" s="31">
        <f t="shared" si="86"/>
        <v>5554.4972399999997</v>
      </c>
      <c r="AD475" s="185"/>
      <c r="AE475" s="17"/>
      <c r="AF475" s="17"/>
      <c r="AG475" s="17" t="s">
        <v>77</v>
      </c>
      <c r="AH475" s="17" t="s">
        <v>77</v>
      </c>
      <c r="AI475" s="258" t="s">
        <v>75</v>
      </c>
      <c r="AJ475" s="55" t="s">
        <v>1112</v>
      </c>
      <c r="AK475" s="230" t="s">
        <v>689</v>
      </c>
      <c r="AL475" s="205" t="s">
        <v>1117</v>
      </c>
    </row>
    <row r="476" spans="1:38">
      <c r="A476" s="25" t="s">
        <v>1124</v>
      </c>
      <c r="B476" s="26" t="s">
        <v>1125</v>
      </c>
      <c r="C476" s="29">
        <v>1</v>
      </c>
      <c r="D476" s="35" t="s">
        <v>75</v>
      </c>
      <c r="E476" s="33" t="s">
        <v>77</v>
      </c>
      <c r="F476" s="35">
        <v>287.5</v>
      </c>
      <c r="G476" s="102">
        <f t="shared" si="94"/>
        <v>0.17199999999999999</v>
      </c>
      <c r="H476" s="31">
        <f t="shared" si="93"/>
        <v>238.05</v>
      </c>
      <c r="I476" s="185"/>
      <c r="J476" s="17"/>
      <c r="K476" s="17"/>
      <c r="L476" s="17" t="s">
        <v>77</v>
      </c>
      <c r="M476" s="17" t="s">
        <v>77</v>
      </c>
      <c r="N476" s="258" t="s">
        <v>75</v>
      </c>
      <c r="O476" s="55" t="s">
        <v>1112</v>
      </c>
      <c r="P476" s="230" t="s">
        <v>689</v>
      </c>
      <c r="Q476" s="205" t="s">
        <v>690</v>
      </c>
      <c r="R476" s="1" t="str">
        <f t="shared" si="92"/>
        <v/>
      </c>
      <c r="S476" s="1" t="str">
        <f t="shared" si="92"/>
        <v/>
      </c>
      <c r="T476" s="1" t="str">
        <f t="shared" si="92"/>
        <v/>
      </c>
      <c r="U476" s="1" t="str">
        <f t="shared" si="91"/>
        <v/>
      </c>
      <c r="V476" s="25" t="s">
        <v>1124</v>
      </c>
      <c r="W476" s="26" t="s">
        <v>1125</v>
      </c>
      <c r="X476" s="29">
        <v>1</v>
      </c>
      <c r="Y476" s="35" t="s">
        <v>75</v>
      </c>
      <c r="Z476" s="33" t="s">
        <v>77</v>
      </c>
      <c r="AA476" s="35">
        <v>287.5</v>
      </c>
      <c r="AB476" s="102">
        <f t="shared" si="95"/>
        <v>0.17199999999999999</v>
      </c>
      <c r="AC476" s="31">
        <f t="shared" si="86"/>
        <v>238.05</v>
      </c>
      <c r="AD476" s="185"/>
      <c r="AE476" s="17"/>
      <c r="AF476" s="17"/>
      <c r="AG476" s="17" t="s">
        <v>77</v>
      </c>
      <c r="AH476" s="17" t="s">
        <v>77</v>
      </c>
      <c r="AI476" s="258" t="s">
        <v>75</v>
      </c>
      <c r="AJ476" s="55" t="s">
        <v>1112</v>
      </c>
      <c r="AK476" s="230" t="s">
        <v>689</v>
      </c>
      <c r="AL476" s="205" t="s">
        <v>1117</v>
      </c>
    </row>
    <row r="477" spans="1:38">
      <c r="A477" s="25" t="s">
        <v>1126</v>
      </c>
      <c r="B477" s="26" t="s">
        <v>1127</v>
      </c>
      <c r="C477" s="29">
        <v>1</v>
      </c>
      <c r="D477" s="35" t="s">
        <v>75</v>
      </c>
      <c r="E477" s="33" t="s">
        <v>77</v>
      </c>
      <c r="F477" s="35">
        <v>958.33</v>
      </c>
      <c r="G477" s="102">
        <f t="shared" si="94"/>
        <v>0.17199999999999999</v>
      </c>
      <c r="H477" s="31">
        <f t="shared" si="93"/>
        <v>793.49724000000003</v>
      </c>
      <c r="I477" s="185"/>
      <c r="J477" s="17"/>
      <c r="K477" s="17"/>
      <c r="L477" s="17" t="s">
        <v>77</v>
      </c>
      <c r="M477" s="17" t="s">
        <v>77</v>
      </c>
      <c r="N477" s="258" t="s">
        <v>75</v>
      </c>
      <c r="O477" s="55" t="s">
        <v>1112</v>
      </c>
      <c r="P477" s="230" t="s">
        <v>689</v>
      </c>
      <c r="Q477" s="205" t="s">
        <v>690</v>
      </c>
      <c r="R477" s="1" t="str">
        <f t="shared" si="92"/>
        <v/>
      </c>
      <c r="S477" s="1" t="str">
        <f t="shared" si="92"/>
        <v/>
      </c>
      <c r="T477" s="1" t="str">
        <f t="shared" si="92"/>
        <v/>
      </c>
      <c r="U477" s="1" t="str">
        <f t="shared" si="91"/>
        <v/>
      </c>
      <c r="V477" s="25" t="s">
        <v>1126</v>
      </c>
      <c r="W477" s="26" t="s">
        <v>1127</v>
      </c>
      <c r="X477" s="29">
        <v>1</v>
      </c>
      <c r="Y477" s="35" t="s">
        <v>75</v>
      </c>
      <c r="Z477" s="33" t="s">
        <v>77</v>
      </c>
      <c r="AA477" s="35">
        <v>958.33</v>
      </c>
      <c r="AB477" s="102">
        <f t="shared" si="95"/>
        <v>0.17199999999999999</v>
      </c>
      <c r="AC477" s="31">
        <f t="shared" si="86"/>
        <v>793.49724000000003</v>
      </c>
      <c r="AD477" s="185"/>
      <c r="AE477" s="17"/>
      <c r="AF477" s="17"/>
      <c r="AG477" s="17" t="s">
        <v>77</v>
      </c>
      <c r="AH477" s="17" t="s">
        <v>77</v>
      </c>
      <c r="AI477" s="258" t="s">
        <v>75</v>
      </c>
      <c r="AJ477" s="55" t="s">
        <v>1112</v>
      </c>
      <c r="AK477" s="230" t="s">
        <v>689</v>
      </c>
      <c r="AL477" s="205" t="s">
        <v>1117</v>
      </c>
    </row>
    <row r="478" spans="1:38">
      <c r="A478" s="25" t="s">
        <v>1128</v>
      </c>
      <c r="B478" s="26" t="s">
        <v>1129</v>
      </c>
      <c r="C478" s="29">
        <v>1</v>
      </c>
      <c r="D478" s="35" t="s">
        <v>75</v>
      </c>
      <c r="E478" s="33" t="s">
        <v>77</v>
      </c>
      <c r="F478" s="35">
        <v>2875</v>
      </c>
      <c r="G478" s="102">
        <f t="shared" si="94"/>
        <v>0.17199999999999999</v>
      </c>
      <c r="H478" s="31">
        <f t="shared" si="93"/>
        <v>2380.5</v>
      </c>
      <c r="I478" s="185"/>
      <c r="J478" s="17"/>
      <c r="K478" s="17"/>
      <c r="L478" s="17" t="s">
        <v>77</v>
      </c>
      <c r="M478" s="17" t="s">
        <v>77</v>
      </c>
      <c r="N478" s="258" t="s">
        <v>75</v>
      </c>
      <c r="O478" s="55" t="s">
        <v>1112</v>
      </c>
      <c r="P478" s="230" t="s">
        <v>689</v>
      </c>
      <c r="Q478" s="205" t="s">
        <v>690</v>
      </c>
      <c r="R478" s="1" t="str">
        <f t="shared" si="92"/>
        <v/>
      </c>
      <c r="S478" s="1" t="str">
        <f t="shared" si="92"/>
        <v/>
      </c>
      <c r="T478" s="1" t="str">
        <f t="shared" si="92"/>
        <v/>
      </c>
      <c r="U478" s="1" t="str">
        <f t="shared" si="91"/>
        <v/>
      </c>
      <c r="V478" s="25" t="s">
        <v>1128</v>
      </c>
      <c r="W478" s="26" t="s">
        <v>1129</v>
      </c>
      <c r="X478" s="29">
        <v>1</v>
      </c>
      <c r="Y478" s="35" t="s">
        <v>75</v>
      </c>
      <c r="Z478" s="33" t="s">
        <v>77</v>
      </c>
      <c r="AA478" s="35">
        <v>2875</v>
      </c>
      <c r="AB478" s="102">
        <f t="shared" si="95"/>
        <v>0.17199999999999999</v>
      </c>
      <c r="AC478" s="31">
        <f t="shared" si="86"/>
        <v>2380.5</v>
      </c>
      <c r="AD478" s="185"/>
      <c r="AE478" s="17"/>
      <c r="AF478" s="17"/>
      <c r="AG478" s="17" t="s">
        <v>77</v>
      </c>
      <c r="AH478" s="17" t="s">
        <v>77</v>
      </c>
      <c r="AI478" s="258" t="s">
        <v>75</v>
      </c>
      <c r="AJ478" s="55" t="s">
        <v>1112</v>
      </c>
      <c r="AK478" s="230" t="s">
        <v>689</v>
      </c>
      <c r="AL478" s="205" t="s">
        <v>1117</v>
      </c>
    </row>
    <row r="479" spans="1:38">
      <c r="A479" s="25" t="s">
        <v>1130</v>
      </c>
      <c r="B479" s="26" t="s">
        <v>1131</v>
      </c>
      <c r="C479" s="29">
        <v>1</v>
      </c>
      <c r="D479" s="35" t="s">
        <v>75</v>
      </c>
      <c r="E479" s="33" t="s">
        <v>77</v>
      </c>
      <c r="F479" s="35">
        <v>5750</v>
      </c>
      <c r="G479" s="102">
        <f t="shared" si="94"/>
        <v>0.17199999999999999</v>
      </c>
      <c r="H479" s="31">
        <f t="shared" si="93"/>
        <v>4761</v>
      </c>
      <c r="I479" s="185"/>
      <c r="J479" s="17"/>
      <c r="K479" s="17"/>
      <c r="L479" s="17" t="s">
        <v>77</v>
      </c>
      <c r="M479" s="17" t="s">
        <v>77</v>
      </c>
      <c r="N479" s="258" t="s">
        <v>75</v>
      </c>
      <c r="O479" s="55" t="s">
        <v>1112</v>
      </c>
      <c r="P479" s="230" t="s">
        <v>689</v>
      </c>
      <c r="Q479" s="205" t="s">
        <v>690</v>
      </c>
      <c r="R479" s="1" t="str">
        <f t="shared" si="92"/>
        <v/>
      </c>
      <c r="S479" s="1" t="str">
        <f t="shared" si="92"/>
        <v/>
      </c>
      <c r="T479" s="1" t="str">
        <f t="shared" si="92"/>
        <v/>
      </c>
      <c r="U479" s="1" t="str">
        <f t="shared" si="91"/>
        <v/>
      </c>
      <c r="V479" s="25" t="s">
        <v>1130</v>
      </c>
      <c r="W479" s="26" t="s">
        <v>1131</v>
      </c>
      <c r="X479" s="29">
        <v>1</v>
      </c>
      <c r="Y479" s="35" t="s">
        <v>75</v>
      </c>
      <c r="Z479" s="33" t="s">
        <v>77</v>
      </c>
      <c r="AA479" s="35">
        <v>5750</v>
      </c>
      <c r="AB479" s="102">
        <f t="shared" si="95"/>
        <v>0.17199999999999999</v>
      </c>
      <c r="AC479" s="31">
        <f t="shared" si="86"/>
        <v>4761</v>
      </c>
      <c r="AD479" s="185"/>
      <c r="AE479" s="17"/>
      <c r="AF479" s="17"/>
      <c r="AG479" s="17" t="s">
        <v>77</v>
      </c>
      <c r="AH479" s="17" t="s">
        <v>77</v>
      </c>
      <c r="AI479" s="258" t="s">
        <v>75</v>
      </c>
      <c r="AJ479" s="55" t="s">
        <v>1112</v>
      </c>
      <c r="AK479" s="230" t="s">
        <v>689</v>
      </c>
      <c r="AL479" s="205" t="s">
        <v>1117</v>
      </c>
    </row>
    <row r="480" spans="1:38">
      <c r="A480" s="25" t="s">
        <v>1132</v>
      </c>
      <c r="B480" s="26" t="s">
        <v>1133</v>
      </c>
      <c r="C480" s="29">
        <v>1</v>
      </c>
      <c r="D480" s="35" t="s">
        <v>75</v>
      </c>
      <c r="E480" s="33" t="s">
        <v>77</v>
      </c>
      <c r="F480" s="35">
        <v>9583.33</v>
      </c>
      <c r="G480" s="102">
        <f t="shared" si="94"/>
        <v>0.17199999999999999</v>
      </c>
      <c r="H480" s="31">
        <f t="shared" si="93"/>
        <v>7934.9972400000006</v>
      </c>
      <c r="I480" s="185"/>
      <c r="J480" s="17"/>
      <c r="K480" s="17"/>
      <c r="L480" s="17" t="s">
        <v>77</v>
      </c>
      <c r="M480" s="17" t="s">
        <v>77</v>
      </c>
      <c r="N480" s="258" t="s">
        <v>75</v>
      </c>
      <c r="O480" s="55" t="s">
        <v>1112</v>
      </c>
      <c r="P480" s="230" t="s">
        <v>689</v>
      </c>
      <c r="Q480" s="205" t="s">
        <v>690</v>
      </c>
      <c r="R480" s="1" t="str">
        <f t="shared" si="92"/>
        <v/>
      </c>
      <c r="S480" s="1" t="str">
        <f t="shared" si="92"/>
        <v/>
      </c>
      <c r="T480" s="1" t="str">
        <f t="shared" si="92"/>
        <v/>
      </c>
      <c r="U480" s="1" t="str">
        <f t="shared" si="91"/>
        <v/>
      </c>
      <c r="V480" s="25" t="s">
        <v>1132</v>
      </c>
      <c r="W480" s="26" t="s">
        <v>1133</v>
      </c>
      <c r="X480" s="29">
        <v>1</v>
      </c>
      <c r="Y480" s="35" t="s">
        <v>75</v>
      </c>
      <c r="Z480" s="33" t="s">
        <v>77</v>
      </c>
      <c r="AA480" s="35">
        <v>9583.33</v>
      </c>
      <c r="AB480" s="102">
        <f t="shared" si="95"/>
        <v>0.17199999999999999</v>
      </c>
      <c r="AC480" s="31">
        <f t="shared" si="86"/>
        <v>7934.9972400000006</v>
      </c>
      <c r="AD480" s="185"/>
      <c r="AE480" s="17"/>
      <c r="AF480" s="17"/>
      <c r="AG480" s="17" t="s">
        <v>77</v>
      </c>
      <c r="AH480" s="17" t="s">
        <v>77</v>
      </c>
      <c r="AI480" s="258" t="s">
        <v>75</v>
      </c>
      <c r="AJ480" s="55" t="s">
        <v>1112</v>
      </c>
      <c r="AK480" s="230" t="s">
        <v>689</v>
      </c>
      <c r="AL480" s="205" t="s">
        <v>1117</v>
      </c>
    </row>
    <row r="481" spans="1:38">
      <c r="A481" s="25" t="s">
        <v>1134</v>
      </c>
      <c r="B481" s="26" t="s">
        <v>1135</v>
      </c>
      <c r="C481" s="29">
        <v>1</v>
      </c>
      <c r="D481" s="35" t="s">
        <v>75</v>
      </c>
      <c r="E481" s="33" t="s">
        <v>77</v>
      </c>
      <c r="F481" s="35">
        <v>13416.67</v>
      </c>
      <c r="G481" s="102">
        <f t="shared" si="94"/>
        <v>0.17199999999999999</v>
      </c>
      <c r="H481" s="31">
        <f t="shared" si="93"/>
        <v>11109.002759999999</v>
      </c>
      <c r="I481" s="185"/>
      <c r="J481" s="17"/>
      <c r="K481" s="17"/>
      <c r="L481" s="17" t="s">
        <v>77</v>
      </c>
      <c r="M481" s="17" t="s">
        <v>77</v>
      </c>
      <c r="N481" s="258" t="s">
        <v>75</v>
      </c>
      <c r="O481" s="55" t="s">
        <v>1112</v>
      </c>
      <c r="P481" s="230" t="s">
        <v>689</v>
      </c>
      <c r="Q481" s="205" t="s">
        <v>690</v>
      </c>
      <c r="R481" s="1" t="str">
        <f t="shared" si="92"/>
        <v/>
      </c>
      <c r="S481" s="1" t="str">
        <f t="shared" si="92"/>
        <v/>
      </c>
      <c r="T481" s="1" t="str">
        <f t="shared" si="92"/>
        <v/>
      </c>
      <c r="U481" s="1" t="str">
        <f t="shared" si="91"/>
        <v/>
      </c>
      <c r="V481" s="25" t="s">
        <v>1134</v>
      </c>
      <c r="W481" s="26" t="s">
        <v>1135</v>
      </c>
      <c r="X481" s="29">
        <v>1</v>
      </c>
      <c r="Y481" s="35" t="s">
        <v>75</v>
      </c>
      <c r="Z481" s="33" t="s">
        <v>77</v>
      </c>
      <c r="AA481" s="35">
        <v>13416.67</v>
      </c>
      <c r="AB481" s="102">
        <f t="shared" si="95"/>
        <v>0.17199999999999999</v>
      </c>
      <c r="AC481" s="31">
        <f t="shared" si="86"/>
        <v>11109.002759999999</v>
      </c>
      <c r="AD481" s="185"/>
      <c r="AE481" s="17"/>
      <c r="AF481" s="17"/>
      <c r="AG481" s="17" t="s">
        <v>77</v>
      </c>
      <c r="AH481" s="17" t="s">
        <v>77</v>
      </c>
      <c r="AI481" s="258" t="s">
        <v>75</v>
      </c>
      <c r="AJ481" s="55" t="s">
        <v>1112</v>
      </c>
      <c r="AK481" s="230" t="s">
        <v>689</v>
      </c>
      <c r="AL481" s="205" t="s">
        <v>1117</v>
      </c>
    </row>
    <row r="482" spans="1:38">
      <c r="A482" s="25" t="s">
        <v>1136</v>
      </c>
      <c r="B482" s="26" t="s">
        <v>1137</v>
      </c>
      <c r="C482" s="29">
        <v>1</v>
      </c>
      <c r="D482" s="35" t="s">
        <v>75</v>
      </c>
      <c r="E482" s="33" t="s">
        <v>77</v>
      </c>
      <c r="F482" s="35">
        <v>191.67</v>
      </c>
      <c r="G482" s="102">
        <f t="shared" si="94"/>
        <v>0.17199999999999999</v>
      </c>
      <c r="H482" s="31">
        <f t="shared" si="93"/>
        <v>158.70275999999998</v>
      </c>
      <c r="I482" s="185"/>
      <c r="J482" s="17"/>
      <c r="K482" s="17"/>
      <c r="L482" s="17" t="s">
        <v>77</v>
      </c>
      <c r="M482" s="17" t="s">
        <v>77</v>
      </c>
      <c r="N482" s="258" t="s">
        <v>75</v>
      </c>
      <c r="O482" s="55" t="s">
        <v>1112</v>
      </c>
      <c r="P482" s="230" t="s">
        <v>689</v>
      </c>
      <c r="Q482" s="205" t="s">
        <v>690</v>
      </c>
      <c r="R482" s="1" t="str">
        <f t="shared" si="92"/>
        <v/>
      </c>
      <c r="S482" s="1" t="str">
        <f t="shared" si="92"/>
        <v/>
      </c>
      <c r="T482" s="1" t="str">
        <f t="shared" si="92"/>
        <v/>
      </c>
      <c r="U482" s="1" t="str">
        <f t="shared" si="91"/>
        <v/>
      </c>
      <c r="V482" s="25" t="s">
        <v>1136</v>
      </c>
      <c r="W482" s="26" t="s">
        <v>1137</v>
      </c>
      <c r="X482" s="29">
        <v>1</v>
      </c>
      <c r="Y482" s="35" t="s">
        <v>75</v>
      </c>
      <c r="Z482" s="33" t="s">
        <v>77</v>
      </c>
      <c r="AA482" s="35">
        <v>383.33</v>
      </c>
      <c r="AB482" s="102">
        <f t="shared" si="95"/>
        <v>0.17199999999999999</v>
      </c>
      <c r="AC482" s="31">
        <f t="shared" si="86"/>
        <v>317.39724000000001</v>
      </c>
      <c r="AD482" s="185"/>
      <c r="AE482" s="17"/>
      <c r="AF482" s="17"/>
      <c r="AG482" s="17" t="s">
        <v>77</v>
      </c>
      <c r="AH482" s="17" t="s">
        <v>77</v>
      </c>
      <c r="AI482" s="258" t="s">
        <v>75</v>
      </c>
      <c r="AJ482" s="55" t="s">
        <v>1112</v>
      </c>
      <c r="AK482" s="230" t="s">
        <v>689</v>
      </c>
      <c r="AL482" s="205" t="s">
        <v>1117</v>
      </c>
    </row>
    <row r="483" spans="1:38">
      <c r="A483" s="25" t="s">
        <v>1138</v>
      </c>
      <c r="B483" s="26" t="s">
        <v>1139</v>
      </c>
      <c r="C483" s="29">
        <v>1</v>
      </c>
      <c r="D483" s="35" t="s">
        <v>75</v>
      </c>
      <c r="E483" s="33" t="s">
        <v>77</v>
      </c>
      <c r="F483" s="35">
        <v>575</v>
      </c>
      <c r="G483" s="102">
        <f t="shared" si="94"/>
        <v>0.17199999999999999</v>
      </c>
      <c r="H483" s="31">
        <f t="shared" si="93"/>
        <v>476.1</v>
      </c>
      <c r="I483" s="185"/>
      <c r="J483" s="17"/>
      <c r="K483" s="17"/>
      <c r="L483" s="17" t="s">
        <v>77</v>
      </c>
      <c r="M483" s="17" t="s">
        <v>77</v>
      </c>
      <c r="N483" s="258" t="s">
        <v>75</v>
      </c>
      <c r="O483" s="55" t="s">
        <v>1112</v>
      </c>
      <c r="P483" s="230" t="s">
        <v>689</v>
      </c>
      <c r="Q483" s="205" t="s">
        <v>690</v>
      </c>
      <c r="R483" s="1" t="str">
        <f t="shared" si="92"/>
        <v/>
      </c>
      <c r="S483" s="1" t="str">
        <f t="shared" si="92"/>
        <v/>
      </c>
      <c r="T483" s="1" t="str">
        <f t="shared" si="92"/>
        <v/>
      </c>
      <c r="U483" s="1" t="str">
        <f t="shared" si="91"/>
        <v/>
      </c>
      <c r="V483" s="25" t="s">
        <v>1138</v>
      </c>
      <c r="W483" s="26" t="s">
        <v>1139</v>
      </c>
      <c r="X483" s="29">
        <v>1</v>
      </c>
      <c r="Y483" s="35" t="s">
        <v>75</v>
      </c>
      <c r="Z483" s="33" t="s">
        <v>77</v>
      </c>
      <c r="AA483" s="35">
        <v>766.67</v>
      </c>
      <c r="AB483" s="102">
        <f t="shared" si="95"/>
        <v>0.17199999999999999</v>
      </c>
      <c r="AC483" s="31">
        <f t="shared" si="86"/>
        <v>634.80276000000003</v>
      </c>
      <c r="AD483" s="185"/>
      <c r="AE483" s="17"/>
      <c r="AF483" s="17"/>
      <c r="AG483" s="17" t="s">
        <v>77</v>
      </c>
      <c r="AH483" s="17" t="s">
        <v>77</v>
      </c>
      <c r="AI483" s="258" t="s">
        <v>75</v>
      </c>
      <c r="AJ483" s="55" t="s">
        <v>1112</v>
      </c>
      <c r="AK483" s="230" t="s">
        <v>689</v>
      </c>
      <c r="AL483" s="205" t="s">
        <v>1117</v>
      </c>
    </row>
    <row r="484" spans="1:38">
      <c r="A484" s="25" t="s">
        <v>1140</v>
      </c>
      <c r="B484" s="26" t="s">
        <v>1141</v>
      </c>
      <c r="C484" s="29">
        <v>1</v>
      </c>
      <c r="D484" s="35" t="s">
        <v>75</v>
      </c>
      <c r="E484" s="33" t="s">
        <v>77</v>
      </c>
      <c r="F484" s="35">
        <v>1150</v>
      </c>
      <c r="G484" s="102">
        <f t="shared" si="94"/>
        <v>0.17199999999999999</v>
      </c>
      <c r="H484" s="31">
        <f t="shared" si="93"/>
        <v>952.2</v>
      </c>
      <c r="I484" s="185"/>
      <c r="J484" s="17"/>
      <c r="K484" s="17"/>
      <c r="L484" s="17" t="s">
        <v>77</v>
      </c>
      <c r="M484" s="17" t="s">
        <v>77</v>
      </c>
      <c r="N484" s="258" t="s">
        <v>75</v>
      </c>
      <c r="O484" s="55" t="s">
        <v>1112</v>
      </c>
      <c r="P484" s="230" t="s">
        <v>689</v>
      </c>
      <c r="Q484" s="205" t="s">
        <v>690</v>
      </c>
      <c r="R484" s="1" t="str">
        <f t="shared" si="92"/>
        <v/>
      </c>
      <c r="S484" s="1" t="str">
        <f t="shared" si="92"/>
        <v/>
      </c>
      <c r="T484" s="1" t="str">
        <f t="shared" si="92"/>
        <v/>
      </c>
      <c r="U484" s="1" t="str">
        <f t="shared" si="91"/>
        <v/>
      </c>
      <c r="V484" s="25" t="s">
        <v>1140</v>
      </c>
      <c r="W484" s="26" t="s">
        <v>1141</v>
      </c>
      <c r="X484" s="29">
        <v>1</v>
      </c>
      <c r="Y484" s="35" t="s">
        <v>75</v>
      </c>
      <c r="Z484" s="33" t="s">
        <v>77</v>
      </c>
      <c r="AA484" s="35">
        <v>1341.67</v>
      </c>
      <c r="AB484" s="102">
        <f t="shared" si="95"/>
        <v>0.17199999999999999</v>
      </c>
      <c r="AC484" s="31">
        <f t="shared" si="86"/>
        <v>1110.9027600000002</v>
      </c>
      <c r="AD484" s="185"/>
      <c r="AE484" s="17"/>
      <c r="AF484" s="17"/>
      <c r="AG484" s="17" t="s">
        <v>77</v>
      </c>
      <c r="AH484" s="17" t="s">
        <v>77</v>
      </c>
      <c r="AI484" s="258" t="s">
        <v>75</v>
      </c>
      <c r="AJ484" s="55" t="s">
        <v>1112</v>
      </c>
      <c r="AK484" s="230" t="s">
        <v>689</v>
      </c>
      <c r="AL484" s="205" t="s">
        <v>1117</v>
      </c>
    </row>
    <row r="485" spans="1:38">
      <c r="A485" s="25" t="s">
        <v>1142</v>
      </c>
      <c r="B485" s="26" t="s">
        <v>1143</v>
      </c>
      <c r="C485" s="29">
        <v>1</v>
      </c>
      <c r="D485" s="35" t="s">
        <v>75</v>
      </c>
      <c r="E485" s="33" t="s">
        <v>77</v>
      </c>
      <c r="F485" s="35">
        <v>2300</v>
      </c>
      <c r="G485" s="102">
        <f t="shared" si="94"/>
        <v>0.17199999999999999</v>
      </c>
      <c r="H485" s="31">
        <f t="shared" si="93"/>
        <v>1904.4</v>
      </c>
      <c r="I485" s="185"/>
      <c r="J485" s="17"/>
      <c r="K485" s="17"/>
      <c r="L485" s="17" t="s">
        <v>77</v>
      </c>
      <c r="M485" s="17" t="s">
        <v>77</v>
      </c>
      <c r="N485" s="258" t="s">
        <v>75</v>
      </c>
      <c r="O485" s="55" t="s">
        <v>1112</v>
      </c>
      <c r="P485" s="230" t="s">
        <v>689</v>
      </c>
      <c r="Q485" s="205" t="s">
        <v>690</v>
      </c>
      <c r="R485" s="1" t="str">
        <f t="shared" si="92"/>
        <v/>
      </c>
      <c r="S485" s="1" t="str">
        <f t="shared" si="92"/>
        <v/>
      </c>
      <c r="T485" s="1" t="str">
        <f t="shared" si="92"/>
        <v/>
      </c>
      <c r="U485" s="1" t="str">
        <f t="shared" si="91"/>
        <v/>
      </c>
      <c r="V485" s="25" t="s">
        <v>1142</v>
      </c>
      <c r="W485" s="26" t="s">
        <v>1143</v>
      </c>
      <c r="X485" s="29">
        <v>1</v>
      </c>
      <c r="Y485" s="35" t="s">
        <v>75</v>
      </c>
      <c r="Z485" s="33" t="s">
        <v>77</v>
      </c>
      <c r="AA485" s="35">
        <v>2491.67</v>
      </c>
      <c r="AB485" s="102">
        <f t="shared" si="95"/>
        <v>0.17199999999999999</v>
      </c>
      <c r="AC485" s="31">
        <f t="shared" si="86"/>
        <v>2063.1027600000002</v>
      </c>
      <c r="AD485" s="185"/>
      <c r="AE485" s="17"/>
      <c r="AF485" s="17"/>
      <c r="AG485" s="17" t="s">
        <v>77</v>
      </c>
      <c r="AH485" s="17" t="s">
        <v>77</v>
      </c>
      <c r="AI485" s="258" t="s">
        <v>75</v>
      </c>
      <c r="AJ485" s="55" t="s">
        <v>1112</v>
      </c>
      <c r="AK485" s="230" t="s">
        <v>689</v>
      </c>
      <c r="AL485" s="205" t="s">
        <v>1117</v>
      </c>
    </row>
    <row r="486" spans="1:38" s="121" customFormat="1">
      <c r="A486" s="25" t="s">
        <v>1144</v>
      </c>
      <c r="B486" s="114" t="s">
        <v>1145</v>
      </c>
      <c r="C486" s="115">
        <v>1</v>
      </c>
      <c r="D486" s="116" t="s">
        <v>75</v>
      </c>
      <c r="E486" s="117" t="s">
        <v>77</v>
      </c>
      <c r="F486" s="35">
        <v>383</v>
      </c>
      <c r="G486" s="102">
        <f t="shared" si="94"/>
        <v>0.17199999999999999</v>
      </c>
      <c r="H486" s="31">
        <f t="shared" si="93"/>
        <v>317.12400000000002</v>
      </c>
      <c r="I486" s="192"/>
      <c r="J486" s="120"/>
      <c r="K486" s="120"/>
      <c r="L486" s="120" t="s">
        <v>77</v>
      </c>
      <c r="M486" s="120" t="s">
        <v>77</v>
      </c>
      <c r="N486" s="258" t="s">
        <v>75</v>
      </c>
      <c r="O486" s="55" t="s">
        <v>1112</v>
      </c>
      <c r="P486" s="230" t="s">
        <v>689</v>
      </c>
      <c r="Q486" s="205" t="s">
        <v>690</v>
      </c>
      <c r="R486" s="1" t="str">
        <f t="shared" si="92"/>
        <v/>
      </c>
      <c r="S486" s="1" t="str">
        <f t="shared" si="92"/>
        <v/>
      </c>
      <c r="T486" s="1" t="str">
        <f t="shared" si="92"/>
        <v/>
      </c>
      <c r="U486" s="1" t="str">
        <f t="shared" si="91"/>
        <v/>
      </c>
      <c r="V486" s="25" t="s">
        <v>1144</v>
      </c>
      <c r="W486" s="114" t="s">
        <v>1145</v>
      </c>
      <c r="X486" s="115">
        <v>1</v>
      </c>
      <c r="Y486" s="116" t="s">
        <v>75</v>
      </c>
      <c r="Z486" s="117" t="s">
        <v>77</v>
      </c>
      <c r="AA486" s="116">
        <v>575</v>
      </c>
      <c r="AB486" s="118">
        <f t="shared" si="95"/>
        <v>0.17199999999999999</v>
      </c>
      <c r="AC486" s="119">
        <f t="shared" si="86"/>
        <v>476.1</v>
      </c>
      <c r="AD486" s="192"/>
      <c r="AE486" s="120"/>
      <c r="AF486" s="120"/>
      <c r="AG486" s="120" t="s">
        <v>77</v>
      </c>
      <c r="AH486" s="120" t="s">
        <v>77</v>
      </c>
      <c r="AI486" s="258" t="s">
        <v>75</v>
      </c>
      <c r="AJ486" s="55" t="s">
        <v>1112</v>
      </c>
      <c r="AK486" s="265" t="s">
        <v>689</v>
      </c>
      <c r="AL486" s="203" t="s">
        <v>1117</v>
      </c>
    </row>
    <row r="487" spans="1:38" s="121" customFormat="1">
      <c r="A487" s="25"/>
      <c r="B487" s="114"/>
      <c r="C487" s="115"/>
      <c r="D487" s="116"/>
      <c r="E487" s="117"/>
      <c r="F487" s="116"/>
      <c r="G487" s="118"/>
      <c r="H487" s="119"/>
      <c r="I487" s="192"/>
      <c r="J487" s="120"/>
      <c r="K487" s="120"/>
      <c r="L487" s="120"/>
      <c r="M487" s="120"/>
      <c r="N487" s="258"/>
      <c r="O487" s="55"/>
      <c r="P487" s="230"/>
      <c r="Q487" s="205"/>
      <c r="R487" s="1" t="str">
        <f t="shared" si="92"/>
        <v/>
      </c>
      <c r="S487" s="1" t="str">
        <f t="shared" si="92"/>
        <v/>
      </c>
      <c r="T487" s="1" t="str">
        <f t="shared" si="92"/>
        <v/>
      </c>
      <c r="U487" s="1" t="str">
        <f t="shared" si="91"/>
        <v/>
      </c>
      <c r="V487" s="25" t="s">
        <v>1146</v>
      </c>
      <c r="W487" s="114" t="s">
        <v>1147</v>
      </c>
      <c r="X487" s="115">
        <v>1</v>
      </c>
      <c r="Y487" s="116" t="s">
        <v>75</v>
      </c>
      <c r="Z487" s="117" t="s">
        <v>77</v>
      </c>
      <c r="AA487" s="116">
        <v>191.67</v>
      </c>
      <c r="AB487" s="118">
        <f t="shared" si="95"/>
        <v>0.17199999999999999</v>
      </c>
      <c r="AC487" s="119">
        <f t="shared" si="86"/>
        <v>158.70275999999998</v>
      </c>
      <c r="AD487" s="192"/>
      <c r="AE487" s="120"/>
      <c r="AF487" s="120"/>
      <c r="AG487" s="120" t="s">
        <v>77</v>
      </c>
      <c r="AH487" s="120" t="s">
        <v>77</v>
      </c>
      <c r="AI487" s="258" t="s">
        <v>75</v>
      </c>
      <c r="AJ487" s="55" t="s">
        <v>1112</v>
      </c>
      <c r="AK487" s="265" t="s">
        <v>689</v>
      </c>
      <c r="AL487" s="203" t="s">
        <v>1117</v>
      </c>
    </row>
    <row r="488" spans="1:38" s="121" customFormat="1">
      <c r="A488" s="25" t="s">
        <v>1148</v>
      </c>
      <c r="B488" s="114" t="s">
        <v>1149</v>
      </c>
      <c r="C488" s="115">
        <v>1</v>
      </c>
      <c r="D488" s="116" t="s">
        <v>75</v>
      </c>
      <c r="E488" s="117" t="s">
        <v>77</v>
      </c>
      <c r="F488" s="35">
        <v>1341.67</v>
      </c>
      <c r="G488" s="102">
        <f t="shared" si="94"/>
        <v>0.17199999999999999</v>
      </c>
      <c r="H488" s="31">
        <f t="shared" si="93"/>
        <v>1110.9027600000002</v>
      </c>
      <c r="I488" s="192"/>
      <c r="J488" s="120"/>
      <c r="K488" s="120"/>
      <c r="L488" s="120" t="s">
        <v>77</v>
      </c>
      <c r="M488" s="120" t="s">
        <v>77</v>
      </c>
      <c r="N488" s="258" t="s">
        <v>75</v>
      </c>
      <c r="O488" s="55" t="s">
        <v>1112</v>
      </c>
      <c r="P488" s="230" t="s">
        <v>689</v>
      </c>
      <c r="Q488" s="205" t="s">
        <v>690</v>
      </c>
      <c r="R488" s="1" t="str">
        <f t="shared" si="92"/>
        <v/>
      </c>
      <c r="S488" s="1" t="str">
        <f t="shared" si="92"/>
        <v/>
      </c>
      <c r="T488" s="1" t="str">
        <f t="shared" si="92"/>
        <v/>
      </c>
      <c r="U488" s="1" t="str">
        <f t="shared" si="91"/>
        <v/>
      </c>
      <c r="V488" s="25" t="s">
        <v>1148</v>
      </c>
      <c r="W488" s="114" t="s">
        <v>1149</v>
      </c>
      <c r="X488" s="115">
        <v>1</v>
      </c>
      <c r="Y488" s="116" t="s">
        <v>75</v>
      </c>
      <c r="Z488" s="117" t="s">
        <v>77</v>
      </c>
      <c r="AA488" s="116">
        <v>1533.33</v>
      </c>
      <c r="AB488" s="118">
        <f t="shared" si="95"/>
        <v>0.17199999999999999</v>
      </c>
      <c r="AC488" s="119">
        <f t="shared" si="86"/>
        <v>1269.5972400000001</v>
      </c>
      <c r="AD488" s="192"/>
      <c r="AE488" s="120"/>
      <c r="AF488" s="120"/>
      <c r="AG488" s="120" t="s">
        <v>77</v>
      </c>
      <c r="AH488" s="120" t="s">
        <v>77</v>
      </c>
      <c r="AI488" s="258" t="s">
        <v>75</v>
      </c>
      <c r="AJ488" s="55" t="s">
        <v>1112</v>
      </c>
      <c r="AK488" s="265" t="s">
        <v>689</v>
      </c>
      <c r="AL488" s="203" t="s">
        <v>1117</v>
      </c>
    </row>
    <row r="489" spans="1:38" s="121" customFormat="1">
      <c r="A489" s="25" t="s">
        <v>1150</v>
      </c>
      <c r="B489" s="114" t="s">
        <v>1151</v>
      </c>
      <c r="C489" s="395">
        <v>1</v>
      </c>
      <c r="D489" s="396" t="s">
        <v>75</v>
      </c>
      <c r="E489" s="397" t="s">
        <v>77</v>
      </c>
      <c r="F489" s="116">
        <v>287.5</v>
      </c>
      <c r="G489" s="118">
        <f t="shared" si="94"/>
        <v>0.17199999999999999</v>
      </c>
      <c r="H489" s="119">
        <f t="shared" si="93"/>
        <v>238.05</v>
      </c>
      <c r="I489" s="394"/>
      <c r="J489" s="134"/>
      <c r="K489" s="134"/>
      <c r="L489" s="134" t="s">
        <v>77</v>
      </c>
      <c r="M489" s="134" t="s">
        <v>77</v>
      </c>
      <c r="N489" s="258" t="s">
        <v>75</v>
      </c>
      <c r="O489" s="55" t="s">
        <v>1112</v>
      </c>
      <c r="P489" s="230" t="s">
        <v>689</v>
      </c>
      <c r="Q489" s="230" t="s">
        <v>690</v>
      </c>
      <c r="R489" s="1" t="str">
        <f t="shared" si="92"/>
        <v/>
      </c>
      <c r="S489" s="1" t="str">
        <f t="shared" si="92"/>
        <v/>
      </c>
      <c r="T489" s="1" t="str">
        <f t="shared" si="92"/>
        <v/>
      </c>
      <c r="U489" s="1" t="str">
        <f t="shared" si="91"/>
        <v/>
      </c>
      <c r="V489" s="25"/>
      <c r="W489" s="114"/>
      <c r="X489" s="115"/>
      <c r="Y489" s="116"/>
      <c r="Z489" s="117"/>
      <c r="AA489" s="116"/>
      <c r="AB489" s="118"/>
      <c r="AC489" s="119"/>
      <c r="AD489" s="192"/>
      <c r="AE489" s="120"/>
      <c r="AF489" s="120"/>
      <c r="AG489" s="120"/>
      <c r="AH489" s="120"/>
      <c r="AI489" s="258"/>
      <c r="AJ489" s="55"/>
      <c r="AK489" s="265"/>
      <c r="AL489" s="203"/>
    </row>
    <row r="490" spans="1:38">
      <c r="A490" s="25" t="s">
        <v>1152</v>
      </c>
      <c r="B490" s="26" t="s">
        <v>1153</v>
      </c>
      <c r="C490" s="29">
        <v>1</v>
      </c>
      <c r="D490" s="35" t="s">
        <v>75</v>
      </c>
      <c r="E490" s="33" t="s">
        <v>77</v>
      </c>
      <c r="F490" s="35">
        <v>2108.33</v>
      </c>
      <c r="G490" s="102">
        <f t="shared" si="94"/>
        <v>0.17199999999999999</v>
      </c>
      <c r="H490" s="31">
        <f t="shared" ref="H490:H495" si="96">F490-(F490*G490)</f>
        <v>1745.69724</v>
      </c>
      <c r="I490" s="185"/>
      <c r="J490" s="17"/>
      <c r="K490" s="17"/>
      <c r="L490" s="17" t="s">
        <v>77</v>
      </c>
      <c r="M490" s="17" t="s">
        <v>77</v>
      </c>
      <c r="N490" s="258" t="s">
        <v>75</v>
      </c>
      <c r="O490" s="55" t="s">
        <v>1112</v>
      </c>
      <c r="P490" s="230" t="s">
        <v>689</v>
      </c>
      <c r="Q490" s="205" t="s">
        <v>690</v>
      </c>
      <c r="R490" s="1" t="str">
        <f t="shared" si="92"/>
        <v/>
      </c>
      <c r="S490" s="1" t="str">
        <f t="shared" si="92"/>
        <v/>
      </c>
      <c r="T490" s="1" t="str">
        <f t="shared" si="92"/>
        <v/>
      </c>
      <c r="U490" s="1" t="str">
        <f t="shared" si="91"/>
        <v/>
      </c>
      <c r="V490" s="25" t="s">
        <v>1152</v>
      </c>
      <c r="W490" s="26" t="s">
        <v>1153</v>
      </c>
      <c r="X490" s="29">
        <v>1</v>
      </c>
      <c r="Y490" s="35" t="s">
        <v>75</v>
      </c>
      <c r="Z490" s="33" t="s">
        <v>77</v>
      </c>
      <c r="AA490" s="35">
        <v>2300</v>
      </c>
      <c r="AB490" s="102">
        <f t="shared" si="95"/>
        <v>0.17199999999999999</v>
      </c>
      <c r="AC490" s="31">
        <f t="shared" si="86"/>
        <v>1904.4</v>
      </c>
      <c r="AD490" s="185"/>
      <c r="AE490" s="17"/>
      <c r="AF490" s="17"/>
      <c r="AG490" s="17" t="s">
        <v>77</v>
      </c>
      <c r="AH490" s="17" t="s">
        <v>77</v>
      </c>
      <c r="AI490" s="258" t="s">
        <v>75</v>
      </c>
      <c r="AJ490" s="55" t="s">
        <v>1112</v>
      </c>
      <c r="AK490" s="230" t="s">
        <v>689</v>
      </c>
      <c r="AL490" s="205" t="s">
        <v>1117</v>
      </c>
    </row>
    <row r="491" spans="1:38">
      <c r="A491" s="25" t="s">
        <v>1154</v>
      </c>
      <c r="B491" s="26" t="s">
        <v>1155</v>
      </c>
      <c r="C491" s="29">
        <v>1</v>
      </c>
      <c r="D491" s="35" t="s">
        <v>75</v>
      </c>
      <c r="E491" s="33" t="s">
        <v>77</v>
      </c>
      <c r="F491" s="35">
        <v>4791.67</v>
      </c>
      <c r="G491" s="102">
        <f t="shared" si="94"/>
        <v>0.17199999999999999</v>
      </c>
      <c r="H491" s="31">
        <f t="shared" si="96"/>
        <v>3967.5027600000003</v>
      </c>
      <c r="I491" s="185"/>
      <c r="J491" s="17"/>
      <c r="K491" s="17"/>
      <c r="L491" s="17" t="s">
        <v>77</v>
      </c>
      <c r="M491" s="17" t="s">
        <v>77</v>
      </c>
      <c r="N491" s="258" t="s">
        <v>75</v>
      </c>
      <c r="O491" s="55" t="s">
        <v>1112</v>
      </c>
      <c r="P491" s="230" t="s">
        <v>689</v>
      </c>
      <c r="Q491" s="205" t="s">
        <v>690</v>
      </c>
      <c r="R491" s="1" t="str">
        <f t="shared" si="92"/>
        <v/>
      </c>
      <c r="S491" s="1" t="str">
        <f t="shared" si="92"/>
        <v/>
      </c>
      <c r="T491" s="1" t="str">
        <f t="shared" si="92"/>
        <v/>
      </c>
      <c r="U491" s="1" t="str">
        <f t="shared" si="91"/>
        <v/>
      </c>
      <c r="V491" s="25" t="s">
        <v>1154</v>
      </c>
      <c r="W491" s="26" t="s">
        <v>1155</v>
      </c>
      <c r="X491" s="29">
        <v>1</v>
      </c>
      <c r="Y491" s="35" t="s">
        <v>75</v>
      </c>
      <c r="Z491" s="33" t="s">
        <v>77</v>
      </c>
      <c r="AA491" s="35">
        <v>4983.33</v>
      </c>
      <c r="AB491" s="102">
        <f t="shared" si="95"/>
        <v>0.17199999999999999</v>
      </c>
      <c r="AC491" s="31">
        <f t="shared" si="86"/>
        <v>4126.1972399999995</v>
      </c>
      <c r="AD491" s="185"/>
      <c r="AE491" s="17"/>
      <c r="AF491" s="17"/>
      <c r="AG491" s="17" t="s">
        <v>77</v>
      </c>
      <c r="AH491" s="17" t="s">
        <v>77</v>
      </c>
      <c r="AI491" s="258" t="s">
        <v>75</v>
      </c>
      <c r="AJ491" s="55" t="s">
        <v>1112</v>
      </c>
      <c r="AK491" s="230" t="s">
        <v>689</v>
      </c>
      <c r="AL491" s="205" t="s">
        <v>1117</v>
      </c>
    </row>
    <row r="492" spans="1:38">
      <c r="A492" s="25" t="s">
        <v>1156</v>
      </c>
      <c r="B492" s="26" t="s">
        <v>1157</v>
      </c>
      <c r="C492" s="29">
        <v>1</v>
      </c>
      <c r="D492" s="35" t="s">
        <v>75</v>
      </c>
      <c r="E492" s="33" t="s">
        <v>77</v>
      </c>
      <c r="F492" s="35">
        <v>4216.67</v>
      </c>
      <c r="G492" s="102">
        <f t="shared" si="94"/>
        <v>0.17199999999999999</v>
      </c>
      <c r="H492" s="31">
        <f t="shared" si="96"/>
        <v>3491.4027599999999</v>
      </c>
      <c r="I492" s="185"/>
      <c r="J492" s="17"/>
      <c r="K492" s="17"/>
      <c r="L492" s="17" t="s">
        <v>77</v>
      </c>
      <c r="M492" s="17" t="s">
        <v>77</v>
      </c>
      <c r="N492" s="258" t="s">
        <v>75</v>
      </c>
      <c r="O492" s="55" t="s">
        <v>1112</v>
      </c>
      <c r="P492" s="230" t="s">
        <v>689</v>
      </c>
      <c r="Q492" s="205" t="s">
        <v>690</v>
      </c>
      <c r="R492" s="1" t="str">
        <f t="shared" si="92"/>
        <v/>
      </c>
      <c r="S492" s="1" t="str">
        <f t="shared" si="92"/>
        <v/>
      </c>
      <c r="T492" s="1" t="str">
        <f t="shared" si="92"/>
        <v/>
      </c>
      <c r="U492" s="1" t="str">
        <f t="shared" si="91"/>
        <v/>
      </c>
      <c r="V492" s="25" t="s">
        <v>1156</v>
      </c>
      <c r="W492" s="26" t="s">
        <v>1157</v>
      </c>
      <c r="X492" s="29">
        <v>1</v>
      </c>
      <c r="Y492" s="35" t="s">
        <v>75</v>
      </c>
      <c r="Z492" s="33" t="s">
        <v>77</v>
      </c>
      <c r="AA492" s="35">
        <v>4408.33</v>
      </c>
      <c r="AB492" s="102">
        <f t="shared" si="95"/>
        <v>0.17199999999999999</v>
      </c>
      <c r="AC492" s="31">
        <f t="shared" si="86"/>
        <v>3650.0972400000001</v>
      </c>
      <c r="AD492" s="185"/>
      <c r="AE492" s="17"/>
      <c r="AF492" s="17"/>
      <c r="AG492" s="17" t="s">
        <v>77</v>
      </c>
      <c r="AH492" s="17" t="s">
        <v>77</v>
      </c>
      <c r="AI492" s="258" t="s">
        <v>75</v>
      </c>
      <c r="AJ492" s="55" t="s">
        <v>1112</v>
      </c>
      <c r="AK492" s="230" t="s">
        <v>689</v>
      </c>
      <c r="AL492" s="205" t="s">
        <v>1117</v>
      </c>
    </row>
    <row r="493" spans="1:38">
      <c r="A493" s="25" t="s">
        <v>1158</v>
      </c>
      <c r="B493" s="26" t="s">
        <v>1159</v>
      </c>
      <c r="C493" s="29">
        <v>1</v>
      </c>
      <c r="D493" s="35" t="s">
        <v>75</v>
      </c>
      <c r="E493" s="33" t="s">
        <v>77</v>
      </c>
      <c r="F493" s="35">
        <v>9008.33</v>
      </c>
      <c r="G493" s="102">
        <f t="shared" si="94"/>
        <v>0.17199999999999999</v>
      </c>
      <c r="H493" s="31">
        <f t="shared" si="96"/>
        <v>7458.8972400000002</v>
      </c>
      <c r="I493" s="185"/>
      <c r="J493" s="17"/>
      <c r="K493" s="17"/>
      <c r="L493" s="17" t="s">
        <v>77</v>
      </c>
      <c r="M493" s="17" t="s">
        <v>77</v>
      </c>
      <c r="N493" s="258" t="s">
        <v>75</v>
      </c>
      <c r="O493" s="55" t="s">
        <v>1112</v>
      </c>
      <c r="P493" s="230" t="s">
        <v>689</v>
      </c>
      <c r="Q493" s="205" t="s">
        <v>690</v>
      </c>
      <c r="R493" s="1" t="str">
        <f t="shared" si="92"/>
        <v/>
      </c>
      <c r="S493" s="1" t="str">
        <f t="shared" si="92"/>
        <v/>
      </c>
      <c r="T493" s="1" t="str">
        <f t="shared" si="92"/>
        <v/>
      </c>
      <c r="U493" s="1" t="str">
        <f t="shared" si="91"/>
        <v/>
      </c>
      <c r="V493" s="25" t="s">
        <v>1158</v>
      </c>
      <c r="W493" s="26" t="s">
        <v>1159</v>
      </c>
      <c r="X493" s="29">
        <v>1</v>
      </c>
      <c r="Y493" s="35" t="s">
        <v>75</v>
      </c>
      <c r="Z493" s="33" t="s">
        <v>77</v>
      </c>
      <c r="AA493" s="35">
        <v>9200</v>
      </c>
      <c r="AB493" s="102">
        <f t="shared" si="95"/>
        <v>0.17199999999999999</v>
      </c>
      <c r="AC493" s="31">
        <f t="shared" si="86"/>
        <v>7617.6</v>
      </c>
      <c r="AD493" s="185"/>
      <c r="AE493" s="17"/>
      <c r="AF493" s="17"/>
      <c r="AG493" s="17" t="s">
        <v>77</v>
      </c>
      <c r="AH493" s="17" t="s">
        <v>77</v>
      </c>
      <c r="AI493" s="258" t="s">
        <v>75</v>
      </c>
      <c r="AJ493" s="55" t="s">
        <v>1112</v>
      </c>
      <c r="AK493" s="230" t="s">
        <v>689</v>
      </c>
      <c r="AL493" s="205" t="s">
        <v>1117</v>
      </c>
    </row>
    <row r="494" spans="1:38">
      <c r="A494" s="25" t="s">
        <v>1160</v>
      </c>
      <c r="B494" s="26" t="s">
        <v>1161</v>
      </c>
      <c r="C494" s="29">
        <v>1</v>
      </c>
      <c r="D494" s="35" t="s">
        <v>75</v>
      </c>
      <c r="E494" s="33" t="s">
        <v>77</v>
      </c>
      <c r="F494" s="35">
        <v>5175</v>
      </c>
      <c r="G494" s="102">
        <f t="shared" si="94"/>
        <v>0.17199999999999999</v>
      </c>
      <c r="H494" s="31">
        <f t="shared" si="96"/>
        <v>4284.8999999999996</v>
      </c>
      <c r="I494" s="185"/>
      <c r="J494" s="17"/>
      <c r="K494" s="17"/>
      <c r="L494" s="17" t="s">
        <v>77</v>
      </c>
      <c r="M494" s="17" t="s">
        <v>77</v>
      </c>
      <c r="N494" s="258" t="s">
        <v>75</v>
      </c>
      <c r="O494" s="55" t="s">
        <v>1112</v>
      </c>
      <c r="P494" s="230" t="s">
        <v>689</v>
      </c>
      <c r="Q494" s="205" t="s">
        <v>690</v>
      </c>
      <c r="R494" s="1" t="str">
        <f t="shared" si="92"/>
        <v/>
      </c>
      <c r="S494" s="1" t="str">
        <f t="shared" si="92"/>
        <v/>
      </c>
      <c r="T494" s="1" t="str">
        <f t="shared" si="92"/>
        <v/>
      </c>
      <c r="U494" s="1" t="str">
        <f t="shared" si="91"/>
        <v/>
      </c>
      <c r="V494" s="25" t="s">
        <v>1160</v>
      </c>
      <c r="W494" s="26" t="s">
        <v>1161</v>
      </c>
      <c r="X494" s="29">
        <v>1</v>
      </c>
      <c r="Y494" s="35" t="s">
        <v>75</v>
      </c>
      <c r="Z494" s="33" t="s">
        <v>77</v>
      </c>
      <c r="AA494" s="35">
        <v>5366.67</v>
      </c>
      <c r="AB494" s="102">
        <f t="shared" si="95"/>
        <v>0.17199999999999999</v>
      </c>
      <c r="AC494" s="31">
        <f t="shared" si="86"/>
        <v>4443.6027599999998</v>
      </c>
      <c r="AD494" s="185"/>
      <c r="AE494" s="17"/>
      <c r="AF494" s="17"/>
      <c r="AG494" s="17" t="s">
        <v>77</v>
      </c>
      <c r="AH494" s="17" t="s">
        <v>77</v>
      </c>
      <c r="AI494" s="258" t="s">
        <v>75</v>
      </c>
      <c r="AJ494" s="55" t="s">
        <v>1112</v>
      </c>
      <c r="AK494" s="230" t="s">
        <v>689</v>
      </c>
      <c r="AL494" s="205" t="s">
        <v>1117</v>
      </c>
    </row>
    <row r="495" spans="1:38">
      <c r="A495" s="25" t="s">
        <v>1162</v>
      </c>
      <c r="B495" s="26" t="s">
        <v>1163</v>
      </c>
      <c r="C495" s="29">
        <v>1</v>
      </c>
      <c r="D495" s="35" t="s">
        <v>75</v>
      </c>
      <c r="E495" s="33" t="s">
        <v>77</v>
      </c>
      <c r="F495" s="35">
        <v>10925</v>
      </c>
      <c r="G495" s="102">
        <f t="shared" si="94"/>
        <v>0.17199999999999999</v>
      </c>
      <c r="H495" s="31">
        <f t="shared" si="96"/>
        <v>9045.9</v>
      </c>
      <c r="I495" s="185"/>
      <c r="J495" s="17"/>
      <c r="K495" s="17"/>
      <c r="L495" s="17" t="s">
        <v>77</v>
      </c>
      <c r="M495" s="17" t="s">
        <v>77</v>
      </c>
      <c r="N495" s="258" t="s">
        <v>75</v>
      </c>
      <c r="O495" s="55" t="s">
        <v>1112</v>
      </c>
      <c r="P495" s="230" t="s">
        <v>689</v>
      </c>
      <c r="Q495" s="205" t="s">
        <v>690</v>
      </c>
      <c r="R495" s="1" t="str">
        <f t="shared" si="92"/>
        <v/>
      </c>
      <c r="S495" s="1" t="str">
        <f t="shared" si="92"/>
        <v/>
      </c>
      <c r="T495" s="1" t="str">
        <f t="shared" si="92"/>
        <v/>
      </c>
      <c r="U495" s="1" t="str">
        <f t="shared" si="91"/>
        <v/>
      </c>
      <c r="V495" s="25" t="s">
        <v>1162</v>
      </c>
      <c r="W495" s="26" t="s">
        <v>1163</v>
      </c>
      <c r="X495" s="29">
        <v>1</v>
      </c>
      <c r="Y495" s="35" t="s">
        <v>75</v>
      </c>
      <c r="Z495" s="33" t="s">
        <v>77</v>
      </c>
      <c r="AA495" s="35">
        <v>11116.67</v>
      </c>
      <c r="AB495" s="102">
        <f t="shared" si="95"/>
        <v>0.17199999999999999</v>
      </c>
      <c r="AC495" s="31">
        <f t="shared" ref="AC495:AC501" si="97">AA495-(AA495*AB495)</f>
        <v>9204.6027599999998</v>
      </c>
      <c r="AD495" s="185"/>
      <c r="AE495" s="17"/>
      <c r="AF495" s="17"/>
      <c r="AG495" s="17" t="s">
        <v>77</v>
      </c>
      <c r="AH495" s="17" t="s">
        <v>77</v>
      </c>
      <c r="AI495" s="258" t="s">
        <v>75</v>
      </c>
      <c r="AJ495" s="55" t="s">
        <v>1112</v>
      </c>
      <c r="AK495" s="230" t="s">
        <v>689</v>
      </c>
      <c r="AL495" s="205" t="s">
        <v>1117</v>
      </c>
    </row>
    <row r="496" spans="1:38">
      <c r="A496" s="25" t="s">
        <v>1164</v>
      </c>
      <c r="B496" s="26" t="s">
        <v>1165</v>
      </c>
      <c r="C496" s="29">
        <v>1</v>
      </c>
      <c r="D496" s="35" t="s">
        <v>75</v>
      </c>
      <c r="E496" s="33" t="s">
        <v>77</v>
      </c>
      <c r="F496" s="35">
        <v>1916.67</v>
      </c>
      <c r="G496" s="102">
        <f t="shared" si="94"/>
        <v>0.17199999999999999</v>
      </c>
      <c r="H496" s="31">
        <f t="shared" si="93"/>
        <v>1587.0027600000001</v>
      </c>
      <c r="I496" s="185"/>
      <c r="J496" s="17"/>
      <c r="K496" s="17"/>
      <c r="L496" s="17" t="s">
        <v>77</v>
      </c>
      <c r="M496" s="17" t="s">
        <v>77</v>
      </c>
      <c r="N496" s="258" t="s">
        <v>75</v>
      </c>
      <c r="O496" s="55" t="s">
        <v>1112</v>
      </c>
      <c r="P496" s="230" t="s">
        <v>689</v>
      </c>
      <c r="Q496" s="205" t="s">
        <v>690</v>
      </c>
      <c r="R496" s="1" t="str">
        <f t="shared" si="92"/>
        <v/>
      </c>
      <c r="S496" s="1" t="str">
        <f t="shared" si="92"/>
        <v/>
      </c>
      <c r="T496" s="1" t="str">
        <f t="shared" si="92"/>
        <v/>
      </c>
      <c r="U496" s="1" t="str">
        <f t="shared" si="91"/>
        <v/>
      </c>
      <c r="V496" s="25" t="s">
        <v>1164</v>
      </c>
      <c r="W496" s="26" t="s">
        <v>1165</v>
      </c>
      <c r="X496" s="29">
        <v>1</v>
      </c>
      <c r="Y496" s="35" t="s">
        <v>75</v>
      </c>
      <c r="Z496" s="33" t="s">
        <v>77</v>
      </c>
      <c r="AA496" s="35">
        <v>1916.67</v>
      </c>
      <c r="AB496" s="102">
        <f t="shared" si="95"/>
        <v>0.17199999999999999</v>
      </c>
      <c r="AC496" s="31">
        <f t="shared" si="97"/>
        <v>1587.0027600000001</v>
      </c>
      <c r="AD496" s="185"/>
      <c r="AE496" s="17"/>
      <c r="AF496" s="17"/>
      <c r="AG496" s="17" t="s">
        <v>77</v>
      </c>
      <c r="AH496" s="17" t="s">
        <v>77</v>
      </c>
      <c r="AI496" s="258" t="s">
        <v>75</v>
      </c>
      <c r="AJ496" s="55" t="s">
        <v>1112</v>
      </c>
      <c r="AK496" s="230" t="s">
        <v>689</v>
      </c>
      <c r="AL496" s="205" t="s">
        <v>1117</v>
      </c>
    </row>
    <row r="497" spans="1:38">
      <c r="A497" s="25" t="s">
        <v>1166</v>
      </c>
      <c r="B497" s="26" t="s">
        <v>1167</v>
      </c>
      <c r="C497" s="29">
        <v>1</v>
      </c>
      <c r="D497" s="35" t="s">
        <v>75</v>
      </c>
      <c r="E497" s="33" t="s">
        <v>77</v>
      </c>
      <c r="F497" s="143">
        <v>41.67</v>
      </c>
      <c r="G497" s="102">
        <f t="shared" si="94"/>
        <v>0.17199999999999999</v>
      </c>
      <c r="H497" s="31">
        <f t="shared" ref="H497:H501" si="98">F497-(F497*G497)</f>
        <v>34.502760000000002</v>
      </c>
      <c r="I497" s="185"/>
      <c r="J497" s="17"/>
      <c r="K497" s="17"/>
      <c r="L497" s="17" t="s">
        <v>77</v>
      </c>
      <c r="M497" s="17" t="s">
        <v>77</v>
      </c>
      <c r="N497" s="258" t="s">
        <v>75</v>
      </c>
      <c r="O497" s="55" t="s">
        <v>1112</v>
      </c>
      <c r="P497" s="230" t="s">
        <v>689</v>
      </c>
      <c r="Q497" s="205" t="s">
        <v>690</v>
      </c>
      <c r="R497" s="1" t="str">
        <f t="shared" si="92"/>
        <v/>
      </c>
      <c r="S497" s="1" t="str">
        <f t="shared" si="92"/>
        <v/>
      </c>
      <c r="T497" s="1" t="str">
        <f t="shared" si="92"/>
        <v/>
      </c>
      <c r="U497" s="1" t="str">
        <f t="shared" si="91"/>
        <v/>
      </c>
      <c r="V497" s="25" t="s">
        <v>1166</v>
      </c>
      <c r="W497" s="26" t="s">
        <v>1167</v>
      </c>
      <c r="X497" s="29">
        <v>1</v>
      </c>
      <c r="Y497" s="35" t="s">
        <v>75</v>
      </c>
      <c r="Z497" s="33" t="s">
        <v>77</v>
      </c>
      <c r="AA497" s="143">
        <v>41.67</v>
      </c>
      <c r="AB497" s="102">
        <f t="shared" si="95"/>
        <v>0.17199999999999999</v>
      </c>
      <c r="AC497" s="31">
        <f t="shared" si="97"/>
        <v>34.502760000000002</v>
      </c>
      <c r="AD497" s="185"/>
      <c r="AE497" s="17"/>
      <c r="AF497" s="17"/>
      <c r="AG497" s="17" t="s">
        <v>77</v>
      </c>
      <c r="AH497" s="17" t="s">
        <v>77</v>
      </c>
      <c r="AI497" s="258" t="s">
        <v>75</v>
      </c>
      <c r="AJ497" s="55" t="s">
        <v>1112</v>
      </c>
      <c r="AK497" s="230" t="s">
        <v>689</v>
      </c>
      <c r="AL497" s="205" t="s">
        <v>1117</v>
      </c>
    </row>
    <row r="498" spans="1:38">
      <c r="A498" s="25" t="s">
        <v>1168</v>
      </c>
      <c r="B498" s="26" t="s">
        <v>1169</v>
      </c>
      <c r="C498" s="29">
        <v>1</v>
      </c>
      <c r="D498" s="35" t="s">
        <v>75</v>
      </c>
      <c r="E498" s="33" t="s">
        <v>77</v>
      </c>
      <c r="F498" s="35">
        <v>132.5</v>
      </c>
      <c r="G498" s="102">
        <f t="shared" si="94"/>
        <v>0.17199999999999999</v>
      </c>
      <c r="H498" s="31">
        <f t="shared" si="98"/>
        <v>109.71000000000001</v>
      </c>
      <c r="I498" s="185"/>
      <c r="J498" s="17"/>
      <c r="K498" s="17"/>
      <c r="L498" s="17" t="s">
        <v>77</v>
      </c>
      <c r="M498" s="17" t="s">
        <v>77</v>
      </c>
      <c r="N498" s="258" t="s">
        <v>75</v>
      </c>
      <c r="O498" s="55" t="s">
        <v>1112</v>
      </c>
      <c r="P498" s="230" t="s">
        <v>689</v>
      </c>
      <c r="Q498" s="205" t="s">
        <v>690</v>
      </c>
      <c r="R498" s="1" t="str">
        <f t="shared" si="92"/>
        <v/>
      </c>
      <c r="S498" s="1" t="str">
        <f t="shared" si="92"/>
        <v/>
      </c>
      <c r="T498" s="1" t="str">
        <f t="shared" si="92"/>
        <v/>
      </c>
      <c r="U498" s="1" t="str">
        <f t="shared" si="91"/>
        <v/>
      </c>
      <c r="V498" s="25" t="s">
        <v>1168</v>
      </c>
      <c r="W498" s="26" t="s">
        <v>1169</v>
      </c>
      <c r="X498" s="29">
        <v>1</v>
      </c>
      <c r="Y498" s="35" t="s">
        <v>75</v>
      </c>
      <c r="Z498" s="33" t="s">
        <v>77</v>
      </c>
      <c r="AA498" s="35">
        <v>132.5</v>
      </c>
      <c r="AB498" s="102">
        <f t="shared" si="95"/>
        <v>0.17199999999999999</v>
      </c>
      <c r="AC498" s="31">
        <f t="shared" si="97"/>
        <v>109.71000000000001</v>
      </c>
      <c r="AD498" s="185"/>
      <c r="AE498" s="17"/>
      <c r="AF498" s="17"/>
      <c r="AG498" s="17" t="s">
        <v>77</v>
      </c>
      <c r="AH498" s="17" t="s">
        <v>77</v>
      </c>
      <c r="AI498" s="258" t="s">
        <v>75</v>
      </c>
      <c r="AJ498" s="55" t="s">
        <v>1112</v>
      </c>
      <c r="AK498" s="230" t="s">
        <v>689</v>
      </c>
      <c r="AL498" s="205" t="s">
        <v>1117</v>
      </c>
    </row>
    <row r="499" spans="1:38">
      <c r="A499" s="25" t="s">
        <v>1170</v>
      </c>
      <c r="B499" s="26" t="s">
        <v>1171</v>
      </c>
      <c r="C499" s="29">
        <v>1</v>
      </c>
      <c r="D499" s="35" t="s">
        <v>75</v>
      </c>
      <c r="E499" s="33" t="s">
        <v>77</v>
      </c>
      <c r="F499" s="143"/>
      <c r="G499" s="22"/>
      <c r="H499" s="31">
        <f t="shared" si="98"/>
        <v>0</v>
      </c>
      <c r="I499" s="185"/>
      <c r="J499" s="17"/>
      <c r="K499" s="17"/>
      <c r="L499" s="17" t="s">
        <v>77</v>
      </c>
      <c r="M499" s="17" t="s">
        <v>77</v>
      </c>
      <c r="N499" s="258" t="s">
        <v>75</v>
      </c>
      <c r="O499" s="55" t="s">
        <v>1112</v>
      </c>
      <c r="P499" s="230" t="s">
        <v>689</v>
      </c>
      <c r="Q499" s="205" t="s">
        <v>690</v>
      </c>
      <c r="R499" s="1" t="str">
        <f t="shared" si="92"/>
        <v/>
      </c>
      <c r="S499" s="1" t="str">
        <f t="shared" si="92"/>
        <v/>
      </c>
      <c r="T499" s="1" t="str">
        <f t="shared" si="92"/>
        <v/>
      </c>
      <c r="U499" s="1" t="str">
        <f t="shared" si="91"/>
        <v/>
      </c>
      <c r="V499" s="25" t="s">
        <v>1170</v>
      </c>
      <c r="W499" s="26" t="s">
        <v>1171</v>
      </c>
      <c r="X499" s="29">
        <v>1</v>
      </c>
      <c r="Y499" s="35" t="s">
        <v>75</v>
      </c>
      <c r="Z499" s="33" t="s">
        <v>77</v>
      </c>
      <c r="AA499" s="143"/>
      <c r="AB499" s="22"/>
      <c r="AC499" s="31">
        <f t="shared" si="97"/>
        <v>0</v>
      </c>
      <c r="AD499" s="185"/>
      <c r="AE499" s="17"/>
      <c r="AF499" s="17"/>
      <c r="AG499" s="17" t="s">
        <v>77</v>
      </c>
      <c r="AH499" s="17" t="s">
        <v>77</v>
      </c>
      <c r="AI499" s="258" t="s">
        <v>75</v>
      </c>
      <c r="AJ499" s="55" t="s">
        <v>1112</v>
      </c>
      <c r="AK499" s="230" t="s">
        <v>689</v>
      </c>
      <c r="AL499" s="205" t="s">
        <v>1117</v>
      </c>
    </row>
    <row r="500" spans="1:38">
      <c r="A500" s="25" t="s">
        <v>1172</v>
      </c>
      <c r="B500" s="26" t="s">
        <v>1173</v>
      </c>
      <c r="C500" s="29">
        <v>1</v>
      </c>
      <c r="D500" s="35" t="s">
        <v>75</v>
      </c>
      <c r="E500" s="33" t="s">
        <v>77</v>
      </c>
      <c r="F500" s="143"/>
      <c r="G500" s="22"/>
      <c r="H500" s="31">
        <f t="shared" si="98"/>
        <v>0</v>
      </c>
      <c r="I500" s="185"/>
      <c r="J500" s="17"/>
      <c r="K500" s="17"/>
      <c r="L500" s="17" t="s">
        <v>77</v>
      </c>
      <c r="M500" s="17" t="s">
        <v>77</v>
      </c>
      <c r="N500" s="258" t="s">
        <v>75</v>
      </c>
      <c r="O500" s="55" t="s">
        <v>1112</v>
      </c>
      <c r="P500" s="230" t="s">
        <v>689</v>
      </c>
      <c r="Q500" s="205" t="s">
        <v>690</v>
      </c>
      <c r="R500" s="1" t="str">
        <f t="shared" si="92"/>
        <v/>
      </c>
      <c r="S500" s="1" t="str">
        <f t="shared" si="92"/>
        <v/>
      </c>
      <c r="T500" s="1" t="str">
        <f t="shared" si="92"/>
        <v/>
      </c>
      <c r="U500" s="1" t="str">
        <f t="shared" si="91"/>
        <v/>
      </c>
      <c r="V500" s="25" t="s">
        <v>1174</v>
      </c>
      <c r="W500" s="26" t="s">
        <v>1173</v>
      </c>
      <c r="X500" s="29">
        <v>1</v>
      </c>
      <c r="Y500" s="35" t="s">
        <v>75</v>
      </c>
      <c r="Z500" s="33" t="s">
        <v>77</v>
      </c>
      <c r="AA500" s="143"/>
      <c r="AB500" s="22"/>
      <c r="AC500" s="31">
        <f t="shared" si="97"/>
        <v>0</v>
      </c>
      <c r="AD500" s="185"/>
      <c r="AE500" s="17"/>
      <c r="AF500" s="17"/>
      <c r="AG500" s="17" t="s">
        <v>77</v>
      </c>
      <c r="AH500" s="17" t="s">
        <v>77</v>
      </c>
      <c r="AI500" s="258" t="s">
        <v>75</v>
      </c>
      <c r="AJ500" s="55" t="s">
        <v>1112</v>
      </c>
      <c r="AK500" s="230" t="s">
        <v>689</v>
      </c>
      <c r="AL500" s="205" t="s">
        <v>1117</v>
      </c>
    </row>
    <row r="501" spans="1:38">
      <c r="A501" s="25" t="s">
        <v>1175</v>
      </c>
      <c r="B501" s="26" t="s">
        <v>1176</v>
      </c>
      <c r="C501" s="29">
        <v>1</v>
      </c>
      <c r="D501" s="35" t="s">
        <v>75</v>
      </c>
      <c r="E501" s="33" t="s">
        <v>77</v>
      </c>
      <c r="F501" s="35">
        <v>416.67</v>
      </c>
      <c r="G501" s="102">
        <f>rv_mp_eg_cto</f>
        <v>0.17199999999999999</v>
      </c>
      <c r="H501" s="31">
        <f t="shared" si="98"/>
        <v>345.00276000000002</v>
      </c>
      <c r="I501" s="185"/>
      <c r="J501" s="17"/>
      <c r="K501" s="17"/>
      <c r="L501" s="17" t="s">
        <v>77</v>
      </c>
      <c r="M501" s="17" t="s">
        <v>77</v>
      </c>
      <c r="N501" s="258" t="s">
        <v>75</v>
      </c>
      <c r="O501" s="55" t="s">
        <v>1112</v>
      </c>
      <c r="P501" s="230" t="s">
        <v>689</v>
      </c>
      <c r="Q501" s="205" t="s">
        <v>690</v>
      </c>
      <c r="R501" s="1" t="str">
        <f t="shared" si="92"/>
        <v/>
      </c>
      <c r="S501" s="1" t="str">
        <f t="shared" si="92"/>
        <v/>
      </c>
      <c r="T501" s="1" t="str">
        <f t="shared" si="92"/>
        <v/>
      </c>
      <c r="U501" s="1" t="str">
        <f t="shared" si="91"/>
        <v/>
      </c>
      <c r="V501" s="25" t="s">
        <v>1175</v>
      </c>
      <c r="W501" s="26" t="s">
        <v>1176</v>
      </c>
      <c r="X501" s="29">
        <v>1</v>
      </c>
      <c r="Y501" s="35" t="s">
        <v>75</v>
      </c>
      <c r="Z501" s="33" t="s">
        <v>77</v>
      </c>
      <c r="AA501" s="35">
        <v>416.67</v>
      </c>
      <c r="AB501" s="102">
        <f>rv_mp_eg_cto</f>
        <v>0.17199999999999999</v>
      </c>
      <c r="AC501" s="31">
        <f t="shared" si="97"/>
        <v>345.00276000000002</v>
      </c>
      <c r="AD501" s="185"/>
      <c r="AE501" s="17"/>
      <c r="AF501" s="17"/>
      <c r="AG501" s="17" t="s">
        <v>77</v>
      </c>
      <c r="AH501" s="17" t="s">
        <v>77</v>
      </c>
      <c r="AI501" s="258" t="s">
        <v>75</v>
      </c>
      <c r="AJ501" s="55" t="s">
        <v>1112</v>
      </c>
      <c r="AK501" s="230" t="s">
        <v>689</v>
      </c>
      <c r="AL501" s="205" t="s">
        <v>1117</v>
      </c>
    </row>
    <row r="502" spans="1:38">
      <c r="A502" s="103" t="s">
        <v>1177</v>
      </c>
      <c r="B502" s="104" t="s">
        <v>1178</v>
      </c>
      <c r="C502" s="105">
        <v>1</v>
      </c>
      <c r="D502" s="106" t="s">
        <v>82</v>
      </c>
      <c r="E502" s="105" t="s">
        <v>1177</v>
      </c>
      <c r="F502" s="108"/>
      <c r="G502" s="109"/>
      <c r="H502" s="144">
        <v>29</v>
      </c>
      <c r="I502" s="185"/>
      <c r="J502" s="17"/>
      <c r="K502" s="17"/>
      <c r="L502" s="17" t="s">
        <v>77</v>
      </c>
      <c r="M502" s="17" t="s">
        <v>77</v>
      </c>
      <c r="N502" s="258" t="s">
        <v>83</v>
      </c>
      <c r="O502" s="55" t="s">
        <v>84</v>
      </c>
      <c r="P502" s="230" t="s">
        <v>85</v>
      </c>
      <c r="Q502" s="205" t="s">
        <v>692</v>
      </c>
      <c r="R502" s="1" t="str">
        <f t="shared" si="92"/>
        <v/>
      </c>
      <c r="S502" s="1" t="str">
        <f t="shared" si="92"/>
        <v/>
      </c>
      <c r="T502" s="1" t="str">
        <f t="shared" si="92"/>
        <v/>
      </c>
      <c r="U502" s="1" t="str">
        <f t="shared" si="91"/>
        <v/>
      </c>
      <c r="V502" s="103" t="s">
        <v>1177</v>
      </c>
      <c r="W502" s="104" t="s">
        <v>1178</v>
      </c>
      <c r="X502" s="105">
        <v>1</v>
      </c>
      <c r="Y502" s="106" t="s">
        <v>82</v>
      </c>
      <c r="Z502" s="105" t="s">
        <v>1177</v>
      </c>
      <c r="AA502" s="108"/>
      <c r="AB502" s="109"/>
      <c r="AC502" s="144">
        <v>29</v>
      </c>
      <c r="AD502" s="185"/>
      <c r="AE502" s="17"/>
      <c r="AF502" s="17"/>
      <c r="AG502" s="17" t="s">
        <v>77</v>
      </c>
      <c r="AH502" s="17" t="s">
        <v>77</v>
      </c>
      <c r="AI502" s="258" t="s">
        <v>83</v>
      </c>
      <c r="AJ502" s="55" t="s">
        <v>84</v>
      </c>
      <c r="AK502" s="230" t="s">
        <v>85</v>
      </c>
      <c r="AL502" s="205" t="s">
        <v>692</v>
      </c>
    </row>
    <row r="503" spans="1:38">
      <c r="A503" s="103" t="s">
        <v>1179</v>
      </c>
      <c r="B503" s="104" t="s">
        <v>1180</v>
      </c>
      <c r="C503" s="105">
        <v>1</v>
      </c>
      <c r="D503" s="106" t="s">
        <v>82</v>
      </c>
      <c r="E503" s="105" t="s">
        <v>1179</v>
      </c>
      <c r="F503" s="108"/>
      <c r="G503" s="109"/>
      <c r="H503" s="144">
        <v>51</v>
      </c>
      <c r="I503" s="185"/>
      <c r="J503" s="17"/>
      <c r="K503" s="17"/>
      <c r="L503" s="17" t="s">
        <v>77</v>
      </c>
      <c r="M503" s="17" t="s">
        <v>77</v>
      </c>
      <c r="N503" s="258" t="s">
        <v>83</v>
      </c>
      <c r="O503" s="55" t="s">
        <v>84</v>
      </c>
      <c r="P503" s="230" t="s">
        <v>85</v>
      </c>
      <c r="Q503" s="205" t="s">
        <v>692</v>
      </c>
      <c r="R503" s="1" t="str">
        <f t="shared" si="92"/>
        <v/>
      </c>
      <c r="S503" s="1" t="str">
        <f t="shared" si="92"/>
        <v/>
      </c>
      <c r="T503" s="1" t="str">
        <f t="shared" si="92"/>
        <v/>
      </c>
      <c r="U503" s="1" t="str">
        <f t="shared" si="91"/>
        <v/>
      </c>
      <c r="V503" s="103" t="s">
        <v>1179</v>
      </c>
      <c r="W503" s="104" t="s">
        <v>1180</v>
      </c>
      <c r="X503" s="105">
        <v>1</v>
      </c>
      <c r="Y503" s="106" t="s">
        <v>82</v>
      </c>
      <c r="Z503" s="105" t="s">
        <v>1179</v>
      </c>
      <c r="AA503" s="108"/>
      <c r="AB503" s="109"/>
      <c r="AC503" s="144">
        <v>51</v>
      </c>
      <c r="AD503" s="185"/>
      <c r="AE503" s="17"/>
      <c r="AF503" s="17"/>
      <c r="AG503" s="17" t="s">
        <v>77</v>
      </c>
      <c r="AH503" s="17" t="s">
        <v>77</v>
      </c>
      <c r="AI503" s="258" t="s">
        <v>83</v>
      </c>
      <c r="AJ503" s="55" t="s">
        <v>84</v>
      </c>
      <c r="AK503" s="230" t="s">
        <v>85</v>
      </c>
      <c r="AL503" s="205" t="s">
        <v>692</v>
      </c>
    </row>
    <row r="504" spans="1:38">
      <c r="A504" s="103" t="s">
        <v>1181</v>
      </c>
      <c r="B504" s="104" t="s">
        <v>1182</v>
      </c>
      <c r="C504" s="105">
        <v>1</v>
      </c>
      <c r="D504" s="106" t="s">
        <v>82</v>
      </c>
      <c r="E504" s="105" t="s">
        <v>1181</v>
      </c>
      <c r="F504" s="108"/>
      <c r="G504" s="109"/>
      <c r="H504" s="144">
        <v>81</v>
      </c>
      <c r="I504" s="185"/>
      <c r="J504" s="17"/>
      <c r="K504" s="17"/>
      <c r="L504" s="17" t="s">
        <v>77</v>
      </c>
      <c r="M504" s="17" t="s">
        <v>77</v>
      </c>
      <c r="N504" s="258" t="s">
        <v>83</v>
      </c>
      <c r="O504" s="55" t="s">
        <v>84</v>
      </c>
      <c r="P504" s="230" t="s">
        <v>85</v>
      </c>
      <c r="Q504" s="205" t="s">
        <v>692</v>
      </c>
      <c r="R504" s="1" t="str">
        <f t="shared" si="92"/>
        <v/>
      </c>
      <c r="S504" s="1" t="str">
        <f t="shared" si="92"/>
        <v/>
      </c>
      <c r="T504" s="1" t="str">
        <f t="shared" si="92"/>
        <v/>
      </c>
      <c r="U504" s="1" t="str">
        <f t="shared" si="91"/>
        <v/>
      </c>
      <c r="V504" s="103" t="s">
        <v>1181</v>
      </c>
      <c r="W504" s="104" t="s">
        <v>1182</v>
      </c>
      <c r="X504" s="105">
        <v>1</v>
      </c>
      <c r="Y504" s="106" t="s">
        <v>82</v>
      </c>
      <c r="Z504" s="105" t="s">
        <v>1181</v>
      </c>
      <c r="AA504" s="108"/>
      <c r="AB504" s="109"/>
      <c r="AC504" s="144">
        <v>81</v>
      </c>
      <c r="AD504" s="185"/>
      <c r="AE504" s="17"/>
      <c r="AF504" s="17"/>
      <c r="AG504" s="17" t="s">
        <v>77</v>
      </c>
      <c r="AH504" s="17" t="s">
        <v>77</v>
      </c>
      <c r="AI504" s="258" t="s">
        <v>83</v>
      </c>
      <c r="AJ504" s="55" t="s">
        <v>84</v>
      </c>
      <c r="AK504" s="230" t="s">
        <v>85</v>
      </c>
      <c r="AL504" s="205" t="s">
        <v>692</v>
      </c>
    </row>
    <row r="505" spans="1:38">
      <c r="A505" s="103" t="s">
        <v>1183</v>
      </c>
      <c r="B505" s="104" t="s">
        <v>1184</v>
      </c>
      <c r="C505" s="105">
        <v>1</v>
      </c>
      <c r="D505" s="106" t="s">
        <v>82</v>
      </c>
      <c r="E505" s="105" t="s">
        <v>1183</v>
      </c>
      <c r="F505" s="108"/>
      <c r="G505" s="109"/>
      <c r="H505" s="144">
        <v>41</v>
      </c>
      <c r="I505" s="185"/>
      <c r="J505" s="17"/>
      <c r="K505" s="17"/>
      <c r="L505" s="17" t="s">
        <v>77</v>
      </c>
      <c r="M505" s="17" t="s">
        <v>77</v>
      </c>
      <c r="N505" s="258" t="s">
        <v>83</v>
      </c>
      <c r="O505" s="55" t="s">
        <v>84</v>
      </c>
      <c r="P505" s="230" t="s">
        <v>85</v>
      </c>
      <c r="Q505" s="205" t="s">
        <v>692</v>
      </c>
      <c r="R505" s="1" t="str">
        <f t="shared" si="92"/>
        <v/>
      </c>
      <c r="S505" s="1" t="str">
        <f t="shared" si="92"/>
        <v/>
      </c>
      <c r="T505" s="1" t="str">
        <f t="shared" si="92"/>
        <v/>
      </c>
      <c r="U505" s="1" t="str">
        <f t="shared" si="91"/>
        <v/>
      </c>
      <c r="V505" s="103" t="s">
        <v>1183</v>
      </c>
      <c r="W505" s="104" t="s">
        <v>1184</v>
      </c>
      <c r="X505" s="105">
        <v>1</v>
      </c>
      <c r="Y505" s="106" t="s">
        <v>82</v>
      </c>
      <c r="Z505" s="105" t="s">
        <v>1183</v>
      </c>
      <c r="AA505" s="108"/>
      <c r="AB505" s="109"/>
      <c r="AC505" s="144">
        <v>41</v>
      </c>
      <c r="AD505" s="185"/>
      <c r="AE505" s="17"/>
      <c r="AF505" s="17"/>
      <c r="AG505" s="17" t="s">
        <v>77</v>
      </c>
      <c r="AH505" s="17" t="s">
        <v>77</v>
      </c>
      <c r="AI505" s="258" t="s">
        <v>83</v>
      </c>
      <c r="AJ505" s="55" t="s">
        <v>84</v>
      </c>
      <c r="AK505" s="230" t="s">
        <v>85</v>
      </c>
      <c r="AL505" s="205" t="s">
        <v>692</v>
      </c>
    </row>
    <row r="506" spans="1:38">
      <c r="A506" s="103" t="s">
        <v>1185</v>
      </c>
      <c r="B506" s="104" t="s">
        <v>1186</v>
      </c>
      <c r="C506" s="105">
        <v>1</v>
      </c>
      <c r="D506" s="106" t="s">
        <v>82</v>
      </c>
      <c r="E506" s="105" t="s">
        <v>1185</v>
      </c>
      <c r="F506" s="108"/>
      <c r="G506" s="109"/>
      <c r="H506" s="144">
        <v>76</v>
      </c>
      <c r="I506" s="185"/>
      <c r="J506" s="17"/>
      <c r="K506" s="17"/>
      <c r="L506" s="17" t="s">
        <v>77</v>
      </c>
      <c r="M506" s="17" t="s">
        <v>77</v>
      </c>
      <c r="N506" s="258" t="s">
        <v>83</v>
      </c>
      <c r="O506" s="55" t="s">
        <v>84</v>
      </c>
      <c r="P506" s="230" t="s">
        <v>85</v>
      </c>
      <c r="Q506" s="205" t="s">
        <v>692</v>
      </c>
      <c r="R506" s="1" t="str">
        <f t="shared" si="92"/>
        <v/>
      </c>
      <c r="S506" s="1" t="str">
        <f t="shared" si="92"/>
        <v/>
      </c>
      <c r="T506" s="1" t="str">
        <f t="shared" si="92"/>
        <v/>
      </c>
      <c r="U506" s="1" t="str">
        <f t="shared" si="91"/>
        <v/>
      </c>
      <c r="V506" s="103" t="s">
        <v>1185</v>
      </c>
      <c r="W506" s="104" t="s">
        <v>1186</v>
      </c>
      <c r="X506" s="105">
        <v>1</v>
      </c>
      <c r="Y506" s="106" t="s">
        <v>82</v>
      </c>
      <c r="Z506" s="105" t="s">
        <v>1185</v>
      </c>
      <c r="AA506" s="108"/>
      <c r="AB506" s="109"/>
      <c r="AC506" s="144">
        <v>76</v>
      </c>
      <c r="AD506" s="185"/>
      <c r="AE506" s="17"/>
      <c r="AF506" s="17"/>
      <c r="AG506" s="17" t="s">
        <v>77</v>
      </c>
      <c r="AH506" s="17" t="s">
        <v>77</v>
      </c>
      <c r="AI506" s="258" t="s">
        <v>83</v>
      </c>
      <c r="AJ506" s="55" t="s">
        <v>84</v>
      </c>
      <c r="AK506" s="230" t="s">
        <v>85</v>
      </c>
      <c r="AL506" s="205" t="s">
        <v>692</v>
      </c>
    </row>
    <row r="507" spans="1:38">
      <c r="A507" s="103" t="s">
        <v>1187</v>
      </c>
      <c r="B507" s="104" t="s">
        <v>1188</v>
      </c>
      <c r="C507" s="105">
        <v>1</v>
      </c>
      <c r="D507" s="106" t="s">
        <v>82</v>
      </c>
      <c r="E507" s="105" t="s">
        <v>1187</v>
      </c>
      <c r="F507" s="108"/>
      <c r="G507" s="109"/>
      <c r="H507" s="144">
        <v>98</v>
      </c>
      <c r="I507" s="185"/>
      <c r="J507" s="17"/>
      <c r="K507" s="17"/>
      <c r="L507" s="17" t="s">
        <v>77</v>
      </c>
      <c r="M507" s="17" t="s">
        <v>77</v>
      </c>
      <c r="N507" s="258" t="s">
        <v>83</v>
      </c>
      <c r="O507" s="55" t="s">
        <v>84</v>
      </c>
      <c r="P507" s="230" t="s">
        <v>85</v>
      </c>
      <c r="Q507" s="205" t="s">
        <v>692</v>
      </c>
      <c r="R507" s="1" t="str">
        <f t="shared" si="92"/>
        <v/>
      </c>
      <c r="S507" s="1" t="str">
        <f t="shared" si="92"/>
        <v/>
      </c>
      <c r="T507" s="1" t="str">
        <f t="shared" si="92"/>
        <v/>
      </c>
      <c r="U507" s="1" t="str">
        <f t="shared" si="91"/>
        <v/>
      </c>
      <c r="V507" s="103" t="s">
        <v>1187</v>
      </c>
      <c r="W507" s="104" t="s">
        <v>1188</v>
      </c>
      <c r="X507" s="105">
        <v>1</v>
      </c>
      <c r="Y507" s="106" t="s">
        <v>82</v>
      </c>
      <c r="Z507" s="105" t="s">
        <v>1187</v>
      </c>
      <c r="AA507" s="108"/>
      <c r="AB507" s="109"/>
      <c r="AC507" s="144">
        <v>98</v>
      </c>
      <c r="AD507" s="185"/>
      <c r="AE507" s="17"/>
      <c r="AF507" s="17"/>
      <c r="AG507" s="17" t="s">
        <v>77</v>
      </c>
      <c r="AH507" s="17" t="s">
        <v>77</v>
      </c>
      <c r="AI507" s="258" t="s">
        <v>83</v>
      </c>
      <c r="AJ507" s="55" t="s">
        <v>84</v>
      </c>
      <c r="AK507" s="230" t="s">
        <v>85</v>
      </c>
      <c r="AL507" s="205" t="s">
        <v>692</v>
      </c>
    </row>
    <row r="508" spans="1:38">
      <c r="A508" s="103" t="s">
        <v>1189</v>
      </c>
      <c r="B508" s="104" t="s">
        <v>1190</v>
      </c>
      <c r="C508" s="105">
        <v>1</v>
      </c>
      <c r="D508" s="106" t="s">
        <v>82</v>
      </c>
      <c r="E508" s="105" t="s">
        <v>1189</v>
      </c>
      <c r="F508" s="108"/>
      <c r="G508" s="109"/>
      <c r="H508" s="144">
        <v>106</v>
      </c>
      <c r="I508" s="185"/>
      <c r="J508" s="17"/>
      <c r="K508" s="17"/>
      <c r="L508" s="17" t="s">
        <v>77</v>
      </c>
      <c r="M508" s="17" t="s">
        <v>77</v>
      </c>
      <c r="N508" s="258" t="s">
        <v>83</v>
      </c>
      <c r="O508" s="55" t="s">
        <v>84</v>
      </c>
      <c r="P508" s="230" t="s">
        <v>85</v>
      </c>
      <c r="Q508" s="205" t="s">
        <v>692</v>
      </c>
      <c r="R508" s="1" t="str">
        <f t="shared" si="92"/>
        <v/>
      </c>
      <c r="S508" s="1" t="str">
        <f t="shared" si="92"/>
        <v/>
      </c>
      <c r="T508" s="1" t="str">
        <f t="shared" si="92"/>
        <v/>
      </c>
      <c r="U508" s="1" t="str">
        <f t="shared" si="91"/>
        <v/>
      </c>
      <c r="V508" s="103" t="s">
        <v>1189</v>
      </c>
      <c r="W508" s="104" t="s">
        <v>1190</v>
      </c>
      <c r="X508" s="105">
        <v>1</v>
      </c>
      <c r="Y508" s="106" t="s">
        <v>82</v>
      </c>
      <c r="Z508" s="105" t="s">
        <v>1189</v>
      </c>
      <c r="AA508" s="108"/>
      <c r="AB508" s="109"/>
      <c r="AC508" s="144">
        <v>106</v>
      </c>
      <c r="AD508" s="185"/>
      <c r="AE508" s="17"/>
      <c r="AF508" s="17"/>
      <c r="AG508" s="17" t="s">
        <v>77</v>
      </c>
      <c r="AH508" s="17" t="s">
        <v>77</v>
      </c>
      <c r="AI508" s="258" t="s">
        <v>83</v>
      </c>
      <c r="AJ508" s="55" t="s">
        <v>84</v>
      </c>
      <c r="AK508" s="230" t="s">
        <v>85</v>
      </c>
      <c r="AL508" s="205" t="s">
        <v>692</v>
      </c>
    </row>
    <row r="509" spans="1:38">
      <c r="A509" s="103" t="s">
        <v>1191</v>
      </c>
      <c r="B509" s="104" t="s">
        <v>1192</v>
      </c>
      <c r="C509" s="105">
        <v>1</v>
      </c>
      <c r="D509" s="106" t="s">
        <v>82</v>
      </c>
      <c r="E509" s="105" t="s">
        <v>1191</v>
      </c>
      <c r="F509" s="108"/>
      <c r="G509" s="109"/>
      <c r="H509" s="144">
        <v>31</v>
      </c>
      <c r="I509" s="185"/>
      <c r="J509" s="17"/>
      <c r="K509" s="17"/>
      <c r="L509" s="17" t="s">
        <v>77</v>
      </c>
      <c r="M509" s="17" t="s">
        <v>77</v>
      </c>
      <c r="N509" s="258" t="s">
        <v>83</v>
      </c>
      <c r="O509" s="55" t="s">
        <v>84</v>
      </c>
      <c r="P509" s="230" t="s">
        <v>85</v>
      </c>
      <c r="Q509" s="205" t="s">
        <v>692</v>
      </c>
      <c r="R509" s="1" t="str">
        <f t="shared" si="92"/>
        <v/>
      </c>
      <c r="S509" s="1" t="str">
        <f t="shared" si="92"/>
        <v/>
      </c>
      <c r="T509" s="1" t="str">
        <f t="shared" si="92"/>
        <v/>
      </c>
      <c r="U509" s="1" t="str">
        <f t="shared" si="91"/>
        <v/>
      </c>
      <c r="V509" s="103" t="s">
        <v>1191</v>
      </c>
      <c r="W509" s="104" t="s">
        <v>1192</v>
      </c>
      <c r="X509" s="105">
        <v>1</v>
      </c>
      <c r="Y509" s="106" t="s">
        <v>82</v>
      </c>
      <c r="Z509" s="105" t="s">
        <v>1191</v>
      </c>
      <c r="AA509" s="108"/>
      <c r="AB509" s="109"/>
      <c r="AC509" s="144">
        <v>31</v>
      </c>
      <c r="AD509" s="185"/>
      <c r="AE509" s="17"/>
      <c r="AF509" s="17"/>
      <c r="AG509" s="17" t="s">
        <v>77</v>
      </c>
      <c r="AH509" s="17" t="s">
        <v>77</v>
      </c>
      <c r="AI509" s="258" t="s">
        <v>83</v>
      </c>
      <c r="AJ509" s="55" t="s">
        <v>84</v>
      </c>
      <c r="AK509" s="230" t="s">
        <v>85</v>
      </c>
      <c r="AL509" s="205" t="s">
        <v>692</v>
      </c>
    </row>
    <row r="510" spans="1:38">
      <c r="A510" s="103" t="s">
        <v>1193</v>
      </c>
      <c r="B510" s="104" t="s">
        <v>1194</v>
      </c>
      <c r="C510" s="105">
        <v>1</v>
      </c>
      <c r="D510" s="106" t="s">
        <v>82</v>
      </c>
      <c r="E510" s="105" t="s">
        <v>1193</v>
      </c>
      <c r="F510" s="108"/>
      <c r="G510" s="109"/>
      <c r="H510" s="144">
        <v>77</v>
      </c>
      <c r="I510" s="185"/>
      <c r="J510" s="17"/>
      <c r="K510" s="17"/>
      <c r="L510" s="17" t="s">
        <v>77</v>
      </c>
      <c r="M510" s="17" t="s">
        <v>77</v>
      </c>
      <c r="N510" s="258" t="s">
        <v>83</v>
      </c>
      <c r="O510" s="55" t="s">
        <v>84</v>
      </c>
      <c r="P510" s="230" t="s">
        <v>85</v>
      </c>
      <c r="Q510" s="205" t="s">
        <v>692</v>
      </c>
      <c r="R510" s="1" t="str">
        <f t="shared" si="92"/>
        <v/>
      </c>
      <c r="S510" s="1" t="str">
        <f t="shared" si="92"/>
        <v/>
      </c>
      <c r="T510" s="1" t="str">
        <f t="shared" si="92"/>
        <v/>
      </c>
      <c r="U510" s="1" t="str">
        <f t="shared" si="91"/>
        <v/>
      </c>
      <c r="V510" s="103" t="s">
        <v>1193</v>
      </c>
      <c r="W510" s="104" t="s">
        <v>1194</v>
      </c>
      <c r="X510" s="105">
        <v>1</v>
      </c>
      <c r="Y510" s="106" t="s">
        <v>82</v>
      </c>
      <c r="Z510" s="105" t="s">
        <v>1193</v>
      </c>
      <c r="AA510" s="108"/>
      <c r="AB510" s="109"/>
      <c r="AC510" s="144">
        <v>77</v>
      </c>
      <c r="AD510" s="185"/>
      <c r="AE510" s="17"/>
      <c r="AF510" s="17"/>
      <c r="AG510" s="17" t="s">
        <v>77</v>
      </c>
      <c r="AH510" s="17" t="s">
        <v>77</v>
      </c>
      <c r="AI510" s="258" t="s">
        <v>83</v>
      </c>
      <c r="AJ510" s="55" t="s">
        <v>84</v>
      </c>
      <c r="AK510" s="230" t="s">
        <v>85</v>
      </c>
      <c r="AL510" s="205" t="s">
        <v>692</v>
      </c>
    </row>
    <row r="511" spans="1:38">
      <c r="A511" s="103" t="s">
        <v>1195</v>
      </c>
      <c r="B511" s="104" t="s">
        <v>1196</v>
      </c>
      <c r="C511" s="105">
        <v>1</v>
      </c>
      <c r="D511" s="106" t="s">
        <v>82</v>
      </c>
      <c r="E511" s="105" t="s">
        <v>1195</v>
      </c>
      <c r="F511" s="108"/>
      <c r="G511" s="109"/>
      <c r="H511" s="144">
        <v>103</v>
      </c>
      <c r="I511" s="185"/>
      <c r="J511" s="17"/>
      <c r="K511" s="17"/>
      <c r="L511" s="17" t="s">
        <v>77</v>
      </c>
      <c r="M511" s="17" t="s">
        <v>77</v>
      </c>
      <c r="N511" s="258" t="s">
        <v>83</v>
      </c>
      <c r="O511" s="55" t="s">
        <v>84</v>
      </c>
      <c r="P511" s="230" t="s">
        <v>85</v>
      </c>
      <c r="Q511" s="205" t="s">
        <v>692</v>
      </c>
      <c r="R511" s="1" t="str">
        <f t="shared" si="92"/>
        <v/>
      </c>
      <c r="S511" s="1" t="str">
        <f t="shared" si="92"/>
        <v/>
      </c>
      <c r="T511" s="1" t="str">
        <f t="shared" si="92"/>
        <v/>
      </c>
      <c r="U511" s="1" t="str">
        <f t="shared" si="91"/>
        <v/>
      </c>
      <c r="V511" s="103" t="s">
        <v>1195</v>
      </c>
      <c r="W511" s="104" t="s">
        <v>1196</v>
      </c>
      <c r="X511" s="105">
        <v>1</v>
      </c>
      <c r="Y511" s="106" t="s">
        <v>82</v>
      </c>
      <c r="Z511" s="105" t="s">
        <v>1195</v>
      </c>
      <c r="AA511" s="108"/>
      <c r="AB511" s="109"/>
      <c r="AC511" s="144">
        <v>103</v>
      </c>
      <c r="AD511" s="185"/>
      <c r="AE511" s="17"/>
      <c r="AF511" s="17"/>
      <c r="AG511" s="17" t="s">
        <v>77</v>
      </c>
      <c r="AH511" s="17" t="s">
        <v>77</v>
      </c>
      <c r="AI511" s="258" t="s">
        <v>83</v>
      </c>
      <c r="AJ511" s="55" t="s">
        <v>84</v>
      </c>
      <c r="AK511" s="230" t="s">
        <v>85</v>
      </c>
      <c r="AL511" s="205" t="s">
        <v>692</v>
      </c>
    </row>
    <row r="512" spans="1:38">
      <c r="A512" s="103" t="s">
        <v>1197</v>
      </c>
      <c r="B512" s="104" t="s">
        <v>1198</v>
      </c>
      <c r="C512" s="105">
        <v>1</v>
      </c>
      <c r="D512" s="106" t="s">
        <v>82</v>
      </c>
      <c r="E512" s="105" t="s">
        <v>1197</v>
      </c>
      <c r="F512" s="108"/>
      <c r="G512" s="109"/>
      <c r="H512" s="144">
        <v>136</v>
      </c>
      <c r="I512" s="185"/>
      <c r="J512" s="17"/>
      <c r="K512" s="17"/>
      <c r="L512" s="17" t="s">
        <v>77</v>
      </c>
      <c r="M512" s="17" t="s">
        <v>77</v>
      </c>
      <c r="N512" s="258" t="s">
        <v>83</v>
      </c>
      <c r="O512" s="55" t="s">
        <v>84</v>
      </c>
      <c r="P512" s="230" t="s">
        <v>85</v>
      </c>
      <c r="Q512" s="205" t="s">
        <v>692</v>
      </c>
      <c r="R512" s="1" t="str">
        <f t="shared" si="92"/>
        <v/>
      </c>
      <c r="S512" s="1" t="str">
        <f t="shared" si="92"/>
        <v/>
      </c>
      <c r="T512" s="1" t="str">
        <f t="shared" si="92"/>
        <v/>
      </c>
      <c r="U512" s="1" t="str">
        <f t="shared" si="91"/>
        <v/>
      </c>
      <c r="V512" s="103" t="s">
        <v>1197</v>
      </c>
      <c r="W512" s="104" t="s">
        <v>1198</v>
      </c>
      <c r="X512" s="105">
        <v>1</v>
      </c>
      <c r="Y512" s="106" t="s">
        <v>82</v>
      </c>
      <c r="Z512" s="105" t="s">
        <v>1197</v>
      </c>
      <c r="AA512" s="108"/>
      <c r="AB512" s="109"/>
      <c r="AC512" s="144">
        <v>136</v>
      </c>
      <c r="AD512" s="185"/>
      <c r="AE512" s="17"/>
      <c r="AF512" s="17"/>
      <c r="AG512" s="17" t="s">
        <v>77</v>
      </c>
      <c r="AH512" s="17" t="s">
        <v>77</v>
      </c>
      <c r="AI512" s="258" t="s">
        <v>83</v>
      </c>
      <c r="AJ512" s="55" t="s">
        <v>84</v>
      </c>
      <c r="AK512" s="230" t="s">
        <v>85</v>
      </c>
      <c r="AL512" s="205" t="s">
        <v>692</v>
      </c>
    </row>
    <row r="513" spans="1:38" s="168" customFormat="1" ht="38.25">
      <c r="A513" s="238" t="s">
        <v>1199</v>
      </c>
      <c r="B513" s="239" t="s">
        <v>1200</v>
      </c>
      <c r="C513" s="240">
        <v>1</v>
      </c>
      <c r="D513" s="241" t="s">
        <v>82</v>
      </c>
      <c r="E513" s="247" t="s">
        <v>1199</v>
      </c>
      <c r="F513" s="242"/>
      <c r="G513" s="243"/>
      <c r="H513" s="244">
        <v>315</v>
      </c>
      <c r="I513" s="248"/>
      <c r="J513" s="71"/>
      <c r="K513" s="71"/>
      <c r="L513" s="71" t="s">
        <v>77</v>
      </c>
      <c r="M513" s="71" t="s">
        <v>77</v>
      </c>
      <c r="N513" s="259" t="s">
        <v>83</v>
      </c>
      <c r="O513" s="55" t="s">
        <v>84</v>
      </c>
      <c r="P513" s="264" t="s">
        <v>85</v>
      </c>
      <c r="Q513" s="246" t="s">
        <v>692</v>
      </c>
      <c r="R513" s="1" t="str">
        <f t="shared" si="92"/>
        <v/>
      </c>
      <c r="S513" s="1" t="str">
        <f t="shared" si="92"/>
        <v/>
      </c>
      <c r="T513" s="1" t="str">
        <f t="shared" si="92"/>
        <v/>
      </c>
      <c r="U513" s="1" t="str">
        <f t="shared" si="91"/>
        <v/>
      </c>
      <c r="V513" s="238" t="s">
        <v>1199</v>
      </c>
      <c r="W513" s="239" t="s">
        <v>1200</v>
      </c>
      <c r="X513" s="240">
        <v>1</v>
      </c>
      <c r="Y513" s="241" t="s">
        <v>82</v>
      </c>
      <c r="Z513" s="247" t="s">
        <v>1199</v>
      </c>
      <c r="AA513" s="242"/>
      <c r="AB513" s="243"/>
      <c r="AC513" s="244">
        <v>315</v>
      </c>
      <c r="AD513" s="248"/>
      <c r="AE513" s="71"/>
      <c r="AF513" s="71"/>
      <c r="AG513" s="71" t="s">
        <v>77</v>
      </c>
      <c r="AH513" s="71" t="s">
        <v>77</v>
      </c>
      <c r="AI513" s="259" t="s">
        <v>83</v>
      </c>
      <c r="AJ513" s="55" t="s">
        <v>84</v>
      </c>
      <c r="AK513" s="264" t="s">
        <v>85</v>
      </c>
      <c r="AL513" s="246" t="s">
        <v>692</v>
      </c>
    </row>
    <row r="514" spans="1:38">
      <c r="A514" s="103" t="s">
        <v>1201</v>
      </c>
      <c r="B514" s="104" t="s">
        <v>1202</v>
      </c>
      <c r="C514" s="105">
        <v>1</v>
      </c>
      <c r="D514" s="106" t="s">
        <v>82</v>
      </c>
      <c r="E514" s="155" t="s">
        <v>1201</v>
      </c>
      <c r="F514" s="108"/>
      <c r="G514" s="109"/>
      <c r="H514" s="144">
        <v>610</v>
      </c>
      <c r="I514" s="185"/>
      <c r="J514" s="17"/>
      <c r="K514" s="17"/>
      <c r="L514" s="17" t="s">
        <v>77</v>
      </c>
      <c r="M514" s="17" t="s">
        <v>77</v>
      </c>
      <c r="N514" s="258" t="s">
        <v>83</v>
      </c>
      <c r="O514" s="55" t="s">
        <v>84</v>
      </c>
      <c r="P514" s="230" t="s">
        <v>85</v>
      </c>
      <c r="Q514" s="205" t="s">
        <v>692</v>
      </c>
      <c r="R514" s="1" t="str">
        <f t="shared" si="92"/>
        <v/>
      </c>
      <c r="S514" s="1" t="str">
        <f t="shared" si="92"/>
        <v/>
      </c>
      <c r="T514" s="1" t="str">
        <f t="shared" si="92"/>
        <v/>
      </c>
      <c r="U514" s="1" t="str">
        <f t="shared" si="91"/>
        <v/>
      </c>
      <c r="V514" s="103" t="s">
        <v>1201</v>
      </c>
      <c r="W514" s="104" t="s">
        <v>1202</v>
      </c>
      <c r="X514" s="105">
        <v>1</v>
      </c>
      <c r="Y514" s="106" t="s">
        <v>82</v>
      </c>
      <c r="Z514" s="155" t="s">
        <v>1201</v>
      </c>
      <c r="AA514" s="108"/>
      <c r="AB514" s="109"/>
      <c r="AC514" s="144">
        <v>610</v>
      </c>
      <c r="AD514" s="185"/>
      <c r="AE514" s="17"/>
      <c r="AF514" s="17"/>
      <c r="AG514" s="17" t="s">
        <v>77</v>
      </c>
      <c r="AH514" s="17" t="s">
        <v>77</v>
      </c>
      <c r="AI514" s="258" t="s">
        <v>83</v>
      </c>
      <c r="AJ514" s="55" t="s">
        <v>84</v>
      </c>
      <c r="AK514" s="230" t="s">
        <v>85</v>
      </c>
      <c r="AL514" s="205" t="s">
        <v>692</v>
      </c>
    </row>
    <row r="515" spans="1:38">
      <c r="A515" s="391"/>
      <c r="B515" s="431"/>
      <c r="C515" s="29"/>
      <c r="D515" s="106"/>
      <c r="E515" s="392"/>
      <c r="F515" s="35"/>
      <c r="G515" s="22"/>
      <c r="H515" s="460"/>
      <c r="I515" s="185"/>
      <c r="J515" s="17"/>
      <c r="K515" s="17"/>
      <c r="L515" s="17"/>
      <c r="M515" s="17"/>
      <c r="N515" s="258"/>
      <c r="O515" s="55"/>
      <c r="P515" s="230"/>
      <c r="Q515" s="205"/>
      <c r="R515" s="1" t="str">
        <f t="shared" si="92"/>
        <v/>
      </c>
      <c r="S515" s="1" t="str">
        <f t="shared" si="92"/>
        <v/>
      </c>
      <c r="T515" s="1" t="str">
        <f t="shared" si="92"/>
        <v/>
      </c>
      <c r="U515" s="1" t="str">
        <f t="shared" si="91"/>
        <v/>
      </c>
      <c r="V515" s="25" t="s">
        <v>1203</v>
      </c>
      <c r="W515" s="26" t="s">
        <v>1204</v>
      </c>
      <c r="X515" s="29">
        <v>1</v>
      </c>
      <c r="Y515" s="106" t="s">
        <v>82</v>
      </c>
      <c r="Z515" s="29" t="s">
        <v>1203</v>
      </c>
      <c r="AA515" s="35"/>
      <c r="AB515" s="22"/>
      <c r="AC515" s="185">
        <v>419</v>
      </c>
      <c r="AD515" s="185"/>
      <c r="AE515" s="17"/>
      <c r="AF515" s="17"/>
      <c r="AG515" s="17" t="s">
        <v>77</v>
      </c>
      <c r="AH515" s="17" t="s">
        <v>77</v>
      </c>
      <c r="AI515" s="258" t="s">
        <v>83</v>
      </c>
      <c r="AJ515" s="55" t="s">
        <v>84</v>
      </c>
      <c r="AK515" s="230" t="s">
        <v>85</v>
      </c>
      <c r="AL515" s="205" t="s">
        <v>692</v>
      </c>
    </row>
    <row r="516" spans="1:38">
      <c r="A516" s="391"/>
      <c r="B516" s="431"/>
      <c r="C516" s="29"/>
      <c r="D516" s="106"/>
      <c r="E516" s="392"/>
      <c r="F516" s="35"/>
      <c r="G516" s="22"/>
      <c r="H516" s="185"/>
      <c r="I516" s="185"/>
      <c r="J516" s="17"/>
      <c r="K516" s="17"/>
      <c r="L516" s="17"/>
      <c r="M516" s="17"/>
      <c r="N516" s="258"/>
      <c r="O516" s="55"/>
      <c r="P516" s="230"/>
      <c r="Q516" s="205"/>
      <c r="R516" s="1" t="str">
        <f t="shared" si="92"/>
        <v/>
      </c>
      <c r="S516" s="1" t="str">
        <f t="shared" si="92"/>
        <v/>
      </c>
      <c r="T516" s="1" t="str">
        <f t="shared" si="92"/>
        <v/>
      </c>
      <c r="U516" s="1" t="str">
        <f t="shared" si="91"/>
        <v/>
      </c>
      <c r="V516" s="25" t="s">
        <v>1205</v>
      </c>
      <c r="W516" s="26" t="s">
        <v>1206</v>
      </c>
      <c r="X516" s="29">
        <v>1</v>
      </c>
      <c r="Y516" s="106" t="s">
        <v>82</v>
      </c>
      <c r="Z516" s="29" t="s">
        <v>1205</v>
      </c>
      <c r="AA516" s="35"/>
      <c r="AB516" s="22"/>
      <c r="AC516" s="185">
        <v>734</v>
      </c>
      <c r="AD516" s="185"/>
      <c r="AE516" s="17"/>
      <c r="AF516" s="17"/>
      <c r="AG516" s="17" t="s">
        <v>77</v>
      </c>
      <c r="AH516" s="17" t="s">
        <v>77</v>
      </c>
      <c r="AI516" s="258" t="s">
        <v>83</v>
      </c>
      <c r="AJ516" s="55" t="s">
        <v>84</v>
      </c>
      <c r="AK516" s="230" t="s">
        <v>85</v>
      </c>
      <c r="AL516" s="205" t="s">
        <v>86</v>
      </c>
    </row>
    <row r="517" spans="1:38">
      <c r="A517" s="103" t="s">
        <v>1207</v>
      </c>
      <c r="B517" s="104" t="s">
        <v>1208</v>
      </c>
      <c r="C517" s="105">
        <v>1</v>
      </c>
      <c r="D517" s="106" t="s">
        <v>82</v>
      </c>
      <c r="E517" s="105" t="s">
        <v>1207</v>
      </c>
      <c r="F517" s="108"/>
      <c r="G517" s="109"/>
      <c r="H517" s="100">
        <v>1592.16</v>
      </c>
      <c r="I517" s="185"/>
      <c r="J517" s="17"/>
      <c r="K517" s="17"/>
      <c r="L517" s="17" t="s">
        <v>77</v>
      </c>
      <c r="M517" s="17" t="s">
        <v>77</v>
      </c>
      <c r="N517" s="258" t="s">
        <v>83</v>
      </c>
      <c r="O517" s="55" t="s">
        <v>84</v>
      </c>
      <c r="P517" s="230" t="s">
        <v>85</v>
      </c>
      <c r="Q517" s="205" t="s">
        <v>86</v>
      </c>
      <c r="R517" s="1" t="str">
        <f t="shared" si="92"/>
        <v/>
      </c>
      <c r="S517" s="1" t="str">
        <f t="shared" si="92"/>
        <v/>
      </c>
      <c r="T517" s="1" t="str">
        <f t="shared" si="92"/>
        <v/>
      </c>
      <c r="U517" s="1" t="str">
        <f t="shared" si="92"/>
        <v/>
      </c>
      <c r="V517" s="25" t="s">
        <v>1207</v>
      </c>
      <c r="W517" s="26" t="s">
        <v>1208</v>
      </c>
      <c r="X517" s="29">
        <v>1</v>
      </c>
      <c r="Y517" s="106" t="s">
        <v>82</v>
      </c>
      <c r="Z517" s="29" t="s">
        <v>1207</v>
      </c>
      <c r="AA517" s="35"/>
      <c r="AB517" s="22"/>
      <c r="AC517" s="185">
        <v>368</v>
      </c>
      <c r="AD517" s="185"/>
      <c r="AE517" s="17"/>
      <c r="AF517" s="17"/>
      <c r="AG517" s="17" t="s">
        <v>77</v>
      </c>
      <c r="AH517" s="17" t="s">
        <v>77</v>
      </c>
      <c r="AI517" s="258" t="s">
        <v>83</v>
      </c>
      <c r="AJ517" s="55" t="s">
        <v>84</v>
      </c>
      <c r="AK517" s="230" t="s">
        <v>85</v>
      </c>
      <c r="AL517" s="205" t="s">
        <v>86</v>
      </c>
    </row>
    <row r="518" spans="1:38">
      <c r="A518" s="25"/>
      <c r="B518" s="26"/>
      <c r="C518" s="29"/>
      <c r="D518" s="106"/>
      <c r="E518" s="29"/>
      <c r="F518" s="35"/>
      <c r="G518" s="22"/>
      <c r="H518" s="185"/>
      <c r="I518" s="185"/>
      <c r="J518" s="17"/>
      <c r="K518" s="17"/>
      <c r="L518" s="17"/>
      <c r="M518" s="17"/>
      <c r="N518" s="258"/>
      <c r="O518" s="55"/>
      <c r="P518" s="230"/>
      <c r="Q518" s="205"/>
      <c r="R518" s="1" t="str">
        <f t="shared" ref="R518:U549" si="99">+IF($K518&lt;&gt;"",R$2*$K518,"")</f>
        <v/>
      </c>
      <c r="S518" s="1" t="str">
        <f t="shared" si="99"/>
        <v/>
      </c>
      <c r="T518" s="1" t="str">
        <f t="shared" si="99"/>
        <v/>
      </c>
      <c r="U518" s="1" t="str">
        <f t="shared" si="99"/>
        <v/>
      </c>
      <c r="V518" s="25" t="s">
        <v>1209</v>
      </c>
      <c r="W518" s="26" t="s">
        <v>1210</v>
      </c>
      <c r="X518" s="29">
        <v>1</v>
      </c>
      <c r="Y518" s="106" t="s">
        <v>82</v>
      </c>
      <c r="Z518" s="29" t="s">
        <v>1209</v>
      </c>
      <c r="AA518" s="35"/>
      <c r="AB518" s="22"/>
      <c r="AC518" s="185">
        <v>691</v>
      </c>
      <c r="AD518" s="185"/>
      <c r="AE518" s="17"/>
      <c r="AF518" s="17"/>
      <c r="AG518" s="17" t="s">
        <v>77</v>
      </c>
      <c r="AH518" s="17" t="s">
        <v>77</v>
      </c>
      <c r="AI518" s="258" t="s">
        <v>83</v>
      </c>
      <c r="AJ518" s="55" t="s">
        <v>84</v>
      </c>
      <c r="AK518" s="230" t="s">
        <v>85</v>
      </c>
      <c r="AL518" s="205" t="s">
        <v>86</v>
      </c>
    </row>
    <row r="519" spans="1:38">
      <c r="A519" s="125" t="s">
        <v>1211</v>
      </c>
      <c r="B519" s="94" t="s">
        <v>1212</v>
      </c>
      <c r="C519" s="127">
        <v>1</v>
      </c>
      <c r="D519" s="128" t="s">
        <v>75</v>
      </c>
      <c r="E519" s="131" t="s">
        <v>1211</v>
      </c>
      <c r="F519" s="128">
        <v>5997.97</v>
      </c>
      <c r="G519" s="132">
        <f>rv_mp_eg</f>
        <v>0.17199999999999999</v>
      </c>
      <c r="H519" s="287">
        <f t="shared" ref="H519:H587" si="100">F519-(F519*G519)</f>
        <v>4966.31916</v>
      </c>
      <c r="I519" s="194" t="s">
        <v>1111</v>
      </c>
      <c r="J519" s="133">
        <f>mp_5pl</f>
        <v>89.001720000000006</v>
      </c>
      <c r="K519" s="133">
        <f>H519+J519</f>
        <v>5055.3208800000002</v>
      </c>
      <c r="L519" s="17" t="s">
        <v>77</v>
      </c>
      <c r="M519" s="17">
        <v>1.2</v>
      </c>
      <c r="N519" s="257" t="s">
        <v>75</v>
      </c>
      <c r="O519" s="55" t="s">
        <v>1213</v>
      </c>
      <c r="P519" s="230" t="s">
        <v>689</v>
      </c>
      <c r="Q519" s="205" t="s">
        <v>690</v>
      </c>
      <c r="R519" s="1">
        <f t="shared" si="99"/>
        <v>1000.8890651874319</v>
      </c>
      <c r="S519" s="1">
        <f t="shared" si="99"/>
        <v>512.10378360909078</v>
      </c>
      <c r="T519" s="1">
        <f t="shared" si="99"/>
        <v>367.3294688599874</v>
      </c>
      <c r="U519" s="1">
        <f t="shared" si="99"/>
        <v>314.68049348244955</v>
      </c>
      <c r="V519" s="125" t="s">
        <v>1211</v>
      </c>
      <c r="W519" s="126" t="s">
        <v>1214</v>
      </c>
      <c r="X519" s="127">
        <v>1</v>
      </c>
      <c r="Y519" s="128" t="s">
        <v>75</v>
      </c>
      <c r="Z519" s="131" t="s">
        <v>1211</v>
      </c>
      <c r="AA519" s="128">
        <v>5997.97</v>
      </c>
      <c r="AB519" s="132">
        <f>rv_mp_eg</f>
        <v>0.17199999999999999</v>
      </c>
      <c r="AC519" s="287">
        <f t="shared" ref="AC519:AC551" si="101">AA519-(AA519*AB519)</f>
        <v>4966.31916</v>
      </c>
      <c r="AD519" s="194" t="s">
        <v>1111</v>
      </c>
      <c r="AE519" s="133">
        <f>mp_5pl</f>
        <v>89.001720000000006</v>
      </c>
      <c r="AF519" s="133">
        <f>AC519+AE519</f>
        <v>5055.3208800000002</v>
      </c>
      <c r="AG519" s="17" t="s">
        <v>77</v>
      </c>
      <c r="AH519" s="17">
        <v>1.2</v>
      </c>
      <c r="AI519" s="257" t="s">
        <v>75</v>
      </c>
      <c r="AJ519" s="55" t="s">
        <v>1213</v>
      </c>
      <c r="AK519" s="230" t="s">
        <v>689</v>
      </c>
      <c r="AL519" s="205" t="s">
        <v>690</v>
      </c>
    </row>
    <row r="520" spans="1:38">
      <c r="A520" s="25" t="s">
        <v>1215</v>
      </c>
      <c r="B520" s="26" t="s">
        <v>1216</v>
      </c>
      <c r="C520" s="29">
        <v>1</v>
      </c>
      <c r="D520" s="35" t="s">
        <v>75</v>
      </c>
      <c r="E520" s="33" t="s">
        <v>77</v>
      </c>
      <c r="F520" s="35">
        <v>958.33</v>
      </c>
      <c r="G520" s="102">
        <f t="shared" ref="G520:G546" si="102">rv_mp_eg_cto</f>
        <v>0.17199999999999999</v>
      </c>
      <c r="H520" s="31">
        <f t="shared" si="100"/>
        <v>793.49724000000003</v>
      </c>
      <c r="I520" s="185"/>
      <c r="J520" s="17"/>
      <c r="K520" s="17"/>
      <c r="L520" s="17" t="s">
        <v>77</v>
      </c>
      <c r="M520" s="17" t="s">
        <v>77</v>
      </c>
      <c r="N520" s="258" t="s">
        <v>75</v>
      </c>
      <c r="O520" s="55" t="s">
        <v>1213</v>
      </c>
      <c r="P520" s="230" t="s">
        <v>689</v>
      </c>
      <c r="Q520" s="205" t="s">
        <v>690</v>
      </c>
      <c r="R520" s="1" t="str">
        <f t="shared" si="99"/>
        <v/>
      </c>
      <c r="S520" s="1" t="str">
        <f t="shared" si="99"/>
        <v/>
      </c>
      <c r="T520" s="1" t="str">
        <f t="shared" si="99"/>
        <v/>
      </c>
      <c r="U520" s="1" t="str">
        <f t="shared" si="99"/>
        <v/>
      </c>
      <c r="V520" s="25" t="s">
        <v>1215</v>
      </c>
      <c r="W520" s="26" t="s">
        <v>1216</v>
      </c>
      <c r="X520" s="29">
        <v>1</v>
      </c>
      <c r="Y520" s="35" t="s">
        <v>75</v>
      </c>
      <c r="Z520" s="33" t="s">
        <v>77</v>
      </c>
      <c r="AA520" s="35">
        <v>958.33</v>
      </c>
      <c r="AB520" s="102">
        <f t="shared" ref="AB520:AB546" si="103">rv_mp_eg_cto</f>
        <v>0.17199999999999999</v>
      </c>
      <c r="AC520" s="31">
        <f t="shared" si="101"/>
        <v>793.49724000000003</v>
      </c>
      <c r="AD520" s="185"/>
      <c r="AE520" s="17"/>
      <c r="AF520" s="17"/>
      <c r="AG520" s="17" t="s">
        <v>77</v>
      </c>
      <c r="AH520" s="17" t="s">
        <v>77</v>
      </c>
      <c r="AI520" s="258" t="s">
        <v>75</v>
      </c>
      <c r="AJ520" s="55" t="s">
        <v>1213</v>
      </c>
      <c r="AK520" s="230" t="s">
        <v>689</v>
      </c>
      <c r="AL520" s="205" t="s">
        <v>1117</v>
      </c>
    </row>
    <row r="521" spans="1:38">
      <c r="A521" s="25" t="s">
        <v>1217</v>
      </c>
      <c r="B521" s="26" t="s">
        <v>1218</v>
      </c>
      <c r="C521" s="29">
        <v>1</v>
      </c>
      <c r="D521" s="35" t="s">
        <v>75</v>
      </c>
      <c r="E521" s="33" t="s">
        <v>77</v>
      </c>
      <c r="F521" s="35">
        <v>1916.67</v>
      </c>
      <c r="G521" s="102">
        <f t="shared" si="102"/>
        <v>0.17199999999999999</v>
      </c>
      <c r="H521" s="31">
        <f t="shared" si="100"/>
        <v>1587.0027600000001</v>
      </c>
      <c r="I521" s="185"/>
      <c r="J521" s="17"/>
      <c r="K521" s="17"/>
      <c r="L521" s="17" t="s">
        <v>77</v>
      </c>
      <c r="M521" s="17" t="s">
        <v>77</v>
      </c>
      <c r="N521" s="258" t="s">
        <v>75</v>
      </c>
      <c r="O521" s="55" t="s">
        <v>1213</v>
      </c>
      <c r="P521" s="230" t="s">
        <v>689</v>
      </c>
      <c r="Q521" s="205" t="s">
        <v>690</v>
      </c>
      <c r="R521" s="1" t="str">
        <f t="shared" si="99"/>
        <v/>
      </c>
      <c r="S521" s="1" t="str">
        <f t="shared" si="99"/>
        <v/>
      </c>
      <c r="T521" s="1" t="str">
        <f t="shared" si="99"/>
        <v/>
      </c>
      <c r="U521" s="1" t="str">
        <f t="shared" si="99"/>
        <v/>
      </c>
      <c r="V521" s="25" t="s">
        <v>1217</v>
      </c>
      <c r="W521" s="26" t="s">
        <v>1218</v>
      </c>
      <c r="X521" s="29">
        <v>1</v>
      </c>
      <c r="Y521" s="35" t="s">
        <v>75</v>
      </c>
      <c r="Z521" s="33" t="s">
        <v>77</v>
      </c>
      <c r="AA521" s="35">
        <v>1916.67</v>
      </c>
      <c r="AB521" s="102">
        <f t="shared" si="103"/>
        <v>0.17199999999999999</v>
      </c>
      <c r="AC521" s="31">
        <f t="shared" si="101"/>
        <v>1587.0027600000001</v>
      </c>
      <c r="AD521" s="185"/>
      <c r="AE521" s="17"/>
      <c r="AF521" s="17"/>
      <c r="AG521" s="17" t="s">
        <v>77</v>
      </c>
      <c r="AH521" s="17" t="s">
        <v>77</v>
      </c>
      <c r="AI521" s="258" t="s">
        <v>75</v>
      </c>
      <c r="AJ521" s="55" t="s">
        <v>1213</v>
      </c>
      <c r="AK521" s="230" t="s">
        <v>689</v>
      </c>
      <c r="AL521" s="205" t="s">
        <v>1117</v>
      </c>
    </row>
    <row r="522" spans="1:38">
      <c r="A522" s="25" t="s">
        <v>1219</v>
      </c>
      <c r="B522" s="26" t="s">
        <v>1220</v>
      </c>
      <c r="C522" s="29">
        <v>1</v>
      </c>
      <c r="D522" s="35" t="s">
        <v>75</v>
      </c>
      <c r="E522" s="33" t="s">
        <v>77</v>
      </c>
      <c r="F522" s="35">
        <v>5750</v>
      </c>
      <c r="G522" s="102">
        <f t="shared" si="102"/>
        <v>0.17199999999999999</v>
      </c>
      <c r="H522" s="31">
        <f t="shared" si="100"/>
        <v>4761</v>
      </c>
      <c r="I522" s="185"/>
      <c r="J522" s="17"/>
      <c r="K522" s="17"/>
      <c r="L522" s="17" t="s">
        <v>77</v>
      </c>
      <c r="M522" s="17" t="s">
        <v>77</v>
      </c>
      <c r="N522" s="258" t="s">
        <v>75</v>
      </c>
      <c r="O522" s="55" t="s">
        <v>1213</v>
      </c>
      <c r="P522" s="230" t="s">
        <v>689</v>
      </c>
      <c r="Q522" s="205" t="s">
        <v>690</v>
      </c>
      <c r="R522" s="1" t="str">
        <f t="shared" si="99"/>
        <v/>
      </c>
      <c r="S522" s="1" t="str">
        <f t="shared" si="99"/>
        <v/>
      </c>
      <c r="T522" s="1" t="str">
        <f t="shared" si="99"/>
        <v/>
      </c>
      <c r="U522" s="1" t="str">
        <f t="shared" si="99"/>
        <v/>
      </c>
      <c r="V522" s="25" t="s">
        <v>1219</v>
      </c>
      <c r="W522" s="26" t="s">
        <v>1220</v>
      </c>
      <c r="X522" s="29">
        <v>1</v>
      </c>
      <c r="Y522" s="35" t="s">
        <v>75</v>
      </c>
      <c r="Z522" s="33" t="s">
        <v>77</v>
      </c>
      <c r="AA522" s="35">
        <v>5750</v>
      </c>
      <c r="AB522" s="102">
        <f t="shared" si="103"/>
        <v>0.17199999999999999</v>
      </c>
      <c r="AC522" s="31">
        <f t="shared" si="101"/>
        <v>4761</v>
      </c>
      <c r="AD522" s="185"/>
      <c r="AE522" s="17"/>
      <c r="AF522" s="17"/>
      <c r="AG522" s="17" t="s">
        <v>77</v>
      </c>
      <c r="AH522" s="17" t="s">
        <v>77</v>
      </c>
      <c r="AI522" s="258" t="s">
        <v>75</v>
      </c>
      <c r="AJ522" s="55" t="s">
        <v>1213</v>
      </c>
      <c r="AK522" s="230" t="s">
        <v>689</v>
      </c>
      <c r="AL522" s="205" t="s">
        <v>1117</v>
      </c>
    </row>
    <row r="523" spans="1:38">
      <c r="A523" s="25" t="s">
        <v>1221</v>
      </c>
      <c r="B523" s="26" t="s">
        <v>1222</v>
      </c>
      <c r="C523" s="29">
        <v>1</v>
      </c>
      <c r="D523" s="35" t="s">
        <v>75</v>
      </c>
      <c r="E523" s="33" t="s">
        <v>77</v>
      </c>
      <c r="F523" s="35">
        <v>6708.33</v>
      </c>
      <c r="G523" s="102">
        <f t="shared" si="102"/>
        <v>0.17199999999999999</v>
      </c>
      <c r="H523" s="31">
        <f t="shared" si="100"/>
        <v>5554.4972399999997</v>
      </c>
      <c r="I523" s="185"/>
      <c r="J523" s="17"/>
      <c r="K523" s="17"/>
      <c r="L523" s="17" t="s">
        <v>77</v>
      </c>
      <c r="M523" s="17" t="s">
        <v>77</v>
      </c>
      <c r="N523" s="258" t="s">
        <v>75</v>
      </c>
      <c r="O523" s="55" t="s">
        <v>1213</v>
      </c>
      <c r="P523" s="230" t="s">
        <v>689</v>
      </c>
      <c r="Q523" s="205" t="s">
        <v>690</v>
      </c>
      <c r="R523" s="1" t="str">
        <f t="shared" si="99"/>
        <v/>
      </c>
      <c r="S523" s="1" t="str">
        <f t="shared" si="99"/>
        <v/>
      </c>
      <c r="T523" s="1" t="str">
        <f t="shared" si="99"/>
        <v/>
      </c>
      <c r="U523" s="1" t="str">
        <f t="shared" si="99"/>
        <v/>
      </c>
      <c r="V523" s="25" t="s">
        <v>1221</v>
      </c>
      <c r="W523" s="26" t="s">
        <v>1222</v>
      </c>
      <c r="X523" s="29">
        <v>1</v>
      </c>
      <c r="Y523" s="35" t="s">
        <v>75</v>
      </c>
      <c r="Z523" s="33" t="s">
        <v>77</v>
      </c>
      <c r="AA523" s="35">
        <v>6708.33</v>
      </c>
      <c r="AB523" s="102">
        <f t="shared" si="103"/>
        <v>0.17199999999999999</v>
      </c>
      <c r="AC523" s="31">
        <f t="shared" si="101"/>
        <v>5554.4972399999997</v>
      </c>
      <c r="AD523" s="185"/>
      <c r="AE523" s="17"/>
      <c r="AF523" s="17"/>
      <c r="AG523" s="17" t="s">
        <v>77</v>
      </c>
      <c r="AH523" s="17" t="s">
        <v>77</v>
      </c>
      <c r="AI523" s="258" t="s">
        <v>75</v>
      </c>
      <c r="AJ523" s="55" t="s">
        <v>1213</v>
      </c>
      <c r="AK523" s="230" t="s">
        <v>689</v>
      </c>
      <c r="AL523" s="205" t="s">
        <v>1117</v>
      </c>
    </row>
    <row r="524" spans="1:38">
      <c r="A524" s="25" t="s">
        <v>1223</v>
      </c>
      <c r="B524" s="26" t="s">
        <v>1224</v>
      </c>
      <c r="C524" s="29">
        <v>1</v>
      </c>
      <c r="D524" s="35" t="s">
        <v>75</v>
      </c>
      <c r="E524" s="33" t="s">
        <v>77</v>
      </c>
      <c r="F524" s="35">
        <v>287.5</v>
      </c>
      <c r="G524" s="102">
        <f t="shared" si="102"/>
        <v>0.17199999999999999</v>
      </c>
      <c r="H524" s="31">
        <f t="shared" si="100"/>
        <v>238.05</v>
      </c>
      <c r="I524" s="185"/>
      <c r="J524" s="17"/>
      <c r="K524" s="17"/>
      <c r="L524" s="17" t="s">
        <v>77</v>
      </c>
      <c r="M524" s="17" t="s">
        <v>77</v>
      </c>
      <c r="N524" s="258" t="s">
        <v>75</v>
      </c>
      <c r="O524" s="55" t="s">
        <v>1213</v>
      </c>
      <c r="P524" s="230" t="s">
        <v>689</v>
      </c>
      <c r="Q524" s="205" t="s">
        <v>690</v>
      </c>
      <c r="R524" s="1" t="str">
        <f t="shared" si="99"/>
        <v/>
      </c>
      <c r="S524" s="1" t="str">
        <f t="shared" si="99"/>
        <v/>
      </c>
      <c r="T524" s="1" t="str">
        <f t="shared" si="99"/>
        <v/>
      </c>
      <c r="U524" s="1" t="str">
        <f t="shared" si="99"/>
        <v/>
      </c>
      <c r="V524" s="25" t="s">
        <v>1223</v>
      </c>
      <c r="W524" s="26" t="s">
        <v>1224</v>
      </c>
      <c r="X524" s="29">
        <v>1</v>
      </c>
      <c r="Y524" s="35" t="s">
        <v>75</v>
      </c>
      <c r="Z524" s="33" t="s">
        <v>77</v>
      </c>
      <c r="AA524" s="35">
        <v>287.5</v>
      </c>
      <c r="AB524" s="102">
        <f t="shared" si="103"/>
        <v>0.17199999999999999</v>
      </c>
      <c r="AC524" s="31">
        <f t="shared" si="101"/>
        <v>238.05</v>
      </c>
      <c r="AD524" s="185"/>
      <c r="AE524" s="17"/>
      <c r="AF524" s="17"/>
      <c r="AG524" s="17" t="s">
        <v>77</v>
      </c>
      <c r="AH524" s="17" t="s">
        <v>77</v>
      </c>
      <c r="AI524" s="258" t="s">
        <v>75</v>
      </c>
      <c r="AJ524" s="55" t="s">
        <v>1213</v>
      </c>
      <c r="AK524" s="230" t="s">
        <v>689</v>
      </c>
      <c r="AL524" s="205" t="s">
        <v>1117</v>
      </c>
    </row>
    <row r="525" spans="1:38">
      <c r="A525" s="25" t="s">
        <v>1225</v>
      </c>
      <c r="B525" s="26" t="s">
        <v>1226</v>
      </c>
      <c r="C525" s="29">
        <v>1</v>
      </c>
      <c r="D525" s="35" t="s">
        <v>75</v>
      </c>
      <c r="E525" s="33" t="s">
        <v>77</v>
      </c>
      <c r="F525" s="35">
        <v>958.33</v>
      </c>
      <c r="G525" s="102">
        <f t="shared" si="102"/>
        <v>0.17199999999999999</v>
      </c>
      <c r="H525" s="31">
        <f t="shared" si="100"/>
        <v>793.49724000000003</v>
      </c>
      <c r="I525" s="185"/>
      <c r="J525" s="17"/>
      <c r="K525" s="17"/>
      <c r="L525" s="17" t="s">
        <v>77</v>
      </c>
      <c r="M525" s="17" t="s">
        <v>77</v>
      </c>
      <c r="N525" s="258" t="s">
        <v>75</v>
      </c>
      <c r="O525" s="55" t="s">
        <v>1213</v>
      </c>
      <c r="P525" s="230" t="s">
        <v>689</v>
      </c>
      <c r="Q525" s="205" t="s">
        <v>690</v>
      </c>
      <c r="R525" s="1" t="str">
        <f t="shared" si="99"/>
        <v/>
      </c>
      <c r="S525" s="1" t="str">
        <f t="shared" si="99"/>
        <v/>
      </c>
      <c r="T525" s="1" t="str">
        <f t="shared" si="99"/>
        <v/>
      </c>
      <c r="U525" s="1" t="str">
        <f t="shared" si="99"/>
        <v/>
      </c>
      <c r="V525" s="25" t="s">
        <v>1225</v>
      </c>
      <c r="W525" s="26" t="s">
        <v>1226</v>
      </c>
      <c r="X525" s="29">
        <v>1</v>
      </c>
      <c r="Y525" s="35" t="s">
        <v>75</v>
      </c>
      <c r="Z525" s="33" t="s">
        <v>77</v>
      </c>
      <c r="AA525" s="35">
        <v>958.33</v>
      </c>
      <c r="AB525" s="102">
        <f t="shared" si="103"/>
        <v>0.17199999999999999</v>
      </c>
      <c r="AC525" s="31">
        <f t="shared" si="101"/>
        <v>793.49724000000003</v>
      </c>
      <c r="AD525" s="185"/>
      <c r="AE525" s="17"/>
      <c r="AF525" s="17"/>
      <c r="AG525" s="17" t="s">
        <v>77</v>
      </c>
      <c r="AH525" s="17" t="s">
        <v>77</v>
      </c>
      <c r="AI525" s="258" t="s">
        <v>75</v>
      </c>
      <c r="AJ525" s="55" t="s">
        <v>1213</v>
      </c>
      <c r="AK525" s="230" t="s">
        <v>689</v>
      </c>
      <c r="AL525" s="205" t="s">
        <v>1117</v>
      </c>
    </row>
    <row r="526" spans="1:38">
      <c r="A526" s="25" t="s">
        <v>1227</v>
      </c>
      <c r="B526" s="26" t="s">
        <v>1228</v>
      </c>
      <c r="C526" s="29">
        <v>1</v>
      </c>
      <c r="D526" s="35" t="s">
        <v>75</v>
      </c>
      <c r="E526" s="33" t="s">
        <v>77</v>
      </c>
      <c r="F526" s="35">
        <v>2875</v>
      </c>
      <c r="G526" s="102">
        <f t="shared" si="102"/>
        <v>0.17199999999999999</v>
      </c>
      <c r="H526" s="31">
        <f t="shared" si="100"/>
        <v>2380.5</v>
      </c>
      <c r="I526" s="185"/>
      <c r="J526" s="17"/>
      <c r="K526" s="17"/>
      <c r="L526" s="17" t="s">
        <v>77</v>
      </c>
      <c r="M526" s="17" t="s">
        <v>77</v>
      </c>
      <c r="N526" s="258" t="s">
        <v>75</v>
      </c>
      <c r="O526" s="55" t="s">
        <v>1213</v>
      </c>
      <c r="P526" s="230" t="s">
        <v>689</v>
      </c>
      <c r="Q526" s="205" t="s">
        <v>690</v>
      </c>
      <c r="R526" s="1" t="str">
        <f t="shared" si="99"/>
        <v/>
      </c>
      <c r="S526" s="1" t="str">
        <f t="shared" si="99"/>
        <v/>
      </c>
      <c r="T526" s="1" t="str">
        <f t="shared" si="99"/>
        <v/>
      </c>
      <c r="U526" s="1" t="str">
        <f t="shared" si="99"/>
        <v/>
      </c>
      <c r="V526" s="25" t="s">
        <v>1227</v>
      </c>
      <c r="W526" s="26" t="s">
        <v>1228</v>
      </c>
      <c r="X526" s="29">
        <v>1</v>
      </c>
      <c r="Y526" s="35" t="s">
        <v>75</v>
      </c>
      <c r="Z526" s="33" t="s">
        <v>77</v>
      </c>
      <c r="AA526" s="35">
        <v>2875</v>
      </c>
      <c r="AB526" s="102">
        <f t="shared" si="103"/>
        <v>0.17199999999999999</v>
      </c>
      <c r="AC526" s="31">
        <f t="shared" si="101"/>
        <v>2380.5</v>
      </c>
      <c r="AD526" s="185"/>
      <c r="AE526" s="17"/>
      <c r="AF526" s="17"/>
      <c r="AG526" s="17" t="s">
        <v>77</v>
      </c>
      <c r="AH526" s="17" t="s">
        <v>77</v>
      </c>
      <c r="AI526" s="258" t="s">
        <v>75</v>
      </c>
      <c r="AJ526" s="55" t="s">
        <v>1213</v>
      </c>
      <c r="AK526" s="230" t="s">
        <v>689</v>
      </c>
      <c r="AL526" s="205" t="s">
        <v>1117</v>
      </c>
    </row>
    <row r="527" spans="1:38">
      <c r="A527" s="25" t="s">
        <v>1229</v>
      </c>
      <c r="B527" s="26" t="s">
        <v>1230</v>
      </c>
      <c r="C527" s="29">
        <v>1</v>
      </c>
      <c r="D527" s="35" t="s">
        <v>75</v>
      </c>
      <c r="E527" s="33" t="s">
        <v>77</v>
      </c>
      <c r="F527" s="35">
        <v>5750</v>
      </c>
      <c r="G527" s="102">
        <f t="shared" si="102"/>
        <v>0.17199999999999999</v>
      </c>
      <c r="H527" s="31">
        <f t="shared" si="100"/>
        <v>4761</v>
      </c>
      <c r="I527" s="185"/>
      <c r="J527" s="17"/>
      <c r="K527" s="17"/>
      <c r="L527" s="17" t="s">
        <v>77</v>
      </c>
      <c r="M527" s="17" t="s">
        <v>77</v>
      </c>
      <c r="N527" s="258" t="s">
        <v>75</v>
      </c>
      <c r="O527" s="55" t="s">
        <v>1213</v>
      </c>
      <c r="P527" s="230" t="s">
        <v>689</v>
      </c>
      <c r="Q527" s="205" t="s">
        <v>690</v>
      </c>
      <c r="R527" s="1" t="str">
        <f t="shared" si="99"/>
        <v/>
      </c>
      <c r="S527" s="1" t="str">
        <f t="shared" si="99"/>
        <v/>
      </c>
      <c r="T527" s="1" t="str">
        <f t="shared" si="99"/>
        <v/>
      </c>
      <c r="U527" s="1" t="str">
        <f t="shared" si="99"/>
        <v/>
      </c>
      <c r="V527" s="25" t="s">
        <v>1229</v>
      </c>
      <c r="W527" s="26" t="s">
        <v>1230</v>
      </c>
      <c r="X527" s="29">
        <v>1</v>
      </c>
      <c r="Y527" s="35" t="s">
        <v>75</v>
      </c>
      <c r="Z527" s="33" t="s">
        <v>77</v>
      </c>
      <c r="AA527" s="35">
        <v>5750</v>
      </c>
      <c r="AB527" s="102">
        <f t="shared" si="103"/>
        <v>0.17199999999999999</v>
      </c>
      <c r="AC527" s="31">
        <f t="shared" si="101"/>
        <v>4761</v>
      </c>
      <c r="AD527" s="185"/>
      <c r="AE527" s="17"/>
      <c r="AF527" s="17"/>
      <c r="AG527" s="17" t="s">
        <v>77</v>
      </c>
      <c r="AH527" s="17" t="s">
        <v>77</v>
      </c>
      <c r="AI527" s="258" t="s">
        <v>75</v>
      </c>
      <c r="AJ527" s="55" t="s">
        <v>1213</v>
      </c>
      <c r="AK527" s="230" t="s">
        <v>689</v>
      </c>
      <c r="AL527" s="205" t="s">
        <v>1117</v>
      </c>
    </row>
    <row r="528" spans="1:38">
      <c r="A528" s="25" t="s">
        <v>1231</v>
      </c>
      <c r="B528" s="26" t="s">
        <v>1232</v>
      </c>
      <c r="C528" s="29">
        <v>1</v>
      </c>
      <c r="D528" s="35" t="s">
        <v>75</v>
      </c>
      <c r="E528" s="33" t="s">
        <v>77</v>
      </c>
      <c r="F528" s="35">
        <v>9583.33</v>
      </c>
      <c r="G528" s="102">
        <f t="shared" si="102"/>
        <v>0.17199999999999999</v>
      </c>
      <c r="H528" s="31">
        <f t="shared" si="100"/>
        <v>7934.9972400000006</v>
      </c>
      <c r="I528" s="185"/>
      <c r="J528" s="17"/>
      <c r="K528" s="17"/>
      <c r="L528" s="17" t="s">
        <v>77</v>
      </c>
      <c r="M528" s="17" t="s">
        <v>77</v>
      </c>
      <c r="N528" s="258" t="s">
        <v>75</v>
      </c>
      <c r="O528" s="55" t="s">
        <v>1213</v>
      </c>
      <c r="P528" s="230" t="s">
        <v>689</v>
      </c>
      <c r="Q528" s="205" t="s">
        <v>690</v>
      </c>
      <c r="R528" s="1" t="str">
        <f t="shared" si="99"/>
        <v/>
      </c>
      <c r="S528" s="1" t="str">
        <f t="shared" si="99"/>
        <v/>
      </c>
      <c r="T528" s="1" t="str">
        <f t="shared" si="99"/>
        <v/>
      </c>
      <c r="U528" s="1" t="str">
        <f t="shared" si="99"/>
        <v/>
      </c>
      <c r="V528" s="25" t="s">
        <v>1231</v>
      </c>
      <c r="W528" s="26" t="s">
        <v>1232</v>
      </c>
      <c r="X528" s="29">
        <v>1</v>
      </c>
      <c r="Y528" s="35" t="s">
        <v>75</v>
      </c>
      <c r="Z528" s="33" t="s">
        <v>77</v>
      </c>
      <c r="AA528" s="35">
        <v>9583.33</v>
      </c>
      <c r="AB528" s="102">
        <f t="shared" si="103"/>
        <v>0.17199999999999999</v>
      </c>
      <c r="AC528" s="31">
        <f t="shared" si="101"/>
        <v>7934.9972400000006</v>
      </c>
      <c r="AD528" s="185"/>
      <c r="AE528" s="17"/>
      <c r="AF528" s="17"/>
      <c r="AG528" s="17" t="s">
        <v>77</v>
      </c>
      <c r="AH528" s="17" t="s">
        <v>77</v>
      </c>
      <c r="AI528" s="258" t="s">
        <v>75</v>
      </c>
      <c r="AJ528" s="55" t="s">
        <v>1213</v>
      </c>
      <c r="AK528" s="230" t="s">
        <v>689</v>
      </c>
      <c r="AL528" s="205" t="s">
        <v>1117</v>
      </c>
    </row>
    <row r="529" spans="1:38">
      <c r="A529" s="25" t="s">
        <v>1233</v>
      </c>
      <c r="B529" s="26" t="s">
        <v>1234</v>
      </c>
      <c r="C529" s="29">
        <v>1</v>
      </c>
      <c r="D529" s="35" t="s">
        <v>75</v>
      </c>
      <c r="E529" s="33" t="s">
        <v>77</v>
      </c>
      <c r="F529" s="35">
        <v>13416.67</v>
      </c>
      <c r="G529" s="102">
        <f t="shared" si="102"/>
        <v>0.17199999999999999</v>
      </c>
      <c r="H529" s="31">
        <f t="shared" si="100"/>
        <v>11109.002759999999</v>
      </c>
      <c r="I529" s="185"/>
      <c r="J529" s="17"/>
      <c r="K529" s="17"/>
      <c r="L529" s="17" t="s">
        <v>77</v>
      </c>
      <c r="M529" s="17" t="s">
        <v>77</v>
      </c>
      <c r="N529" s="258" t="s">
        <v>75</v>
      </c>
      <c r="O529" s="55" t="s">
        <v>1213</v>
      </c>
      <c r="P529" s="230" t="s">
        <v>689</v>
      </c>
      <c r="Q529" s="205" t="s">
        <v>690</v>
      </c>
      <c r="R529" s="1" t="str">
        <f t="shared" si="99"/>
        <v/>
      </c>
      <c r="S529" s="1" t="str">
        <f t="shared" si="99"/>
        <v/>
      </c>
      <c r="T529" s="1" t="str">
        <f t="shared" si="99"/>
        <v/>
      </c>
      <c r="U529" s="1" t="str">
        <f t="shared" si="99"/>
        <v/>
      </c>
      <c r="V529" s="25" t="s">
        <v>1233</v>
      </c>
      <c r="W529" s="26" t="s">
        <v>1234</v>
      </c>
      <c r="X529" s="29">
        <v>1</v>
      </c>
      <c r="Y529" s="35" t="s">
        <v>75</v>
      </c>
      <c r="Z529" s="33" t="s">
        <v>77</v>
      </c>
      <c r="AA529" s="35">
        <v>13416.67</v>
      </c>
      <c r="AB529" s="102">
        <f t="shared" si="103"/>
        <v>0.17199999999999999</v>
      </c>
      <c r="AC529" s="31">
        <f t="shared" si="101"/>
        <v>11109.002759999999</v>
      </c>
      <c r="AD529" s="185"/>
      <c r="AE529" s="17"/>
      <c r="AF529" s="17"/>
      <c r="AG529" s="17" t="s">
        <v>77</v>
      </c>
      <c r="AH529" s="17" t="s">
        <v>77</v>
      </c>
      <c r="AI529" s="258" t="s">
        <v>75</v>
      </c>
      <c r="AJ529" s="55" t="s">
        <v>1213</v>
      </c>
      <c r="AK529" s="230" t="s">
        <v>689</v>
      </c>
      <c r="AL529" s="205" t="s">
        <v>1117</v>
      </c>
    </row>
    <row r="530" spans="1:38">
      <c r="A530" s="25" t="s">
        <v>1235</v>
      </c>
      <c r="B530" s="26" t="s">
        <v>1236</v>
      </c>
      <c r="C530" s="29">
        <v>1</v>
      </c>
      <c r="D530" s="35" t="s">
        <v>75</v>
      </c>
      <c r="E530" s="33" t="s">
        <v>77</v>
      </c>
      <c r="F530" s="35">
        <v>191.67</v>
      </c>
      <c r="G530" s="102">
        <f t="shared" si="102"/>
        <v>0.17199999999999999</v>
      </c>
      <c r="H530" s="31">
        <f t="shared" si="100"/>
        <v>158.70275999999998</v>
      </c>
      <c r="I530" s="185"/>
      <c r="J530" s="17"/>
      <c r="K530" s="17"/>
      <c r="L530" s="17" t="s">
        <v>77</v>
      </c>
      <c r="M530" s="17" t="s">
        <v>77</v>
      </c>
      <c r="N530" s="258" t="s">
        <v>75</v>
      </c>
      <c r="O530" s="55" t="s">
        <v>1213</v>
      </c>
      <c r="P530" s="230" t="s">
        <v>689</v>
      </c>
      <c r="Q530" s="205" t="s">
        <v>690</v>
      </c>
      <c r="R530" s="1" t="str">
        <f t="shared" si="99"/>
        <v/>
      </c>
      <c r="S530" s="1" t="str">
        <f t="shared" si="99"/>
        <v/>
      </c>
      <c r="T530" s="1" t="str">
        <f t="shared" si="99"/>
        <v/>
      </c>
      <c r="U530" s="1" t="str">
        <f t="shared" si="99"/>
        <v/>
      </c>
      <c r="V530" s="25" t="s">
        <v>1235</v>
      </c>
      <c r="W530" s="26" t="s">
        <v>1236</v>
      </c>
      <c r="X530" s="29">
        <v>1</v>
      </c>
      <c r="Y530" s="35" t="s">
        <v>75</v>
      </c>
      <c r="Z530" s="33" t="s">
        <v>77</v>
      </c>
      <c r="AA530" s="35">
        <v>383.33</v>
      </c>
      <c r="AB530" s="102">
        <f t="shared" si="103"/>
        <v>0.17199999999999999</v>
      </c>
      <c r="AC530" s="31">
        <f t="shared" si="101"/>
        <v>317.39724000000001</v>
      </c>
      <c r="AD530" s="185"/>
      <c r="AE530" s="17"/>
      <c r="AF530" s="17"/>
      <c r="AG530" s="17" t="s">
        <v>77</v>
      </c>
      <c r="AH530" s="17" t="s">
        <v>77</v>
      </c>
      <c r="AI530" s="258" t="s">
        <v>75</v>
      </c>
      <c r="AJ530" s="55" t="s">
        <v>1213</v>
      </c>
      <c r="AK530" s="230" t="s">
        <v>689</v>
      </c>
      <c r="AL530" s="205" t="s">
        <v>1117</v>
      </c>
    </row>
    <row r="531" spans="1:38">
      <c r="A531" s="25" t="s">
        <v>1237</v>
      </c>
      <c r="B531" s="26" t="s">
        <v>1238</v>
      </c>
      <c r="C531" s="29">
        <v>1</v>
      </c>
      <c r="D531" s="35" t="s">
        <v>75</v>
      </c>
      <c r="E531" s="33" t="s">
        <v>77</v>
      </c>
      <c r="F531" s="35">
        <v>575</v>
      </c>
      <c r="G531" s="102">
        <f t="shared" si="102"/>
        <v>0.17199999999999999</v>
      </c>
      <c r="H531" s="31">
        <f t="shared" si="100"/>
        <v>476.1</v>
      </c>
      <c r="I531" s="185"/>
      <c r="J531" s="17"/>
      <c r="K531" s="17"/>
      <c r="L531" s="17" t="s">
        <v>77</v>
      </c>
      <c r="M531" s="17" t="s">
        <v>77</v>
      </c>
      <c r="N531" s="258" t="s">
        <v>75</v>
      </c>
      <c r="O531" s="55" t="s">
        <v>1213</v>
      </c>
      <c r="P531" s="230" t="s">
        <v>689</v>
      </c>
      <c r="Q531" s="205" t="s">
        <v>690</v>
      </c>
      <c r="R531" s="1" t="str">
        <f t="shared" si="99"/>
        <v/>
      </c>
      <c r="S531" s="1" t="str">
        <f t="shared" si="99"/>
        <v/>
      </c>
      <c r="T531" s="1" t="str">
        <f t="shared" si="99"/>
        <v/>
      </c>
      <c r="U531" s="1" t="str">
        <f t="shared" si="99"/>
        <v/>
      </c>
      <c r="V531" s="25" t="s">
        <v>1237</v>
      </c>
      <c r="W531" s="26" t="s">
        <v>1238</v>
      </c>
      <c r="X531" s="29">
        <v>1</v>
      </c>
      <c r="Y531" s="35" t="s">
        <v>75</v>
      </c>
      <c r="Z531" s="33" t="s">
        <v>77</v>
      </c>
      <c r="AA531" s="35">
        <v>766.67</v>
      </c>
      <c r="AB531" s="102">
        <f t="shared" si="103"/>
        <v>0.17199999999999999</v>
      </c>
      <c r="AC531" s="31">
        <f t="shared" si="101"/>
        <v>634.80276000000003</v>
      </c>
      <c r="AD531" s="185"/>
      <c r="AE531" s="17"/>
      <c r="AF531" s="17"/>
      <c r="AG531" s="17" t="s">
        <v>77</v>
      </c>
      <c r="AH531" s="17" t="s">
        <v>77</v>
      </c>
      <c r="AI531" s="258" t="s">
        <v>75</v>
      </c>
      <c r="AJ531" s="55" t="s">
        <v>1213</v>
      </c>
      <c r="AK531" s="230" t="s">
        <v>689</v>
      </c>
      <c r="AL531" s="205" t="s">
        <v>1117</v>
      </c>
    </row>
    <row r="532" spans="1:38">
      <c r="A532" s="25" t="s">
        <v>1239</v>
      </c>
      <c r="B532" s="26" t="s">
        <v>1240</v>
      </c>
      <c r="C532" s="29">
        <v>1</v>
      </c>
      <c r="D532" s="35" t="s">
        <v>75</v>
      </c>
      <c r="E532" s="33" t="s">
        <v>77</v>
      </c>
      <c r="F532" s="35">
        <v>1150</v>
      </c>
      <c r="G532" s="102">
        <f t="shared" si="102"/>
        <v>0.17199999999999999</v>
      </c>
      <c r="H532" s="31">
        <f t="shared" si="100"/>
        <v>952.2</v>
      </c>
      <c r="I532" s="185"/>
      <c r="J532" s="17"/>
      <c r="K532" s="17"/>
      <c r="L532" s="17" t="s">
        <v>77</v>
      </c>
      <c r="M532" s="17" t="s">
        <v>77</v>
      </c>
      <c r="N532" s="258" t="s">
        <v>75</v>
      </c>
      <c r="O532" s="55" t="s">
        <v>1213</v>
      </c>
      <c r="P532" s="230" t="s">
        <v>689</v>
      </c>
      <c r="Q532" s="205" t="s">
        <v>690</v>
      </c>
      <c r="R532" s="1" t="str">
        <f t="shared" si="99"/>
        <v/>
      </c>
      <c r="S532" s="1" t="str">
        <f t="shared" si="99"/>
        <v/>
      </c>
      <c r="T532" s="1" t="str">
        <f t="shared" si="99"/>
        <v/>
      </c>
      <c r="U532" s="1" t="str">
        <f t="shared" si="99"/>
        <v/>
      </c>
      <c r="V532" s="25" t="s">
        <v>1239</v>
      </c>
      <c r="W532" s="26" t="s">
        <v>1240</v>
      </c>
      <c r="X532" s="29">
        <v>1</v>
      </c>
      <c r="Y532" s="35" t="s">
        <v>75</v>
      </c>
      <c r="Z532" s="33" t="s">
        <v>77</v>
      </c>
      <c r="AA532" s="35">
        <v>1341.67</v>
      </c>
      <c r="AB532" s="102">
        <f t="shared" si="103"/>
        <v>0.17199999999999999</v>
      </c>
      <c r="AC532" s="31">
        <f t="shared" si="101"/>
        <v>1110.9027600000002</v>
      </c>
      <c r="AD532" s="185"/>
      <c r="AE532" s="17"/>
      <c r="AF532" s="17"/>
      <c r="AG532" s="17" t="s">
        <v>77</v>
      </c>
      <c r="AH532" s="17" t="s">
        <v>77</v>
      </c>
      <c r="AI532" s="258" t="s">
        <v>75</v>
      </c>
      <c r="AJ532" s="55" t="s">
        <v>1213</v>
      </c>
      <c r="AK532" s="230" t="s">
        <v>689</v>
      </c>
      <c r="AL532" s="205" t="s">
        <v>1117</v>
      </c>
    </row>
    <row r="533" spans="1:38">
      <c r="A533" s="25" t="s">
        <v>1241</v>
      </c>
      <c r="B533" s="26" t="s">
        <v>1242</v>
      </c>
      <c r="C533" s="29">
        <v>1</v>
      </c>
      <c r="D533" s="35" t="s">
        <v>75</v>
      </c>
      <c r="E533" s="33" t="s">
        <v>77</v>
      </c>
      <c r="F533" s="35">
        <v>2300</v>
      </c>
      <c r="G533" s="102">
        <f t="shared" si="102"/>
        <v>0.17199999999999999</v>
      </c>
      <c r="H533" s="31">
        <f t="shared" si="100"/>
        <v>1904.4</v>
      </c>
      <c r="I533" s="185"/>
      <c r="J533" s="17"/>
      <c r="K533" s="17"/>
      <c r="L533" s="17" t="s">
        <v>77</v>
      </c>
      <c r="M533" s="17" t="s">
        <v>77</v>
      </c>
      <c r="N533" s="258" t="s">
        <v>75</v>
      </c>
      <c r="O533" s="55" t="s">
        <v>1213</v>
      </c>
      <c r="P533" s="230" t="s">
        <v>689</v>
      </c>
      <c r="Q533" s="205" t="s">
        <v>690</v>
      </c>
      <c r="R533" s="1" t="str">
        <f t="shared" si="99"/>
        <v/>
      </c>
      <c r="S533" s="1" t="str">
        <f t="shared" si="99"/>
        <v/>
      </c>
      <c r="T533" s="1" t="str">
        <f t="shared" si="99"/>
        <v/>
      </c>
      <c r="U533" s="1" t="str">
        <f t="shared" si="99"/>
        <v/>
      </c>
      <c r="V533" s="25" t="s">
        <v>1241</v>
      </c>
      <c r="W533" s="26" t="s">
        <v>1242</v>
      </c>
      <c r="X533" s="29">
        <v>1</v>
      </c>
      <c r="Y533" s="35" t="s">
        <v>75</v>
      </c>
      <c r="Z533" s="33" t="s">
        <v>77</v>
      </c>
      <c r="AA533" s="35">
        <v>2491.67</v>
      </c>
      <c r="AB533" s="102">
        <f t="shared" si="103"/>
        <v>0.17199999999999999</v>
      </c>
      <c r="AC533" s="31">
        <f t="shared" si="101"/>
        <v>2063.1027600000002</v>
      </c>
      <c r="AD533" s="185"/>
      <c r="AE533" s="17"/>
      <c r="AF533" s="17"/>
      <c r="AG533" s="17" t="s">
        <v>77</v>
      </c>
      <c r="AH533" s="17" t="s">
        <v>77</v>
      </c>
      <c r="AI533" s="258" t="s">
        <v>75</v>
      </c>
      <c r="AJ533" s="55" t="s">
        <v>1213</v>
      </c>
      <c r="AK533" s="230" t="s">
        <v>689</v>
      </c>
      <c r="AL533" s="205" t="s">
        <v>1117</v>
      </c>
    </row>
    <row r="534" spans="1:38" s="121" customFormat="1">
      <c r="A534" s="113" t="s">
        <v>1243</v>
      </c>
      <c r="B534" s="114" t="s">
        <v>1244</v>
      </c>
      <c r="C534" s="115">
        <v>1</v>
      </c>
      <c r="D534" s="116" t="s">
        <v>75</v>
      </c>
      <c r="E534" s="117" t="s">
        <v>77</v>
      </c>
      <c r="F534" s="35">
        <v>383.33</v>
      </c>
      <c r="G534" s="102">
        <f t="shared" ref="G534:G543" si="104">rv_mp_eg_cto</f>
        <v>0.17199999999999999</v>
      </c>
      <c r="H534" s="31">
        <f t="shared" si="100"/>
        <v>317.39724000000001</v>
      </c>
      <c r="I534" s="192"/>
      <c r="J534" s="120"/>
      <c r="K534" s="120"/>
      <c r="L534" s="120" t="s">
        <v>77</v>
      </c>
      <c r="M534" s="120" t="s">
        <v>77</v>
      </c>
      <c r="N534" s="258" t="s">
        <v>75</v>
      </c>
      <c r="O534" s="55" t="s">
        <v>1213</v>
      </c>
      <c r="P534" s="230" t="s">
        <v>689</v>
      </c>
      <c r="Q534" s="205" t="s">
        <v>690</v>
      </c>
      <c r="R534" s="1" t="str">
        <f t="shared" si="99"/>
        <v/>
      </c>
      <c r="S534" s="1" t="str">
        <f t="shared" si="99"/>
        <v/>
      </c>
      <c r="T534" s="1" t="str">
        <f t="shared" si="99"/>
        <v/>
      </c>
      <c r="U534" s="1" t="str">
        <f t="shared" si="99"/>
        <v/>
      </c>
      <c r="V534" s="113" t="s">
        <v>1243</v>
      </c>
      <c r="W534" s="114" t="s">
        <v>1244</v>
      </c>
      <c r="X534" s="115">
        <v>1</v>
      </c>
      <c r="Y534" s="116" t="s">
        <v>75</v>
      </c>
      <c r="Z534" s="117" t="s">
        <v>77</v>
      </c>
      <c r="AA534" s="116">
        <v>575</v>
      </c>
      <c r="AB534" s="118">
        <f t="shared" si="103"/>
        <v>0.17199999999999999</v>
      </c>
      <c r="AC534" s="119">
        <f t="shared" si="101"/>
        <v>476.1</v>
      </c>
      <c r="AD534" s="192"/>
      <c r="AE534" s="120"/>
      <c r="AF534" s="120"/>
      <c r="AG534" s="120" t="s">
        <v>77</v>
      </c>
      <c r="AH534" s="120" t="s">
        <v>77</v>
      </c>
      <c r="AI534" s="258" t="s">
        <v>75</v>
      </c>
      <c r="AJ534" s="55" t="s">
        <v>1213</v>
      </c>
      <c r="AK534" s="265" t="s">
        <v>689</v>
      </c>
      <c r="AL534" s="203" t="s">
        <v>1117</v>
      </c>
    </row>
    <row r="535" spans="1:38" s="121" customFormat="1">
      <c r="A535" s="25"/>
      <c r="B535" s="26"/>
      <c r="C535" s="29"/>
      <c r="D535" s="35"/>
      <c r="E535" s="33"/>
      <c r="F535" s="35"/>
      <c r="G535" s="102"/>
      <c r="H535" s="31"/>
      <c r="I535" s="192"/>
      <c r="J535" s="120"/>
      <c r="K535" s="120"/>
      <c r="L535" s="120"/>
      <c r="M535" s="120"/>
      <c r="N535" s="258"/>
      <c r="O535" s="55"/>
      <c r="P535" s="230"/>
      <c r="Q535" s="205"/>
      <c r="R535" s="1" t="str">
        <f t="shared" si="99"/>
        <v/>
      </c>
      <c r="S535" s="1" t="str">
        <f t="shared" si="99"/>
        <v/>
      </c>
      <c r="T535" s="1" t="str">
        <f t="shared" si="99"/>
        <v/>
      </c>
      <c r="U535" s="1" t="str">
        <f t="shared" si="99"/>
        <v/>
      </c>
      <c r="V535" s="25" t="s">
        <v>1245</v>
      </c>
      <c r="W535" s="26" t="s">
        <v>1246</v>
      </c>
      <c r="X535" s="29">
        <v>1</v>
      </c>
      <c r="Y535" s="35" t="s">
        <v>75</v>
      </c>
      <c r="Z535" s="33" t="s">
        <v>77</v>
      </c>
      <c r="AA535" s="35">
        <v>191.67</v>
      </c>
      <c r="AB535" s="102">
        <f t="shared" si="103"/>
        <v>0.17199999999999999</v>
      </c>
      <c r="AC535" s="31">
        <f t="shared" si="101"/>
        <v>158.70275999999998</v>
      </c>
      <c r="AD535" s="192"/>
      <c r="AE535" s="120"/>
      <c r="AF535" s="120"/>
      <c r="AG535" s="120" t="s">
        <v>77</v>
      </c>
      <c r="AH535" s="120" t="s">
        <v>77</v>
      </c>
      <c r="AI535" s="258" t="s">
        <v>75</v>
      </c>
      <c r="AJ535" s="55" t="s">
        <v>1213</v>
      </c>
      <c r="AK535" s="265" t="s">
        <v>689</v>
      </c>
      <c r="AL535" s="203" t="s">
        <v>1117</v>
      </c>
    </row>
    <row r="536" spans="1:38" s="121" customFormat="1">
      <c r="A536" s="25" t="s">
        <v>1247</v>
      </c>
      <c r="B536" s="26" t="s">
        <v>1248</v>
      </c>
      <c r="C536" s="29">
        <v>1</v>
      </c>
      <c r="D536" s="35" t="s">
        <v>75</v>
      </c>
      <c r="E536" s="33" t="s">
        <v>77</v>
      </c>
      <c r="F536" s="35">
        <v>1341.67</v>
      </c>
      <c r="G536" s="102">
        <f t="shared" si="104"/>
        <v>0.17199999999999999</v>
      </c>
      <c r="H536" s="31">
        <f t="shared" si="100"/>
        <v>1110.9027600000002</v>
      </c>
      <c r="I536" s="192"/>
      <c r="J536" s="120"/>
      <c r="K536" s="120"/>
      <c r="L536" s="120" t="s">
        <v>77</v>
      </c>
      <c r="M536" s="120" t="s">
        <v>77</v>
      </c>
      <c r="N536" s="258" t="s">
        <v>75</v>
      </c>
      <c r="O536" s="55" t="s">
        <v>1213</v>
      </c>
      <c r="P536" s="230" t="s">
        <v>689</v>
      </c>
      <c r="Q536" s="205" t="s">
        <v>690</v>
      </c>
      <c r="R536" s="1" t="str">
        <f t="shared" si="99"/>
        <v/>
      </c>
      <c r="S536" s="1" t="str">
        <f t="shared" si="99"/>
        <v/>
      </c>
      <c r="T536" s="1" t="str">
        <f t="shared" si="99"/>
        <v/>
      </c>
      <c r="U536" s="1" t="str">
        <f t="shared" si="99"/>
        <v/>
      </c>
      <c r="V536" s="25" t="s">
        <v>1247</v>
      </c>
      <c r="W536" s="26" t="s">
        <v>1248</v>
      </c>
      <c r="X536" s="29">
        <v>1</v>
      </c>
      <c r="Y536" s="35" t="s">
        <v>75</v>
      </c>
      <c r="Z536" s="33" t="s">
        <v>77</v>
      </c>
      <c r="AA536" s="35">
        <v>1533.33</v>
      </c>
      <c r="AB536" s="102">
        <f t="shared" si="103"/>
        <v>0.17199999999999999</v>
      </c>
      <c r="AC536" s="31">
        <f t="shared" si="101"/>
        <v>1269.5972400000001</v>
      </c>
      <c r="AD536" s="192"/>
      <c r="AE536" s="120"/>
      <c r="AF536" s="120"/>
      <c r="AG536" s="120" t="s">
        <v>77</v>
      </c>
      <c r="AH536" s="120" t="s">
        <v>77</v>
      </c>
      <c r="AI536" s="258" t="s">
        <v>75</v>
      </c>
      <c r="AJ536" s="55" t="s">
        <v>1213</v>
      </c>
      <c r="AK536" s="265" t="s">
        <v>689</v>
      </c>
      <c r="AL536" s="203" t="s">
        <v>1117</v>
      </c>
    </row>
    <row r="537" spans="1:38" s="121" customFormat="1">
      <c r="A537" s="25" t="s">
        <v>1150</v>
      </c>
      <c r="B537" s="114" t="s">
        <v>1151</v>
      </c>
      <c r="C537" s="395">
        <v>1</v>
      </c>
      <c r="D537" s="35" t="s">
        <v>75</v>
      </c>
      <c r="E537" s="397" t="s">
        <v>77</v>
      </c>
      <c r="F537" s="116">
        <v>287.5</v>
      </c>
      <c r="G537" s="118">
        <f t="shared" si="104"/>
        <v>0.17199999999999999</v>
      </c>
      <c r="H537" s="119">
        <f t="shared" si="100"/>
        <v>238.05</v>
      </c>
      <c r="I537" s="394"/>
      <c r="J537" s="134"/>
      <c r="K537" s="134"/>
      <c r="L537" s="134" t="s">
        <v>77</v>
      </c>
      <c r="M537" s="134" t="s">
        <v>77</v>
      </c>
      <c r="N537" s="258" t="s">
        <v>75</v>
      </c>
      <c r="O537" s="55" t="s">
        <v>1112</v>
      </c>
      <c r="P537" s="230" t="s">
        <v>689</v>
      </c>
      <c r="Q537" s="230" t="s">
        <v>690</v>
      </c>
      <c r="R537" s="1" t="str">
        <f t="shared" si="99"/>
        <v/>
      </c>
      <c r="S537" s="1" t="str">
        <f t="shared" si="99"/>
        <v/>
      </c>
      <c r="T537" s="1" t="str">
        <f t="shared" si="99"/>
        <v/>
      </c>
      <c r="U537" s="1" t="str">
        <f t="shared" si="99"/>
        <v/>
      </c>
      <c r="V537" s="25"/>
      <c r="W537" s="26"/>
      <c r="X537" s="29"/>
      <c r="Y537" s="35"/>
      <c r="Z537" s="33"/>
      <c r="AA537" s="35"/>
      <c r="AB537" s="102"/>
      <c r="AC537" s="31"/>
      <c r="AD537" s="192"/>
      <c r="AE537" s="120"/>
      <c r="AF537" s="120"/>
      <c r="AG537" s="120"/>
      <c r="AH537" s="120"/>
      <c r="AI537" s="258"/>
      <c r="AJ537" s="55"/>
      <c r="AK537" s="265"/>
      <c r="AL537" s="203"/>
    </row>
    <row r="538" spans="1:38" s="121" customFormat="1">
      <c r="A538" s="25" t="s">
        <v>1249</v>
      </c>
      <c r="B538" s="26" t="s">
        <v>1250</v>
      </c>
      <c r="C538" s="29">
        <v>1</v>
      </c>
      <c r="D538" s="35" t="s">
        <v>75</v>
      </c>
      <c r="E538" s="33" t="s">
        <v>77</v>
      </c>
      <c r="F538" s="35">
        <v>2108.33</v>
      </c>
      <c r="G538" s="102">
        <f t="shared" si="104"/>
        <v>0.17199999999999999</v>
      </c>
      <c r="H538" s="31">
        <f t="shared" ref="H538:H543" si="105">F538-(F538*G538)</f>
        <v>1745.69724</v>
      </c>
      <c r="I538" s="192"/>
      <c r="J538" s="120"/>
      <c r="K538" s="120"/>
      <c r="L538" s="120" t="s">
        <v>77</v>
      </c>
      <c r="M538" s="120" t="s">
        <v>77</v>
      </c>
      <c r="N538" s="258" t="s">
        <v>75</v>
      </c>
      <c r="O538" s="55" t="s">
        <v>1213</v>
      </c>
      <c r="P538" s="230" t="s">
        <v>689</v>
      </c>
      <c r="Q538" s="205" t="s">
        <v>690</v>
      </c>
      <c r="R538" s="1" t="str">
        <f t="shared" si="99"/>
        <v/>
      </c>
      <c r="S538" s="1" t="str">
        <f t="shared" si="99"/>
        <v/>
      </c>
      <c r="T538" s="1" t="str">
        <f t="shared" si="99"/>
        <v/>
      </c>
      <c r="U538" s="1" t="str">
        <f t="shared" si="99"/>
        <v/>
      </c>
      <c r="V538" s="25" t="s">
        <v>1249</v>
      </c>
      <c r="W538" s="26" t="s">
        <v>1250</v>
      </c>
      <c r="X538" s="29">
        <v>1</v>
      </c>
      <c r="Y538" s="35" t="s">
        <v>75</v>
      </c>
      <c r="Z538" s="33" t="s">
        <v>77</v>
      </c>
      <c r="AA538" s="35">
        <v>2300</v>
      </c>
      <c r="AB538" s="102">
        <f t="shared" si="103"/>
        <v>0.17199999999999999</v>
      </c>
      <c r="AC538" s="31">
        <f t="shared" si="101"/>
        <v>1904.4</v>
      </c>
      <c r="AD538" s="192"/>
      <c r="AE538" s="120"/>
      <c r="AF538" s="120"/>
      <c r="AG538" s="120" t="s">
        <v>77</v>
      </c>
      <c r="AH538" s="120" t="s">
        <v>77</v>
      </c>
      <c r="AI538" s="258" t="s">
        <v>75</v>
      </c>
      <c r="AJ538" s="55" t="s">
        <v>1213</v>
      </c>
      <c r="AK538" s="265" t="s">
        <v>689</v>
      </c>
      <c r="AL538" s="203" t="s">
        <v>1117</v>
      </c>
    </row>
    <row r="539" spans="1:38" s="121" customFormat="1">
      <c r="A539" s="25" t="s">
        <v>1251</v>
      </c>
      <c r="B539" s="26" t="s">
        <v>1252</v>
      </c>
      <c r="C539" s="29">
        <v>1</v>
      </c>
      <c r="D539" s="35" t="s">
        <v>75</v>
      </c>
      <c r="E539" s="33" t="s">
        <v>77</v>
      </c>
      <c r="F539" s="35">
        <v>4791.67</v>
      </c>
      <c r="G539" s="102">
        <f t="shared" si="104"/>
        <v>0.17199999999999999</v>
      </c>
      <c r="H539" s="31">
        <f t="shared" si="105"/>
        <v>3967.5027600000003</v>
      </c>
      <c r="I539" s="192"/>
      <c r="J539" s="120"/>
      <c r="K539" s="120"/>
      <c r="L539" s="120" t="s">
        <v>77</v>
      </c>
      <c r="M539" s="120" t="s">
        <v>77</v>
      </c>
      <c r="N539" s="258" t="s">
        <v>75</v>
      </c>
      <c r="O539" s="55" t="s">
        <v>1213</v>
      </c>
      <c r="P539" s="230" t="s">
        <v>689</v>
      </c>
      <c r="Q539" s="205" t="s">
        <v>690</v>
      </c>
      <c r="R539" s="1" t="str">
        <f t="shared" si="99"/>
        <v/>
      </c>
      <c r="S539" s="1" t="str">
        <f t="shared" si="99"/>
        <v/>
      </c>
      <c r="T539" s="1" t="str">
        <f t="shared" si="99"/>
        <v/>
      </c>
      <c r="U539" s="1" t="str">
        <f t="shared" si="99"/>
        <v/>
      </c>
      <c r="V539" s="25" t="s">
        <v>1251</v>
      </c>
      <c r="W539" s="26" t="s">
        <v>1252</v>
      </c>
      <c r="X539" s="29">
        <v>1</v>
      </c>
      <c r="Y539" s="35" t="s">
        <v>75</v>
      </c>
      <c r="Z539" s="33" t="s">
        <v>77</v>
      </c>
      <c r="AA539" s="35">
        <v>4983.33</v>
      </c>
      <c r="AB539" s="102">
        <f t="shared" si="103"/>
        <v>0.17199999999999999</v>
      </c>
      <c r="AC539" s="31">
        <f t="shared" si="101"/>
        <v>4126.1972399999995</v>
      </c>
      <c r="AD539" s="192"/>
      <c r="AE539" s="120"/>
      <c r="AF539" s="120"/>
      <c r="AG539" s="120" t="s">
        <v>77</v>
      </c>
      <c r="AH539" s="120" t="s">
        <v>77</v>
      </c>
      <c r="AI539" s="258" t="s">
        <v>75</v>
      </c>
      <c r="AJ539" s="55" t="s">
        <v>1213</v>
      </c>
      <c r="AK539" s="265" t="s">
        <v>689</v>
      </c>
      <c r="AL539" s="203" t="s">
        <v>1117</v>
      </c>
    </row>
    <row r="540" spans="1:38" s="121" customFormat="1">
      <c r="A540" s="25" t="s">
        <v>1253</v>
      </c>
      <c r="B540" s="26" t="s">
        <v>1254</v>
      </c>
      <c r="C540" s="29">
        <v>1</v>
      </c>
      <c r="D540" s="35" t="s">
        <v>75</v>
      </c>
      <c r="E540" s="33" t="s">
        <v>77</v>
      </c>
      <c r="F540" s="35">
        <v>4216.67</v>
      </c>
      <c r="G540" s="102">
        <f t="shared" si="104"/>
        <v>0.17199999999999999</v>
      </c>
      <c r="H540" s="31">
        <f t="shared" si="105"/>
        <v>3491.4027599999999</v>
      </c>
      <c r="I540" s="192"/>
      <c r="J540" s="120"/>
      <c r="K540" s="120"/>
      <c r="L540" s="120" t="s">
        <v>77</v>
      </c>
      <c r="M540" s="120" t="s">
        <v>77</v>
      </c>
      <c r="N540" s="258" t="s">
        <v>75</v>
      </c>
      <c r="O540" s="55" t="s">
        <v>1213</v>
      </c>
      <c r="P540" s="230" t="s">
        <v>689</v>
      </c>
      <c r="Q540" s="205" t="s">
        <v>690</v>
      </c>
      <c r="R540" s="1" t="str">
        <f t="shared" si="99"/>
        <v/>
      </c>
      <c r="S540" s="1" t="str">
        <f t="shared" si="99"/>
        <v/>
      </c>
      <c r="T540" s="1" t="str">
        <f t="shared" si="99"/>
        <v/>
      </c>
      <c r="U540" s="1" t="str">
        <f t="shared" si="99"/>
        <v/>
      </c>
      <c r="V540" s="25" t="s">
        <v>1253</v>
      </c>
      <c r="W540" s="26" t="s">
        <v>1254</v>
      </c>
      <c r="X540" s="29">
        <v>1</v>
      </c>
      <c r="Y540" s="35" t="s">
        <v>75</v>
      </c>
      <c r="Z540" s="33" t="s">
        <v>77</v>
      </c>
      <c r="AA540" s="35">
        <v>4408.33</v>
      </c>
      <c r="AB540" s="102">
        <f t="shared" si="103"/>
        <v>0.17199999999999999</v>
      </c>
      <c r="AC540" s="31">
        <f t="shared" si="101"/>
        <v>3650.0972400000001</v>
      </c>
      <c r="AD540" s="192"/>
      <c r="AE540" s="120"/>
      <c r="AF540" s="120"/>
      <c r="AG540" s="120" t="s">
        <v>77</v>
      </c>
      <c r="AH540" s="120" t="s">
        <v>77</v>
      </c>
      <c r="AI540" s="258" t="s">
        <v>75</v>
      </c>
      <c r="AJ540" s="55" t="s">
        <v>1213</v>
      </c>
      <c r="AK540" s="265" t="s">
        <v>689</v>
      </c>
      <c r="AL540" s="203" t="s">
        <v>1117</v>
      </c>
    </row>
    <row r="541" spans="1:38" s="121" customFormat="1">
      <c r="A541" s="25" t="s">
        <v>1255</v>
      </c>
      <c r="B541" s="26" t="s">
        <v>1256</v>
      </c>
      <c r="C541" s="29">
        <v>1</v>
      </c>
      <c r="D541" s="35" t="s">
        <v>75</v>
      </c>
      <c r="E541" s="33" t="s">
        <v>77</v>
      </c>
      <c r="F541" s="35">
        <v>9008.33</v>
      </c>
      <c r="G541" s="102">
        <f t="shared" si="104"/>
        <v>0.17199999999999999</v>
      </c>
      <c r="H541" s="31">
        <f t="shared" si="105"/>
        <v>7458.8972400000002</v>
      </c>
      <c r="I541" s="192"/>
      <c r="J541" s="120"/>
      <c r="K541" s="120"/>
      <c r="L541" s="120" t="s">
        <v>77</v>
      </c>
      <c r="M541" s="120" t="s">
        <v>77</v>
      </c>
      <c r="N541" s="258" t="s">
        <v>75</v>
      </c>
      <c r="O541" s="55" t="s">
        <v>1213</v>
      </c>
      <c r="P541" s="230" t="s">
        <v>689</v>
      </c>
      <c r="Q541" s="205" t="s">
        <v>690</v>
      </c>
      <c r="R541" s="1" t="str">
        <f t="shared" si="99"/>
        <v/>
      </c>
      <c r="S541" s="1" t="str">
        <f t="shared" si="99"/>
        <v/>
      </c>
      <c r="T541" s="1" t="str">
        <f t="shared" si="99"/>
        <v/>
      </c>
      <c r="U541" s="1" t="str">
        <f t="shared" si="99"/>
        <v/>
      </c>
      <c r="V541" s="25" t="s">
        <v>1255</v>
      </c>
      <c r="W541" s="26" t="s">
        <v>1256</v>
      </c>
      <c r="X541" s="29">
        <v>1</v>
      </c>
      <c r="Y541" s="35" t="s">
        <v>75</v>
      </c>
      <c r="Z541" s="33" t="s">
        <v>77</v>
      </c>
      <c r="AA541" s="35">
        <v>9200</v>
      </c>
      <c r="AB541" s="102">
        <f t="shared" si="103"/>
        <v>0.17199999999999999</v>
      </c>
      <c r="AC541" s="31">
        <f t="shared" si="101"/>
        <v>7617.6</v>
      </c>
      <c r="AD541" s="192"/>
      <c r="AE541" s="120"/>
      <c r="AF541" s="120"/>
      <c r="AG541" s="120" t="s">
        <v>77</v>
      </c>
      <c r="AH541" s="120" t="s">
        <v>77</v>
      </c>
      <c r="AI541" s="258" t="s">
        <v>75</v>
      </c>
      <c r="AJ541" s="55" t="s">
        <v>1213</v>
      </c>
      <c r="AK541" s="265" t="s">
        <v>689</v>
      </c>
      <c r="AL541" s="203" t="s">
        <v>1117</v>
      </c>
    </row>
    <row r="542" spans="1:38" s="121" customFormat="1">
      <c r="A542" s="25" t="s">
        <v>1257</v>
      </c>
      <c r="B542" s="26" t="s">
        <v>1258</v>
      </c>
      <c r="C542" s="29">
        <v>1</v>
      </c>
      <c r="D542" s="35" t="s">
        <v>75</v>
      </c>
      <c r="E542" s="33" t="s">
        <v>77</v>
      </c>
      <c r="F542" s="35">
        <v>5175</v>
      </c>
      <c r="G542" s="102">
        <f t="shared" si="104"/>
        <v>0.17199999999999999</v>
      </c>
      <c r="H542" s="31">
        <f t="shared" si="105"/>
        <v>4284.8999999999996</v>
      </c>
      <c r="I542" s="192"/>
      <c r="J542" s="120"/>
      <c r="K542" s="120"/>
      <c r="L542" s="120" t="s">
        <v>77</v>
      </c>
      <c r="M542" s="120" t="s">
        <v>77</v>
      </c>
      <c r="N542" s="258" t="s">
        <v>75</v>
      </c>
      <c r="O542" s="55" t="s">
        <v>1213</v>
      </c>
      <c r="P542" s="230" t="s">
        <v>689</v>
      </c>
      <c r="Q542" s="205" t="s">
        <v>690</v>
      </c>
      <c r="R542" s="1" t="str">
        <f t="shared" si="99"/>
        <v/>
      </c>
      <c r="S542" s="1" t="str">
        <f t="shared" si="99"/>
        <v/>
      </c>
      <c r="T542" s="1" t="str">
        <f t="shared" si="99"/>
        <v/>
      </c>
      <c r="U542" s="1" t="str">
        <f t="shared" si="99"/>
        <v/>
      </c>
      <c r="V542" s="25" t="s">
        <v>1257</v>
      </c>
      <c r="W542" s="26" t="s">
        <v>1258</v>
      </c>
      <c r="X542" s="29">
        <v>1</v>
      </c>
      <c r="Y542" s="35" t="s">
        <v>75</v>
      </c>
      <c r="Z542" s="33" t="s">
        <v>77</v>
      </c>
      <c r="AA542" s="35">
        <v>5366.67</v>
      </c>
      <c r="AB542" s="102">
        <f t="shared" si="103"/>
        <v>0.17199999999999999</v>
      </c>
      <c r="AC542" s="31">
        <f t="shared" si="101"/>
        <v>4443.6027599999998</v>
      </c>
      <c r="AD542" s="192"/>
      <c r="AE542" s="120"/>
      <c r="AF542" s="120"/>
      <c r="AG542" s="120" t="s">
        <v>77</v>
      </c>
      <c r="AH542" s="120" t="s">
        <v>77</v>
      </c>
      <c r="AI542" s="258" t="s">
        <v>75</v>
      </c>
      <c r="AJ542" s="55" t="s">
        <v>1213</v>
      </c>
      <c r="AK542" s="265" t="s">
        <v>689</v>
      </c>
      <c r="AL542" s="203" t="s">
        <v>1117</v>
      </c>
    </row>
    <row r="543" spans="1:38" s="121" customFormat="1">
      <c r="A543" s="25" t="s">
        <v>1251</v>
      </c>
      <c r="B543" s="26" t="s">
        <v>1259</v>
      </c>
      <c r="C543" s="29">
        <v>1</v>
      </c>
      <c r="D543" s="35" t="s">
        <v>75</v>
      </c>
      <c r="E543" s="33" t="s">
        <v>77</v>
      </c>
      <c r="F543" s="35">
        <v>10925</v>
      </c>
      <c r="G543" s="102">
        <f t="shared" si="104"/>
        <v>0.17199999999999999</v>
      </c>
      <c r="H543" s="31">
        <f t="shared" si="105"/>
        <v>9045.9</v>
      </c>
      <c r="I543" s="192"/>
      <c r="J543" s="120"/>
      <c r="K543" s="120"/>
      <c r="L543" s="120" t="s">
        <v>77</v>
      </c>
      <c r="M543" s="120" t="s">
        <v>77</v>
      </c>
      <c r="N543" s="258" t="s">
        <v>75</v>
      </c>
      <c r="O543" s="55" t="s">
        <v>1213</v>
      </c>
      <c r="P543" s="230" t="s">
        <v>689</v>
      </c>
      <c r="Q543" s="205" t="s">
        <v>690</v>
      </c>
      <c r="R543" s="1" t="str">
        <f t="shared" si="99"/>
        <v/>
      </c>
      <c r="S543" s="1" t="str">
        <f t="shared" si="99"/>
        <v/>
      </c>
      <c r="T543" s="1" t="str">
        <f t="shared" si="99"/>
        <v/>
      </c>
      <c r="U543" s="1" t="str">
        <f t="shared" si="99"/>
        <v/>
      </c>
      <c r="V543" s="25" t="s">
        <v>1251</v>
      </c>
      <c r="W543" s="26" t="s">
        <v>1259</v>
      </c>
      <c r="X543" s="29">
        <v>1</v>
      </c>
      <c r="Y543" s="35" t="s">
        <v>75</v>
      </c>
      <c r="Z543" s="33" t="s">
        <v>77</v>
      </c>
      <c r="AA543" s="35">
        <v>11116.67</v>
      </c>
      <c r="AB543" s="102">
        <f t="shared" si="103"/>
        <v>0.17199999999999999</v>
      </c>
      <c r="AC543" s="31">
        <f t="shared" si="101"/>
        <v>9204.6027599999998</v>
      </c>
      <c r="AD543" s="192"/>
      <c r="AE543" s="120"/>
      <c r="AF543" s="120"/>
      <c r="AG543" s="120" t="s">
        <v>77</v>
      </c>
      <c r="AH543" s="120" t="s">
        <v>77</v>
      </c>
      <c r="AI543" s="258" t="s">
        <v>75</v>
      </c>
      <c r="AJ543" s="55" t="s">
        <v>1213</v>
      </c>
      <c r="AK543" s="265" t="s">
        <v>689</v>
      </c>
      <c r="AL543" s="203" t="s">
        <v>1117</v>
      </c>
    </row>
    <row r="544" spans="1:38">
      <c r="A544" s="25" t="s">
        <v>1260</v>
      </c>
      <c r="B544" s="26" t="s">
        <v>1261</v>
      </c>
      <c r="C544" s="29">
        <v>1</v>
      </c>
      <c r="D544" s="35" t="s">
        <v>75</v>
      </c>
      <c r="E544" s="33" t="s">
        <v>77</v>
      </c>
      <c r="F544" s="35">
        <v>1916.67</v>
      </c>
      <c r="G544" s="102">
        <f t="shared" si="102"/>
        <v>0.17199999999999999</v>
      </c>
      <c r="H544" s="31">
        <f t="shared" si="100"/>
        <v>1587.0027600000001</v>
      </c>
      <c r="I544" s="185"/>
      <c r="J544" s="17"/>
      <c r="K544" s="17"/>
      <c r="L544" s="17" t="s">
        <v>77</v>
      </c>
      <c r="M544" s="17" t="s">
        <v>77</v>
      </c>
      <c r="N544" s="258" t="s">
        <v>75</v>
      </c>
      <c r="O544" s="55" t="s">
        <v>1213</v>
      </c>
      <c r="P544" s="230" t="s">
        <v>689</v>
      </c>
      <c r="Q544" s="205" t="s">
        <v>690</v>
      </c>
      <c r="R544" s="1" t="str">
        <f t="shared" si="99"/>
        <v/>
      </c>
      <c r="S544" s="1" t="str">
        <f t="shared" si="99"/>
        <v/>
      </c>
      <c r="T544" s="1" t="str">
        <f t="shared" si="99"/>
        <v/>
      </c>
      <c r="U544" s="1" t="str">
        <f t="shared" si="99"/>
        <v/>
      </c>
      <c r="V544" s="25" t="s">
        <v>1260</v>
      </c>
      <c r="W544" s="26" t="s">
        <v>1261</v>
      </c>
      <c r="X544" s="29">
        <v>1</v>
      </c>
      <c r="Y544" s="35" t="s">
        <v>75</v>
      </c>
      <c r="Z544" s="33" t="s">
        <v>77</v>
      </c>
      <c r="AA544" s="35">
        <v>1916.67</v>
      </c>
      <c r="AB544" s="102">
        <f t="shared" si="103"/>
        <v>0.17199999999999999</v>
      </c>
      <c r="AC544" s="31">
        <f t="shared" si="101"/>
        <v>1587.0027600000001</v>
      </c>
      <c r="AD544" s="185"/>
      <c r="AE544" s="17"/>
      <c r="AF544" s="17"/>
      <c r="AG544" s="17" t="s">
        <v>77</v>
      </c>
      <c r="AH544" s="17" t="s">
        <v>77</v>
      </c>
      <c r="AI544" s="258" t="s">
        <v>75</v>
      </c>
      <c r="AJ544" s="55" t="s">
        <v>1213</v>
      </c>
      <c r="AK544" s="230" t="s">
        <v>689</v>
      </c>
      <c r="AL544" s="205" t="s">
        <v>1117</v>
      </c>
    </row>
    <row r="545" spans="1:38">
      <c r="A545" s="25" t="s">
        <v>1262</v>
      </c>
      <c r="B545" s="26" t="s">
        <v>1263</v>
      </c>
      <c r="C545" s="29">
        <v>1</v>
      </c>
      <c r="D545" s="35" t="s">
        <v>75</v>
      </c>
      <c r="E545" s="33" t="s">
        <v>77</v>
      </c>
      <c r="F545" s="35">
        <v>41.67</v>
      </c>
      <c r="G545" s="102">
        <f t="shared" si="102"/>
        <v>0.17199999999999999</v>
      </c>
      <c r="H545" s="31">
        <f t="shared" si="100"/>
        <v>34.502760000000002</v>
      </c>
      <c r="I545" s="185"/>
      <c r="J545" s="17"/>
      <c r="K545" s="17"/>
      <c r="L545" s="17" t="s">
        <v>77</v>
      </c>
      <c r="M545" s="17" t="s">
        <v>77</v>
      </c>
      <c r="N545" s="258" t="s">
        <v>75</v>
      </c>
      <c r="O545" s="55" t="s">
        <v>1213</v>
      </c>
      <c r="P545" s="230" t="s">
        <v>689</v>
      </c>
      <c r="Q545" s="205" t="s">
        <v>690</v>
      </c>
      <c r="R545" s="1" t="str">
        <f t="shared" si="99"/>
        <v/>
      </c>
      <c r="S545" s="1" t="str">
        <f t="shared" si="99"/>
        <v/>
      </c>
      <c r="T545" s="1" t="str">
        <f t="shared" si="99"/>
        <v/>
      </c>
      <c r="U545" s="1" t="str">
        <f t="shared" si="99"/>
        <v/>
      </c>
      <c r="V545" s="25" t="s">
        <v>1262</v>
      </c>
      <c r="W545" s="26" t="s">
        <v>1263</v>
      </c>
      <c r="X545" s="29">
        <v>1</v>
      </c>
      <c r="Y545" s="35" t="s">
        <v>75</v>
      </c>
      <c r="Z545" s="33" t="s">
        <v>77</v>
      </c>
      <c r="AA545" s="35">
        <v>41.67</v>
      </c>
      <c r="AB545" s="102">
        <f t="shared" si="103"/>
        <v>0.17199999999999999</v>
      </c>
      <c r="AC545" s="31">
        <f t="shared" si="101"/>
        <v>34.502760000000002</v>
      </c>
      <c r="AD545" s="185"/>
      <c r="AE545" s="17"/>
      <c r="AF545" s="17"/>
      <c r="AG545" s="17" t="s">
        <v>77</v>
      </c>
      <c r="AH545" s="17" t="s">
        <v>77</v>
      </c>
      <c r="AI545" s="258" t="s">
        <v>75</v>
      </c>
      <c r="AJ545" s="55" t="s">
        <v>1213</v>
      </c>
      <c r="AK545" s="230" t="s">
        <v>689</v>
      </c>
      <c r="AL545" s="205" t="s">
        <v>1117</v>
      </c>
    </row>
    <row r="546" spans="1:38">
      <c r="A546" s="25" t="s">
        <v>1264</v>
      </c>
      <c r="B546" s="26" t="s">
        <v>1265</v>
      </c>
      <c r="C546" s="29">
        <v>1</v>
      </c>
      <c r="D546" s="35" t="s">
        <v>75</v>
      </c>
      <c r="E546" s="33" t="s">
        <v>77</v>
      </c>
      <c r="F546" s="35">
        <v>132.5</v>
      </c>
      <c r="G546" s="102">
        <f t="shared" si="102"/>
        <v>0.17199999999999999</v>
      </c>
      <c r="H546" s="31">
        <f t="shared" si="100"/>
        <v>109.71000000000001</v>
      </c>
      <c r="I546" s="185"/>
      <c r="J546" s="17"/>
      <c r="K546" s="17"/>
      <c r="L546" s="17" t="s">
        <v>77</v>
      </c>
      <c r="M546" s="17" t="s">
        <v>77</v>
      </c>
      <c r="N546" s="258" t="s">
        <v>75</v>
      </c>
      <c r="O546" s="55" t="s">
        <v>1213</v>
      </c>
      <c r="P546" s="230" t="s">
        <v>689</v>
      </c>
      <c r="Q546" s="205" t="s">
        <v>690</v>
      </c>
      <c r="R546" s="1" t="str">
        <f t="shared" si="99"/>
        <v/>
      </c>
      <c r="S546" s="1" t="str">
        <f t="shared" si="99"/>
        <v/>
      </c>
      <c r="T546" s="1" t="str">
        <f t="shared" si="99"/>
        <v/>
      </c>
      <c r="U546" s="1" t="str">
        <f t="shared" si="99"/>
        <v/>
      </c>
      <c r="V546" s="25" t="s">
        <v>1264</v>
      </c>
      <c r="W546" s="26" t="s">
        <v>1265</v>
      </c>
      <c r="X546" s="29">
        <v>1</v>
      </c>
      <c r="Y546" s="35" t="s">
        <v>75</v>
      </c>
      <c r="Z546" s="33" t="s">
        <v>77</v>
      </c>
      <c r="AA546" s="35">
        <v>132.5</v>
      </c>
      <c r="AB546" s="102">
        <f t="shared" si="103"/>
        <v>0.17199999999999999</v>
      </c>
      <c r="AC546" s="31">
        <f t="shared" si="101"/>
        <v>109.71000000000001</v>
      </c>
      <c r="AD546" s="185"/>
      <c r="AE546" s="17"/>
      <c r="AF546" s="17"/>
      <c r="AG546" s="17" t="s">
        <v>77</v>
      </c>
      <c r="AH546" s="17" t="s">
        <v>77</v>
      </c>
      <c r="AI546" s="258" t="s">
        <v>75</v>
      </c>
      <c r="AJ546" s="55" t="s">
        <v>1213</v>
      </c>
      <c r="AK546" s="230" t="s">
        <v>689</v>
      </c>
      <c r="AL546" s="205" t="s">
        <v>1117</v>
      </c>
    </row>
    <row r="547" spans="1:38">
      <c r="A547" s="25" t="s">
        <v>1266</v>
      </c>
      <c r="B547" s="26" t="s">
        <v>1267</v>
      </c>
      <c r="C547" s="29">
        <v>1</v>
      </c>
      <c r="D547" s="35" t="s">
        <v>75</v>
      </c>
      <c r="E547" s="33" t="s">
        <v>77</v>
      </c>
      <c r="F547" s="35"/>
      <c r="G547" s="22"/>
      <c r="H547" s="31">
        <f t="shared" si="100"/>
        <v>0</v>
      </c>
      <c r="I547" s="185"/>
      <c r="J547" s="17"/>
      <c r="K547" s="17"/>
      <c r="L547" s="17" t="s">
        <v>77</v>
      </c>
      <c r="M547" s="17" t="s">
        <v>77</v>
      </c>
      <c r="N547" s="258" t="s">
        <v>75</v>
      </c>
      <c r="O547" s="55" t="s">
        <v>1213</v>
      </c>
      <c r="P547" s="230" t="s">
        <v>689</v>
      </c>
      <c r="Q547" s="205" t="s">
        <v>690</v>
      </c>
      <c r="R547" s="1" t="str">
        <f t="shared" si="99"/>
        <v/>
      </c>
      <c r="S547" s="1" t="str">
        <f t="shared" si="99"/>
        <v/>
      </c>
      <c r="T547" s="1" t="str">
        <f t="shared" si="99"/>
        <v/>
      </c>
      <c r="U547" s="1" t="str">
        <f t="shared" si="99"/>
        <v/>
      </c>
      <c r="V547" s="25" t="s">
        <v>1266</v>
      </c>
      <c r="W547" s="26" t="s">
        <v>1267</v>
      </c>
      <c r="X547" s="29">
        <v>1</v>
      </c>
      <c r="Y547" s="35" t="s">
        <v>75</v>
      </c>
      <c r="Z547" s="33" t="s">
        <v>77</v>
      </c>
      <c r="AA547" s="35"/>
      <c r="AB547" s="22"/>
      <c r="AC547" s="31">
        <f t="shared" si="101"/>
        <v>0</v>
      </c>
      <c r="AD547" s="185"/>
      <c r="AE547" s="17"/>
      <c r="AF547" s="17"/>
      <c r="AG547" s="17" t="s">
        <v>77</v>
      </c>
      <c r="AH547" s="17" t="s">
        <v>77</v>
      </c>
      <c r="AI547" s="258" t="s">
        <v>75</v>
      </c>
      <c r="AJ547" s="55" t="s">
        <v>1213</v>
      </c>
      <c r="AK547" s="230" t="s">
        <v>689</v>
      </c>
      <c r="AL547" s="205" t="s">
        <v>1117</v>
      </c>
    </row>
    <row r="548" spans="1:38">
      <c r="A548" s="25" t="s">
        <v>1268</v>
      </c>
      <c r="B548" s="26" t="s">
        <v>1269</v>
      </c>
      <c r="C548" s="29">
        <v>1</v>
      </c>
      <c r="D548" s="35" t="s">
        <v>75</v>
      </c>
      <c r="E548" s="33" t="s">
        <v>77</v>
      </c>
      <c r="F548" s="35"/>
      <c r="G548" s="22"/>
      <c r="H548" s="31">
        <f t="shared" si="100"/>
        <v>0</v>
      </c>
      <c r="I548" s="185"/>
      <c r="J548" s="17"/>
      <c r="K548" s="17"/>
      <c r="L548" s="17" t="s">
        <v>77</v>
      </c>
      <c r="M548" s="17" t="s">
        <v>77</v>
      </c>
      <c r="N548" s="258" t="s">
        <v>75</v>
      </c>
      <c r="O548" s="55" t="s">
        <v>1213</v>
      </c>
      <c r="P548" s="230" t="s">
        <v>689</v>
      </c>
      <c r="Q548" s="205" t="s">
        <v>690</v>
      </c>
      <c r="R548" s="1" t="str">
        <f t="shared" si="99"/>
        <v/>
      </c>
      <c r="S548" s="1" t="str">
        <f t="shared" si="99"/>
        <v/>
      </c>
      <c r="T548" s="1" t="str">
        <f t="shared" si="99"/>
        <v/>
      </c>
      <c r="U548" s="1" t="str">
        <f t="shared" si="99"/>
        <v/>
      </c>
      <c r="V548" s="25" t="s">
        <v>1270</v>
      </c>
      <c r="W548" s="26" t="s">
        <v>1269</v>
      </c>
      <c r="X548" s="29">
        <v>1</v>
      </c>
      <c r="Y548" s="35" t="s">
        <v>75</v>
      </c>
      <c r="Z548" s="33" t="s">
        <v>77</v>
      </c>
      <c r="AA548" s="35"/>
      <c r="AB548" s="22"/>
      <c r="AC548" s="31">
        <f t="shared" si="101"/>
        <v>0</v>
      </c>
      <c r="AD548" s="185"/>
      <c r="AE548" s="17"/>
      <c r="AF548" s="17"/>
      <c r="AG548" s="17" t="s">
        <v>77</v>
      </c>
      <c r="AH548" s="17" t="s">
        <v>77</v>
      </c>
      <c r="AI548" s="258" t="s">
        <v>75</v>
      </c>
      <c r="AJ548" s="55" t="s">
        <v>1213</v>
      </c>
      <c r="AK548" s="230" t="s">
        <v>689</v>
      </c>
      <c r="AL548" s="205" t="s">
        <v>1117</v>
      </c>
    </row>
    <row r="549" spans="1:38" s="121" customFormat="1">
      <c r="A549" s="113" t="s">
        <v>1271</v>
      </c>
      <c r="B549" s="273" t="s">
        <v>1272</v>
      </c>
      <c r="C549" s="292">
        <v>1</v>
      </c>
      <c r="D549" s="293" t="s">
        <v>75</v>
      </c>
      <c r="E549" s="300" t="s">
        <v>1271</v>
      </c>
      <c r="F549" s="57">
        <v>2683.33</v>
      </c>
      <c r="G549" s="138">
        <f t="shared" ref="G549:G552" si="106">rv_apple_acc_mac</f>
        <v>0.09</v>
      </c>
      <c r="H549" s="269">
        <f t="shared" si="100"/>
        <v>2441.8303000000001</v>
      </c>
      <c r="I549" s="153"/>
      <c r="J549" s="154"/>
      <c r="K549" s="154"/>
      <c r="L549" s="154"/>
      <c r="M549" s="226">
        <v>0</v>
      </c>
      <c r="N549" s="91" t="s">
        <v>75</v>
      </c>
      <c r="O549" s="55" t="s">
        <v>1106</v>
      </c>
      <c r="P549" s="230" t="s">
        <v>504</v>
      </c>
      <c r="Q549" s="56" t="s">
        <v>1273</v>
      </c>
      <c r="R549" s="1" t="str">
        <f t="shared" si="99"/>
        <v/>
      </c>
      <c r="S549" s="1" t="str">
        <f t="shared" si="99"/>
        <v/>
      </c>
      <c r="T549" s="1" t="str">
        <f t="shared" si="99"/>
        <v/>
      </c>
      <c r="U549" s="1" t="str">
        <f t="shared" si="99"/>
        <v/>
      </c>
      <c r="V549" s="113" t="s">
        <v>1271</v>
      </c>
      <c r="W549" s="273" t="s">
        <v>1272</v>
      </c>
      <c r="X549" s="292">
        <v>1</v>
      </c>
      <c r="Y549" s="293" t="s">
        <v>75</v>
      </c>
      <c r="Z549" s="300" t="s">
        <v>1271</v>
      </c>
      <c r="AA549" s="57">
        <v>2683.33</v>
      </c>
      <c r="AB549" s="138">
        <f t="shared" ref="AB549:AB551" si="107">rv_apple_acc_mac</f>
        <v>0.09</v>
      </c>
      <c r="AC549" s="269">
        <f t="shared" si="101"/>
        <v>2441.8303000000001</v>
      </c>
      <c r="AD549" s="153"/>
      <c r="AE549" s="154"/>
      <c r="AF549" s="154"/>
      <c r="AG549" s="154"/>
      <c r="AH549" s="226">
        <v>0</v>
      </c>
      <c r="AI549" s="91" t="s">
        <v>75</v>
      </c>
      <c r="AJ549" s="55" t="s">
        <v>1106</v>
      </c>
      <c r="AK549" s="56" t="s">
        <v>1274</v>
      </c>
      <c r="AL549" s="56" t="s">
        <v>1275</v>
      </c>
    </row>
    <row r="550" spans="1:38" s="121" customFormat="1">
      <c r="A550" s="113" t="s">
        <v>1276</v>
      </c>
      <c r="B550" s="273" t="s">
        <v>1277</v>
      </c>
      <c r="C550" s="292">
        <v>1</v>
      </c>
      <c r="D550" s="293" t="s">
        <v>75</v>
      </c>
      <c r="E550" s="300" t="s">
        <v>1276</v>
      </c>
      <c r="F550" s="57">
        <v>4791.67</v>
      </c>
      <c r="G550" s="138">
        <f t="shared" si="106"/>
        <v>0.09</v>
      </c>
      <c r="H550" s="269">
        <f t="shared" si="100"/>
        <v>4360.4197000000004</v>
      </c>
      <c r="I550" s="153"/>
      <c r="J550" s="154"/>
      <c r="K550" s="154"/>
      <c r="L550" s="154"/>
      <c r="M550" s="226">
        <v>0</v>
      </c>
      <c r="N550" s="91" t="s">
        <v>75</v>
      </c>
      <c r="O550" s="55" t="s">
        <v>1106</v>
      </c>
      <c r="P550" s="230" t="s">
        <v>504</v>
      </c>
      <c r="Q550" s="56" t="s">
        <v>1273</v>
      </c>
      <c r="R550" s="1" t="str">
        <f t="shared" ref="R550:U581" si="108">+IF($K550&lt;&gt;"",R$2*$K550,"")</f>
        <v/>
      </c>
      <c r="S550" s="1" t="str">
        <f t="shared" si="108"/>
        <v/>
      </c>
      <c r="T550" s="1" t="str">
        <f t="shared" si="108"/>
        <v/>
      </c>
      <c r="U550" s="1" t="str">
        <f t="shared" si="108"/>
        <v/>
      </c>
      <c r="V550" s="113" t="s">
        <v>1276</v>
      </c>
      <c r="W550" s="273" t="s">
        <v>1277</v>
      </c>
      <c r="X550" s="292">
        <v>1</v>
      </c>
      <c r="Y550" s="293" t="s">
        <v>75</v>
      </c>
      <c r="Z550" s="300" t="s">
        <v>1276</v>
      </c>
      <c r="AA550" s="57">
        <v>4791.67</v>
      </c>
      <c r="AB550" s="138">
        <f t="shared" si="107"/>
        <v>0.09</v>
      </c>
      <c r="AC550" s="269">
        <f t="shared" si="101"/>
        <v>4360.4197000000004</v>
      </c>
      <c r="AD550" s="153"/>
      <c r="AE550" s="154"/>
      <c r="AF550" s="154"/>
      <c r="AG550" s="154"/>
      <c r="AH550" s="226">
        <v>0</v>
      </c>
      <c r="AI550" s="91" t="s">
        <v>75</v>
      </c>
      <c r="AJ550" s="55" t="s">
        <v>1106</v>
      </c>
      <c r="AK550" s="56" t="s">
        <v>1274</v>
      </c>
      <c r="AL550" s="56" t="s">
        <v>1275</v>
      </c>
    </row>
    <row r="551" spans="1:38" s="121" customFormat="1">
      <c r="A551" s="113" t="s">
        <v>1278</v>
      </c>
      <c r="B551" s="273" t="s">
        <v>1279</v>
      </c>
      <c r="C551" s="292">
        <v>1</v>
      </c>
      <c r="D551" s="293" t="s">
        <v>75</v>
      </c>
      <c r="E551" s="300" t="s">
        <v>1278</v>
      </c>
      <c r="F551" s="57">
        <v>5750</v>
      </c>
      <c r="G551" s="138">
        <f t="shared" si="106"/>
        <v>0.09</v>
      </c>
      <c r="H551" s="269">
        <f t="shared" si="100"/>
        <v>5232.5</v>
      </c>
      <c r="I551" s="153"/>
      <c r="J551" s="154"/>
      <c r="K551" s="154"/>
      <c r="L551" s="154"/>
      <c r="M551" s="226">
        <v>0</v>
      </c>
      <c r="N551" s="91" t="s">
        <v>75</v>
      </c>
      <c r="O551" s="55" t="s">
        <v>1106</v>
      </c>
      <c r="P551" s="230" t="s">
        <v>504</v>
      </c>
      <c r="Q551" s="56" t="s">
        <v>1273</v>
      </c>
      <c r="R551" s="1" t="str">
        <f t="shared" si="108"/>
        <v/>
      </c>
      <c r="S551" s="1" t="str">
        <f t="shared" si="108"/>
        <v/>
      </c>
      <c r="T551" s="1" t="str">
        <f t="shared" si="108"/>
        <v/>
      </c>
      <c r="U551" s="1" t="str">
        <f t="shared" si="108"/>
        <v/>
      </c>
      <c r="V551" s="113" t="s">
        <v>1278</v>
      </c>
      <c r="W551" s="273" t="s">
        <v>1279</v>
      </c>
      <c r="X551" s="292">
        <v>1</v>
      </c>
      <c r="Y551" s="293" t="s">
        <v>75</v>
      </c>
      <c r="Z551" s="300" t="s">
        <v>1278</v>
      </c>
      <c r="AA551" s="57">
        <v>5750</v>
      </c>
      <c r="AB551" s="138">
        <f t="shared" si="107"/>
        <v>0.09</v>
      </c>
      <c r="AC551" s="269">
        <f t="shared" si="101"/>
        <v>5232.5</v>
      </c>
      <c r="AD551" s="153"/>
      <c r="AE551" s="154"/>
      <c r="AF551" s="154"/>
      <c r="AG551" s="154"/>
      <c r="AH551" s="226">
        <v>0</v>
      </c>
      <c r="AI551" s="91" t="s">
        <v>75</v>
      </c>
      <c r="AJ551" s="55" t="s">
        <v>1106</v>
      </c>
      <c r="AK551" s="56" t="s">
        <v>1274</v>
      </c>
      <c r="AL551" s="56" t="s">
        <v>1275</v>
      </c>
    </row>
    <row r="552" spans="1:38" s="121" customFormat="1">
      <c r="A552" s="25" t="s">
        <v>1280</v>
      </c>
      <c r="B552" s="26" t="s">
        <v>1281</v>
      </c>
      <c r="C552" s="65">
        <v>1</v>
      </c>
      <c r="D552" s="62" t="s">
        <v>75</v>
      </c>
      <c r="E552" s="142" t="s">
        <v>1280</v>
      </c>
      <c r="F552" s="71">
        <v>666.67</v>
      </c>
      <c r="G552" s="22">
        <f t="shared" si="106"/>
        <v>0.09</v>
      </c>
      <c r="H552" s="69">
        <f t="shared" ref="H552" si="109">F552-(F552*G552)</f>
        <v>606.66969999999992</v>
      </c>
      <c r="I552" s="153"/>
      <c r="J552" s="154"/>
      <c r="K552" s="154"/>
      <c r="L552" s="154"/>
      <c r="M552" s="226">
        <v>0</v>
      </c>
      <c r="N552" s="91" t="s">
        <v>75</v>
      </c>
      <c r="O552" s="55" t="s">
        <v>1106</v>
      </c>
      <c r="P552" s="230" t="s">
        <v>504</v>
      </c>
      <c r="Q552" s="56" t="s">
        <v>1273</v>
      </c>
      <c r="R552" s="1" t="str">
        <f t="shared" si="108"/>
        <v/>
      </c>
      <c r="S552" s="1" t="str">
        <f t="shared" si="108"/>
        <v/>
      </c>
      <c r="T552" s="1" t="str">
        <f t="shared" si="108"/>
        <v/>
      </c>
      <c r="U552" s="1" t="str">
        <f t="shared" si="108"/>
        <v/>
      </c>
      <c r="V552" s="113"/>
      <c r="W552" s="453"/>
      <c r="X552" s="292"/>
      <c r="Y552" s="293"/>
      <c r="Z552" s="300"/>
      <c r="AA552" s="57"/>
      <c r="AB552" s="138"/>
      <c r="AC552" s="269"/>
      <c r="AD552" s="153"/>
      <c r="AE552" s="154"/>
      <c r="AF552" s="154"/>
      <c r="AG552" s="154"/>
      <c r="AH552" s="226"/>
      <c r="AI552" s="372"/>
      <c r="AJ552" s="55"/>
      <c r="AK552" s="56"/>
      <c r="AL552" s="56"/>
    </row>
    <row r="553" spans="1:38" s="121" customFormat="1">
      <c r="A553" s="581" t="s">
        <v>1282</v>
      </c>
      <c r="B553" s="94" t="s">
        <v>1283</v>
      </c>
      <c r="C553" s="582">
        <v>1</v>
      </c>
      <c r="D553" s="137" t="s">
        <v>75</v>
      </c>
      <c r="E553" s="137" t="s">
        <v>1282</v>
      </c>
      <c r="F553" s="137">
        <v>1915.23</v>
      </c>
      <c r="G553" s="583">
        <f>rv_ms_eg</f>
        <v>0.17199999999999999</v>
      </c>
      <c r="H553" s="217">
        <f t="shared" si="100"/>
        <v>1585.81044</v>
      </c>
      <c r="I553" s="96" t="s">
        <v>1284</v>
      </c>
      <c r="J553" s="584">
        <f>mst_5pl</f>
        <v>87.999840000000006</v>
      </c>
      <c r="K553" s="122">
        <f>H553+J553</f>
        <v>1673.8102799999999</v>
      </c>
      <c r="L553" s="154"/>
      <c r="M553" s="63">
        <v>0.6</v>
      </c>
      <c r="N553" s="91" t="s">
        <v>75</v>
      </c>
      <c r="O553" s="55" t="s">
        <v>1285</v>
      </c>
      <c r="P553" s="230" t="s">
        <v>689</v>
      </c>
      <c r="Q553" s="230" t="s">
        <v>690</v>
      </c>
      <c r="R553" s="1">
        <f t="shared" si="108"/>
        <v>331.39308981912018</v>
      </c>
      <c r="S553" s="1">
        <f t="shared" si="108"/>
        <v>169.55690801407476</v>
      </c>
      <c r="T553" s="1">
        <f t="shared" si="108"/>
        <v>121.62231749862468</v>
      </c>
      <c r="U553" s="1">
        <f t="shared" si="108"/>
        <v>104.19030906429761</v>
      </c>
      <c r="V553" s="113"/>
      <c r="W553" s="453"/>
      <c r="X553" s="292"/>
      <c r="Y553" s="293"/>
      <c r="Z553" s="300"/>
      <c r="AA553" s="57"/>
      <c r="AB553" s="138"/>
      <c r="AC553" s="269"/>
      <c r="AD553" s="153"/>
      <c r="AE553" s="154"/>
      <c r="AF553" s="154"/>
      <c r="AG553" s="154"/>
      <c r="AH553" s="226"/>
      <c r="AI553" s="372"/>
      <c r="AJ553" s="55"/>
      <c r="AK553" s="56"/>
      <c r="AL553" s="56"/>
    </row>
    <row r="554" spans="1:38" s="174" customFormat="1">
      <c r="A554" s="103" t="s">
        <v>1284</v>
      </c>
      <c r="B554" s="104" t="s">
        <v>1286</v>
      </c>
      <c r="C554" s="105">
        <v>1</v>
      </c>
      <c r="D554" s="106" t="s">
        <v>82</v>
      </c>
      <c r="E554" s="139" t="s">
        <v>1284</v>
      </c>
      <c r="F554" s="108">
        <v>106.28</v>
      </c>
      <c r="G554" s="576">
        <f>rv_ms_eg</f>
        <v>0.17199999999999999</v>
      </c>
      <c r="H554" s="101">
        <f t="shared" si="100"/>
        <v>87.999840000000006</v>
      </c>
      <c r="I554" s="119"/>
      <c r="J554" s="120"/>
      <c r="K554" s="120"/>
      <c r="L554" s="120" t="s">
        <v>77</v>
      </c>
      <c r="M554" s="120" t="s">
        <v>77</v>
      </c>
      <c r="N554" s="91" t="s">
        <v>83</v>
      </c>
      <c r="O554" s="55" t="s">
        <v>84</v>
      </c>
      <c r="P554" s="230" t="s">
        <v>85</v>
      </c>
      <c r="Q554" s="230" t="s">
        <v>692</v>
      </c>
      <c r="R554" s="1" t="str">
        <f t="shared" si="108"/>
        <v/>
      </c>
      <c r="S554" s="1" t="str">
        <f t="shared" si="108"/>
        <v/>
      </c>
      <c r="T554" s="1" t="str">
        <f t="shared" si="108"/>
        <v/>
      </c>
      <c r="U554" s="1" t="str">
        <f t="shared" si="108"/>
        <v/>
      </c>
      <c r="V554" s="103"/>
      <c r="W554" s="455"/>
      <c r="X554" s="139"/>
      <c r="Y554" s="106"/>
      <c r="Z554" s="139"/>
      <c r="AA554" s="108"/>
      <c r="AB554" s="180"/>
      <c r="AC554" s="100"/>
      <c r="AD554" s="192"/>
      <c r="AE554" s="173"/>
      <c r="AF554" s="173"/>
      <c r="AG554" s="120"/>
      <c r="AH554" s="120"/>
      <c r="AI554" s="258"/>
      <c r="AJ554" s="55"/>
      <c r="AK554" s="265"/>
      <c r="AL554" s="203"/>
    </row>
    <row r="555" spans="1:38" s="121" customFormat="1">
      <c r="A555" s="577" t="s">
        <v>1287</v>
      </c>
      <c r="B555" s="26" t="s">
        <v>1288</v>
      </c>
      <c r="C555" s="65">
        <v>1</v>
      </c>
      <c r="D555" s="62" t="s">
        <v>75</v>
      </c>
      <c r="E555" s="142" t="s">
        <v>77</v>
      </c>
      <c r="F555" s="71">
        <v>191.67</v>
      </c>
      <c r="G555" s="102">
        <f t="shared" ref="G555:G563" si="110">rv_ms_eg_cto</f>
        <v>0.17199999999999999</v>
      </c>
      <c r="H555" s="69">
        <f t="shared" si="100"/>
        <v>158.70275999999998</v>
      </c>
      <c r="I555" s="153"/>
      <c r="J555" s="154"/>
      <c r="K555" s="154"/>
      <c r="L555" s="154"/>
      <c r="M555" s="226"/>
      <c r="N555" s="91" t="s">
        <v>75</v>
      </c>
      <c r="O555" s="55" t="s">
        <v>1285</v>
      </c>
      <c r="P555" s="230" t="s">
        <v>689</v>
      </c>
      <c r="Q555" s="230" t="s">
        <v>690</v>
      </c>
      <c r="R555" s="1" t="str">
        <f t="shared" si="108"/>
        <v/>
      </c>
      <c r="S555" s="1" t="str">
        <f t="shared" si="108"/>
        <v/>
      </c>
      <c r="T555" s="1" t="str">
        <f t="shared" si="108"/>
        <v/>
      </c>
      <c r="U555" s="1" t="str">
        <f t="shared" si="108"/>
        <v/>
      </c>
      <c r="V555" s="113"/>
      <c r="W555" s="453"/>
      <c r="X555" s="292"/>
      <c r="Y555" s="293"/>
      <c r="Z555" s="300"/>
      <c r="AA555" s="57"/>
      <c r="AB555" s="138"/>
      <c r="AC555" s="269"/>
      <c r="AD555" s="153"/>
      <c r="AE555" s="154"/>
      <c r="AF555" s="154"/>
      <c r="AG555" s="154"/>
      <c r="AH555" s="226"/>
      <c r="AI555" s="372"/>
      <c r="AJ555" s="55"/>
      <c r="AK555" s="56"/>
      <c r="AL555" s="56"/>
    </row>
    <row r="556" spans="1:38" s="121" customFormat="1">
      <c r="A556" s="577" t="s">
        <v>1289</v>
      </c>
      <c r="B556" s="26" t="s">
        <v>1290</v>
      </c>
      <c r="C556" s="65">
        <v>1</v>
      </c>
      <c r="D556" s="62" t="s">
        <v>75</v>
      </c>
      <c r="E556" s="142" t="s">
        <v>77</v>
      </c>
      <c r="F556" s="71">
        <v>1725</v>
      </c>
      <c r="G556" s="102">
        <f t="shared" si="110"/>
        <v>0.17199999999999999</v>
      </c>
      <c r="H556" s="69">
        <f t="shared" si="100"/>
        <v>1428.3</v>
      </c>
      <c r="I556" s="153"/>
      <c r="J556" s="154"/>
      <c r="K556" s="154"/>
      <c r="L556" s="154"/>
      <c r="M556" s="226"/>
      <c r="N556" s="91" t="s">
        <v>75</v>
      </c>
      <c r="O556" s="55" t="s">
        <v>1285</v>
      </c>
      <c r="P556" s="230" t="s">
        <v>689</v>
      </c>
      <c r="Q556" s="230" t="s">
        <v>690</v>
      </c>
      <c r="R556" s="1" t="str">
        <f t="shared" si="108"/>
        <v/>
      </c>
      <c r="S556" s="1" t="str">
        <f t="shared" si="108"/>
        <v/>
      </c>
      <c r="T556" s="1" t="str">
        <f t="shared" si="108"/>
        <v/>
      </c>
      <c r="U556" s="1" t="str">
        <f t="shared" si="108"/>
        <v/>
      </c>
      <c r="V556" s="113"/>
      <c r="W556" s="453"/>
      <c r="X556" s="292"/>
      <c r="Y556" s="293"/>
      <c r="Z556" s="300"/>
      <c r="AA556" s="57"/>
      <c r="AB556" s="138"/>
      <c r="AC556" s="269"/>
      <c r="AD556" s="153"/>
      <c r="AE556" s="154"/>
      <c r="AF556" s="154"/>
      <c r="AG556" s="154"/>
      <c r="AH556" s="226"/>
      <c r="AI556" s="372"/>
      <c r="AJ556" s="55"/>
      <c r="AK556" s="56"/>
      <c r="AL556" s="56"/>
    </row>
    <row r="557" spans="1:38" s="121" customFormat="1">
      <c r="A557" s="577" t="s">
        <v>1291</v>
      </c>
      <c r="B557" s="26" t="s">
        <v>1292</v>
      </c>
      <c r="C557" s="65">
        <v>1</v>
      </c>
      <c r="D557" s="62" t="s">
        <v>75</v>
      </c>
      <c r="E557" s="142" t="s">
        <v>77</v>
      </c>
      <c r="F557" s="71">
        <v>2683.33</v>
      </c>
      <c r="G557" s="102">
        <f t="shared" si="110"/>
        <v>0.17199999999999999</v>
      </c>
      <c r="H557" s="69">
        <f t="shared" si="100"/>
        <v>2221.7972399999999</v>
      </c>
      <c r="I557" s="153"/>
      <c r="J557" s="154"/>
      <c r="K557" s="154"/>
      <c r="L557" s="154"/>
      <c r="M557" s="226"/>
      <c r="N557" s="91" t="s">
        <v>75</v>
      </c>
      <c r="O557" s="55" t="s">
        <v>1285</v>
      </c>
      <c r="P557" s="230" t="s">
        <v>689</v>
      </c>
      <c r="Q557" s="230" t="s">
        <v>690</v>
      </c>
      <c r="R557" s="1" t="str">
        <f t="shared" si="108"/>
        <v/>
      </c>
      <c r="S557" s="1" t="str">
        <f t="shared" si="108"/>
        <v/>
      </c>
      <c r="T557" s="1" t="str">
        <f t="shared" si="108"/>
        <v/>
      </c>
      <c r="U557" s="1" t="str">
        <f t="shared" si="108"/>
        <v/>
      </c>
      <c r="V557" s="113"/>
      <c r="W557" s="453"/>
      <c r="X557" s="292"/>
      <c r="Y557" s="293"/>
      <c r="Z557" s="300"/>
      <c r="AA557" s="57"/>
      <c r="AB557" s="138"/>
      <c r="AC557" s="269"/>
      <c r="AD557" s="153"/>
      <c r="AE557" s="154"/>
      <c r="AF557" s="154"/>
      <c r="AG557" s="154"/>
      <c r="AH557" s="226"/>
      <c r="AI557" s="372"/>
      <c r="AJ557" s="55"/>
      <c r="AK557" s="56"/>
      <c r="AL557" s="56"/>
    </row>
    <row r="558" spans="1:38" s="121" customFormat="1">
      <c r="A558" s="577" t="s">
        <v>1293</v>
      </c>
      <c r="B558" s="26" t="s">
        <v>1294</v>
      </c>
      <c r="C558" s="292">
        <v>1</v>
      </c>
      <c r="D558" s="62" t="s">
        <v>75</v>
      </c>
      <c r="E558" s="142" t="s">
        <v>77</v>
      </c>
      <c r="F558" s="71">
        <v>383.33</v>
      </c>
      <c r="G558" s="102">
        <f t="shared" si="110"/>
        <v>0.17199999999999999</v>
      </c>
      <c r="H558" s="69">
        <f t="shared" si="100"/>
        <v>317.39724000000001</v>
      </c>
      <c r="I558" s="153"/>
      <c r="J558" s="154"/>
      <c r="K558" s="154"/>
      <c r="L558" s="154"/>
      <c r="M558" s="226"/>
      <c r="N558" s="91" t="s">
        <v>75</v>
      </c>
      <c r="O558" s="55" t="s">
        <v>1285</v>
      </c>
      <c r="P558" s="230" t="s">
        <v>689</v>
      </c>
      <c r="Q558" s="230" t="s">
        <v>690</v>
      </c>
      <c r="R558" s="1" t="str">
        <f t="shared" si="108"/>
        <v/>
      </c>
      <c r="S558" s="1" t="str">
        <f t="shared" si="108"/>
        <v/>
      </c>
      <c r="T558" s="1" t="str">
        <f t="shared" si="108"/>
        <v/>
      </c>
      <c r="U558" s="1" t="str">
        <f t="shared" si="108"/>
        <v/>
      </c>
      <c r="V558" s="113"/>
      <c r="W558" s="453"/>
      <c r="X558" s="292"/>
      <c r="Y558" s="293"/>
      <c r="Z558" s="300"/>
      <c r="AA558" s="57"/>
      <c r="AB558" s="138"/>
      <c r="AC558" s="269"/>
      <c r="AD558" s="153"/>
      <c r="AE558" s="154"/>
      <c r="AF558" s="154"/>
      <c r="AG558" s="154"/>
      <c r="AH558" s="226"/>
      <c r="AI558" s="372"/>
      <c r="AJ558" s="55"/>
      <c r="AK558" s="56"/>
      <c r="AL558" s="56"/>
    </row>
    <row r="559" spans="1:38" s="121" customFormat="1">
      <c r="A559" s="577" t="s">
        <v>1295</v>
      </c>
      <c r="B559" s="26" t="s">
        <v>1296</v>
      </c>
      <c r="C559" s="292">
        <v>1</v>
      </c>
      <c r="D559" s="62" t="s">
        <v>75</v>
      </c>
      <c r="E559" s="142" t="s">
        <v>77</v>
      </c>
      <c r="F559" s="57">
        <v>766.67</v>
      </c>
      <c r="G559" s="102">
        <f t="shared" si="110"/>
        <v>0.17199999999999999</v>
      </c>
      <c r="H559" s="69">
        <f t="shared" si="100"/>
        <v>634.80276000000003</v>
      </c>
      <c r="I559" s="153"/>
      <c r="J559" s="154"/>
      <c r="K559" s="154"/>
      <c r="L559" s="154"/>
      <c r="M559" s="226"/>
      <c r="N559" s="91" t="s">
        <v>75</v>
      </c>
      <c r="O559" s="55" t="s">
        <v>1285</v>
      </c>
      <c r="P559" s="230" t="s">
        <v>689</v>
      </c>
      <c r="Q559" s="230" t="s">
        <v>690</v>
      </c>
      <c r="R559" s="1" t="str">
        <f t="shared" si="108"/>
        <v/>
      </c>
      <c r="S559" s="1" t="str">
        <f t="shared" si="108"/>
        <v/>
      </c>
      <c r="T559" s="1" t="str">
        <f t="shared" si="108"/>
        <v/>
      </c>
      <c r="U559" s="1" t="str">
        <f t="shared" si="108"/>
        <v/>
      </c>
      <c r="V559" s="113"/>
      <c r="W559" s="453"/>
      <c r="X559" s="292"/>
      <c r="Y559" s="293"/>
      <c r="Z559" s="300"/>
      <c r="AA559" s="57"/>
      <c r="AB559" s="138"/>
      <c r="AC559" s="269"/>
      <c r="AD559" s="153"/>
      <c r="AE559" s="154"/>
      <c r="AF559" s="154"/>
      <c r="AG559" s="154"/>
      <c r="AH559" s="226"/>
      <c r="AI559" s="372"/>
      <c r="AJ559" s="55"/>
      <c r="AK559" s="56"/>
      <c r="AL559" s="56"/>
    </row>
    <row r="560" spans="1:38" s="121" customFormat="1">
      <c r="A560" s="577" t="s">
        <v>1297</v>
      </c>
      <c r="B560" s="26" t="s">
        <v>1298</v>
      </c>
      <c r="C560" s="292">
        <v>1</v>
      </c>
      <c r="D560" s="62" t="s">
        <v>75</v>
      </c>
      <c r="E560" s="142" t="s">
        <v>77</v>
      </c>
      <c r="F560" s="57">
        <v>191.67</v>
      </c>
      <c r="G560" s="102">
        <f t="shared" si="110"/>
        <v>0.17199999999999999</v>
      </c>
      <c r="H560" s="69">
        <f t="shared" si="100"/>
        <v>158.70275999999998</v>
      </c>
      <c r="I560" s="153"/>
      <c r="J560" s="154"/>
      <c r="K560" s="154"/>
      <c r="L560" s="154"/>
      <c r="M560" s="226"/>
      <c r="N560" s="91" t="s">
        <v>75</v>
      </c>
      <c r="O560" s="55" t="s">
        <v>1285</v>
      </c>
      <c r="P560" s="230" t="s">
        <v>689</v>
      </c>
      <c r="Q560" s="230" t="s">
        <v>690</v>
      </c>
      <c r="R560" s="1" t="str">
        <f t="shared" si="108"/>
        <v/>
      </c>
      <c r="S560" s="1" t="str">
        <f t="shared" si="108"/>
        <v/>
      </c>
      <c r="T560" s="1" t="str">
        <f t="shared" si="108"/>
        <v/>
      </c>
      <c r="U560" s="1" t="str">
        <f t="shared" si="108"/>
        <v/>
      </c>
      <c r="V560" s="113"/>
      <c r="W560" s="453"/>
      <c r="X560" s="292"/>
      <c r="Y560" s="293"/>
      <c r="Z560" s="300"/>
      <c r="AA560" s="57"/>
      <c r="AB560" s="138"/>
      <c r="AC560" s="269"/>
      <c r="AD560" s="153"/>
      <c r="AE560" s="154"/>
      <c r="AF560" s="154"/>
      <c r="AG560" s="154"/>
      <c r="AH560" s="226"/>
      <c r="AI560" s="372"/>
      <c r="AJ560" s="55"/>
      <c r="AK560" s="56"/>
      <c r="AL560" s="56"/>
    </row>
    <row r="561" spans="1:38" s="121" customFormat="1">
      <c r="A561" s="577" t="s">
        <v>1299</v>
      </c>
      <c r="B561" s="26" t="s">
        <v>1300</v>
      </c>
      <c r="C561" s="292">
        <v>1</v>
      </c>
      <c r="D561" s="62" t="s">
        <v>75</v>
      </c>
      <c r="E561" s="142" t="s">
        <v>77</v>
      </c>
      <c r="F561" s="57">
        <v>575</v>
      </c>
      <c r="G561" s="102">
        <f t="shared" si="110"/>
        <v>0.17199999999999999</v>
      </c>
      <c r="H561" s="69">
        <f t="shared" si="100"/>
        <v>476.1</v>
      </c>
      <c r="I561" s="153"/>
      <c r="J561" s="154"/>
      <c r="K561" s="154"/>
      <c r="L561" s="154"/>
      <c r="M561" s="226"/>
      <c r="N561" s="91" t="s">
        <v>75</v>
      </c>
      <c r="O561" s="55" t="s">
        <v>1285</v>
      </c>
      <c r="P561" s="230" t="s">
        <v>689</v>
      </c>
      <c r="Q561" s="230" t="s">
        <v>690</v>
      </c>
      <c r="R561" s="1" t="str">
        <f t="shared" si="108"/>
        <v/>
      </c>
      <c r="S561" s="1" t="str">
        <f t="shared" si="108"/>
        <v/>
      </c>
      <c r="T561" s="1" t="str">
        <f t="shared" si="108"/>
        <v/>
      </c>
      <c r="U561" s="1" t="str">
        <f t="shared" si="108"/>
        <v/>
      </c>
      <c r="V561" s="113"/>
      <c r="W561" s="453"/>
      <c r="X561" s="292"/>
      <c r="Y561" s="293"/>
      <c r="Z561" s="300"/>
      <c r="AA561" s="57"/>
      <c r="AB561" s="138"/>
      <c r="AC561" s="269"/>
      <c r="AD561" s="153"/>
      <c r="AE561" s="154"/>
      <c r="AF561" s="154"/>
      <c r="AG561" s="154"/>
      <c r="AH561" s="226"/>
      <c r="AI561" s="372"/>
      <c r="AJ561" s="55"/>
      <c r="AK561" s="56"/>
      <c r="AL561" s="56"/>
    </row>
    <row r="562" spans="1:38" s="121" customFormat="1">
      <c r="A562" s="577" t="s">
        <v>1301</v>
      </c>
      <c r="B562" s="26" t="s">
        <v>1302</v>
      </c>
      <c r="C562" s="292">
        <v>1</v>
      </c>
      <c r="D562" s="62" t="s">
        <v>75</v>
      </c>
      <c r="E562" s="142" t="s">
        <v>77</v>
      </c>
      <c r="F562" s="57">
        <v>1150</v>
      </c>
      <c r="G562" s="102">
        <f t="shared" si="110"/>
        <v>0.17199999999999999</v>
      </c>
      <c r="H562" s="69">
        <f t="shared" si="100"/>
        <v>952.2</v>
      </c>
      <c r="I562" s="153"/>
      <c r="J562" s="154"/>
      <c r="K562" s="154"/>
      <c r="L562" s="154"/>
      <c r="M562" s="226"/>
      <c r="N562" s="91" t="s">
        <v>75</v>
      </c>
      <c r="O562" s="55" t="s">
        <v>1285</v>
      </c>
      <c r="P562" s="230" t="s">
        <v>689</v>
      </c>
      <c r="Q562" s="230" t="s">
        <v>690</v>
      </c>
      <c r="R562" s="1" t="str">
        <f t="shared" si="108"/>
        <v/>
      </c>
      <c r="S562" s="1" t="str">
        <f t="shared" si="108"/>
        <v/>
      </c>
      <c r="T562" s="1" t="str">
        <f t="shared" si="108"/>
        <v/>
      </c>
      <c r="U562" s="1" t="str">
        <f t="shared" si="108"/>
        <v/>
      </c>
      <c r="V562" s="113"/>
      <c r="W562" s="453"/>
      <c r="X562" s="292"/>
      <c r="Y562" s="293"/>
      <c r="Z562" s="300"/>
      <c r="AA562" s="57"/>
      <c r="AB562" s="138"/>
      <c r="AC562" s="269"/>
      <c r="AD562" s="153"/>
      <c r="AE562" s="154"/>
      <c r="AF562" s="154"/>
      <c r="AG562" s="154"/>
      <c r="AH562" s="226"/>
      <c r="AI562" s="372"/>
      <c r="AJ562" s="55"/>
      <c r="AK562" s="56"/>
      <c r="AL562" s="56"/>
    </row>
    <row r="563" spans="1:38" s="121" customFormat="1">
      <c r="A563" s="577" t="s">
        <v>1303</v>
      </c>
      <c r="B563" s="26" t="s">
        <v>1304</v>
      </c>
      <c r="C563" s="292">
        <v>1</v>
      </c>
      <c r="D563" s="62" t="s">
        <v>75</v>
      </c>
      <c r="E563" s="142" t="s">
        <v>77</v>
      </c>
      <c r="F563" s="57">
        <v>2300</v>
      </c>
      <c r="G563" s="102">
        <f t="shared" si="110"/>
        <v>0.17199999999999999</v>
      </c>
      <c r="H563" s="69">
        <f t="shared" si="100"/>
        <v>1904.4</v>
      </c>
      <c r="I563" s="153"/>
      <c r="J563" s="154"/>
      <c r="K563" s="154"/>
      <c r="L563" s="154"/>
      <c r="M563" s="226"/>
      <c r="N563" s="91" t="s">
        <v>75</v>
      </c>
      <c r="O563" s="55" t="s">
        <v>1285</v>
      </c>
      <c r="P563" s="230" t="s">
        <v>689</v>
      </c>
      <c r="Q563" s="230" t="s">
        <v>690</v>
      </c>
      <c r="R563" s="1" t="str">
        <f t="shared" si="108"/>
        <v/>
      </c>
      <c r="S563" s="1" t="str">
        <f t="shared" si="108"/>
        <v/>
      </c>
      <c r="T563" s="1" t="str">
        <f t="shared" si="108"/>
        <v/>
      </c>
      <c r="U563" s="1" t="str">
        <f t="shared" si="108"/>
        <v/>
      </c>
      <c r="V563" s="113"/>
      <c r="W563" s="453"/>
      <c r="X563" s="292"/>
      <c r="Y563" s="293"/>
      <c r="Z563" s="300"/>
      <c r="AA563" s="57"/>
      <c r="AB563" s="138"/>
      <c r="AC563" s="269"/>
      <c r="AD563" s="153"/>
      <c r="AE563" s="154"/>
      <c r="AF563" s="154"/>
      <c r="AG563" s="154"/>
      <c r="AH563" s="226"/>
      <c r="AI563" s="372"/>
      <c r="AJ563" s="55"/>
      <c r="AK563" s="56"/>
      <c r="AL563" s="56"/>
    </row>
    <row r="564" spans="1:38" s="121" customFormat="1">
      <c r="A564" s="581" t="s">
        <v>1305</v>
      </c>
      <c r="B564" s="285" t="s">
        <v>1306</v>
      </c>
      <c r="C564" s="585">
        <v>1</v>
      </c>
      <c r="D564" s="586" t="s">
        <v>75</v>
      </c>
      <c r="E564" s="111" t="s">
        <v>1305</v>
      </c>
      <c r="F564" s="584">
        <v>3831.9</v>
      </c>
      <c r="G564" s="141">
        <f>rv_ms_hg</f>
        <v>0.17199999999999999</v>
      </c>
      <c r="H564" s="215">
        <f t="shared" si="100"/>
        <v>3172.8132000000001</v>
      </c>
      <c r="I564" s="96" t="s">
        <v>1284</v>
      </c>
      <c r="J564" s="584">
        <f>mst_5pl</f>
        <v>87.999840000000006</v>
      </c>
      <c r="K564" s="122">
        <f>H564+J564</f>
        <v>3260.81304</v>
      </c>
      <c r="L564" s="154"/>
      <c r="M564" s="63">
        <v>0.6</v>
      </c>
      <c r="N564" s="91" t="s">
        <v>75</v>
      </c>
      <c r="O564" s="55" t="s">
        <v>1307</v>
      </c>
      <c r="P564" s="230" t="s">
        <v>689</v>
      </c>
      <c r="Q564" s="230" t="s">
        <v>690</v>
      </c>
      <c r="R564" s="1">
        <f t="shared" si="108"/>
        <v>645.59939770956498</v>
      </c>
      <c r="S564" s="1">
        <f t="shared" si="108"/>
        <v>330.32021805623964</v>
      </c>
      <c r="T564" s="1">
        <f t="shared" si="108"/>
        <v>236.93703139075927</v>
      </c>
      <c r="U564" s="1">
        <f t="shared" si="108"/>
        <v>202.97707721002399</v>
      </c>
      <c r="V564" s="113"/>
      <c r="W564" s="453"/>
      <c r="X564" s="292"/>
      <c r="Y564" s="293"/>
      <c r="Z564" s="300"/>
      <c r="AA564" s="57"/>
      <c r="AB564" s="138"/>
      <c r="AC564" s="269"/>
      <c r="AD564" s="153"/>
      <c r="AE564" s="154"/>
      <c r="AF564" s="154"/>
      <c r="AG564" s="154"/>
      <c r="AH564" s="226"/>
      <c r="AI564" s="372"/>
      <c r="AJ564" s="55"/>
      <c r="AK564" s="56"/>
      <c r="AL564" s="56"/>
    </row>
    <row r="565" spans="1:38" s="121" customFormat="1">
      <c r="A565" s="578" t="s">
        <v>1308</v>
      </c>
      <c r="B565" s="579" t="s">
        <v>1309</v>
      </c>
      <c r="C565" s="292">
        <v>1</v>
      </c>
      <c r="D565" s="62" t="s">
        <v>75</v>
      </c>
      <c r="E565" s="142"/>
      <c r="F565" s="57">
        <v>953.33</v>
      </c>
      <c r="G565" s="102">
        <f>rv_ms_hg_cto</f>
        <v>0.17199999999999999</v>
      </c>
      <c r="H565" s="69">
        <f t="shared" si="100"/>
        <v>789.35724000000005</v>
      </c>
      <c r="I565" s="153"/>
      <c r="J565" s="154"/>
      <c r="K565" s="154"/>
      <c r="L565" s="154"/>
      <c r="M565" s="226"/>
      <c r="N565" s="91" t="s">
        <v>75</v>
      </c>
      <c r="O565" s="55" t="s">
        <v>1307</v>
      </c>
      <c r="P565" s="230" t="s">
        <v>689</v>
      </c>
      <c r="Q565" s="205" t="s">
        <v>690</v>
      </c>
      <c r="R565" s="1" t="str">
        <f t="shared" si="108"/>
        <v/>
      </c>
      <c r="S565" s="1" t="str">
        <f t="shared" si="108"/>
        <v/>
      </c>
      <c r="T565" s="1" t="str">
        <f t="shared" si="108"/>
        <v/>
      </c>
      <c r="U565" s="1" t="str">
        <f t="shared" si="108"/>
        <v/>
      </c>
      <c r="V565" s="113"/>
      <c r="W565" s="453"/>
      <c r="X565" s="292"/>
      <c r="Y565" s="293"/>
      <c r="Z565" s="300"/>
      <c r="AA565" s="57"/>
      <c r="AB565" s="138"/>
      <c r="AC565" s="269"/>
      <c r="AD565" s="153"/>
      <c r="AE565" s="154"/>
      <c r="AF565" s="154"/>
      <c r="AG565" s="154"/>
      <c r="AH565" s="226"/>
      <c r="AI565" s="372"/>
      <c r="AJ565" s="55"/>
      <c r="AK565" s="56"/>
      <c r="AL565" s="56"/>
    </row>
    <row r="566" spans="1:38" s="121" customFormat="1">
      <c r="A566" s="578" t="s">
        <v>1310</v>
      </c>
      <c r="B566" s="579" t="s">
        <v>1311</v>
      </c>
      <c r="C566" s="292">
        <v>1</v>
      </c>
      <c r="D566" s="62" t="s">
        <v>75</v>
      </c>
      <c r="E566" s="300"/>
      <c r="F566" s="57">
        <v>766.67</v>
      </c>
      <c r="G566" s="102">
        <f>rv_ms_hg_cto</f>
        <v>0.17199999999999999</v>
      </c>
      <c r="H566" s="69">
        <f t="shared" si="100"/>
        <v>634.80276000000003</v>
      </c>
      <c r="I566" s="153"/>
      <c r="J566" s="154"/>
      <c r="K566" s="154"/>
      <c r="L566" s="154"/>
      <c r="M566" s="226"/>
      <c r="N566" s="258" t="s">
        <v>75</v>
      </c>
      <c r="O566" s="55" t="s">
        <v>1307</v>
      </c>
      <c r="P566" s="230" t="s">
        <v>689</v>
      </c>
      <c r="Q566" s="205" t="s">
        <v>690</v>
      </c>
      <c r="R566" s="1" t="str">
        <f t="shared" si="108"/>
        <v/>
      </c>
      <c r="S566" s="1" t="str">
        <f t="shared" si="108"/>
        <v/>
      </c>
      <c r="T566" s="1" t="str">
        <f t="shared" si="108"/>
        <v/>
      </c>
      <c r="U566" s="1" t="str">
        <f t="shared" si="108"/>
        <v/>
      </c>
      <c r="V566" s="113"/>
      <c r="W566" s="453"/>
      <c r="X566" s="292"/>
      <c r="Y566" s="293"/>
      <c r="Z566" s="300"/>
      <c r="AA566" s="57"/>
      <c r="AB566" s="138"/>
      <c r="AC566" s="269"/>
      <c r="AD566" s="153"/>
      <c r="AE566" s="154"/>
      <c r="AF566" s="154"/>
      <c r="AG566" s="154"/>
      <c r="AH566" s="226"/>
      <c r="AI566" s="372"/>
      <c r="AJ566" s="55"/>
      <c r="AK566" s="56"/>
      <c r="AL566" s="56"/>
    </row>
    <row r="567" spans="1:38" s="121" customFormat="1">
      <c r="A567" s="578" t="s">
        <v>1312</v>
      </c>
      <c r="B567" s="579" t="s">
        <v>1313</v>
      </c>
      <c r="C567" s="292">
        <v>1</v>
      </c>
      <c r="D567" s="62" t="s">
        <v>75</v>
      </c>
      <c r="E567" s="300"/>
      <c r="F567" s="57">
        <v>383.33</v>
      </c>
      <c r="G567" s="102">
        <f>rv_ms_hg_cto</f>
        <v>0.17199999999999999</v>
      </c>
      <c r="H567" s="69">
        <f t="shared" si="100"/>
        <v>317.39724000000001</v>
      </c>
      <c r="I567" s="153"/>
      <c r="J567" s="154"/>
      <c r="K567" s="154"/>
      <c r="L567" s="154"/>
      <c r="M567" s="226"/>
      <c r="N567" s="258" t="s">
        <v>75</v>
      </c>
      <c r="O567" s="55" t="s">
        <v>1307</v>
      </c>
      <c r="P567" s="230" t="s">
        <v>689</v>
      </c>
      <c r="Q567" s="205" t="s">
        <v>690</v>
      </c>
      <c r="R567" s="1" t="str">
        <f t="shared" si="108"/>
        <v/>
      </c>
      <c r="S567" s="1" t="str">
        <f t="shared" si="108"/>
        <v/>
      </c>
      <c r="T567" s="1" t="str">
        <f t="shared" si="108"/>
        <v/>
      </c>
      <c r="U567" s="1" t="str">
        <f t="shared" si="108"/>
        <v/>
      </c>
      <c r="V567" s="113"/>
      <c r="W567" s="453"/>
      <c r="X567" s="292"/>
      <c r="Y567" s="293"/>
      <c r="Z567" s="300"/>
      <c r="AA567" s="57"/>
      <c r="AB567" s="138"/>
      <c r="AC567" s="269"/>
      <c r="AD567" s="153"/>
      <c r="AE567" s="154"/>
      <c r="AF567" s="154"/>
      <c r="AG567" s="154"/>
      <c r="AH567" s="226"/>
      <c r="AI567" s="372"/>
      <c r="AJ567" s="55"/>
      <c r="AK567" s="56"/>
      <c r="AL567" s="56"/>
    </row>
    <row r="568" spans="1:38" s="121" customFormat="1">
      <c r="A568" s="578" t="s">
        <v>1314</v>
      </c>
      <c r="B568" s="579" t="s">
        <v>1315</v>
      </c>
      <c r="C568" s="292">
        <v>1</v>
      </c>
      <c r="D568" s="62" t="s">
        <v>75</v>
      </c>
      <c r="E568" s="300"/>
      <c r="F568" s="57">
        <v>958.33</v>
      </c>
      <c r="G568" s="102">
        <f>rv_ms_hg_cto</f>
        <v>0.17199999999999999</v>
      </c>
      <c r="H568" s="69">
        <f t="shared" si="100"/>
        <v>793.49724000000003</v>
      </c>
      <c r="I568" s="153"/>
      <c r="J568" s="154"/>
      <c r="K568" s="154"/>
      <c r="L568" s="154"/>
      <c r="M568" s="226"/>
      <c r="N568" s="258" t="s">
        <v>75</v>
      </c>
      <c r="O568" s="55" t="s">
        <v>1307</v>
      </c>
      <c r="P568" s="230" t="s">
        <v>689</v>
      </c>
      <c r="Q568" s="205" t="s">
        <v>690</v>
      </c>
      <c r="R568" s="1" t="str">
        <f t="shared" si="108"/>
        <v/>
      </c>
      <c r="S568" s="1" t="str">
        <f t="shared" si="108"/>
        <v/>
      </c>
      <c r="T568" s="1" t="str">
        <f t="shared" si="108"/>
        <v/>
      </c>
      <c r="U568" s="1" t="str">
        <f t="shared" si="108"/>
        <v/>
      </c>
      <c r="V568" s="113"/>
      <c r="W568" s="453"/>
      <c r="X568" s="292"/>
      <c r="Y568" s="293"/>
      <c r="Z568" s="300"/>
      <c r="AA568" s="57"/>
      <c r="AB568" s="138"/>
      <c r="AC568" s="269"/>
      <c r="AD568" s="153"/>
      <c r="AE568" s="154"/>
      <c r="AF568" s="154"/>
      <c r="AG568" s="154"/>
      <c r="AH568" s="226"/>
      <c r="AI568" s="372"/>
      <c r="AJ568" s="55"/>
      <c r="AK568" s="56"/>
      <c r="AL568" s="56"/>
    </row>
    <row r="569" spans="1:38" s="121" customFormat="1">
      <c r="A569" s="578" t="s">
        <v>1316</v>
      </c>
      <c r="B569" s="579" t="s">
        <v>1317</v>
      </c>
      <c r="C569" s="292">
        <v>1</v>
      </c>
      <c r="D569" s="62" t="s">
        <v>75</v>
      </c>
      <c r="E569" s="300"/>
      <c r="F569" s="57">
        <v>2108.33</v>
      </c>
      <c r="G569" s="102">
        <f>rv_ms_hg_cto</f>
        <v>0.17199999999999999</v>
      </c>
      <c r="H569" s="69">
        <f t="shared" si="100"/>
        <v>1745.69724</v>
      </c>
      <c r="I569" s="153"/>
      <c r="J569" s="154"/>
      <c r="K569" s="154"/>
      <c r="L569" s="154"/>
      <c r="M569" s="226"/>
      <c r="N569" s="258" t="s">
        <v>75</v>
      </c>
      <c r="O569" s="55" t="s">
        <v>1307</v>
      </c>
      <c r="P569" s="230" t="s">
        <v>689</v>
      </c>
      <c r="Q569" s="205" t="s">
        <v>690</v>
      </c>
      <c r="R569" s="1" t="str">
        <f t="shared" si="108"/>
        <v/>
      </c>
      <c r="S569" s="1" t="str">
        <f t="shared" si="108"/>
        <v/>
      </c>
      <c r="T569" s="1" t="str">
        <f t="shared" si="108"/>
        <v/>
      </c>
      <c r="U569" s="1" t="str">
        <f t="shared" si="108"/>
        <v/>
      </c>
      <c r="V569" s="113"/>
      <c r="W569" s="453"/>
      <c r="X569" s="292"/>
      <c r="Y569" s="293"/>
      <c r="Z569" s="300"/>
      <c r="AA569" s="57"/>
      <c r="AB569" s="138"/>
      <c r="AC569" s="269"/>
      <c r="AD569" s="153"/>
      <c r="AE569" s="154"/>
      <c r="AF569" s="154"/>
      <c r="AG569" s="154"/>
      <c r="AH569" s="226"/>
      <c r="AI569" s="372"/>
      <c r="AJ569" s="55"/>
      <c r="AK569" s="56"/>
      <c r="AL569" s="56"/>
    </row>
    <row r="570" spans="1:38" s="121" customFormat="1">
      <c r="A570" s="103" t="s">
        <v>1318</v>
      </c>
      <c r="B570" s="104" t="s">
        <v>1319</v>
      </c>
      <c r="C570" s="105">
        <v>1</v>
      </c>
      <c r="D570" s="106" t="s">
        <v>82</v>
      </c>
      <c r="E570" s="240" t="s">
        <v>1318</v>
      </c>
      <c r="F570" s="108"/>
      <c r="G570" s="109"/>
      <c r="H570" s="100">
        <v>25</v>
      </c>
      <c r="I570" s="100"/>
      <c r="J570" s="101"/>
      <c r="K570" s="101"/>
      <c r="L570" s="101" t="s">
        <v>77</v>
      </c>
      <c r="M570" s="101" t="s">
        <v>77</v>
      </c>
      <c r="N570" s="258" t="s">
        <v>83</v>
      </c>
      <c r="O570" s="55" t="s">
        <v>84</v>
      </c>
      <c r="P570" s="301" t="s">
        <v>85</v>
      </c>
      <c r="Q570" s="14" t="s">
        <v>692</v>
      </c>
      <c r="R570" s="1" t="str">
        <f t="shared" si="108"/>
        <v/>
      </c>
      <c r="S570" s="1" t="str">
        <f t="shared" si="108"/>
        <v/>
      </c>
      <c r="T570" s="1" t="str">
        <f t="shared" si="108"/>
        <v/>
      </c>
      <c r="U570" s="1" t="str">
        <f t="shared" si="108"/>
        <v/>
      </c>
      <c r="V570" s="113"/>
      <c r="W570" s="453"/>
      <c r="X570" s="292"/>
      <c r="Y570" s="293"/>
      <c r="Z570" s="300"/>
      <c r="AA570" s="57"/>
      <c r="AB570" s="138"/>
      <c r="AC570" s="269"/>
      <c r="AD570" s="153"/>
      <c r="AE570" s="154"/>
      <c r="AF570" s="154"/>
      <c r="AG570" s="154"/>
      <c r="AH570" s="226"/>
      <c r="AI570" s="372"/>
      <c r="AJ570" s="55"/>
      <c r="AK570" s="56"/>
      <c r="AL570" s="56"/>
    </row>
    <row r="571" spans="1:38" s="121" customFormat="1">
      <c r="A571" s="103" t="s">
        <v>1320</v>
      </c>
      <c r="B571" s="104" t="s">
        <v>1321</v>
      </c>
      <c r="C571" s="105">
        <v>1</v>
      </c>
      <c r="D571" s="106" t="s">
        <v>82</v>
      </c>
      <c r="E571" s="240" t="s">
        <v>1320</v>
      </c>
      <c r="F571" s="108"/>
      <c r="G571" s="109"/>
      <c r="H571" s="100">
        <v>50</v>
      </c>
      <c r="I571" s="100"/>
      <c r="J571" s="101"/>
      <c r="K571" s="101"/>
      <c r="L571" s="101" t="s">
        <v>77</v>
      </c>
      <c r="M571" s="101" t="s">
        <v>77</v>
      </c>
      <c r="N571" s="258" t="s">
        <v>83</v>
      </c>
      <c r="O571" s="55" t="s">
        <v>84</v>
      </c>
      <c r="P571" s="301" t="s">
        <v>85</v>
      </c>
      <c r="Q571" s="14" t="s">
        <v>692</v>
      </c>
      <c r="R571" s="1" t="str">
        <f t="shared" si="108"/>
        <v/>
      </c>
      <c r="S571" s="1" t="str">
        <f t="shared" si="108"/>
        <v/>
      </c>
      <c r="T571" s="1" t="str">
        <f t="shared" si="108"/>
        <v/>
      </c>
      <c r="U571" s="1" t="str">
        <f t="shared" si="108"/>
        <v/>
      </c>
      <c r="V571" s="113"/>
      <c r="W571" s="453"/>
      <c r="X571" s="292"/>
      <c r="Y571" s="293"/>
      <c r="Z571" s="300"/>
      <c r="AA571" s="57"/>
      <c r="AB571" s="138"/>
      <c r="AC571" s="269"/>
      <c r="AD571" s="153"/>
      <c r="AE571" s="154"/>
      <c r="AF571" s="154"/>
      <c r="AG571" s="154"/>
      <c r="AH571" s="226"/>
      <c r="AI571" s="372"/>
      <c r="AJ571" s="55"/>
      <c r="AK571" s="56"/>
      <c r="AL571" s="56"/>
    </row>
    <row r="572" spans="1:38" s="121" customFormat="1">
      <c r="A572" s="103" t="s">
        <v>1322</v>
      </c>
      <c r="B572" s="104" t="s">
        <v>1323</v>
      </c>
      <c r="C572" s="105">
        <v>1</v>
      </c>
      <c r="D572" s="106" t="s">
        <v>82</v>
      </c>
      <c r="E572" s="240" t="s">
        <v>1322</v>
      </c>
      <c r="F572" s="108"/>
      <c r="G572" s="109"/>
      <c r="H572" s="100">
        <v>75</v>
      </c>
      <c r="I572" s="100"/>
      <c r="J572" s="101"/>
      <c r="K572" s="101"/>
      <c r="L572" s="101" t="s">
        <v>77</v>
      </c>
      <c r="M572" s="101" t="s">
        <v>77</v>
      </c>
      <c r="N572" s="258" t="s">
        <v>83</v>
      </c>
      <c r="O572" s="55" t="s">
        <v>84</v>
      </c>
      <c r="P572" s="301" t="s">
        <v>85</v>
      </c>
      <c r="Q572" s="14" t="s">
        <v>692</v>
      </c>
      <c r="R572" s="1" t="str">
        <f t="shared" si="108"/>
        <v/>
      </c>
      <c r="S572" s="1" t="str">
        <f t="shared" si="108"/>
        <v/>
      </c>
      <c r="T572" s="1" t="str">
        <f t="shared" si="108"/>
        <v/>
      </c>
      <c r="U572" s="1" t="str">
        <f t="shared" si="108"/>
        <v/>
      </c>
      <c r="V572" s="113"/>
      <c r="W572" s="453"/>
      <c r="X572" s="292"/>
      <c r="Y572" s="293"/>
      <c r="Z572" s="300"/>
      <c r="AA572" s="57"/>
      <c r="AB572" s="138"/>
      <c r="AC572" s="269"/>
      <c r="AD572" s="153"/>
      <c r="AE572" s="154"/>
      <c r="AF572" s="154"/>
      <c r="AG572" s="154"/>
      <c r="AH572" s="226"/>
      <c r="AI572" s="372"/>
      <c r="AJ572" s="55"/>
      <c r="AK572" s="56"/>
      <c r="AL572" s="56"/>
    </row>
    <row r="573" spans="1:38" s="121" customFormat="1">
      <c r="A573" s="103" t="s">
        <v>1324</v>
      </c>
      <c r="B573" s="104" t="s">
        <v>1325</v>
      </c>
      <c r="C573" s="105">
        <v>1</v>
      </c>
      <c r="D573" s="106" t="s">
        <v>82</v>
      </c>
      <c r="E573" s="240" t="s">
        <v>1324</v>
      </c>
      <c r="F573" s="108"/>
      <c r="G573" s="109"/>
      <c r="H573" s="100">
        <v>40</v>
      </c>
      <c r="I573" s="100"/>
      <c r="J573" s="101"/>
      <c r="K573" s="101"/>
      <c r="L573" s="101" t="s">
        <v>77</v>
      </c>
      <c r="M573" s="101" t="s">
        <v>77</v>
      </c>
      <c r="N573" s="258" t="s">
        <v>83</v>
      </c>
      <c r="O573" s="55" t="s">
        <v>84</v>
      </c>
      <c r="P573" s="301" t="s">
        <v>85</v>
      </c>
      <c r="Q573" s="14" t="s">
        <v>692</v>
      </c>
      <c r="R573" s="1" t="str">
        <f t="shared" si="108"/>
        <v/>
      </c>
      <c r="S573" s="1" t="str">
        <f t="shared" si="108"/>
        <v/>
      </c>
      <c r="T573" s="1" t="str">
        <f t="shared" si="108"/>
        <v/>
      </c>
      <c r="U573" s="1" t="str">
        <f t="shared" si="108"/>
        <v/>
      </c>
      <c r="V573" s="113"/>
      <c r="W573" s="453"/>
      <c r="X573" s="292"/>
      <c r="Y573" s="293"/>
      <c r="Z573" s="300"/>
      <c r="AA573" s="57"/>
      <c r="AB573" s="138"/>
      <c r="AC573" s="269"/>
      <c r="AD573" s="153"/>
      <c r="AE573" s="154"/>
      <c r="AF573" s="154"/>
      <c r="AG573" s="154"/>
      <c r="AH573" s="226"/>
      <c r="AI573" s="372"/>
      <c r="AJ573" s="55"/>
      <c r="AK573" s="56"/>
      <c r="AL573" s="56"/>
    </row>
    <row r="574" spans="1:38" s="121" customFormat="1">
      <c r="A574" s="103" t="s">
        <v>1326</v>
      </c>
      <c r="B574" s="104" t="s">
        <v>1327</v>
      </c>
      <c r="C574" s="105">
        <v>1</v>
      </c>
      <c r="D574" s="106" t="s">
        <v>82</v>
      </c>
      <c r="E574" s="240" t="s">
        <v>1326</v>
      </c>
      <c r="F574" s="108"/>
      <c r="G574" s="109"/>
      <c r="H574" s="100">
        <v>75</v>
      </c>
      <c r="I574" s="100"/>
      <c r="J574" s="101"/>
      <c r="K574" s="101"/>
      <c r="L574" s="101" t="s">
        <v>77</v>
      </c>
      <c r="M574" s="101" t="s">
        <v>77</v>
      </c>
      <c r="N574" s="258" t="s">
        <v>83</v>
      </c>
      <c r="O574" s="55" t="s">
        <v>84</v>
      </c>
      <c r="P574" s="301" t="s">
        <v>85</v>
      </c>
      <c r="Q574" s="14" t="s">
        <v>692</v>
      </c>
      <c r="R574" s="1" t="str">
        <f t="shared" si="108"/>
        <v/>
      </c>
      <c r="S574" s="1" t="str">
        <f t="shared" si="108"/>
        <v/>
      </c>
      <c r="T574" s="1" t="str">
        <f t="shared" si="108"/>
        <v/>
      </c>
      <c r="U574" s="1" t="str">
        <f t="shared" si="108"/>
        <v/>
      </c>
      <c r="V574" s="113"/>
      <c r="W574" s="453"/>
      <c r="X574" s="292"/>
      <c r="Y574" s="293"/>
      <c r="Z574" s="300"/>
      <c r="AA574" s="57"/>
      <c r="AB574" s="138"/>
      <c r="AC574" s="269"/>
      <c r="AD574" s="153"/>
      <c r="AE574" s="154"/>
      <c r="AF574" s="154"/>
      <c r="AG574" s="154"/>
      <c r="AH574" s="226"/>
      <c r="AI574" s="372"/>
      <c r="AJ574" s="55"/>
      <c r="AK574" s="56"/>
      <c r="AL574" s="56"/>
    </row>
    <row r="575" spans="1:38" s="121" customFormat="1">
      <c r="A575" s="103" t="s">
        <v>1328</v>
      </c>
      <c r="B575" s="104" t="s">
        <v>1329</v>
      </c>
      <c r="C575" s="105">
        <v>1</v>
      </c>
      <c r="D575" s="106" t="s">
        <v>82</v>
      </c>
      <c r="E575" s="240" t="s">
        <v>1328</v>
      </c>
      <c r="F575" s="108"/>
      <c r="G575" s="109"/>
      <c r="H575" s="100">
        <v>95</v>
      </c>
      <c r="I575" s="100"/>
      <c r="J575" s="101"/>
      <c r="K575" s="101"/>
      <c r="L575" s="101" t="s">
        <v>77</v>
      </c>
      <c r="M575" s="101" t="s">
        <v>77</v>
      </c>
      <c r="N575" s="258" t="s">
        <v>83</v>
      </c>
      <c r="O575" s="55" t="s">
        <v>84</v>
      </c>
      <c r="P575" s="301" t="s">
        <v>85</v>
      </c>
      <c r="Q575" s="14" t="s">
        <v>692</v>
      </c>
      <c r="R575" s="1" t="str">
        <f t="shared" si="108"/>
        <v/>
      </c>
      <c r="S575" s="1" t="str">
        <f t="shared" si="108"/>
        <v/>
      </c>
      <c r="T575" s="1" t="str">
        <f t="shared" si="108"/>
        <v/>
      </c>
      <c r="U575" s="1" t="str">
        <f t="shared" si="108"/>
        <v/>
      </c>
      <c r="V575" s="113"/>
      <c r="W575" s="453"/>
      <c r="X575" s="292"/>
      <c r="Y575" s="293"/>
      <c r="Z575" s="300"/>
      <c r="AA575" s="57"/>
      <c r="AB575" s="138"/>
      <c r="AC575" s="269"/>
      <c r="AD575" s="153"/>
      <c r="AE575" s="154"/>
      <c r="AF575" s="154"/>
      <c r="AG575" s="154"/>
      <c r="AH575" s="226"/>
      <c r="AI575" s="372"/>
      <c r="AJ575" s="55"/>
      <c r="AK575" s="56"/>
      <c r="AL575" s="56"/>
    </row>
    <row r="576" spans="1:38" s="121" customFormat="1">
      <c r="A576" s="103" t="s">
        <v>1330</v>
      </c>
      <c r="B576" s="104" t="s">
        <v>1331</v>
      </c>
      <c r="C576" s="105">
        <v>1</v>
      </c>
      <c r="D576" s="106" t="s">
        <v>82</v>
      </c>
      <c r="E576" s="240" t="s">
        <v>1330</v>
      </c>
      <c r="F576" s="108"/>
      <c r="G576" s="109"/>
      <c r="H576" s="100">
        <v>100</v>
      </c>
      <c r="I576" s="100"/>
      <c r="J576" s="101"/>
      <c r="K576" s="101"/>
      <c r="L576" s="101" t="s">
        <v>77</v>
      </c>
      <c r="M576" s="101" t="s">
        <v>77</v>
      </c>
      <c r="N576" s="258" t="s">
        <v>83</v>
      </c>
      <c r="O576" s="55" t="s">
        <v>84</v>
      </c>
      <c r="P576" s="301" t="s">
        <v>85</v>
      </c>
      <c r="Q576" s="14" t="s">
        <v>692</v>
      </c>
      <c r="R576" s="1" t="str">
        <f t="shared" si="108"/>
        <v/>
      </c>
      <c r="S576" s="1" t="str">
        <f t="shared" si="108"/>
        <v/>
      </c>
      <c r="T576" s="1" t="str">
        <f t="shared" si="108"/>
        <v/>
      </c>
      <c r="U576" s="1" t="str">
        <f t="shared" si="108"/>
        <v/>
      </c>
      <c r="V576" s="113"/>
      <c r="W576" s="453"/>
      <c r="X576" s="292"/>
      <c r="Y576" s="293"/>
      <c r="Z576" s="300"/>
      <c r="AA576" s="57"/>
      <c r="AB576" s="138"/>
      <c r="AC576" s="269"/>
      <c r="AD576" s="153"/>
      <c r="AE576" s="154"/>
      <c r="AF576" s="154"/>
      <c r="AG576" s="154"/>
      <c r="AH576" s="226"/>
      <c r="AI576" s="372"/>
      <c r="AJ576" s="55"/>
      <c r="AK576" s="56"/>
      <c r="AL576" s="56"/>
    </row>
    <row r="577" spans="1:38" s="121" customFormat="1">
      <c r="A577" s="103" t="s">
        <v>1332</v>
      </c>
      <c r="B577" s="104" t="s">
        <v>1333</v>
      </c>
      <c r="C577" s="105">
        <v>1</v>
      </c>
      <c r="D577" s="106" t="s">
        <v>82</v>
      </c>
      <c r="E577" s="240" t="s">
        <v>1332</v>
      </c>
      <c r="F577" s="108"/>
      <c r="G577" s="109"/>
      <c r="H577" s="100">
        <v>30</v>
      </c>
      <c r="I577" s="100"/>
      <c r="J577" s="101"/>
      <c r="K577" s="101"/>
      <c r="L577" s="101" t="s">
        <v>77</v>
      </c>
      <c r="M577" s="101" t="s">
        <v>77</v>
      </c>
      <c r="N577" s="258" t="s">
        <v>83</v>
      </c>
      <c r="O577" s="55" t="s">
        <v>84</v>
      </c>
      <c r="P577" s="301" t="s">
        <v>85</v>
      </c>
      <c r="Q577" s="14" t="s">
        <v>692</v>
      </c>
      <c r="R577" s="1" t="str">
        <f t="shared" si="108"/>
        <v/>
      </c>
      <c r="S577" s="1" t="str">
        <f t="shared" si="108"/>
        <v/>
      </c>
      <c r="T577" s="1" t="str">
        <f t="shared" si="108"/>
        <v/>
      </c>
      <c r="U577" s="1" t="str">
        <f t="shared" si="108"/>
        <v/>
      </c>
      <c r="V577" s="113"/>
      <c r="W577" s="453"/>
      <c r="X577" s="292"/>
      <c r="Y577" s="293"/>
      <c r="Z577" s="300"/>
      <c r="AA577" s="57"/>
      <c r="AB577" s="138"/>
      <c r="AC577" s="269"/>
      <c r="AD577" s="153"/>
      <c r="AE577" s="154"/>
      <c r="AF577" s="154"/>
      <c r="AG577" s="154"/>
      <c r="AH577" s="226"/>
      <c r="AI577" s="372"/>
      <c r="AJ577" s="55"/>
      <c r="AK577" s="56"/>
      <c r="AL577" s="56"/>
    </row>
    <row r="578" spans="1:38" s="121" customFormat="1">
      <c r="A578" s="103" t="s">
        <v>1334</v>
      </c>
      <c r="B578" s="104" t="s">
        <v>1335</v>
      </c>
      <c r="C578" s="105">
        <v>1</v>
      </c>
      <c r="D578" s="106" t="s">
        <v>82</v>
      </c>
      <c r="E578" s="240" t="s">
        <v>1334</v>
      </c>
      <c r="F578" s="108"/>
      <c r="G578" s="109"/>
      <c r="H578" s="100">
        <v>75</v>
      </c>
      <c r="I578" s="100"/>
      <c r="J578" s="101"/>
      <c r="K578" s="101"/>
      <c r="L578" s="101" t="s">
        <v>77</v>
      </c>
      <c r="M578" s="101" t="s">
        <v>77</v>
      </c>
      <c r="N578" s="258" t="s">
        <v>83</v>
      </c>
      <c r="O578" s="55" t="s">
        <v>84</v>
      </c>
      <c r="P578" s="301" t="s">
        <v>85</v>
      </c>
      <c r="Q578" s="14" t="s">
        <v>692</v>
      </c>
      <c r="R578" s="1" t="str">
        <f t="shared" si="108"/>
        <v/>
      </c>
      <c r="S578" s="1" t="str">
        <f t="shared" si="108"/>
        <v/>
      </c>
      <c r="T578" s="1" t="str">
        <f t="shared" si="108"/>
        <v/>
      </c>
      <c r="U578" s="1" t="str">
        <f t="shared" si="108"/>
        <v/>
      </c>
      <c r="V578" s="113"/>
      <c r="W578" s="453"/>
      <c r="X578" s="292"/>
      <c r="Y578" s="293"/>
      <c r="Z578" s="300"/>
      <c r="AA578" s="57"/>
      <c r="AB578" s="138"/>
      <c r="AC578" s="269"/>
      <c r="AD578" s="153"/>
      <c r="AE578" s="154"/>
      <c r="AF578" s="154"/>
      <c r="AG578" s="154"/>
      <c r="AH578" s="226"/>
      <c r="AI578" s="372"/>
      <c r="AJ578" s="55"/>
      <c r="AK578" s="56"/>
      <c r="AL578" s="56"/>
    </row>
    <row r="579" spans="1:38" s="121" customFormat="1">
      <c r="A579" s="103" t="s">
        <v>1336</v>
      </c>
      <c r="B579" s="104" t="s">
        <v>1337</v>
      </c>
      <c r="C579" s="105">
        <v>1</v>
      </c>
      <c r="D579" s="106" t="s">
        <v>82</v>
      </c>
      <c r="E579" s="240" t="s">
        <v>1336</v>
      </c>
      <c r="F579" s="108"/>
      <c r="G579" s="109"/>
      <c r="H579" s="100">
        <v>100</v>
      </c>
      <c r="I579" s="100"/>
      <c r="J579" s="101"/>
      <c r="K579" s="101"/>
      <c r="L579" s="101" t="s">
        <v>77</v>
      </c>
      <c r="M579" s="101" t="s">
        <v>77</v>
      </c>
      <c r="N579" s="258" t="s">
        <v>83</v>
      </c>
      <c r="O579" s="55" t="s">
        <v>84</v>
      </c>
      <c r="P579" s="301" t="s">
        <v>85</v>
      </c>
      <c r="Q579" s="14" t="s">
        <v>692</v>
      </c>
      <c r="R579" s="1" t="str">
        <f t="shared" si="108"/>
        <v/>
      </c>
      <c r="S579" s="1" t="str">
        <f t="shared" si="108"/>
        <v/>
      </c>
      <c r="T579" s="1" t="str">
        <f t="shared" si="108"/>
        <v/>
      </c>
      <c r="U579" s="1" t="str">
        <f t="shared" si="108"/>
        <v/>
      </c>
      <c r="V579" s="113"/>
      <c r="W579" s="453"/>
      <c r="X579" s="292"/>
      <c r="Y579" s="293"/>
      <c r="Z579" s="300"/>
      <c r="AA579" s="57"/>
      <c r="AB579" s="138"/>
      <c r="AC579" s="269"/>
      <c r="AD579" s="153"/>
      <c r="AE579" s="154"/>
      <c r="AF579" s="154"/>
      <c r="AG579" s="154"/>
      <c r="AH579" s="226"/>
      <c r="AI579" s="372"/>
      <c r="AJ579" s="55"/>
      <c r="AK579" s="56"/>
      <c r="AL579" s="56"/>
    </row>
    <row r="580" spans="1:38" s="121" customFormat="1">
      <c r="A580" s="103" t="s">
        <v>1338</v>
      </c>
      <c r="B580" s="104" t="s">
        <v>1339</v>
      </c>
      <c r="C580" s="105">
        <v>1</v>
      </c>
      <c r="D580" s="106" t="s">
        <v>82</v>
      </c>
      <c r="E580" s="240" t="s">
        <v>1338</v>
      </c>
      <c r="F580" s="108"/>
      <c r="G580" s="109"/>
      <c r="H580" s="100">
        <v>130</v>
      </c>
      <c r="I580" s="100"/>
      <c r="J580" s="101"/>
      <c r="K580" s="101"/>
      <c r="L580" s="101" t="s">
        <v>77</v>
      </c>
      <c r="M580" s="101" t="s">
        <v>77</v>
      </c>
      <c r="N580" s="258" t="s">
        <v>83</v>
      </c>
      <c r="O580" s="55" t="s">
        <v>84</v>
      </c>
      <c r="P580" s="301" t="s">
        <v>85</v>
      </c>
      <c r="Q580" s="14" t="s">
        <v>692</v>
      </c>
      <c r="R580" s="1" t="str">
        <f t="shared" si="108"/>
        <v/>
      </c>
      <c r="S580" s="1" t="str">
        <f t="shared" si="108"/>
        <v/>
      </c>
      <c r="T580" s="1" t="str">
        <f t="shared" si="108"/>
        <v/>
      </c>
      <c r="U580" s="1" t="str">
        <f t="shared" si="108"/>
        <v/>
      </c>
      <c r="V580" s="113"/>
      <c r="W580" s="453"/>
      <c r="X580" s="292"/>
      <c r="Y580" s="293"/>
      <c r="Z580" s="300"/>
      <c r="AA580" s="57"/>
      <c r="AB580" s="138"/>
      <c r="AC580" s="269"/>
      <c r="AD580" s="153"/>
      <c r="AE580" s="154"/>
      <c r="AF580" s="154"/>
      <c r="AG580" s="154"/>
      <c r="AH580" s="226"/>
      <c r="AI580" s="372"/>
      <c r="AJ580" s="55"/>
      <c r="AK580" s="56"/>
      <c r="AL580" s="56"/>
    </row>
    <row r="581" spans="1:38" s="121" customFormat="1" ht="38.25">
      <c r="A581" s="238" t="s">
        <v>1340</v>
      </c>
      <c r="B581" s="239" t="s">
        <v>1341</v>
      </c>
      <c r="C581" s="240">
        <v>1</v>
      </c>
      <c r="D581" s="241" t="s">
        <v>82</v>
      </c>
      <c r="E581" s="240" t="s">
        <v>1340</v>
      </c>
      <c r="F581" s="242"/>
      <c r="G581" s="243"/>
      <c r="H581" s="242">
        <v>310</v>
      </c>
      <c r="I581" s="242"/>
      <c r="J581" s="245"/>
      <c r="K581" s="245"/>
      <c r="L581" s="245" t="s">
        <v>77</v>
      </c>
      <c r="M581" s="245" t="s">
        <v>77</v>
      </c>
      <c r="N581" s="259" t="s">
        <v>83</v>
      </c>
      <c r="O581" s="55" t="s">
        <v>84</v>
      </c>
      <c r="P581" s="457" t="s">
        <v>85</v>
      </c>
      <c r="Q581" s="234" t="s">
        <v>692</v>
      </c>
      <c r="R581" s="1" t="str">
        <f t="shared" si="108"/>
        <v/>
      </c>
      <c r="S581" s="1" t="str">
        <f t="shared" si="108"/>
        <v/>
      </c>
      <c r="T581" s="1" t="str">
        <f t="shared" si="108"/>
        <v/>
      </c>
      <c r="U581" s="1" t="str">
        <f t="shared" si="108"/>
        <v/>
      </c>
      <c r="V581" s="113"/>
      <c r="W581" s="453"/>
      <c r="X581" s="292"/>
      <c r="Y581" s="293"/>
      <c r="Z581" s="300"/>
      <c r="AA581" s="57"/>
      <c r="AB581" s="138"/>
      <c r="AC581" s="269"/>
      <c r="AD581" s="153"/>
      <c r="AE581" s="154"/>
      <c r="AF581" s="154"/>
      <c r="AG581" s="154"/>
      <c r="AH581" s="226"/>
      <c r="AI581" s="372"/>
      <c r="AJ581" s="55"/>
      <c r="AK581" s="56"/>
      <c r="AL581" s="56"/>
    </row>
    <row r="582" spans="1:38" s="121" customFormat="1">
      <c r="A582" s="103" t="s">
        <v>1342</v>
      </c>
      <c r="B582" s="104" t="s">
        <v>1343</v>
      </c>
      <c r="C582" s="105">
        <v>1</v>
      </c>
      <c r="D582" s="106" t="s">
        <v>82</v>
      </c>
      <c r="E582" s="240" t="s">
        <v>1342</v>
      </c>
      <c r="F582" s="108"/>
      <c r="G582" s="109"/>
      <c r="H582" s="100">
        <v>590</v>
      </c>
      <c r="I582" s="100"/>
      <c r="J582" s="101"/>
      <c r="K582" s="101"/>
      <c r="L582" s="101" t="s">
        <v>77</v>
      </c>
      <c r="M582" s="101" t="s">
        <v>77</v>
      </c>
      <c r="N582" s="258" t="s">
        <v>83</v>
      </c>
      <c r="O582" s="55" t="s">
        <v>84</v>
      </c>
      <c r="P582" s="301" t="s">
        <v>85</v>
      </c>
      <c r="Q582" s="14" t="s">
        <v>692</v>
      </c>
      <c r="R582" s="1" t="str">
        <f t="shared" ref="R582:U613" si="111">+IF($K582&lt;&gt;"",R$2*$K582,"")</f>
        <v/>
      </c>
      <c r="S582" s="1" t="str">
        <f t="shared" si="111"/>
        <v/>
      </c>
      <c r="T582" s="1" t="str">
        <f t="shared" si="111"/>
        <v/>
      </c>
      <c r="U582" s="1" t="str">
        <f t="shared" si="111"/>
        <v/>
      </c>
      <c r="V582" s="113"/>
      <c r="W582" s="453"/>
      <c r="X582" s="292"/>
      <c r="Y582" s="293"/>
      <c r="Z582" s="300"/>
      <c r="AA582" s="57"/>
      <c r="AB582" s="138"/>
      <c r="AC582" s="269"/>
      <c r="AD582" s="153"/>
      <c r="AE582" s="154"/>
      <c r="AF582" s="154"/>
      <c r="AG582" s="154"/>
      <c r="AH582" s="226"/>
      <c r="AI582" s="372"/>
      <c r="AJ582" s="55"/>
      <c r="AK582" s="56"/>
      <c r="AL582" s="56"/>
    </row>
    <row r="583" spans="1:38" s="121" customFormat="1">
      <c r="A583" s="103"/>
      <c r="B583" s="104"/>
      <c r="C583" s="105"/>
      <c r="D583" s="106"/>
      <c r="E583" s="240"/>
      <c r="F583" s="108"/>
      <c r="G583" s="109"/>
      <c r="H583" s="100"/>
      <c r="I583" s="100"/>
      <c r="J583" s="101"/>
      <c r="K583" s="101"/>
      <c r="L583" s="101"/>
      <c r="M583" s="101"/>
      <c r="N583" s="258"/>
      <c r="O583" s="55"/>
      <c r="P583" s="301"/>
      <c r="Q583" s="14"/>
      <c r="R583" s="1" t="str">
        <f t="shared" si="111"/>
        <v/>
      </c>
      <c r="S583" s="1" t="str">
        <f t="shared" si="111"/>
        <v/>
      </c>
      <c r="T583" s="1" t="str">
        <f t="shared" si="111"/>
        <v/>
      </c>
      <c r="U583" s="1" t="str">
        <f t="shared" si="111"/>
        <v/>
      </c>
      <c r="V583" s="113"/>
      <c r="W583" s="453"/>
      <c r="X583" s="292"/>
      <c r="Y583" s="293"/>
      <c r="Z583" s="300"/>
      <c r="AA583" s="57"/>
      <c r="AB583" s="138"/>
      <c r="AC583" s="269"/>
      <c r="AD583" s="153"/>
      <c r="AE583" s="154"/>
      <c r="AF583" s="154"/>
      <c r="AG583" s="154"/>
      <c r="AH583" s="226"/>
      <c r="AI583" s="372"/>
      <c r="AJ583" s="55"/>
      <c r="AK583" s="56"/>
      <c r="AL583" s="56"/>
    </row>
    <row r="584" spans="1:38" s="121" customFormat="1">
      <c r="A584" s="566" t="s">
        <v>1344</v>
      </c>
      <c r="B584" s="567" t="s">
        <v>1345</v>
      </c>
      <c r="C584" s="568">
        <v>1</v>
      </c>
      <c r="D584" s="565" t="s">
        <v>82</v>
      </c>
      <c r="E584" s="580" t="s">
        <v>1344</v>
      </c>
      <c r="F584" s="569"/>
      <c r="G584" s="570"/>
      <c r="H584" s="412">
        <v>456.94</v>
      </c>
      <c r="I584" s="412"/>
      <c r="J584" s="409"/>
      <c r="K584" s="409"/>
      <c r="L584" s="409" t="s">
        <v>77</v>
      </c>
      <c r="M584" s="409" t="s">
        <v>77</v>
      </c>
      <c r="N584" s="261" t="s">
        <v>83</v>
      </c>
      <c r="O584" s="55" t="s">
        <v>84</v>
      </c>
      <c r="P584" s="268" t="s">
        <v>85</v>
      </c>
      <c r="Q584" s="56" t="s">
        <v>86</v>
      </c>
      <c r="R584" s="1" t="str">
        <f t="shared" si="111"/>
        <v/>
      </c>
      <c r="S584" s="1" t="str">
        <f t="shared" si="111"/>
        <v/>
      </c>
      <c r="T584" s="1" t="str">
        <f t="shared" si="111"/>
        <v/>
      </c>
      <c r="U584" s="1" t="str">
        <f t="shared" si="111"/>
        <v/>
      </c>
      <c r="V584" s="113"/>
      <c r="W584" s="453"/>
      <c r="X584" s="292"/>
      <c r="Y584" s="293"/>
      <c r="Z584" s="300"/>
      <c r="AA584" s="57"/>
      <c r="AB584" s="138"/>
      <c r="AC584" s="269"/>
      <c r="AD584" s="153"/>
      <c r="AE584" s="154"/>
      <c r="AF584" s="154"/>
      <c r="AG584" s="154"/>
      <c r="AH584" s="226"/>
      <c r="AI584" s="372"/>
      <c r="AJ584" s="55"/>
      <c r="AK584" s="56"/>
      <c r="AL584" s="56"/>
    </row>
    <row r="585" spans="1:38" s="121" customFormat="1" ht="26.1" customHeight="1">
      <c r="A585" s="365" t="s">
        <v>1346</v>
      </c>
      <c r="B585" s="373"/>
      <c r="C585" s="292"/>
      <c r="D585" s="293"/>
      <c r="E585" s="300"/>
      <c r="F585" s="57"/>
      <c r="G585" s="138"/>
      <c r="H585" s="269"/>
      <c r="I585" s="153"/>
      <c r="J585" s="154"/>
      <c r="K585" s="154"/>
      <c r="L585" s="154"/>
      <c r="M585" s="226"/>
      <c r="N585" s="372"/>
      <c r="O585" s="55"/>
      <c r="P585" s="56"/>
      <c r="Q585" s="56"/>
      <c r="R585" s="1" t="str">
        <f t="shared" si="111"/>
        <v/>
      </c>
      <c r="S585" s="1" t="str">
        <f t="shared" si="111"/>
        <v/>
      </c>
      <c r="T585" s="1" t="str">
        <f t="shared" si="111"/>
        <v/>
      </c>
      <c r="U585" s="1" t="str">
        <f t="shared" si="111"/>
        <v/>
      </c>
      <c r="V585" s="592" t="s">
        <v>1346</v>
      </c>
      <c r="W585" s="453"/>
      <c r="X585" s="292"/>
      <c r="Y585" s="293"/>
      <c r="Z585" s="300"/>
      <c r="AA585" s="57"/>
      <c r="AB585" s="138"/>
      <c r="AC585" s="269"/>
      <c r="AD585" s="153"/>
      <c r="AE585" s="154"/>
      <c r="AF585" s="154"/>
      <c r="AG585" s="154"/>
      <c r="AH585" s="226"/>
      <c r="AI585" s="372"/>
      <c r="AJ585" s="55"/>
      <c r="AK585" s="56"/>
      <c r="AL585" s="56"/>
    </row>
    <row r="586" spans="1:38">
      <c r="A586" s="93" t="s">
        <v>1347</v>
      </c>
      <c r="B586" s="94" t="s">
        <v>1348</v>
      </c>
      <c r="C586" s="274">
        <v>1</v>
      </c>
      <c r="D586" s="275" t="s">
        <v>75</v>
      </c>
      <c r="E586" s="382" t="s">
        <v>1347</v>
      </c>
      <c r="F586" s="381">
        <v>453.58</v>
      </c>
      <c r="G586" s="277">
        <f t="shared" ref="G586" si="112">rv_ipm</f>
        <v>0.1065</v>
      </c>
      <c r="H586" s="286">
        <f t="shared" si="100"/>
        <v>405.27373</v>
      </c>
      <c r="I586" s="274" t="s">
        <v>1349</v>
      </c>
      <c r="J586" s="279">
        <v>23</v>
      </c>
      <c r="K586" s="279">
        <f>H586+J586</f>
        <v>428.27373</v>
      </c>
      <c r="L586" s="279">
        <v>12</v>
      </c>
      <c r="M586" s="17">
        <v>0.25</v>
      </c>
      <c r="N586" s="258" t="s">
        <v>75</v>
      </c>
      <c r="O586" s="55" t="s">
        <v>1350</v>
      </c>
      <c r="P586" s="56" t="s">
        <v>1351</v>
      </c>
      <c r="Q586" s="56" t="s">
        <v>80</v>
      </c>
      <c r="R586" s="1">
        <f t="shared" si="111"/>
        <v>84.792736888352493</v>
      </c>
      <c r="S586" s="1">
        <f t="shared" si="111"/>
        <v>43.384110081134587</v>
      </c>
      <c r="T586" s="1">
        <f t="shared" si="111"/>
        <v>31.11920400344313</v>
      </c>
      <c r="U586" s="1">
        <f t="shared" si="111"/>
        <v>26.658918771140268</v>
      </c>
      <c r="V586" s="93" t="s">
        <v>1347</v>
      </c>
      <c r="W586" s="94" t="s">
        <v>1348</v>
      </c>
      <c r="X586" s="274">
        <v>1</v>
      </c>
      <c r="Y586" s="275" t="s">
        <v>75</v>
      </c>
      <c r="Z586" s="382" t="s">
        <v>1347</v>
      </c>
      <c r="AA586" s="381">
        <v>453.58</v>
      </c>
      <c r="AB586" s="277">
        <f t="shared" ref="AB586" si="113">rv_ipm</f>
        <v>0.1065</v>
      </c>
      <c r="AC586" s="286">
        <f t="shared" ref="AC586:AC587" si="114">AA586-(AA586*AB586)</f>
        <v>405.27373</v>
      </c>
      <c r="AD586" s="274" t="s">
        <v>1349</v>
      </c>
      <c r="AE586" s="279">
        <v>23</v>
      </c>
      <c r="AF586" s="279">
        <f>AC586+AE586</f>
        <v>428.27373</v>
      </c>
      <c r="AG586" s="279">
        <v>12</v>
      </c>
      <c r="AH586" s="17">
        <v>0.25</v>
      </c>
      <c r="AI586" s="258" t="s">
        <v>75</v>
      </c>
      <c r="AJ586" s="55" t="s">
        <v>1350</v>
      </c>
      <c r="AK586" s="56" t="s">
        <v>1351</v>
      </c>
      <c r="AL586" s="56" t="s">
        <v>80</v>
      </c>
    </row>
    <row r="587" spans="1:38" s="174" customFormat="1">
      <c r="A587" s="322" t="s">
        <v>1349</v>
      </c>
      <c r="B587" s="323" t="s">
        <v>1352</v>
      </c>
      <c r="C587" s="193">
        <v>1</v>
      </c>
      <c r="D587" s="324" t="s">
        <v>82</v>
      </c>
      <c r="E587" s="193" t="s">
        <v>1349</v>
      </c>
      <c r="F587" s="325">
        <v>25.74</v>
      </c>
      <c r="G587" s="326">
        <v>0.1065</v>
      </c>
      <c r="H587" s="144">
        <f t="shared" si="100"/>
        <v>22.99869</v>
      </c>
      <c r="I587" s="193"/>
      <c r="J587" s="333"/>
      <c r="K587" s="333"/>
      <c r="L587" s="334" t="s">
        <v>77</v>
      </c>
      <c r="M587" s="120"/>
      <c r="N587" s="335"/>
      <c r="O587" s="55"/>
      <c r="P587" s="265"/>
      <c r="Q587" s="203"/>
      <c r="R587" s="1" t="str">
        <f t="shared" si="111"/>
        <v/>
      </c>
      <c r="S587" s="1" t="str">
        <f t="shared" si="111"/>
        <v/>
      </c>
      <c r="T587" s="1" t="str">
        <f t="shared" si="111"/>
        <v/>
      </c>
      <c r="U587" s="1" t="str">
        <f t="shared" si="111"/>
        <v/>
      </c>
      <c r="V587" s="322" t="s">
        <v>1349</v>
      </c>
      <c r="W587" s="323" t="s">
        <v>1352</v>
      </c>
      <c r="X587" s="193">
        <v>1</v>
      </c>
      <c r="Y587" s="324" t="s">
        <v>82</v>
      </c>
      <c r="Z587" s="193" t="s">
        <v>1349</v>
      </c>
      <c r="AA587" s="325">
        <v>25.74</v>
      </c>
      <c r="AB587" s="326">
        <v>0.1065</v>
      </c>
      <c r="AC587" s="144">
        <f t="shared" si="114"/>
        <v>22.99869</v>
      </c>
      <c r="AD587" s="193"/>
      <c r="AE587" s="333"/>
      <c r="AF587" s="333"/>
      <c r="AG587" s="334" t="s">
        <v>77</v>
      </c>
      <c r="AH587" s="120"/>
      <c r="AI587" s="335"/>
      <c r="AJ587" s="55"/>
      <c r="AK587" s="265"/>
      <c r="AL587" s="203"/>
    </row>
    <row r="588" spans="1:38">
      <c r="A588" s="25" t="s">
        <v>1353</v>
      </c>
      <c r="B588" s="26" t="s">
        <v>1354</v>
      </c>
      <c r="C588" s="29">
        <v>1</v>
      </c>
      <c r="D588" s="106" t="s">
        <v>82</v>
      </c>
      <c r="E588" s="142" t="s">
        <v>1353</v>
      </c>
      <c r="F588" s="63"/>
      <c r="G588" s="22"/>
      <c r="H588" s="31">
        <v>5</v>
      </c>
      <c r="I588" s="95"/>
      <c r="J588" s="17"/>
      <c r="K588" s="17"/>
      <c r="L588" s="17" t="s">
        <v>77</v>
      </c>
      <c r="M588" s="17" t="s">
        <v>77</v>
      </c>
      <c r="N588" s="258" t="s">
        <v>83</v>
      </c>
      <c r="O588" s="55" t="s">
        <v>84</v>
      </c>
      <c r="P588" s="230" t="s">
        <v>85</v>
      </c>
      <c r="Q588" s="205" t="s">
        <v>86</v>
      </c>
      <c r="R588" s="1" t="str">
        <f t="shared" si="111"/>
        <v/>
      </c>
      <c r="S588" s="1" t="str">
        <f t="shared" si="111"/>
        <v/>
      </c>
      <c r="T588" s="1" t="str">
        <f t="shared" si="111"/>
        <v/>
      </c>
      <c r="U588" s="1" t="str">
        <f t="shared" si="111"/>
        <v/>
      </c>
      <c r="V588" s="25" t="s">
        <v>1353</v>
      </c>
      <c r="W588" s="26" t="s">
        <v>1354</v>
      </c>
      <c r="X588" s="29">
        <v>1</v>
      </c>
      <c r="Y588" s="106" t="s">
        <v>82</v>
      </c>
      <c r="Z588" s="142" t="s">
        <v>1353</v>
      </c>
      <c r="AA588" s="63"/>
      <c r="AB588" s="22"/>
      <c r="AC588" s="31">
        <v>5</v>
      </c>
      <c r="AD588" s="95"/>
      <c r="AE588" s="17"/>
      <c r="AF588" s="17"/>
      <c r="AG588" s="17" t="s">
        <v>77</v>
      </c>
      <c r="AH588" s="17" t="s">
        <v>77</v>
      </c>
      <c r="AI588" s="258" t="s">
        <v>83</v>
      </c>
      <c r="AJ588" s="55" t="s">
        <v>84</v>
      </c>
      <c r="AK588" s="230" t="s">
        <v>85</v>
      </c>
      <c r="AL588" s="205" t="s">
        <v>86</v>
      </c>
    </row>
    <row r="589" spans="1:38">
      <c r="A589" s="25" t="s">
        <v>1355</v>
      </c>
      <c r="B589" s="26" t="s">
        <v>1356</v>
      </c>
      <c r="C589" s="29">
        <v>1</v>
      </c>
      <c r="D589" s="106" t="s">
        <v>82</v>
      </c>
      <c r="E589" s="142" t="s">
        <v>1355</v>
      </c>
      <c r="F589" s="63"/>
      <c r="G589" s="22"/>
      <c r="H589" s="31">
        <v>7</v>
      </c>
      <c r="I589" s="95"/>
      <c r="J589" s="17"/>
      <c r="K589" s="17"/>
      <c r="L589" s="17" t="s">
        <v>77</v>
      </c>
      <c r="M589" s="17" t="s">
        <v>77</v>
      </c>
      <c r="N589" s="258" t="s">
        <v>83</v>
      </c>
      <c r="O589" s="55" t="s">
        <v>84</v>
      </c>
      <c r="P589" s="230" t="s">
        <v>85</v>
      </c>
      <c r="Q589" s="205" t="s">
        <v>86</v>
      </c>
      <c r="R589" s="1" t="str">
        <f t="shared" si="111"/>
        <v/>
      </c>
      <c r="S589" s="1" t="str">
        <f t="shared" si="111"/>
        <v/>
      </c>
      <c r="T589" s="1" t="str">
        <f t="shared" si="111"/>
        <v/>
      </c>
      <c r="U589" s="1" t="str">
        <f t="shared" si="111"/>
        <v/>
      </c>
      <c r="V589" s="25" t="s">
        <v>1355</v>
      </c>
      <c r="W589" s="26" t="s">
        <v>1356</v>
      </c>
      <c r="X589" s="29">
        <v>1</v>
      </c>
      <c r="Y589" s="106" t="s">
        <v>82</v>
      </c>
      <c r="Z589" s="142" t="s">
        <v>1355</v>
      </c>
      <c r="AA589" s="63"/>
      <c r="AB589" s="22"/>
      <c r="AC589" s="31">
        <v>7</v>
      </c>
      <c r="AD589" s="95"/>
      <c r="AE589" s="17"/>
      <c r="AF589" s="17"/>
      <c r="AG589" s="17" t="s">
        <v>77</v>
      </c>
      <c r="AH589" s="17" t="s">
        <v>77</v>
      </c>
      <c r="AI589" s="258" t="s">
        <v>83</v>
      </c>
      <c r="AJ589" s="55" t="s">
        <v>84</v>
      </c>
      <c r="AK589" s="230" t="s">
        <v>85</v>
      </c>
      <c r="AL589" s="205" t="s">
        <v>86</v>
      </c>
    </row>
    <row r="590" spans="1:38">
      <c r="A590" s="25" t="s">
        <v>1357</v>
      </c>
      <c r="B590" s="26" t="s">
        <v>1358</v>
      </c>
      <c r="C590" s="29">
        <v>1</v>
      </c>
      <c r="D590" s="106" t="s">
        <v>82</v>
      </c>
      <c r="E590" s="142" t="s">
        <v>1357</v>
      </c>
      <c r="F590" s="63"/>
      <c r="G590" s="22"/>
      <c r="H590" s="31">
        <v>10</v>
      </c>
      <c r="I590" s="95"/>
      <c r="J590" s="17"/>
      <c r="K590" s="17"/>
      <c r="L590" s="17" t="s">
        <v>77</v>
      </c>
      <c r="M590" s="17" t="s">
        <v>77</v>
      </c>
      <c r="N590" s="258" t="s">
        <v>83</v>
      </c>
      <c r="O590" s="55" t="s">
        <v>84</v>
      </c>
      <c r="P590" s="230" t="s">
        <v>85</v>
      </c>
      <c r="Q590" s="205" t="s">
        <v>86</v>
      </c>
      <c r="R590" s="1" t="str">
        <f t="shared" si="111"/>
        <v/>
      </c>
      <c r="S590" s="1" t="str">
        <f t="shared" si="111"/>
        <v/>
      </c>
      <c r="T590" s="1" t="str">
        <f t="shared" si="111"/>
        <v/>
      </c>
      <c r="U590" s="1" t="str">
        <f t="shared" si="111"/>
        <v/>
      </c>
      <c r="V590" s="25" t="s">
        <v>1357</v>
      </c>
      <c r="W590" s="26" t="s">
        <v>1358</v>
      </c>
      <c r="X590" s="29">
        <v>1</v>
      </c>
      <c r="Y590" s="106" t="s">
        <v>82</v>
      </c>
      <c r="Z590" s="142" t="s">
        <v>1357</v>
      </c>
      <c r="AA590" s="63"/>
      <c r="AB590" s="22"/>
      <c r="AC590" s="31">
        <v>10</v>
      </c>
      <c r="AD590" s="95"/>
      <c r="AE590" s="17"/>
      <c r="AF590" s="17"/>
      <c r="AG590" s="17" t="s">
        <v>77</v>
      </c>
      <c r="AH590" s="17" t="s">
        <v>77</v>
      </c>
      <c r="AI590" s="258" t="s">
        <v>83</v>
      </c>
      <c r="AJ590" s="55" t="s">
        <v>84</v>
      </c>
      <c r="AK590" s="230" t="s">
        <v>85</v>
      </c>
      <c r="AL590" s="205" t="s">
        <v>86</v>
      </c>
    </row>
    <row r="591" spans="1:38">
      <c r="A591" s="25" t="s">
        <v>1359</v>
      </c>
      <c r="B591" s="26" t="s">
        <v>1360</v>
      </c>
      <c r="C591" s="29">
        <v>1</v>
      </c>
      <c r="D591" s="106" t="s">
        <v>82</v>
      </c>
      <c r="E591" s="142" t="s">
        <v>1359</v>
      </c>
      <c r="F591" s="63"/>
      <c r="G591" s="22"/>
      <c r="H591" s="31">
        <v>94.63</v>
      </c>
      <c r="I591" s="95"/>
      <c r="J591" s="17"/>
      <c r="K591" s="17"/>
      <c r="L591" s="17" t="s">
        <v>77</v>
      </c>
      <c r="M591" s="17" t="s">
        <v>77</v>
      </c>
      <c r="N591" s="258" t="s">
        <v>83</v>
      </c>
      <c r="O591" s="55" t="s">
        <v>84</v>
      </c>
      <c r="P591" s="230" t="s">
        <v>85</v>
      </c>
      <c r="Q591" s="205" t="s">
        <v>86</v>
      </c>
      <c r="R591" s="1" t="str">
        <f t="shared" si="111"/>
        <v/>
      </c>
      <c r="S591" s="1" t="str">
        <f t="shared" si="111"/>
        <v/>
      </c>
      <c r="T591" s="1" t="str">
        <f t="shared" si="111"/>
        <v/>
      </c>
      <c r="U591" s="1" t="str">
        <f t="shared" si="111"/>
        <v/>
      </c>
      <c r="V591" s="25" t="s">
        <v>1359</v>
      </c>
      <c r="W591" s="26" t="s">
        <v>1361</v>
      </c>
      <c r="X591" s="29">
        <v>1</v>
      </c>
      <c r="Y591" s="106" t="s">
        <v>82</v>
      </c>
      <c r="Z591" s="142" t="s">
        <v>1359</v>
      </c>
      <c r="AA591" s="63"/>
      <c r="AB591" s="22"/>
      <c r="AC591" s="31">
        <v>47</v>
      </c>
      <c r="AD591" s="95"/>
      <c r="AE591" s="17"/>
      <c r="AF591" s="17"/>
      <c r="AG591" s="17" t="s">
        <v>77</v>
      </c>
      <c r="AH591" s="17" t="s">
        <v>77</v>
      </c>
      <c r="AI591" s="258" t="s">
        <v>83</v>
      </c>
      <c r="AJ591" s="55" t="s">
        <v>84</v>
      </c>
      <c r="AK591" s="230" t="s">
        <v>85</v>
      </c>
      <c r="AL591" s="205" t="s">
        <v>86</v>
      </c>
    </row>
    <row r="592" spans="1:38">
      <c r="A592" s="391"/>
      <c r="B592" s="431"/>
      <c r="C592" s="29"/>
      <c r="D592" s="106"/>
      <c r="E592" s="256"/>
      <c r="F592" s="63"/>
      <c r="G592" s="22"/>
      <c r="H592" s="31"/>
      <c r="I592" s="95"/>
      <c r="J592" s="17"/>
      <c r="K592" s="17"/>
      <c r="L592" s="17"/>
      <c r="M592" s="17"/>
      <c r="N592" s="258"/>
      <c r="O592" s="55"/>
      <c r="P592" s="230"/>
      <c r="Q592" s="205"/>
      <c r="R592" s="1" t="str">
        <f t="shared" si="111"/>
        <v/>
      </c>
      <c r="S592" s="1" t="str">
        <f t="shared" si="111"/>
        <v/>
      </c>
      <c r="T592" s="1" t="str">
        <f t="shared" si="111"/>
        <v/>
      </c>
      <c r="U592" s="1" t="str">
        <f t="shared" si="111"/>
        <v/>
      </c>
      <c r="V592" s="25" t="s">
        <v>1362</v>
      </c>
      <c r="W592" s="26" t="s">
        <v>1363</v>
      </c>
      <c r="X592" s="29">
        <v>1</v>
      </c>
      <c r="Y592" s="106" t="s">
        <v>82</v>
      </c>
      <c r="Z592" s="142" t="s">
        <v>1362</v>
      </c>
      <c r="AA592" s="63"/>
      <c r="AB592" s="22"/>
      <c r="AC592" s="31">
        <v>81</v>
      </c>
      <c r="AD592" s="95"/>
      <c r="AE592" s="17"/>
      <c r="AF592" s="17"/>
      <c r="AG592" s="17" t="s">
        <v>77</v>
      </c>
      <c r="AH592" s="17" t="s">
        <v>77</v>
      </c>
      <c r="AI592" s="258" t="s">
        <v>83</v>
      </c>
      <c r="AJ592" s="55" t="s">
        <v>84</v>
      </c>
      <c r="AK592" s="230" t="s">
        <v>85</v>
      </c>
      <c r="AL592" s="205" t="s">
        <v>86</v>
      </c>
    </row>
    <row r="593" spans="1:38">
      <c r="A593" s="93" t="s">
        <v>1364</v>
      </c>
      <c r="B593" s="94" t="s">
        <v>1365</v>
      </c>
      <c r="C593" s="274">
        <v>1</v>
      </c>
      <c r="D593" s="275" t="s">
        <v>75</v>
      </c>
      <c r="E593" s="382" t="s">
        <v>1364</v>
      </c>
      <c r="F593" s="381">
        <v>593.25</v>
      </c>
      <c r="G593" s="277">
        <f t="shared" ref="G593" si="115">rv_ipm</f>
        <v>0.1065</v>
      </c>
      <c r="H593" s="286">
        <f t="shared" ref="H593" si="116">F593-(F593*G593)</f>
        <v>530.06887500000005</v>
      </c>
      <c r="I593" s="274" t="s">
        <v>1349</v>
      </c>
      <c r="J593" s="279">
        <f t="shared" ref="J593:J603" si="117">ipm_5pl</f>
        <v>23</v>
      </c>
      <c r="K593" s="279">
        <f>H593+J593</f>
        <v>553.06887500000005</v>
      </c>
      <c r="L593" s="279">
        <v>14</v>
      </c>
      <c r="M593" s="409">
        <v>0.25</v>
      </c>
      <c r="N593" s="369" t="s">
        <v>75</v>
      </c>
      <c r="O593" s="55" t="s">
        <v>1366</v>
      </c>
      <c r="P593" s="56" t="s">
        <v>1351</v>
      </c>
      <c r="Q593" s="56" t="s">
        <v>80</v>
      </c>
      <c r="R593" s="1">
        <f t="shared" si="111"/>
        <v>109.5005841217768</v>
      </c>
      <c r="S593" s="1">
        <f t="shared" si="111"/>
        <v>56.025852800846003</v>
      </c>
      <c r="T593" s="1">
        <f t="shared" si="111"/>
        <v>40.187062487068232</v>
      </c>
      <c r="U593" s="1">
        <f t="shared" si="111"/>
        <v>34.427089920903931</v>
      </c>
      <c r="V593" s="93" t="s">
        <v>1364</v>
      </c>
      <c r="W593" s="94" t="s">
        <v>1365</v>
      </c>
      <c r="X593" s="274">
        <v>1</v>
      </c>
      <c r="Y593" s="275" t="s">
        <v>75</v>
      </c>
      <c r="Z593" s="382" t="s">
        <v>1364</v>
      </c>
      <c r="AA593" s="381">
        <v>593.25</v>
      </c>
      <c r="AB593" s="277">
        <f t="shared" ref="AB593:AB595" si="118">rv_ipm</f>
        <v>0.1065</v>
      </c>
      <c r="AC593" s="286">
        <f t="shared" ref="AC593:AC604" si="119">AA593-(AA593*AB593)</f>
        <v>530.06887500000005</v>
      </c>
      <c r="AD593" s="274" t="s">
        <v>1349</v>
      </c>
      <c r="AE593" s="279">
        <v>23</v>
      </c>
      <c r="AF593" s="279">
        <f>AC593+AE593</f>
        <v>553.06887500000005</v>
      </c>
      <c r="AG593" s="279">
        <v>14</v>
      </c>
      <c r="AH593" s="409">
        <v>0.25</v>
      </c>
      <c r="AI593" s="369" t="s">
        <v>75</v>
      </c>
      <c r="AJ593" s="55" t="s">
        <v>1366</v>
      </c>
      <c r="AK593" s="230" t="s">
        <v>1367</v>
      </c>
      <c r="AL593" s="230" t="s">
        <v>1368</v>
      </c>
    </row>
    <row r="594" spans="1:38">
      <c r="A594" s="93" t="s">
        <v>1369</v>
      </c>
      <c r="B594" s="94" t="s">
        <v>1370</v>
      </c>
      <c r="C594" s="274">
        <v>1</v>
      </c>
      <c r="D594" s="275" t="s">
        <v>75</v>
      </c>
      <c r="E594" s="382" t="s">
        <v>1369</v>
      </c>
      <c r="F594" s="381">
        <v>595.25</v>
      </c>
      <c r="G594" s="277">
        <f t="shared" ref="G594" si="120">rv_ipm</f>
        <v>0.1065</v>
      </c>
      <c r="H594" s="286">
        <f t="shared" ref="H594" si="121">F594-(F594*G594)</f>
        <v>531.85587499999997</v>
      </c>
      <c r="I594" s="274" t="s">
        <v>1349</v>
      </c>
      <c r="J594" s="279">
        <f t="shared" si="117"/>
        <v>23</v>
      </c>
      <c r="K594" s="279">
        <f>H594+J594</f>
        <v>554.85587499999997</v>
      </c>
      <c r="L594" s="279">
        <v>12</v>
      </c>
      <c r="M594" s="120">
        <v>0.25</v>
      </c>
      <c r="N594" s="261" t="s">
        <v>75</v>
      </c>
      <c r="O594" s="55" t="s">
        <v>1371</v>
      </c>
      <c r="P594" s="56" t="s">
        <v>1351</v>
      </c>
      <c r="Q594" s="56" t="s">
        <v>80</v>
      </c>
      <c r="R594" s="1">
        <f t="shared" si="111"/>
        <v>109.85438733267996</v>
      </c>
      <c r="S594" s="1">
        <f t="shared" si="111"/>
        <v>56.206875822535856</v>
      </c>
      <c r="T594" s="1">
        <f t="shared" si="111"/>
        <v>40.316909390248945</v>
      </c>
      <c r="U594" s="1">
        <f t="shared" si="111"/>
        <v>34.538325993786636</v>
      </c>
      <c r="V594" s="93" t="s">
        <v>1369</v>
      </c>
      <c r="W594" s="94" t="s">
        <v>1370</v>
      </c>
      <c r="X594" s="274">
        <v>1</v>
      </c>
      <c r="Y594" s="275" t="s">
        <v>75</v>
      </c>
      <c r="Z594" s="382" t="s">
        <v>1369</v>
      </c>
      <c r="AA594" s="381">
        <v>595.25</v>
      </c>
      <c r="AB594" s="277">
        <f t="shared" si="118"/>
        <v>0.1065</v>
      </c>
      <c r="AC594" s="286">
        <f t="shared" si="119"/>
        <v>531.85587499999997</v>
      </c>
      <c r="AD594" s="274" t="s">
        <v>1349</v>
      </c>
      <c r="AE594" s="279">
        <v>23</v>
      </c>
      <c r="AF594" s="279">
        <f>AC594+AE594</f>
        <v>554.85587499999997</v>
      </c>
      <c r="AG594" s="279">
        <v>12</v>
      </c>
      <c r="AH594" s="120">
        <v>0.25</v>
      </c>
      <c r="AI594" s="261" t="s">
        <v>75</v>
      </c>
      <c r="AJ594" s="55" t="s">
        <v>1371</v>
      </c>
      <c r="AK594" s="230" t="s">
        <v>1372</v>
      </c>
      <c r="AL594" s="230" t="s">
        <v>1373</v>
      </c>
    </row>
    <row r="595" spans="1:38">
      <c r="A595" s="93" t="s">
        <v>1374</v>
      </c>
      <c r="B595" s="94" t="s">
        <v>1375</v>
      </c>
      <c r="C595" s="274">
        <v>1</v>
      </c>
      <c r="D595" s="275" t="s">
        <v>75</v>
      </c>
      <c r="E595" s="382" t="s">
        <v>1374</v>
      </c>
      <c r="F595" s="381">
        <v>734.92</v>
      </c>
      <c r="G595" s="277">
        <f t="shared" ref="G595" si="122">rv_ipm</f>
        <v>0.1065</v>
      </c>
      <c r="H595" s="286">
        <f t="shared" ref="H595" si="123">F595-(F595*G595)</f>
        <v>656.65102000000002</v>
      </c>
      <c r="I595" s="274" t="s">
        <v>1349</v>
      </c>
      <c r="J595" s="279">
        <f t="shared" si="117"/>
        <v>23</v>
      </c>
      <c r="K595" s="279">
        <f>H595+J595</f>
        <v>679.65102000000002</v>
      </c>
      <c r="L595" s="279">
        <v>14</v>
      </c>
      <c r="M595" s="120">
        <v>0.25</v>
      </c>
      <c r="N595" s="261" t="s">
        <v>75</v>
      </c>
      <c r="O595" s="55" t="s">
        <v>1376</v>
      </c>
      <c r="P595" s="56" t="s">
        <v>1351</v>
      </c>
      <c r="Q595" s="56" t="s">
        <v>80</v>
      </c>
      <c r="R595" s="1">
        <f t="shared" si="111"/>
        <v>134.56223456610425</v>
      </c>
      <c r="S595" s="1">
        <f t="shared" si="111"/>
        <v>68.84861854224728</v>
      </c>
      <c r="T595" s="1">
        <f t="shared" si="111"/>
        <v>49.384767873874047</v>
      </c>
      <c r="U595" s="1">
        <f t="shared" si="111"/>
        <v>42.306497143550295</v>
      </c>
      <c r="V595" s="93" t="s">
        <v>1374</v>
      </c>
      <c r="W595" s="94" t="s">
        <v>1375</v>
      </c>
      <c r="X595" s="274">
        <v>1</v>
      </c>
      <c r="Y595" s="275" t="s">
        <v>75</v>
      </c>
      <c r="Z595" s="382" t="s">
        <v>1374</v>
      </c>
      <c r="AA595" s="381">
        <v>734.92</v>
      </c>
      <c r="AB595" s="277">
        <f t="shared" si="118"/>
        <v>0.1065</v>
      </c>
      <c r="AC595" s="286">
        <f t="shared" si="119"/>
        <v>656.65102000000002</v>
      </c>
      <c r="AD595" s="274" t="s">
        <v>1349</v>
      </c>
      <c r="AE595" s="279">
        <v>23</v>
      </c>
      <c r="AF595" s="279">
        <f>AC595+AE595</f>
        <v>679.65102000000002</v>
      </c>
      <c r="AG595" s="279">
        <v>14</v>
      </c>
      <c r="AH595" s="120">
        <v>0.25</v>
      </c>
      <c r="AI595" s="261" t="s">
        <v>75</v>
      </c>
      <c r="AJ595" s="55" t="s">
        <v>1376</v>
      </c>
      <c r="AK595" s="230" t="s">
        <v>1377</v>
      </c>
      <c r="AL595" s="230" t="s">
        <v>1273</v>
      </c>
    </row>
    <row r="596" spans="1:38">
      <c r="A596" s="93" t="s">
        <v>1378</v>
      </c>
      <c r="B596" s="94" t="s">
        <v>1379</v>
      </c>
      <c r="C596" s="274">
        <v>1</v>
      </c>
      <c r="D596" s="275" t="s">
        <v>75</v>
      </c>
      <c r="E596" s="146" t="s">
        <v>1378</v>
      </c>
      <c r="F596" s="276">
        <v>311.92</v>
      </c>
      <c r="G596" s="277">
        <f t="shared" ref="G596:G603" si="124">rv_ip97_hg</f>
        <v>0.1065</v>
      </c>
      <c r="H596" s="286">
        <f t="shared" ref="H596:H604" si="125">F596-(F596*G596)</f>
        <v>278.70051999999998</v>
      </c>
      <c r="I596" s="274" t="s">
        <v>1380</v>
      </c>
      <c r="J596" s="279">
        <f t="shared" si="117"/>
        <v>23</v>
      </c>
      <c r="K596" s="279">
        <f t="shared" ref="K596:K603" si="126">H596+J596</f>
        <v>301.70051999999998</v>
      </c>
      <c r="L596" s="122">
        <v>12</v>
      </c>
      <c r="M596" s="120">
        <v>0.25</v>
      </c>
      <c r="N596" s="258" t="s">
        <v>75</v>
      </c>
      <c r="O596" s="55" t="s">
        <v>1366</v>
      </c>
      <c r="P596" s="56" t="s">
        <v>1351</v>
      </c>
      <c r="Q596" s="56" t="s">
        <v>80</v>
      </c>
      <c r="R596" s="1">
        <f t="shared" si="111"/>
        <v>59.732855460079534</v>
      </c>
      <c r="S596" s="1">
        <f t="shared" si="111"/>
        <v>30.562249454841755</v>
      </c>
      <c r="T596" s="1">
        <f t="shared" si="111"/>
        <v>21.92214785115322</v>
      </c>
      <c r="U596" s="1">
        <f t="shared" si="111"/>
        <v>18.780067728858317</v>
      </c>
      <c r="V596" s="93" t="s">
        <v>1378</v>
      </c>
      <c r="W596" s="94" t="s">
        <v>1379</v>
      </c>
      <c r="X596" s="274">
        <v>1</v>
      </c>
      <c r="Y596" s="275" t="s">
        <v>75</v>
      </c>
      <c r="Z596" s="146" t="s">
        <v>1378</v>
      </c>
      <c r="AA596" s="276">
        <v>311.92</v>
      </c>
      <c r="AB596" s="277">
        <f t="shared" ref="AB596:AB603" si="127">rv_ip97_hg</f>
        <v>0.1065</v>
      </c>
      <c r="AC596" s="286">
        <f t="shared" si="119"/>
        <v>278.70051999999998</v>
      </c>
      <c r="AD596" s="274" t="s">
        <v>1380</v>
      </c>
      <c r="AE596" s="279">
        <v>23</v>
      </c>
      <c r="AF596" s="279">
        <f t="shared" ref="AF596:AF603" si="128">AC596+AE596</f>
        <v>301.70051999999998</v>
      </c>
      <c r="AG596" s="122">
        <v>12</v>
      </c>
      <c r="AH596" s="120">
        <v>0.25</v>
      </c>
      <c r="AI596" s="258" t="s">
        <v>75</v>
      </c>
      <c r="AJ596" s="55" t="s">
        <v>1366</v>
      </c>
      <c r="AK596" s="230" t="s">
        <v>1351</v>
      </c>
      <c r="AL596" s="230" t="s">
        <v>80</v>
      </c>
    </row>
    <row r="597" spans="1:38">
      <c r="A597" s="93" t="s">
        <v>1381</v>
      </c>
      <c r="B597" s="94" t="s">
        <v>1382</v>
      </c>
      <c r="C597" s="274">
        <v>1</v>
      </c>
      <c r="D597" s="275" t="s">
        <v>75</v>
      </c>
      <c r="E597" s="146" t="s">
        <v>1381</v>
      </c>
      <c r="F597" s="276">
        <v>311.92</v>
      </c>
      <c r="G597" s="277">
        <f t="shared" si="124"/>
        <v>0.1065</v>
      </c>
      <c r="H597" s="286">
        <f t="shared" si="125"/>
        <v>278.70051999999998</v>
      </c>
      <c r="I597" s="274" t="s">
        <v>1380</v>
      </c>
      <c r="J597" s="279">
        <f t="shared" si="117"/>
        <v>23</v>
      </c>
      <c r="K597" s="279">
        <f t="shared" si="126"/>
        <v>301.70051999999998</v>
      </c>
      <c r="L597" s="122">
        <v>12</v>
      </c>
      <c r="M597" s="120">
        <v>0.25</v>
      </c>
      <c r="N597" s="258" t="s">
        <v>75</v>
      </c>
      <c r="O597" s="55" t="s">
        <v>1366</v>
      </c>
      <c r="P597" s="56" t="s">
        <v>1351</v>
      </c>
      <c r="Q597" s="56" t="s">
        <v>80</v>
      </c>
      <c r="R597" s="1">
        <f t="shared" si="111"/>
        <v>59.732855460079534</v>
      </c>
      <c r="S597" s="1">
        <f t="shared" si="111"/>
        <v>30.562249454841755</v>
      </c>
      <c r="T597" s="1">
        <f t="shared" si="111"/>
        <v>21.92214785115322</v>
      </c>
      <c r="U597" s="1">
        <f t="shared" si="111"/>
        <v>18.780067728858317</v>
      </c>
      <c r="V597" s="93" t="s">
        <v>1381</v>
      </c>
      <c r="W597" s="94" t="s">
        <v>1382</v>
      </c>
      <c r="X597" s="274">
        <v>1</v>
      </c>
      <c r="Y597" s="275" t="s">
        <v>75</v>
      </c>
      <c r="Z597" s="146" t="s">
        <v>1381</v>
      </c>
      <c r="AA597" s="276">
        <v>311.92</v>
      </c>
      <c r="AB597" s="277">
        <f t="shared" si="127"/>
        <v>0.1065</v>
      </c>
      <c r="AC597" s="286">
        <f t="shared" si="119"/>
        <v>278.70051999999998</v>
      </c>
      <c r="AD597" s="274" t="s">
        <v>1380</v>
      </c>
      <c r="AE597" s="279">
        <v>23</v>
      </c>
      <c r="AF597" s="279">
        <f t="shared" si="128"/>
        <v>301.70051999999998</v>
      </c>
      <c r="AG597" s="122">
        <v>12</v>
      </c>
      <c r="AH597" s="120">
        <v>0.25</v>
      </c>
      <c r="AI597" s="258" t="s">
        <v>75</v>
      </c>
      <c r="AJ597" s="55" t="s">
        <v>1366</v>
      </c>
      <c r="AK597" s="230" t="s">
        <v>1351</v>
      </c>
      <c r="AL597" s="230" t="s">
        <v>80</v>
      </c>
    </row>
    <row r="598" spans="1:38">
      <c r="A598" s="93" t="s">
        <v>1383</v>
      </c>
      <c r="B598" s="94" t="s">
        <v>1384</v>
      </c>
      <c r="C598" s="274">
        <v>1</v>
      </c>
      <c r="D598" s="275" t="s">
        <v>75</v>
      </c>
      <c r="E598" s="146" t="s">
        <v>1383</v>
      </c>
      <c r="F598" s="276">
        <v>451.58</v>
      </c>
      <c r="G598" s="277">
        <f t="shared" si="124"/>
        <v>0.1065</v>
      </c>
      <c r="H598" s="286">
        <f t="shared" si="125"/>
        <v>403.48672999999997</v>
      </c>
      <c r="I598" s="274" t="s">
        <v>1380</v>
      </c>
      <c r="J598" s="279">
        <f t="shared" si="117"/>
        <v>23</v>
      </c>
      <c r="K598" s="279">
        <f t="shared" si="126"/>
        <v>426.48672999999997</v>
      </c>
      <c r="L598" s="122">
        <v>14</v>
      </c>
      <c r="M598" s="120">
        <v>0.25</v>
      </c>
      <c r="N598" s="258" t="s">
        <v>75</v>
      </c>
      <c r="O598" s="55" t="s">
        <v>1366</v>
      </c>
      <c r="P598" s="56" t="s">
        <v>1351</v>
      </c>
      <c r="Q598" s="56" t="s">
        <v>80</v>
      </c>
      <c r="R598" s="1">
        <f t="shared" si="111"/>
        <v>84.438933677449299</v>
      </c>
      <c r="S598" s="1">
        <f t="shared" si="111"/>
        <v>43.203087059444719</v>
      </c>
      <c r="T598" s="1">
        <f t="shared" si="111"/>
        <v>30.989357100262414</v>
      </c>
      <c r="U598" s="1">
        <f t="shared" si="111"/>
        <v>26.547682698257564</v>
      </c>
      <c r="V598" s="93" t="s">
        <v>1383</v>
      </c>
      <c r="W598" s="94" t="s">
        <v>1384</v>
      </c>
      <c r="X598" s="274">
        <v>1</v>
      </c>
      <c r="Y598" s="275" t="s">
        <v>75</v>
      </c>
      <c r="Z598" s="146" t="s">
        <v>1383</v>
      </c>
      <c r="AA598" s="276">
        <v>451.58</v>
      </c>
      <c r="AB598" s="277">
        <f t="shared" si="127"/>
        <v>0.1065</v>
      </c>
      <c r="AC598" s="286">
        <f t="shared" si="119"/>
        <v>403.48672999999997</v>
      </c>
      <c r="AD598" s="274" t="s">
        <v>1380</v>
      </c>
      <c r="AE598" s="279">
        <v>23</v>
      </c>
      <c r="AF598" s="279">
        <f t="shared" si="128"/>
        <v>426.48672999999997</v>
      </c>
      <c r="AG598" s="122">
        <v>14</v>
      </c>
      <c r="AH598" s="120">
        <v>0.25</v>
      </c>
      <c r="AI598" s="258" t="s">
        <v>75</v>
      </c>
      <c r="AJ598" s="55" t="s">
        <v>1366</v>
      </c>
      <c r="AK598" s="230" t="s">
        <v>1351</v>
      </c>
      <c r="AL598" s="230" t="s">
        <v>80</v>
      </c>
    </row>
    <row r="599" spans="1:38">
      <c r="A599" s="93" t="s">
        <v>1385</v>
      </c>
      <c r="B599" s="94" t="s">
        <v>1386</v>
      </c>
      <c r="C599" s="274">
        <v>1</v>
      </c>
      <c r="D599" s="275" t="s">
        <v>75</v>
      </c>
      <c r="E599" s="146" t="s">
        <v>1385</v>
      </c>
      <c r="F599" s="276">
        <v>451.58</v>
      </c>
      <c r="G599" s="277">
        <f t="shared" si="124"/>
        <v>0.1065</v>
      </c>
      <c r="H599" s="286">
        <f t="shared" si="125"/>
        <v>403.48672999999997</v>
      </c>
      <c r="I599" s="274" t="s">
        <v>1380</v>
      </c>
      <c r="J599" s="279">
        <f t="shared" si="117"/>
        <v>23</v>
      </c>
      <c r="K599" s="279">
        <f t="shared" si="126"/>
        <v>426.48672999999997</v>
      </c>
      <c r="L599" s="122">
        <v>14</v>
      </c>
      <c r="M599" s="120">
        <v>0.25</v>
      </c>
      <c r="N599" s="258" t="s">
        <v>75</v>
      </c>
      <c r="O599" s="55" t="s">
        <v>1366</v>
      </c>
      <c r="P599" s="56" t="s">
        <v>1351</v>
      </c>
      <c r="Q599" s="56" t="s">
        <v>80</v>
      </c>
      <c r="R599" s="1">
        <f t="shared" si="111"/>
        <v>84.438933677449299</v>
      </c>
      <c r="S599" s="1">
        <f t="shared" si="111"/>
        <v>43.203087059444719</v>
      </c>
      <c r="T599" s="1">
        <f t="shared" si="111"/>
        <v>30.989357100262414</v>
      </c>
      <c r="U599" s="1">
        <f t="shared" si="111"/>
        <v>26.547682698257564</v>
      </c>
      <c r="V599" s="93" t="s">
        <v>1385</v>
      </c>
      <c r="W599" s="94" t="s">
        <v>1386</v>
      </c>
      <c r="X599" s="274">
        <v>1</v>
      </c>
      <c r="Y599" s="275" t="s">
        <v>75</v>
      </c>
      <c r="Z599" s="146" t="s">
        <v>1385</v>
      </c>
      <c r="AA599" s="276">
        <v>451.58</v>
      </c>
      <c r="AB599" s="277">
        <f t="shared" si="127"/>
        <v>0.1065</v>
      </c>
      <c r="AC599" s="286">
        <f t="shared" si="119"/>
        <v>403.48672999999997</v>
      </c>
      <c r="AD599" s="274" t="s">
        <v>1380</v>
      </c>
      <c r="AE599" s="279">
        <v>23</v>
      </c>
      <c r="AF599" s="279">
        <f t="shared" si="128"/>
        <v>426.48672999999997</v>
      </c>
      <c r="AG599" s="122">
        <v>14</v>
      </c>
      <c r="AH599" s="120">
        <v>0.25</v>
      </c>
      <c r="AI599" s="258" t="s">
        <v>75</v>
      </c>
      <c r="AJ599" s="55" t="s">
        <v>1366</v>
      </c>
      <c r="AK599" s="230" t="s">
        <v>1351</v>
      </c>
      <c r="AL599" s="230" t="s">
        <v>80</v>
      </c>
    </row>
    <row r="600" spans="1:38">
      <c r="A600" s="93" t="s">
        <v>1387</v>
      </c>
      <c r="B600" s="94" t="s">
        <v>1388</v>
      </c>
      <c r="C600" s="274">
        <v>1</v>
      </c>
      <c r="D600" s="275" t="s">
        <v>75</v>
      </c>
      <c r="E600" s="146" t="s">
        <v>1387</v>
      </c>
      <c r="F600" s="276">
        <v>428.58</v>
      </c>
      <c r="G600" s="277">
        <f t="shared" si="124"/>
        <v>0.1065</v>
      </c>
      <c r="H600" s="286">
        <f t="shared" si="125"/>
        <v>382.93622999999997</v>
      </c>
      <c r="I600" s="274" t="s">
        <v>1380</v>
      </c>
      <c r="J600" s="279">
        <f t="shared" si="117"/>
        <v>23</v>
      </c>
      <c r="K600" s="279">
        <f t="shared" si="126"/>
        <v>405.93622999999997</v>
      </c>
      <c r="L600" s="122">
        <v>12</v>
      </c>
      <c r="M600" s="120">
        <v>0.25</v>
      </c>
      <c r="N600" s="258" t="s">
        <v>75</v>
      </c>
      <c r="O600" s="55" t="s">
        <v>1366</v>
      </c>
      <c r="P600" s="56" t="s">
        <v>1351</v>
      </c>
      <c r="Q600" s="56" t="s">
        <v>80</v>
      </c>
      <c r="R600" s="1">
        <f t="shared" si="111"/>
        <v>80.370196752062611</v>
      </c>
      <c r="S600" s="1">
        <f t="shared" si="111"/>
        <v>41.121322310011323</v>
      </c>
      <c r="T600" s="1">
        <f t="shared" si="111"/>
        <v>29.496117713684214</v>
      </c>
      <c r="U600" s="1">
        <f t="shared" si="111"/>
        <v>25.268467860106462</v>
      </c>
      <c r="V600" s="93" t="s">
        <v>1387</v>
      </c>
      <c r="W600" s="94" t="s">
        <v>1388</v>
      </c>
      <c r="X600" s="274">
        <v>1</v>
      </c>
      <c r="Y600" s="275" t="s">
        <v>75</v>
      </c>
      <c r="Z600" s="146" t="s">
        <v>1387</v>
      </c>
      <c r="AA600" s="276">
        <v>428.58</v>
      </c>
      <c r="AB600" s="277">
        <f t="shared" si="127"/>
        <v>0.1065</v>
      </c>
      <c r="AC600" s="286">
        <f t="shared" si="119"/>
        <v>382.93622999999997</v>
      </c>
      <c r="AD600" s="274" t="s">
        <v>1380</v>
      </c>
      <c r="AE600" s="279">
        <v>23</v>
      </c>
      <c r="AF600" s="279">
        <f t="shared" si="128"/>
        <v>405.93622999999997</v>
      </c>
      <c r="AG600" s="122">
        <v>12</v>
      </c>
      <c r="AH600" s="120">
        <v>0.25</v>
      </c>
      <c r="AI600" s="258" t="s">
        <v>75</v>
      </c>
      <c r="AJ600" s="55" t="s">
        <v>1366</v>
      </c>
      <c r="AK600" s="230" t="s">
        <v>1351</v>
      </c>
      <c r="AL600" s="230" t="s">
        <v>80</v>
      </c>
    </row>
    <row r="601" spans="1:38">
      <c r="A601" s="93" t="s">
        <v>1389</v>
      </c>
      <c r="B601" s="94" t="s">
        <v>1390</v>
      </c>
      <c r="C601" s="274">
        <v>1</v>
      </c>
      <c r="D601" s="275" t="s">
        <v>75</v>
      </c>
      <c r="E601" s="146" t="s">
        <v>1389</v>
      </c>
      <c r="F601" s="276">
        <v>428.58</v>
      </c>
      <c r="G601" s="277">
        <f t="shared" si="124"/>
        <v>0.1065</v>
      </c>
      <c r="H601" s="286">
        <f t="shared" si="125"/>
        <v>382.93622999999997</v>
      </c>
      <c r="I601" s="274" t="s">
        <v>1380</v>
      </c>
      <c r="J601" s="279">
        <f t="shared" si="117"/>
        <v>23</v>
      </c>
      <c r="K601" s="279">
        <f t="shared" si="126"/>
        <v>405.93622999999997</v>
      </c>
      <c r="L601" s="122">
        <v>12</v>
      </c>
      <c r="M601" s="120">
        <v>0.25</v>
      </c>
      <c r="N601" s="258" t="s">
        <v>75</v>
      </c>
      <c r="O601" s="55" t="s">
        <v>1366</v>
      </c>
      <c r="P601" s="56" t="s">
        <v>1351</v>
      </c>
      <c r="Q601" s="56" t="s">
        <v>80</v>
      </c>
      <c r="R601" s="1">
        <f t="shared" si="111"/>
        <v>80.370196752062611</v>
      </c>
      <c r="S601" s="1">
        <f t="shared" si="111"/>
        <v>41.121322310011323</v>
      </c>
      <c r="T601" s="1">
        <f t="shared" si="111"/>
        <v>29.496117713684214</v>
      </c>
      <c r="U601" s="1">
        <f t="shared" si="111"/>
        <v>25.268467860106462</v>
      </c>
      <c r="V601" s="93" t="s">
        <v>1389</v>
      </c>
      <c r="W601" s="94" t="s">
        <v>1390</v>
      </c>
      <c r="X601" s="274">
        <v>1</v>
      </c>
      <c r="Y601" s="275" t="s">
        <v>75</v>
      </c>
      <c r="Z601" s="146" t="s">
        <v>1389</v>
      </c>
      <c r="AA601" s="276">
        <v>428.58</v>
      </c>
      <c r="AB601" s="277">
        <f t="shared" si="127"/>
        <v>0.1065</v>
      </c>
      <c r="AC601" s="286">
        <f t="shared" si="119"/>
        <v>382.93622999999997</v>
      </c>
      <c r="AD601" s="274" t="s">
        <v>1380</v>
      </c>
      <c r="AE601" s="279">
        <v>23</v>
      </c>
      <c r="AF601" s="279">
        <f t="shared" si="128"/>
        <v>405.93622999999997</v>
      </c>
      <c r="AG601" s="122">
        <v>12</v>
      </c>
      <c r="AH601" s="120">
        <v>0.25</v>
      </c>
      <c r="AI601" s="258" t="s">
        <v>75</v>
      </c>
      <c r="AJ601" s="55" t="s">
        <v>1366</v>
      </c>
      <c r="AK601" s="230" t="s">
        <v>1351</v>
      </c>
      <c r="AL601" s="230" t="s">
        <v>80</v>
      </c>
    </row>
    <row r="602" spans="1:38">
      <c r="A602" s="93" t="s">
        <v>1391</v>
      </c>
      <c r="B602" s="94" t="s">
        <v>1392</v>
      </c>
      <c r="C602" s="274">
        <v>1</v>
      </c>
      <c r="D602" s="275" t="s">
        <v>75</v>
      </c>
      <c r="E602" s="146" t="s">
        <v>1391</v>
      </c>
      <c r="F602" s="276">
        <v>568.25</v>
      </c>
      <c r="G602" s="277">
        <f t="shared" si="124"/>
        <v>0.1065</v>
      </c>
      <c r="H602" s="286">
        <f t="shared" si="125"/>
        <v>507.73137500000001</v>
      </c>
      <c r="I602" s="274" t="s">
        <v>1380</v>
      </c>
      <c r="J602" s="279">
        <f t="shared" si="117"/>
        <v>23</v>
      </c>
      <c r="K602" s="279">
        <f t="shared" si="126"/>
        <v>530.73137500000007</v>
      </c>
      <c r="L602" s="122">
        <v>14</v>
      </c>
      <c r="M602" s="120">
        <v>0.25</v>
      </c>
      <c r="N602" s="258" t="s">
        <v>75</v>
      </c>
      <c r="O602" s="55" t="s">
        <v>1366</v>
      </c>
      <c r="P602" s="56" t="s">
        <v>1351</v>
      </c>
      <c r="Q602" s="56" t="s">
        <v>80</v>
      </c>
      <c r="R602" s="1">
        <f t="shared" si="111"/>
        <v>105.07804398548691</v>
      </c>
      <c r="S602" s="1">
        <f t="shared" si="111"/>
        <v>53.763065029722746</v>
      </c>
      <c r="T602" s="1">
        <f t="shared" si="111"/>
        <v>38.563976197309323</v>
      </c>
      <c r="U602" s="1">
        <f t="shared" si="111"/>
        <v>33.036639009870129</v>
      </c>
      <c r="V602" s="93" t="s">
        <v>1391</v>
      </c>
      <c r="W602" s="94" t="s">
        <v>1392</v>
      </c>
      <c r="X602" s="274">
        <v>1</v>
      </c>
      <c r="Y602" s="275" t="s">
        <v>75</v>
      </c>
      <c r="Z602" s="146" t="s">
        <v>1391</v>
      </c>
      <c r="AA602" s="276">
        <v>568.25</v>
      </c>
      <c r="AB602" s="277">
        <f t="shared" si="127"/>
        <v>0.1065</v>
      </c>
      <c r="AC602" s="286">
        <f t="shared" si="119"/>
        <v>507.73137500000001</v>
      </c>
      <c r="AD602" s="274" t="s">
        <v>1380</v>
      </c>
      <c r="AE602" s="279">
        <v>23</v>
      </c>
      <c r="AF602" s="279">
        <f t="shared" si="128"/>
        <v>530.73137500000007</v>
      </c>
      <c r="AG602" s="122">
        <v>14</v>
      </c>
      <c r="AH602" s="120">
        <v>0.25</v>
      </c>
      <c r="AI602" s="258" t="s">
        <v>75</v>
      </c>
      <c r="AJ602" s="55" t="s">
        <v>1366</v>
      </c>
      <c r="AK602" s="230" t="s">
        <v>1351</v>
      </c>
      <c r="AL602" s="230" t="s">
        <v>80</v>
      </c>
    </row>
    <row r="603" spans="1:38">
      <c r="A603" s="93" t="s">
        <v>1393</v>
      </c>
      <c r="B603" s="94" t="s">
        <v>1394</v>
      </c>
      <c r="C603" s="274">
        <v>1</v>
      </c>
      <c r="D603" s="275" t="s">
        <v>75</v>
      </c>
      <c r="E603" s="146" t="s">
        <v>1393</v>
      </c>
      <c r="F603" s="276">
        <v>568.25</v>
      </c>
      <c r="G603" s="277">
        <f t="shared" si="124"/>
        <v>0.1065</v>
      </c>
      <c r="H603" s="286">
        <f t="shared" si="125"/>
        <v>507.73137500000001</v>
      </c>
      <c r="I603" s="274" t="s">
        <v>1380</v>
      </c>
      <c r="J603" s="279">
        <f t="shared" si="117"/>
        <v>23</v>
      </c>
      <c r="K603" s="279">
        <f t="shared" si="126"/>
        <v>530.73137500000007</v>
      </c>
      <c r="L603" s="122">
        <v>14</v>
      </c>
      <c r="M603" s="120">
        <v>0.25</v>
      </c>
      <c r="N603" s="258" t="s">
        <v>75</v>
      </c>
      <c r="O603" s="55" t="s">
        <v>1366</v>
      </c>
      <c r="P603" s="56" t="s">
        <v>1351</v>
      </c>
      <c r="Q603" s="56" t="s">
        <v>80</v>
      </c>
      <c r="R603" s="1">
        <f t="shared" si="111"/>
        <v>105.07804398548691</v>
      </c>
      <c r="S603" s="1">
        <f t="shared" si="111"/>
        <v>53.763065029722746</v>
      </c>
      <c r="T603" s="1">
        <f t="shared" si="111"/>
        <v>38.563976197309323</v>
      </c>
      <c r="U603" s="1">
        <f t="shared" si="111"/>
        <v>33.036639009870129</v>
      </c>
      <c r="V603" s="93" t="s">
        <v>1393</v>
      </c>
      <c r="W603" s="94" t="s">
        <v>1394</v>
      </c>
      <c r="X603" s="274">
        <v>1</v>
      </c>
      <c r="Y603" s="275" t="s">
        <v>75</v>
      </c>
      <c r="Z603" s="146" t="s">
        <v>1393</v>
      </c>
      <c r="AA603" s="276">
        <v>568.25</v>
      </c>
      <c r="AB603" s="277">
        <f t="shared" si="127"/>
        <v>0.1065</v>
      </c>
      <c r="AC603" s="286">
        <f t="shared" si="119"/>
        <v>507.73137500000001</v>
      </c>
      <c r="AD603" s="274" t="s">
        <v>1380</v>
      </c>
      <c r="AE603" s="279">
        <v>23</v>
      </c>
      <c r="AF603" s="279">
        <f t="shared" si="128"/>
        <v>530.73137500000007</v>
      </c>
      <c r="AG603" s="122">
        <v>14</v>
      </c>
      <c r="AH603" s="120">
        <v>0.25</v>
      </c>
      <c r="AI603" s="258" t="s">
        <v>75</v>
      </c>
      <c r="AJ603" s="55" t="s">
        <v>1366</v>
      </c>
      <c r="AK603" s="230" t="s">
        <v>1351</v>
      </c>
      <c r="AL603" s="230" t="s">
        <v>80</v>
      </c>
    </row>
    <row r="604" spans="1:38">
      <c r="A604" s="103" t="s">
        <v>1380</v>
      </c>
      <c r="B604" s="104" t="s">
        <v>1395</v>
      </c>
      <c r="C604" s="105">
        <v>1</v>
      </c>
      <c r="D604" s="106" t="s">
        <v>82</v>
      </c>
      <c r="E604" s="105" t="s">
        <v>1380</v>
      </c>
      <c r="F604" s="108">
        <v>25.74</v>
      </c>
      <c r="G604" s="180">
        <v>0.1065</v>
      </c>
      <c r="H604" s="100">
        <f t="shared" si="125"/>
        <v>22.99869</v>
      </c>
      <c r="I604" s="105" t="s">
        <v>1380</v>
      </c>
      <c r="J604" s="328"/>
      <c r="K604" s="328"/>
      <c r="L604" s="17" t="s">
        <v>77</v>
      </c>
      <c r="M604" s="17" t="s">
        <v>77</v>
      </c>
      <c r="N604" s="261" t="s">
        <v>83</v>
      </c>
      <c r="O604" s="55" t="s">
        <v>84</v>
      </c>
      <c r="P604" s="230" t="s">
        <v>85</v>
      </c>
      <c r="Q604" s="14" t="s">
        <v>86</v>
      </c>
      <c r="R604" s="1" t="str">
        <f t="shared" si="111"/>
        <v/>
      </c>
      <c r="S604" s="1" t="str">
        <f t="shared" si="111"/>
        <v/>
      </c>
      <c r="T604" s="1" t="str">
        <f t="shared" si="111"/>
        <v/>
      </c>
      <c r="U604" s="1" t="str">
        <f t="shared" si="111"/>
        <v/>
      </c>
      <c r="V604" s="103" t="s">
        <v>1380</v>
      </c>
      <c r="W604" s="104" t="s">
        <v>1395</v>
      </c>
      <c r="X604" s="105">
        <v>1</v>
      </c>
      <c r="Y604" s="106" t="s">
        <v>82</v>
      </c>
      <c r="Z604" s="105" t="s">
        <v>1380</v>
      </c>
      <c r="AA604" s="108">
        <v>25.74</v>
      </c>
      <c r="AB604" s="180">
        <v>0.1065</v>
      </c>
      <c r="AC604" s="100">
        <f t="shared" si="119"/>
        <v>22.99869</v>
      </c>
      <c r="AD604" s="105" t="s">
        <v>1380</v>
      </c>
      <c r="AE604" s="328"/>
      <c r="AF604" s="328"/>
      <c r="AG604" s="17" t="s">
        <v>77</v>
      </c>
      <c r="AH604" s="17" t="s">
        <v>77</v>
      </c>
      <c r="AI604" s="261" t="s">
        <v>83</v>
      </c>
      <c r="AJ604" s="55" t="s">
        <v>84</v>
      </c>
      <c r="AK604" s="230" t="s">
        <v>85</v>
      </c>
      <c r="AL604" s="330"/>
    </row>
    <row r="605" spans="1:38">
      <c r="A605" s="25" t="s">
        <v>1396</v>
      </c>
      <c r="B605" s="26" t="s">
        <v>1397</v>
      </c>
      <c r="C605" s="29">
        <v>1</v>
      </c>
      <c r="D605" s="106" t="s">
        <v>82</v>
      </c>
      <c r="E605" s="29" t="s">
        <v>1396</v>
      </c>
      <c r="F605" s="35"/>
      <c r="G605" s="22"/>
      <c r="H605" s="31">
        <v>5</v>
      </c>
      <c r="I605" s="95"/>
      <c r="J605" s="17"/>
      <c r="K605" s="17"/>
      <c r="L605" s="17" t="s">
        <v>77</v>
      </c>
      <c r="M605" s="17" t="s">
        <v>77</v>
      </c>
      <c r="N605" s="258" t="s">
        <v>83</v>
      </c>
      <c r="O605" s="55" t="s">
        <v>84</v>
      </c>
      <c r="P605" s="230" t="s">
        <v>85</v>
      </c>
      <c r="Q605" s="205" t="s">
        <v>86</v>
      </c>
      <c r="R605" s="1" t="str">
        <f t="shared" si="111"/>
        <v/>
      </c>
      <c r="S605" s="1" t="str">
        <f t="shared" si="111"/>
        <v/>
      </c>
      <c r="T605" s="1" t="str">
        <f t="shared" si="111"/>
        <v/>
      </c>
      <c r="U605" s="1" t="str">
        <f t="shared" si="111"/>
        <v/>
      </c>
      <c r="V605" s="25" t="s">
        <v>1396</v>
      </c>
      <c r="W605" s="26" t="s">
        <v>1397</v>
      </c>
      <c r="X605" s="29">
        <v>1</v>
      </c>
      <c r="Y605" s="106" t="s">
        <v>82</v>
      </c>
      <c r="Z605" s="29" t="s">
        <v>1396</v>
      </c>
      <c r="AA605" s="35"/>
      <c r="AB605" s="22"/>
      <c r="AC605" s="31">
        <v>5</v>
      </c>
      <c r="AD605" s="95"/>
      <c r="AE605" s="17"/>
      <c r="AF605" s="17"/>
      <c r="AG605" s="17" t="s">
        <v>77</v>
      </c>
      <c r="AH605" s="17" t="s">
        <v>77</v>
      </c>
      <c r="AI605" s="258" t="s">
        <v>83</v>
      </c>
      <c r="AJ605" s="55" t="s">
        <v>84</v>
      </c>
      <c r="AK605" s="230" t="s">
        <v>85</v>
      </c>
      <c r="AL605" s="205" t="s">
        <v>86</v>
      </c>
    </row>
    <row r="606" spans="1:38">
      <c r="A606" s="25" t="s">
        <v>1398</v>
      </c>
      <c r="B606" s="26" t="s">
        <v>1399</v>
      </c>
      <c r="C606" s="29">
        <v>1</v>
      </c>
      <c r="D606" s="106" t="s">
        <v>82</v>
      </c>
      <c r="E606" s="29" t="s">
        <v>1398</v>
      </c>
      <c r="F606" s="35"/>
      <c r="G606" s="22"/>
      <c r="H606" s="31">
        <v>7</v>
      </c>
      <c r="I606" s="95"/>
      <c r="J606" s="17"/>
      <c r="K606" s="17"/>
      <c r="L606" s="17" t="s">
        <v>77</v>
      </c>
      <c r="M606" s="17" t="s">
        <v>77</v>
      </c>
      <c r="N606" s="258" t="s">
        <v>83</v>
      </c>
      <c r="O606" s="55" t="s">
        <v>84</v>
      </c>
      <c r="P606" s="230" t="s">
        <v>85</v>
      </c>
      <c r="Q606" s="205" t="s">
        <v>86</v>
      </c>
      <c r="R606" s="1" t="str">
        <f t="shared" si="111"/>
        <v/>
      </c>
      <c r="S606" s="1" t="str">
        <f t="shared" si="111"/>
        <v/>
      </c>
      <c r="T606" s="1" t="str">
        <f t="shared" si="111"/>
        <v/>
      </c>
      <c r="U606" s="1" t="str">
        <f t="shared" si="111"/>
        <v/>
      </c>
      <c r="V606" s="25" t="s">
        <v>1398</v>
      </c>
      <c r="W606" s="26" t="s">
        <v>1399</v>
      </c>
      <c r="X606" s="29">
        <v>1</v>
      </c>
      <c r="Y606" s="106" t="s">
        <v>82</v>
      </c>
      <c r="Z606" s="29" t="s">
        <v>1398</v>
      </c>
      <c r="AA606" s="35"/>
      <c r="AB606" s="22"/>
      <c r="AC606" s="31">
        <v>7</v>
      </c>
      <c r="AD606" s="95"/>
      <c r="AE606" s="17"/>
      <c r="AF606" s="17"/>
      <c r="AG606" s="17" t="s">
        <v>77</v>
      </c>
      <c r="AH606" s="17" t="s">
        <v>77</v>
      </c>
      <c r="AI606" s="258" t="s">
        <v>83</v>
      </c>
      <c r="AJ606" s="55" t="s">
        <v>84</v>
      </c>
      <c r="AK606" s="230" t="s">
        <v>85</v>
      </c>
      <c r="AL606" s="205" t="s">
        <v>86</v>
      </c>
    </row>
    <row r="607" spans="1:38">
      <c r="A607" s="25" t="s">
        <v>1400</v>
      </c>
      <c r="B607" s="26" t="s">
        <v>1401</v>
      </c>
      <c r="C607" s="29">
        <v>1</v>
      </c>
      <c r="D607" s="106" t="s">
        <v>82</v>
      </c>
      <c r="E607" s="29" t="s">
        <v>1400</v>
      </c>
      <c r="F607" s="35"/>
      <c r="G607" s="22"/>
      <c r="H607" s="31">
        <v>10</v>
      </c>
      <c r="I607" s="95"/>
      <c r="J607" s="17"/>
      <c r="K607" s="17"/>
      <c r="L607" s="17" t="s">
        <v>77</v>
      </c>
      <c r="M607" s="17" t="s">
        <v>77</v>
      </c>
      <c r="N607" s="258" t="s">
        <v>83</v>
      </c>
      <c r="O607" s="55" t="s">
        <v>84</v>
      </c>
      <c r="P607" s="230" t="s">
        <v>85</v>
      </c>
      <c r="Q607" s="205" t="s">
        <v>86</v>
      </c>
      <c r="R607" s="1" t="str">
        <f t="shared" si="111"/>
        <v/>
      </c>
      <c r="S607" s="1" t="str">
        <f t="shared" si="111"/>
        <v/>
      </c>
      <c r="T607" s="1" t="str">
        <f t="shared" si="111"/>
        <v/>
      </c>
      <c r="U607" s="1" t="str">
        <f t="shared" si="111"/>
        <v/>
      </c>
      <c r="V607" s="25" t="s">
        <v>1400</v>
      </c>
      <c r="W607" s="26" t="s">
        <v>1401</v>
      </c>
      <c r="X607" s="29">
        <v>1</v>
      </c>
      <c r="Y607" s="106" t="s">
        <v>82</v>
      </c>
      <c r="Z607" s="29" t="s">
        <v>1400</v>
      </c>
      <c r="AA607" s="35"/>
      <c r="AB607" s="22"/>
      <c r="AC607" s="31">
        <v>10</v>
      </c>
      <c r="AD607" s="95"/>
      <c r="AE607" s="17"/>
      <c r="AF607" s="17"/>
      <c r="AG607" s="17" t="s">
        <v>77</v>
      </c>
      <c r="AH607" s="17" t="s">
        <v>77</v>
      </c>
      <c r="AI607" s="258" t="s">
        <v>83</v>
      </c>
      <c r="AJ607" s="55" t="s">
        <v>84</v>
      </c>
      <c r="AK607" s="230" t="s">
        <v>85</v>
      </c>
      <c r="AL607" s="205" t="s">
        <v>86</v>
      </c>
    </row>
    <row r="608" spans="1:38">
      <c r="A608" s="103" t="s">
        <v>1402</v>
      </c>
      <c r="B608" s="104" t="s">
        <v>1403</v>
      </c>
      <c r="C608" s="105">
        <v>1</v>
      </c>
      <c r="D608" s="106" t="s">
        <v>82</v>
      </c>
      <c r="E608" s="105" t="s">
        <v>1402</v>
      </c>
      <c r="F608" s="108"/>
      <c r="G608" s="109"/>
      <c r="H608" s="100">
        <v>94.63</v>
      </c>
      <c r="I608" s="95"/>
      <c r="J608" s="17"/>
      <c r="K608" s="17"/>
      <c r="L608" s="17" t="s">
        <v>77</v>
      </c>
      <c r="M608" s="17" t="s">
        <v>77</v>
      </c>
      <c r="N608" s="258" t="s">
        <v>83</v>
      </c>
      <c r="O608" s="55" t="s">
        <v>84</v>
      </c>
      <c r="P608" s="230" t="s">
        <v>85</v>
      </c>
      <c r="Q608" s="205" t="s">
        <v>86</v>
      </c>
      <c r="R608" s="1" t="str">
        <f t="shared" si="111"/>
        <v/>
      </c>
      <c r="S608" s="1" t="str">
        <f t="shared" si="111"/>
        <v/>
      </c>
      <c r="T608" s="1" t="str">
        <f t="shared" si="111"/>
        <v/>
      </c>
      <c r="U608" s="1" t="str">
        <f t="shared" si="111"/>
        <v/>
      </c>
      <c r="V608" s="25" t="s">
        <v>1402</v>
      </c>
      <c r="W608" s="26" t="s">
        <v>1404</v>
      </c>
      <c r="X608" s="29">
        <v>1</v>
      </c>
      <c r="Y608" s="106" t="s">
        <v>82</v>
      </c>
      <c r="Z608" s="29" t="s">
        <v>1402</v>
      </c>
      <c r="AA608" s="35"/>
      <c r="AB608" s="22"/>
      <c r="AC608" s="31">
        <v>47</v>
      </c>
      <c r="AD608" s="95"/>
      <c r="AE608" s="17"/>
      <c r="AF608" s="17"/>
      <c r="AG608" s="17" t="s">
        <v>77</v>
      </c>
      <c r="AH608" s="17" t="s">
        <v>77</v>
      </c>
      <c r="AI608" s="258" t="s">
        <v>83</v>
      </c>
      <c r="AJ608" s="55" t="s">
        <v>84</v>
      </c>
      <c r="AK608" s="230" t="s">
        <v>85</v>
      </c>
      <c r="AL608" s="205" t="s">
        <v>86</v>
      </c>
    </row>
    <row r="609" spans="1:38">
      <c r="A609" s="391"/>
      <c r="B609" s="431"/>
      <c r="C609" s="29"/>
      <c r="D609" s="106"/>
      <c r="E609" s="392"/>
      <c r="F609" s="35"/>
      <c r="G609" s="22"/>
      <c r="H609" s="31"/>
      <c r="I609" s="95"/>
      <c r="J609" s="17"/>
      <c r="K609" s="17"/>
      <c r="L609" s="17"/>
      <c r="M609" s="17"/>
      <c r="N609" s="258"/>
      <c r="O609" s="55"/>
      <c r="P609" s="230"/>
      <c r="Q609" s="205"/>
      <c r="R609" s="1" t="str">
        <f t="shared" si="111"/>
        <v/>
      </c>
      <c r="S609" s="1" t="str">
        <f t="shared" si="111"/>
        <v/>
      </c>
      <c r="T609" s="1" t="str">
        <f t="shared" si="111"/>
        <v/>
      </c>
      <c r="U609" s="1" t="str">
        <f t="shared" si="111"/>
        <v/>
      </c>
      <c r="V609" s="25" t="s">
        <v>1405</v>
      </c>
      <c r="W609" s="26" t="s">
        <v>1406</v>
      </c>
      <c r="X609" s="29">
        <v>1</v>
      </c>
      <c r="Y609" s="106" t="s">
        <v>82</v>
      </c>
      <c r="Z609" s="29" t="s">
        <v>1405</v>
      </c>
      <c r="AA609" s="35"/>
      <c r="AB609" s="22"/>
      <c r="AC609" s="31">
        <v>81</v>
      </c>
      <c r="AD609" s="95"/>
      <c r="AE609" s="17"/>
      <c r="AF609" s="17"/>
      <c r="AG609" s="17" t="s">
        <v>77</v>
      </c>
      <c r="AH609" s="17" t="s">
        <v>77</v>
      </c>
      <c r="AI609" s="258" t="s">
        <v>83</v>
      </c>
      <c r="AJ609" s="55" t="s">
        <v>84</v>
      </c>
      <c r="AK609" s="230" t="s">
        <v>85</v>
      </c>
      <c r="AL609" s="205" t="s">
        <v>86</v>
      </c>
    </row>
    <row r="610" spans="1:38">
      <c r="A610" s="581" t="s">
        <v>1407</v>
      </c>
      <c r="B610" s="94" t="s">
        <v>1408</v>
      </c>
      <c r="C610" s="95">
        <v>1</v>
      </c>
      <c r="D610" s="110" t="s">
        <v>75</v>
      </c>
      <c r="E610" s="95"/>
      <c r="F610" s="96">
        <v>570.25</v>
      </c>
      <c r="G610" s="141">
        <f t="shared" ref="G610:G636" si="129">rv_ipp105</f>
        <v>0.1065</v>
      </c>
      <c r="H610" s="145">
        <f t="shared" ref="H610:H637" si="130">F610-(F610*G610)</f>
        <v>509.51837499999999</v>
      </c>
      <c r="I610" s="95" t="s">
        <v>1409</v>
      </c>
      <c r="J610" s="122">
        <f t="shared" ref="J610:J630" si="131">ipa_5pl</f>
        <v>22.99869</v>
      </c>
      <c r="K610" s="122">
        <f t="shared" ref="K610:K636" si="132">H610+J610</f>
        <v>532.517065</v>
      </c>
      <c r="L610" s="99">
        <v>12</v>
      </c>
      <c r="M610" s="99">
        <v>0.25</v>
      </c>
      <c r="N610" s="261" t="s">
        <v>75</v>
      </c>
      <c r="O610" s="55" t="s">
        <v>1410</v>
      </c>
      <c r="P610" s="230" t="s">
        <v>1351</v>
      </c>
      <c r="Q610" s="205" t="s">
        <v>80</v>
      </c>
      <c r="R610" s="1">
        <f t="shared" si="111"/>
        <v>105.43158783309615</v>
      </c>
      <c r="S610" s="1">
        <f t="shared" si="111"/>
        <v>53.943955348470006</v>
      </c>
      <c r="T610" s="1">
        <f t="shared" si="111"/>
        <v>38.693727913336609</v>
      </c>
      <c r="U610" s="1">
        <f t="shared" si="111"/>
        <v>33.147793538681498</v>
      </c>
      <c r="V610" s="93" t="s">
        <v>1411</v>
      </c>
      <c r="W610" s="94" t="s">
        <v>1412</v>
      </c>
      <c r="X610" s="95">
        <v>1</v>
      </c>
      <c r="Y610" s="110" t="s">
        <v>75</v>
      </c>
      <c r="Z610" s="95" t="s">
        <v>1411</v>
      </c>
      <c r="AA610" s="96">
        <v>545.25</v>
      </c>
      <c r="AB610" s="141">
        <f t="shared" ref="AB610:AB636" si="133">rv_ipp105</f>
        <v>0.1065</v>
      </c>
      <c r="AC610" s="145">
        <f t="shared" ref="AC610:AC630" si="134">AA610-(AA610*AB610)</f>
        <v>487.18087500000001</v>
      </c>
      <c r="AD610" s="95" t="s">
        <v>1409</v>
      </c>
      <c r="AE610" s="122">
        <v>23</v>
      </c>
      <c r="AF610" s="122">
        <f t="shared" ref="AF610:AF630" si="135">AC610+AE610</f>
        <v>510.18087500000001</v>
      </c>
      <c r="AG610" s="17">
        <v>12</v>
      </c>
      <c r="AH610" s="17">
        <v>0.25</v>
      </c>
      <c r="AI610" s="258" t="s">
        <v>75</v>
      </c>
      <c r="AJ610" s="55" t="s">
        <v>1410</v>
      </c>
      <c r="AK610" s="230" t="s">
        <v>1351</v>
      </c>
      <c r="AL610" s="205" t="s">
        <v>80</v>
      </c>
    </row>
    <row r="611" spans="1:38" s="176" customFormat="1">
      <c r="A611" s="322" t="s">
        <v>1409</v>
      </c>
      <c r="B611" s="323" t="s">
        <v>1413</v>
      </c>
      <c r="C611" s="193">
        <v>1</v>
      </c>
      <c r="D611" s="324" t="s">
        <v>82</v>
      </c>
      <c r="E611" s="193" t="s">
        <v>1409</v>
      </c>
      <c r="F611" s="325">
        <v>25.74</v>
      </c>
      <c r="G611" s="326">
        <v>0.1065</v>
      </c>
      <c r="H611" s="144">
        <f t="shared" si="130"/>
        <v>22.99869</v>
      </c>
      <c r="I611" s="105" t="s">
        <v>1409</v>
      </c>
      <c r="J611" s="101">
        <f t="shared" si="131"/>
        <v>22.99869</v>
      </c>
      <c r="K611" s="101"/>
      <c r="L611" s="17"/>
      <c r="M611" s="17"/>
      <c r="N611" s="261" t="s">
        <v>75</v>
      </c>
      <c r="O611" s="55" t="s">
        <v>84</v>
      </c>
      <c r="P611" s="230" t="s">
        <v>85</v>
      </c>
      <c r="Q611" s="205" t="s">
        <v>86</v>
      </c>
      <c r="R611" s="1" t="str">
        <f t="shared" si="111"/>
        <v/>
      </c>
      <c r="S611" s="1" t="str">
        <f t="shared" si="111"/>
        <v/>
      </c>
      <c r="T611" s="1" t="str">
        <f t="shared" si="111"/>
        <v/>
      </c>
      <c r="U611" s="1" t="str">
        <f t="shared" si="111"/>
        <v/>
      </c>
      <c r="V611" s="322" t="s">
        <v>1409</v>
      </c>
      <c r="W611" s="323" t="s">
        <v>1413</v>
      </c>
      <c r="X611" s="193">
        <v>1</v>
      </c>
      <c r="Y611" s="324" t="s">
        <v>82</v>
      </c>
      <c r="Z611" s="193" t="s">
        <v>1409</v>
      </c>
      <c r="AA611" s="325">
        <v>25.74</v>
      </c>
      <c r="AB611" s="326">
        <v>0.1065</v>
      </c>
      <c r="AC611" s="144">
        <f t="shared" si="134"/>
        <v>22.99869</v>
      </c>
      <c r="AD611" s="95" t="s">
        <v>1409</v>
      </c>
      <c r="AE611" s="101">
        <v>0</v>
      </c>
      <c r="AF611" s="101">
        <f t="shared" si="135"/>
        <v>22.99869</v>
      </c>
      <c r="AG611" s="17">
        <v>12</v>
      </c>
      <c r="AH611" s="17">
        <v>0.25</v>
      </c>
      <c r="AI611" s="261" t="s">
        <v>83</v>
      </c>
      <c r="AJ611" s="55" t="s">
        <v>84</v>
      </c>
      <c r="AK611" s="230" t="s">
        <v>85</v>
      </c>
      <c r="AL611" s="205" t="s">
        <v>86</v>
      </c>
    </row>
    <row r="612" spans="1:38">
      <c r="A612" s="581" t="s">
        <v>1414</v>
      </c>
      <c r="B612" s="94" t="s">
        <v>1415</v>
      </c>
      <c r="C612" s="95">
        <v>1</v>
      </c>
      <c r="D612" s="110" t="s">
        <v>75</v>
      </c>
      <c r="E612" s="217" t="s">
        <v>1414</v>
      </c>
      <c r="F612" s="96">
        <v>570.25</v>
      </c>
      <c r="G612" s="141">
        <f t="shared" si="129"/>
        <v>0.1065</v>
      </c>
      <c r="H612" s="145">
        <f t="shared" si="130"/>
        <v>509.51837499999999</v>
      </c>
      <c r="I612" s="95" t="s">
        <v>1409</v>
      </c>
      <c r="J612" s="122">
        <f t="shared" si="131"/>
        <v>22.99869</v>
      </c>
      <c r="K612" s="122">
        <f t="shared" si="132"/>
        <v>532.517065</v>
      </c>
      <c r="L612" s="99">
        <v>12</v>
      </c>
      <c r="M612" s="99">
        <v>0.25</v>
      </c>
      <c r="N612" s="258" t="s">
        <v>75</v>
      </c>
      <c r="O612" s="55" t="s">
        <v>1410</v>
      </c>
      <c r="P612" s="230" t="s">
        <v>1351</v>
      </c>
      <c r="Q612" s="205" t="s">
        <v>80</v>
      </c>
      <c r="R612" s="1">
        <f t="shared" si="111"/>
        <v>105.43158783309615</v>
      </c>
      <c r="S612" s="1">
        <f t="shared" si="111"/>
        <v>53.943955348470006</v>
      </c>
      <c r="T612" s="1">
        <f t="shared" si="111"/>
        <v>38.693727913336609</v>
      </c>
      <c r="U612" s="1">
        <f t="shared" si="111"/>
        <v>33.147793538681498</v>
      </c>
      <c r="V612" s="93" t="s">
        <v>1416</v>
      </c>
      <c r="W612" s="94" t="s">
        <v>1417</v>
      </c>
      <c r="X612" s="95">
        <v>1</v>
      </c>
      <c r="Y612" s="110" t="s">
        <v>75</v>
      </c>
      <c r="Z612" s="95" t="s">
        <v>1416</v>
      </c>
      <c r="AA612" s="96">
        <v>545.25</v>
      </c>
      <c r="AB612" s="141">
        <f t="shared" si="133"/>
        <v>0.1065</v>
      </c>
      <c r="AC612" s="145">
        <f t="shared" si="134"/>
        <v>487.18087500000001</v>
      </c>
      <c r="AD612" s="95" t="s">
        <v>1409</v>
      </c>
      <c r="AE612" s="122">
        <v>23</v>
      </c>
      <c r="AF612" s="122">
        <f t="shared" si="135"/>
        <v>510.18087500000001</v>
      </c>
      <c r="AG612" s="17">
        <v>12</v>
      </c>
      <c r="AH612" s="17">
        <v>0.25</v>
      </c>
      <c r="AI612" s="258" t="s">
        <v>75</v>
      </c>
      <c r="AJ612" s="55" t="s">
        <v>1410</v>
      </c>
      <c r="AK612" s="230" t="s">
        <v>1351</v>
      </c>
      <c r="AL612" s="205" t="s">
        <v>80</v>
      </c>
    </row>
    <row r="613" spans="1:38">
      <c r="A613" s="581" t="s">
        <v>1418</v>
      </c>
      <c r="B613" s="94" t="s">
        <v>1419</v>
      </c>
      <c r="C613" s="95">
        <v>1</v>
      </c>
      <c r="D613" s="110" t="s">
        <v>75</v>
      </c>
      <c r="E613" s="217" t="s">
        <v>1418</v>
      </c>
      <c r="F613" s="96">
        <v>570.25</v>
      </c>
      <c r="G613" s="141">
        <f t="shared" si="129"/>
        <v>0.1065</v>
      </c>
      <c r="H613" s="145">
        <f t="shared" si="130"/>
        <v>509.51837499999999</v>
      </c>
      <c r="I613" s="95" t="s">
        <v>1409</v>
      </c>
      <c r="J613" s="122">
        <f t="shared" si="131"/>
        <v>22.99869</v>
      </c>
      <c r="K613" s="122">
        <f t="shared" si="132"/>
        <v>532.517065</v>
      </c>
      <c r="L613" s="99">
        <v>12</v>
      </c>
      <c r="M613" s="99">
        <v>0.25</v>
      </c>
      <c r="N613" s="258" t="s">
        <v>75</v>
      </c>
      <c r="O613" s="55" t="s">
        <v>1410</v>
      </c>
      <c r="P613" s="230" t="s">
        <v>1351</v>
      </c>
      <c r="Q613" s="205" t="s">
        <v>80</v>
      </c>
      <c r="R613" s="1">
        <f t="shared" si="111"/>
        <v>105.43158783309615</v>
      </c>
      <c r="S613" s="1">
        <f t="shared" si="111"/>
        <v>53.943955348470006</v>
      </c>
      <c r="T613" s="1">
        <f t="shared" si="111"/>
        <v>38.693727913336609</v>
      </c>
      <c r="U613" s="1">
        <f t="shared" si="111"/>
        <v>33.147793538681498</v>
      </c>
      <c r="V613" s="93" t="s">
        <v>1420</v>
      </c>
      <c r="W613" s="94" t="s">
        <v>1421</v>
      </c>
      <c r="X613" s="95">
        <v>1</v>
      </c>
      <c r="Y613" s="110" t="s">
        <v>75</v>
      </c>
      <c r="Z613" s="95" t="s">
        <v>1420</v>
      </c>
      <c r="AA613" s="96">
        <v>545.25</v>
      </c>
      <c r="AB613" s="141">
        <f t="shared" si="133"/>
        <v>0.1065</v>
      </c>
      <c r="AC613" s="145">
        <f t="shared" si="134"/>
        <v>487.18087500000001</v>
      </c>
      <c r="AD613" s="95" t="s">
        <v>1409</v>
      </c>
      <c r="AE613" s="122">
        <v>23</v>
      </c>
      <c r="AF613" s="122">
        <f t="shared" si="135"/>
        <v>510.18087500000001</v>
      </c>
      <c r="AG613" s="17">
        <v>12</v>
      </c>
      <c r="AH613" s="17">
        <v>0.25</v>
      </c>
      <c r="AI613" s="258" t="s">
        <v>75</v>
      </c>
      <c r="AJ613" s="55" t="s">
        <v>1410</v>
      </c>
      <c r="AK613" s="230" t="s">
        <v>1351</v>
      </c>
      <c r="AL613" s="205" t="s">
        <v>80</v>
      </c>
    </row>
    <row r="614" spans="1:38">
      <c r="A614" s="581" t="s">
        <v>1422</v>
      </c>
      <c r="B614" s="94" t="s">
        <v>1423</v>
      </c>
      <c r="C614" s="95">
        <v>1</v>
      </c>
      <c r="D614" s="110" t="s">
        <v>75</v>
      </c>
      <c r="E614" s="217" t="s">
        <v>1422</v>
      </c>
      <c r="F614" s="96">
        <v>570.25</v>
      </c>
      <c r="G614" s="141">
        <f t="shared" si="129"/>
        <v>0.1065</v>
      </c>
      <c r="H614" s="145">
        <f t="shared" si="130"/>
        <v>509.51837499999999</v>
      </c>
      <c r="I614" s="95" t="s">
        <v>1409</v>
      </c>
      <c r="J614" s="122">
        <f t="shared" si="131"/>
        <v>22.99869</v>
      </c>
      <c r="K614" s="122">
        <f t="shared" si="132"/>
        <v>532.517065</v>
      </c>
      <c r="L614" s="99">
        <v>12</v>
      </c>
      <c r="M614" s="99">
        <v>0.25</v>
      </c>
      <c r="N614" s="258" t="s">
        <v>75</v>
      </c>
      <c r="O614" s="55" t="s">
        <v>1410</v>
      </c>
      <c r="P614" s="230" t="s">
        <v>1351</v>
      </c>
      <c r="Q614" s="205" t="s">
        <v>80</v>
      </c>
      <c r="R614" s="1">
        <f t="shared" ref="R614:U645" si="136">+IF($K614&lt;&gt;"",R$2*$K614,"")</f>
        <v>105.43158783309615</v>
      </c>
      <c r="S614" s="1">
        <f t="shared" si="136"/>
        <v>53.943955348470006</v>
      </c>
      <c r="T614" s="1">
        <f t="shared" si="136"/>
        <v>38.693727913336609</v>
      </c>
      <c r="U614" s="1">
        <f t="shared" si="136"/>
        <v>33.147793538681498</v>
      </c>
      <c r="V614" s="93" t="s">
        <v>1424</v>
      </c>
      <c r="W614" s="94" t="s">
        <v>1425</v>
      </c>
      <c r="X614" s="95">
        <v>1</v>
      </c>
      <c r="Y614" s="110" t="s">
        <v>75</v>
      </c>
      <c r="Z614" s="95" t="s">
        <v>1424</v>
      </c>
      <c r="AA614" s="96">
        <v>545.25</v>
      </c>
      <c r="AB614" s="141">
        <f t="shared" si="133"/>
        <v>0.1065</v>
      </c>
      <c r="AC614" s="145">
        <f t="shared" si="134"/>
        <v>487.18087500000001</v>
      </c>
      <c r="AD614" s="95" t="s">
        <v>1409</v>
      </c>
      <c r="AE614" s="122">
        <v>23</v>
      </c>
      <c r="AF614" s="122">
        <f t="shared" si="135"/>
        <v>510.18087500000001</v>
      </c>
      <c r="AG614" s="17">
        <v>12</v>
      </c>
      <c r="AH614" s="17">
        <v>0.25</v>
      </c>
      <c r="AI614" s="258" t="s">
        <v>75</v>
      </c>
      <c r="AJ614" s="55" t="s">
        <v>1410</v>
      </c>
      <c r="AK614" s="230" t="s">
        <v>1351</v>
      </c>
      <c r="AL614" s="205" t="s">
        <v>80</v>
      </c>
    </row>
    <row r="615" spans="1:38">
      <c r="A615" s="581" t="s">
        <v>1426</v>
      </c>
      <c r="B615" s="94" t="s">
        <v>1427</v>
      </c>
      <c r="C615" s="95">
        <v>1</v>
      </c>
      <c r="D615" s="110" t="s">
        <v>75</v>
      </c>
      <c r="E615" s="217" t="s">
        <v>1426</v>
      </c>
      <c r="F615" s="96">
        <v>570.25</v>
      </c>
      <c r="G615" s="141">
        <f t="shared" si="129"/>
        <v>0.1065</v>
      </c>
      <c r="H615" s="145">
        <f t="shared" si="130"/>
        <v>509.51837499999999</v>
      </c>
      <c r="I615" s="95" t="s">
        <v>1409</v>
      </c>
      <c r="J615" s="122">
        <f t="shared" si="131"/>
        <v>22.99869</v>
      </c>
      <c r="K615" s="122">
        <f t="shared" si="132"/>
        <v>532.517065</v>
      </c>
      <c r="L615" s="99">
        <v>12</v>
      </c>
      <c r="M615" s="99">
        <v>0.25</v>
      </c>
      <c r="N615" s="258" t="s">
        <v>75</v>
      </c>
      <c r="O615" s="55" t="s">
        <v>1410</v>
      </c>
      <c r="P615" s="230" t="s">
        <v>1351</v>
      </c>
      <c r="Q615" s="205" t="s">
        <v>80</v>
      </c>
      <c r="R615" s="1">
        <f t="shared" si="136"/>
        <v>105.43158783309615</v>
      </c>
      <c r="S615" s="1">
        <f t="shared" si="136"/>
        <v>53.943955348470006</v>
      </c>
      <c r="T615" s="1">
        <f t="shared" si="136"/>
        <v>38.693727913336609</v>
      </c>
      <c r="U615" s="1">
        <f t="shared" si="136"/>
        <v>33.147793538681498</v>
      </c>
      <c r="V615" s="93" t="s">
        <v>1428</v>
      </c>
      <c r="W615" s="94" t="s">
        <v>1429</v>
      </c>
      <c r="X615" s="95">
        <v>1</v>
      </c>
      <c r="Y615" s="110" t="s">
        <v>75</v>
      </c>
      <c r="Z615" s="95" t="s">
        <v>1428</v>
      </c>
      <c r="AA615" s="96">
        <v>545.25</v>
      </c>
      <c r="AB615" s="141">
        <f t="shared" si="133"/>
        <v>0.1065</v>
      </c>
      <c r="AC615" s="145">
        <f t="shared" si="134"/>
        <v>487.18087500000001</v>
      </c>
      <c r="AD615" s="95" t="s">
        <v>1409</v>
      </c>
      <c r="AE615" s="122">
        <v>23</v>
      </c>
      <c r="AF615" s="122">
        <f t="shared" si="135"/>
        <v>510.18087500000001</v>
      </c>
      <c r="AG615" s="17">
        <v>12</v>
      </c>
      <c r="AH615" s="17">
        <v>0.25</v>
      </c>
      <c r="AI615" s="258" t="s">
        <v>75</v>
      </c>
      <c r="AJ615" s="55" t="s">
        <v>1410</v>
      </c>
      <c r="AK615" s="230" t="s">
        <v>1351</v>
      </c>
      <c r="AL615" s="205" t="s">
        <v>80</v>
      </c>
    </row>
    <row r="616" spans="1:38">
      <c r="A616" s="581" t="s">
        <v>1430</v>
      </c>
      <c r="B616" s="94" t="s">
        <v>1431</v>
      </c>
      <c r="C616" s="95">
        <v>1</v>
      </c>
      <c r="D616" s="110" t="s">
        <v>75</v>
      </c>
      <c r="E616" s="217" t="s">
        <v>1430</v>
      </c>
      <c r="F616" s="96">
        <v>709.92</v>
      </c>
      <c r="G616" s="141">
        <f t="shared" si="129"/>
        <v>0.1065</v>
      </c>
      <c r="H616" s="145">
        <f t="shared" si="130"/>
        <v>634.31351999999993</v>
      </c>
      <c r="I616" s="95" t="s">
        <v>1409</v>
      </c>
      <c r="J616" s="122">
        <f t="shared" si="131"/>
        <v>22.99869</v>
      </c>
      <c r="K616" s="122">
        <f t="shared" si="132"/>
        <v>657.31220999999994</v>
      </c>
      <c r="L616" s="99">
        <v>14</v>
      </c>
      <c r="M616" s="99">
        <v>0.25</v>
      </c>
      <c r="N616" s="258" t="s">
        <v>75</v>
      </c>
      <c r="O616" s="55" t="s">
        <v>1371</v>
      </c>
      <c r="P616" s="230" t="s">
        <v>1351</v>
      </c>
      <c r="Q616" s="205" t="s">
        <v>80</v>
      </c>
      <c r="R616" s="1">
        <f t="shared" si="136"/>
        <v>130.13943506652041</v>
      </c>
      <c r="S616" s="1">
        <f t="shared" si="136"/>
        <v>66.585698068181415</v>
      </c>
      <c r="T616" s="1">
        <f t="shared" si="136"/>
        <v>47.761586396961704</v>
      </c>
      <c r="U616" s="1">
        <f t="shared" si="136"/>
        <v>40.91596468844515</v>
      </c>
      <c r="V616" s="93" t="s">
        <v>1432</v>
      </c>
      <c r="W616" s="94" t="s">
        <v>1433</v>
      </c>
      <c r="X616" s="95">
        <v>1</v>
      </c>
      <c r="Y616" s="110" t="s">
        <v>75</v>
      </c>
      <c r="Z616" s="95" t="s">
        <v>1432</v>
      </c>
      <c r="AA616" s="96">
        <v>684.92</v>
      </c>
      <c r="AB616" s="141">
        <f t="shared" si="133"/>
        <v>0.1065</v>
      </c>
      <c r="AC616" s="145">
        <f t="shared" si="134"/>
        <v>611.97601999999995</v>
      </c>
      <c r="AD616" s="95" t="s">
        <v>1409</v>
      </c>
      <c r="AE616" s="122">
        <v>23</v>
      </c>
      <c r="AF616" s="122">
        <f t="shared" si="135"/>
        <v>634.97601999999995</v>
      </c>
      <c r="AG616" s="17">
        <v>14</v>
      </c>
      <c r="AH616" s="17">
        <v>0.25</v>
      </c>
      <c r="AI616" s="258" t="s">
        <v>75</v>
      </c>
      <c r="AJ616" s="55" t="s">
        <v>1371</v>
      </c>
      <c r="AK616" s="230" t="s">
        <v>1351</v>
      </c>
      <c r="AL616" s="205" t="s">
        <v>80</v>
      </c>
    </row>
    <row r="617" spans="1:38">
      <c r="A617" s="581" t="s">
        <v>1434</v>
      </c>
      <c r="B617" s="94" t="s">
        <v>1435</v>
      </c>
      <c r="C617" s="95">
        <v>1</v>
      </c>
      <c r="D617" s="110" t="s">
        <v>75</v>
      </c>
      <c r="E617" s="217" t="s">
        <v>1434</v>
      </c>
      <c r="F617" s="96">
        <v>709.92</v>
      </c>
      <c r="G617" s="141">
        <f t="shared" si="129"/>
        <v>0.1065</v>
      </c>
      <c r="H617" s="145">
        <f t="shared" si="130"/>
        <v>634.31351999999993</v>
      </c>
      <c r="I617" s="95" t="s">
        <v>1409</v>
      </c>
      <c r="J617" s="122">
        <f t="shared" si="131"/>
        <v>22.99869</v>
      </c>
      <c r="K617" s="122">
        <f t="shared" si="132"/>
        <v>657.31220999999994</v>
      </c>
      <c r="L617" s="99">
        <v>14</v>
      </c>
      <c r="M617" s="99">
        <v>0.25</v>
      </c>
      <c r="N617" s="258" t="s">
        <v>75</v>
      </c>
      <c r="O617" s="55" t="s">
        <v>1371</v>
      </c>
      <c r="P617" s="230" t="s">
        <v>1351</v>
      </c>
      <c r="Q617" s="205" t="s">
        <v>80</v>
      </c>
      <c r="R617" s="1">
        <f t="shared" si="136"/>
        <v>130.13943506652041</v>
      </c>
      <c r="S617" s="1">
        <f t="shared" si="136"/>
        <v>66.585698068181415</v>
      </c>
      <c r="T617" s="1">
        <f t="shared" si="136"/>
        <v>47.761586396961704</v>
      </c>
      <c r="U617" s="1">
        <f t="shared" si="136"/>
        <v>40.91596468844515</v>
      </c>
      <c r="V617" s="93" t="s">
        <v>1436</v>
      </c>
      <c r="W617" s="94" t="s">
        <v>1437</v>
      </c>
      <c r="X617" s="95">
        <v>1</v>
      </c>
      <c r="Y617" s="110" t="s">
        <v>75</v>
      </c>
      <c r="Z617" s="95" t="s">
        <v>1436</v>
      </c>
      <c r="AA617" s="96">
        <v>684.92</v>
      </c>
      <c r="AB617" s="141">
        <f t="shared" si="133"/>
        <v>0.1065</v>
      </c>
      <c r="AC617" s="145">
        <f t="shared" si="134"/>
        <v>611.97601999999995</v>
      </c>
      <c r="AD617" s="95" t="s">
        <v>1409</v>
      </c>
      <c r="AE617" s="122">
        <v>23</v>
      </c>
      <c r="AF617" s="122">
        <f t="shared" si="135"/>
        <v>634.97601999999995</v>
      </c>
      <c r="AG617" s="17">
        <v>14</v>
      </c>
      <c r="AH617" s="17">
        <v>0.25</v>
      </c>
      <c r="AI617" s="258" t="s">
        <v>75</v>
      </c>
      <c r="AJ617" s="55" t="s">
        <v>1371</v>
      </c>
      <c r="AK617" s="230" t="s">
        <v>1351</v>
      </c>
      <c r="AL617" s="205" t="s">
        <v>80</v>
      </c>
    </row>
    <row r="618" spans="1:38">
      <c r="A618" s="581" t="s">
        <v>1438</v>
      </c>
      <c r="B618" s="94" t="s">
        <v>1439</v>
      </c>
      <c r="C618" s="95">
        <v>1</v>
      </c>
      <c r="D618" s="110" t="s">
        <v>75</v>
      </c>
      <c r="E618" s="217" t="s">
        <v>1438</v>
      </c>
      <c r="F618" s="96">
        <v>709.92</v>
      </c>
      <c r="G618" s="141">
        <f t="shared" si="129"/>
        <v>0.1065</v>
      </c>
      <c r="H618" s="145">
        <f t="shared" si="130"/>
        <v>634.31351999999993</v>
      </c>
      <c r="I618" s="95" t="s">
        <v>1409</v>
      </c>
      <c r="J618" s="122">
        <f t="shared" si="131"/>
        <v>22.99869</v>
      </c>
      <c r="K618" s="122">
        <f t="shared" si="132"/>
        <v>657.31220999999994</v>
      </c>
      <c r="L618" s="99">
        <v>14</v>
      </c>
      <c r="M618" s="99">
        <v>0.25</v>
      </c>
      <c r="N618" s="258" t="s">
        <v>75</v>
      </c>
      <c r="O618" s="55" t="s">
        <v>1371</v>
      </c>
      <c r="P618" s="230" t="s">
        <v>1351</v>
      </c>
      <c r="Q618" s="205" t="s">
        <v>80</v>
      </c>
      <c r="R618" s="1">
        <f t="shared" si="136"/>
        <v>130.13943506652041</v>
      </c>
      <c r="S618" s="1">
        <f t="shared" si="136"/>
        <v>66.585698068181415</v>
      </c>
      <c r="T618" s="1">
        <f t="shared" si="136"/>
        <v>47.761586396961704</v>
      </c>
      <c r="U618" s="1">
        <f t="shared" si="136"/>
        <v>40.91596468844515</v>
      </c>
      <c r="V618" s="93" t="s">
        <v>1440</v>
      </c>
      <c r="W618" s="94" t="s">
        <v>1441</v>
      </c>
      <c r="X618" s="95">
        <v>1</v>
      </c>
      <c r="Y618" s="110" t="s">
        <v>75</v>
      </c>
      <c r="Z618" s="95" t="s">
        <v>1440</v>
      </c>
      <c r="AA618" s="96">
        <v>684.92</v>
      </c>
      <c r="AB618" s="141">
        <f t="shared" si="133"/>
        <v>0.1065</v>
      </c>
      <c r="AC618" s="145">
        <f t="shared" si="134"/>
        <v>611.97601999999995</v>
      </c>
      <c r="AD618" s="95" t="s">
        <v>1409</v>
      </c>
      <c r="AE618" s="122">
        <v>23</v>
      </c>
      <c r="AF618" s="122">
        <f t="shared" si="135"/>
        <v>634.97601999999995</v>
      </c>
      <c r="AG618" s="17">
        <v>14</v>
      </c>
      <c r="AH618" s="17">
        <v>0.25</v>
      </c>
      <c r="AI618" s="258" t="s">
        <v>75</v>
      </c>
      <c r="AJ618" s="55" t="s">
        <v>1371</v>
      </c>
      <c r="AK618" s="230" t="s">
        <v>1351</v>
      </c>
      <c r="AL618" s="205" t="s">
        <v>80</v>
      </c>
    </row>
    <row r="619" spans="1:38">
      <c r="A619" s="581" t="s">
        <v>1442</v>
      </c>
      <c r="B619" s="94" t="s">
        <v>1443</v>
      </c>
      <c r="C619" s="95">
        <v>1</v>
      </c>
      <c r="D619" s="110" t="s">
        <v>75</v>
      </c>
      <c r="E619" s="217" t="s">
        <v>1442</v>
      </c>
      <c r="F619" s="96">
        <v>709.92</v>
      </c>
      <c r="G619" s="141">
        <f t="shared" si="129"/>
        <v>0.1065</v>
      </c>
      <c r="H619" s="145">
        <f t="shared" si="130"/>
        <v>634.31351999999993</v>
      </c>
      <c r="I619" s="95" t="s">
        <v>1409</v>
      </c>
      <c r="J619" s="122">
        <f t="shared" si="131"/>
        <v>22.99869</v>
      </c>
      <c r="K619" s="122">
        <f t="shared" si="132"/>
        <v>657.31220999999994</v>
      </c>
      <c r="L619" s="99">
        <v>14</v>
      </c>
      <c r="M619" s="99">
        <v>0.25</v>
      </c>
      <c r="N619" s="258" t="s">
        <v>75</v>
      </c>
      <c r="O619" s="55" t="s">
        <v>1371</v>
      </c>
      <c r="P619" s="230" t="s">
        <v>1351</v>
      </c>
      <c r="Q619" s="205" t="s">
        <v>80</v>
      </c>
      <c r="R619" s="1">
        <f t="shared" si="136"/>
        <v>130.13943506652041</v>
      </c>
      <c r="S619" s="1">
        <f t="shared" si="136"/>
        <v>66.585698068181415</v>
      </c>
      <c r="T619" s="1">
        <f t="shared" si="136"/>
        <v>47.761586396961704</v>
      </c>
      <c r="U619" s="1">
        <f t="shared" si="136"/>
        <v>40.91596468844515</v>
      </c>
      <c r="V619" s="93" t="s">
        <v>1444</v>
      </c>
      <c r="W619" s="94" t="s">
        <v>1445</v>
      </c>
      <c r="X619" s="95">
        <v>1</v>
      </c>
      <c r="Y619" s="110" t="s">
        <v>75</v>
      </c>
      <c r="Z619" s="95" t="s">
        <v>1444</v>
      </c>
      <c r="AA619" s="96">
        <v>684.92</v>
      </c>
      <c r="AB619" s="141">
        <f t="shared" si="133"/>
        <v>0.1065</v>
      </c>
      <c r="AC619" s="145">
        <f t="shared" si="134"/>
        <v>611.97601999999995</v>
      </c>
      <c r="AD619" s="95" t="s">
        <v>1409</v>
      </c>
      <c r="AE619" s="122">
        <v>23</v>
      </c>
      <c r="AF619" s="122">
        <f t="shared" si="135"/>
        <v>634.97601999999995</v>
      </c>
      <c r="AG619" s="17">
        <v>14</v>
      </c>
      <c r="AH619" s="17">
        <v>0.25</v>
      </c>
      <c r="AI619" s="258" t="s">
        <v>75</v>
      </c>
      <c r="AJ619" s="55" t="s">
        <v>1371</v>
      </c>
      <c r="AK619" s="230" t="s">
        <v>1351</v>
      </c>
      <c r="AL619" s="205" t="s">
        <v>80</v>
      </c>
    </row>
    <row r="620" spans="1:38">
      <c r="A620" s="581" t="s">
        <v>1446</v>
      </c>
      <c r="B620" s="94" t="s">
        <v>1447</v>
      </c>
      <c r="C620" s="95">
        <v>1</v>
      </c>
      <c r="D620" s="110" t="s">
        <v>75</v>
      </c>
      <c r="E620" s="217" t="s">
        <v>1446</v>
      </c>
      <c r="F620" s="96">
        <v>709.92</v>
      </c>
      <c r="G620" s="141">
        <f t="shared" si="129"/>
        <v>0.1065</v>
      </c>
      <c r="H620" s="145">
        <f t="shared" si="130"/>
        <v>634.31351999999993</v>
      </c>
      <c r="I620" s="95" t="s">
        <v>1409</v>
      </c>
      <c r="J620" s="122">
        <f t="shared" si="131"/>
        <v>22.99869</v>
      </c>
      <c r="K620" s="122">
        <f t="shared" si="132"/>
        <v>657.31220999999994</v>
      </c>
      <c r="L620" s="99">
        <v>14</v>
      </c>
      <c r="M620" s="99">
        <v>0.25</v>
      </c>
      <c r="N620" s="258" t="s">
        <v>75</v>
      </c>
      <c r="O620" s="55" t="s">
        <v>1371</v>
      </c>
      <c r="P620" s="230" t="s">
        <v>1351</v>
      </c>
      <c r="Q620" s="205" t="s">
        <v>80</v>
      </c>
      <c r="R620" s="1">
        <f t="shared" si="136"/>
        <v>130.13943506652041</v>
      </c>
      <c r="S620" s="1">
        <f t="shared" si="136"/>
        <v>66.585698068181415</v>
      </c>
      <c r="T620" s="1">
        <f t="shared" si="136"/>
        <v>47.761586396961704</v>
      </c>
      <c r="U620" s="1">
        <f t="shared" si="136"/>
        <v>40.91596468844515</v>
      </c>
      <c r="V620" s="93" t="s">
        <v>1448</v>
      </c>
      <c r="W620" s="94" t="s">
        <v>1449</v>
      </c>
      <c r="X620" s="95">
        <v>1</v>
      </c>
      <c r="Y620" s="110" t="s">
        <v>75</v>
      </c>
      <c r="Z620" s="95" t="s">
        <v>1448</v>
      </c>
      <c r="AA620" s="96">
        <v>684.92</v>
      </c>
      <c r="AB620" s="141">
        <f t="shared" si="133"/>
        <v>0.1065</v>
      </c>
      <c r="AC620" s="145">
        <f t="shared" si="134"/>
        <v>611.97601999999995</v>
      </c>
      <c r="AD620" s="95" t="s">
        <v>1409</v>
      </c>
      <c r="AE620" s="122">
        <v>23</v>
      </c>
      <c r="AF620" s="122">
        <f t="shared" si="135"/>
        <v>634.97601999999995</v>
      </c>
      <c r="AG620" s="17">
        <v>14</v>
      </c>
      <c r="AH620" s="17">
        <v>0.25</v>
      </c>
      <c r="AI620" s="258" t="s">
        <v>75</v>
      </c>
      <c r="AJ620" s="55" t="s">
        <v>1371</v>
      </c>
      <c r="AK620" s="230" t="s">
        <v>1351</v>
      </c>
      <c r="AL620" s="205" t="s">
        <v>80</v>
      </c>
    </row>
    <row r="621" spans="1:38">
      <c r="A621" s="581" t="s">
        <v>1450</v>
      </c>
      <c r="B621" s="94" t="s">
        <v>1451</v>
      </c>
      <c r="C621" s="95">
        <v>1</v>
      </c>
      <c r="D621" s="110" t="s">
        <v>75</v>
      </c>
      <c r="E621" s="217" t="s">
        <v>1450</v>
      </c>
      <c r="F621" s="96">
        <v>711.92</v>
      </c>
      <c r="G621" s="141">
        <f t="shared" si="129"/>
        <v>0.1065</v>
      </c>
      <c r="H621" s="145">
        <f t="shared" si="130"/>
        <v>636.10051999999996</v>
      </c>
      <c r="I621" s="95" t="s">
        <v>1409</v>
      </c>
      <c r="J621" s="122">
        <f t="shared" si="131"/>
        <v>22.99869</v>
      </c>
      <c r="K621" s="122">
        <f t="shared" si="132"/>
        <v>659.09920999999997</v>
      </c>
      <c r="L621" s="99">
        <v>12</v>
      </c>
      <c r="M621" s="99">
        <v>0.25</v>
      </c>
      <c r="N621" s="258" t="s">
        <v>75</v>
      </c>
      <c r="O621" s="55" t="s">
        <v>1452</v>
      </c>
      <c r="P621" s="230" t="s">
        <v>1351</v>
      </c>
      <c r="Q621" s="205" t="s">
        <v>80</v>
      </c>
      <c r="R621" s="1">
        <f t="shared" si="136"/>
        <v>130.49323827742361</v>
      </c>
      <c r="S621" s="1">
        <f t="shared" si="136"/>
        <v>66.766721089871282</v>
      </c>
      <c r="T621" s="1">
        <f t="shared" si="136"/>
        <v>47.891433300142417</v>
      </c>
      <c r="U621" s="1">
        <f t="shared" si="136"/>
        <v>41.027200761327862</v>
      </c>
      <c r="V621" s="93" t="s">
        <v>1453</v>
      </c>
      <c r="W621" s="94" t="s">
        <v>1454</v>
      </c>
      <c r="X621" s="95">
        <v>1</v>
      </c>
      <c r="Y621" s="96" t="s">
        <v>75</v>
      </c>
      <c r="Z621" s="95" t="s">
        <v>1453</v>
      </c>
      <c r="AA621" s="96">
        <v>661.92</v>
      </c>
      <c r="AB621" s="141">
        <f t="shared" si="133"/>
        <v>0.1065</v>
      </c>
      <c r="AC621" s="145">
        <f t="shared" si="134"/>
        <v>591.42552000000001</v>
      </c>
      <c r="AD621" s="95" t="s">
        <v>1409</v>
      </c>
      <c r="AE621" s="122">
        <v>23</v>
      </c>
      <c r="AF621" s="122">
        <f t="shared" si="135"/>
        <v>614.42552000000001</v>
      </c>
      <c r="AG621" s="17">
        <v>12</v>
      </c>
      <c r="AH621" s="17">
        <v>0.25</v>
      </c>
      <c r="AI621" s="258" t="s">
        <v>75</v>
      </c>
      <c r="AJ621" s="55" t="s">
        <v>1452</v>
      </c>
      <c r="AK621" s="230" t="s">
        <v>1351</v>
      </c>
      <c r="AL621" s="205" t="s">
        <v>80</v>
      </c>
    </row>
    <row r="622" spans="1:38">
      <c r="A622" s="581" t="s">
        <v>1455</v>
      </c>
      <c r="B622" s="94" t="s">
        <v>1456</v>
      </c>
      <c r="C622" s="95">
        <v>1</v>
      </c>
      <c r="D622" s="110" t="s">
        <v>75</v>
      </c>
      <c r="E622" s="217" t="s">
        <v>1455</v>
      </c>
      <c r="F622" s="96">
        <v>711.92</v>
      </c>
      <c r="G622" s="141">
        <f t="shared" si="129"/>
        <v>0.1065</v>
      </c>
      <c r="H622" s="145">
        <f t="shared" si="130"/>
        <v>636.10051999999996</v>
      </c>
      <c r="I622" s="95" t="s">
        <v>1409</v>
      </c>
      <c r="J622" s="122">
        <f t="shared" si="131"/>
        <v>22.99869</v>
      </c>
      <c r="K622" s="122">
        <f t="shared" si="132"/>
        <v>659.09920999999997</v>
      </c>
      <c r="L622" s="99">
        <v>12</v>
      </c>
      <c r="M622" s="99">
        <v>0.25</v>
      </c>
      <c r="N622" s="258" t="s">
        <v>75</v>
      </c>
      <c r="O622" s="55" t="s">
        <v>1452</v>
      </c>
      <c r="P622" s="230" t="s">
        <v>1351</v>
      </c>
      <c r="Q622" s="205" t="s">
        <v>80</v>
      </c>
      <c r="R622" s="1">
        <f t="shared" si="136"/>
        <v>130.49323827742361</v>
      </c>
      <c r="S622" s="1">
        <f t="shared" si="136"/>
        <v>66.766721089871282</v>
      </c>
      <c r="T622" s="1">
        <f t="shared" si="136"/>
        <v>47.891433300142417</v>
      </c>
      <c r="U622" s="1">
        <f t="shared" si="136"/>
        <v>41.027200761327862</v>
      </c>
      <c r="V622" s="93" t="s">
        <v>1457</v>
      </c>
      <c r="W622" s="94" t="s">
        <v>1458</v>
      </c>
      <c r="X622" s="95">
        <v>1</v>
      </c>
      <c r="Y622" s="96" t="s">
        <v>75</v>
      </c>
      <c r="Z622" s="95" t="s">
        <v>1457</v>
      </c>
      <c r="AA622" s="96">
        <v>661.92</v>
      </c>
      <c r="AB622" s="141">
        <f t="shared" si="133"/>
        <v>0.1065</v>
      </c>
      <c r="AC622" s="145">
        <f t="shared" si="134"/>
        <v>591.42552000000001</v>
      </c>
      <c r="AD622" s="95" t="s">
        <v>1409</v>
      </c>
      <c r="AE622" s="122">
        <v>23</v>
      </c>
      <c r="AF622" s="122">
        <f t="shared" si="135"/>
        <v>614.42552000000001</v>
      </c>
      <c r="AG622" s="17">
        <v>12</v>
      </c>
      <c r="AH622" s="17">
        <v>0.25</v>
      </c>
      <c r="AI622" s="258" t="s">
        <v>75</v>
      </c>
      <c r="AJ622" s="55" t="s">
        <v>1452</v>
      </c>
      <c r="AK622" s="230" t="s">
        <v>1351</v>
      </c>
      <c r="AL622" s="205" t="s">
        <v>80</v>
      </c>
    </row>
    <row r="623" spans="1:38">
      <c r="A623" s="581" t="s">
        <v>1459</v>
      </c>
      <c r="B623" s="94" t="s">
        <v>1460</v>
      </c>
      <c r="C623" s="95">
        <v>1</v>
      </c>
      <c r="D623" s="110" t="s">
        <v>75</v>
      </c>
      <c r="E623" s="217" t="s">
        <v>1459</v>
      </c>
      <c r="F623" s="96">
        <v>711.92</v>
      </c>
      <c r="G623" s="141">
        <f t="shared" si="129"/>
        <v>0.1065</v>
      </c>
      <c r="H623" s="145">
        <f t="shared" si="130"/>
        <v>636.10051999999996</v>
      </c>
      <c r="I623" s="95" t="s">
        <v>1409</v>
      </c>
      <c r="J623" s="122">
        <f t="shared" si="131"/>
        <v>22.99869</v>
      </c>
      <c r="K623" s="122">
        <f t="shared" si="132"/>
        <v>659.09920999999997</v>
      </c>
      <c r="L623" s="99">
        <v>12</v>
      </c>
      <c r="M623" s="99">
        <v>0.25</v>
      </c>
      <c r="N623" s="258" t="s">
        <v>75</v>
      </c>
      <c r="O623" s="55" t="s">
        <v>1452</v>
      </c>
      <c r="P623" s="230" t="s">
        <v>1351</v>
      </c>
      <c r="Q623" s="205" t="s">
        <v>80</v>
      </c>
      <c r="R623" s="1">
        <f t="shared" si="136"/>
        <v>130.49323827742361</v>
      </c>
      <c r="S623" s="1">
        <f t="shared" si="136"/>
        <v>66.766721089871282</v>
      </c>
      <c r="T623" s="1">
        <f t="shared" si="136"/>
        <v>47.891433300142417</v>
      </c>
      <c r="U623" s="1">
        <f t="shared" si="136"/>
        <v>41.027200761327862</v>
      </c>
      <c r="V623" s="93" t="s">
        <v>1461</v>
      </c>
      <c r="W623" s="94" t="s">
        <v>1462</v>
      </c>
      <c r="X623" s="95">
        <v>1</v>
      </c>
      <c r="Y623" s="96" t="s">
        <v>75</v>
      </c>
      <c r="Z623" s="95" t="s">
        <v>1461</v>
      </c>
      <c r="AA623" s="96">
        <v>661.92</v>
      </c>
      <c r="AB623" s="141">
        <f t="shared" si="133"/>
        <v>0.1065</v>
      </c>
      <c r="AC623" s="145">
        <f t="shared" si="134"/>
        <v>591.42552000000001</v>
      </c>
      <c r="AD623" s="95" t="s">
        <v>1409</v>
      </c>
      <c r="AE623" s="122">
        <v>23</v>
      </c>
      <c r="AF623" s="122">
        <f t="shared" si="135"/>
        <v>614.42552000000001</v>
      </c>
      <c r="AG623" s="17">
        <v>12</v>
      </c>
      <c r="AH623" s="17">
        <v>0.25</v>
      </c>
      <c r="AI623" s="258" t="s">
        <v>75</v>
      </c>
      <c r="AJ623" s="55" t="s">
        <v>1452</v>
      </c>
      <c r="AK623" s="230" t="s">
        <v>1351</v>
      </c>
      <c r="AL623" s="205" t="s">
        <v>80</v>
      </c>
    </row>
    <row r="624" spans="1:38">
      <c r="A624" s="581" t="s">
        <v>1463</v>
      </c>
      <c r="B624" s="94" t="s">
        <v>1464</v>
      </c>
      <c r="C624" s="95">
        <v>1</v>
      </c>
      <c r="D624" s="110" t="s">
        <v>75</v>
      </c>
      <c r="E624" s="217" t="s">
        <v>1463</v>
      </c>
      <c r="F624" s="96">
        <v>711.92</v>
      </c>
      <c r="G624" s="141">
        <f t="shared" si="129"/>
        <v>0.1065</v>
      </c>
      <c r="H624" s="145">
        <f t="shared" si="130"/>
        <v>636.10051999999996</v>
      </c>
      <c r="I624" s="95" t="s">
        <v>1409</v>
      </c>
      <c r="J624" s="122">
        <f t="shared" si="131"/>
        <v>22.99869</v>
      </c>
      <c r="K624" s="122">
        <f t="shared" si="132"/>
        <v>659.09920999999997</v>
      </c>
      <c r="L624" s="99">
        <v>12</v>
      </c>
      <c r="M624" s="99">
        <v>0.25</v>
      </c>
      <c r="N624" s="258" t="s">
        <v>75</v>
      </c>
      <c r="O624" s="55" t="s">
        <v>1452</v>
      </c>
      <c r="P624" s="230" t="s">
        <v>1351</v>
      </c>
      <c r="Q624" s="205" t="s">
        <v>80</v>
      </c>
      <c r="R624" s="1">
        <f t="shared" si="136"/>
        <v>130.49323827742361</v>
      </c>
      <c r="S624" s="1">
        <f t="shared" si="136"/>
        <v>66.766721089871282</v>
      </c>
      <c r="T624" s="1">
        <f t="shared" si="136"/>
        <v>47.891433300142417</v>
      </c>
      <c r="U624" s="1">
        <f t="shared" si="136"/>
        <v>41.027200761327862</v>
      </c>
      <c r="V624" s="93" t="s">
        <v>1465</v>
      </c>
      <c r="W624" s="94" t="s">
        <v>1466</v>
      </c>
      <c r="X624" s="95">
        <v>1</v>
      </c>
      <c r="Y624" s="96" t="s">
        <v>75</v>
      </c>
      <c r="Z624" s="95" t="s">
        <v>1465</v>
      </c>
      <c r="AA624" s="96">
        <v>661.92</v>
      </c>
      <c r="AB624" s="141">
        <f t="shared" si="133"/>
        <v>0.1065</v>
      </c>
      <c r="AC624" s="145">
        <f t="shared" si="134"/>
        <v>591.42552000000001</v>
      </c>
      <c r="AD624" s="95" t="s">
        <v>1409</v>
      </c>
      <c r="AE624" s="122">
        <v>23</v>
      </c>
      <c r="AF624" s="122">
        <f t="shared" si="135"/>
        <v>614.42552000000001</v>
      </c>
      <c r="AG624" s="17">
        <v>12</v>
      </c>
      <c r="AH624" s="17">
        <v>0.25</v>
      </c>
      <c r="AI624" s="258" t="s">
        <v>75</v>
      </c>
      <c r="AJ624" s="55" t="s">
        <v>1452</v>
      </c>
      <c r="AK624" s="230" t="s">
        <v>1351</v>
      </c>
      <c r="AL624" s="205" t="s">
        <v>80</v>
      </c>
    </row>
    <row r="625" spans="1:38">
      <c r="A625" s="581" t="s">
        <v>1467</v>
      </c>
      <c r="B625" s="94" t="s">
        <v>1468</v>
      </c>
      <c r="C625" s="95">
        <v>1</v>
      </c>
      <c r="D625" s="110" t="s">
        <v>75</v>
      </c>
      <c r="E625" s="217" t="s">
        <v>1467</v>
      </c>
      <c r="F625" s="96">
        <v>711.92</v>
      </c>
      <c r="G625" s="141">
        <f t="shared" si="129"/>
        <v>0.1065</v>
      </c>
      <c r="H625" s="145">
        <f t="shared" si="130"/>
        <v>636.10051999999996</v>
      </c>
      <c r="I625" s="95" t="s">
        <v>1409</v>
      </c>
      <c r="J625" s="122">
        <f t="shared" si="131"/>
        <v>22.99869</v>
      </c>
      <c r="K625" s="122">
        <f t="shared" si="132"/>
        <v>659.09920999999997</v>
      </c>
      <c r="L625" s="99">
        <v>12</v>
      </c>
      <c r="M625" s="99">
        <v>0.25</v>
      </c>
      <c r="N625" s="258" t="s">
        <v>75</v>
      </c>
      <c r="O625" s="55" t="s">
        <v>1452</v>
      </c>
      <c r="P625" s="230" t="s">
        <v>1351</v>
      </c>
      <c r="Q625" s="205" t="s">
        <v>80</v>
      </c>
      <c r="R625" s="1">
        <f t="shared" si="136"/>
        <v>130.49323827742361</v>
      </c>
      <c r="S625" s="1">
        <f t="shared" si="136"/>
        <v>66.766721089871282</v>
      </c>
      <c r="T625" s="1">
        <f t="shared" si="136"/>
        <v>47.891433300142417</v>
      </c>
      <c r="U625" s="1">
        <f t="shared" si="136"/>
        <v>41.027200761327862</v>
      </c>
      <c r="V625" s="93" t="s">
        <v>1469</v>
      </c>
      <c r="W625" s="94" t="s">
        <v>1470</v>
      </c>
      <c r="X625" s="95">
        <v>1</v>
      </c>
      <c r="Y625" s="96" t="s">
        <v>75</v>
      </c>
      <c r="Z625" s="95" t="s">
        <v>1469</v>
      </c>
      <c r="AA625" s="96">
        <v>661.92</v>
      </c>
      <c r="AB625" s="141">
        <f t="shared" si="133"/>
        <v>0.1065</v>
      </c>
      <c r="AC625" s="145">
        <f t="shared" si="134"/>
        <v>591.42552000000001</v>
      </c>
      <c r="AD625" s="95" t="s">
        <v>1409</v>
      </c>
      <c r="AE625" s="122">
        <v>23</v>
      </c>
      <c r="AF625" s="122">
        <f t="shared" si="135"/>
        <v>614.42552000000001</v>
      </c>
      <c r="AG625" s="17">
        <v>12</v>
      </c>
      <c r="AH625" s="17">
        <v>0.25</v>
      </c>
      <c r="AI625" s="258" t="s">
        <v>75</v>
      </c>
      <c r="AJ625" s="55" t="s">
        <v>1452</v>
      </c>
      <c r="AK625" s="230" t="s">
        <v>1351</v>
      </c>
      <c r="AL625" s="205" t="s">
        <v>80</v>
      </c>
    </row>
    <row r="626" spans="1:38">
      <c r="A626" s="581" t="s">
        <v>1471</v>
      </c>
      <c r="B626" s="94" t="s">
        <v>1472</v>
      </c>
      <c r="C626" s="95">
        <v>1</v>
      </c>
      <c r="D626" s="110" t="s">
        <v>75</v>
      </c>
      <c r="E626" s="217" t="s">
        <v>1471</v>
      </c>
      <c r="F626" s="96">
        <v>851.58</v>
      </c>
      <c r="G626" s="141">
        <f t="shared" si="129"/>
        <v>0.1065</v>
      </c>
      <c r="H626" s="145">
        <f t="shared" si="130"/>
        <v>760.88673000000006</v>
      </c>
      <c r="I626" s="95" t="s">
        <v>1409</v>
      </c>
      <c r="J626" s="122">
        <f t="shared" si="131"/>
        <v>22.99869</v>
      </c>
      <c r="K626" s="122">
        <f t="shared" si="132"/>
        <v>783.88542000000007</v>
      </c>
      <c r="L626" s="99">
        <v>14</v>
      </c>
      <c r="M626" s="99">
        <v>0.25</v>
      </c>
      <c r="N626" s="258" t="s">
        <v>75</v>
      </c>
      <c r="O626" s="55" t="s">
        <v>1473</v>
      </c>
      <c r="P626" s="230" t="s">
        <v>1351</v>
      </c>
      <c r="Q626" s="205" t="s">
        <v>80</v>
      </c>
      <c r="R626" s="1">
        <f t="shared" si="136"/>
        <v>155.19931649479341</v>
      </c>
      <c r="S626" s="1">
        <f t="shared" si="136"/>
        <v>79.407558694474261</v>
      </c>
      <c r="T626" s="1">
        <f t="shared" si="136"/>
        <v>56.958642549251621</v>
      </c>
      <c r="U626" s="1">
        <f t="shared" si="136"/>
        <v>48.794815730727109</v>
      </c>
      <c r="V626" s="93" t="s">
        <v>1474</v>
      </c>
      <c r="W626" s="94" t="s">
        <v>1475</v>
      </c>
      <c r="X626" s="95">
        <v>1</v>
      </c>
      <c r="Y626" s="110" t="s">
        <v>75</v>
      </c>
      <c r="Z626" s="95" t="s">
        <v>1474</v>
      </c>
      <c r="AA626" s="96">
        <v>801.58</v>
      </c>
      <c r="AB626" s="141">
        <f t="shared" si="133"/>
        <v>0.1065</v>
      </c>
      <c r="AC626" s="145">
        <f t="shared" si="134"/>
        <v>716.21172999999999</v>
      </c>
      <c r="AD626" s="95" t="s">
        <v>1409</v>
      </c>
      <c r="AE626" s="122">
        <v>23</v>
      </c>
      <c r="AF626" s="122">
        <f t="shared" si="135"/>
        <v>739.21172999999999</v>
      </c>
      <c r="AG626" s="17">
        <v>14</v>
      </c>
      <c r="AH626" s="17">
        <v>0.25</v>
      </c>
      <c r="AI626" s="258" t="s">
        <v>75</v>
      </c>
      <c r="AJ626" s="55" t="s">
        <v>1473</v>
      </c>
      <c r="AK626" s="230" t="s">
        <v>1351</v>
      </c>
      <c r="AL626" s="205" t="s">
        <v>80</v>
      </c>
    </row>
    <row r="627" spans="1:38">
      <c r="A627" s="581" t="s">
        <v>1476</v>
      </c>
      <c r="B627" s="94" t="s">
        <v>1477</v>
      </c>
      <c r="C627" s="95">
        <v>1</v>
      </c>
      <c r="D627" s="110" t="s">
        <v>75</v>
      </c>
      <c r="E627" s="217" t="s">
        <v>1476</v>
      </c>
      <c r="F627" s="96">
        <v>851.58</v>
      </c>
      <c r="G627" s="141">
        <f t="shared" si="129"/>
        <v>0.1065</v>
      </c>
      <c r="H627" s="145">
        <f t="shared" si="130"/>
        <v>760.88673000000006</v>
      </c>
      <c r="I627" s="95" t="s">
        <v>1409</v>
      </c>
      <c r="J627" s="122">
        <f t="shared" si="131"/>
        <v>22.99869</v>
      </c>
      <c r="K627" s="122">
        <f t="shared" si="132"/>
        <v>783.88542000000007</v>
      </c>
      <c r="L627" s="99">
        <v>14</v>
      </c>
      <c r="M627" s="99">
        <v>0.25</v>
      </c>
      <c r="N627" s="258" t="s">
        <v>75</v>
      </c>
      <c r="O627" s="55" t="s">
        <v>1473</v>
      </c>
      <c r="P627" s="230" t="s">
        <v>1351</v>
      </c>
      <c r="Q627" s="205" t="s">
        <v>80</v>
      </c>
      <c r="R627" s="1">
        <f t="shared" si="136"/>
        <v>155.19931649479341</v>
      </c>
      <c r="S627" s="1">
        <f t="shared" si="136"/>
        <v>79.407558694474261</v>
      </c>
      <c r="T627" s="1">
        <f t="shared" si="136"/>
        <v>56.958642549251621</v>
      </c>
      <c r="U627" s="1">
        <f t="shared" si="136"/>
        <v>48.794815730727109</v>
      </c>
      <c r="V627" s="93" t="s">
        <v>1478</v>
      </c>
      <c r="W627" s="94" t="s">
        <v>1479</v>
      </c>
      <c r="X627" s="95">
        <v>1</v>
      </c>
      <c r="Y627" s="110" t="s">
        <v>75</v>
      </c>
      <c r="Z627" s="95" t="s">
        <v>1478</v>
      </c>
      <c r="AA627" s="96">
        <v>801.58</v>
      </c>
      <c r="AB627" s="141">
        <f t="shared" si="133"/>
        <v>0.1065</v>
      </c>
      <c r="AC627" s="145">
        <f t="shared" si="134"/>
        <v>716.21172999999999</v>
      </c>
      <c r="AD627" s="95" t="s">
        <v>1409</v>
      </c>
      <c r="AE627" s="122">
        <v>23</v>
      </c>
      <c r="AF627" s="122">
        <f t="shared" si="135"/>
        <v>739.21172999999999</v>
      </c>
      <c r="AG627" s="17">
        <v>14</v>
      </c>
      <c r="AH627" s="17">
        <v>0.25</v>
      </c>
      <c r="AI627" s="258" t="s">
        <v>75</v>
      </c>
      <c r="AJ627" s="55" t="s">
        <v>1473</v>
      </c>
      <c r="AK627" s="230" t="s">
        <v>1351</v>
      </c>
      <c r="AL627" s="205" t="s">
        <v>80</v>
      </c>
    </row>
    <row r="628" spans="1:38">
      <c r="A628" s="581" t="s">
        <v>1480</v>
      </c>
      <c r="B628" s="94" t="s">
        <v>1481</v>
      </c>
      <c r="C628" s="95">
        <v>1</v>
      </c>
      <c r="D628" s="110" t="s">
        <v>75</v>
      </c>
      <c r="E628" s="217" t="s">
        <v>1480</v>
      </c>
      <c r="F628" s="96">
        <v>851.58</v>
      </c>
      <c r="G628" s="141">
        <f t="shared" si="129"/>
        <v>0.1065</v>
      </c>
      <c r="H628" s="145">
        <f t="shared" si="130"/>
        <v>760.88673000000006</v>
      </c>
      <c r="I628" s="95" t="s">
        <v>1409</v>
      </c>
      <c r="J628" s="122">
        <f t="shared" si="131"/>
        <v>22.99869</v>
      </c>
      <c r="K628" s="122">
        <f t="shared" si="132"/>
        <v>783.88542000000007</v>
      </c>
      <c r="L628" s="99">
        <v>14</v>
      </c>
      <c r="M628" s="99">
        <v>0.25</v>
      </c>
      <c r="N628" s="258" t="s">
        <v>75</v>
      </c>
      <c r="O628" s="55" t="s">
        <v>1473</v>
      </c>
      <c r="P628" s="230" t="s">
        <v>1351</v>
      </c>
      <c r="Q628" s="205" t="s">
        <v>80</v>
      </c>
      <c r="R628" s="1">
        <f t="shared" si="136"/>
        <v>155.19931649479341</v>
      </c>
      <c r="S628" s="1">
        <f t="shared" si="136"/>
        <v>79.407558694474261</v>
      </c>
      <c r="T628" s="1">
        <f t="shared" si="136"/>
        <v>56.958642549251621</v>
      </c>
      <c r="U628" s="1">
        <f t="shared" si="136"/>
        <v>48.794815730727109</v>
      </c>
      <c r="V628" s="93" t="s">
        <v>1482</v>
      </c>
      <c r="W628" s="94" t="s">
        <v>1483</v>
      </c>
      <c r="X628" s="95">
        <v>1</v>
      </c>
      <c r="Y628" s="110" t="s">
        <v>75</v>
      </c>
      <c r="Z628" s="95" t="s">
        <v>1482</v>
      </c>
      <c r="AA628" s="96">
        <v>801.58</v>
      </c>
      <c r="AB628" s="141">
        <f t="shared" si="133"/>
        <v>0.1065</v>
      </c>
      <c r="AC628" s="145">
        <f t="shared" si="134"/>
        <v>716.21172999999999</v>
      </c>
      <c r="AD628" s="95" t="s">
        <v>1409</v>
      </c>
      <c r="AE628" s="122">
        <v>23</v>
      </c>
      <c r="AF628" s="122">
        <f t="shared" si="135"/>
        <v>739.21172999999999</v>
      </c>
      <c r="AG628" s="17">
        <v>14</v>
      </c>
      <c r="AH628" s="17">
        <v>0.25</v>
      </c>
      <c r="AI628" s="258" t="s">
        <v>75</v>
      </c>
      <c r="AJ628" s="55" t="s">
        <v>1473</v>
      </c>
      <c r="AK628" s="230" t="s">
        <v>1351</v>
      </c>
      <c r="AL628" s="205" t="s">
        <v>80</v>
      </c>
    </row>
    <row r="629" spans="1:38">
      <c r="A629" s="581" t="s">
        <v>1484</v>
      </c>
      <c r="B629" s="94" t="s">
        <v>1485</v>
      </c>
      <c r="C629" s="95">
        <v>1</v>
      </c>
      <c r="D629" s="110" t="s">
        <v>75</v>
      </c>
      <c r="E629" s="217" t="s">
        <v>1484</v>
      </c>
      <c r="F629" s="96">
        <v>851.58</v>
      </c>
      <c r="G629" s="141">
        <f t="shared" si="129"/>
        <v>0.1065</v>
      </c>
      <c r="H629" s="145">
        <f t="shared" si="130"/>
        <v>760.88673000000006</v>
      </c>
      <c r="I629" s="95" t="s">
        <v>1409</v>
      </c>
      <c r="J629" s="122">
        <f t="shared" si="131"/>
        <v>22.99869</v>
      </c>
      <c r="K629" s="122">
        <f t="shared" si="132"/>
        <v>783.88542000000007</v>
      </c>
      <c r="L629" s="99">
        <v>14</v>
      </c>
      <c r="M629" s="99">
        <v>0.25</v>
      </c>
      <c r="N629" s="258" t="s">
        <v>75</v>
      </c>
      <c r="O629" s="55" t="s">
        <v>1473</v>
      </c>
      <c r="P629" s="230" t="s">
        <v>1351</v>
      </c>
      <c r="Q629" s="205" t="s">
        <v>80</v>
      </c>
      <c r="R629" s="1">
        <f t="shared" si="136"/>
        <v>155.19931649479341</v>
      </c>
      <c r="S629" s="1">
        <f t="shared" si="136"/>
        <v>79.407558694474261</v>
      </c>
      <c r="T629" s="1">
        <f t="shared" si="136"/>
        <v>56.958642549251621</v>
      </c>
      <c r="U629" s="1">
        <f t="shared" si="136"/>
        <v>48.794815730727109</v>
      </c>
      <c r="V629" s="93" t="s">
        <v>1486</v>
      </c>
      <c r="W629" s="94" t="s">
        <v>1487</v>
      </c>
      <c r="X629" s="95">
        <v>1</v>
      </c>
      <c r="Y629" s="110" t="s">
        <v>75</v>
      </c>
      <c r="Z629" s="95" t="s">
        <v>1486</v>
      </c>
      <c r="AA629" s="96">
        <v>801.58</v>
      </c>
      <c r="AB629" s="141">
        <f t="shared" si="133"/>
        <v>0.1065</v>
      </c>
      <c r="AC629" s="145">
        <f t="shared" si="134"/>
        <v>716.21172999999999</v>
      </c>
      <c r="AD629" s="95" t="s">
        <v>1409</v>
      </c>
      <c r="AE629" s="122">
        <v>23</v>
      </c>
      <c r="AF629" s="122">
        <f t="shared" si="135"/>
        <v>739.21172999999999</v>
      </c>
      <c r="AG629" s="17">
        <v>14</v>
      </c>
      <c r="AH629" s="17">
        <v>0.25</v>
      </c>
      <c r="AI629" s="258" t="s">
        <v>75</v>
      </c>
      <c r="AJ629" s="55" t="s">
        <v>1473</v>
      </c>
      <c r="AK629" s="230" t="s">
        <v>1351</v>
      </c>
      <c r="AL629" s="205" t="s">
        <v>80</v>
      </c>
    </row>
    <row r="630" spans="1:38">
      <c r="A630" s="581" t="s">
        <v>1488</v>
      </c>
      <c r="B630" s="94" t="s">
        <v>1489</v>
      </c>
      <c r="C630" s="95">
        <v>1</v>
      </c>
      <c r="D630" s="110" t="s">
        <v>75</v>
      </c>
      <c r="E630" s="217" t="s">
        <v>1488</v>
      </c>
      <c r="F630" s="96">
        <v>851.58</v>
      </c>
      <c r="G630" s="141">
        <f t="shared" si="129"/>
        <v>0.1065</v>
      </c>
      <c r="H630" s="145">
        <f t="shared" si="130"/>
        <v>760.88673000000006</v>
      </c>
      <c r="I630" s="95" t="s">
        <v>1409</v>
      </c>
      <c r="J630" s="122">
        <f t="shared" si="131"/>
        <v>22.99869</v>
      </c>
      <c r="K630" s="122">
        <f t="shared" si="132"/>
        <v>783.88542000000007</v>
      </c>
      <c r="L630" s="99">
        <v>14</v>
      </c>
      <c r="M630" s="99">
        <v>0.25</v>
      </c>
      <c r="N630" s="258" t="s">
        <v>75</v>
      </c>
      <c r="O630" s="55" t="s">
        <v>1473</v>
      </c>
      <c r="P630" s="230" t="s">
        <v>1351</v>
      </c>
      <c r="Q630" s="205" t="s">
        <v>80</v>
      </c>
      <c r="R630" s="1">
        <f t="shared" si="136"/>
        <v>155.19931649479341</v>
      </c>
      <c r="S630" s="1">
        <f t="shared" si="136"/>
        <v>79.407558694474261</v>
      </c>
      <c r="T630" s="1">
        <f t="shared" si="136"/>
        <v>56.958642549251621</v>
      </c>
      <c r="U630" s="1">
        <f t="shared" si="136"/>
        <v>48.794815730727109</v>
      </c>
      <c r="V630" s="93" t="s">
        <v>1490</v>
      </c>
      <c r="W630" s="94" t="s">
        <v>1491</v>
      </c>
      <c r="X630" s="95">
        <v>1</v>
      </c>
      <c r="Y630" s="110" t="s">
        <v>75</v>
      </c>
      <c r="Z630" s="95" t="s">
        <v>1490</v>
      </c>
      <c r="AA630" s="96">
        <v>801.58</v>
      </c>
      <c r="AB630" s="141">
        <f t="shared" si="133"/>
        <v>0.1065</v>
      </c>
      <c r="AC630" s="145">
        <f t="shared" si="134"/>
        <v>716.21172999999999</v>
      </c>
      <c r="AD630" s="95" t="s">
        <v>1409</v>
      </c>
      <c r="AE630" s="122">
        <v>23</v>
      </c>
      <c r="AF630" s="122">
        <f t="shared" si="135"/>
        <v>739.21172999999999</v>
      </c>
      <c r="AG630" s="17">
        <v>14</v>
      </c>
      <c r="AH630" s="17">
        <v>0.25</v>
      </c>
      <c r="AI630" s="258" t="s">
        <v>75</v>
      </c>
      <c r="AJ630" s="55" t="s">
        <v>1473</v>
      </c>
      <c r="AK630" s="230" t="s">
        <v>1351</v>
      </c>
      <c r="AL630" s="205" t="s">
        <v>80</v>
      </c>
    </row>
    <row r="631" spans="1:38" s="288" customFormat="1">
      <c r="A631" s="25" t="s">
        <v>1492</v>
      </c>
      <c r="B631" s="26" t="s">
        <v>1493</v>
      </c>
      <c r="C631" s="29">
        <v>1</v>
      </c>
      <c r="D631" s="106" t="s">
        <v>82</v>
      </c>
      <c r="E631" s="142" t="s">
        <v>1492</v>
      </c>
      <c r="F631" s="321"/>
      <c r="G631" s="207"/>
      <c r="H631" s="100">
        <v>5</v>
      </c>
      <c r="I631" s="124"/>
      <c r="J631" s="46"/>
      <c r="K631" s="46"/>
      <c r="L631" s="46" t="s">
        <v>77</v>
      </c>
      <c r="M631" s="46" t="s">
        <v>77</v>
      </c>
      <c r="N631" s="261" t="s">
        <v>83</v>
      </c>
      <c r="O631" s="55" t="s">
        <v>84</v>
      </c>
      <c r="P631" s="230" t="s">
        <v>85</v>
      </c>
      <c r="Q631" s="205" t="s">
        <v>86</v>
      </c>
      <c r="R631" s="1" t="str">
        <f t="shared" si="136"/>
        <v/>
      </c>
      <c r="S631" s="1" t="str">
        <f t="shared" si="136"/>
        <v/>
      </c>
      <c r="T631" s="1" t="str">
        <f t="shared" si="136"/>
        <v/>
      </c>
      <c r="U631" s="1" t="str">
        <f t="shared" si="136"/>
        <v/>
      </c>
      <c r="V631" s="25" t="s">
        <v>1492</v>
      </c>
      <c r="W631" s="26" t="s">
        <v>1493</v>
      </c>
      <c r="X631" s="29">
        <v>1</v>
      </c>
      <c r="Y631" s="106" t="s">
        <v>82</v>
      </c>
      <c r="Z631" s="142" t="s">
        <v>1492</v>
      </c>
      <c r="AA631" s="321"/>
      <c r="AB631" s="207"/>
      <c r="AC631" s="100">
        <v>5</v>
      </c>
      <c r="AD631" s="124"/>
      <c r="AE631" s="46"/>
      <c r="AF631" s="46"/>
      <c r="AG631" s="46" t="s">
        <v>77</v>
      </c>
      <c r="AH631" s="46" t="s">
        <v>77</v>
      </c>
      <c r="AI631" s="261" t="s">
        <v>83</v>
      </c>
      <c r="AJ631" s="55" t="s">
        <v>84</v>
      </c>
      <c r="AK631" s="301" t="s">
        <v>85</v>
      </c>
      <c r="AL631" s="14" t="s">
        <v>86</v>
      </c>
    </row>
    <row r="632" spans="1:38" s="288" customFormat="1">
      <c r="A632" s="25" t="s">
        <v>1494</v>
      </c>
      <c r="B632" s="26" t="s">
        <v>1495</v>
      </c>
      <c r="C632" s="29">
        <v>1</v>
      </c>
      <c r="D632" s="106" t="s">
        <v>82</v>
      </c>
      <c r="E632" s="142" t="s">
        <v>1494</v>
      </c>
      <c r="F632" s="58"/>
      <c r="G632" s="207"/>
      <c r="H632" s="100">
        <v>7</v>
      </c>
      <c r="I632" s="124"/>
      <c r="J632" s="46"/>
      <c r="K632" s="46"/>
      <c r="L632" s="46" t="s">
        <v>77</v>
      </c>
      <c r="M632" s="46" t="s">
        <v>77</v>
      </c>
      <c r="N632" s="261" t="s">
        <v>83</v>
      </c>
      <c r="O632" s="55" t="s">
        <v>84</v>
      </c>
      <c r="P632" s="301" t="s">
        <v>85</v>
      </c>
      <c r="Q632" s="14" t="s">
        <v>86</v>
      </c>
      <c r="R632" s="1" t="str">
        <f t="shared" si="136"/>
        <v/>
      </c>
      <c r="S632" s="1" t="str">
        <f t="shared" si="136"/>
        <v/>
      </c>
      <c r="T632" s="1" t="str">
        <f t="shared" si="136"/>
        <v/>
      </c>
      <c r="U632" s="1" t="str">
        <f t="shared" si="136"/>
        <v/>
      </c>
      <c r="V632" s="25" t="s">
        <v>1494</v>
      </c>
      <c r="W632" s="26" t="s">
        <v>1495</v>
      </c>
      <c r="X632" s="29">
        <v>1</v>
      </c>
      <c r="Y632" s="106" t="s">
        <v>82</v>
      </c>
      <c r="Z632" s="142" t="s">
        <v>1494</v>
      </c>
      <c r="AA632" s="58"/>
      <c r="AB632" s="207"/>
      <c r="AC632" s="100">
        <v>7</v>
      </c>
      <c r="AD632" s="124"/>
      <c r="AE632" s="46"/>
      <c r="AF632" s="46"/>
      <c r="AG632" s="46" t="s">
        <v>77</v>
      </c>
      <c r="AH632" s="46" t="s">
        <v>77</v>
      </c>
      <c r="AI632" s="261" t="s">
        <v>83</v>
      </c>
      <c r="AJ632" s="55" t="s">
        <v>84</v>
      </c>
      <c r="AK632" s="301" t="s">
        <v>85</v>
      </c>
      <c r="AL632" s="14" t="s">
        <v>86</v>
      </c>
    </row>
    <row r="633" spans="1:38" s="288" customFormat="1">
      <c r="A633" s="25" t="s">
        <v>1496</v>
      </c>
      <c r="B633" s="26" t="s">
        <v>1497</v>
      </c>
      <c r="C633" s="29">
        <v>1</v>
      </c>
      <c r="D633" s="106" t="s">
        <v>82</v>
      </c>
      <c r="E633" s="142" t="s">
        <v>1496</v>
      </c>
      <c r="F633" s="58"/>
      <c r="G633" s="207"/>
      <c r="H633" s="100">
        <v>10</v>
      </c>
      <c r="I633" s="124"/>
      <c r="J633" s="46"/>
      <c r="K633" s="46"/>
      <c r="L633" s="46" t="s">
        <v>77</v>
      </c>
      <c r="M633" s="46" t="s">
        <v>77</v>
      </c>
      <c r="N633" s="261" t="s">
        <v>83</v>
      </c>
      <c r="O633" s="55" t="s">
        <v>84</v>
      </c>
      <c r="P633" s="301" t="s">
        <v>85</v>
      </c>
      <c r="Q633" s="14" t="s">
        <v>86</v>
      </c>
      <c r="R633" s="1" t="str">
        <f t="shared" si="136"/>
        <v/>
      </c>
      <c r="S633" s="1" t="str">
        <f t="shared" si="136"/>
        <v/>
      </c>
      <c r="T633" s="1" t="str">
        <f t="shared" si="136"/>
        <v/>
      </c>
      <c r="U633" s="1" t="str">
        <f t="shared" si="136"/>
        <v/>
      </c>
      <c r="V633" s="25" t="s">
        <v>1496</v>
      </c>
      <c r="W633" s="26" t="s">
        <v>1497</v>
      </c>
      <c r="X633" s="29">
        <v>1</v>
      </c>
      <c r="Y633" s="106" t="s">
        <v>82</v>
      </c>
      <c r="Z633" s="142" t="s">
        <v>1496</v>
      </c>
      <c r="AA633" s="58"/>
      <c r="AB633" s="207"/>
      <c r="AC633" s="100">
        <v>10</v>
      </c>
      <c r="AD633" s="124"/>
      <c r="AE633" s="46"/>
      <c r="AF633" s="46"/>
      <c r="AG633" s="46" t="s">
        <v>77</v>
      </c>
      <c r="AH633" s="46" t="s">
        <v>77</v>
      </c>
      <c r="AI633" s="261" t="s">
        <v>83</v>
      </c>
      <c r="AJ633" s="55" t="s">
        <v>84</v>
      </c>
      <c r="AK633" s="301" t="s">
        <v>85</v>
      </c>
      <c r="AL633" s="14" t="s">
        <v>86</v>
      </c>
    </row>
    <row r="634" spans="1:38" s="288" customFormat="1">
      <c r="A634" s="103" t="s">
        <v>1498</v>
      </c>
      <c r="B634" s="104" t="s">
        <v>1499</v>
      </c>
      <c r="C634" s="105">
        <v>1</v>
      </c>
      <c r="D634" s="106" t="s">
        <v>82</v>
      </c>
      <c r="E634" s="155" t="s">
        <v>1498</v>
      </c>
      <c r="F634" s="320"/>
      <c r="G634" s="109"/>
      <c r="H634" s="100">
        <v>94.63</v>
      </c>
      <c r="I634" s="124"/>
      <c r="J634" s="46"/>
      <c r="K634" s="46"/>
      <c r="L634" s="46" t="s">
        <v>77</v>
      </c>
      <c r="M634" s="46" t="s">
        <v>77</v>
      </c>
      <c r="N634" s="261" t="s">
        <v>83</v>
      </c>
      <c r="O634" s="55" t="s">
        <v>84</v>
      </c>
      <c r="P634" s="301" t="s">
        <v>85</v>
      </c>
      <c r="Q634" s="14" t="s">
        <v>86</v>
      </c>
      <c r="R634" s="1" t="str">
        <f t="shared" si="136"/>
        <v/>
      </c>
      <c r="S634" s="1" t="str">
        <f t="shared" si="136"/>
        <v/>
      </c>
      <c r="T634" s="1" t="str">
        <f t="shared" si="136"/>
        <v/>
      </c>
      <c r="U634" s="1" t="str">
        <f t="shared" si="136"/>
        <v/>
      </c>
      <c r="V634" s="25" t="s">
        <v>1498</v>
      </c>
      <c r="W634" s="26" t="s">
        <v>1500</v>
      </c>
      <c r="X634" s="29">
        <v>1</v>
      </c>
      <c r="Y634" s="106" t="s">
        <v>82</v>
      </c>
      <c r="Z634" s="142" t="s">
        <v>1498</v>
      </c>
      <c r="AA634" s="58"/>
      <c r="AB634" s="207"/>
      <c r="AC634" s="100">
        <v>47</v>
      </c>
      <c r="AD634" s="124"/>
      <c r="AE634" s="46"/>
      <c r="AF634" s="46"/>
      <c r="AG634" s="46" t="s">
        <v>77</v>
      </c>
      <c r="AH634" s="46" t="s">
        <v>77</v>
      </c>
      <c r="AI634" s="261" t="s">
        <v>83</v>
      </c>
      <c r="AJ634" s="55" t="s">
        <v>84</v>
      </c>
      <c r="AK634" s="301" t="s">
        <v>85</v>
      </c>
      <c r="AL634" s="14" t="s">
        <v>86</v>
      </c>
    </row>
    <row r="635" spans="1:38" s="288" customFormat="1">
      <c r="A635" s="391"/>
      <c r="B635" s="431"/>
      <c r="C635" s="29"/>
      <c r="D635" s="106"/>
      <c r="E635" s="256"/>
      <c r="F635" s="58"/>
      <c r="G635" s="207"/>
      <c r="H635" s="31"/>
      <c r="I635" s="124"/>
      <c r="J635" s="46"/>
      <c r="K635" s="46"/>
      <c r="L635" s="46"/>
      <c r="M635" s="46"/>
      <c r="N635" s="261"/>
      <c r="O635" s="55"/>
      <c r="P635" s="301"/>
      <c r="Q635" s="14"/>
      <c r="R635" s="1" t="str">
        <f t="shared" si="136"/>
        <v/>
      </c>
      <c r="S635" s="1" t="str">
        <f t="shared" si="136"/>
        <v/>
      </c>
      <c r="T635" s="1" t="str">
        <f t="shared" si="136"/>
        <v/>
      </c>
      <c r="U635" s="1" t="str">
        <f t="shared" si="136"/>
        <v/>
      </c>
      <c r="V635" s="25" t="s">
        <v>1501</v>
      </c>
      <c r="W635" s="26" t="s">
        <v>1502</v>
      </c>
      <c r="X635" s="29">
        <v>1</v>
      </c>
      <c r="Y635" s="106" t="s">
        <v>82</v>
      </c>
      <c r="Z635" s="142" t="s">
        <v>1501</v>
      </c>
      <c r="AA635" s="58"/>
      <c r="AB635" s="207"/>
      <c r="AC635" s="100">
        <v>81</v>
      </c>
      <c r="AD635" s="124"/>
      <c r="AE635" s="46"/>
      <c r="AF635" s="46"/>
      <c r="AG635" s="46" t="s">
        <v>77</v>
      </c>
      <c r="AH635" s="46" t="s">
        <v>77</v>
      </c>
      <c r="AI635" s="261" t="s">
        <v>83</v>
      </c>
      <c r="AJ635" s="55" t="s">
        <v>84</v>
      </c>
      <c r="AK635" s="301" t="s">
        <v>85</v>
      </c>
      <c r="AL635" s="14" t="s">
        <v>86</v>
      </c>
    </row>
    <row r="636" spans="1:38" s="176" customFormat="1">
      <c r="A636" s="93" t="s">
        <v>1503</v>
      </c>
      <c r="B636" s="126" t="s">
        <v>1504</v>
      </c>
      <c r="C636" s="95">
        <v>1</v>
      </c>
      <c r="D636" s="196" t="s">
        <v>75</v>
      </c>
      <c r="E636" s="196" t="s">
        <v>1503</v>
      </c>
      <c r="F636" s="137">
        <v>734.92</v>
      </c>
      <c r="G636" s="332">
        <f t="shared" si="129"/>
        <v>0.1065</v>
      </c>
      <c r="H636" s="196">
        <f t="shared" si="130"/>
        <v>656.65102000000002</v>
      </c>
      <c r="I636" s="193" t="s">
        <v>1505</v>
      </c>
      <c r="J636" s="122">
        <v>23</v>
      </c>
      <c r="K636" s="122">
        <f t="shared" si="132"/>
        <v>679.65102000000002</v>
      </c>
      <c r="L636" s="17">
        <v>14</v>
      </c>
      <c r="M636" s="17">
        <v>0.25</v>
      </c>
      <c r="N636" s="262" t="s">
        <v>75</v>
      </c>
      <c r="O636" s="55" t="s">
        <v>1506</v>
      </c>
      <c r="P636" s="230" t="s">
        <v>1351</v>
      </c>
      <c r="Q636" s="205" t="s">
        <v>80</v>
      </c>
      <c r="R636" s="1">
        <f t="shared" si="136"/>
        <v>134.56223456610425</v>
      </c>
      <c r="S636" s="1">
        <f t="shared" si="136"/>
        <v>68.84861854224728</v>
      </c>
      <c r="T636" s="1">
        <f t="shared" si="136"/>
        <v>49.384767873874047</v>
      </c>
      <c r="U636" s="1">
        <f t="shared" si="136"/>
        <v>42.306497143550295</v>
      </c>
      <c r="V636" s="93" t="s">
        <v>1503</v>
      </c>
      <c r="W636" s="126" t="s">
        <v>1504</v>
      </c>
      <c r="X636" s="95">
        <v>1</v>
      </c>
      <c r="Y636" s="196" t="s">
        <v>75</v>
      </c>
      <c r="Z636" s="196" t="s">
        <v>1503</v>
      </c>
      <c r="AA636" s="137">
        <v>734.92</v>
      </c>
      <c r="AB636" s="332">
        <f t="shared" si="133"/>
        <v>0.1065</v>
      </c>
      <c r="AC636" s="196">
        <f t="shared" ref="AC636:AC637" si="137">AA636-(AA636*AB636)</f>
        <v>656.65102000000002</v>
      </c>
      <c r="AD636" s="193" t="s">
        <v>1505</v>
      </c>
      <c r="AE636" s="122">
        <v>23</v>
      </c>
      <c r="AF636" s="122">
        <f t="shared" ref="AF636" si="138">AC636+AE636</f>
        <v>679.65102000000002</v>
      </c>
      <c r="AG636" s="17">
        <v>14</v>
      </c>
      <c r="AH636" s="17">
        <v>0.25</v>
      </c>
      <c r="AI636" s="262" t="s">
        <v>75</v>
      </c>
      <c r="AJ636" s="55" t="s">
        <v>1506</v>
      </c>
      <c r="AK636" s="230" t="s">
        <v>1351</v>
      </c>
      <c r="AL636" s="205" t="s">
        <v>80</v>
      </c>
    </row>
    <row r="637" spans="1:38" s="176" customFormat="1">
      <c r="A637" s="103" t="s">
        <v>1505</v>
      </c>
      <c r="B637" s="104" t="s">
        <v>1507</v>
      </c>
      <c r="C637" s="105">
        <v>1</v>
      </c>
      <c r="D637" s="106" t="s">
        <v>82</v>
      </c>
      <c r="E637" s="105" t="s">
        <v>1505</v>
      </c>
      <c r="F637" s="108">
        <v>25.74</v>
      </c>
      <c r="G637" s="180">
        <f>rv_ipp11</f>
        <v>0.1065</v>
      </c>
      <c r="H637" s="100">
        <f t="shared" si="130"/>
        <v>22.99869</v>
      </c>
      <c r="I637" s="144"/>
      <c r="J637" s="175"/>
      <c r="K637" s="175"/>
      <c r="L637" s="17" t="s">
        <v>77</v>
      </c>
      <c r="M637" s="17" t="s">
        <v>77</v>
      </c>
      <c r="N637" s="261" t="s">
        <v>83</v>
      </c>
      <c r="O637" s="55" t="s">
        <v>84</v>
      </c>
      <c r="P637" s="230" t="s">
        <v>85</v>
      </c>
      <c r="Q637" s="205" t="s">
        <v>86</v>
      </c>
      <c r="R637" s="1" t="str">
        <f t="shared" si="136"/>
        <v/>
      </c>
      <c r="S637" s="1" t="str">
        <f t="shared" si="136"/>
        <v/>
      </c>
      <c r="T637" s="1" t="str">
        <f t="shared" si="136"/>
        <v/>
      </c>
      <c r="U637" s="1" t="str">
        <f t="shared" si="136"/>
        <v/>
      </c>
      <c r="V637" s="103" t="s">
        <v>1505</v>
      </c>
      <c r="W637" s="104" t="s">
        <v>1507</v>
      </c>
      <c r="X637" s="105">
        <v>1</v>
      </c>
      <c r="Y637" s="106" t="s">
        <v>82</v>
      </c>
      <c r="Z637" s="105" t="s">
        <v>1505</v>
      </c>
      <c r="AA637" s="108">
        <v>25.74</v>
      </c>
      <c r="AB637" s="180">
        <f>rv_ipp11</f>
        <v>0.1065</v>
      </c>
      <c r="AC637" s="100">
        <f t="shared" si="137"/>
        <v>22.99869</v>
      </c>
      <c r="AD637" s="144"/>
      <c r="AE637" s="175"/>
      <c r="AF637" s="175"/>
      <c r="AG637" s="17" t="s">
        <v>77</v>
      </c>
      <c r="AH637" s="17" t="s">
        <v>77</v>
      </c>
      <c r="AI637" s="261" t="s">
        <v>83</v>
      </c>
      <c r="AJ637" s="55" t="s">
        <v>84</v>
      </c>
      <c r="AK637" s="230" t="s">
        <v>85</v>
      </c>
      <c r="AL637" s="205" t="s">
        <v>86</v>
      </c>
    </row>
    <row r="638" spans="1:38">
      <c r="A638" s="25" t="s">
        <v>1508</v>
      </c>
      <c r="B638" s="26" t="s">
        <v>1509</v>
      </c>
      <c r="C638" s="29">
        <v>1</v>
      </c>
      <c r="D638" s="106" t="s">
        <v>82</v>
      </c>
      <c r="E638" s="142" t="s">
        <v>1508</v>
      </c>
      <c r="F638" s="63"/>
      <c r="G638" s="22"/>
      <c r="H638" s="31">
        <v>5</v>
      </c>
      <c r="I638" s="185"/>
      <c r="J638" s="17"/>
      <c r="K638" s="17"/>
      <c r="L638" s="17" t="s">
        <v>77</v>
      </c>
      <c r="M638" s="17" t="s">
        <v>77</v>
      </c>
      <c r="N638" s="258" t="s">
        <v>83</v>
      </c>
      <c r="O638" s="55" t="s">
        <v>84</v>
      </c>
      <c r="P638" s="230" t="s">
        <v>85</v>
      </c>
      <c r="Q638" s="205" t="s">
        <v>86</v>
      </c>
      <c r="R638" s="1" t="str">
        <f t="shared" si="136"/>
        <v/>
      </c>
      <c r="S638" s="1" t="str">
        <f t="shared" si="136"/>
        <v/>
      </c>
      <c r="T638" s="1" t="str">
        <f t="shared" si="136"/>
        <v/>
      </c>
      <c r="U638" s="1" t="str">
        <f t="shared" si="136"/>
        <v/>
      </c>
      <c r="V638" s="25" t="s">
        <v>1508</v>
      </c>
      <c r="W638" s="26" t="s">
        <v>1509</v>
      </c>
      <c r="X638" s="29">
        <v>1</v>
      </c>
      <c r="Y638" s="106" t="s">
        <v>82</v>
      </c>
      <c r="Z638" s="142" t="s">
        <v>1508</v>
      </c>
      <c r="AA638" s="63"/>
      <c r="AB638" s="22"/>
      <c r="AC638" s="31">
        <v>5</v>
      </c>
      <c r="AD638" s="185"/>
      <c r="AE638" s="17"/>
      <c r="AF638" s="17"/>
      <c r="AG638" s="17" t="s">
        <v>77</v>
      </c>
      <c r="AH638" s="17" t="s">
        <v>77</v>
      </c>
      <c r="AI638" s="258" t="s">
        <v>83</v>
      </c>
      <c r="AJ638" s="55" t="s">
        <v>84</v>
      </c>
      <c r="AK638" s="230" t="s">
        <v>85</v>
      </c>
      <c r="AL638" s="205" t="s">
        <v>86</v>
      </c>
    </row>
    <row r="639" spans="1:38">
      <c r="A639" s="25" t="s">
        <v>1510</v>
      </c>
      <c r="B639" s="26" t="s">
        <v>1511</v>
      </c>
      <c r="C639" s="29">
        <v>1</v>
      </c>
      <c r="D639" s="106" t="s">
        <v>82</v>
      </c>
      <c r="E639" s="142" t="s">
        <v>1510</v>
      </c>
      <c r="F639" s="63"/>
      <c r="G639" s="22"/>
      <c r="H639" s="31">
        <v>7</v>
      </c>
      <c r="I639" s="185"/>
      <c r="J639" s="17"/>
      <c r="K639" s="17"/>
      <c r="L639" s="17" t="s">
        <v>77</v>
      </c>
      <c r="M639" s="17" t="s">
        <v>77</v>
      </c>
      <c r="N639" s="258" t="s">
        <v>83</v>
      </c>
      <c r="O639" s="55" t="s">
        <v>84</v>
      </c>
      <c r="P639" s="230" t="s">
        <v>85</v>
      </c>
      <c r="Q639" s="205" t="s">
        <v>86</v>
      </c>
      <c r="R639" s="1" t="str">
        <f t="shared" si="136"/>
        <v/>
      </c>
      <c r="S639" s="1" t="str">
        <f t="shared" si="136"/>
        <v/>
      </c>
      <c r="T639" s="1" t="str">
        <f t="shared" si="136"/>
        <v/>
      </c>
      <c r="U639" s="1" t="str">
        <f t="shared" si="136"/>
        <v/>
      </c>
      <c r="V639" s="25" t="s">
        <v>1510</v>
      </c>
      <c r="W639" s="26" t="s">
        <v>1511</v>
      </c>
      <c r="X639" s="29">
        <v>1</v>
      </c>
      <c r="Y639" s="106" t="s">
        <v>82</v>
      </c>
      <c r="Z639" s="142" t="s">
        <v>1510</v>
      </c>
      <c r="AA639" s="63"/>
      <c r="AB639" s="22"/>
      <c r="AC639" s="31">
        <v>7</v>
      </c>
      <c r="AD639" s="185"/>
      <c r="AE639" s="17"/>
      <c r="AF639" s="17"/>
      <c r="AG639" s="17" t="s">
        <v>77</v>
      </c>
      <c r="AH639" s="17" t="s">
        <v>77</v>
      </c>
      <c r="AI639" s="258" t="s">
        <v>83</v>
      </c>
      <c r="AJ639" s="55" t="s">
        <v>84</v>
      </c>
      <c r="AK639" s="230" t="s">
        <v>85</v>
      </c>
      <c r="AL639" s="205" t="s">
        <v>86</v>
      </c>
    </row>
    <row r="640" spans="1:38">
      <c r="A640" s="25" t="s">
        <v>1512</v>
      </c>
      <c r="B640" s="26" t="s">
        <v>1513</v>
      </c>
      <c r="C640" s="29">
        <v>1</v>
      </c>
      <c r="D640" s="106" t="s">
        <v>82</v>
      </c>
      <c r="E640" s="142" t="s">
        <v>1512</v>
      </c>
      <c r="F640" s="63"/>
      <c r="G640" s="22"/>
      <c r="H640" s="31">
        <v>10</v>
      </c>
      <c r="I640" s="185"/>
      <c r="J640" s="17"/>
      <c r="K640" s="17"/>
      <c r="L640" s="17" t="s">
        <v>77</v>
      </c>
      <c r="M640" s="17" t="s">
        <v>77</v>
      </c>
      <c r="N640" s="258" t="s">
        <v>83</v>
      </c>
      <c r="O640" s="55" t="s">
        <v>84</v>
      </c>
      <c r="P640" s="230" t="s">
        <v>85</v>
      </c>
      <c r="Q640" s="205" t="s">
        <v>86</v>
      </c>
      <c r="R640" s="1" t="str">
        <f t="shared" si="136"/>
        <v/>
      </c>
      <c r="S640" s="1" t="str">
        <f t="shared" si="136"/>
        <v/>
      </c>
      <c r="T640" s="1" t="str">
        <f t="shared" si="136"/>
        <v/>
      </c>
      <c r="U640" s="1" t="str">
        <f t="shared" si="136"/>
        <v/>
      </c>
      <c r="V640" s="25" t="s">
        <v>1512</v>
      </c>
      <c r="W640" s="26" t="s">
        <v>1513</v>
      </c>
      <c r="X640" s="29">
        <v>1</v>
      </c>
      <c r="Y640" s="106" t="s">
        <v>82</v>
      </c>
      <c r="Z640" s="142" t="s">
        <v>1512</v>
      </c>
      <c r="AA640" s="63"/>
      <c r="AB640" s="22"/>
      <c r="AC640" s="31">
        <v>10</v>
      </c>
      <c r="AD640" s="185"/>
      <c r="AE640" s="17"/>
      <c r="AF640" s="17"/>
      <c r="AG640" s="17" t="s">
        <v>77</v>
      </c>
      <c r="AH640" s="17" t="s">
        <v>77</v>
      </c>
      <c r="AI640" s="258" t="s">
        <v>83</v>
      </c>
      <c r="AJ640" s="55" t="s">
        <v>84</v>
      </c>
      <c r="AK640" s="230" t="s">
        <v>85</v>
      </c>
      <c r="AL640" s="205" t="s">
        <v>86</v>
      </c>
    </row>
    <row r="641" spans="1:46">
      <c r="A641" s="566" t="s">
        <v>1514</v>
      </c>
      <c r="B641" s="567" t="s">
        <v>1515</v>
      </c>
      <c r="C641" s="105">
        <v>1</v>
      </c>
      <c r="D641" s="106" t="s">
        <v>82</v>
      </c>
      <c r="E641" s="155" t="s">
        <v>1514</v>
      </c>
      <c r="F641" s="320"/>
      <c r="G641" s="109"/>
      <c r="H641" s="100">
        <v>94.63</v>
      </c>
      <c r="I641" s="185"/>
      <c r="J641" s="17"/>
      <c r="K641" s="17"/>
      <c r="L641" s="17" t="s">
        <v>77</v>
      </c>
      <c r="M641" s="17" t="s">
        <v>77</v>
      </c>
      <c r="N641" s="258" t="s">
        <v>83</v>
      </c>
      <c r="O641" s="55" t="s">
        <v>84</v>
      </c>
      <c r="P641" s="230" t="s">
        <v>85</v>
      </c>
      <c r="Q641" s="205" t="s">
        <v>86</v>
      </c>
      <c r="R641" s="1" t="str">
        <f t="shared" si="136"/>
        <v/>
      </c>
      <c r="S641" s="1" t="str">
        <f t="shared" si="136"/>
        <v/>
      </c>
      <c r="T641" s="1" t="str">
        <f t="shared" si="136"/>
        <v/>
      </c>
      <c r="U641" s="1" t="str">
        <f t="shared" si="136"/>
        <v/>
      </c>
      <c r="V641" s="25" t="s">
        <v>1514</v>
      </c>
      <c r="W641" s="444" t="s">
        <v>1516</v>
      </c>
      <c r="X641" s="29">
        <v>1</v>
      </c>
      <c r="Y641" s="106" t="s">
        <v>82</v>
      </c>
      <c r="Z641" s="142" t="s">
        <v>1514</v>
      </c>
      <c r="AA641" s="63"/>
      <c r="AB641" s="22"/>
      <c r="AC641" s="31">
        <v>47</v>
      </c>
      <c r="AD641" s="185"/>
      <c r="AE641" s="17"/>
      <c r="AF641" s="17"/>
      <c r="AG641" s="17" t="s">
        <v>77</v>
      </c>
      <c r="AH641" s="17" t="s">
        <v>77</v>
      </c>
      <c r="AI641" s="258" t="s">
        <v>83</v>
      </c>
      <c r="AJ641" s="55" t="s">
        <v>84</v>
      </c>
      <c r="AK641" s="230" t="s">
        <v>85</v>
      </c>
      <c r="AL641" s="205" t="s">
        <v>86</v>
      </c>
    </row>
    <row r="642" spans="1:46">
      <c r="A642" s="432"/>
      <c r="B642" s="433"/>
      <c r="C642" s="29"/>
      <c r="D642" s="106"/>
      <c r="E642" s="256"/>
      <c r="F642" s="63"/>
      <c r="G642" s="22"/>
      <c r="H642" s="31"/>
      <c r="I642" s="185"/>
      <c r="J642" s="17"/>
      <c r="K642" s="17"/>
      <c r="L642" s="17"/>
      <c r="M642" s="17"/>
      <c r="N642" s="258"/>
      <c r="O642" s="55"/>
      <c r="P642" s="230"/>
      <c r="Q642" s="205"/>
      <c r="R642" s="1" t="str">
        <f t="shared" si="136"/>
        <v/>
      </c>
      <c r="S642" s="1" t="str">
        <f t="shared" si="136"/>
        <v/>
      </c>
      <c r="T642" s="1" t="str">
        <f t="shared" si="136"/>
        <v/>
      </c>
      <c r="U642" s="1" t="str">
        <f t="shared" si="136"/>
        <v/>
      </c>
      <c r="V642" s="25" t="s">
        <v>1517</v>
      </c>
      <c r="W642" s="444" t="s">
        <v>1518</v>
      </c>
      <c r="X642" s="29">
        <v>1</v>
      </c>
      <c r="Y642" s="106" t="s">
        <v>82</v>
      </c>
      <c r="Z642" s="142" t="s">
        <v>1517</v>
      </c>
      <c r="AA642" s="63"/>
      <c r="AB642" s="22"/>
      <c r="AC642" s="31">
        <v>81</v>
      </c>
      <c r="AD642" s="185"/>
      <c r="AE642" s="17"/>
      <c r="AF642" s="17"/>
      <c r="AG642" s="17" t="s">
        <v>77</v>
      </c>
      <c r="AH642" s="17" t="s">
        <v>77</v>
      </c>
      <c r="AI642" s="258" t="s">
        <v>83</v>
      </c>
      <c r="AJ642" s="55" t="s">
        <v>84</v>
      </c>
      <c r="AK642" s="230" t="s">
        <v>85</v>
      </c>
      <c r="AL642" s="205" t="s">
        <v>86</v>
      </c>
    </row>
    <row r="643" spans="1:46" s="280" customFormat="1">
      <c r="A643" s="93" t="s">
        <v>1519</v>
      </c>
      <c r="B643" s="135" t="s">
        <v>1520</v>
      </c>
      <c r="C643" s="274">
        <v>1</v>
      </c>
      <c r="D643" s="275" t="s">
        <v>75</v>
      </c>
      <c r="E643" s="95" t="s">
        <v>1519</v>
      </c>
      <c r="F643" s="276">
        <v>734.92</v>
      </c>
      <c r="G643" s="277">
        <f t="shared" ref="G643:G655" si="139">rv_ipp11</f>
        <v>0.1065</v>
      </c>
      <c r="H643" s="286">
        <f t="shared" ref="H643:H660" si="140">F643-(F643*G643)</f>
        <v>656.65102000000002</v>
      </c>
      <c r="I643" s="95" t="s">
        <v>1505</v>
      </c>
      <c r="J643" s="279">
        <v>23</v>
      </c>
      <c r="K643" s="279">
        <f t="shared" ref="K643:K659" si="141">H643+J643</f>
        <v>679.65102000000002</v>
      </c>
      <c r="L643" s="99">
        <v>14</v>
      </c>
      <c r="M643" s="278">
        <v>0.25</v>
      </c>
      <c r="N643" s="262" t="s">
        <v>75</v>
      </c>
      <c r="O643" s="55" t="s">
        <v>1506</v>
      </c>
      <c r="P643" s="230" t="s">
        <v>1351</v>
      </c>
      <c r="Q643" s="205" t="s">
        <v>80</v>
      </c>
      <c r="R643" s="1">
        <f t="shared" si="136"/>
        <v>134.56223456610425</v>
      </c>
      <c r="S643" s="1">
        <f t="shared" si="136"/>
        <v>68.84861854224728</v>
      </c>
      <c r="T643" s="1">
        <f t="shared" si="136"/>
        <v>49.384767873874047</v>
      </c>
      <c r="U643" s="1">
        <f t="shared" si="136"/>
        <v>42.306497143550295</v>
      </c>
      <c r="V643" s="93" t="s">
        <v>1519</v>
      </c>
      <c r="W643" s="135" t="s">
        <v>1520</v>
      </c>
      <c r="X643" s="274">
        <v>1</v>
      </c>
      <c r="Y643" s="275" t="s">
        <v>75</v>
      </c>
      <c r="Z643" s="95" t="s">
        <v>1519</v>
      </c>
      <c r="AA643" s="276">
        <v>734.92</v>
      </c>
      <c r="AB643" s="277">
        <f t="shared" ref="AB643:AB655" si="142">rv_ipp11</f>
        <v>0.1065</v>
      </c>
      <c r="AC643" s="286">
        <f t="shared" ref="AC643:AC660" si="143">AA643-(AA643*AB643)</f>
        <v>656.65102000000002</v>
      </c>
      <c r="AD643" s="95" t="s">
        <v>1505</v>
      </c>
      <c r="AE643" s="279">
        <v>23</v>
      </c>
      <c r="AF643" s="279">
        <f t="shared" ref="AF643:AF659" si="144">AC643+AE643</f>
        <v>679.65102000000002</v>
      </c>
      <c r="AG643" s="99">
        <v>14</v>
      </c>
      <c r="AH643" s="278">
        <v>0.25</v>
      </c>
      <c r="AI643" s="262" t="s">
        <v>75</v>
      </c>
      <c r="AJ643" s="55" t="s">
        <v>1506</v>
      </c>
      <c r="AK643" s="230" t="s">
        <v>1351</v>
      </c>
      <c r="AL643" s="205" t="s">
        <v>80</v>
      </c>
    </row>
    <row r="644" spans="1:46" s="280" customFormat="1">
      <c r="A644" s="93" t="s">
        <v>1521</v>
      </c>
      <c r="B644" s="135" t="s">
        <v>1522</v>
      </c>
      <c r="C644" s="274">
        <v>1</v>
      </c>
      <c r="D644" s="275" t="s">
        <v>75</v>
      </c>
      <c r="E644" s="95" t="s">
        <v>1521</v>
      </c>
      <c r="F644" s="276">
        <v>826.58</v>
      </c>
      <c r="G644" s="277">
        <f t="shared" si="139"/>
        <v>0.1065</v>
      </c>
      <c r="H644" s="286">
        <f t="shared" si="140"/>
        <v>738.54923000000008</v>
      </c>
      <c r="I644" s="95" t="s">
        <v>1505</v>
      </c>
      <c r="J644" s="279">
        <v>23</v>
      </c>
      <c r="K644" s="279">
        <f t="shared" si="141"/>
        <v>761.54923000000008</v>
      </c>
      <c r="L644" s="99">
        <v>14</v>
      </c>
      <c r="M644" s="278">
        <v>0.25</v>
      </c>
      <c r="N644" s="262" t="s">
        <v>75</v>
      </c>
      <c r="O644" s="55" t="s">
        <v>1376</v>
      </c>
      <c r="P644" s="230" t="s">
        <v>1351</v>
      </c>
      <c r="Q644" s="205" t="s">
        <v>80</v>
      </c>
      <c r="R644" s="1">
        <f t="shared" si="136"/>
        <v>150.77703572179749</v>
      </c>
      <c r="S644" s="1">
        <f t="shared" si="136"/>
        <v>77.144903626293598</v>
      </c>
      <c r="T644" s="1">
        <f t="shared" si="136"/>
        <v>55.335651446646132</v>
      </c>
      <c r="U644" s="1">
        <f t="shared" si="136"/>
        <v>47.404446363764642</v>
      </c>
      <c r="V644" s="93" t="s">
        <v>1521</v>
      </c>
      <c r="W644" s="135" t="s">
        <v>1522</v>
      </c>
      <c r="X644" s="274">
        <v>1</v>
      </c>
      <c r="Y644" s="275" t="s">
        <v>75</v>
      </c>
      <c r="Z644" s="95" t="s">
        <v>1521</v>
      </c>
      <c r="AA644" s="276">
        <v>826.58</v>
      </c>
      <c r="AB644" s="277">
        <f t="shared" si="142"/>
        <v>0.1065</v>
      </c>
      <c r="AC644" s="286">
        <f t="shared" si="143"/>
        <v>738.54923000000008</v>
      </c>
      <c r="AD644" s="95" t="s">
        <v>1505</v>
      </c>
      <c r="AE644" s="279">
        <v>23</v>
      </c>
      <c r="AF644" s="279">
        <f t="shared" si="144"/>
        <v>761.54923000000008</v>
      </c>
      <c r="AG644" s="99">
        <v>14</v>
      </c>
      <c r="AH644" s="278">
        <v>0.25</v>
      </c>
      <c r="AI644" s="262" t="s">
        <v>75</v>
      </c>
      <c r="AJ644" s="55" t="s">
        <v>1376</v>
      </c>
      <c r="AK644" s="230" t="s">
        <v>1351</v>
      </c>
      <c r="AL644" s="205" t="s">
        <v>80</v>
      </c>
    </row>
    <row r="645" spans="1:46" s="280" customFormat="1">
      <c r="A645" s="93" t="s">
        <v>1523</v>
      </c>
      <c r="B645" s="135" t="s">
        <v>1524</v>
      </c>
      <c r="C645" s="95">
        <v>1</v>
      </c>
      <c r="D645" s="110" t="s">
        <v>75</v>
      </c>
      <c r="E645" s="95" t="s">
        <v>1523</v>
      </c>
      <c r="F645" s="96">
        <v>826.58</v>
      </c>
      <c r="G645" s="141">
        <f t="shared" si="139"/>
        <v>0.1065</v>
      </c>
      <c r="H645" s="145">
        <f t="shared" si="140"/>
        <v>738.54923000000008</v>
      </c>
      <c r="I645" s="95" t="s">
        <v>1505</v>
      </c>
      <c r="J645" s="279">
        <v>23</v>
      </c>
      <c r="K645" s="122">
        <f t="shared" si="141"/>
        <v>761.54923000000008</v>
      </c>
      <c r="L645" s="99">
        <v>14</v>
      </c>
      <c r="M645" s="99">
        <v>0.25</v>
      </c>
      <c r="N645" s="258" t="s">
        <v>75</v>
      </c>
      <c r="O645" s="55" t="s">
        <v>1376</v>
      </c>
      <c r="P645" s="230" t="s">
        <v>1351</v>
      </c>
      <c r="Q645" s="205" t="s">
        <v>80</v>
      </c>
      <c r="R645" s="1">
        <f t="shared" si="136"/>
        <v>150.77703572179749</v>
      </c>
      <c r="S645" s="1">
        <f t="shared" si="136"/>
        <v>77.144903626293598</v>
      </c>
      <c r="T645" s="1">
        <f t="shared" si="136"/>
        <v>55.335651446646132</v>
      </c>
      <c r="U645" s="1">
        <f t="shared" si="136"/>
        <v>47.404446363764642</v>
      </c>
      <c r="V645" s="93" t="s">
        <v>1523</v>
      </c>
      <c r="W645" s="135" t="s">
        <v>1524</v>
      </c>
      <c r="X645" s="95">
        <v>1</v>
      </c>
      <c r="Y645" s="110" t="s">
        <v>75</v>
      </c>
      <c r="Z645" s="95" t="s">
        <v>1523</v>
      </c>
      <c r="AA645" s="96">
        <v>826.58</v>
      </c>
      <c r="AB645" s="141">
        <f t="shared" si="142"/>
        <v>0.1065</v>
      </c>
      <c r="AC645" s="145">
        <f t="shared" si="143"/>
        <v>738.54923000000008</v>
      </c>
      <c r="AD645" s="95" t="s">
        <v>1505</v>
      </c>
      <c r="AE645" s="279">
        <v>23</v>
      </c>
      <c r="AF645" s="122">
        <f t="shared" si="144"/>
        <v>761.54923000000008</v>
      </c>
      <c r="AG645" s="99">
        <v>14</v>
      </c>
      <c r="AH645" s="99">
        <v>0.25</v>
      </c>
      <c r="AI645" s="258" t="s">
        <v>75</v>
      </c>
      <c r="AJ645" s="55" t="s">
        <v>1376</v>
      </c>
      <c r="AK645" s="230" t="s">
        <v>1351</v>
      </c>
      <c r="AL645" s="205" t="s">
        <v>80</v>
      </c>
    </row>
    <row r="646" spans="1:46" s="280" customFormat="1">
      <c r="A646" s="93" t="s">
        <v>1525</v>
      </c>
      <c r="B646" s="135" t="s">
        <v>1526</v>
      </c>
      <c r="C646" s="95">
        <v>1</v>
      </c>
      <c r="D646" s="110" t="s">
        <v>75</v>
      </c>
      <c r="E646" s="95" t="s">
        <v>1525</v>
      </c>
      <c r="F646" s="96">
        <v>1009.92</v>
      </c>
      <c r="G646" s="141">
        <f t="shared" si="139"/>
        <v>0.1065</v>
      </c>
      <c r="H646" s="145">
        <f t="shared" si="140"/>
        <v>902.36351999999999</v>
      </c>
      <c r="I646" s="95" t="s">
        <v>1505</v>
      </c>
      <c r="J646" s="279">
        <v>23</v>
      </c>
      <c r="K646" s="122">
        <f t="shared" si="141"/>
        <v>925.36351999999999</v>
      </c>
      <c r="L646" s="99">
        <v>14</v>
      </c>
      <c r="M646" s="99">
        <v>0.25</v>
      </c>
      <c r="N646" s="258" t="s">
        <v>75</v>
      </c>
      <c r="O646" s="55" t="s">
        <v>1527</v>
      </c>
      <c r="P646" s="230" t="s">
        <v>1351</v>
      </c>
      <c r="Q646" s="205" t="s">
        <v>80</v>
      </c>
      <c r="R646" s="1">
        <f t="shared" ref="R646:U679" si="145">+IF($K646&lt;&gt;"",R$2*$K646,"")</f>
        <v>183.2101760652929</v>
      </c>
      <c r="S646" s="1">
        <f t="shared" si="145"/>
        <v>93.739284024603108</v>
      </c>
      <c r="T646" s="1">
        <f t="shared" si="145"/>
        <v>67.238717061222104</v>
      </c>
      <c r="U646" s="1">
        <f t="shared" si="145"/>
        <v>57.601457164922152</v>
      </c>
      <c r="V646" s="93" t="s">
        <v>1525</v>
      </c>
      <c r="W646" s="135" t="s">
        <v>1526</v>
      </c>
      <c r="X646" s="95">
        <v>1</v>
      </c>
      <c r="Y646" s="110" t="s">
        <v>75</v>
      </c>
      <c r="Z646" s="95" t="s">
        <v>1525</v>
      </c>
      <c r="AA646" s="96">
        <v>1009.92</v>
      </c>
      <c r="AB646" s="141">
        <f t="shared" si="142"/>
        <v>0.1065</v>
      </c>
      <c r="AC646" s="145">
        <f t="shared" si="143"/>
        <v>902.36351999999999</v>
      </c>
      <c r="AD646" s="95" t="s">
        <v>1505</v>
      </c>
      <c r="AE646" s="279">
        <v>23</v>
      </c>
      <c r="AF646" s="122">
        <f t="shared" si="144"/>
        <v>925.36351999999999</v>
      </c>
      <c r="AG646" s="99">
        <v>14</v>
      </c>
      <c r="AH646" s="99">
        <v>0.25</v>
      </c>
      <c r="AI646" s="258" t="s">
        <v>75</v>
      </c>
      <c r="AJ646" s="55" t="s">
        <v>1527</v>
      </c>
      <c r="AK646" s="230" t="s">
        <v>1351</v>
      </c>
      <c r="AL646" s="205" t="s">
        <v>80</v>
      </c>
    </row>
    <row r="647" spans="1:46" s="280" customFormat="1">
      <c r="A647" s="93" t="s">
        <v>1528</v>
      </c>
      <c r="B647" s="135" t="s">
        <v>1529</v>
      </c>
      <c r="C647" s="95">
        <v>1</v>
      </c>
      <c r="D647" s="110" t="s">
        <v>75</v>
      </c>
      <c r="E647" s="95" t="s">
        <v>1528</v>
      </c>
      <c r="F647" s="96">
        <v>1009.92</v>
      </c>
      <c r="G647" s="141">
        <f t="shared" si="139"/>
        <v>0.1065</v>
      </c>
      <c r="H647" s="145">
        <f t="shared" si="140"/>
        <v>902.36351999999999</v>
      </c>
      <c r="I647" s="95" t="s">
        <v>1505</v>
      </c>
      <c r="J647" s="279">
        <v>23</v>
      </c>
      <c r="K647" s="122">
        <f t="shared" si="141"/>
        <v>925.36351999999999</v>
      </c>
      <c r="L647" s="99">
        <v>14</v>
      </c>
      <c r="M647" s="99">
        <v>0.25</v>
      </c>
      <c r="N647" s="258" t="s">
        <v>75</v>
      </c>
      <c r="O647" s="55" t="s">
        <v>1527</v>
      </c>
      <c r="P647" s="230" t="s">
        <v>1351</v>
      </c>
      <c r="Q647" s="205" t="s">
        <v>80</v>
      </c>
      <c r="R647" s="1">
        <f t="shared" si="145"/>
        <v>183.2101760652929</v>
      </c>
      <c r="S647" s="1">
        <f t="shared" si="145"/>
        <v>93.739284024603108</v>
      </c>
      <c r="T647" s="1">
        <f t="shared" si="145"/>
        <v>67.238717061222104</v>
      </c>
      <c r="U647" s="1">
        <f t="shared" si="145"/>
        <v>57.601457164922152</v>
      </c>
      <c r="V647" s="93" t="s">
        <v>1528</v>
      </c>
      <c r="W647" s="135" t="s">
        <v>1529</v>
      </c>
      <c r="X647" s="95">
        <v>1</v>
      </c>
      <c r="Y647" s="110" t="s">
        <v>75</v>
      </c>
      <c r="Z647" s="95" t="s">
        <v>1528</v>
      </c>
      <c r="AA647" s="96">
        <v>1009.92</v>
      </c>
      <c r="AB647" s="141">
        <f t="shared" si="142"/>
        <v>0.1065</v>
      </c>
      <c r="AC647" s="145">
        <f t="shared" si="143"/>
        <v>902.36351999999999</v>
      </c>
      <c r="AD647" s="95" t="s">
        <v>1505</v>
      </c>
      <c r="AE647" s="279">
        <v>23</v>
      </c>
      <c r="AF647" s="122">
        <f t="shared" si="144"/>
        <v>925.36351999999999</v>
      </c>
      <c r="AG647" s="99">
        <v>14</v>
      </c>
      <c r="AH647" s="99">
        <v>0.25</v>
      </c>
      <c r="AI647" s="258" t="s">
        <v>75</v>
      </c>
      <c r="AJ647" s="55" t="s">
        <v>1527</v>
      </c>
      <c r="AK647" s="230" t="s">
        <v>1351</v>
      </c>
      <c r="AL647" s="205" t="s">
        <v>80</v>
      </c>
    </row>
    <row r="648" spans="1:46" s="280" customFormat="1">
      <c r="A648" s="93" t="s">
        <v>1530</v>
      </c>
      <c r="B648" s="135" t="s">
        <v>1531</v>
      </c>
      <c r="C648" s="95">
        <v>1</v>
      </c>
      <c r="D648" s="110" t="s">
        <v>75</v>
      </c>
      <c r="E648" s="95" t="s">
        <v>1530</v>
      </c>
      <c r="F648" s="96">
        <v>1376.58</v>
      </c>
      <c r="G648" s="141">
        <f t="shared" ref="G648:G649" si="146">rv_ipp12</f>
        <v>0.1065</v>
      </c>
      <c r="H648" s="145">
        <f t="shared" si="140"/>
        <v>1229.97423</v>
      </c>
      <c r="I648" s="95" t="s">
        <v>1505</v>
      </c>
      <c r="J648" s="279">
        <v>23</v>
      </c>
      <c r="K648" s="122">
        <f t="shared" si="141"/>
        <v>1252.97423</v>
      </c>
      <c r="L648" s="99">
        <v>14</v>
      </c>
      <c r="M648" s="99">
        <v>0.25</v>
      </c>
      <c r="N648" s="52" t="s">
        <v>75</v>
      </c>
      <c r="O648" s="55" t="s">
        <v>1532</v>
      </c>
      <c r="P648" s="230" t="s">
        <v>1351</v>
      </c>
      <c r="Q648" s="205" t="s">
        <v>80</v>
      </c>
      <c r="R648" s="1">
        <f t="shared" si="145"/>
        <v>248.07291872017475</v>
      </c>
      <c r="S648" s="1">
        <f t="shared" si="145"/>
        <v>126.92623459100525</v>
      </c>
      <c r="T648" s="1">
        <f t="shared" si="145"/>
        <v>91.043549821342239</v>
      </c>
      <c r="U648" s="1">
        <f t="shared" si="145"/>
        <v>77.994366406508348</v>
      </c>
      <c r="V648" s="93" t="s">
        <v>1530</v>
      </c>
      <c r="W648" s="135" t="s">
        <v>1531</v>
      </c>
      <c r="X648" s="95">
        <v>1</v>
      </c>
      <c r="Y648" s="110" t="s">
        <v>75</v>
      </c>
      <c r="Z648" s="95" t="s">
        <v>1530</v>
      </c>
      <c r="AA648" s="96">
        <v>1376.58</v>
      </c>
      <c r="AB648" s="141">
        <f t="shared" ref="AB648:AB649" si="147">rv_ipp12</f>
        <v>0.1065</v>
      </c>
      <c r="AC648" s="145">
        <f t="shared" si="143"/>
        <v>1229.97423</v>
      </c>
      <c r="AD648" s="95" t="s">
        <v>1505</v>
      </c>
      <c r="AE648" s="279">
        <v>23</v>
      </c>
      <c r="AF648" s="122">
        <f t="shared" si="144"/>
        <v>1252.97423</v>
      </c>
      <c r="AG648" s="99">
        <v>14</v>
      </c>
      <c r="AH648" s="99">
        <v>0.25</v>
      </c>
      <c r="AI648" s="52" t="s">
        <v>75</v>
      </c>
      <c r="AJ648" s="55" t="s">
        <v>1532</v>
      </c>
      <c r="AK648" s="230" t="s">
        <v>1533</v>
      </c>
      <c r="AL648" s="205" t="s">
        <v>1534</v>
      </c>
      <c r="AM648" s="281"/>
      <c r="AN648" s="283"/>
      <c r="AO648" s="284"/>
      <c r="AP648" s="284"/>
      <c r="AQ648" s="285"/>
      <c r="AR648" s="285"/>
      <c r="AS648" s="282"/>
      <c r="AT648" s="110"/>
    </row>
    <row r="649" spans="1:46" s="280" customFormat="1">
      <c r="A649" s="93" t="s">
        <v>1535</v>
      </c>
      <c r="B649" s="135" t="s">
        <v>1536</v>
      </c>
      <c r="C649" s="95">
        <v>1</v>
      </c>
      <c r="D649" s="110" t="s">
        <v>75</v>
      </c>
      <c r="E649" s="95" t="s">
        <v>1535</v>
      </c>
      <c r="F649" s="96">
        <v>1376.58</v>
      </c>
      <c r="G649" s="141">
        <f t="shared" si="146"/>
        <v>0.1065</v>
      </c>
      <c r="H649" s="145">
        <f t="shared" si="140"/>
        <v>1229.97423</v>
      </c>
      <c r="I649" s="95" t="s">
        <v>1505</v>
      </c>
      <c r="J649" s="279">
        <v>23</v>
      </c>
      <c r="K649" s="122">
        <f t="shared" si="141"/>
        <v>1252.97423</v>
      </c>
      <c r="L649" s="99">
        <v>14</v>
      </c>
      <c r="M649" s="99">
        <v>0.25</v>
      </c>
      <c r="N649" s="52" t="s">
        <v>75</v>
      </c>
      <c r="O649" s="55" t="s">
        <v>1532</v>
      </c>
      <c r="P649" s="230" t="s">
        <v>1351</v>
      </c>
      <c r="Q649" s="205" t="s">
        <v>80</v>
      </c>
      <c r="R649" s="1">
        <f t="shared" si="145"/>
        <v>248.07291872017475</v>
      </c>
      <c r="S649" s="1">
        <f t="shared" si="145"/>
        <v>126.92623459100525</v>
      </c>
      <c r="T649" s="1">
        <f t="shared" si="145"/>
        <v>91.043549821342239</v>
      </c>
      <c r="U649" s="1">
        <f t="shared" si="145"/>
        <v>77.994366406508348</v>
      </c>
      <c r="V649" s="93" t="s">
        <v>1535</v>
      </c>
      <c r="W649" s="135" t="s">
        <v>1536</v>
      </c>
      <c r="X649" s="95">
        <v>1</v>
      </c>
      <c r="Y649" s="110" t="s">
        <v>75</v>
      </c>
      <c r="Z649" s="95" t="s">
        <v>1535</v>
      </c>
      <c r="AA649" s="96">
        <v>1376.58</v>
      </c>
      <c r="AB649" s="141">
        <f t="shared" si="147"/>
        <v>0.1065</v>
      </c>
      <c r="AC649" s="145">
        <f t="shared" si="143"/>
        <v>1229.97423</v>
      </c>
      <c r="AD649" s="95" t="s">
        <v>1505</v>
      </c>
      <c r="AE649" s="279">
        <v>23</v>
      </c>
      <c r="AF649" s="122">
        <f t="shared" si="144"/>
        <v>1252.97423</v>
      </c>
      <c r="AG649" s="99">
        <v>14</v>
      </c>
      <c r="AH649" s="99">
        <v>0.25</v>
      </c>
      <c r="AI649" s="52" t="s">
        <v>75</v>
      </c>
      <c r="AJ649" s="55" t="s">
        <v>1532</v>
      </c>
      <c r="AK649" s="230" t="s">
        <v>1537</v>
      </c>
      <c r="AL649" s="205" t="s">
        <v>1538</v>
      </c>
      <c r="AM649" s="281"/>
      <c r="AN649" s="283"/>
      <c r="AO649" s="284"/>
      <c r="AP649" s="284"/>
      <c r="AQ649" s="285"/>
      <c r="AR649" s="285"/>
      <c r="AS649" s="282"/>
      <c r="AT649" s="110"/>
    </row>
    <row r="650" spans="1:46" s="280" customFormat="1">
      <c r="A650" s="93" t="s">
        <v>1539</v>
      </c>
      <c r="B650" s="135" t="s">
        <v>1540</v>
      </c>
      <c r="C650" s="95">
        <v>1</v>
      </c>
      <c r="D650" s="110" t="s">
        <v>75</v>
      </c>
      <c r="E650" s="95" t="s">
        <v>1539</v>
      </c>
      <c r="F650" s="96">
        <v>876.58</v>
      </c>
      <c r="G650" s="141">
        <f t="shared" si="139"/>
        <v>0.1065</v>
      </c>
      <c r="H650" s="145">
        <f t="shared" si="140"/>
        <v>783.22423000000003</v>
      </c>
      <c r="I650" s="95" t="s">
        <v>1505</v>
      </c>
      <c r="J650" s="279">
        <v>23</v>
      </c>
      <c r="K650" s="122">
        <f t="shared" si="141"/>
        <v>806.22423000000003</v>
      </c>
      <c r="L650" s="99">
        <v>14</v>
      </c>
      <c r="M650" s="99">
        <v>0.25</v>
      </c>
      <c r="N650" s="258" t="s">
        <v>75</v>
      </c>
      <c r="O650" s="55" t="s">
        <v>1541</v>
      </c>
      <c r="P650" s="230" t="s">
        <v>1351</v>
      </c>
      <c r="Q650" s="205" t="s">
        <v>80</v>
      </c>
      <c r="R650" s="1">
        <f t="shared" si="145"/>
        <v>159.62211599437722</v>
      </c>
      <c r="S650" s="1">
        <f t="shared" si="145"/>
        <v>81.670479168540098</v>
      </c>
      <c r="T650" s="1">
        <f t="shared" si="145"/>
        <v>58.581824026163957</v>
      </c>
      <c r="U650" s="1">
        <f t="shared" si="145"/>
        <v>50.185348185832247</v>
      </c>
      <c r="V650" s="93" t="s">
        <v>1539</v>
      </c>
      <c r="W650" s="135" t="s">
        <v>1540</v>
      </c>
      <c r="X650" s="95">
        <v>1</v>
      </c>
      <c r="Y650" s="110" t="s">
        <v>75</v>
      </c>
      <c r="Z650" s="95" t="s">
        <v>1539</v>
      </c>
      <c r="AA650" s="96">
        <v>876.58</v>
      </c>
      <c r="AB650" s="141">
        <f t="shared" si="142"/>
        <v>0.1065</v>
      </c>
      <c r="AC650" s="145">
        <f t="shared" si="143"/>
        <v>783.22423000000003</v>
      </c>
      <c r="AD650" s="95" t="s">
        <v>1505</v>
      </c>
      <c r="AE650" s="279">
        <v>23</v>
      </c>
      <c r="AF650" s="122">
        <f t="shared" si="144"/>
        <v>806.22423000000003</v>
      </c>
      <c r="AG650" s="99">
        <v>14</v>
      </c>
      <c r="AH650" s="99">
        <v>0.25</v>
      </c>
      <c r="AI650" s="258" t="s">
        <v>75</v>
      </c>
      <c r="AJ650" s="55" t="s">
        <v>1541</v>
      </c>
      <c r="AK650" s="230" t="s">
        <v>1351</v>
      </c>
      <c r="AL650" s="205" t="s">
        <v>80</v>
      </c>
    </row>
    <row r="651" spans="1:46" s="280" customFormat="1">
      <c r="A651" s="93" t="s">
        <v>1542</v>
      </c>
      <c r="B651" s="135" t="s">
        <v>1543</v>
      </c>
      <c r="C651" s="95">
        <v>1</v>
      </c>
      <c r="D651" s="110" t="s">
        <v>75</v>
      </c>
      <c r="E651" s="95" t="s">
        <v>1542</v>
      </c>
      <c r="F651" s="96">
        <v>876.58</v>
      </c>
      <c r="G651" s="141">
        <f t="shared" si="139"/>
        <v>0.1065</v>
      </c>
      <c r="H651" s="145">
        <f t="shared" si="140"/>
        <v>783.22423000000003</v>
      </c>
      <c r="I651" s="95" t="s">
        <v>1505</v>
      </c>
      <c r="J651" s="279">
        <v>23</v>
      </c>
      <c r="K651" s="122">
        <f t="shared" si="141"/>
        <v>806.22423000000003</v>
      </c>
      <c r="L651" s="99">
        <v>14</v>
      </c>
      <c r="M651" s="99">
        <v>0.25</v>
      </c>
      <c r="N651" s="258" t="s">
        <v>75</v>
      </c>
      <c r="O651" s="55" t="s">
        <v>1541</v>
      </c>
      <c r="P651" s="230" t="s">
        <v>1351</v>
      </c>
      <c r="Q651" s="205" t="s">
        <v>80</v>
      </c>
      <c r="R651" s="1">
        <f t="shared" si="145"/>
        <v>159.62211599437722</v>
      </c>
      <c r="S651" s="1">
        <f t="shared" si="145"/>
        <v>81.670479168540098</v>
      </c>
      <c r="T651" s="1">
        <f t="shared" si="145"/>
        <v>58.581824026163957</v>
      </c>
      <c r="U651" s="1">
        <f t="shared" si="145"/>
        <v>50.185348185832247</v>
      </c>
      <c r="V651" s="93" t="s">
        <v>1542</v>
      </c>
      <c r="W651" s="135" t="s">
        <v>1543</v>
      </c>
      <c r="X651" s="95">
        <v>1</v>
      </c>
      <c r="Y651" s="110" t="s">
        <v>75</v>
      </c>
      <c r="Z651" s="95" t="s">
        <v>1542</v>
      </c>
      <c r="AA651" s="96">
        <v>876.58</v>
      </c>
      <c r="AB651" s="141">
        <f t="shared" si="142"/>
        <v>0.1065</v>
      </c>
      <c r="AC651" s="145">
        <f t="shared" si="143"/>
        <v>783.22423000000003</v>
      </c>
      <c r="AD651" s="95" t="s">
        <v>1505</v>
      </c>
      <c r="AE651" s="279">
        <v>23</v>
      </c>
      <c r="AF651" s="122">
        <f t="shared" si="144"/>
        <v>806.22423000000003</v>
      </c>
      <c r="AG651" s="99">
        <v>14</v>
      </c>
      <c r="AH651" s="99">
        <v>0.25</v>
      </c>
      <c r="AI651" s="258" t="s">
        <v>75</v>
      </c>
      <c r="AJ651" s="55" t="s">
        <v>1541</v>
      </c>
      <c r="AK651" s="230" t="s">
        <v>1351</v>
      </c>
      <c r="AL651" s="205" t="s">
        <v>80</v>
      </c>
    </row>
    <row r="652" spans="1:46" s="280" customFormat="1">
      <c r="A652" s="93" t="s">
        <v>1544</v>
      </c>
      <c r="B652" s="135" t="s">
        <v>1545</v>
      </c>
      <c r="C652" s="95">
        <v>1</v>
      </c>
      <c r="D652" s="110" t="s">
        <v>75</v>
      </c>
      <c r="E652" s="95" t="s">
        <v>1544</v>
      </c>
      <c r="F652" s="96">
        <v>968.25</v>
      </c>
      <c r="G652" s="141">
        <f t="shared" si="139"/>
        <v>0.1065</v>
      </c>
      <c r="H652" s="145">
        <f t="shared" si="140"/>
        <v>865.13137500000005</v>
      </c>
      <c r="I652" s="95" t="s">
        <v>1505</v>
      </c>
      <c r="J652" s="279">
        <v>23</v>
      </c>
      <c r="K652" s="122">
        <f t="shared" si="141"/>
        <v>888.13137500000005</v>
      </c>
      <c r="L652" s="99">
        <v>14</v>
      </c>
      <c r="M652" s="99">
        <v>0.25</v>
      </c>
      <c r="N652" s="258" t="s">
        <v>75</v>
      </c>
      <c r="O652" s="55" t="s">
        <v>1546</v>
      </c>
      <c r="P652" s="230" t="s">
        <v>1351</v>
      </c>
      <c r="Q652" s="205" t="s">
        <v>80</v>
      </c>
      <c r="R652" s="1">
        <f t="shared" si="145"/>
        <v>175.83868616612494</v>
      </c>
      <c r="S652" s="1">
        <f t="shared" si="145"/>
        <v>89.967669367694867</v>
      </c>
      <c r="T652" s="1">
        <f t="shared" si="145"/>
        <v>64.533356833451947</v>
      </c>
      <c r="U652" s="1">
        <f t="shared" si="145"/>
        <v>55.283853586411006</v>
      </c>
      <c r="V652" s="93" t="s">
        <v>1544</v>
      </c>
      <c r="W652" s="135" t="s">
        <v>1545</v>
      </c>
      <c r="X652" s="95">
        <v>1</v>
      </c>
      <c r="Y652" s="110" t="s">
        <v>75</v>
      </c>
      <c r="Z652" s="95" t="s">
        <v>1544</v>
      </c>
      <c r="AA652" s="96">
        <v>968.25</v>
      </c>
      <c r="AB652" s="141">
        <f t="shared" si="142"/>
        <v>0.1065</v>
      </c>
      <c r="AC652" s="145">
        <f t="shared" si="143"/>
        <v>865.13137500000005</v>
      </c>
      <c r="AD652" s="95" t="s">
        <v>1505</v>
      </c>
      <c r="AE652" s="279">
        <v>23</v>
      </c>
      <c r="AF652" s="122">
        <f t="shared" si="144"/>
        <v>888.13137500000005</v>
      </c>
      <c r="AG652" s="99">
        <v>14</v>
      </c>
      <c r="AH652" s="99">
        <v>0.25</v>
      </c>
      <c r="AI652" s="258" t="s">
        <v>75</v>
      </c>
      <c r="AJ652" s="55" t="s">
        <v>1546</v>
      </c>
      <c r="AK652" s="230" t="s">
        <v>1351</v>
      </c>
      <c r="AL652" s="205" t="s">
        <v>80</v>
      </c>
    </row>
    <row r="653" spans="1:46" s="280" customFormat="1">
      <c r="A653" s="93" t="s">
        <v>1547</v>
      </c>
      <c r="B653" s="135" t="s">
        <v>1548</v>
      </c>
      <c r="C653" s="95">
        <v>1</v>
      </c>
      <c r="D653" s="110" t="s">
        <v>75</v>
      </c>
      <c r="E653" s="95" t="s">
        <v>1547</v>
      </c>
      <c r="F653" s="96">
        <v>968.25</v>
      </c>
      <c r="G653" s="141">
        <f t="shared" si="139"/>
        <v>0.1065</v>
      </c>
      <c r="H653" s="145">
        <f t="shared" si="140"/>
        <v>865.13137500000005</v>
      </c>
      <c r="I653" s="95" t="s">
        <v>1505</v>
      </c>
      <c r="J653" s="279">
        <v>23</v>
      </c>
      <c r="K653" s="122">
        <f t="shared" si="141"/>
        <v>888.13137500000005</v>
      </c>
      <c r="L653" s="99">
        <v>14</v>
      </c>
      <c r="M653" s="99">
        <v>0.25</v>
      </c>
      <c r="N653" s="258" t="s">
        <v>75</v>
      </c>
      <c r="O653" s="55" t="s">
        <v>1546</v>
      </c>
      <c r="P653" s="230" t="s">
        <v>1351</v>
      </c>
      <c r="Q653" s="205" t="s">
        <v>80</v>
      </c>
      <c r="R653" s="1">
        <f t="shared" si="145"/>
        <v>175.83868616612494</v>
      </c>
      <c r="S653" s="1">
        <f t="shared" si="145"/>
        <v>89.967669367694867</v>
      </c>
      <c r="T653" s="1">
        <f t="shared" si="145"/>
        <v>64.533356833451947</v>
      </c>
      <c r="U653" s="1">
        <f t="shared" si="145"/>
        <v>55.283853586411006</v>
      </c>
      <c r="V653" s="93" t="s">
        <v>1547</v>
      </c>
      <c r="W653" s="135" t="s">
        <v>1548</v>
      </c>
      <c r="X653" s="95">
        <v>1</v>
      </c>
      <c r="Y653" s="110" t="s">
        <v>75</v>
      </c>
      <c r="Z653" s="95" t="s">
        <v>1547</v>
      </c>
      <c r="AA653" s="96">
        <v>968.25</v>
      </c>
      <c r="AB653" s="141">
        <f t="shared" si="142"/>
        <v>0.1065</v>
      </c>
      <c r="AC653" s="145">
        <f t="shared" si="143"/>
        <v>865.13137500000005</v>
      </c>
      <c r="AD653" s="95" t="s">
        <v>1505</v>
      </c>
      <c r="AE653" s="279">
        <v>23</v>
      </c>
      <c r="AF653" s="122">
        <f t="shared" si="144"/>
        <v>888.13137500000005</v>
      </c>
      <c r="AG653" s="99">
        <v>14</v>
      </c>
      <c r="AH653" s="99">
        <v>0.25</v>
      </c>
      <c r="AI653" s="258" t="s">
        <v>75</v>
      </c>
      <c r="AJ653" s="55" t="s">
        <v>1546</v>
      </c>
      <c r="AK653" s="230" t="s">
        <v>1351</v>
      </c>
      <c r="AL653" s="205" t="s">
        <v>80</v>
      </c>
    </row>
    <row r="654" spans="1:46" s="280" customFormat="1">
      <c r="A654" s="93" t="s">
        <v>1549</v>
      </c>
      <c r="B654" s="135" t="s">
        <v>1550</v>
      </c>
      <c r="C654" s="95">
        <v>1</v>
      </c>
      <c r="D654" s="110" t="s">
        <v>75</v>
      </c>
      <c r="E654" s="95" t="s">
        <v>1549</v>
      </c>
      <c r="F654" s="96">
        <v>1151.58</v>
      </c>
      <c r="G654" s="141">
        <f t="shared" si="139"/>
        <v>0.1065</v>
      </c>
      <c r="H654" s="145">
        <f t="shared" si="140"/>
        <v>1028.9367299999999</v>
      </c>
      <c r="I654" s="95" t="s">
        <v>1505</v>
      </c>
      <c r="J654" s="279">
        <v>23</v>
      </c>
      <c r="K654" s="122">
        <f t="shared" si="141"/>
        <v>1051.9367299999999</v>
      </c>
      <c r="L654" s="99">
        <v>14</v>
      </c>
      <c r="M654" s="99">
        <v>0.25</v>
      </c>
      <c r="N654" s="258" t="s">
        <v>75</v>
      </c>
      <c r="O654" s="55" t="s">
        <v>1551</v>
      </c>
      <c r="P654" s="230" t="s">
        <v>1351</v>
      </c>
      <c r="Q654" s="205" t="s">
        <v>80</v>
      </c>
      <c r="R654" s="1">
        <f t="shared" si="145"/>
        <v>208.27005749356584</v>
      </c>
      <c r="S654" s="1">
        <f t="shared" si="145"/>
        <v>106.56114465089593</v>
      </c>
      <c r="T654" s="1">
        <f t="shared" si="145"/>
        <v>76.435773213512007</v>
      </c>
      <c r="U654" s="1">
        <f t="shared" si="145"/>
        <v>65.480308207204089</v>
      </c>
      <c r="V654" s="93" t="s">
        <v>1549</v>
      </c>
      <c r="W654" s="135" t="s">
        <v>1550</v>
      </c>
      <c r="X654" s="95">
        <v>1</v>
      </c>
      <c r="Y654" s="110" t="s">
        <v>75</v>
      </c>
      <c r="Z654" s="95" t="s">
        <v>1549</v>
      </c>
      <c r="AA654" s="96">
        <v>1151.58</v>
      </c>
      <c r="AB654" s="141">
        <f t="shared" si="142"/>
        <v>0.1065</v>
      </c>
      <c r="AC654" s="145">
        <f t="shared" si="143"/>
        <v>1028.9367299999999</v>
      </c>
      <c r="AD654" s="95" t="s">
        <v>1505</v>
      </c>
      <c r="AE654" s="279">
        <v>23</v>
      </c>
      <c r="AF654" s="122">
        <f t="shared" si="144"/>
        <v>1051.9367299999999</v>
      </c>
      <c r="AG654" s="99">
        <v>14</v>
      </c>
      <c r="AH654" s="99">
        <v>0.25</v>
      </c>
      <c r="AI654" s="258" t="s">
        <v>75</v>
      </c>
      <c r="AJ654" s="55" t="s">
        <v>1551</v>
      </c>
      <c r="AK654" s="230" t="s">
        <v>1351</v>
      </c>
      <c r="AL654" s="205" t="s">
        <v>80</v>
      </c>
    </row>
    <row r="655" spans="1:46" s="280" customFormat="1">
      <c r="A655" s="93" t="s">
        <v>1552</v>
      </c>
      <c r="B655" s="135" t="s">
        <v>1553</v>
      </c>
      <c r="C655" s="95">
        <v>1</v>
      </c>
      <c r="D655" s="110" t="s">
        <v>75</v>
      </c>
      <c r="E655" s="95" t="s">
        <v>1552</v>
      </c>
      <c r="F655" s="96">
        <v>1151.58</v>
      </c>
      <c r="G655" s="141">
        <f t="shared" si="139"/>
        <v>0.1065</v>
      </c>
      <c r="H655" s="145">
        <f t="shared" si="140"/>
        <v>1028.9367299999999</v>
      </c>
      <c r="I655" s="95" t="s">
        <v>1505</v>
      </c>
      <c r="J655" s="279">
        <v>23</v>
      </c>
      <c r="K655" s="122">
        <f t="shared" si="141"/>
        <v>1051.9367299999999</v>
      </c>
      <c r="L655" s="99">
        <v>14</v>
      </c>
      <c r="M655" s="99">
        <v>0.25</v>
      </c>
      <c r="N655" s="258" t="s">
        <v>75</v>
      </c>
      <c r="O655" s="55" t="s">
        <v>1551</v>
      </c>
      <c r="P655" s="230" t="s">
        <v>1351</v>
      </c>
      <c r="Q655" s="205" t="s">
        <v>80</v>
      </c>
      <c r="R655" s="1">
        <f t="shared" si="145"/>
        <v>208.27005749356584</v>
      </c>
      <c r="S655" s="1">
        <f t="shared" si="145"/>
        <v>106.56114465089593</v>
      </c>
      <c r="T655" s="1">
        <f t="shared" si="145"/>
        <v>76.435773213512007</v>
      </c>
      <c r="U655" s="1">
        <f t="shared" si="145"/>
        <v>65.480308207204089</v>
      </c>
      <c r="V655" s="93" t="s">
        <v>1552</v>
      </c>
      <c r="W655" s="135" t="s">
        <v>1553</v>
      </c>
      <c r="X655" s="95">
        <v>1</v>
      </c>
      <c r="Y655" s="110" t="s">
        <v>75</v>
      </c>
      <c r="Z655" s="95" t="s">
        <v>1552</v>
      </c>
      <c r="AA655" s="96">
        <v>1151.58</v>
      </c>
      <c r="AB655" s="141">
        <f t="shared" si="142"/>
        <v>0.1065</v>
      </c>
      <c r="AC655" s="145">
        <f t="shared" si="143"/>
        <v>1028.9367299999999</v>
      </c>
      <c r="AD655" s="95" t="s">
        <v>1505</v>
      </c>
      <c r="AE655" s="279">
        <v>23</v>
      </c>
      <c r="AF655" s="122">
        <f t="shared" si="144"/>
        <v>1051.9367299999999</v>
      </c>
      <c r="AG655" s="99">
        <v>14</v>
      </c>
      <c r="AH655" s="99">
        <v>0.25</v>
      </c>
      <c r="AI655" s="258" t="s">
        <v>75</v>
      </c>
      <c r="AJ655" s="55" t="s">
        <v>1551</v>
      </c>
      <c r="AK655" s="230" t="s">
        <v>1351</v>
      </c>
      <c r="AL655" s="205" t="s">
        <v>80</v>
      </c>
    </row>
    <row r="656" spans="1:46" s="280" customFormat="1">
      <c r="A656" s="93" t="s">
        <v>1554</v>
      </c>
      <c r="B656" s="135" t="s">
        <v>1555</v>
      </c>
      <c r="C656" s="95">
        <v>1</v>
      </c>
      <c r="D656" s="110" t="s">
        <v>75</v>
      </c>
      <c r="E656" s="95" t="s">
        <v>1554</v>
      </c>
      <c r="F656" s="112">
        <v>1518.25</v>
      </c>
      <c r="G656" s="141">
        <f t="shared" ref="G656:G657" si="148">rv_ipp12</f>
        <v>0.1065</v>
      </c>
      <c r="H656" s="145">
        <f t="shared" si="140"/>
        <v>1356.5563750000001</v>
      </c>
      <c r="I656" s="95" t="s">
        <v>1505</v>
      </c>
      <c r="J656" s="279">
        <v>23</v>
      </c>
      <c r="K656" s="122">
        <f t="shared" si="141"/>
        <v>1379.5563750000001</v>
      </c>
      <c r="L656" s="99">
        <v>14</v>
      </c>
      <c r="M656" s="99">
        <v>0.25</v>
      </c>
      <c r="N656" s="52" t="s">
        <v>75</v>
      </c>
      <c r="O656" s="55" t="s">
        <v>1556</v>
      </c>
      <c r="P656" s="230" t="s">
        <v>1351</v>
      </c>
      <c r="Q656" s="205" t="s">
        <v>80</v>
      </c>
      <c r="R656" s="1">
        <f t="shared" si="145"/>
        <v>273.13456916450224</v>
      </c>
      <c r="S656" s="1">
        <f t="shared" si="145"/>
        <v>139.74900033240652</v>
      </c>
      <c r="T656" s="1">
        <f t="shared" si="145"/>
        <v>100.24125520814806</v>
      </c>
      <c r="U656" s="1">
        <f t="shared" si="145"/>
        <v>85.873773629154712</v>
      </c>
      <c r="V656" s="93" t="s">
        <v>1554</v>
      </c>
      <c r="W656" s="135" t="s">
        <v>1555</v>
      </c>
      <c r="X656" s="95">
        <v>1</v>
      </c>
      <c r="Y656" s="110" t="s">
        <v>75</v>
      </c>
      <c r="Z656" s="95" t="s">
        <v>1554</v>
      </c>
      <c r="AA656" s="112">
        <v>1518.25</v>
      </c>
      <c r="AB656" s="141">
        <f t="shared" ref="AB656:AB657" si="149">rv_ipp12</f>
        <v>0.1065</v>
      </c>
      <c r="AC656" s="145">
        <f t="shared" si="143"/>
        <v>1356.5563750000001</v>
      </c>
      <c r="AD656" s="95" t="s">
        <v>1505</v>
      </c>
      <c r="AE656" s="279">
        <v>23</v>
      </c>
      <c r="AF656" s="122">
        <f t="shared" si="144"/>
        <v>1379.5563750000001</v>
      </c>
      <c r="AG656" s="99">
        <v>14</v>
      </c>
      <c r="AH656" s="99">
        <v>0.25</v>
      </c>
      <c r="AI656" s="52" t="s">
        <v>75</v>
      </c>
      <c r="AJ656" s="55" t="s">
        <v>1556</v>
      </c>
      <c r="AK656" s="230" t="s">
        <v>1533</v>
      </c>
      <c r="AL656" s="205" t="s">
        <v>1534</v>
      </c>
    </row>
    <row r="657" spans="1:38" s="280" customFormat="1">
      <c r="A657" s="93" t="s">
        <v>1557</v>
      </c>
      <c r="B657" s="135" t="s">
        <v>1558</v>
      </c>
      <c r="C657" s="95">
        <v>1</v>
      </c>
      <c r="D657" s="110" t="s">
        <v>75</v>
      </c>
      <c r="E657" s="95" t="s">
        <v>1557</v>
      </c>
      <c r="F657" s="112">
        <v>1518.25</v>
      </c>
      <c r="G657" s="141">
        <f t="shared" si="148"/>
        <v>0.1065</v>
      </c>
      <c r="H657" s="145">
        <f t="shared" si="140"/>
        <v>1356.5563750000001</v>
      </c>
      <c r="I657" s="95" t="s">
        <v>1505</v>
      </c>
      <c r="J657" s="279">
        <v>23</v>
      </c>
      <c r="K657" s="122">
        <f t="shared" si="141"/>
        <v>1379.5563750000001</v>
      </c>
      <c r="L657" s="99">
        <v>14</v>
      </c>
      <c r="M657" s="99">
        <v>0.25</v>
      </c>
      <c r="N657" s="52" t="s">
        <v>75</v>
      </c>
      <c r="O657" s="55" t="s">
        <v>1556</v>
      </c>
      <c r="P657" s="230" t="s">
        <v>1351</v>
      </c>
      <c r="Q657" s="205" t="s">
        <v>80</v>
      </c>
      <c r="R657" s="1">
        <f t="shared" si="145"/>
        <v>273.13456916450224</v>
      </c>
      <c r="S657" s="1">
        <f t="shared" si="145"/>
        <v>139.74900033240652</v>
      </c>
      <c r="T657" s="1">
        <f t="shared" si="145"/>
        <v>100.24125520814806</v>
      </c>
      <c r="U657" s="1">
        <f t="shared" si="145"/>
        <v>85.873773629154712</v>
      </c>
      <c r="V657" s="93" t="s">
        <v>1557</v>
      </c>
      <c r="W657" s="135" t="s">
        <v>1558</v>
      </c>
      <c r="X657" s="95">
        <v>1</v>
      </c>
      <c r="Y657" s="110" t="s">
        <v>75</v>
      </c>
      <c r="Z657" s="95" t="s">
        <v>1557</v>
      </c>
      <c r="AA657" s="112">
        <v>1518.25</v>
      </c>
      <c r="AB657" s="141">
        <f t="shared" si="149"/>
        <v>0.1065</v>
      </c>
      <c r="AC657" s="145">
        <f t="shared" si="143"/>
        <v>1356.5563750000001</v>
      </c>
      <c r="AD657" s="95" t="s">
        <v>1505</v>
      </c>
      <c r="AE657" s="279">
        <v>23</v>
      </c>
      <c r="AF657" s="122">
        <f t="shared" si="144"/>
        <v>1379.5563750000001</v>
      </c>
      <c r="AG657" s="99">
        <v>14</v>
      </c>
      <c r="AH657" s="99">
        <v>0.25</v>
      </c>
      <c r="AI657" s="52" t="s">
        <v>75</v>
      </c>
      <c r="AJ657" s="55" t="s">
        <v>1556</v>
      </c>
      <c r="AK657" s="230" t="s">
        <v>1537</v>
      </c>
      <c r="AL657" s="205" t="s">
        <v>1538</v>
      </c>
    </row>
    <row r="658" spans="1:38" s="280" customFormat="1">
      <c r="A658" s="93" t="s">
        <v>1559</v>
      </c>
      <c r="B658" s="135" t="s">
        <v>1560</v>
      </c>
      <c r="C658" s="95">
        <v>1</v>
      </c>
      <c r="D658" s="96" t="s">
        <v>75</v>
      </c>
      <c r="E658" s="140" t="s">
        <v>1559</v>
      </c>
      <c r="F658" s="96">
        <v>1001.58</v>
      </c>
      <c r="G658" s="141">
        <f>rv_ipp12</f>
        <v>0.1065</v>
      </c>
      <c r="H658" s="145">
        <f t="shared" si="140"/>
        <v>894.91173000000003</v>
      </c>
      <c r="I658" s="95" t="s">
        <v>1561</v>
      </c>
      <c r="J658" s="279">
        <v>23</v>
      </c>
      <c r="K658" s="122">
        <f t="shared" si="141"/>
        <v>917.91173000000003</v>
      </c>
      <c r="L658" s="99">
        <v>14</v>
      </c>
      <c r="M658" s="99">
        <v>0.25</v>
      </c>
      <c r="N658" s="258" t="s">
        <v>75</v>
      </c>
      <c r="O658" s="55" t="s">
        <v>1562</v>
      </c>
      <c r="P658" s="230" t="s">
        <v>1351</v>
      </c>
      <c r="Q658" s="205" t="s">
        <v>80</v>
      </c>
      <c r="R658" s="1">
        <f t="shared" si="145"/>
        <v>181.73481667582661</v>
      </c>
      <c r="S658" s="1">
        <f t="shared" si="145"/>
        <v>92.984418024156398</v>
      </c>
      <c r="T658" s="1">
        <f t="shared" si="145"/>
        <v>66.697255474958524</v>
      </c>
      <c r="U658" s="1">
        <f t="shared" si="145"/>
        <v>57.137602741001274</v>
      </c>
      <c r="V658" s="93" t="s">
        <v>1559</v>
      </c>
      <c r="W658" s="135" t="s">
        <v>1560</v>
      </c>
      <c r="X658" s="95">
        <v>1</v>
      </c>
      <c r="Y658" s="96" t="s">
        <v>75</v>
      </c>
      <c r="Z658" s="140" t="s">
        <v>1559</v>
      </c>
      <c r="AA658" s="96">
        <v>1001.58</v>
      </c>
      <c r="AB658" s="141">
        <f>rv_ipp12</f>
        <v>0.1065</v>
      </c>
      <c r="AC658" s="145">
        <f t="shared" si="143"/>
        <v>894.91173000000003</v>
      </c>
      <c r="AD658" s="95" t="s">
        <v>1561</v>
      </c>
      <c r="AE658" s="279">
        <v>23</v>
      </c>
      <c r="AF658" s="122">
        <f t="shared" si="144"/>
        <v>917.91173000000003</v>
      </c>
      <c r="AG658" s="99">
        <v>14</v>
      </c>
      <c r="AH658" s="99">
        <v>0.25</v>
      </c>
      <c r="AI658" s="258" t="s">
        <v>75</v>
      </c>
      <c r="AJ658" s="55" t="s">
        <v>1562</v>
      </c>
      <c r="AK658" s="230" t="s">
        <v>1351</v>
      </c>
      <c r="AL658" s="205" t="s">
        <v>80</v>
      </c>
    </row>
    <row r="659" spans="1:38" s="280" customFormat="1">
      <c r="A659" s="93" t="s">
        <v>1563</v>
      </c>
      <c r="B659" s="135" t="s">
        <v>1564</v>
      </c>
      <c r="C659" s="95">
        <v>1</v>
      </c>
      <c r="D659" s="96" t="s">
        <v>75</v>
      </c>
      <c r="E659" s="140" t="s">
        <v>1563</v>
      </c>
      <c r="F659" s="96">
        <v>1001.58</v>
      </c>
      <c r="G659" s="141">
        <f>rv_ipp12</f>
        <v>0.1065</v>
      </c>
      <c r="H659" s="145">
        <f t="shared" si="140"/>
        <v>894.91173000000003</v>
      </c>
      <c r="I659" s="95" t="s">
        <v>1561</v>
      </c>
      <c r="J659" s="279">
        <v>23</v>
      </c>
      <c r="K659" s="122">
        <f t="shared" si="141"/>
        <v>917.91173000000003</v>
      </c>
      <c r="L659" s="99">
        <v>14</v>
      </c>
      <c r="M659" s="99">
        <v>0.25</v>
      </c>
      <c r="N659" s="258" t="s">
        <v>75</v>
      </c>
      <c r="O659" s="55" t="s">
        <v>1562</v>
      </c>
      <c r="P659" s="230" t="s">
        <v>1351</v>
      </c>
      <c r="Q659" s="205" t="s">
        <v>80</v>
      </c>
      <c r="R659" s="1">
        <f t="shared" si="145"/>
        <v>181.73481667582661</v>
      </c>
      <c r="S659" s="1">
        <f t="shared" si="145"/>
        <v>92.984418024156398</v>
      </c>
      <c r="T659" s="1">
        <f t="shared" si="145"/>
        <v>66.697255474958524</v>
      </c>
      <c r="U659" s="1">
        <f t="shared" si="145"/>
        <v>57.137602741001274</v>
      </c>
      <c r="V659" s="93" t="s">
        <v>1563</v>
      </c>
      <c r="W659" s="135" t="s">
        <v>1564</v>
      </c>
      <c r="X659" s="95">
        <v>1</v>
      </c>
      <c r="Y659" s="96" t="s">
        <v>75</v>
      </c>
      <c r="Z659" s="140" t="s">
        <v>1563</v>
      </c>
      <c r="AA659" s="96">
        <v>1001.58</v>
      </c>
      <c r="AB659" s="141">
        <f>rv_ipp12</f>
        <v>0.1065</v>
      </c>
      <c r="AC659" s="145">
        <f t="shared" si="143"/>
        <v>894.91173000000003</v>
      </c>
      <c r="AD659" s="95" t="s">
        <v>1561</v>
      </c>
      <c r="AE659" s="279">
        <v>23</v>
      </c>
      <c r="AF659" s="122">
        <f t="shared" si="144"/>
        <v>917.91173000000003</v>
      </c>
      <c r="AG659" s="99">
        <v>14</v>
      </c>
      <c r="AH659" s="99">
        <v>0.25</v>
      </c>
      <c r="AI659" s="258" t="s">
        <v>75</v>
      </c>
      <c r="AJ659" s="55" t="s">
        <v>1562</v>
      </c>
      <c r="AK659" s="230" t="s">
        <v>1351</v>
      </c>
      <c r="AL659" s="205" t="s">
        <v>80</v>
      </c>
    </row>
    <row r="660" spans="1:38" s="176" customFormat="1">
      <c r="A660" s="327" t="s">
        <v>1561</v>
      </c>
      <c r="B660" s="104" t="s">
        <v>1565</v>
      </c>
      <c r="C660" s="105">
        <v>1</v>
      </c>
      <c r="D660" s="106" t="s">
        <v>82</v>
      </c>
      <c r="E660" s="105" t="s">
        <v>1561</v>
      </c>
      <c r="F660" s="108">
        <v>25.74</v>
      </c>
      <c r="G660" s="180">
        <f>rv_ipp12</f>
        <v>0.1065</v>
      </c>
      <c r="H660" s="100">
        <f t="shared" si="140"/>
        <v>22.99869</v>
      </c>
      <c r="I660" s="144"/>
      <c r="J660" s="101"/>
      <c r="K660" s="175"/>
      <c r="L660" s="17" t="s">
        <v>77</v>
      </c>
      <c r="M660" s="17" t="s">
        <v>77</v>
      </c>
      <c r="N660" s="261" t="s">
        <v>83</v>
      </c>
      <c r="O660" s="55" t="s">
        <v>84</v>
      </c>
      <c r="P660" s="14" t="s">
        <v>85</v>
      </c>
      <c r="Q660" s="202" t="s">
        <v>86</v>
      </c>
      <c r="R660" s="1" t="str">
        <f t="shared" si="145"/>
        <v/>
      </c>
      <c r="S660" s="1" t="str">
        <f t="shared" si="145"/>
        <v/>
      </c>
      <c r="T660" s="1" t="str">
        <f t="shared" si="145"/>
        <v/>
      </c>
      <c r="U660" s="1" t="str">
        <f t="shared" si="145"/>
        <v/>
      </c>
      <c r="V660" s="434" t="s">
        <v>1561</v>
      </c>
      <c r="W660" s="104" t="s">
        <v>1565</v>
      </c>
      <c r="X660" s="105">
        <v>1</v>
      </c>
      <c r="Y660" s="106" t="s">
        <v>82</v>
      </c>
      <c r="Z660" s="105" t="s">
        <v>1561</v>
      </c>
      <c r="AA660" s="108">
        <v>25.74</v>
      </c>
      <c r="AB660" s="180">
        <f>rv_ipp12</f>
        <v>0.1065</v>
      </c>
      <c r="AC660" s="100">
        <f t="shared" si="143"/>
        <v>22.99869</v>
      </c>
      <c r="AD660" s="144"/>
      <c r="AE660" s="101"/>
      <c r="AF660" s="175"/>
      <c r="AG660" s="17" t="s">
        <v>77</v>
      </c>
      <c r="AH660" s="17" t="s">
        <v>77</v>
      </c>
      <c r="AI660" s="261" t="s">
        <v>83</v>
      </c>
      <c r="AJ660" s="55" t="s">
        <v>84</v>
      </c>
      <c r="AK660" s="14" t="s">
        <v>85</v>
      </c>
      <c r="AL660" s="202" t="s">
        <v>86</v>
      </c>
    </row>
    <row r="661" spans="1:38">
      <c r="A661" s="25" t="s">
        <v>1566</v>
      </c>
      <c r="B661" s="26" t="s">
        <v>1567</v>
      </c>
      <c r="C661" s="29">
        <v>1</v>
      </c>
      <c r="D661" s="106" t="s">
        <v>82</v>
      </c>
      <c r="E661" s="29" t="s">
        <v>1566</v>
      </c>
      <c r="F661" s="63"/>
      <c r="G661" s="22"/>
      <c r="H661" s="31">
        <v>5</v>
      </c>
      <c r="I661" s="185"/>
      <c r="J661" s="17"/>
      <c r="K661" s="17"/>
      <c r="L661" s="17" t="s">
        <v>77</v>
      </c>
      <c r="M661" s="17" t="s">
        <v>77</v>
      </c>
      <c r="N661" s="258" t="s">
        <v>83</v>
      </c>
      <c r="O661" s="55" t="s">
        <v>84</v>
      </c>
      <c r="P661" s="14" t="s">
        <v>85</v>
      </c>
      <c r="Q661" s="14" t="s">
        <v>86</v>
      </c>
      <c r="R661" s="1" t="str">
        <f t="shared" si="145"/>
        <v/>
      </c>
      <c r="S661" s="1" t="str">
        <f t="shared" si="145"/>
        <v/>
      </c>
      <c r="T661" s="1" t="str">
        <f t="shared" si="145"/>
        <v/>
      </c>
      <c r="U661" s="1" t="str">
        <f t="shared" si="145"/>
        <v/>
      </c>
      <c r="V661" s="25" t="s">
        <v>1566</v>
      </c>
      <c r="W661" s="26" t="s">
        <v>1567</v>
      </c>
      <c r="X661" s="29">
        <v>1</v>
      </c>
      <c r="Y661" s="106" t="s">
        <v>82</v>
      </c>
      <c r="Z661" s="29" t="s">
        <v>1566</v>
      </c>
      <c r="AA661" s="63"/>
      <c r="AB661" s="22"/>
      <c r="AC661" s="31">
        <v>5</v>
      </c>
      <c r="AD661" s="185"/>
      <c r="AE661" s="17"/>
      <c r="AF661" s="17"/>
      <c r="AG661" s="17" t="s">
        <v>77</v>
      </c>
      <c r="AH661" s="17" t="s">
        <v>77</v>
      </c>
      <c r="AI661" s="258" t="s">
        <v>83</v>
      </c>
      <c r="AJ661" s="55" t="s">
        <v>84</v>
      </c>
      <c r="AK661" s="14" t="s">
        <v>85</v>
      </c>
      <c r="AL661" s="14" t="s">
        <v>86</v>
      </c>
    </row>
    <row r="662" spans="1:38">
      <c r="A662" s="25" t="s">
        <v>1568</v>
      </c>
      <c r="B662" s="26" t="s">
        <v>1569</v>
      </c>
      <c r="C662" s="29">
        <v>1</v>
      </c>
      <c r="D662" s="106" t="s">
        <v>82</v>
      </c>
      <c r="E662" s="29" t="s">
        <v>1568</v>
      </c>
      <c r="F662" s="63"/>
      <c r="G662" s="22"/>
      <c r="H662" s="31">
        <v>7</v>
      </c>
      <c r="I662" s="185"/>
      <c r="J662" s="17"/>
      <c r="K662" s="17"/>
      <c r="L662" s="17" t="s">
        <v>77</v>
      </c>
      <c r="M662" s="17" t="s">
        <v>77</v>
      </c>
      <c r="N662" s="258" t="s">
        <v>83</v>
      </c>
      <c r="O662" s="55" t="s">
        <v>84</v>
      </c>
      <c r="P662" s="14" t="s">
        <v>85</v>
      </c>
      <c r="Q662" s="14" t="s">
        <v>86</v>
      </c>
      <c r="R662" s="1" t="str">
        <f t="shared" si="145"/>
        <v/>
      </c>
      <c r="S662" s="1" t="str">
        <f t="shared" si="145"/>
        <v/>
      </c>
      <c r="T662" s="1" t="str">
        <f t="shared" si="145"/>
        <v/>
      </c>
      <c r="U662" s="1" t="str">
        <f t="shared" si="145"/>
        <v/>
      </c>
      <c r="V662" s="25" t="s">
        <v>1568</v>
      </c>
      <c r="W662" s="26" t="s">
        <v>1569</v>
      </c>
      <c r="X662" s="29">
        <v>1</v>
      </c>
      <c r="Y662" s="106" t="s">
        <v>82</v>
      </c>
      <c r="Z662" s="29" t="s">
        <v>1568</v>
      </c>
      <c r="AA662" s="63"/>
      <c r="AB662" s="22"/>
      <c r="AC662" s="31">
        <v>7</v>
      </c>
      <c r="AD662" s="185"/>
      <c r="AE662" s="17"/>
      <c r="AF662" s="17"/>
      <c r="AG662" s="17" t="s">
        <v>77</v>
      </c>
      <c r="AH662" s="17" t="s">
        <v>77</v>
      </c>
      <c r="AI662" s="258" t="s">
        <v>83</v>
      </c>
      <c r="AJ662" s="55" t="s">
        <v>84</v>
      </c>
      <c r="AK662" s="14" t="s">
        <v>85</v>
      </c>
      <c r="AL662" s="14" t="s">
        <v>86</v>
      </c>
    </row>
    <row r="663" spans="1:38">
      <c r="A663" s="25" t="s">
        <v>1570</v>
      </c>
      <c r="B663" s="26" t="s">
        <v>1571</v>
      </c>
      <c r="C663" s="29">
        <v>1</v>
      </c>
      <c r="D663" s="106" t="s">
        <v>82</v>
      </c>
      <c r="E663" s="29" t="s">
        <v>1570</v>
      </c>
      <c r="F663" s="63"/>
      <c r="G663" s="22"/>
      <c r="H663" s="31">
        <v>10</v>
      </c>
      <c r="I663" s="185"/>
      <c r="J663" s="17"/>
      <c r="K663" s="17"/>
      <c r="L663" s="17" t="s">
        <v>77</v>
      </c>
      <c r="M663" s="17" t="s">
        <v>77</v>
      </c>
      <c r="N663" s="258" t="s">
        <v>83</v>
      </c>
      <c r="O663" s="55" t="s">
        <v>84</v>
      </c>
      <c r="P663" s="14" t="s">
        <v>85</v>
      </c>
      <c r="Q663" s="14" t="s">
        <v>86</v>
      </c>
      <c r="R663" s="1" t="str">
        <f t="shared" si="145"/>
        <v/>
      </c>
      <c r="S663" s="1" t="str">
        <f t="shared" si="145"/>
        <v/>
      </c>
      <c r="T663" s="1" t="str">
        <f t="shared" si="145"/>
        <v/>
      </c>
      <c r="U663" s="1" t="str">
        <f t="shared" si="145"/>
        <v/>
      </c>
      <c r="V663" s="25" t="s">
        <v>1570</v>
      </c>
      <c r="W663" s="26" t="s">
        <v>1571</v>
      </c>
      <c r="X663" s="29">
        <v>1</v>
      </c>
      <c r="Y663" s="106" t="s">
        <v>82</v>
      </c>
      <c r="Z663" s="29" t="s">
        <v>1570</v>
      </c>
      <c r="AA663" s="63"/>
      <c r="AB663" s="22"/>
      <c r="AC663" s="31">
        <v>10</v>
      </c>
      <c r="AD663" s="185"/>
      <c r="AE663" s="17"/>
      <c r="AF663" s="17"/>
      <c r="AG663" s="17" t="s">
        <v>77</v>
      </c>
      <c r="AH663" s="17" t="s">
        <v>77</v>
      </c>
      <c r="AI663" s="258" t="s">
        <v>83</v>
      </c>
      <c r="AJ663" s="55" t="s">
        <v>84</v>
      </c>
      <c r="AK663" s="14" t="s">
        <v>85</v>
      </c>
      <c r="AL663" s="14" t="s">
        <v>86</v>
      </c>
    </row>
    <row r="664" spans="1:38">
      <c r="A664" s="566" t="s">
        <v>1572</v>
      </c>
      <c r="B664" s="567" t="s">
        <v>1573</v>
      </c>
      <c r="C664" s="105">
        <v>1</v>
      </c>
      <c r="D664" s="106" t="s">
        <v>82</v>
      </c>
      <c r="E664" s="105" t="s">
        <v>1572</v>
      </c>
      <c r="F664" s="320"/>
      <c r="G664" s="109"/>
      <c r="H664" s="100">
        <v>94.63</v>
      </c>
      <c r="I664" s="185"/>
      <c r="J664" s="17"/>
      <c r="K664" s="17"/>
      <c r="L664" s="17" t="s">
        <v>77</v>
      </c>
      <c r="M664" s="17" t="s">
        <v>77</v>
      </c>
      <c r="N664" s="258" t="s">
        <v>83</v>
      </c>
      <c r="O664" s="55" t="s">
        <v>84</v>
      </c>
      <c r="P664" s="14" t="s">
        <v>85</v>
      </c>
      <c r="Q664" s="14" t="s">
        <v>86</v>
      </c>
      <c r="R664" s="1" t="str">
        <f t="shared" si="145"/>
        <v/>
      </c>
      <c r="S664" s="1" t="str">
        <f t="shared" si="145"/>
        <v/>
      </c>
      <c r="T664" s="1" t="str">
        <f t="shared" si="145"/>
        <v/>
      </c>
      <c r="U664" s="1" t="str">
        <f t="shared" si="145"/>
        <v/>
      </c>
      <c r="V664" s="25" t="s">
        <v>1572</v>
      </c>
      <c r="W664" s="444" t="s">
        <v>1574</v>
      </c>
      <c r="X664" s="29">
        <v>1</v>
      </c>
      <c r="Y664" s="106" t="s">
        <v>82</v>
      </c>
      <c r="Z664" s="29" t="s">
        <v>1572</v>
      </c>
      <c r="AA664" s="63"/>
      <c r="AB664" s="22"/>
      <c r="AC664" s="31">
        <v>47</v>
      </c>
      <c r="AD664" s="185"/>
      <c r="AE664" s="17"/>
      <c r="AF664" s="17"/>
      <c r="AG664" s="17" t="s">
        <v>77</v>
      </c>
      <c r="AH664" s="17" t="s">
        <v>77</v>
      </c>
      <c r="AI664" s="258" t="s">
        <v>83</v>
      </c>
      <c r="AJ664" s="55" t="s">
        <v>84</v>
      </c>
      <c r="AK664" s="14" t="s">
        <v>85</v>
      </c>
      <c r="AL664" s="14" t="s">
        <v>86</v>
      </c>
    </row>
    <row r="665" spans="1:38">
      <c r="A665" s="432"/>
      <c r="B665" s="433"/>
      <c r="C665" s="29"/>
      <c r="D665" s="106"/>
      <c r="E665" s="392"/>
      <c r="F665" s="63"/>
      <c r="G665" s="22"/>
      <c r="H665" s="31"/>
      <c r="I665" s="185"/>
      <c r="J665" s="17"/>
      <c r="K665" s="17"/>
      <c r="L665" s="17"/>
      <c r="M665" s="17"/>
      <c r="N665" s="258"/>
      <c r="O665" s="55"/>
      <c r="P665" s="14"/>
      <c r="Q665" s="14"/>
      <c r="R665" s="1" t="str">
        <f t="shared" si="145"/>
        <v/>
      </c>
      <c r="S665" s="1" t="str">
        <f t="shared" si="145"/>
        <v/>
      </c>
      <c r="T665" s="1" t="str">
        <f t="shared" si="145"/>
        <v/>
      </c>
      <c r="U665" s="1" t="str">
        <f t="shared" si="145"/>
        <v/>
      </c>
      <c r="V665" s="25" t="s">
        <v>1575</v>
      </c>
      <c r="W665" s="444" t="s">
        <v>1576</v>
      </c>
      <c r="X665" s="29">
        <v>1</v>
      </c>
      <c r="Y665" s="106" t="s">
        <v>82</v>
      </c>
      <c r="Z665" s="29" t="s">
        <v>1575</v>
      </c>
      <c r="AA665" s="63"/>
      <c r="AB665" s="22"/>
      <c r="AC665" s="31">
        <v>81</v>
      </c>
      <c r="AD665" s="185"/>
      <c r="AE665" s="17"/>
      <c r="AF665" s="17"/>
      <c r="AG665" s="17" t="s">
        <v>77</v>
      </c>
      <c r="AH665" s="17" t="s">
        <v>77</v>
      </c>
      <c r="AI665" s="258" t="s">
        <v>83</v>
      </c>
      <c r="AJ665" s="55" t="s">
        <v>84</v>
      </c>
      <c r="AK665" s="14" t="s">
        <v>85</v>
      </c>
      <c r="AL665" s="14" t="s">
        <v>86</v>
      </c>
    </row>
    <row r="666" spans="1:38" s="280" customFormat="1">
      <c r="A666" s="93" t="s">
        <v>1577</v>
      </c>
      <c r="B666" s="135" t="s">
        <v>1578</v>
      </c>
      <c r="C666" s="95">
        <v>1</v>
      </c>
      <c r="D666" s="110" t="s">
        <v>75</v>
      </c>
      <c r="E666" s="146" t="s">
        <v>1577</v>
      </c>
      <c r="F666" s="96">
        <v>1093.25</v>
      </c>
      <c r="G666" s="141">
        <f t="shared" ref="G666:G677" si="150">rv_ipp12</f>
        <v>0.1065</v>
      </c>
      <c r="H666" s="145">
        <f t="shared" ref="H666:H679" si="151">F666-(F666*G666)</f>
        <v>976.81887500000005</v>
      </c>
      <c r="I666" s="95" t="s">
        <v>1561</v>
      </c>
      <c r="J666" s="279">
        <v>23</v>
      </c>
      <c r="K666" s="122">
        <f t="shared" ref="K666:K679" si="152">H666+J666</f>
        <v>999.81887500000005</v>
      </c>
      <c r="L666" s="99">
        <v>14</v>
      </c>
      <c r="M666" s="99">
        <v>0.25</v>
      </c>
      <c r="N666" s="258" t="s">
        <v>75</v>
      </c>
      <c r="O666" s="55" t="s">
        <v>1579</v>
      </c>
      <c r="P666" s="14" t="s">
        <v>1351</v>
      </c>
      <c r="Q666" s="205" t="s">
        <v>80</v>
      </c>
      <c r="R666" s="1">
        <f t="shared" si="145"/>
        <v>197.95138684757433</v>
      </c>
      <c r="S666" s="1">
        <f t="shared" si="145"/>
        <v>101.28160822331115</v>
      </c>
      <c r="T666" s="1">
        <f t="shared" si="145"/>
        <v>72.648788282246514</v>
      </c>
      <c r="U666" s="1">
        <f t="shared" si="145"/>
        <v>62.236108141580033</v>
      </c>
      <c r="V666" s="93" t="s">
        <v>1577</v>
      </c>
      <c r="W666" s="135" t="s">
        <v>1578</v>
      </c>
      <c r="X666" s="95">
        <v>1</v>
      </c>
      <c r="Y666" s="110" t="s">
        <v>75</v>
      </c>
      <c r="Z666" s="146" t="s">
        <v>1577</v>
      </c>
      <c r="AA666" s="96">
        <v>1093.25</v>
      </c>
      <c r="AB666" s="141">
        <f t="shared" ref="AB666:AB679" si="153">rv_ipp12</f>
        <v>0.1065</v>
      </c>
      <c r="AC666" s="145">
        <f t="shared" ref="AC666:AC679" si="154">AA666-(AA666*AB666)</f>
        <v>976.81887500000005</v>
      </c>
      <c r="AD666" s="95" t="s">
        <v>1561</v>
      </c>
      <c r="AE666" s="279">
        <v>23</v>
      </c>
      <c r="AF666" s="122">
        <f t="shared" ref="AF666:AF679" si="155">AC666+AE666</f>
        <v>999.81887500000005</v>
      </c>
      <c r="AG666" s="99">
        <v>14</v>
      </c>
      <c r="AH666" s="99">
        <v>0.25</v>
      </c>
      <c r="AI666" s="258" t="s">
        <v>75</v>
      </c>
      <c r="AJ666" s="55" t="s">
        <v>1579</v>
      </c>
      <c r="AK666" s="14" t="s">
        <v>1351</v>
      </c>
      <c r="AL666" s="14" t="s">
        <v>80</v>
      </c>
    </row>
    <row r="667" spans="1:38" s="280" customFormat="1">
      <c r="A667" s="93" t="s">
        <v>1580</v>
      </c>
      <c r="B667" s="135" t="s">
        <v>1581</v>
      </c>
      <c r="C667" s="95">
        <v>1</v>
      </c>
      <c r="D667" s="110" t="s">
        <v>75</v>
      </c>
      <c r="E667" s="146" t="s">
        <v>1580</v>
      </c>
      <c r="F667" s="96">
        <v>1093.25</v>
      </c>
      <c r="G667" s="141">
        <f t="shared" si="150"/>
        <v>0.1065</v>
      </c>
      <c r="H667" s="145">
        <f t="shared" si="151"/>
        <v>976.81887500000005</v>
      </c>
      <c r="I667" s="95" t="s">
        <v>1561</v>
      </c>
      <c r="J667" s="279">
        <v>23</v>
      </c>
      <c r="K667" s="122">
        <f t="shared" si="152"/>
        <v>999.81887500000005</v>
      </c>
      <c r="L667" s="99">
        <v>14</v>
      </c>
      <c r="M667" s="99">
        <v>0.25</v>
      </c>
      <c r="N667" s="258" t="s">
        <v>75</v>
      </c>
      <c r="O667" s="55" t="s">
        <v>1579</v>
      </c>
      <c r="P667" s="14" t="s">
        <v>1351</v>
      </c>
      <c r="Q667" s="205" t="s">
        <v>80</v>
      </c>
      <c r="R667" s="1">
        <f t="shared" si="145"/>
        <v>197.95138684757433</v>
      </c>
      <c r="S667" s="1">
        <f t="shared" si="145"/>
        <v>101.28160822331115</v>
      </c>
      <c r="T667" s="1">
        <f t="shared" si="145"/>
        <v>72.648788282246514</v>
      </c>
      <c r="U667" s="1">
        <f t="shared" si="145"/>
        <v>62.236108141580033</v>
      </c>
      <c r="V667" s="93" t="s">
        <v>1580</v>
      </c>
      <c r="W667" s="135" t="s">
        <v>1581</v>
      </c>
      <c r="X667" s="95">
        <v>1</v>
      </c>
      <c r="Y667" s="110" t="s">
        <v>75</v>
      </c>
      <c r="Z667" s="146" t="s">
        <v>1580</v>
      </c>
      <c r="AA667" s="96">
        <v>1093.25</v>
      </c>
      <c r="AB667" s="141">
        <f t="shared" si="153"/>
        <v>0.1065</v>
      </c>
      <c r="AC667" s="145">
        <f t="shared" si="154"/>
        <v>976.81887500000005</v>
      </c>
      <c r="AD667" s="95" t="s">
        <v>1561</v>
      </c>
      <c r="AE667" s="279">
        <v>23</v>
      </c>
      <c r="AF667" s="122">
        <f t="shared" si="155"/>
        <v>999.81887500000005</v>
      </c>
      <c r="AG667" s="99">
        <v>14</v>
      </c>
      <c r="AH667" s="99">
        <v>0.25</v>
      </c>
      <c r="AI667" s="258" t="s">
        <v>75</v>
      </c>
      <c r="AJ667" s="55" t="s">
        <v>1579</v>
      </c>
      <c r="AK667" s="14" t="s">
        <v>1351</v>
      </c>
      <c r="AL667" s="14" t="s">
        <v>80</v>
      </c>
    </row>
    <row r="668" spans="1:38" s="280" customFormat="1">
      <c r="A668" s="93" t="s">
        <v>1582</v>
      </c>
      <c r="B668" s="135" t="s">
        <v>1583</v>
      </c>
      <c r="C668" s="95">
        <v>1</v>
      </c>
      <c r="D668" s="110" t="s">
        <v>75</v>
      </c>
      <c r="E668" s="146" t="s">
        <v>1582</v>
      </c>
      <c r="F668" s="96">
        <v>1276.58</v>
      </c>
      <c r="G668" s="141">
        <f t="shared" si="150"/>
        <v>0.1065</v>
      </c>
      <c r="H668" s="145">
        <f t="shared" si="151"/>
        <v>1140.6242299999999</v>
      </c>
      <c r="I668" s="95" t="s">
        <v>1561</v>
      </c>
      <c r="J668" s="279">
        <v>23</v>
      </c>
      <c r="K668" s="122">
        <f t="shared" si="152"/>
        <v>1163.6242299999999</v>
      </c>
      <c r="L668" s="99">
        <v>14</v>
      </c>
      <c r="M668" s="99">
        <v>0.25</v>
      </c>
      <c r="N668" s="258" t="s">
        <v>75</v>
      </c>
      <c r="O668" s="55" t="s">
        <v>1584</v>
      </c>
      <c r="P668" s="14" t="s">
        <v>1351</v>
      </c>
      <c r="Q668" s="205" t="s">
        <v>80</v>
      </c>
      <c r="R668" s="1">
        <f t="shared" si="145"/>
        <v>230.38275817501523</v>
      </c>
      <c r="S668" s="1">
        <f t="shared" si="145"/>
        <v>117.87508350651221</v>
      </c>
      <c r="T668" s="1">
        <f t="shared" si="145"/>
        <v>84.551204662306574</v>
      </c>
      <c r="U668" s="1">
        <f t="shared" si="145"/>
        <v>72.432562762373124</v>
      </c>
      <c r="V668" s="93" t="s">
        <v>1582</v>
      </c>
      <c r="W668" s="135" t="s">
        <v>1583</v>
      </c>
      <c r="X668" s="95">
        <v>1</v>
      </c>
      <c r="Y668" s="110" t="s">
        <v>75</v>
      </c>
      <c r="Z668" s="146" t="s">
        <v>1582</v>
      </c>
      <c r="AA668" s="96">
        <v>1276.58</v>
      </c>
      <c r="AB668" s="141">
        <f t="shared" si="153"/>
        <v>0.1065</v>
      </c>
      <c r="AC668" s="145">
        <f t="shared" si="154"/>
        <v>1140.6242299999999</v>
      </c>
      <c r="AD668" s="95" t="s">
        <v>1561</v>
      </c>
      <c r="AE668" s="279">
        <v>23</v>
      </c>
      <c r="AF668" s="122">
        <f t="shared" si="155"/>
        <v>1163.6242299999999</v>
      </c>
      <c r="AG668" s="99">
        <v>14</v>
      </c>
      <c r="AH668" s="99">
        <v>0.25</v>
      </c>
      <c r="AI668" s="258" t="s">
        <v>75</v>
      </c>
      <c r="AJ668" s="55" t="s">
        <v>1584</v>
      </c>
      <c r="AK668" s="14" t="s">
        <v>1351</v>
      </c>
      <c r="AL668" s="14" t="s">
        <v>80</v>
      </c>
    </row>
    <row r="669" spans="1:38" s="280" customFormat="1">
      <c r="A669" s="93" t="s">
        <v>1585</v>
      </c>
      <c r="B669" s="135" t="s">
        <v>1586</v>
      </c>
      <c r="C669" s="95">
        <v>1</v>
      </c>
      <c r="D669" s="110" t="s">
        <v>75</v>
      </c>
      <c r="E669" s="146" t="s">
        <v>1585</v>
      </c>
      <c r="F669" s="96">
        <v>1276.58</v>
      </c>
      <c r="G669" s="141">
        <f t="shared" si="150"/>
        <v>0.1065</v>
      </c>
      <c r="H669" s="145">
        <f t="shared" si="151"/>
        <v>1140.6242299999999</v>
      </c>
      <c r="I669" s="95" t="s">
        <v>1561</v>
      </c>
      <c r="J669" s="279">
        <v>23</v>
      </c>
      <c r="K669" s="122">
        <f t="shared" si="152"/>
        <v>1163.6242299999999</v>
      </c>
      <c r="L669" s="99">
        <v>14</v>
      </c>
      <c r="M669" s="99">
        <v>0.25</v>
      </c>
      <c r="N669" s="258" t="s">
        <v>75</v>
      </c>
      <c r="O669" s="55" t="s">
        <v>1584</v>
      </c>
      <c r="P669" s="14" t="s">
        <v>1351</v>
      </c>
      <c r="Q669" s="205" t="s">
        <v>80</v>
      </c>
      <c r="R669" s="1">
        <f t="shared" si="145"/>
        <v>230.38275817501523</v>
      </c>
      <c r="S669" s="1">
        <f t="shared" si="145"/>
        <v>117.87508350651221</v>
      </c>
      <c r="T669" s="1">
        <f t="shared" si="145"/>
        <v>84.551204662306574</v>
      </c>
      <c r="U669" s="1">
        <f t="shared" si="145"/>
        <v>72.432562762373124</v>
      </c>
      <c r="V669" s="93" t="s">
        <v>1585</v>
      </c>
      <c r="W669" s="135" t="s">
        <v>1586</v>
      </c>
      <c r="X669" s="95">
        <v>1</v>
      </c>
      <c r="Y669" s="110" t="s">
        <v>75</v>
      </c>
      <c r="Z669" s="146" t="s">
        <v>1585</v>
      </c>
      <c r="AA669" s="96">
        <v>1276.58</v>
      </c>
      <c r="AB669" s="141">
        <f t="shared" si="153"/>
        <v>0.1065</v>
      </c>
      <c r="AC669" s="145">
        <f t="shared" si="154"/>
        <v>1140.6242299999999</v>
      </c>
      <c r="AD669" s="95" t="s">
        <v>1561</v>
      </c>
      <c r="AE669" s="279">
        <v>23</v>
      </c>
      <c r="AF669" s="122">
        <f t="shared" si="155"/>
        <v>1163.6242299999999</v>
      </c>
      <c r="AG669" s="99">
        <v>14</v>
      </c>
      <c r="AH669" s="99">
        <v>0.25</v>
      </c>
      <c r="AI669" s="258" t="s">
        <v>75</v>
      </c>
      <c r="AJ669" s="55" t="s">
        <v>1584</v>
      </c>
      <c r="AK669" s="14" t="s">
        <v>1351</v>
      </c>
      <c r="AL669" s="14" t="s">
        <v>80</v>
      </c>
    </row>
    <row r="670" spans="1:38" s="280" customFormat="1">
      <c r="A670" s="93" t="s">
        <v>1587</v>
      </c>
      <c r="B670" s="135" t="s">
        <v>1588</v>
      </c>
      <c r="C670" s="95">
        <v>1</v>
      </c>
      <c r="D670" s="110" t="s">
        <v>75</v>
      </c>
      <c r="E670" s="146" t="s">
        <v>1587</v>
      </c>
      <c r="F670" s="96">
        <v>1643.25</v>
      </c>
      <c r="G670" s="141">
        <f t="shared" ref="G670:G671" si="156">rv_ipp12</f>
        <v>0.1065</v>
      </c>
      <c r="H670" s="145">
        <f t="shared" si="151"/>
        <v>1468.2438750000001</v>
      </c>
      <c r="I670" s="95" t="s">
        <v>1561</v>
      </c>
      <c r="J670" s="279">
        <v>23</v>
      </c>
      <c r="K670" s="122">
        <f t="shared" si="152"/>
        <v>1491.2438750000001</v>
      </c>
      <c r="L670" s="99">
        <v>14</v>
      </c>
      <c r="M670" s="99">
        <v>0.25</v>
      </c>
      <c r="N670" s="52" t="s">
        <v>75</v>
      </c>
      <c r="O670" s="55" t="s">
        <v>1589</v>
      </c>
      <c r="P670" s="14" t="s">
        <v>1351</v>
      </c>
      <c r="Q670" s="205" t="s">
        <v>80</v>
      </c>
      <c r="R670" s="1">
        <f t="shared" si="145"/>
        <v>295.24726984595162</v>
      </c>
      <c r="S670" s="1">
        <f t="shared" si="145"/>
        <v>151.06293918802282</v>
      </c>
      <c r="T670" s="1">
        <f t="shared" si="145"/>
        <v>108.35668665694263</v>
      </c>
      <c r="U670" s="1">
        <f t="shared" si="145"/>
        <v>92.826028184323746</v>
      </c>
      <c r="V670" s="93" t="s">
        <v>1587</v>
      </c>
      <c r="W670" s="135" t="s">
        <v>1588</v>
      </c>
      <c r="X670" s="95">
        <v>1</v>
      </c>
      <c r="Y670" s="110" t="s">
        <v>75</v>
      </c>
      <c r="Z670" s="146" t="s">
        <v>1587</v>
      </c>
      <c r="AA670" s="96">
        <v>1643.25</v>
      </c>
      <c r="AB670" s="141">
        <f t="shared" si="153"/>
        <v>0.1065</v>
      </c>
      <c r="AC670" s="145">
        <f t="shared" si="154"/>
        <v>1468.2438750000001</v>
      </c>
      <c r="AD670" s="95" t="s">
        <v>1561</v>
      </c>
      <c r="AE670" s="279">
        <v>23</v>
      </c>
      <c r="AF670" s="122">
        <f t="shared" si="155"/>
        <v>1491.2438750000001</v>
      </c>
      <c r="AG670" s="99">
        <v>14</v>
      </c>
      <c r="AH670" s="99">
        <v>0.25</v>
      </c>
      <c r="AI670" s="52" t="s">
        <v>75</v>
      </c>
      <c r="AJ670" s="55" t="s">
        <v>1589</v>
      </c>
      <c r="AK670" s="14" t="s">
        <v>1351</v>
      </c>
      <c r="AL670" s="14" t="s">
        <v>80</v>
      </c>
    </row>
    <row r="671" spans="1:38" s="280" customFormat="1">
      <c r="A671" s="93" t="s">
        <v>1590</v>
      </c>
      <c r="B671" s="135" t="s">
        <v>1591</v>
      </c>
      <c r="C671" s="95">
        <v>1</v>
      </c>
      <c r="D671" s="110" t="s">
        <v>75</v>
      </c>
      <c r="E671" s="146" t="s">
        <v>1590</v>
      </c>
      <c r="F671" s="96">
        <v>1643.25</v>
      </c>
      <c r="G671" s="141">
        <f t="shared" si="156"/>
        <v>0.1065</v>
      </c>
      <c r="H671" s="145">
        <f t="shared" si="151"/>
        <v>1468.2438750000001</v>
      </c>
      <c r="I671" s="95" t="s">
        <v>1561</v>
      </c>
      <c r="J671" s="279">
        <v>23</v>
      </c>
      <c r="K671" s="122">
        <f t="shared" si="152"/>
        <v>1491.2438750000001</v>
      </c>
      <c r="L671" s="99">
        <v>14</v>
      </c>
      <c r="M671" s="99">
        <v>0.25</v>
      </c>
      <c r="N671" s="52" t="s">
        <v>75</v>
      </c>
      <c r="O671" s="55" t="s">
        <v>1589</v>
      </c>
      <c r="P671" s="14" t="s">
        <v>1351</v>
      </c>
      <c r="Q671" s="205" t="s">
        <v>80</v>
      </c>
      <c r="R671" s="1">
        <f t="shared" si="145"/>
        <v>295.24726984595162</v>
      </c>
      <c r="S671" s="1">
        <f t="shared" si="145"/>
        <v>151.06293918802282</v>
      </c>
      <c r="T671" s="1">
        <f t="shared" si="145"/>
        <v>108.35668665694263</v>
      </c>
      <c r="U671" s="1">
        <f t="shared" si="145"/>
        <v>92.826028184323746</v>
      </c>
      <c r="V671" s="93" t="s">
        <v>1590</v>
      </c>
      <c r="W671" s="135" t="s">
        <v>1591</v>
      </c>
      <c r="X671" s="95">
        <v>1</v>
      </c>
      <c r="Y671" s="110" t="s">
        <v>75</v>
      </c>
      <c r="Z671" s="146" t="s">
        <v>1590</v>
      </c>
      <c r="AA671" s="96">
        <v>1643.25</v>
      </c>
      <c r="AB671" s="141">
        <f t="shared" si="153"/>
        <v>0.1065</v>
      </c>
      <c r="AC671" s="145">
        <f t="shared" si="154"/>
        <v>1468.2438750000001</v>
      </c>
      <c r="AD671" s="95" t="s">
        <v>1561</v>
      </c>
      <c r="AE671" s="279">
        <v>23</v>
      </c>
      <c r="AF671" s="122">
        <f t="shared" si="155"/>
        <v>1491.2438750000001</v>
      </c>
      <c r="AG671" s="99">
        <v>14</v>
      </c>
      <c r="AH671" s="99">
        <v>0.25</v>
      </c>
      <c r="AI671" s="52" t="s">
        <v>75</v>
      </c>
      <c r="AJ671" s="55" t="s">
        <v>1589</v>
      </c>
      <c r="AK671" s="14" t="s">
        <v>1351</v>
      </c>
      <c r="AL671" s="14" t="s">
        <v>80</v>
      </c>
    </row>
    <row r="672" spans="1:38" s="280" customFormat="1">
      <c r="A672" s="93" t="s">
        <v>1592</v>
      </c>
      <c r="B672" s="135" t="s">
        <v>1593</v>
      </c>
      <c r="C672" s="95">
        <v>1</v>
      </c>
      <c r="D672" s="110" t="s">
        <v>75</v>
      </c>
      <c r="E672" s="146" t="s">
        <v>1592</v>
      </c>
      <c r="F672" s="96">
        <v>1143.25</v>
      </c>
      <c r="G672" s="141">
        <f t="shared" si="150"/>
        <v>0.1065</v>
      </c>
      <c r="H672" s="145">
        <f t="shared" si="151"/>
        <v>1021.493875</v>
      </c>
      <c r="I672" s="95" t="s">
        <v>1561</v>
      </c>
      <c r="J672" s="279">
        <v>23</v>
      </c>
      <c r="K672" s="122">
        <f t="shared" si="152"/>
        <v>1044.4938750000001</v>
      </c>
      <c r="L672" s="99">
        <v>14</v>
      </c>
      <c r="M672" s="99">
        <v>0.25</v>
      </c>
      <c r="N672" s="258" t="s">
        <v>75</v>
      </c>
      <c r="O672" s="55" t="s">
        <v>1594</v>
      </c>
      <c r="P672" s="14" t="s">
        <v>1351</v>
      </c>
      <c r="Q672" s="205" t="s">
        <v>80</v>
      </c>
      <c r="R672" s="1">
        <f t="shared" si="145"/>
        <v>206.79646712015409</v>
      </c>
      <c r="S672" s="1">
        <f t="shared" si="145"/>
        <v>105.80718376555767</v>
      </c>
      <c r="T672" s="1">
        <f t="shared" si="145"/>
        <v>75.894960861764346</v>
      </c>
      <c r="U672" s="1">
        <f t="shared" si="145"/>
        <v>65.017009963647652</v>
      </c>
      <c r="V672" s="93" t="s">
        <v>1592</v>
      </c>
      <c r="W672" s="135" t="s">
        <v>1593</v>
      </c>
      <c r="X672" s="95">
        <v>1</v>
      </c>
      <c r="Y672" s="110" t="s">
        <v>75</v>
      </c>
      <c r="Z672" s="146" t="s">
        <v>1592</v>
      </c>
      <c r="AA672" s="96">
        <v>1143.25</v>
      </c>
      <c r="AB672" s="141">
        <f t="shared" si="153"/>
        <v>0.1065</v>
      </c>
      <c r="AC672" s="145">
        <f t="shared" si="154"/>
        <v>1021.493875</v>
      </c>
      <c r="AD672" s="95" t="s">
        <v>1561</v>
      </c>
      <c r="AE672" s="279">
        <v>23</v>
      </c>
      <c r="AF672" s="122">
        <f t="shared" si="155"/>
        <v>1044.4938750000001</v>
      </c>
      <c r="AG672" s="99">
        <v>14</v>
      </c>
      <c r="AH672" s="99">
        <v>0.25</v>
      </c>
      <c r="AI672" s="258" t="s">
        <v>75</v>
      </c>
      <c r="AJ672" s="55" t="s">
        <v>1594</v>
      </c>
      <c r="AK672" s="14" t="s">
        <v>1351</v>
      </c>
      <c r="AL672" s="14" t="s">
        <v>80</v>
      </c>
    </row>
    <row r="673" spans="1:38" s="280" customFormat="1">
      <c r="A673" s="93" t="s">
        <v>1595</v>
      </c>
      <c r="B673" s="135" t="s">
        <v>1596</v>
      </c>
      <c r="C673" s="95">
        <v>1</v>
      </c>
      <c r="D673" s="110" t="s">
        <v>75</v>
      </c>
      <c r="E673" s="146" t="s">
        <v>1595</v>
      </c>
      <c r="F673" s="96">
        <v>1143.25</v>
      </c>
      <c r="G673" s="141">
        <f t="shared" si="150"/>
        <v>0.1065</v>
      </c>
      <c r="H673" s="145">
        <f t="shared" si="151"/>
        <v>1021.493875</v>
      </c>
      <c r="I673" s="95" t="s">
        <v>1561</v>
      </c>
      <c r="J673" s="279">
        <v>23</v>
      </c>
      <c r="K673" s="122">
        <f t="shared" si="152"/>
        <v>1044.4938750000001</v>
      </c>
      <c r="L673" s="99">
        <v>14</v>
      </c>
      <c r="M673" s="99">
        <v>0.25</v>
      </c>
      <c r="N673" s="258" t="s">
        <v>75</v>
      </c>
      <c r="O673" s="55" t="s">
        <v>1594</v>
      </c>
      <c r="P673" s="14" t="s">
        <v>1351</v>
      </c>
      <c r="Q673" s="205" t="s">
        <v>80</v>
      </c>
      <c r="R673" s="1">
        <f t="shared" si="145"/>
        <v>206.79646712015409</v>
      </c>
      <c r="S673" s="1">
        <f t="shared" si="145"/>
        <v>105.80718376555767</v>
      </c>
      <c r="T673" s="1">
        <f t="shared" si="145"/>
        <v>75.894960861764346</v>
      </c>
      <c r="U673" s="1">
        <f t="shared" si="145"/>
        <v>65.017009963647652</v>
      </c>
      <c r="V673" s="93" t="s">
        <v>1595</v>
      </c>
      <c r="W673" s="135" t="s">
        <v>1596</v>
      </c>
      <c r="X673" s="95">
        <v>1</v>
      </c>
      <c r="Y673" s="110" t="s">
        <v>75</v>
      </c>
      <c r="Z673" s="146" t="s">
        <v>1595</v>
      </c>
      <c r="AA673" s="96">
        <v>1143.25</v>
      </c>
      <c r="AB673" s="141">
        <f t="shared" si="153"/>
        <v>0.1065</v>
      </c>
      <c r="AC673" s="145">
        <f t="shared" si="154"/>
        <v>1021.493875</v>
      </c>
      <c r="AD673" s="95" t="s">
        <v>1561</v>
      </c>
      <c r="AE673" s="279">
        <v>23</v>
      </c>
      <c r="AF673" s="122">
        <f t="shared" si="155"/>
        <v>1044.4938750000001</v>
      </c>
      <c r="AG673" s="99">
        <v>14</v>
      </c>
      <c r="AH673" s="99">
        <v>0.25</v>
      </c>
      <c r="AI673" s="258" t="s">
        <v>75</v>
      </c>
      <c r="AJ673" s="55" t="s">
        <v>1594</v>
      </c>
      <c r="AK673" s="14" t="s">
        <v>1351</v>
      </c>
      <c r="AL673" s="14" t="s">
        <v>80</v>
      </c>
    </row>
    <row r="674" spans="1:38" s="280" customFormat="1">
      <c r="A674" s="93" t="s">
        <v>1597</v>
      </c>
      <c r="B674" s="135" t="s">
        <v>1598</v>
      </c>
      <c r="C674" s="95">
        <v>1</v>
      </c>
      <c r="D674" s="110" t="s">
        <v>75</v>
      </c>
      <c r="E674" s="146" t="s">
        <v>1597</v>
      </c>
      <c r="F674" s="96">
        <v>1234.92</v>
      </c>
      <c r="G674" s="141">
        <f t="shared" si="150"/>
        <v>0.1065</v>
      </c>
      <c r="H674" s="145">
        <f t="shared" si="151"/>
        <v>1103.40102</v>
      </c>
      <c r="I674" s="95" t="s">
        <v>1561</v>
      </c>
      <c r="J674" s="279">
        <v>23</v>
      </c>
      <c r="K674" s="122">
        <f t="shared" si="152"/>
        <v>1126.40102</v>
      </c>
      <c r="L674" s="99">
        <v>14</v>
      </c>
      <c r="M674" s="99">
        <v>0.25</v>
      </c>
      <c r="N674" s="258" t="s">
        <v>75</v>
      </c>
      <c r="O674" s="55" t="s">
        <v>1599</v>
      </c>
      <c r="P674" s="14" t="s">
        <v>1351</v>
      </c>
      <c r="Q674" s="205" t="s">
        <v>80</v>
      </c>
      <c r="R674" s="1">
        <f t="shared" si="145"/>
        <v>223.01303729190178</v>
      </c>
      <c r="S674" s="1">
        <f t="shared" si="145"/>
        <v>114.10437396471242</v>
      </c>
      <c r="T674" s="1">
        <f t="shared" si="145"/>
        <v>81.846493669052322</v>
      </c>
      <c r="U674" s="1">
        <f t="shared" si="145"/>
        <v>70.115515364226397</v>
      </c>
      <c r="V674" s="93" t="s">
        <v>1597</v>
      </c>
      <c r="W674" s="135" t="s">
        <v>1598</v>
      </c>
      <c r="X674" s="95">
        <v>1</v>
      </c>
      <c r="Y674" s="110" t="s">
        <v>75</v>
      </c>
      <c r="Z674" s="146" t="s">
        <v>1597</v>
      </c>
      <c r="AA674" s="96">
        <v>1234.92</v>
      </c>
      <c r="AB674" s="141">
        <f t="shared" si="153"/>
        <v>0.1065</v>
      </c>
      <c r="AC674" s="145">
        <f t="shared" si="154"/>
        <v>1103.40102</v>
      </c>
      <c r="AD674" s="95" t="s">
        <v>1561</v>
      </c>
      <c r="AE674" s="279">
        <v>23</v>
      </c>
      <c r="AF674" s="122">
        <f t="shared" si="155"/>
        <v>1126.40102</v>
      </c>
      <c r="AG674" s="99">
        <v>14</v>
      </c>
      <c r="AH674" s="99">
        <v>0.25</v>
      </c>
      <c r="AI674" s="258" t="s">
        <v>75</v>
      </c>
      <c r="AJ674" s="55" t="s">
        <v>1599</v>
      </c>
      <c r="AK674" s="14" t="s">
        <v>1351</v>
      </c>
      <c r="AL674" s="14" t="s">
        <v>80</v>
      </c>
    </row>
    <row r="675" spans="1:38" s="280" customFormat="1">
      <c r="A675" s="93" t="s">
        <v>1600</v>
      </c>
      <c r="B675" s="135" t="s">
        <v>1601</v>
      </c>
      <c r="C675" s="95">
        <v>1</v>
      </c>
      <c r="D675" s="110" t="s">
        <v>75</v>
      </c>
      <c r="E675" s="146" t="s">
        <v>1600</v>
      </c>
      <c r="F675" s="96">
        <v>1234.92</v>
      </c>
      <c r="G675" s="141">
        <f t="shared" si="150"/>
        <v>0.1065</v>
      </c>
      <c r="H675" s="145">
        <f t="shared" si="151"/>
        <v>1103.40102</v>
      </c>
      <c r="I675" s="95" t="s">
        <v>1561</v>
      </c>
      <c r="J675" s="279">
        <v>23</v>
      </c>
      <c r="K675" s="122">
        <f t="shared" si="152"/>
        <v>1126.40102</v>
      </c>
      <c r="L675" s="99">
        <v>14</v>
      </c>
      <c r="M675" s="99">
        <v>0.25</v>
      </c>
      <c r="N675" s="258" t="s">
        <v>75</v>
      </c>
      <c r="O675" s="55" t="s">
        <v>1599</v>
      </c>
      <c r="P675" s="14" t="s">
        <v>1351</v>
      </c>
      <c r="Q675" s="205" t="s">
        <v>80</v>
      </c>
      <c r="R675" s="1">
        <f t="shared" si="145"/>
        <v>223.01303729190178</v>
      </c>
      <c r="S675" s="1">
        <f t="shared" si="145"/>
        <v>114.10437396471242</v>
      </c>
      <c r="T675" s="1">
        <f t="shared" si="145"/>
        <v>81.846493669052322</v>
      </c>
      <c r="U675" s="1">
        <f t="shared" si="145"/>
        <v>70.115515364226397</v>
      </c>
      <c r="V675" s="93" t="s">
        <v>1600</v>
      </c>
      <c r="W675" s="135" t="s">
        <v>1601</v>
      </c>
      <c r="X675" s="95">
        <v>1</v>
      </c>
      <c r="Y675" s="110" t="s">
        <v>75</v>
      </c>
      <c r="Z675" s="146" t="s">
        <v>1600</v>
      </c>
      <c r="AA675" s="96">
        <v>1234.92</v>
      </c>
      <c r="AB675" s="141">
        <f t="shared" si="153"/>
        <v>0.1065</v>
      </c>
      <c r="AC675" s="145">
        <f t="shared" si="154"/>
        <v>1103.40102</v>
      </c>
      <c r="AD675" s="95" t="s">
        <v>1561</v>
      </c>
      <c r="AE675" s="279">
        <v>23</v>
      </c>
      <c r="AF675" s="122">
        <f t="shared" si="155"/>
        <v>1126.40102</v>
      </c>
      <c r="AG675" s="99">
        <v>14</v>
      </c>
      <c r="AH675" s="99">
        <v>0.25</v>
      </c>
      <c r="AI675" s="258" t="s">
        <v>75</v>
      </c>
      <c r="AJ675" s="55" t="s">
        <v>1599</v>
      </c>
      <c r="AK675" s="14" t="s">
        <v>1351</v>
      </c>
      <c r="AL675" s="14" t="s">
        <v>80</v>
      </c>
    </row>
    <row r="676" spans="1:38" s="280" customFormat="1">
      <c r="A676" s="93" t="s">
        <v>1602</v>
      </c>
      <c r="B676" s="135" t="s">
        <v>1603</v>
      </c>
      <c r="C676" s="95">
        <v>1</v>
      </c>
      <c r="D676" s="110" t="s">
        <v>75</v>
      </c>
      <c r="E676" s="146" t="s">
        <v>1602</v>
      </c>
      <c r="F676" s="96">
        <v>1418.25</v>
      </c>
      <c r="G676" s="141">
        <f t="shared" si="150"/>
        <v>0.1065</v>
      </c>
      <c r="H676" s="145">
        <f t="shared" si="151"/>
        <v>1267.206375</v>
      </c>
      <c r="I676" s="95" t="s">
        <v>1561</v>
      </c>
      <c r="J676" s="279">
        <v>23</v>
      </c>
      <c r="K676" s="122">
        <f t="shared" si="152"/>
        <v>1290.206375</v>
      </c>
      <c r="L676" s="99">
        <v>14</v>
      </c>
      <c r="M676" s="99">
        <v>0.25</v>
      </c>
      <c r="N676" s="258" t="s">
        <v>75</v>
      </c>
      <c r="O676" s="55" t="s">
        <v>1604</v>
      </c>
      <c r="P676" s="14" t="s">
        <v>1351</v>
      </c>
      <c r="Q676" s="205" t="s">
        <v>80</v>
      </c>
      <c r="R676" s="1">
        <f t="shared" si="145"/>
        <v>255.44440861934271</v>
      </c>
      <c r="S676" s="1">
        <f t="shared" si="145"/>
        <v>130.6978492479135</v>
      </c>
      <c r="T676" s="1">
        <f t="shared" si="145"/>
        <v>93.748910049112396</v>
      </c>
      <c r="U676" s="1">
        <f t="shared" si="145"/>
        <v>80.311969985019488</v>
      </c>
      <c r="V676" s="93" t="s">
        <v>1602</v>
      </c>
      <c r="W676" s="135" t="s">
        <v>1603</v>
      </c>
      <c r="X676" s="95">
        <v>1</v>
      </c>
      <c r="Y676" s="110" t="s">
        <v>75</v>
      </c>
      <c r="Z676" s="146" t="s">
        <v>1602</v>
      </c>
      <c r="AA676" s="96">
        <v>1418.25</v>
      </c>
      <c r="AB676" s="141">
        <f t="shared" si="153"/>
        <v>0.1065</v>
      </c>
      <c r="AC676" s="145">
        <f t="shared" si="154"/>
        <v>1267.206375</v>
      </c>
      <c r="AD676" s="95" t="s">
        <v>1561</v>
      </c>
      <c r="AE676" s="279">
        <v>23</v>
      </c>
      <c r="AF676" s="122">
        <f t="shared" si="155"/>
        <v>1290.206375</v>
      </c>
      <c r="AG676" s="99">
        <v>14</v>
      </c>
      <c r="AH676" s="99">
        <v>0.25</v>
      </c>
      <c r="AI676" s="258" t="s">
        <v>75</v>
      </c>
      <c r="AJ676" s="55" t="s">
        <v>1604</v>
      </c>
      <c r="AK676" s="14" t="s">
        <v>1351</v>
      </c>
      <c r="AL676" s="14" t="s">
        <v>80</v>
      </c>
    </row>
    <row r="677" spans="1:38" s="280" customFormat="1">
      <c r="A677" s="93" t="s">
        <v>1605</v>
      </c>
      <c r="B677" s="135" t="s">
        <v>1606</v>
      </c>
      <c r="C677" s="95">
        <v>1</v>
      </c>
      <c r="D677" s="110" t="s">
        <v>75</v>
      </c>
      <c r="E677" s="146" t="s">
        <v>1605</v>
      </c>
      <c r="F677" s="96">
        <v>1418.25</v>
      </c>
      <c r="G677" s="141">
        <f t="shared" si="150"/>
        <v>0.1065</v>
      </c>
      <c r="H677" s="145">
        <f t="shared" si="151"/>
        <v>1267.206375</v>
      </c>
      <c r="I677" s="95" t="s">
        <v>1561</v>
      </c>
      <c r="J677" s="279">
        <v>23</v>
      </c>
      <c r="K677" s="122">
        <f t="shared" si="152"/>
        <v>1290.206375</v>
      </c>
      <c r="L677" s="99">
        <v>14</v>
      </c>
      <c r="M677" s="99">
        <v>0.25</v>
      </c>
      <c r="N677" s="258" t="s">
        <v>75</v>
      </c>
      <c r="O677" s="55" t="s">
        <v>1604</v>
      </c>
      <c r="P677" s="14" t="s">
        <v>1351</v>
      </c>
      <c r="Q677" s="205" t="s">
        <v>80</v>
      </c>
      <c r="R677" s="1">
        <f t="shared" si="145"/>
        <v>255.44440861934271</v>
      </c>
      <c r="S677" s="1">
        <f t="shared" si="145"/>
        <v>130.6978492479135</v>
      </c>
      <c r="T677" s="1">
        <f t="shared" si="145"/>
        <v>93.748910049112396</v>
      </c>
      <c r="U677" s="1">
        <f t="shared" si="145"/>
        <v>80.311969985019488</v>
      </c>
      <c r="V677" s="93" t="s">
        <v>1605</v>
      </c>
      <c r="W677" s="135" t="s">
        <v>1606</v>
      </c>
      <c r="X677" s="95">
        <v>1</v>
      </c>
      <c r="Y677" s="110" t="s">
        <v>75</v>
      </c>
      <c r="Z677" s="146" t="s">
        <v>1605</v>
      </c>
      <c r="AA677" s="96">
        <v>1418.25</v>
      </c>
      <c r="AB677" s="141">
        <f t="shared" si="153"/>
        <v>0.1065</v>
      </c>
      <c r="AC677" s="145">
        <f t="shared" si="154"/>
        <v>1267.206375</v>
      </c>
      <c r="AD677" s="95" t="s">
        <v>1561</v>
      </c>
      <c r="AE677" s="279">
        <v>23</v>
      </c>
      <c r="AF677" s="122">
        <f t="shared" si="155"/>
        <v>1290.206375</v>
      </c>
      <c r="AG677" s="99">
        <v>14</v>
      </c>
      <c r="AH677" s="99">
        <v>0.25</v>
      </c>
      <c r="AI677" s="258" t="s">
        <v>75</v>
      </c>
      <c r="AJ677" s="55" t="s">
        <v>1604</v>
      </c>
      <c r="AK677" s="14" t="s">
        <v>1351</v>
      </c>
      <c r="AL677" s="14" t="s">
        <v>80</v>
      </c>
    </row>
    <row r="678" spans="1:38" s="280" customFormat="1">
      <c r="A678" s="93" t="s">
        <v>1607</v>
      </c>
      <c r="B678" s="135" t="s">
        <v>1608</v>
      </c>
      <c r="C678" s="95">
        <v>1</v>
      </c>
      <c r="D678" s="110" t="s">
        <v>75</v>
      </c>
      <c r="E678" s="146" t="s">
        <v>1607</v>
      </c>
      <c r="F678" s="96">
        <v>1784.92</v>
      </c>
      <c r="G678" s="141">
        <f t="shared" ref="G678:G679" si="157">rv_ipp12</f>
        <v>0.1065</v>
      </c>
      <c r="H678" s="145">
        <f t="shared" si="151"/>
        <v>1594.82602</v>
      </c>
      <c r="I678" s="95" t="s">
        <v>1561</v>
      </c>
      <c r="J678" s="279">
        <v>23</v>
      </c>
      <c r="K678" s="122">
        <f t="shared" si="152"/>
        <v>1617.82602</v>
      </c>
      <c r="L678" s="99">
        <v>14</v>
      </c>
      <c r="M678" s="99">
        <v>0.25</v>
      </c>
      <c r="N678" s="52" t="s">
        <v>75</v>
      </c>
      <c r="O678" s="55" t="s">
        <v>1609</v>
      </c>
      <c r="P678" s="230" t="s">
        <v>1351</v>
      </c>
      <c r="Q678" s="205" t="s">
        <v>80</v>
      </c>
      <c r="R678" s="1">
        <f t="shared" si="145"/>
        <v>320.3089202902791</v>
      </c>
      <c r="S678" s="1">
        <f t="shared" si="145"/>
        <v>163.88570492942409</v>
      </c>
      <c r="T678" s="1">
        <f t="shared" si="145"/>
        <v>117.55439204374844</v>
      </c>
      <c r="U678" s="1">
        <f t="shared" si="145"/>
        <v>100.7054354069701</v>
      </c>
      <c r="V678" s="93" t="s">
        <v>1607</v>
      </c>
      <c r="W678" s="135" t="s">
        <v>1608</v>
      </c>
      <c r="X678" s="95">
        <v>1</v>
      </c>
      <c r="Y678" s="110" t="s">
        <v>75</v>
      </c>
      <c r="Z678" s="146" t="s">
        <v>1607</v>
      </c>
      <c r="AA678" s="96">
        <v>1784.92</v>
      </c>
      <c r="AB678" s="141">
        <f t="shared" si="153"/>
        <v>0.1065</v>
      </c>
      <c r="AC678" s="145">
        <f t="shared" si="154"/>
        <v>1594.82602</v>
      </c>
      <c r="AD678" s="95" t="s">
        <v>1561</v>
      </c>
      <c r="AE678" s="279">
        <v>23</v>
      </c>
      <c r="AF678" s="122">
        <f t="shared" si="155"/>
        <v>1617.82602</v>
      </c>
      <c r="AG678" s="99">
        <v>14</v>
      </c>
      <c r="AH678" s="99">
        <v>0.25</v>
      </c>
      <c r="AI678" s="52" t="s">
        <v>75</v>
      </c>
      <c r="AJ678" s="55" t="s">
        <v>1609</v>
      </c>
      <c r="AK678" s="14" t="s">
        <v>1533</v>
      </c>
      <c r="AL678" s="14" t="s">
        <v>1534</v>
      </c>
    </row>
    <row r="679" spans="1:38" s="280" customFormat="1">
      <c r="A679" s="93" t="s">
        <v>1610</v>
      </c>
      <c r="B679" s="637" t="s">
        <v>1611</v>
      </c>
      <c r="C679" s="95">
        <v>1</v>
      </c>
      <c r="D679" s="110" t="s">
        <v>75</v>
      </c>
      <c r="E679" s="146" t="s">
        <v>1610</v>
      </c>
      <c r="F679" s="96">
        <v>1784.92</v>
      </c>
      <c r="G679" s="141">
        <f t="shared" si="157"/>
        <v>0.1065</v>
      </c>
      <c r="H679" s="145">
        <f t="shared" si="151"/>
        <v>1594.82602</v>
      </c>
      <c r="I679" s="95" t="s">
        <v>1561</v>
      </c>
      <c r="J679" s="279">
        <v>23</v>
      </c>
      <c r="K679" s="122">
        <f t="shared" si="152"/>
        <v>1617.82602</v>
      </c>
      <c r="L679" s="99">
        <v>14</v>
      </c>
      <c r="M679" s="99">
        <v>0.25</v>
      </c>
      <c r="N679" s="52" t="s">
        <v>75</v>
      </c>
      <c r="O679" s="55" t="s">
        <v>1609</v>
      </c>
      <c r="P679" s="230" t="s">
        <v>1351</v>
      </c>
      <c r="Q679" s="205" t="s">
        <v>80</v>
      </c>
      <c r="R679" s="1">
        <f t="shared" si="145"/>
        <v>320.3089202902791</v>
      </c>
      <c r="S679" s="1">
        <f t="shared" si="145"/>
        <v>163.88570492942409</v>
      </c>
      <c r="T679" s="1">
        <f t="shared" si="145"/>
        <v>117.55439204374844</v>
      </c>
      <c r="U679" s="1">
        <f t="shared" si="145"/>
        <v>100.7054354069701</v>
      </c>
      <c r="V679" s="93" t="s">
        <v>1610</v>
      </c>
      <c r="W679" s="135" t="s">
        <v>1611</v>
      </c>
      <c r="X679" s="95">
        <v>1</v>
      </c>
      <c r="Y679" s="110" t="s">
        <v>75</v>
      </c>
      <c r="Z679" s="146" t="s">
        <v>1610</v>
      </c>
      <c r="AA679" s="96">
        <v>1784.92</v>
      </c>
      <c r="AB679" s="141">
        <f t="shared" si="153"/>
        <v>0.1065</v>
      </c>
      <c r="AC679" s="145">
        <f t="shared" si="154"/>
        <v>1594.82602</v>
      </c>
      <c r="AD679" s="95" t="s">
        <v>1561</v>
      </c>
      <c r="AE679" s="279">
        <v>23</v>
      </c>
      <c r="AF679" s="122">
        <f t="shared" si="155"/>
        <v>1617.82602</v>
      </c>
      <c r="AG679" s="99">
        <v>14</v>
      </c>
      <c r="AH679" s="99">
        <v>0.25</v>
      </c>
      <c r="AI679" s="52" t="s">
        <v>75</v>
      </c>
      <c r="AJ679" s="55" t="s">
        <v>1609</v>
      </c>
      <c r="AK679" s="14" t="s">
        <v>1537</v>
      </c>
      <c r="AL679" s="14" t="s">
        <v>1538</v>
      </c>
    </row>
    <row r="680" spans="1:38" ht="41.1" customHeight="1">
      <c r="A680" s="676" t="s">
        <v>3466</v>
      </c>
      <c r="B680" s="676"/>
      <c r="D680" s="63"/>
      <c r="E680" s="1"/>
      <c r="F680" s="23"/>
      <c r="G680" s="228"/>
      <c r="H680" s="23"/>
      <c r="I680" s="220"/>
      <c r="L680" s="1"/>
      <c r="O680" s="1"/>
      <c r="R680" s="220"/>
      <c r="S680" s="220"/>
      <c r="T680" s="220"/>
      <c r="U680" s="220"/>
      <c r="V680" s="93"/>
      <c r="X680" s="62"/>
      <c r="Y680" s="62"/>
      <c r="Z680" s="1"/>
      <c r="AA680" s="1"/>
      <c r="AB680" s="228"/>
      <c r="AC680" s="1"/>
      <c r="AD680" s="220"/>
      <c r="AE680" s="1"/>
      <c r="AF680" s="1"/>
      <c r="AG680" s="1"/>
      <c r="AH680" s="62"/>
      <c r="AI680" s="229"/>
      <c r="AJ680" s="1"/>
      <c r="AK680" s="220"/>
      <c r="AL680" s="220"/>
    </row>
    <row r="681" spans="1:38">
      <c r="A681" s="617" t="s">
        <v>3317</v>
      </c>
      <c r="B681" s="638" t="s">
        <v>3318</v>
      </c>
      <c r="C681" s="619">
        <v>1</v>
      </c>
      <c r="D681" s="620" t="s">
        <v>75</v>
      </c>
      <c r="E681" s="621" t="s">
        <v>3317</v>
      </c>
      <c r="F681" s="622">
        <v>165.83</v>
      </c>
      <c r="G681" s="633">
        <f>rv_mba_mg</f>
        <v>0.17599999999999999</v>
      </c>
      <c r="H681" s="634">
        <f t="shared" ref="H681" si="158">F681-(F681*G681)</f>
        <v>136.64392000000001</v>
      </c>
      <c r="I681" s="493"/>
      <c r="J681" s="492"/>
      <c r="K681" s="492"/>
      <c r="L681" s="1"/>
      <c r="O681" s="1"/>
      <c r="R681" s="220"/>
      <c r="S681" s="220"/>
      <c r="T681" s="220"/>
      <c r="U681" s="220"/>
      <c r="V681" s="93"/>
      <c r="X681" s="62"/>
      <c r="Y681" s="62"/>
      <c r="Z681" s="1"/>
      <c r="AA681" s="1"/>
      <c r="AB681" s="228"/>
      <c r="AC681" s="1"/>
      <c r="AD681" s="220"/>
      <c r="AE681" s="1"/>
      <c r="AF681" s="1"/>
      <c r="AG681" s="1"/>
      <c r="AH681" s="62"/>
      <c r="AI681" s="229"/>
      <c r="AJ681" s="1"/>
      <c r="AK681" s="220"/>
      <c r="AL681" s="220"/>
    </row>
    <row r="682" spans="1:38" s="489" customFormat="1" ht="12.95" customHeight="1">
      <c r="A682" s="625" t="s">
        <v>3421</v>
      </c>
      <c r="B682" s="639" t="s">
        <v>3422</v>
      </c>
      <c r="C682" s="627">
        <v>1</v>
      </c>
      <c r="D682" s="628" t="s">
        <v>75</v>
      </c>
      <c r="E682" s="629" t="s">
        <v>3423</v>
      </c>
      <c r="F682" s="630">
        <v>207.5</v>
      </c>
      <c r="G682" s="631">
        <f>rv_mbp14_eg</f>
        <v>0.17599999999999999</v>
      </c>
      <c r="H682" s="632">
        <f t="shared" ref="H682:H687" si="159">F682-(F682*G682)</f>
        <v>170.98000000000002</v>
      </c>
      <c r="I682" s="493"/>
      <c r="J682" s="492"/>
      <c r="K682" s="492"/>
      <c r="L682" s="491" t="s">
        <v>77</v>
      </c>
      <c r="M682" s="491" t="s">
        <v>77</v>
      </c>
      <c r="N682" s="495" t="s">
        <v>75</v>
      </c>
      <c r="O682" s="635" t="s">
        <v>84</v>
      </c>
      <c r="P682" s="486" t="s">
        <v>85</v>
      </c>
      <c r="Q682" s="636" t="s">
        <v>86</v>
      </c>
      <c r="V682" s="93"/>
    </row>
    <row r="683" spans="1:38" s="489" customFormat="1" ht="12.95" customHeight="1">
      <c r="A683" s="625" t="s">
        <v>3319</v>
      </c>
      <c r="B683" s="626" t="s">
        <v>3320</v>
      </c>
      <c r="C683" s="627">
        <v>1</v>
      </c>
      <c r="D683" s="628" t="s">
        <v>75</v>
      </c>
      <c r="E683" s="629" t="s">
        <v>3319</v>
      </c>
      <c r="F683" s="630">
        <v>207.5</v>
      </c>
      <c r="G683" s="631">
        <f>rv_mbp14_eg</f>
        <v>0.17599999999999999</v>
      </c>
      <c r="H683" s="632">
        <f t="shared" si="159"/>
        <v>170.98000000000002</v>
      </c>
      <c r="I683" s="493"/>
      <c r="J683" s="492"/>
      <c r="K683" s="492"/>
      <c r="L683" s="491" t="s">
        <v>77</v>
      </c>
      <c r="M683" s="491" t="s">
        <v>77</v>
      </c>
      <c r="N683" s="490" t="s">
        <v>75</v>
      </c>
      <c r="O683" s="488" t="s">
        <v>84</v>
      </c>
      <c r="P683" s="487" t="s">
        <v>85</v>
      </c>
      <c r="Q683" s="486" t="s">
        <v>86</v>
      </c>
      <c r="V683" s="93"/>
    </row>
    <row r="684" spans="1:38" s="489" customFormat="1" ht="12.95" customHeight="1">
      <c r="A684" s="617" t="s">
        <v>3321</v>
      </c>
      <c r="B684" s="618" t="s">
        <v>3322</v>
      </c>
      <c r="C684" s="619">
        <v>1</v>
      </c>
      <c r="D684" s="620" t="s">
        <v>75</v>
      </c>
      <c r="E684" s="621" t="s">
        <v>3321</v>
      </c>
      <c r="F684" s="622">
        <v>290.83</v>
      </c>
      <c r="G684" s="623">
        <f>rv_mbp16_eg</f>
        <v>0.17599999999999999</v>
      </c>
      <c r="H684" s="624">
        <f t="shared" si="159"/>
        <v>239.64391999999998</v>
      </c>
      <c r="I684" s="493"/>
      <c r="J684" s="492"/>
      <c r="K684" s="492"/>
      <c r="L684" s="491" t="s">
        <v>77</v>
      </c>
      <c r="M684" s="491" t="s">
        <v>77</v>
      </c>
      <c r="N684" s="490" t="s">
        <v>75</v>
      </c>
      <c r="O684" s="488" t="s">
        <v>84</v>
      </c>
      <c r="P684" s="487" t="s">
        <v>85</v>
      </c>
      <c r="Q684" s="486" t="s">
        <v>86</v>
      </c>
      <c r="V684" s="93"/>
    </row>
    <row r="685" spans="1:38" s="489" customFormat="1" ht="12.95" customHeight="1">
      <c r="A685" s="617" t="s">
        <v>3323</v>
      </c>
      <c r="B685" s="618" t="s">
        <v>3324</v>
      </c>
      <c r="C685" s="619">
        <v>1</v>
      </c>
      <c r="D685" s="620" t="s">
        <v>75</v>
      </c>
      <c r="E685" s="621" t="s">
        <v>3323</v>
      </c>
      <c r="F685" s="622">
        <v>74.16</v>
      </c>
      <c r="G685" s="623">
        <v>0.16500000000000001</v>
      </c>
      <c r="H685" s="624">
        <f t="shared" si="159"/>
        <v>61.923599999999993</v>
      </c>
      <c r="I685" s="493"/>
      <c r="J685" s="492"/>
      <c r="K685" s="492"/>
      <c r="L685" s="491" t="s">
        <v>77</v>
      </c>
      <c r="M685" s="491" t="s">
        <v>77</v>
      </c>
      <c r="N685" s="490" t="s">
        <v>75</v>
      </c>
      <c r="O685" s="488" t="s">
        <v>84</v>
      </c>
      <c r="P685" s="487" t="s">
        <v>85</v>
      </c>
      <c r="Q685" s="486" t="s">
        <v>86</v>
      </c>
      <c r="V685" s="93"/>
    </row>
    <row r="686" spans="1:38" s="489" customFormat="1" ht="12.95" customHeight="1">
      <c r="A686" s="617" t="s">
        <v>3325</v>
      </c>
      <c r="B686" s="618" t="s">
        <v>3326</v>
      </c>
      <c r="C686" s="619">
        <v>1</v>
      </c>
      <c r="D686" s="620" t="s">
        <v>75</v>
      </c>
      <c r="E686" s="621" t="s">
        <v>3325</v>
      </c>
      <c r="F686" s="622">
        <v>149</v>
      </c>
      <c r="G686" s="623">
        <f>rv_im21_hg</f>
        <v>0.17199999999999999</v>
      </c>
      <c r="H686" s="624">
        <f t="shared" si="159"/>
        <v>123.372</v>
      </c>
      <c r="I686" s="493"/>
      <c r="J686" s="492"/>
      <c r="K686" s="492"/>
      <c r="L686" s="491" t="s">
        <v>77</v>
      </c>
      <c r="M686" s="491" t="s">
        <v>77</v>
      </c>
      <c r="N686" s="490" t="s">
        <v>75</v>
      </c>
      <c r="O686" s="488" t="s">
        <v>84</v>
      </c>
      <c r="P686" s="487" t="s">
        <v>85</v>
      </c>
      <c r="Q686" s="486" t="s">
        <v>86</v>
      </c>
      <c r="V686" s="93"/>
    </row>
    <row r="687" spans="1:38" s="489" customFormat="1" ht="12.95" customHeight="1">
      <c r="A687" s="617" t="s">
        <v>3327</v>
      </c>
      <c r="B687" s="618" t="s">
        <v>3328</v>
      </c>
      <c r="C687" s="619">
        <v>1</v>
      </c>
      <c r="D687" s="620" t="s">
        <v>75</v>
      </c>
      <c r="E687" s="621" t="s">
        <v>3327</v>
      </c>
      <c r="F687" s="622">
        <v>290.83</v>
      </c>
      <c r="G687" s="623">
        <f>rv_mp_eg</f>
        <v>0.17199999999999999</v>
      </c>
      <c r="H687" s="624">
        <f t="shared" si="159"/>
        <v>240.80723999999998</v>
      </c>
      <c r="I687" s="493"/>
      <c r="J687" s="492"/>
      <c r="K687" s="492"/>
      <c r="L687" s="491" t="s">
        <v>77</v>
      </c>
      <c r="M687" s="491" t="s">
        <v>77</v>
      </c>
      <c r="N687" s="490" t="s">
        <v>75</v>
      </c>
      <c r="O687" s="488" t="s">
        <v>84</v>
      </c>
      <c r="P687" s="487" t="s">
        <v>85</v>
      </c>
      <c r="Q687" s="486" t="s">
        <v>86</v>
      </c>
      <c r="V687" s="93"/>
    </row>
    <row r="688" spans="1:38" s="489" customFormat="1" ht="12.95" customHeight="1">
      <c r="A688" s="617" t="s">
        <v>3329</v>
      </c>
      <c r="B688" s="618" t="s">
        <v>3330</v>
      </c>
      <c r="C688" s="619">
        <v>1</v>
      </c>
      <c r="D688" s="620" t="s">
        <v>75</v>
      </c>
      <c r="E688" s="621" t="s">
        <v>3329</v>
      </c>
      <c r="F688" s="622">
        <v>149.16999999999999</v>
      </c>
      <c r="G688" s="643">
        <f>rv_ms_eg</f>
        <v>0.17199999999999999</v>
      </c>
      <c r="H688" s="624">
        <f t="shared" ref="H688:H689" si="160">F688-(F688*G688)</f>
        <v>123.51275999999999</v>
      </c>
      <c r="I688" s="493"/>
      <c r="J688" s="492"/>
      <c r="K688" s="492"/>
      <c r="L688" s="491" t="s">
        <v>77</v>
      </c>
      <c r="M688" s="491" t="s">
        <v>77</v>
      </c>
      <c r="N688" s="490" t="s">
        <v>75</v>
      </c>
      <c r="O688" s="488" t="s">
        <v>84</v>
      </c>
      <c r="P688" s="487" t="s">
        <v>85</v>
      </c>
      <c r="Q688" s="486" t="s">
        <v>86</v>
      </c>
      <c r="V688" s="93"/>
    </row>
    <row r="689" spans="1:38" s="489" customFormat="1" ht="12.95" customHeight="1">
      <c r="A689" s="617" t="s">
        <v>3331</v>
      </c>
      <c r="B689" s="618" t="s">
        <v>3332</v>
      </c>
      <c r="C689" s="619">
        <v>1</v>
      </c>
      <c r="D689" s="620" t="s">
        <v>75</v>
      </c>
      <c r="E689" s="621" t="s">
        <v>3331</v>
      </c>
      <c r="F689" s="622">
        <v>115.83</v>
      </c>
      <c r="G689" s="643">
        <f t="shared" ref="G689" si="161">rv_ip97_hg</f>
        <v>0.1065</v>
      </c>
      <c r="H689" s="634">
        <f t="shared" si="160"/>
        <v>103.494105</v>
      </c>
      <c r="I689" s="493"/>
      <c r="J689" s="492"/>
      <c r="K689" s="492"/>
      <c r="L689" s="491" t="s">
        <v>77</v>
      </c>
      <c r="M689" s="491" t="s">
        <v>77</v>
      </c>
      <c r="N689" s="490" t="s">
        <v>75</v>
      </c>
      <c r="O689" s="488" t="s">
        <v>84</v>
      </c>
      <c r="P689" s="487" t="s">
        <v>85</v>
      </c>
      <c r="Q689" s="486" t="s">
        <v>86</v>
      </c>
      <c r="V689" s="93"/>
    </row>
    <row r="690" spans="1:38" s="533" customFormat="1">
      <c r="A690" s="617" t="s">
        <v>3424</v>
      </c>
      <c r="B690" s="618" t="s">
        <v>3465</v>
      </c>
      <c r="C690" s="640">
        <v>1</v>
      </c>
      <c r="D690" s="641" t="s">
        <v>82</v>
      </c>
      <c r="E690" s="642" t="s">
        <v>3424</v>
      </c>
      <c r="F690" s="642" t="s">
        <v>77</v>
      </c>
      <c r="G690" s="644">
        <v>0</v>
      </c>
      <c r="H690" s="642">
        <v>0</v>
      </c>
      <c r="M690" s="494"/>
    </row>
    <row r="691" spans="1:38">
      <c r="A691" s="186"/>
      <c r="C691" s="62"/>
      <c r="D691" s="62"/>
      <c r="E691" s="1"/>
      <c r="F691" s="1"/>
      <c r="G691" s="228"/>
      <c r="H691" s="1"/>
      <c r="I691" s="220"/>
      <c r="J691" s="1"/>
      <c r="K691" s="1"/>
      <c r="L691" s="1"/>
      <c r="M691" s="62"/>
      <c r="N691" s="229"/>
      <c r="O691" s="1"/>
      <c r="P691" s="220"/>
      <c r="Q691" s="220"/>
      <c r="R691" s="220"/>
      <c r="S691" s="220"/>
      <c r="T691" s="220"/>
      <c r="U691" s="220"/>
      <c r="V691" s="186"/>
      <c r="X691" s="62"/>
      <c r="Y691" s="62"/>
      <c r="Z691" s="1"/>
      <c r="AA691" s="1"/>
      <c r="AB691" s="228"/>
      <c r="AC691" s="1"/>
      <c r="AD691" s="220"/>
      <c r="AE691" s="1"/>
      <c r="AF691" s="1"/>
      <c r="AG691" s="1"/>
      <c r="AH691" s="62"/>
      <c r="AI691" s="229"/>
      <c r="AJ691" s="1"/>
      <c r="AK691" s="220"/>
      <c r="AL691" s="220"/>
    </row>
    <row r="692" spans="1:38">
      <c r="A692" s="186"/>
      <c r="C692" s="62"/>
      <c r="D692" s="62"/>
      <c r="E692" s="1"/>
      <c r="F692" s="1"/>
      <c r="G692" s="228"/>
      <c r="H692" s="1"/>
      <c r="I692" s="220"/>
      <c r="J692" s="1"/>
      <c r="K692" s="1"/>
      <c r="L692" s="1"/>
      <c r="M692" s="62"/>
      <c r="N692" s="229"/>
      <c r="O692" s="1"/>
      <c r="P692" s="220"/>
      <c r="Q692" s="220"/>
      <c r="R692" s="220"/>
      <c r="S692" s="220"/>
      <c r="T692" s="220"/>
      <c r="U692" s="220"/>
      <c r="V692" s="186"/>
      <c r="X692" s="62"/>
      <c r="Y692" s="62"/>
      <c r="Z692" s="1"/>
      <c r="AA692" s="1"/>
      <c r="AB692" s="228"/>
      <c r="AC692" s="1"/>
      <c r="AD692" s="220"/>
      <c r="AE692" s="1"/>
      <c r="AF692" s="1"/>
      <c r="AG692" s="1"/>
      <c r="AH692" s="62"/>
      <c r="AI692" s="229"/>
      <c r="AJ692" s="1"/>
      <c r="AK692" s="220"/>
      <c r="AL692" s="220"/>
    </row>
    <row r="693" spans="1:38">
      <c r="A693" s="186"/>
      <c r="C693" s="62"/>
      <c r="D693" s="62"/>
      <c r="E693" s="1"/>
      <c r="F693" s="1"/>
      <c r="G693" s="228"/>
      <c r="H693" s="1"/>
      <c r="I693" s="220"/>
      <c r="J693" s="1"/>
      <c r="K693" s="1"/>
      <c r="L693" s="1"/>
      <c r="M693" s="62"/>
      <c r="N693" s="229"/>
      <c r="O693" s="1"/>
      <c r="P693" s="220"/>
      <c r="Q693" s="220"/>
      <c r="R693" s="220"/>
      <c r="S693" s="220"/>
      <c r="T693" s="220"/>
      <c r="U693" s="220"/>
      <c r="V693" s="186"/>
      <c r="X693" s="62"/>
      <c r="Y693" s="62"/>
      <c r="Z693" s="1"/>
      <c r="AA693" s="1"/>
      <c r="AB693" s="228"/>
      <c r="AC693" s="1"/>
      <c r="AD693" s="220"/>
      <c r="AE693" s="1"/>
      <c r="AF693" s="1"/>
      <c r="AG693" s="1"/>
      <c r="AH693" s="62"/>
      <c r="AI693" s="229"/>
      <c r="AJ693" s="1"/>
      <c r="AK693" s="220"/>
      <c r="AL693" s="220"/>
    </row>
    <row r="694" spans="1:38">
      <c r="A694" s="186"/>
      <c r="C694" s="62"/>
      <c r="D694" s="62"/>
      <c r="E694" s="1"/>
      <c r="F694" s="1"/>
      <c r="G694" s="228"/>
      <c r="H694" s="1"/>
      <c r="I694" s="220"/>
      <c r="J694" s="1"/>
      <c r="K694" s="1"/>
      <c r="L694" s="1"/>
      <c r="M694" s="62"/>
      <c r="N694" s="229"/>
      <c r="O694" s="1"/>
      <c r="P694" s="220"/>
      <c r="Q694" s="220"/>
      <c r="R694" s="220"/>
      <c r="S694" s="220"/>
      <c r="T694" s="220"/>
      <c r="U694" s="220"/>
      <c r="V694" s="186"/>
      <c r="X694" s="62"/>
      <c r="Y694" s="62"/>
      <c r="Z694" s="1"/>
      <c r="AA694" s="1"/>
      <c r="AB694" s="228"/>
      <c r="AC694" s="1"/>
      <c r="AD694" s="220"/>
      <c r="AE694" s="1"/>
      <c r="AF694" s="1"/>
      <c r="AG694" s="1"/>
      <c r="AH694" s="62"/>
      <c r="AI694" s="229"/>
      <c r="AJ694" s="1"/>
      <c r="AK694" s="220"/>
      <c r="AL694" s="220"/>
    </row>
    <row r="695" spans="1:38">
      <c r="A695" s="186"/>
      <c r="C695" s="62"/>
      <c r="D695" s="62"/>
      <c r="E695" s="1"/>
      <c r="F695" s="1"/>
      <c r="G695" s="228"/>
      <c r="H695" s="1"/>
      <c r="I695" s="220"/>
      <c r="J695" s="1"/>
      <c r="K695" s="1"/>
      <c r="L695" s="1"/>
      <c r="M695" s="62"/>
      <c r="N695" s="229"/>
      <c r="O695" s="1"/>
      <c r="P695" s="220"/>
      <c r="Q695" s="220"/>
      <c r="R695" s="220"/>
      <c r="S695" s="220"/>
      <c r="T695" s="220"/>
      <c r="U695" s="220"/>
      <c r="V695" s="186"/>
      <c r="X695" s="62"/>
      <c r="Y695" s="62"/>
      <c r="Z695" s="1"/>
      <c r="AA695" s="1"/>
      <c r="AB695" s="228"/>
      <c r="AC695" s="1"/>
      <c r="AD695" s="220"/>
      <c r="AE695" s="1"/>
      <c r="AF695" s="1"/>
      <c r="AG695" s="1"/>
      <c r="AH695" s="62"/>
      <c r="AI695" s="229"/>
      <c r="AJ695" s="1"/>
      <c r="AK695" s="220"/>
      <c r="AL695" s="220"/>
    </row>
    <row r="696" spans="1:38">
      <c r="A696" s="186"/>
      <c r="C696" s="62"/>
      <c r="D696" s="62"/>
      <c r="E696" s="1"/>
      <c r="F696" s="1"/>
      <c r="G696" s="228"/>
      <c r="H696" s="1"/>
      <c r="I696" s="220"/>
      <c r="J696" s="1"/>
      <c r="K696" s="1"/>
      <c r="L696" s="1"/>
      <c r="M696" s="62"/>
      <c r="N696" s="229"/>
      <c r="O696" s="1"/>
      <c r="P696" s="220"/>
      <c r="Q696" s="220"/>
      <c r="R696" s="220"/>
      <c r="S696" s="220"/>
      <c r="T696" s="220"/>
      <c r="U696" s="220"/>
      <c r="V696" s="186"/>
      <c r="X696" s="62"/>
      <c r="Y696" s="62"/>
      <c r="Z696" s="1"/>
      <c r="AA696" s="1"/>
      <c r="AB696" s="228"/>
      <c r="AC696" s="1"/>
      <c r="AD696" s="220"/>
      <c r="AE696" s="1"/>
      <c r="AF696" s="1"/>
      <c r="AG696" s="1"/>
      <c r="AH696" s="62"/>
      <c r="AI696" s="229"/>
      <c r="AJ696" s="1"/>
      <c r="AK696" s="220"/>
      <c r="AL696" s="220"/>
    </row>
    <row r="697" spans="1:38">
      <c r="A697" s="186"/>
      <c r="C697" s="62"/>
      <c r="D697" s="62"/>
      <c r="E697" s="1"/>
      <c r="F697" s="1"/>
      <c r="G697" s="228"/>
      <c r="H697" s="1"/>
      <c r="I697" s="220"/>
      <c r="J697" s="1"/>
      <c r="K697" s="1"/>
      <c r="L697" s="1"/>
      <c r="M697" s="62"/>
      <c r="N697" s="229"/>
      <c r="O697" s="1"/>
      <c r="P697" s="220"/>
      <c r="Q697" s="220"/>
      <c r="R697" s="220"/>
      <c r="S697" s="220"/>
      <c r="T697" s="220"/>
      <c r="U697" s="220"/>
      <c r="V697" s="186"/>
      <c r="X697" s="62"/>
      <c r="Y697" s="62"/>
      <c r="Z697" s="1"/>
      <c r="AA697" s="1"/>
      <c r="AB697" s="228"/>
      <c r="AC697" s="1"/>
      <c r="AD697" s="220"/>
      <c r="AE697" s="1"/>
      <c r="AF697" s="1"/>
      <c r="AG697" s="1"/>
      <c r="AH697" s="62"/>
      <c r="AI697" s="229"/>
      <c r="AJ697" s="1"/>
      <c r="AK697" s="220"/>
      <c r="AL697" s="220"/>
    </row>
    <row r="698" spans="1:38">
      <c r="A698" s="186"/>
      <c r="C698" s="62"/>
      <c r="D698" s="62"/>
      <c r="E698" s="1"/>
      <c r="F698" s="1"/>
      <c r="G698" s="228"/>
      <c r="H698" s="1"/>
      <c r="I698" s="220"/>
      <c r="J698" s="1"/>
      <c r="K698" s="1"/>
      <c r="L698" s="1"/>
      <c r="M698" s="62"/>
      <c r="N698" s="229"/>
      <c r="O698" s="1"/>
      <c r="P698" s="220"/>
      <c r="Q698" s="220"/>
      <c r="R698" s="220"/>
      <c r="S698" s="220"/>
      <c r="T698" s="220"/>
      <c r="U698" s="220"/>
      <c r="V698" s="186"/>
      <c r="X698" s="62"/>
      <c r="Y698" s="62"/>
      <c r="Z698" s="1"/>
      <c r="AA698" s="1"/>
      <c r="AB698" s="228"/>
      <c r="AC698" s="1"/>
      <c r="AD698" s="220"/>
      <c r="AE698" s="1"/>
      <c r="AF698" s="1"/>
      <c r="AG698" s="1"/>
      <c r="AH698" s="62"/>
      <c r="AI698" s="229"/>
      <c r="AJ698" s="1"/>
      <c r="AK698" s="220"/>
      <c r="AL698" s="220"/>
    </row>
    <row r="699" spans="1:38">
      <c r="A699" s="186"/>
      <c r="C699" s="62"/>
      <c r="D699" s="62"/>
      <c r="E699" s="1"/>
      <c r="F699" s="1"/>
      <c r="G699" s="228"/>
      <c r="H699" s="1"/>
      <c r="I699" s="220"/>
      <c r="J699" s="1"/>
      <c r="K699" s="1"/>
      <c r="L699" s="1"/>
      <c r="M699" s="62"/>
      <c r="N699" s="229"/>
      <c r="O699" s="1"/>
      <c r="P699" s="220"/>
      <c r="Q699" s="220"/>
      <c r="R699" s="220"/>
      <c r="S699" s="220"/>
      <c r="T699" s="220"/>
      <c r="U699" s="220"/>
      <c r="V699" s="186"/>
      <c r="X699" s="62"/>
      <c r="Y699" s="62"/>
      <c r="Z699" s="1"/>
      <c r="AA699" s="1"/>
      <c r="AB699" s="228"/>
      <c r="AC699" s="1"/>
      <c r="AD699" s="220"/>
      <c r="AE699" s="1"/>
      <c r="AF699" s="1"/>
      <c r="AG699" s="1"/>
      <c r="AH699" s="62"/>
      <c r="AI699" s="229"/>
      <c r="AJ699" s="1"/>
      <c r="AK699" s="220"/>
      <c r="AL699" s="220"/>
    </row>
    <row r="700" spans="1:38">
      <c r="A700" s="186"/>
      <c r="C700" s="62"/>
      <c r="D700" s="62"/>
      <c r="E700" s="1"/>
      <c r="F700" s="1"/>
      <c r="G700" s="228"/>
      <c r="H700" s="1"/>
      <c r="I700" s="220"/>
      <c r="J700" s="1"/>
      <c r="K700" s="1"/>
      <c r="L700" s="1"/>
      <c r="M700" s="62"/>
      <c r="N700" s="229"/>
      <c r="O700" s="1"/>
      <c r="P700" s="220"/>
      <c r="Q700" s="220"/>
      <c r="R700" s="220"/>
      <c r="S700" s="220"/>
      <c r="T700" s="220"/>
      <c r="U700" s="220"/>
      <c r="V700" s="186"/>
      <c r="X700" s="62"/>
      <c r="Y700" s="62"/>
      <c r="Z700" s="1"/>
      <c r="AA700" s="1"/>
      <c r="AB700" s="228"/>
      <c r="AC700" s="1"/>
      <c r="AD700" s="220"/>
      <c r="AE700" s="1"/>
      <c r="AF700" s="1"/>
      <c r="AG700" s="1"/>
      <c r="AH700" s="62"/>
      <c r="AI700" s="229"/>
      <c r="AJ700" s="1"/>
      <c r="AK700" s="220"/>
      <c r="AL700" s="220"/>
    </row>
    <row r="701" spans="1:38" ht="15" customHeight="1">
      <c r="A701" s="186"/>
      <c r="C701" s="62"/>
      <c r="D701" s="62"/>
      <c r="E701" s="1"/>
      <c r="F701" s="1"/>
      <c r="G701" s="228"/>
      <c r="H701" s="1"/>
      <c r="I701" s="220"/>
      <c r="J701" s="1"/>
      <c r="K701" s="1"/>
      <c r="L701" s="1"/>
      <c r="M701" s="62"/>
      <c r="N701" s="229"/>
      <c r="O701" s="1"/>
      <c r="P701" s="220"/>
      <c r="Q701" s="220"/>
      <c r="R701" s="220"/>
      <c r="S701" s="220"/>
      <c r="T701" s="220"/>
      <c r="U701" s="220"/>
      <c r="V701" s="186"/>
      <c r="X701" s="62"/>
      <c r="Y701" s="62"/>
      <c r="Z701" s="1"/>
      <c r="AA701" s="1"/>
      <c r="AB701" s="228"/>
      <c r="AC701" s="1"/>
      <c r="AD701" s="220"/>
      <c r="AE701" s="1"/>
      <c r="AF701" s="1"/>
      <c r="AG701" s="1"/>
      <c r="AH701" s="62"/>
      <c r="AI701" s="229"/>
      <c r="AJ701" s="1"/>
      <c r="AK701" s="220"/>
      <c r="AL701" s="220"/>
    </row>
    <row r="702" spans="1:38">
      <c r="C702" s="645"/>
      <c r="D702" s="645"/>
      <c r="E702" s="646"/>
      <c r="F702" s="646"/>
      <c r="G702" s="647"/>
      <c r="H702" s="646"/>
      <c r="I702" s="648"/>
      <c r="J702" s="646"/>
      <c r="K702" s="646"/>
      <c r="L702" s="646"/>
      <c r="M702" s="35"/>
      <c r="R702" s="220"/>
      <c r="S702" s="220"/>
      <c r="T702" s="220"/>
      <c r="U702" s="220"/>
    </row>
    <row r="703" spans="1:38">
      <c r="C703" s="645"/>
      <c r="D703" s="645"/>
      <c r="E703" s="646"/>
      <c r="F703" s="646"/>
      <c r="G703" s="647"/>
      <c r="H703" s="646"/>
      <c r="I703" s="648"/>
      <c r="J703" s="646"/>
      <c r="K703" s="646"/>
      <c r="L703" s="646"/>
      <c r="M703" s="35"/>
      <c r="R703" s="220"/>
      <c r="S703" s="220"/>
      <c r="T703" s="220"/>
      <c r="U703" s="220"/>
    </row>
    <row r="704" spans="1:38">
      <c r="C704" s="645"/>
      <c r="D704" s="645"/>
      <c r="E704" s="646"/>
      <c r="F704" s="646"/>
      <c r="G704" s="647"/>
      <c r="H704" s="646"/>
      <c r="I704" s="648"/>
      <c r="J704" s="646"/>
      <c r="K704" s="646"/>
      <c r="L704" s="646"/>
      <c r="M704" s="35"/>
      <c r="R704" s="220"/>
      <c r="S704" s="220"/>
      <c r="T704" s="220"/>
      <c r="U704" s="220"/>
    </row>
    <row r="705" spans="3:21">
      <c r="C705" s="645"/>
      <c r="D705" s="645"/>
      <c r="E705" s="646"/>
      <c r="F705" s="646"/>
      <c r="G705" s="647"/>
      <c r="H705" s="646"/>
      <c r="I705" s="648"/>
      <c r="J705" s="646"/>
      <c r="K705" s="646"/>
      <c r="L705" s="646"/>
      <c r="M705" s="35"/>
      <c r="R705" s="220"/>
      <c r="S705" s="220"/>
      <c r="T705" s="220"/>
      <c r="U705" s="220"/>
    </row>
    <row r="706" spans="3:21">
      <c r="C706" s="645"/>
      <c r="D706" s="645"/>
      <c r="E706" s="646"/>
      <c r="F706" s="646"/>
      <c r="G706" s="647"/>
      <c r="H706" s="646"/>
      <c r="I706" s="648"/>
      <c r="J706" s="646"/>
      <c r="K706" s="646"/>
      <c r="L706" s="646"/>
      <c r="M706" s="35"/>
      <c r="R706" s="220"/>
      <c r="S706" s="220"/>
      <c r="T706" s="220"/>
      <c r="U706" s="220"/>
    </row>
    <row r="707" spans="3:21">
      <c r="C707" s="645"/>
      <c r="D707" s="645"/>
      <c r="E707" s="646"/>
      <c r="F707" s="646"/>
      <c r="G707" s="647"/>
      <c r="H707" s="646"/>
      <c r="I707" s="648"/>
      <c r="J707" s="646"/>
      <c r="K707" s="646"/>
      <c r="L707" s="646"/>
      <c r="M707" s="35"/>
      <c r="R707" s="220"/>
      <c r="S707" s="220"/>
      <c r="T707" s="220"/>
      <c r="U707" s="220"/>
    </row>
    <row r="708" spans="3:21">
      <c r="C708" s="645"/>
      <c r="D708" s="645"/>
      <c r="E708" s="646"/>
      <c r="F708" s="646"/>
      <c r="G708" s="647"/>
      <c r="H708" s="646"/>
      <c r="I708" s="648"/>
      <c r="J708" s="646"/>
      <c r="K708" s="646"/>
      <c r="L708" s="646"/>
      <c r="M708" s="35"/>
      <c r="R708" s="220"/>
      <c r="S708" s="220"/>
      <c r="T708" s="220"/>
      <c r="U708" s="220"/>
    </row>
    <row r="709" spans="3:21">
      <c r="C709" s="645"/>
      <c r="D709" s="645"/>
      <c r="E709" s="646"/>
      <c r="F709" s="646"/>
      <c r="G709" s="647"/>
      <c r="H709" s="646"/>
      <c r="I709" s="648"/>
      <c r="J709" s="646"/>
      <c r="K709" s="646"/>
      <c r="L709" s="646"/>
      <c r="M709" s="35"/>
      <c r="R709" s="220"/>
      <c r="S709" s="220"/>
      <c r="T709" s="220"/>
      <c r="U709" s="220"/>
    </row>
    <row r="710" spans="3:21">
      <c r="C710" s="645"/>
      <c r="D710" s="645"/>
      <c r="E710" s="646"/>
      <c r="F710" s="646"/>
      <c r="G710" s="647"/>
      <c r="H710" s="646"/>
      <c r="I710" s="648"/>
      <c r="J710" s="646"/>
      <c r="K710" s="646"/>
      <c r="L710" s="646"/>
      <c r="M710" s="35"/>
      <c r="R710" s="220"/>
      <c r="S710" s="220"/>
      <c r="T710" s="220"/>
      <c r="U710" s="220"/>
    </row>
    <row r="711" spans="3:21">
      <c r="C711" s="645"/>
      <c r="D711" s="645"/>
      <c r="E711" s="646"/>
      <c r="F711" s="646"/>
      <c r="G711" s="647"/>
      <c r="H711" s="646"/>
      <c r="I711" s="648"/>
      <c r="J711" s="646"/>
      <c r="K711" s="646"/>
      <c r="L711" s="646"/>
      <c r="M711" s="35"/>
      <c r="R711" s="220"/>
      <c r="S711" s="220"/>
      <c r="T711" s="220"/>
      <c r="U711" s="220"/>
    </row>
    <row r="712" spans="3:21">
      <c r="C712" s="645"/>
      <c r="D712" s="645"/>
      <c r="E712" s="646"/>
      <c r="F712" s="646"/>
      <c r="G712" s="647"/>
      <c r="H712" s="646"/>
      <c r="I712" s="648"/>
      <c r="J712" s="646"/>
      <c r="K712" s="646"/>
      <c r="L712" s="646"/>
      <c r="M712" s="35"/>
      <c r="R712" s="220"/>
      <c r="S712" s="220"/>
      <c r="T712" s="220"/>
      <c r="U712" s="220"/>
    </row>
    <row r="713" spans="3:21">
      <c r="C713" s="645"/>
      <c r="D713" s="645"/>
      <c r="E713" s="646"/>
      <c r="F713" s="646"/>
      <c r="G713" s="647"/>
      <c r="H713" s="646"/>
      <c r="I713" s="648"/>
      <c r="J713" s="646"/>
      <c r="K713" s="646"/>
      <c r="L713" s="646"/>
      <c r="M713" s="35"/>
      <c r="R713" s="220"/>
      <c r="S713" s="220"/>
      <c r="T713" s="220"/>
      <c r="U713" s="220"/>
    </row>
    <row r="714" spans="3:21">
      <c r="C714" s="645"/>
      <c r="D714" s="645"/>
      <c r="E714" s="646"/>
      <c r="F714" s="646"/>
      <c r="G714" s="647"/>
      <c r="H714" s="646"/>
      <c r="I714" s="648"/>
      <c r="J714" s="646"/>
      <c r="K714" s="646"/>
      <c r="L714" s="646"/>
      <c r="M714" s="35"/>
      <c r="R714" s="220"/>
      <c r="S714" s="220"/>
      <c r="T714" s="220"/>
      <c r="U714" s="220"/>
    </row>
    <row r="715" spans="3:21">
      <c r="C715" s="645"/>
      <c r="D715" s="645"/>
      <c r="E715" s="646"/>
      <c r="F715" s="646"/>
      <c r="G715" s="647"/>
      <c r="H715" s="646"/>
      <c r="I715" s="648"/>
      <c r="J715" s="646"/>
      <c r="K715" s="646"/>
      <c r="L715" s="646"/>
      <c r="M715" s="35"/>
      <c r="R715" s="220"/>
      <c r="S715" s="220"/>
      <c r="T715" s="220"/>
      <c r="U715" s="220"/>
    </row>
    <row r="716" spans="3:21">
      <c r="C716" s="645"/>
      <c r="D716" s="645"/>
      <c r="E716" s="646"/>
      <c r="F716" s="646"/>
      <c r="G716" s="647"/>
      <c r="H716" s="646"/>
      <c r="I716" s="648"/>
      <c r="J716" s="646"/>
      <c r="K716" s="646"/>
      <c r="L716" s="646"/>
      <c r="M716" s="35"/>
      <c r="R716" s="220"/>
      <c r="S716" s="220"/>
      <c r="T716" s="220"/>
      <c r="U716" s="220"/>
    </row>
    <row r="717" spans="3:21">
      <c r="C717" s="645"/>
      <c r="D717" s="645"/>
      <c r="E717" s="646"/>
      <c r="F717" s="646"/>
      <c r="G717" s="647"/>
      <c r="H717" s="646"/>
      <c r="I717" s="648"/>
      <c r="J717" s="646"/>
      <c r="K717" s="646"/>
      <c r="L717" s="646"/>
      <c r="M717" s="35"/>
      <c r="R717" s="220"/>
      <c r="S717" s="220"/>
      <c r="T717" s="220"/>
      <c r="U717" s="220"/>
    </row>
    <row r="718" spans="3:21">
      <c r="C718" s="645"/>
      <c r="D718" s="645"/>
      <c r="E718" s="646"/>
      <c r="F718" s="646"/>
      <c r="G718" s="647"/>
      <c r="H718" s="646"/>
      <c r="I718" s="648"/>
      <c r="J718" s="646"/>
      <c r="K718" s="646"/>
      <c r="L718" s="646"/>
      <c r="M718" s="35"/>
      <c r="R718" s="220"/>
      <c r="S718" s="220"/>
      <c r="T718" s="220"/>
      <c r="U718" s="220"/>
    </row>
    <row r="719" spans="3:21">
      <c r="C719" s="645"/>
      <c r="D719" s="645"/>
      <c r="E719" s="646"/>
      <c r="F719" s="646"/>
      <c r="G719" s="647"/>
      <c r="H719" s="646"/>
      <c r="I719" s="648"/>
      <c r="J719" s="646"/>
      <c r="K719" s="646"/>
      <c r="L719" s="646"/>
      <c r="M719" s="35"/>
      <c r="R719" s="220"/>
      <c r="S719" s="220"/>
      <c r="T719" s="220"/>
      <c r="U719" s="220"/>
    </row>
    <row r="720" spans="3:21">
      <c r="C720" s="645"/>
      <c r="D720" s="645"/>
      <c r="E720" s="646"/>
      <c r="F720" s="646"/>
      <c r="G720" s="647"/>
      <c r="H720" s="646"/>
      <c r="I720" s="648"/>
      <c r="J720" s="646"/>
      <c r="K720" s="646"/>
      <c r="L720" s="646"/>
      <c r="M720" s="35"/>
      <c r="R720" s="220"/>
      <c r="S720" s="220"/>
      <c r="T720" s="220"/>
      <c r="U720" s="220"/>
    </row>
    <row r="721" spans="3:21">
      <c r="C721" s="645"/>
      <c r="D721" s="645"/>
      <c r="E721" s="646"/>
      <c r="F721" s="646"/>
      <c r="G721" s="647"/>
      <c r="H721" s="646"/>
      <c r="I721" s="648"/>
      <c r="J721" s="646"/>
      <c r="K721" s="646"/>
      <c r="L721" s="646"/>
      <c r="M721" s="35"/>
      <c r="R721" s="220"/>
      <c r="S721" s="220"/>
      <c r="T721" s="220"/>
      <c r="U721" s="220"/>
    </row>
    <row r="722" spans="3:21">
      <c r="C722" s="645"/>
      <c r="D722" s="645"/>
      <c r="E722" s="646"/>
      <c r="F722" s="646"/>
      <c r="G722" s="647"/>
      <c r="H722" s="646"/>
      <c r="I722" s="648"/>
      <c r="J722" s="646"/>
      <c r="K722" s="646"/>
      <c r="L722" s="646"/>
      <c r="M722" s="35"/>
      <c r="R722" s="220"/>
      <c r="S722" s="220"/>
      <c r="T722" s="220"/>
      <c r="U722" s="220"/>
    </row>
    <row r="723" spans="3:21">
      <c r="C723" s="645"/>
      <c r="D723" s="645"/>
      <c r="E723" s="646"/>
      <c r="F723" s="646"/>
      <c r="G723" s="647"/>
      <c r="H723" s="646"/>
      <c r="I723" s="648"/>
      <c r="J723" s="646"/>
      <c r="K723" s="646"/>
      <c r="L723" s="646"/>
      <c r="M723" s="35"/>
      <c r="R723" s="220"/>
      <c r="S723" s="220"/>
      <c r="T723" s="220"/>
      <c r="U723" s="220"/>
    </row>
    <row r="724" spans="3:21">
      <c r="C724" s="645"/>
      <c r="D724" s="645"/>
      <c r="E724" s="646"/>
      <c r="F724" s="646"/>
      <c r="G724" s="647"/>
      <c r="H724" s="646"/>
      <c r="I724" s="648"/>
      <c r="J724" s="646"/>
      <c r="K724" s="646"/>
      <c r="L724" s="646"/>
      <c r="M724" s="35"/>
      <c r="R724" s="220"/>
      <c r="S724" s="220"/>
      <c r="T724" s="220"/>
      <c r="U724" s="220"/>
    </row>
    <row r="725" spans="3:21">
      <c r="C725" s="645"/>
      <c r="D725" s="645"/>
      <c r="E725" s="646"/>
      <c r="F725" s="646"/>
      <c r="G725" s="647"/>
      <c r="H725" s="646"/>
      <c r="I725" s="648"/>
      <c r="J725" s="646"/>
      <c r="K725" s="646"/>
      <c r="L725" s="646"/>
      <c r="M725" s="35"/>
      <c r="R725" s="220"/>
      <c r="S725" s="220"/>
      <c r="T725" s="220"/>
      <c r="U725" s="220"/>
    </row>
    <row r="726" spans="3:21">
      <c r="C726" s="645"/>
      <c r="D726" s="645"/>
      <c r="E726" s="646"/>
      <c r="F726" s="646"/>
      <c r="G726" s="647"/>
      <c r="H726" s="646"/>
      <c r="I726" s="648"/>
      <c r="J726" s="646"/>
      <c r="K726" s="646"/>
      <c r="L726" s="646"/>
      <c r="M726" s="35"/>
      <c r="R726" s="220"/>
      <c r="S726" s="220"/>
      <c r="T726" s="220"/>
      <c r="U726" s="220"/>
    </row>
    <row r="727" spans="3:21">
      <c r="C727" s="645"/>
      <c r="D727" s="645"/>
      <c r="E727" s="646"/>
      <c r="F727" s="646"/>
      <c r="G727" s="647"/>
      <c r="H727" s="646"/>
      <c r="I727" s="648"/>
      <c r="J727" s="646"/>
      <c r="K727" s="646"/>
      <c r="L727" s="646"/>
      <c r="M727" s="35"/>
      <c r="R727" s="220"/>
      <c r="S727" s="220"/>
      <c r="T727" s="220"/>
      <c r="U727" s="220"/>
    </row>
    <row r="728" spans="3:21">
      <c r="C728" s="645"/>
      <c r="D728" s="645"/>
      <c r="E728" s="646"/>
      <c r="F728" s="646"/>
      <c r="G728" s="647"/>
      <c r="H728" s="646"/>
      <c r="I728" s="648"/>
      <c r="J728" s="646"/>
      <c r="K728" s="646"/>
      <c r="L728" s="646"/>
      <c r="M728" s="35"/>
      <c r="R728" s="220"/>
      <c r="S728" s="220"/>
      <c r="T728" s="220"/>
      <c r="U728" s="220"/>
    </row>
    <row r="729" spans="3:21">
      <c r="C729" s="645"/>
      <c r="D729" s="645"/>
      <c r="E729" s="646"/>
      <c r="F729" s="646"/>
      <c r="G729" s="647"/>
      <c r="H729" s="646"/>
      <c r="I729" s="648"/>
      <c r="J729" s="646"/>
      <c r="K729" s="646"/>
      <c r="L729" s="646"/>
      <c r="M729" s="35"/>
      <c r="R729" s="220"/>
      <c r="S729" s="220"/>
      <c r="T729" s="220"/>
      <c r="U729" s="220"/>
    </row>
    <row r="730" spans="3:21">
      <c r="C730" s="645"/>
      <c r="D730" s="645"/>
      <c r="E730" s="646"/>
      <c r="F730" s="646"/>
      <c r="G730" s="647"/>
      <c r="H730" s="646"/>
      <c r="I730" s="648"/>
      <c r="J730" s="646"/>
      <c r="K730" s="646"/>
      <c r="L730" s="646"/>
      <c r="M730" s="35"/>
      <c r="R730" s="220"/>
      <c r="S730" s="220"/>
      <c r="T730" s="220"/>
      <c r="U730" s="220"/>
    </row>
    <row r="731" spans="3:21">
      <c r="C731" s="645"/>
      <c r="D731" s="645"/>
      <c r="E731" s="646"/>
      <c r="F731" s="646"/>
      <c r="G731" s="647"/>
      <c r="H731" s="646"/>
      <c r="I731" s="648"/>
      <c r="J731" s="646"/>
      <c r="K731" s="646"/>
      <c r="L731" s="646"/>
      <c r="M731" s="35"/>
      <c r="R731" s="220"/>
      <c r="S731" s="220"/>
      <c r="T731" s="220"/>
      <c r="U731" s="220"/>
    </row>
    <row r="732" spans="3:21">
      <c r="C732" s="645"/>
      <c r="D732" s="645"/>
      <c r="E732" s="646"/>
      <c r="F732" s="646"/>
      <c r="G732" s="647"/>
      <c r="H732" s="646"/>
      <c r="I732" s="648"/>
      <c r="J732" s="646"/>
      <c r="K732" s="646"/>
      <c r="L732" s="646"/>
      <c r="M732" s="35"/>
      <c r="R732" s="220"/>
      <c r="S732" s="220"/>
      <c r="T732" s="220"/>
      <c r="U732" s="220"/>
    </row>
    <row r="733" spans="3:21">
      <c r="C733" s="645"/>
      <c r="D733" s="645"/>
      <c r="E733" s="646"/>
      <c r="F733" s="646"/>
      <c r="G733" s="647"/>
      <c r="H733" s="646"/>
      <c r="I733" s="648"/>
      <c r="J733" s="646"/>
      <c r="K733" s="646"/>
      <c r="L733" s="646"/>
      <c r="M733" s="35"/>
      <c r="R733" s="220"/>
      <c r="S733" s="220"/>
      <c r="T733" s="220"/>
      <c r="U733" s="220"/>
    </row>
    <row r="734" spans="3:21">
      <c r="C734" s="645"/>
      <c r="D734" s="645"/>
      <c r="E734" s="646"/>
      <c r="F734" s="646"/>
      <c r="G734" s="647"/>
      <c r="H734" s="646"/>
      <c r="I734" s="648"/>
      <c r="J734" s="646"/>
      <c r="K734" s="646"/>
      <c r="L734" s="646"/>
      <c r="M734" s="35"/>
      <c r="R734" s="220"/>
      <c r="S734" s="220"/>
      <c r="T734" s="220"/>
      <c r="U734" s="220"/>
    </row>
    <row r="735" spans="3:21">
      <c r="C735" s="645"/>
      <c r="D735" s="645"/>
      <c r="E735" s="646"/>
      <c r="F735" s="646"/>
      <c r="G735" s="647"/>
      <c r="H735" s="646"/>
      <c r="I735" s="648"/>
      <c r="J735" s="646"/>
      <c r="K735" s="646"/>
      <c r="L735" s="646"/>
      <c r="M735" s="35"/>
      <c r="R735" s="220"/>
      <c r="S735" s="220"/>
      <c r="T735" s="220"/>
      <c r="U735" s="220"/>
    </row>
    <row r="736" spans="3:21">
      <c r="C736" s="645"/>
      <c r="D736" s="645"/>
      <c r="E736" s="646"/>
      <c r="F736" s="646"/>
      <c r="G736" s="647"/>
      <c r="H736" s="646"/>
      <c r="I736" s="648"/>
      <c r="J736" s="646"/>
      <c r="K736" s="646"/>
      <c r="L736" s="646"/>
      <c r="M736" s="35"/>
      <c r="R736" s="220"/>
      <c r="S736" s="220"/>
      <c r="T736" s="220"/>
      <c r="U736" s="220"/>
    </row>
    <row r="737" spans="3:21">
      <c r="C737" s="645"/>
      <c r="D737" s="645"/>
      <c r="E737" s="646"/>
      <c r="F737" s="646"/>
      <c r="G737" s="647"/>
      <c r="H737" s="646"/>
      <c r="I737" s="648"/>
      <c r="J737" s="646"/>
      <c r="K737" s="646"/>
      <c r="L737" s="646"/>
      <c r="M737" s="35"/>
      <c r="R737" s="220"/>
      <c r="S737" s="220"/>
      <c r="T737" s="220"/>
      <c r="U737" s="220"/>
    </row>
    <row r="738" spans="3:21">
      <c r="C738" s="645"/>
      <c r="D738" s="645"/>
      <c r="E738" s="646"/>
      <c r="F738" s="646"/>
      <c r="G738" s="647"/>
      <c r="H738" s="646"/>
      <c r="I738" s="648"/>
      <c r="J738" s="646"/>
      <c r="K738" s="646"/>
      <c r="L738" s="646"/>
      <c r="M738" s="35"/>
      <c r="R738" s="220"/>
      <c r="S738" s="220"/>
      <c r="T738" s="220"/>
      <c r="U738" s="220"/>
    </row>
    <row r="739" spans="3:21">
      <c r="C739" s="645"/>
      <c r="D739" s="645"/>
      <c r="E739" s="646"/>
      <c r="F739" s="646"/>
      <c r="G739" s="647"/>
      <c r="H739" s="646"/>
      <c r="I739" s="648"/>
      <c r="J739" s="646"/>
      <c r="K739" s="646"/>
      <c r="L739" s="646"/>
      <c r="M739" s="35"/>
      <c r="R739" s="220"/>
      <c r="S739" s="220"/>
      <c r="T739" s="220"/>
      <c r="U739" s="220"/>
    </row>
    <row r="740" spans="3:21">
      <c r="C740" s="645"/>
      <c r="D740" s="645"/>
      <c r="E740" s="646"/>
      <c r="F740" s="646"/>
      <c r="G740" s="647"/>
      <c r="H740" s="646"/>
      <c r="I740" s="648"/>
      <c r="J740" s="646"/>
      <c r="K740" s="646"/>
      <c r="L740" s="646"/>
      <c r="M740" s="35"/>
      <c r="R740" s="220"/>
      <c r="S740" s="220"/>
      <c r="T740" s="220"/>
      <c r="U740" s="220"/>
    </row>
    <row r="741" spans="3:21">
      <c r="C741" s="645"/>
      <c r="D741" s="645"/>
      <c r="E741" s="646"/>
      <c r="F741" s="646"/>
      <c r="G741" s="647"/>
      <c r="H741" s="646"/>
      <c r="I741" s="648"/>
      <c r="J741" s="646"/>
      <c r="K741" s="646"/>
      <c r="L741" s="646"/>
      <c r="M741" s="35"/>
      <c r="R741" s="220"/>
      <c r="S741" s="220"/>
      <c r="T741" s="220"/>
      <c r="U741" s="220"/>
    </row>
    <row r="742" spans="3:21">
      <c r="C742" s="645"/>
      <c r="D742" s="645"/>
      <c r="E742" s="646"/>
      <c r="F742" s="646"/>
      <c r="G742" s="647"/>
      <c r="H742" s="646"/>
      <c r="I742" s="648"/>
      <c r="J742" s="646"/>
      <c r="K742" s="646"/>
      <c r="L742" s="646"/>
      <c r="M742" s="35"/>
      <c r="R742" s="220"/>
      <c r="S742" s="220"/>
      <c r="T742" s="220"/>
      <c r="U742" s="220"/>
    </row>
    <row r="743" spans="3:21">
      <c r="C743" s="645"/>
      <c r="D743" s="645"/>
      <c r="E743" s="646"/>
      <c r="F743" s="646"/>
      <c r="G743" s="647"/>
      <c r="H743" s="646"/>
      <c r="I743" s="648"/>
      <c r="J743" s="646"/>
      <c r="K743" s="646"/>
      <c r="L743" s="646"/>
      <c r="M743" s="35"/>
      <c r="R743" s="220"/>
      <c r="S743" s="220"/>
      <c r="T743" s="220"/>
      <c r="U743" s="220"/>
    </row>
    <row r="744" spans="3:21">
      <c r="C744" s="645"/>
      <c r="D744" s="645"/>
      <c r="E744" s="646"/>
      <c r="F744" s="646"/>
      <c r="G744" s="647"/>
      <c r="H744" s="646"/>
      <c r="I744" s="648"/>
      <c r="J744" s="646"/>
      <c r="K744" s="646"/>
      <c r="L744" s="646"/>
      <c r="M744" s="35"/>
      <c r="R744" s="220"/>
      <c r="S744" s="220"/>
      <c r="T744" s="220"/>
      <c r="U744" s="220"/>
    </row>
    <row r="745" spans="3:21">
      <c r="C745" s="645"/>
      <c r="D745" s="645"/>
      <c r="E745" s="646"/>
      <c r="F745" s="646"/>
      <c r="G745" s="647"/>
      <c r="H745" s="646"/>
      <c r="I745" s="648"/>
      <c r="J745" s="646"/>
      <c r="K745" s="646"/>
      <c r="L745" s="646"/>
      <c r="M745" s="35"/>
      <c r="R745" s="220"/>
      <c r="S745" s="220"/>
      <c r="T745" s="220"/>
      <c r="U745" s="220"/>
    </row>
    <row r="746" spans="3:21">
      <c r="C746" s="645"/>
      <c r="D746" s="645"/>
      <c r="E746" s="646"/>
      <c r="F746" s="646"/>
      <c r="G746" s="647"/>
      <c r="H746" s="646"/>
      <c r="I746" s="648"/>
      <c r="J746" s="646"/>
      <c r="K746" s="646"/>
      <c r="L746" s="646"/>
      <c r="M746" s="35"/>
      <c r="R746" s="220"/>
      <c r="S746" s="220"/>
      <c r="T746" s="220"/>
      <c r="U746" s="220"/>
    </row>
    <row r="747" spans="3:21">
      <c r="C747" s="645"/>
      <c r="D747" s="645"/>
      <c r="E747" s="646"/>
      <c r="F747" s="646"/>
      <c r="G747" s="647"/>
      <c r="H747" s="646"/>
      <c r="I747" s="648"/>
      <c r="J747" s="646"/>
      <c r="K747" s="646"/>
      <c r="L747" s="646"/>
      <c r="M747" s="35"/>
      <c r="R747" s="220"/>
      <c r="S747" s="220"/>
      <c r="T747" s="220"/>
      <c r="U747" s="220"/>
    </row>
    <row r="748" spans="3:21">
      <c r="C748" s="645"/>
      <c r="D748" s="645"/>
      <c r="E748" s="646"/>
      <c r="F748" s="646"/>
      <c r="G748" s="647"/>
      <c r="H748" s="646"/>
      <c r="I748" s="648"/>
      <c r="J748" s="646"/>
      <c r="K748" s="646"/>
      <c r="L748" s="646"/>
      <c r="M748" s="35"/>
      <c r="R748" s="220"/>
      <c r="S748" s="220"/>
      <c r="T748" s="220"/>
      <c r="U748" s="220"/>
    </row>
    <row r="749" spans="3:21">
      <c r="C749" s="645"/>
      <c r="D749" s="645"/>
      <c r="E749" s="646"/>
      <c r="F749" s="646"/>
      <c r="G749" s="647"/>
      <c r="H749" s="646"/>
      <c r="I749" s="648"/>
      <c r="J749" s="646"/>
      <c r="K749" s="646"/>
      <c r="L749" s="646"/>
      <c r="M749" s="35"/>
      <c r="R749" s="220"/>
      <c r="S749" s="220"/>
      <c r="T749" s="220"/>
      <c r="U749" s="220"/>
    </row>
    <row r="750" spans="3:21">
      <c r="C750" s="645"/>
      <c r="D750" s="645"/>
      <c r="E750" s="646"/>
      <c r="F750" s="646"/>
      <c r="G750" s="647"/>
      <c r="H750" s="646"/>
      <c r="I750" s="648"/>
      <c r="J750" s="646"/>
      <c r="K750" s="646"/>
      <c r="L750" s="646"/>
      <c r="M750" s="35"/>
      <c r="R750" s="220"/>
      <c r="S750" s="220"/>
      <c r="T750" s="220"/>
      <c r="U750" s="220"/>
    </row>
    <row r="751" spans="3:21">
      <c r="C751" s="645"/>
      <c r="D751" s="645"/>
      <c r="E751" s="646"/>
      <c r="F751" s="646"/>
      <c r="G751" s="647"/>
      <c r="H751" s="646"/>
      <c r="I751" s="648"/>
      <c r="J751" s="646"/>
      <c r="K751" s="646"/>
      <c r="L751" s="646"/>
      <c r="M751" s="35"/>
      <c r="R751" s="220"/>
      <c r="S751" s="220"/>
      <c r="T751" s="220"/>
      <c r="U751" s="220"/>
    </row>
    <row r="752" spans="3:21">
      <c r="C752" s="645"/>
      <c r="D752" s="645"/>
      <c r="E752" s="646"/>
      <c r="F752" s="646"/>
      <c r="G752" s="647"/>
      <c r="H752" s="646"/>
      <c r="I752" s="648"/>
      <c r="J752" s="646"/>
      <c r="K752" s="646"/>
      <c r="L752" s="646"/>
      <c r="M752" s="35"/>
      <c r="R752" s="220"/>
      <c r="S752" s="220"/>
      <c r="T752" s="220"/>
      <c r="U752" s="220"/>
    </row>
    <row r="753" spans="3:21">
      <c r="C753" s="645"/>
      <c r="D753" s="645"/>
      <c r="E753" s="646"/>
      <c r="F753" s="646"/>
      <c r="G753" s="647"/>
      <c r="H753" s="646"/>
      <c r="I753" s="648"/>
      <c r="J753" s="646"/>
      <c r="K753" s="646"/>
      <c r="L753" s="646"/>
      <c r="M753" s="35"/>
      <c r="R753" s="220"/>
      <c r="S753" s="220"/>
      <c r="T753" s="220"/>
      <c r="U753" s="220"/>
    </row>
    <row r="754" spans="3:21">
      <c r="C754" s="645"/>
      <c r="D754" s="645"/>
      <c r="E754" s="646"/>
      <c r="F754" s="646"/>
      <c r="G754" s="647"/>
      <c r="H754" s="646"/>
      <c r="I754" s="648"/>
      <c r="J754" s="646"/>
      <c r="K754" s="646"/>
      <c r="L754" s="646"/>
      <c r="M754" s="35"/>
      <c r="R754" s="220"/>
      <c r="S754" s="220"/>
      <c r="T754" s="220"/>
      <c r="U754" s="220"/>
    </row>
    <row r="755" spans="3:21">
      <c r="C755" s="645"/>
      <c r="D755" s="645"/>
      <c r="E755" s="646"/>
      <c r="F755" s="646"/>
      <c r="G755" s="647"/>
      <c r="H755" s="646"/>
      <c r="I755" s="648"/>
      <c r="J755" s="646"/>
      <c r="K755" s="646"/>
      <c r="L755" s="646"/>
      <c r="M755" s="35"/>
      <c r="R755" s="220"/>
      <c r="S755" s="220"/>
      <c r="T755" s="220"/>
      <c r="U755" s="220"/>
    </row>
    <row r="756" spans="3:21">
      <c r="C756" s="645"/>
      <c r="D756" s="645"/>
      <c r="E756" s="646"/>
      <c r="F756" s="646"/>
      <c r="G756" s="647"/>
      <c r="H756" s="646"/>
      <c r="I756" s="648"/>
      <c r="J756" s="646"/>
      <c r="K756" s="646"/>
      <c r="L756" s="646"/>
      <c r="M756" s="35"/>
      <c r="R756" s="220"/>
      <c r="S756" s="220"/>
      <c r="T756" s="220"/>
      <c r="U756" s="220"/>
    </row>
    <row r="757" spans="3:21">
      <c r="C757" s="645"/>
      <c r="D757" s="645"/>
      <c r="E757" s="646"/>
      <c r="F757" s="646"/>
      <c r="G757" s="647"/>
      <c r="H757" s="646"/>
      <c r="I757" s="648"/>
      <c r="J757" s="646"/>
      <c r="K757" s="646"/>
      <c r="L757" s="646"/>
      <c r="M757" s="35"/>
      <c r="R757" s="220"/>
      <c r="S757" s="220"/>
      <c r="T757" s="220"/>
      <c r="U757" s="220"/>
    </row>
    <row r="758" spans="3:21">
      <c r="C758" s="645"/>
      <c r="D758" s="645"/>
      <c r="E758" s="646"/>
      <c r="F758" s="646"/>
      <c r="G758" s="647"/>
      <c r="H758" s="646"/>
      <c r="I758" s="648"/>
      <c r="J758" s="646"/>
      <c r="K758" s="646"/>
      <c r="L758" s="646"/>
      <c r="M758" s="35"/>
      <c r="R758" s="220"/>
      <c r="S758" s="220"/>
      <c r="T758" s="220"/>
      <c r="U758" s="220"/>
    </row>
    <row r="759" spans="3:21">
      <c r="C759" s="645"/>
      <c r="D759" s="645"/>
      <c r="E759" s="646"/>
      <c r="F759" s="646"/>
      <c r="G759" s="647"/>
      <c r="H759" s="646"/>
      <c r="I759" s="648"/>
      <c r="J759" s="646"/>
      <c r="K759" s="646"/>
      <c r="L759" s="646"/>
      <c r="M759" s="35"/>
      <c r="R759" s="220"/>
      <c r="S759" s="220"/>
      <c r="T759" s="220"/>
      <c r="U759" s="220"/>
    </row>
    <row r="760" spans="3:21">
      <c r="C760" s="645"/>
      <c r="D760" s="645"/>
      <c r="E760" s="646"/>
      <c r="F760" s="646"/>
      <c r="G760" s="647"/>
      <c r="H760" s="646"/>
      <c r="I760" s="648"/>
      <c r="J760" s="646"/>
      <c r="K760" s="646"/>
      <c r="L760" s="646"/>
      <c r="M760" s="35"/>
      <c r="R760" s="220"/>
      <c r="S760" s="220"/>
      <c r="T760" s="220"/>
      <c r="U760" s="220"/>
    </row>
    <row r="761" spans="3:21">
      <c r="C761" s="645"/>
      <c r="D761" s="645"/>
      <c r="E761" s="646"/>
      <c r="F761" s="646"/>
      <c r="G761" s="647"/>
      <c r="H761" s="646"/>
      <c r="I761" s="648"/>
      <c r="J761" s="646"/>
      <c r="K761" s="646"/>
      <c r="L761" s="646"/>
      <c r="M761" s="35"/>
      <c r="R761" s="220"/>
      <c r="S761" s="220"/>
      <c r="T761" s="220"/>
      <c r="U761" s="220"/>
    </row>
    <row r="762" spans="3:21">
      <c r="C762" s="645"/>
      <c r="D762" s="645"/>
      <c r="E762" s="646"/>
      <c r="F762" s="646"/>
      <c r="G762" s="647"/>
      <c r="H762" s="646"/>
      <c r="I762" s="648"/>
      <c r="J762" s="646"/>
      <c r="K762" s="646"/>
      <c r="L762" s="646"/>
      <c r="M762" s="35"/>
      <c r="R762" s="220"/>
      <c r="S762" s="220"/>
      <c r="T762" s="220"/>
      <c r="U762" s="220"/>
    </row>
    <row r="763" spans="3:21">
      <c r="C763" s="645"/>
      <c r="D763" s="645"/>
      <c r="E763" s="646"/>
      <c r="F763" s="646"/>
      <c r="G763" s="647"/>
      <c r="H763" s="646"/>
      <c r="I763" s="648"/>
      <c r="J763" s="646"/>
      <c r="K763" s="646"/>
      <c r="L763" s="646"/>
      <c r="M763" s="35"/>
      <c r="R763" s="220"/>
      <c r="S763" s="220"/>
      <c r="T763" s="220"/>
      <c r="U763" s="220"/>
    </row>
    <row r="764" spans="3:21">
      <c r="C764" s="645"/>
      <c r="D764" s="645"/>
      <c r="E764" s="646"/>
      <c r="F764" s="646"/>
      <c r="G764" s="647"/>
      <c r="H764" s="646"/>
      <c r="I764" s="648"/>
      <c r="J764" s="646"/>
      <c r="K764" s="646"/>
      <c r="L764" s="646"/>
      <c r="M764" s="35"/>
      <c r="R764" s="220"/>
      <c r="S764" s="220"/>
      <c r="T764" s="220"/>
      <c r="U764" s="220"/>
    </row>
    <row r="765" spans="3:21">
      <c r="C765" s="645"/>
      <c r="D765" s="645"/>
      <c r="E765" s="646"/>
      <c r="F765" s="646"/>
      <c r="G765" s="647"/>
      <c r="H765" s="646"/>
      <c r="I765" s="648"/>
      <c r="J765" s="646"/>
      <c r="K765" s="646"/>
      <c r="L765" s="646"/>
      <c r="M765" s="35"/>
      <c r="R765" s="220"/>
      <c r="S765" s="220"/>
      <c r="T765" s="220"/>
      <c r="U765" s="220"/>
    </row>
    <row r="766" spans="3:21">
      <c r="C766" s="645"/>
      <c r="D766" s="645"/>
      <c r="E766" s="646"/>
      <c r="F766" s="646"/>
      <c r="G766" s="647"/>
      <c r="H766" s="646"/>
      <c r="I766" s="648"/>
      <c r="J766" s="646"/>
      <c r="K766" s="646"/>
      <c r="L766" s="646"/>
      <c r="M766" s="35"/>
      <c r="R766" s="220"/>
      <c r="S766" s="220"/>
      <c r="T766" s="220"/>
      <c r="U766" s="220"/>
    </row>
    <row r="767" spans="3:21">
      <c r="C767" s="645"/>
      <c r="D767" s="645"/>
      <c r="E767" s="646"/>
      <c r="F767" s="646"/>
      <c r="G767" s="647"/>
      <c r="H767" s="646"/>
      <c r="I767" s="648"/>
      <c r="J767" s="646"/>
      <c r="K767" s="646"/>
      <c r="L767" s="646"/>
      <c r="M767" s="35"/>
      <c r="R767" s="220"/>
      <c r="S767" s="220"/>
      <c r="T767" s="220"/>
      <c r="U767" s="220"/>
    </row>
    <row r="768" spans="3:21">
      <c r="C768" s="645"/>
      <c r="D768" s="645"/>
      <c r="E768" s="646"/>
      <c r="F768" s="646"/>
      <c r="G768" s="647"/>
      <c r="H768" s="646"/>
      <c r="I768" s="648"/>
      <c r="J768" s="646"/>
      <c r="K768" s="646"/>
      <c r="L768" s="646"/>
      <c r="M768" s="35"/>
      <c r="R768" s="220"/>
      <c r="S768" s="220"/>
      <c r="T768" s="220"/>
      <c r="U768" s="220"/>
    </row>
    <row r="769" spans="3:21">
      <c r="C769" s="645"/>
      <c r="D769" s="645"/>
      <c r="E769" s="646"/>
      <c r="F769" s="646"/>
      <c r="G769" s="647"/>
      <c r="H769" s="646"/>
      <c r="I769" s="648"/>
      <c r="J769" s="646"/>
      <c r="K769" s="646"/>
      <c r="L769" s="646"/>
      <c r="M769" s="35"/>
      <c r="R769" s="220"/>
      <c r="S769" s="220"/>
      <c r="T769" s="220"/>
      <c r="U769" s="220"/>
    </row>
    <row r="770" spans="3:21">
      <c r="C770" s="645"/>
      <c r="D770" s="645"/>
      <c r="E770" s="646"/>
      <c r="F770" s="646"/>
      <c r="G770" s="647"/>
      <c r="H770" s="646"/>
      <c r="I770" s="648"/>
      <c r="J770" s="646"/>
      <c r="K770" s="646"/>
      <c r="L770" s="646"/>
      <c r="M770" s="35"/>
      <c r="R770" s="220"/>
      <c r="S770" s="220"/>
      <c r="T770" s="220"/>
      <c r="U770" s="220"/>
    </row>
    <row r="771" spans="3:21">
      <c r="C771" s="645"/>
      <c r="D771" s="645"/>
      <c r="E771" s="646"/>
      <c r="F771" s="646"/>
      <c r="G771" s="647"/>
      <c r="H771" s="646"/>
      <c r="I771" s="648"/>
      <c r="J771" s="646"/>
      <c r="K771" s="646"/>
      <c r="L771" s="646"/>
      <c r="M771" s="35"/>
      <c r="R771" s="220"/>
      <c r="S771" s="220"/>
      <c r="T771" s="220"/>
      <c r="U771" s="220"/>
    </row>
    <row r="772" spans="3:21">
      <c r="C772" s="645"/>
      <c r="D772" s="645"/>
      <c r="E772" s="646"/>
      <c r="F772" s="646"/>
      <c r="G772" s="647"/>
      <c r="H772" s="646"/>
      <c r="I772" s="648"/>
      <c r="J772" s="646"/>
      <c r="K772" s="646"/>
      <c r="L772" s="646"/>
      <c r="M772" s="35"/>
      <c r="R772" s="220"/>
      <c r="S772" s="220"/>
      <c r="T772" s="220"/>
      <c r="U772" s="220"/>
    </row>
    <row r="773" spans="3:21">
      <c r="C773" s="645"/>
      <c r="D773" s="645"/>
      <c r="E773" s="646"/>
      <c r="F773" s="646"/>
      <c r="G773" s="647"/>
      <c r="H773" s="646"/>
      <c r="I773" s="648"/>
      <c r="J773" s="646"/>
      <c r="K773" s="646"/>
      <c r="L773" s="646"/>
      <c r="M773" s="35"/>
      <c r="R773" s="220"/>
      <c r="S773" s="220"/>
      <c r="T773" s="220"/>
      <c r="U773" s="220"/>
    </row>
    <row r="774" spans="3:21">
      <c r="C774" s="645"/>
      <c r="D774" s="645"/>
      <c r="E774" s="646"/>
      <c r="F774" s="646"/>
      <c r="G774" s="647"/>
      <c r="H774" s="646"/>
      <c r="I774" s="648"/>
      <c r="J774" s="646"/>
      <c r="K774" s="646"/>
      <c r="L774" s="646"/>
      <c r="M774" s="35"/>
      <c r="R774" s="220"/>
      <c r="S774" s="220"/>
      <c r="T774" s="220"/>
      <c r="U774" s="220"/>
    </row>
    <row r="775" spans="3:21">
      <c r="C775" s="645"/>
      <c r="D775" s="645"/>
      <c r="E775" s="646"/>
      <c r="F775" s="646"/>
      <c r="G775" s="647"/>
      <c r="H775" s="646"/>
      <c r="I775" s="648"/>
      <c r="J775" s="646"/>
      <c r="K775" s="646"/>
      <c r="L775" s="646"/>
      <c r="M775" s="35"/>
      <c r="R775" s="220"/>
      <c r="S775" s="220"/>
      <c r="T775" s="220"/>
      <c r="U775" s="220"/>
    </row>
    <row r="776" spans="3:21">
      <c r="C776" s="645"/>
      <c r="D776" s="645"/>
      <c r="E776" s="646"/>
      <c r="F776" s="646"/>
      <c r="G776" s="647"/>
      <c r="H776" s="646"/>
      <c r="I776" s="648"/>
      <c r="J776" s="646"/>
      <c r="K776" s="646"/>
      <c r="L776" s="646"/>
      <c r="M776" s="35"/>
      <c r="R776" s="220"/>
      <c r="S776" s="220"/>
      <c r="T776" s="220"/>
      <c r="U776" s="220"/>
    </row>
    <row r="777" spans="3:21">
      <c r="C777" s="645"/>
      <c r="D777" s="645"/>
      <c r="E777" s="646"/>
      <c r="F777" s="646"/>
      <c r="G777" s="647"/>
      <c r="H777" s="646"/>
      <c r="I777" s="648"/>
      <c r="J777" s="646"/>
      <c r="K777" s="646"/>
      <c r="L777" s="646"/>
      <c r="M777" s="35"/>
      <c r="R777" s="220"/>
      <c r="S777" s="220"/>
      <c r="T777" s="220"/>
      <c r="U777" s="220"/>
    </row>
    <row r="778" spans="3:21">
      <c r="C778" s="645"/>
      <c r="D778" s="645"/>
      <c r="E778" s="646"/>
      <c r="F778" s="646"/>
      <c r="G778" s="647"/>
      <c r="H778" s="646"/>
      <c r="I778" s="648"/>
      <c r="J778" s="646"/>
      <c r="K778" s="646"/>
      <c r="L778" s="646"/>
      <c r="M778" s="35"/>
      <c r="R778" s="220"/>
      <c r="S778" s="220"/>
      <c r="T778" s="220"/>
      <c r="U778" s="220"/>
    </row>
    <row r="779" spans="3:21">
      <c r="C779" s="645"/>
      <c r="D779" s="645"/>
      <c r="E779" s="646"/>
      <c r="F779" s="646"/>
      <c r="G779" s="647"/>
      <c r="H779" s="646"/>
      <c r="I779" s="648"/>
      <c r="J779" s="646"/>
      <c r="K779" s="646"/>
      <c r="L779" s="646"/>
      <c r="M779" s="35"/>
      <c r="R779" s="220"/>
      <c r="S779" s="220"/>
      <c r="T779" s="220"/>
      <c r="U779" s="220"/>
    </row>
    <row r="780" spans="3:21">
      <c r="C780" s="645"/>
      <c r="D780" s="645"/>
      <c r="E780" s="646"/>
      <c r="F780" s="646"/>
      <c r="G780" s="647"/>
      <c r="H780" s="646"/>
      <c r="I780" s="648"/>
      <c r="J780" s="646"/>
      <c r="K780" s="646"/>
      <c r="L780" s="646"/>
      <c r="M780" s="35"/>
      <c r="R780" s="220"/>
      <c r="S780" s="220"/>
      <c r="T780" s="220"/>
      <c r="U780" s="220"/>
    </row>
    <row r="781" spans="3:21">
      <c r="C781" s="645"/>
      <c r="D781" s="645"/>
      <c r="E781" s="646"/>
      <c r="F781" s="646"/>
      <c r="G781" s="647"/>
      <c r="H781" s="646"/>
      <c r="I781" s="648"/>
      <c r="J781" s="646"/>
      <c r="K781" s="646"/>
      <c r="L781" s="646"/>
      <c r="M781" s="35"/>
      <c r="R781" s="220"/>
      <c r="S781" s="220"/>
      <c r="T781" s="220"/>
      <c r="U781" s="220"/>
    </row>
    <row r="782" spans="3:21">
      <c r="C782" s="645"/>
      <c r="D782" s="645"/>
      <c r="E782" s="646"/>
      <c r="F782" s="646"/>
      <c r="G782" s="647"/>
      <c r="H782" s="646"/>
      <c r="I782" s="648"/>
      <c r="J782" s="646"/>
      <c r="K782" s="646"/>
      <c r="L782" s="646"/>
      <c r="M782" s="35"/>
      <c r="R782" s="220"/>
      <c r="S782" s="220"/>
      <c r="T782" s="220"/>
      <c r="U782" s="220"/>
    </row>
    <row r="783" spans="3:21">
      <c r="C783" s="645"/>
      <c r="D783" s="645"/>
      <c r="E783" s="646"/>
      <c r="F783" s="646"/>
      <c r="G783" s="647"/>
      <c r="H783" s="646"/>
      <c r="I783" s="648"/>
      <c r="J783" s="646"/>
      <c r="K783" s="646"/>
      <c r="L783" s="646"/>
      <c r="M783" s="35"/>
      <c r="R783" s="220"/>
      <c r="S783" s="220"/>
      <c r="T783" s="220"/>
      <c r="U783" s="220"/>
    </row>
    <row r="784" spans="3:21">
      <c r="C784" s="645"/>
      <c r="D784" s="645"/>
      <c r="E784" s="646"/>
      <c r="F784" s="646"/>
      <c r="G784" s="647"/>
      <c r="H784" s="646"/>
      <c r="I784" s="648"/>
      <c r="J784" s="646"/>
      <c r="K784" s="646"/>
      <c r="L784" s="646"/>
      <c r="M784" s="35"/>
      <c r="R784" s="220"/>
      <c r="S784" s="220"/>
      <c r="T784" s="220"/>
      <c r="U784" s="220"/>
    </row>
    <row r="785" spans="3:21">
      <c r="C785" s="645"/>
      <c r="D785" s="645"/>
      <c r="E785" s="646"/>
      <c r="F785" s="646"/>
      <c r="G785" s="647"/>
      <c r="H785" s="646"/>
      <c r="I785" s="648"/>
      <c r="J785" s="646"/>
      <c r="K785" s="646"/>
      <c r="L785" s="646"/>
      <c r="M785" s="35"/>
      <c r="R785" s="220"/>
      <c r="S785" s="220"/>
      <c r="T785" s="220"/>
      <c r="U785" s="220"/>
    </row>
    <row r="786" spans="3:21">
      <c r="C786" s="645"/>
      <c r="D786" s="645"/>
      <c r="E786" s="646"/>
      <c r="F786" s="646"/>
      <c r="G786" s="647"/>
      <c r="H786" s="646"/>
      <c r="I786" s="648"/>
      <c r="J786" s="646"/>
      <c r="K786" s="646"/>
      <c r="L786" s="646"/>
      <c r="M786" s="35"/>
      <c r="R786" s="220"/>
      <c r="S786" s="220"/>
      <c r="T786" s="220"/>
      <c r="U786" s="220"/>
    </row>
    <row r="787" spans="3:21">
      <c r="C787" s="645"/>
      <c r="D787" s="645"/>
      <c r="E787" s="646"/>
      <c r="F787" s="646"/>
      <c r="G787" s="647"/>
      <c r="H787" s="646"/>
      <c r="I787" s="648"/>
      <c r="J787" s="646"/>
      <c r="K787" s="646"/>
      <c r="L787" s="646"/>
      <c r="M787" s="35"/>
      <c r="R787" s="220"/>
      <c r="S787" s="220"/>
      <c r="T787" s="220"/>
      <c r="U787" s="220"/>
    </row>
    <row r="788" spans="3:21">
      <c r="C788" s="645"/>
      <c r="D788" s="645"/>
      <c r="E788" s="646"/>
      <c r="F788" s="646"/>
      <c r="G788" s="647"/>
      <c r="H788" s="646"/>
      <c r="I788" s="648"/>
      <c r="J788" s="646"/>
      <c r="K788" s="646"/>
      <c r="L788" s="646"/>
      <c r="M788" s="35"/>
      <c r="R788" s="220"/>
      <c r="S788" s="220"/>
      <c r="T788" s="220"/>
      <c r="U788" s="220"/>
    </row>
    <row r="789" spans="3:21">
      <c r="C789" s="645"/>
      <c r="D789" s="645"/>
      <c r="E789" s="646"/>
      <c r="F789" s="646"/>
      <c r="G789" s="647"/>
      <c r="H789" s="646"/>
      <c r="I789" s="648"/>
      <c r="J789" s="646"/>
      <c r="K789" s="646"/>
      <c r="L789" s="646"/>
      <c r="M789" s="35"/>
      <c r="R789" s="220"/>
      <c r="S789" s="220"/>
      <c r="T789" s="220"/>
      <c r="U789" s="220"/>
    </row>
    <row r="790" spans="3:21">
      <c r="C790" s="645"/>
      <c r="D790" s="645"/>
      <c r="E790" s="646"/>
      <c r="F790" s="646"/>
      <c r="G790" s="647"/>
      <c r="H790" s="646"/>
      <c r="I790" s="648"/>
      <c r="J790" s="646"/>
      <c r="K790" s="646"/>
      <c r="L790" s="646"/>
      <c r="M790" s="35"/>
      <c r="R790" s="220"/>
      <c r="S790" s="220"/>
      <c r="T790" s="220"/>
      <c r="U790" s="220"/>
    </row>
    <row r="791" spans="3:21">
      <c r="C791" s="645"/>
      <c r="D791" s="645"/>
      <c r="E791" s="646"/>
      <c r="F791" s="646"/>
      <c r="G791" s="647"/>
      <c r="H791" s="646"/>
      <c r="I791" s="648"/>
      <c r="J791" s="646"/>
      <c r="K791" s="646"/>
      <c r="L791" s="646"/>
      <c r="M791" s="35"/>
      <c r="R791" s="220"/>
      <c r="S791" s="220"/>
      <c r="T791" s="220"/>
      <c r="U791" s="220"/>
    </row>
    <row r="792" spans="3:21">
      <c r="C792" s="645"/>
      <c r="D792" s="645"/>
      <c r="E792" s="646"/>
      <c r="F792" s="646"/>
      <c r="G792" s="647"/>
      <c r="H792" s="646"/>
      <c r="I792" s="648"/>
      <c r="J792" s="646"/>
      <c r="K792" s="646"/>
      <c r="L792" s="646"/>
      <c r="M792" s="35"/>
      <c r="R792" s="220"/>
      <c r="S792" s="220"/>
      <c r="T792" s="220"/>
      <c r="U792" s="220"/>
    </row>
    <row r="793" spans="3:21">
      <c r="C793" s="645"/>
      <c r="D793" s="645"/>
      <c r="E793" s="646"/>
      <c r="F793" s="646"/>
      <c r="G793" s="647"/>
      <c r="H793" s="646"/>
      <c r="I793" s="648"/>
      <c r="J793" s="646"/>
      <c r="K793" s="646"/>
      <c r="L793" s="646"/>
      <c r="M793" s="35"/>
      <c r="R793" s="220"/>
      <c r="S793" s="220"/>
      <c r="T793" s="220"/>
      <c r="U793" s="220"/>
    </row>
    <row r="794" spans="3:21">
      <c r="C794" s="645"/>
      <c r="D794" s="645"/>
      <c r="E794" s="646"/>
      <c r="F794" s="646"/>
      <c r="G794" s="647"/>
      <c r="H794" s="646"/>
      <c r="I794" s="648"/>
      <c r="J794" s="646"/>
      <c r="K794" s="646"/>
      <c r="L794" s="646"/>
      <c r="M794" s="35"/>
      <c r="R794" s="220"/>
      <c r="S794" s="220"/>
      <c r="T794" s="220"/>
      <c r="U794" s="220"/>
    </row>
    <row r="795" spans="3:21">
      <c r="C795" s="645"/>
      <c r="D795" s="645"/>
      <c r="E795" s="646"/>
      <c r="F795" s="646"/>
      <c r="G795" s="647"/>
      <c r="H795" s="646"/>
      <c r="I795" s="648"/>
      <c r="J795" s="646"/>
      <c r="K795" s="646"/>
      <c r="L795" s="646"/>
      <c r="M795" s="35"/>
      <c r="R795" s="220"/>
      <c r="S795" s="220"/>
      <c r="T795" s="220"/>
      <c r="U795" s="220"/>
    </row>
    <row r="796" spans="3:21">
      <c r="C796" s="645"/>
      <c r="D796" s="645"/>
      <c r="E796" s="646"/>
      <c r="F796" s="646"/>
      <c r="G796" s="647"/>
      <c r="H796" s="646"/>
      <c r="I796" s="648"/>
      <c r="J796" s="646"/>
      <c r="K796" s="646"/>
      <c r="L796" s="646"/>
      <c r="M796" s="35"/>
      <c r="R796" s="220"/>
      <c r="S796" s="220"/>
      <c r="T796" s="220"/>
      <c r="U796" s="220"/>
    </row>
    <row r="797" spans="3:21">
      <c r="C797" s="645"/>
      <c r="D797" s="645"/>
      <c r="E797" s="646"/>
      <c r="F797" s="646"/>
      <c r="G797" s="647"/>
      <c r="H797" s="646"/>
      <c r="I797" s="648"/>
      <c r="J797" s="646"/>
      <c r="K797" s="646"/>
      <c r="L797" s="646"/>
      <c r="M797" s="35"/>
      <c r="R797" s="220"/>
      <c r="S797" s="220"/>
      <c r="T797" s="220"/>
      <c r="U797" s="220"/>
    </row>
    <row r="798" spans="3:21">
      <c r="C798" s="645"/>
      <c r="D798" s="645"/>
      <c r="E798" s="646"/>
      <c r="F798" s="646"/>
      <c r="G798" s="647"/>
      <c r="H798" s="646"/>
      <c r="I798" s="648"/>
      <c r="J798" s="646"/>
      <c r="K798" s="646"/>
      <c r="L798" s="646"/>
      <c r="M798" s="35"/>
      <c r="R798" s="220"/>
      <c r="S798" s="220"/>
      <c r="T798" s="220"/>
      <c r="U798" s="220"/>
    </row>
    <row r="799" spans="3:21">
      <c r="C799" s="645"/>
      <c r="D799" s="645"/>
      <c r="E799" s="646"/>
      <c r="F799" s="646"/>
      <c r="G799" s="647"/>
      <c r="H799" s="646"/>
      <c r="I799" s="648"/>
      <c r="J799" s="646"/>
      <c r="K799" s="646"/>
      <c r="L799" s="646"/>
      <c r="M799" s="35"/>
      <c r="R799" s="220"/>
      <c r="S799" s="220"/>
      <c r="T799" s="220"/>
      <c r="U799" s="220"/>
    </row>
    <row r="800" spans="3:21">
      <c r="C800" s="645"/>
      <c r="D800" s="645"/>
      <c r="E800" s="646"/>
      <c r="F800" s="646"/>
      <c r="G800" s="647"/>
      <c r="H800" s="646"/>
      <c r="I800" s="648"/>
      <c r="J800" s="646"/>
      <c r="K800" s="646"/>
      <c r="L800" s="646"/>
      <c r="M800" s="35"/>
      <c r="R800" s="220"/>
      <c r="S800" s="220"/>
      <c r="T800" s="220"/>
      <c r="U800" s="220"/>
    </row>
    <row r="801" spans="3:21">
      <c r="C801" s="645"/>
      <c r="D801" s="645"/>
      <c r="E801" s="646"/>
      <c r="F801" s="646"/>
      <c r="G801" s="647"/>
      <c r="H801" s="646"/>
      <c r="I801" s="648"/>
      <c r="J801" s="646"/>
      <c r="K801" s="646"/>
      <c r="L801" s="646"/>
      <c r="M801" s="35"/>
      <c r="R801" s="220"/>
      <c r="S801" s="220"/>
      <c r="T801" s="220"/>
      <c r="U801" s="220"/>
    </row>
    <row r="802" spans="3:21">
      <c r="C802" s="645"/>
      <c r="D802" s="645"/>
      <c r="E802" s="646"/>
      <c r="F802" s="646"/>
      <c r="G802" s="647"/>
      <c r="H802" s="646"/>
      <c r="I802" s="648"/>
      <c r="J802" s="646"/>
      <c r="K802" s="646"/>
      <c r="L802" s="646"/>
      <c r="M802" s="35"/>
      <c r="R802" s="220"/>
      <c r="S802" s="220"/>
      <c r="T802" s="220"/>
      <c r="U802" s="220"/>
    </row>
    <row r="803" spans="3:21">
      <c r="C803" s="645"/>
      <c r="D803" s="645"/>
      <c r="E803" s="646"/>
      <c r="F803" s="646"/>
      <c r="G803" s="647"/>
      <c r="H803" s="646"/>
      <c r="I803" s="648"/>
      <c r="J803" s="646"/>
      <c r="K803" s="646"/>
      <c r="L803" s="646"/>
      <c r="M803" s="35"/>
      <c r="R803" s="220"/>
      <c r="S803" s="220"/>
      <c r="T803" s="220"/>
      <c r="U803" s="220"/>
    </row>
    <row r="804" spans="3:21">
      <c r="C804" s="645"/>
      <c r="D804" s="645"/>
      <c r="E804" s="646"/>
      <c r="F804" s="646"/>
      <c r="G804" s="647"/>
      <c r="H804" s="646"/>
      <c r="I804" s="648"/>
      <c r="J804" s="646"/>
      <c r="K804" s="646"/>
      <c r="L804" s="646"/>
      <c r="M804" s="35"/>
      <c r="R804" s="220"/>
      <c r="S804" s="220"/>
      <c r="T804" s="220"/>
      <c r="U804" s="220"/>
    </row>
    <row r="805" spans="3:21">
      <c r="C805" s="645"/>
      <c r="D805" s="645"/>
      <c r="E805" s="646"/>
      <c r="F805" s="646"/>
      <c r="G805" s="647"/>
      <c r="H805" s="646"/>
      <c r="I805" s="648"/>
      <c r="J805" s="646"/>
      <c r="K805" s="646"/>
      <c r="L805" s="646"/>
      <c r="M805" s="35"/>
      <c r="R805" s="220"/>
      <c r="S805" s="220"/>
      <c r="T805" s="220"/>
      <c r="U805" s="220"/>
    </row>
    <row r="806" spans="3:21">
      <c r="C806" s="645"/>
      <c r="D806" s="645"/>
      <c r="E806" s="646"/>
      <c r="F806" s="646"/>
      <c r="G806" s="647"/>
      <c r="H806" s="646"/>
      <c r="I806" s="648"/>
      <c r="J806" s="646"/>
      <c r="K806" s="646"/>
      <c r="L806" s="646"/>
      <c r="M806" s="35"/>
      <c r="R806" s="220"/>
      <c r="S806" s="220"/>
      <c r="T806" s="220"/>
      <c r="U806" s="220"/>
    </row>
    <row r="807" spans="3:21">
      <c r="C807" s="645"/>
      <c r="D807" s="645"/>
      <c r="E807" s="646"/>
      <c r="F807" s="646"/>
      <c r="G807" s="647"/>
      <c r="H807" s="646"/>
      <c r="I807" s="648"/>
      <c r="J807" s="646"/>
      <c r="K807" s="646"/>
      <c r="L807" s="646"/>
      <c r="M807" s="35"/>
      <c r="R807" s="220"/>
      <c r="S807" s="220"/>
      <c r="T807" s="220"/>
      <c r="U807" s="220"/>
    </row>
    <row r="808" spans="3:21">
      <c r="C808" s="645"/>
      <c r="D808" s="645"/>
      <c r="E808" s="646"/>
      <c r="F808" s="646"/>
      <c r="G808" s="647"/>
      <c r="H808" s="646"/>
      <c r="I808" s="648"/>
      <c r="J808" s="646"/>
      <c r="K808" s="646"/>
      <c r="L808" s="646"/>
      <c r="M808" s="35"/>
      <c r="R808" s="220"/>
      <c r="S808" s="220"/>
      <c r="T808" s="220"/>
      <c r="U808" s="220"/>
    </row>
    <row r="809" spans="3:21">
      <c r="C809" s="645"/>
      <c r="D809" s="645"/>
      <c r="E809" s="646"/>
      <c r="F809" s="646"/>
      <c r="G809" s="647"/>
      <c r="H809" s="646"/>
      <c r="I809" s="648"/>
      <c r="J809" s="646"/>
      <c r="K809" s="646"/>
      <c r="L809" s="646"/>
      <c r="M809" s="35"/>
      <c r="R809" s="220"/>
      <c r="S809" s="220"/>
      <c r="T809" s="220"/>
      <c r="U809" s="220"/>
    </row>
    <row r="810" spans="3:21">
      <c r="C810" s="645"/>
      <c r="D810" s="645"/>
      <c r="E810" s="646"/>
      <c r="F810" s="646"/>
      <c r="G810" s="647"/>
      <c r="H810" s="646"/>
      <c r="I810" s="648"/>
      <c r="J810" s="646"/>
      <c r="K810" s="646"/>
      <c r="L810" s="646"/>
      <c r="M810" s="35"/>
      <c r="R810" s="220"/>
      <c r="S810" s="220"/>
      <c r="T810" s="220"/>
      <c r="U810" s="220"/>
    </row>
    <row r="811" spans="3:21">
      <c r="C811" s="645"/>
      <c r="D811" s="645"/>
      <c r="E811" s="646"/>
      <c r="F811" s="646"/>
      <c r="G811" s="647"/>
      <c r="H811" s="646"/>
      <c r="I811" s="648"/>
      <c r="J811" s="646"/>
      <c r="K811" s="646"/>
      <c r="L811" s="646"/>
      <c r="M811" s="35"/>
      <c r="R811" s="220"/>
      <c r="S811" s="220"/>
      <c r="T811" s="220"/>
      <c r="U811" s="220"/>
    </row>
    <row r="812" spans="3:21">
      <c r="C812" s="645"/>
      <c r="D812" s="645"/>
      <c r="E812" s="646"/>
      <c r="F812" s="646"/>
      <c r="G812" s="647"/>
      <c r="H812" s="646"/>
      <c r="I812" s="648"/>
      <c r="J812" s="646"/>
      <c r="K812" s="646"/>
      <c r="L812" s="646"/>
      <c r="M812" s="35"/>
      <c r="R812" s="220"/>
      <c r="S812" s="220"/>
      <c r="T812" s="220"/>
      <c r="U812" s="220"/>
    </row>
    <row r="813" spans="3:21">
      <c r="C813" s="645"/>
      <c r="D813" s="645"/>
      <c r="E813" s="646"/>
      <c r="F813" s="646"/>
      <c r="G813" s="647"/>
      <c r="H813" s="646"/>
      <c r="I813" s="648"/>
      <c r="J813" s="646"/>
      <c r="K813" s="646"/>
      <c r="L813" s="646"/>
      <c r="M813" s="35"/>
      <c r="R813" s="220"/>
      <c r="S813" s="220"/>
      <c r="T813" s="220"/>
      <c r="U813" s="220"/>
    </row>
    <row r="814" spans="3:21">
      <c r="C814" s="645"/>
      <c r="D814" s="645"/>
      <c r="E814" s="646"/>
      <c r="F814" s="646"/>
      <c r="G814" s="647"/>
      <c r="H814" s="646"/>
      <c r="I814" s="648"/>
      <c r="J814" s="646"/>
      <c r="K814" s="646"/>
      <c r="L814" s="646"/>
      <c r="M814" s="35"/>
      <c r="R814" s="220"/>
      <c r="S814" s="220"/>
      <c r="T814" s="220"/>
      <c r="U814" s="220"/>
    </row>
    <row r="815" spans="3:21">
      <c r="C815" s="645"/>
      <c r="D815" s="645"/>
      <c r="E815" s="646"/>
      <c r="F815" s="646"/>
      <c r="G815" s="647"/>
      <c r="H815" s="646"/>
      <c r="I815" s="648"/>
      <c r="J815" s="646"/>
      <c r="K815" s="646"/>
      <c r="L815" s="646"/>
      <c r="M815" s="35"/>
      <c r="R815" s="220"/>
      <c r="S815" s="220"/>
      <c r="T815" s="220"/>
      <c r="U815" s="220"/>
    </row>
    <row r="816" spans="3:21">
      <c r="C816" s="645"/>
      <c r="D816" s="645"/>
      <c r="E816" s="646"/>
      <c r="F816" s="646"/>
      <c r="G816" s="647"/>
      <c r="H816" s="646"/>
      <c r="I816" s="648"/>
      <c r="J816" s="646"/>
      <c r="K816" s="646"/>
      <c r="L816" s="646"/>
      <c r="M816" s="35"/>
      <c r="R816" s="220"/>
      <c r="S816" s="220"/>
      <c r="T816" s="220"/>
      <c r="U816" s="220"/>
    </row>
    <row r="817" spans="3:21">
      <c r="C817" s="645"/>
      <c r="D817" s="645"/>
      <c r="E817" s="646"/>
      <c r="F817" s="646"/>
      <c r="G817" s="647"/>
      <c r="H817" s="646"/>
      <c r="I817" s="648"/>
      <c r="J817" s="646"/>
      <c r="K817" s="646"/>
      <c r="L817" s="646"/>
      <c r="M817" s="35"/>
      <c r="R817" s="220"/>
      <c r="S817" s="220"/>
      <c r="T817" s="220"/>
      <c r="U817" s="220"/>
    </row>
    <row r="818" spans="3:21">
      <c r="C818" s="645"/>
      <c r="D818" s="645"/>
      <c r="E818" s="646"/>
      <c r="F818" s="646"/>
      <c r="G818" s="647"/>
      <c r="H818" s="646"/>
      <c r="I818" s="648"/>
      <c r="J818" s="646"/>
      <c r="K818" s="646"/>
      <c r="L818" s="646"/>
      <c r="M818" s="35"/>
      <c r="R818" s="220"/>
      <c r="S818" s="220"/>
      <c r="T818" s="220"/>
      <c r="U818" s="220"/>
    </row>
    <row r="819" spans="3:21">
      <c r="C819" s="645"/>
      <c r="D819" s="645"/>
      <c r="E819" s="646"/>
      <c r="F819" s="646"/>
      <c r="G819" s="647"/>
      <c r="H819" s="646"/>
      <c r="I819" s="648"/>
      <c r="J819" s="646"/>
      <c r="K819" s="646"/>
      <c r="L819" s="646"/>
      <c r="M819" s="35"/>
      <c r="R819" s="220"/>
      <c r="S819" s="220"/>
      <c r="T819" s="220"/>
      <c r="U819" s="220"/>
    </row>
    <row r="820" spans="3:21">
      <c r="C820" s="645"/>
      <c r="D820" s="645"/>
      <c r="E820" s="646"/>
      <c r="F820" s="646"/>
      <c r="G820" s="647"/>
      <c r="H820" s="646"/>
      <c r="I820" s="648"/>
      <c r="J820" s="646"/>
      <c r="K820" s="646"/>
      <c r="L820" s="646"/>
      <c r="M820" s="35"/>
      <c r="R820" s="220"/>
      <c r="S820" s="220"/>
      <c r="T820" s="220"/>
      <c r="U820" s="220"/>
    </row>
    <row r="821" spans="3:21">
      <c r="C821" s="645"/>
      <c r="D821" s="645"/>
      <c r="E821" s="646"/>
      <c r="F821" s="646"/>
      <c r="G821" s="647"/>
      <c r="H821" s="646"/>
      <c r="I821" s="648"/>
      <c r="J821" s="646"/>
      <c r="K821" s="646"/>
      <c r="L821" s="646"/>
      <c r="M821" s="35"/>
      <c r="R821" s="220"/>
      <c r="S821" s="220"/>
      <c r="T821" s="220"/>
      <c r="U821" s="220"/>
    </row>
    <row r="822" spans="3:21">
      <c r="C822" s="645"/>
      <c r="D822" s="645"/>
      <c r="E822" s="646"/>
      <c r="F822" s="646"/>
      <c r="G822" s="647"/>
      <c r="H822" s="646"/>
      <c r="I822" s="648"/>
      <c r="J822" s="646"/>
      <c r="K822" s="646"/>
      <c r="L822" s="646"/>
      <c r="M822" s="35"/>
      <c r="R822" s="220"/>
      <c r="S822" s="220"/>
      <c r="T822" s="220"/>
      <c r="U822" s="220"/>
    </row>
    <row r="823" spans="3:21">
      <c r="C823" s="645"/>
      <c r="D823" s="645"/>
      <c r="E823" s="646"/>
      <c r="F823" s="646"/>
      <c r="G823" s="647"/>
      <c r="H823" s="646"/>
      <c r="I823" s="648"/>
      <c r="J823" s="646"/>
      <c r="K823" s="646"/>
      <c r="L823" s="646"/>
      <c r="M823" s="35"/>
      <c r="R823" s="220"/>
      <c r="S823" s="220"/>
      <c r="T823" s="220"/>
      <c r="U823" s="220"/>
    </row>
    <row r="824" spans="3:21">
      <c r="C824" s="645"/>
      <c r="D824" s="645"/>
      <c r="E824" s="646"/>
      <c r="F824" s="646"/>
      <c r="G824" s="647"/>
      <c r="H824" s="646"/>
      <c r="I824" s="648"/>
      <c r="J824" s="646"/>
      <c r="K824" s="646"/>
      <c r="L824" s="646"/>
      <c r="M824" s="35"/>
      <c r="R824" s="220"/>
      <c r="S824" s="220"/>
      <c r="T824" s="220"/>
      <c r="U824" s="220"/>
    </row>
    <row r="825" spans="3:21">
      <c r="C825" s="645"/>
      <c r="D825" s="645"/>
      <c r="E825" s="646"/>
      <c r="F825" s="646"/>
      <c r="G825" s="647"/>
      <c r="H825" s="646"/>
      <c r="I825" s="648"/>
      <c r="J825" s="646"/>
      <c r="K825" s="646"/>
      <c r="L825" s="646"/>
      <c r="M825" s="35"/>
      <c r="R825" s="220"/>
      <c r="S825" s="220"/>
      <c r="T825" s="220"/>
      <c r="U825" s="220"/>
    </row>
    <row r="826" spans="3:21">
      <c r="C826" s="645"/>
      <c r="D826" s="645"/>
      <c r="E826" s="646"/>
      <c r="F826" s="646"/>
      <c r="G826" s="647"/>
      <c r="H826" s="646"/>
      <c r="I826" s="648"/>
      <c r="J826" s="646"/>
      <c r="K826" s="646"/>
      <c r="L826" s="646"/>
      <c r="M826" s="35"/>
      <c r="R826" s="220"/>
      <c r="S826" s="220"/>
      <c r="T826" s="220"/>
      <c r="U826" s="220"/>
    </row>
    <row r="827" spans="3:21">
      <c r="C827" s="645"/>
      <c r="D827" s="645"/>
      <c r="E827" s="646"/>
      <c r="F827" s="646"/>
      <c r="G827" s="647"/>
      <c r="H827" s="646"/>
      <c r="I827" s="648"/>
      <c r="J827" s="646"/>
      <c r="K827" s="646"/>
      <c r="L827" s="646"/>
      <c r="M827" s="35"/>
      <c r="R827" s="220"/>
      <c r="S827" s="220"/>
      <c r="T827" s="220"/>
      <c r="U827" s="220"/>
    </row>
    <row r="828" spans="3:21">
      <c r="C828" s="645"/>
      <c r="D828" s="645"/>
      <c r="E828" s="646"/>
      <c r="F828" s="646"/>
      <c r="G828" s="647"/>
      <c r="H828" s="646"/>
      <c r="I828" s="648"/>
      <c r="J828" s="646"/>
      <c r="K828" s="646"/>
      <c r="L828" s="646"/>
      <c r="M828" s="35"/>
      <c r="R828" s="220"/>
      <c r="S828" s="220"/>
      <c r="T828" s="220"/>
      <c r="U828" s="220"/>
    </row>
    <row r="829" spans="3:21">
      <c r="C829" s="645"/>
      <c r="D829" s="645"/>
      <c r="E829" s="646"/>
      <c r="F829" s="646"/>
      <c r="G829" s="647"/>
      <c r="H829" s="646"/>
      <c r="I829" s="648"/>
      <c r="J829" s="646"/>
      <c r="K829" s="646"/>
      <c r="L829" s="646"/>
      <c r="M829" s="35"/>
      <c r="R829" s="220"/>
      <c r="S829" s="220"/>
      <c r="T829" s="220"/>
      <c r="U829" s="220"/>
    </row>
    <row r="830" spans="3:21">
      <c r="C830" s="645"/>
      <c r="D830" s="645"/>
      <c r="E830" s="646"/>
      <c r="F830" s="646"/>
      <c r="G830" s="647"/>
      <c r="H830" s="646"/>
      <c r="I830" s="648"/>
      <c r="J830" s="646"/>
      <c r="K830" s="646"/>
      <c r="L830" s="646"/>
      <c r="M830" s="35"/>
      <c r="R830" s="220"/>
      <c r="S830" s="220"/>
      <c r="T830" s="220"/>
      <c r="U830" s="220"/>
    </row>
    <row r="831" spans="3:21">
      <c r="C831" s="645"/>
      <c r="D831" s="645"/>
      <c r="E831" s="646"/>
      <c r="F831" s="646"/>
      <c r="G831" s="647"/>
      <c r="H831" s="646"/>
      <c r="I831" s="648"/>
      <c r="J831" s="646"/>
      <c r="K831" s="646"/>
      <c r="L831" s="646"/>
      <c r="M831" s="35"/>
      <c r="R831" s="220"/>
      <c r="S831" s="220"/>
      <c r="T831" s="220"/>
      <c r="U831" s="220"/>
    </row>
    <row r="832" spans="3:21">
      <c r="C832" s="645"/>
      <c r="D832" s="645"/>
      <c r="E832" s="646"/>
      <c r="F832" s="646"/>
      <c r="G832" s="647"/>
      <c r="H832" s="646"/>
      <c r="I832" s="648"/>
      <c r="J832" s="646"/>
      <c r="K832" s="646"/>
      <c r="L832" s="646"/>
      <c r="M832" s="35"/>
      <c r="R832" s="220"/>
      <c r="S832" s="220"/>
      <c r="T832" s="220"/>
      <c r="U832" s="220"/>
    </row>
    <row r="833" spans="3:21">
      <c r="C833" s="645"/>
      <c r="D833" s="645"/>
      <c r="E833" s="646"/>
      <c r="F833" s="646"/>
      <c r="G833" s="647"/>
      <c r="H833" s="646"/>
      <c r="I833" s="648"/>
      <c r="J833" s="646"/>
      <c r="K833" s="646"/>
      <c r="L833" s="646"/>
      <c r="M833" s="35"/>
      <c r="R833" s="220"/>
      <c r="S833" s="220"/>
      <c r="T833" s="220"/>
      <c r="U833" s="220"/>
    </row>
    <row r="834" spans="3:21">
      <c r="C834" s="645"/>
      <c r="D834" s="645"/>
      <c r="E834" s="646"/>
      <c r="F834" s="646"/>
      <c r="G834" s="647"/>
      <c r="H834" s="646"/>
      <c r="I834" s="648"/>
      <c r="J834" s="646"/>
      <c r="K834" s="646"/>
      <c r="L834" s="646"/>
      <c r="M834" s="35"/>
      <c r="R834" s="220"/>
      <c r="S834" s="220"/>
      <c r="T834" s="220"/>
      <c r="U834" s="220"/>
    </row>
    <row r="835" spans="3:21">
      <c r="C835" s="645"/>
      <c r="D835" s="645"/>
      <c r="E835" s="646"/>
      <c r="F835" s="646"/>
      <c r="G835" s="647"/>
      <c r="H835" s="646"/>
      <c r="I835" s="648"/>
      <c r="J835" s="646"/>
      <c r="K835" s="646"/>
      <c r="L835" s="646"/>
      <c r="M835" s="35"/>
      <c r="R835" s="220"/>
      <c r="S835" s="220"/>
      <c r="T835" s="220"/>
      <c r="U835" s="220"/>
    </row>
    <row r="836" spans="3:21">
      <c r="C836" s="645"/>
      <c r="D836" s="645"/>
      <c r="E836" s="646"/>
      <c r="F836" s="646"/>
      <c r="G836" s="647"/>
      <c r="H836" s="646"/>
      <c r="I836" s="648"/>
      <c r="J836" s="646"/>
      <c r="K836" s="646"/>
      <c r="L836" s="646"/>
      <c r="M836" s="35"/>
      <c r="R836" s="220"/>
      <c r="S836" s="220"/>
      <c r="T836" s="220"/>
      <c r="U836" s="220"/>
    </row>
    <row r="837" spans="3:21">
      <c r="C837" s="645"/>
      <c r="D837" s="645"/>
      <c r="E837" s="646"/>
      <c r="F837" s="646"/>
      <c r="G837" s="647"/>
      <c r="H837" s="646"/>
      <c r="I837" s="648"/>
      <c r="J837" s="646"/>
      <c r="K837" s="646"/>
      <c r="L837" s="646"/>
      <c r="M837" s="35"/>
      <c r="R837" s="220"/>
      <c r="S837" s="220"/>
      <c r="T837" s="220"/>
      <c r="U837" s="220"/>
    </row>
    <row r="838" spans="3:21">
      <c r="C838" s="645"/>
      <c r="D838" s="645"/>
      <c r="E838" s="646"/>
      <c r="F838" s="646"/>
      <c r="G838" s="647"/>
      <c r="H838" s="646"/>
      <c r="I838" s="648"/>
      <c r="J838" s="646"/>
      <c r="K838" s="646"/>
      <c r="L838" s="646"/>
      <c r="M838" s="35"/>
      <c r="R838" s="220"/>
      <c r="S838" s="220"/>
      <c r="T838" s="220"/>
      <c r="U838" s="220"/>
    </row>
    <row r="839" spans="3:21">
      <c r="C839" s="645"/>
      <c r="D839" s="645"/>
      <c r="E839" s="646"/>
      <c r="F839" s="646"/>
      <c r="G839" s="647"/>
      <c r="H839" s="646"/>
      <c r="I839" s="648"/>
      <c r="J839" s="646"/>
      <c r="K839" s="646"/>
      <c r="L839" s="646"/>
      <c r="M839" s="35"/>
      <c r="R839" s="220"/>
      <c r="S839" s="220"/>
      <c r="T839" s="220"/>
      <c r="U839" s="220"/>
    </row>
    <row r="840" spans="3:21">
      <c r="C840" s="645"/>
      <c r="D840" s="645"/>
      <c r="E840" s="646"/>
      <c r="F840" s="646"/>
      <c r="G840" s="647"/>
      <c r="H840" s="646"/>
      <c r="I840" s="648"/>
      <c r="J840" s="646"/>
      <c r="K840" s="646"/>
      <c r="L840" s="646"/>
      <c r="M840" s="35"/>
      <c r="R840" s="220"/>
      <c r="S840" s="220"/>
      <c r="T840" s="220"/>
      <c r="U840" s="220"/>
    </row>
    <row r="841" spans="3:21">
      <c r="C841" s="645"/>
      <c r="D841" s="645"/>
      <c r="E841" s="646"/>
      <c r="F841" s="646"/>
      <c r="G841" s="647"/>
      <c r="H841" s="646"/>
      <c r="I841" s="648"/>
      <c r="J841" s="646"/>
      <c r="K841" s="646"/>
      <c r="L841" s="646"/>
      <c r="M841" s="35"/>
      <c r="R841" s="220"/>
      <c r="S841" s="220"/>
      <c r="T841" s="220"/>
      <c r="U841" s="220"/>
    </row>
    <row r="842" spans="3:21">
      <c r="C842" s="645"/>
      <c r="D842" s="645"/>
      <c r="E842" s="646"/>
      <c r="F842" s="646"/>
      <c r="G842" s="647"/>
      <c r="H842" s="646"/>
      <c r="I842" s="648"/>
      <c r="J842" s="646"/>
      <c r="K842" s="646"/>
      <c r="L842" s="646"/>
      <c r="M842" s="35"/>
      <c r="R842" s="220"/>
      <c r="S842" s="220"/>
      <c r="T842" s="220"/>
      <c r="U842" s="220"/>
    </row>
    <row r="843" spans="3:21">
      <c r="C843" s="645"/>
      <c r="D843" s="645"/>
      <c r="E843" s="646"/>
      <c r="F843" s="646"/>
      <c r="G843" s="647"/>
      <c r="H843" s="646"/>
      <c r="I843" s="648"/>
      <c r="J843" s="646"/>
      <c r="K843" s="646"/>
      <c r="L843" s="646"/>
      <c r="M843" s="35"/>
      <c r="R843" s="220"/>
      <c r="S843" s="220"/>
      <c r="T843" s="220"/>
      <c r="U843" s="220"/>
    </row>
    <row r="844" spans="3:21">
      <c r="C844" s="645"/>
      <c r="D844" s="645"/>
      <c r="E844" s="646"/>
      <c r="F844" s="646"/>
      <c r="G844" s="647"/>
      <c r="H844" s="646"/>
      <c r="I844" s="648"/>
      <c r="J844" s="646"/>
      <c r="K844" s="646"/>
      <c r="L844" s="646"/>
      <c r="M844" s="35"/>
      <c r="R844" s="220"/>
      <c r="S844" s="220"/>
      <c r="T844" s="220"/>
      <c r="U844" s="220"/>
    </row>
    <row r="845" spans="3:21">
      <c r="C845" s="645"/>
      <c r="D845" s="645"/>
      <c r="E845" s="646"/>
      <c r="F845" s="646"/>
      <c r="G845" s="647"/>
      <c r="H845" s="646"/>
      <c r="I845" s="648"/>
      <c r="J845" s="646"/>
      <c r="K845" s="646"/>
      <c r="L845" s="646"/>
      <c r="M845" s="35"/>
      <c r="R845" s="220"/>
      <c r="S845" s="220"/>
      <c r="T845" s="220"/>
      <c r="U845" s="220"/>
    </row>
    <row r="846" spans="3:21">
      <c r="C846" s="645"/>
      <c r="D846" s="645"/>
      <c r="E846" s="646"/>
      <c r="F846" s="646"/>
      <c r="G846" s="647"/>
      <c r="H846" s="646"/>
      <c r="I846" s="648"/>
      <c r="J846" s="646"/>
      <c r="K846" s="646"/>
      <c r="L846" s="646"/>
      <c r="M846" s="35"/>
      <c r="R846" s="220"/>
      <c r="S846" s="220"/>
      <c r="T846" s="220"/>
      <c r="U846" s="220"/>
    </row>
    <row r="847" spans="3:21">
      <c r="C847" s="645"/>
      <c r="D847" s="645"/>
      <c r="E847" s="646"/>
      <c r="F847" s="646"/>
      <c r="G847" s="647"/>
      <c r="H847" s="646"/>
      <c r="I847" s="648"/>
      <c r="J847" s="646"/>
      <c r="K847" s="646"/>
      <c r="L847" s="646"/>
      <c r="M847" s="35"/>
    </row>
    <row r="848" spans="3:21">
      <c r="C848" s="645"/>
      <c r="D848" s="645"/>
      <c r="E848" s="646"/>
      <c r="F848" s="646"/>
      <c r="G848" s="647"/>
      <c r="H848" s="646"/>
      <c r="I848" s="648"/>
      <c r="J848" s="646"/>
      <c r="K848" s="646"/>
      <c r="L848" s="646"/>
      <c r="M848" s="35"/>
    </row>
    <row r="849" spans="3:13">
      <c r="C849" s="645"/>
      <c r="D849" s="645"/>
      <c r="E849" s="646"/>
      <c r="F849" s="646"/>
      <c r="G849" s="647"/>
      <c r="H849" s="646"/>
      <c r="I849" s="648"/>
      <c r="J849" s="646"/>
      <c r="K849" s="646"/>
      <c r="L849" s="646"/>
      <c r="M849" s="35"/>
    </row>
    <row r="850" spans="3:13">
      <c r="C850" s="645"/>
      <c r="D850" s="645"/>
      <c r="E850" s="646"/>
      <c r="F850" s="646"/>
      <c r="G850" s="647"/>
      <c r="H850" s="646"/>
      <c r="I850" s="648"/>
      <c r="J850" s="646"/>
      <c r="K850" s="646"/>
      <c r="L850" s="646"/>
      <c r="M850" s="35"/>
    </row>
    <row r="851" spans="3:13">
      <c r="C851" s="645"/>
      <c r="D851" s="645"/>
      <c r="E851" s="646"/>
      <c r="F851" s="646"/>
      <c r="G851" s="647"/>
      <c r="H851" s="646"/>
      <c r="I851" s="648"/>
      <c r="J851" s="646"/>
      <c r="K851" s="646"/>
      <c r="L851" s="646"/>
      <c r="M851" s="35"/>
    </row>
    <row r="852" spans="3:13">
      <c r="C852" s="645"/>
      <c r="D852" s="645"/>
      <c r="E852" s="646"/>
      <c r="F852" s="646"/>
      <c r="G852" s="647"/>
      <c r="H852" s="646"/>
      <c r="I852" s="648"/>
      <c r="J852" s="646"/>
      <c r="K852" s="646"/>
      <c r="L852" s="646"/>
      <c r="M852" s="35"/>
    </row>
    <row r="853" spans="3:13">
      <c r="C853" s="645"/>
      <c r="D853" s="645"/>
      <c r="E853" s="646"/>
      <c r="F853" s="646"/>
      <c r="G853" s="647"/>
      <c r="H853" s="646"/>
      <c r="I853" s="648"/>
      <c r="J853" s="646"/>
      <c r="K853" s="646"/>
      <c r="L853" s="646"/>
      <c r="M853" s="35"/>
    </row>
    <row r="854" spans="3:13">
      <c r="C854" s="645"/>
      <c r="D854" s="645"/>
      <c r="E854" s="646"/>
      <c r="F854" s="646"/>
      <c r="G854" s="647"/>
      <c r="H854" s="646"/>
      <c r="I854" s="648"/>
      <c r="J854" s="646"/>
      <c r="K854" s="646"/>
      <c r="L854" s="646"/>
      <c r="M854" s="35"/>
    </row>
    <row r="855" spans="3:13">
      <c r="C855" s="645"/>
      <c r="D855" s="645"/>
      <c r="E855" s="646"/>
      <c r="F855" s="646"/>
      <c r="G855" s="647"/>
      <c r="H855" s="646"/>
      <c r="I855" s="648"/>
      <c r="J855" s="646"/>
      <c r="K855" s="646"/>
      <c r="L855" s="646"/>
      <c r="M855" s="35"/>
    </row>
    <row r="856" spans="3:13">
      <c r="C856" s="645"/>
      <c r="D856" s="645"/>
      <c r="E856" s="646"/>
      <c r="F856" s="646"/>
      <c r="G856" s="647"/>
      <c r="H856" s="646"/>
      <c r="I856" s="648"/>
      <c r="J856" s="646"/>
      <c r="K856" s="646"/>
      <c r="L856" s="646"/>
      <c r="M856" s="35"/>
    </row>
    <row r="857" spans="3:13">
      <c r="C857" s="645"/>
      <c r="D857" s="645"/>
      <c r="E857" s="646"/>
      <c r="F857" s="646"/>
      <c r="G857" s="647"/>
      <c r="H857" s="646"/>
      <c r="I857" s="648"/>
      <c r="J857" s="646"/>
      <c r="K857" s="646"/>
      <c r="L857" s="646"/>
      <c r="M857" s="35"/>
    </row>
    <row r="858" spans="3:13">
      <c r="C858" s="645"/>
      <c r="D858" s="645"/>
      <c r="E858" s="646"/>
      <c r="F858" s="646"/>
      <c r="G858" s="647"/>
      <c r="H858" s="646"/>
      <c r="I858" s="648"/>
      <c r="J858" s="646"/>
      <c r="K858" s="646"/>
      <c r="L858" s="646"/>
      <c r="M858" s="35"/>
    </row>
    <row r="859" spans="3:13">
      <c r="C859" s="645"/>
      <c r="D859" s="645"/>
      <c r="E859" s="646"/>
      <c r="F859" s="646"/>
      <c r="G859" s="647"/>
      <c r="H859" s="646"/>
      <c r="I859" s="648"/>
      <c r="J859" s="646"/>
      <c r="K859" s="646"/>
      <c r="L859" s="646"/>
      <c r="M859" s="35"/>
    </row>
    <row r="860" spans="3:13">
      <c r="C860" s="645"/>
      <c r="D860" s="645"/>
      <c r="E860" s="646"/>
      <c r="F860" s="646"/>
      <c r="G860" s="647"/>
      <c r="H860" s="646"/>
      <c r="I860" s="648"/>
      <c r="J860" s="646"/>
      <c r="K860" s="646"/>
      <c r="L860" s="646"/>
      <c r="M860" s="35"/>
    </row>
    <row r="861" spans="3:13">
      <c r="C861" s="645"/>
      <c r="D861" s="645"/>
      <c r="E861" s="646"/>
      <c r="F861" s="646"/>
      <c r="G861" s="647"/>
      <c r="H861" s="646"/>
      <c r="I861" s="648"/>
      <c r="J861" s="646"/>
      <c r="K861" s="646"/>
      <c r="L861" s="646"/>
      <c r="M861" s="35"/>
    </row>
    <row r="862" spans="3:13">
      <c r="C862" s="645"/>
      <c r="D862" s="645"/>
      <c r="E862" s="646"/>
      <c r="F862" s="646"/>
      <c r="G862" s="647"/>
      <c r="H862" s="646"/>
      <c r="I862" s="648"/>
      <c r="J862" s="646"/>
      <c r="K862" s="646"/>
      <c r="L862" s="646"/>
      <c r="M862" s="35"/>
    </row>
    <row r="863" spans="3:13">
      <c r="C863" s="645"/>
      <c r="D863" s="645"/>
      <c r="E863" s="646"/>
      <c r="F863" s="646"/>
      <c r="G863" s="647"/>
      <c r="H863" s="646"/>
      <c r="I863" s="648"/>
      <c r="J863" s="646"/>
      <c r="K863" s="646"/>
      <c r="L863" s="646"/>
      <c r="M863" s="35"/>
    </row>
    <row r="864" spans="3:13">
      <c r="C864" s="645"/>
      <c r="D864" s="645"/>
      <c r="E864" s="646"/>
      <c r="F864" s="646"/>
      <c r="G864" s="647"/>
      <c r="H864" s="646"/>
      <c r="I864" s="648"/>
      <c r="J864" s="646"/>
      <c r="K864" s="646"/>
      <c r="L864" s="646"/>
      <c r="M864" s="35"/>
    </row>
    <row r="865" spans="3:13">
      <c r="C865" s="645"/>
      <c r="D865" s="645"/>
      <c r="E865" s="646"/>
      <c r="F865" s="646"/>
      <c r="G865" s="647"/>
      <c r="H865" s="646"/>
      <c r="I865" s="648"/>
      <c r="J865" s="646"/>
      <c r="K865" s="646"/>
      <c r="L865" s="646"/>
      <c r="M865" s="35"/>
    </row>
    <row r="866" spans="3:13">
      <c r="C866" s="645"/>
      <c r="D866" s="645"/>
      <c r="E866" s="646"/>
      <c r="F866" s="646"/>
      <c r="G866" s="647"/>
      <c r="H866" s="646"/>
      <c r="I866" s="648"/>
      <c r="J866" s="646"/>
      <c r="K866" s="646"/>
      <c r="L866" s="646"/>
      <c r="M866" s="35"/>
    </row>
    <row r="867" spans="3:13">
      <c r="C867" s="645"/>
      <c r="D867" s="645"/>
      <c r="E867" s="646"/>
      <c r="F867" s="646"/>
      <c r="G867" s="647"/>
      <c r="H867" s="646"/>
      <c r="I867" s="648"/>
      <c r="J867" s="646"/>
      <c r="K867" s="646"/>
      <c r="L867" s="646"/>
      <c r="M867" s="35"/>
    </row>
    <row r="868" spans="3:13">
      <c r="C868" s="645"/>
      <c r="D868" s="645"/>
      <c r="E868" s="646"/>
      <c r="F868" s="646"/>
      <c r="G868" s="647"/>
      <c r="H868" s="646"/>
      <c r="I868" s="648"/>
      <c r="J868" s="646"/>
      <c r="K868" s="646"/>
      <c r="L868" s="646"/>
      <c r="M868" s="35"/>
    </row>
    <row r="869" spans="3:13">
      <c r="C869" s="645"/>
      <c r="D869" s="645"/>
      <c r="E869" s="646"/>
      <c r="F869" s="646"/>
      <c r="G869" s="647"/>
      <c r="H869" s="646"/>
      <c r="I869" s="648"/>
      <c r="J869" s="646"/>
      <c r="K869" s="646"/>
      <c r="L869" s="646"/>
      <c r="M869" s="35"/>
    </row>
    <row r="870" spans="3:13">
      <c r="C870" s="645"/>
      <c r="D870" s="645"/>
      <c r="E870" s="646"/>
      <c r="F870" s="646"/>
      <c r="G870" s="647"/>
      <c r="H870" s="646"/>
      <c r="I870" s="648"/>
      <c r="J870" s="646"/>
      <c r="K870" s="646"/>
      <c r="L870" s="646"/>
      <c r="M870" s="35"/>
    </row>
    <row r="871" spans="3:13">
      <c r="C871" s="645"/>
      <c r="D871" s="645"/>
      <c r="E871" s="646"/>
      <c r="F871" s="646"/>
      <c r="G871" s="647"/>
      <c r="H871" s="646"/>
      <c r="I871" s="648"/>
      <c r="J871" s="646"/>
      <c r="K871" s="646"/>
      <c r="L871" s="646"/>
      <c r="M871" s="35"/>
    </row>
    <row r="872" spans="3:13">
      <c r="C872" s="645"/>
      <c r="D872" s="645"/>
      <c r="E872" s="646"/>
      <c r="F872" s="646"/>
      <c r="G872" s="647"/>
      <c r="H872" s="646"/>
      <c r="I872" s="648"/>
      <c r="J872" s="646"/>
      <c r="K872" s="646"/>
      <c r="L872" s="646"/>
      <c r="M872" s="35"/>
    </row>
    <row r="873" spans="3:13">
      <c r="C873" s="645"/>
      <c r="D873" s="645"/>
      <c r="E873" s="646"/>
      <c r="F873" s="646"/>
      <c r="G873" s="647"/>
      <c r="H873" s="646"/>
      <c r="I873" s="648"/>
      <c r="J873" s="646"/>
      <c r="K873" s="646"/>
      <c r="L873" s="646"/>
      <c r="M873" s="35"/>
    </row>
    <row r="874" spans="3:13">
      <c r="C874" s="645"/>
      <c r="D874" s="645"/>
      <c r="E874" s="646"/>
      <c r="F874" s="646"/>
      <c r="G874" s="647"/>
      <c r="H874" s="646"/>
      <c r="I874" s="648"/>
      <c r="J874" s="646"/>
      <c r="K874" s="646"/>
      <c r="L874" s="646"/>
      <c r="M874" s="35"/>
    </row>
    <row r="875" spans="3:13">
      <c r="C875" s="645"/>
      <c r="D875" s="645"/>
      <c r="E875" s="646"/>
      <c r="F875" s="646"/>
      <c r="G875" s="647"/>
      <c r="H875" s="646"/>
      <c r="I875" s="648"/>
      <c r="J875" s="646"/>
      <c r="K875" s="646"/>
      <c r="L875" s="646"/>
      <c r="M875" s="35"/>
    </row>
    <row r="876" spans="3:13">
      <c r="C876" s="645"/>
      <c r="D876" s="645"/>
      <c r="E876" s="646"/>
      <c r="F876" s="646"/>
      <c r="G876" s="647"/>
      <c r="H876" s="646"/>
      <c r="I876" s="648"/>
      <c r="J876" s="646"/>
      <c r="K876" s="646"/>
      <c r="L876" s="646"/>
      <c r="M876" s="35"/>
    </row>
    <row r="877" spans="3:13">
      <c r="C877" s="645"/>
      <c r="D877" s="645"/>
      <c r="E877" s="646"/>
      <c r="F877" s="646"/>
      <c r="G877" s="647"/>
      <c r="H877" s="646"/>
      <c r="I877" s="648"/>
      <c r="J877" s="646"/>
      <c r="K877" s="646"/>
      <c r="L877" s="646"/>
      <c r="M877" s="35"/>
    </row>
    <row r="878" spans="3:13">
      <c r="C878" s="645"/>
      <c r="D878" s="645"/>
      <c r="E878" s="646"/>
      <c r="F878" s="646"/>
      <c r="G878" s="647"/>
      <c r="H878" s="646"/>
      <c r="I878" s="648"/>
      <c r="J878" s="646"/>
      <c r="K878" s="646"/>
      <c r="L878" s="646"/>
      <c r="M878" s="35"/>
    </row>
    <row r="879" spans="3:13">
      <c r="C879" s="645"/>
      <c r="D879" s="645"/>
      <c r="E879" s="646"/>
      <c r="F879" s="646"/>
      <c r="G879" s="647"/>
      <c r="H879" s="646"/>
      <c r="I879" s="648"/>
      <c r="J879" s="646"/>
      <c r="K879" s="646"/>
      <c r="L879" s="646"/>
      <c r="M879" s="35"/>
    </row>
    <row r="880" spans="3:13">
      <c r="C880" s="645"/>
      <c r="D880" s="645"/>
      <c r="E880" s="646"/>
      <c r="F880" s="646"/>
      <c r="G880" s="647"/>
      <c r="H880" s="646"/>
      <c r="I880" s="648"/>
      <c r="J880" s="646"/>
      <c r="K880" s="646"/>
      <c r="L880" s="646"/>
      <c r="M880" s="35"/>
    </row>
    <row r="881" spans="3:13">
      <c r="C881" s="645"/>
      <c r="D881" s="645"/>
      <c r="E881" s="646"/>
      <c r="F881" s="646"/>
      <c r="G881" s="647"/>
      <c r="H881" s="646"/>
      <c r="I881" s="648"/>
      <c r="J881" s="646"/>
      <c r="K881" s="646"/>
      <c r="L881" s="646"/>
      <c r="M881" s="35"/>
    </row>
    <row r="882" spans="3:13">
      <c r="C882" s="645"/>
      <c r="D882" s="645"/>
      <c r="E882" s="646"/>
      <c r="F882" s="646"/>
      <c r="G882" s="647"/>
      <c r="H882" s="646"/>
      <c r="I882" s="648"/>
      <c r="J882" s="646"/>
      <c r="K882" s="646"/>
      <c r="L882" s="646"/>
      <c r="M882" s="35"/>
    </row>
    <row r="883" spans="3:13">
      <c r="C883" s="645"/>
      <c r="D883" s="645"/>
      <c r="E883" s="646"/>
      <c r="F883" s="646"/>
      <c r="G883" s="647"/>
      <c r="H883" s="646"/>
      <c r="I883" s="648"/>
      <c r="J883" s="646"/>
      <c r="K883" s="646"/>
      <c r="L883" s="646"/>
      <c r="M883" s="35"/>
    </row>
    <row r="884" spans="3:13">
      <c r="C884" s="645"/>
      <c r="D884" s="645"/>
      <c r="E884" s="646"/>
      <c r="F884" s="646"/>
      <c r="G884" s="647"/>
      <c r="H884" s="646"/>
      <c r="I884" s="648"/>
      <c r="J884" s="646"/>
      <c r="K884" s="646"/>
      <c r="L884" s="646"/>
      <c r="M884" s="35"/>
    </row>
    <row r="885" spans="3:13">
      <c r="C885" s="645"/>
      <c r="D885" s="645"/>
      <c r="E885" s="646"/>
      <c r="F885" s="646"/>
      <c r="G885" s="647"/>
      <c r="H885" s="646"/>
      <c r="I885" s="648"/>
      <c r="J885" s="646"/>
      <c r="K885" s="646"/>
      <c r="L885" s="646"/>
      <c r="M885" s="35"/>
    </row>
    <row r="886" spans="3:13">
      <c r="C886" s="645"/>
      <c r="D886" s="645"/>
      <c r="E886" s="646"/>
      <c r="F886" s="646"/>
      <c r="G886" s="647"/>
      <c r="H886" s="646"/>
      <c r="I886" s="648"/>
      <c r="J886" s="646"/>
      <c r="K886" s="646"/>
      <c r="L886" s="646"/>
      <c r="M886" s="35"/>
    </row>
    <row r="887" spans="3:13">
      <c r="C887" s="645"/>
      <c r="D887" s="645"/>
      <c r="E887" s="646"/>
      <c r="F887" s="646"/>
      <c r="G887" s="647"/>
      <c r="H887" s="646"/>
      <c r="I887" s="648"/>
      <c r="J887" s="646"/>
      <c r="K887" s="646"/>
      <c r="L887" s="646"/>
      <c r="M887" s="35"/>
    </row>
    <row r="888" spans="3:13">
      <c r="C888" s="645"/>
      <c r="D888" s="645"/>
      <c r="E888" s="646"/>
      <c r="F888" s="646"/>
      <c r="G888" s="647"/>
      <c r="H888" s="646"/>
      <c r="I888" s="648"/>
      <c r="J888" s="646"/>
      <c r="K888" s="646"/>
      <c r="L888" s="646"/>
      <c r="M888" s="35"/>
    </row>
    <row r="889" spans="3:13">
      <c r="C889" s="645"/>
      <c r="D889" s="645"/>
      <c r="E889" s="646"/>
      <c r="F889" s="646"/>
      <c r="G889" s="647"/>
      <c r="H889" s="646"/>
      <c r="I889" s="648"/>
      <c r="J889" s="646"/>
      <c r="K889" s="646"/>
      <c r="L889" s="646"/>
      <c r="M889" s="35"/>
    </row>
    <row r="890" spans="3:13">
      <c r="C890" s="645"/>
      <c r="D890" s="645"/>
      <c r="E890" s="646"/>
      <c r="F890" s="646"/>
      <c r="G890" s="647"/>
      <c r="H890" s="646"/>
      <c r="I890" s="648"/>
      <c r="J890" s="646"/>
      <c r="K890" s="646"/>
      <c r="L890" s="646"/>
      <c r="M890" s="35"/>
    </row>
    <row r="891" spans="3:13">
      <c r="C891" s="645"/>
      <c r="D891" s="645"/>
      <c r="E891" s="646"/>
      <c r="F891" s="646"/>
      <c r="G891" s="647"/>
      <c r="H891" s="646"/>
      <c r="I891" s="648"/>
      <c r="J891" s="646"/>
      <c r="K891" s="646"/>
      <c r="L891" s="646"/>
      <c r="M891" s="35"/>
    </row>
    <row r="892" spans="3:13">
      <c r="C892" s="645"/>
      <c r="D892" s="645"/>
      <c r="E892" s="646"/>
      <c r="F892" s="646"/>
      <c r="G892" s="647"/>
      <c r="H892" s="646"/>
      <c r="I892" s="648"/>
      <c r="J892" s="646"/>
      <c r="K892" s="646"/>
      <c r="L892" s="646"/>
      <c r="M892" s="35"/>
    </row>
    <row r="893" spans="3:13">
      <c r="C893" s="645"/>
      <c r="D893" s="645"/>
      <c r="E893" s="646"/>
      <c r="F893" s="646"/>
      <c r="G893" s="647"/>
      <c r="H893" s="646"/>
      <c r="I893" s="648"/>
      <c r="J893" s="646"/>
      <c r="K893" s="646"/>
      <c r="L893" s="646"/>
      <c r="M893" s="35"/>
    </row>
    <row r="894" spans="3:13">
      <c r="C894" s="645"/>
      <c r="D894" s="645"/>
      <c r="E894" s="646"/>
      <c r="F894" s="646"/>
      <c r="G894" s="647"/>
      <c r="H894" s="646"/>
      <c r="I894" s="648"/>
      <c r="J894" s="646"/>
      <c r="K894" s="646"/>
      <c r="L894" s="646"/>
      <c r="M894" s="35"/>
    </row>
    <row r="895" spans="3:13">
      <c r="C895" s="645"/>
      <c r="D895" s="645"/>
      <c r="E895" s="646"/>
      <c r="F895" s="646"/>
      <c r="G895" s="647"/>
      <c r="H895" s="646"/>
      <c r="I895" s="648"/>
      <c r="J895" s="646"/>
      <c r="K895" s="646"/>
      <c r="L895" s="646"/>
      <c r="M895" s="35"/>
    </row>
    <row r="896" spans="3:13">
      <c r="C896" s="645"/>
      <c r="D896" s="645"/>
      <c r="E896" s="646"/>
      <c r="F896" s="646"/>
      <c r="G896" s="647"/>
      <c r="H896" s="646"/>
      <c r="I896" s="648"/>
      <c r="J896" s="646"/>
      <c r="K896" s="646"/>
      <c r="L896" s="646"/>
      <c r="M896" s="35"/>
    </row>
    <row r="897" spans="3:13">
      <c r="C897" s="645"/>
      <c r="D897" s="645"/>
      <c r="E897" s="646"/>
      <c r="F897" s="646"/>
      <c r="G897" s="647"/>
      <c r="H897" s="646"/>
      <c r="I897" s="648"/>
      <c r="J897" s="646"/>
      <c r="K897" s="646"/>
      <c r="L897" s="646"/>
      <c r="M897" s="35"/>
    </row>
    <row r="898" spans="3:13">
      <c r="C898" s="645"/>
      <c r="D898" s="645"/>
      <c r="E898" s="646"/>
      <c r="F898" s="646"/>
      <c r="G898" s="647"/>
      <c r="H898" s="646"/>
      <c r="I898" s="648"/>
      <c r="J898" s="646"/>
      <c r="K898" s="646"/>
      <c r="L898" s="646"/>
      <c r="M898" s="35"/>
    </row>
    <row r="899" spans="3:13">
      <c r="C899" s="645"/>
      <c r="D899" s="645"/>
      <c r="E899" s="646"/>
      <c r="F899" s="646"/>
      <c r="G899" s="647"/>
      <c r="H899" s="646"/>
      <c r="I899" s="648"/>
      <c r="J899" s="646"/>
      <c r="K899" s="646"/>
      <c r="L899" s="646"/>
      <c r="M899" s="35"/>
    </row>
    <row r="900" spans="3:13">
      <c r="C900" s="645"/>
      <c r="D900" s="645"/>
      <c r="E900" s="646"/>
      <c r="F900" s="646"/>
      <c r="G900" s="647"/>
      <c r="H900" s="646"/>
      <c r="I900" s="648"/>
      <c r="J900" s="646"/>
      <c r="K900" s="646"/>
      <c r="L900" s="646"/>
      <c r="M900" s="35"/>
    </row>
    <row r="901" spans="3:13">
      <c r="C901" s="645"/>
      <c r="D901" s="645"/>
      <c r="E901" s="646"/>
      <c r="F901" s="646"/>
      <c r="G901" s="647"/>
      <c r="H901" s="646"/>
      <c r="I901" s="648"/>
      <c r="J901" s="646"/>
      <c r="K901" s="646"/>
      <c r="L901" s="646"/>
      <c r="M901" s="35"/>
    </row>
    <row r="902" spans="3:13">
      <c r="C902" s="645"/>
      <c r="D902" s="645"/>
      <c r="E902" s="646"/>
      <c r="F902" s="646"/>
      <c r="G902" s="647"/>
      <c r="H902" s="646"/>
      <c r="I902" s="648"/>
      <c r="J902" s="646"/>
      <c r="K902" s="646"/>
      <c r="L902" s="646"/>
      <c r="M902" s="35"/>
    </row>
    <row r="903" spans="3:13">
      <c r="C903" s="645"/>
      <c r="D903" s="645"/>
      <c r="E903" s="646"/>
      <c r="F903" s="646"/>
      <c r="G903" s="647"/>
      <c r="H903" s="646"/>
      <c r="I903" s="648"/>
      <c r="J903" s="646"/>
      <c r="K903" s="646"/>
      <c r="L903" s="646"/>
      <c r="M903" s="35"/>
    </row>
    <row r="904" spans="3:13">
      <c r="C904" s="645"/>
      <c r="D904" s="645"/>
      <c r="E904" s="646"/>
      <c r="F904" s="646"/>
      <c r="G904" s="647"/>
      <c r="H904" s="646"/>
      <c r="I904" s="648"/>
      <c r="J904" s="646"/>
      <c r="K904" s="646"/>
      <c r="L904" s="646"/>
      <c r="M904" s="35"/>
    </row>
    <row r="905" spans="3:13">
      <c r="C905" s="645"/>
      <c r="D905" s="645"/>
      <c r="E905" s="646"/>
      <c r="F905" s="646"/>
      <c r="G905" s="647"/>
      <c r="H905" s="646"/>
      <c r="I905" s="648"/>
      <c r="J905" s="646"/>
      <c r="K905" s="646"/>
      <c r="L905" s="646"/>
      <c r="M905" s="35"/>
    </row>
    <row r="906" spans="3:13">
      <c r="C906" s="645"/>
      <c r="D906" s="645"/>
      <c r="E906" s="646"/>
      <c r="F906" s="646"/>
      <c r="G906" s="647"/>
      <c r="H906" s="646"/>
      <c r="I906" s="648"/>
      <c r="J906" s="646"/>
      <c r="K906" s="646"/>
      <c r="L906" s="646"/>
      <c r="M906" s="35"/>
    </row>
    <row r="907" spans="3:13">
      <c r="C907" s="645"/>
      <c r="D907" s="645"/>
      <c r="E907" s="646"/>
      <c r="F907" s="646"/>
      <c r="G907" s="647"/>
      <c r="H907" s="646"/>
      <c r="I907" s="648"/>
      <c r="J907" s="646"/>
      <c r="K907" s="646"/>
      <c r="L907" s="646"/>
      <c r="M907" s="35"/>
    </row>
    <row r="908" spans="3:13">
      <c r="C908" s="645"/>
      <c r="D908" s="645"/>
      <c r="E908" s="646"/>
      <c r="F908" s="646"/>
      <c r="G908" s="647"/>
      <c r="H908" s="646"/>
      <c r="I908" s="648"/>
      <c r="J908" s="646"/>
      <c r="K908" s="646"/>
      <c r="L908" s="646"/>
      <c r="M908" s="35"/>
    </row>
    <row r="909" spans="3:13">
      <c r="C909" s="645"/>
      <c r="D909" s="645"/>
      <c r="E909" s="646"/>
      <c r="F909" s="646"/>
      <c r="G909" s="647"/>
      <c r="H909" s="646"/>
      <c r="I909" s="648"/>
      <c r="J909" s="646"/>
      <c r="K909" s="646"/>
      <c r="L909" s="646"/>
      <c r="M909" s="35"/>
    </row>
    <row r="910" spans="3:13">
      <c r="C910" s="645"/>
      <c r="D910" s="645"/>
      <c r="E910" s="646"/>
      <c r="F910" s="646"/>
      <c r="G910" s="647"/>
      <c r="H910" s="646"/>
      <c r="I910" s="648"/>
      <c r="J910" s="646"/>
      <c r="K910" s="646"/>
      <c r="L910" s="646"/>
      <c r="M910" s="35"/>
    </row>
    <row r="911" spans="3:13">
      <c r="C911" s="645"/>
      <c r="D911" s="645"/>
      <c r="E911" s="646"/>
      <c r="F911" s="646"/>
      <c r="G911" s="647"/>
      <c r="H911" s="646"/>
      <c r="I911" s="648"/>
      <c r="J911" s="646"/>
      <c r="K911" s="646"/>
      <c r="L911" s="646"/>
      <c r="M911" s="35"/>
    </row>
    <row r="912" spans="3:13">
      <c r="C912" s="645"/>
      <c r="D912" s="645"/>
      <c r="E912" s="646"/>
      <c r="F912" s="646"/>
      <c r="G912" s="647"/>
      <c r="H912" s="646"/>
      <c r="I912" s="648"/>
      <c r="J912" s="646"/>
      <c r="K912" s="646"/>
      <c r="L912" s="646"/>
      <c r="M912" s="35"/>
    </row>
    <row r="913" spans="3:13">
      <c r="C913" s="645"/>
      <c r="D913" s="645"/>
      <c r="E913" s="646"/>
      <c r="F913" s="646"/>
      <c r="G913" s="647"/>
      <c r="H913" s="646"/>
      <c r="I913" s="648"/>
      <c r="J913" s="646"/>
      <c r="K913" s="646"/>
      <c r="L913" s="646"/>
      <c r="M913" s="35"/>
    </row>
    <row r="914" spans="3:13">
      <c r="C914" s="645"/>
      <c r="D914" s="645"/>
      <c r="E914" s="646"/>
      <c r="F914" s="646"/>
      <c r="G914" s="647"/>
      <c r="H914" s="646"/>
      <c r="I914" s="648"/>
      <c r="J914" s="646"/>
      <c r="K914" s="646"/>
      <c r="L914" s="646"/>
      <c r="M914" s="35"/>
    </row>
    <row r="915" spans="3:13">
      <c r="C915" s="645"/>
      <c r="D915" s="645"/>
      <c r="E915" s="646"/>
      <c r="F915" s="646"/>
      <c r="G915" s="647"/>
      <c r="H915" s="646"/>
      <c r="I915" s="648"/>
      <c r="J915" s="646"/>
      <c r="K915" s="646"/>
      <c r="L915" s="646"/>
      <c r="M915" s="35"/>
    </row>
    <row r="916" spans="3:13">
      <c r="C916" s="645"/>
      <c r="D916" s="645"/>
      <c r="E916" s="646"/>
      <c r="F916" s="646"/>
      <c r="G916" s="647"/>
      <c r="H916" s="646"/>
      <c r="I916" s="648"/>
      <c r="J916" s="646"/>
      <c r="K916" s="646"/>
      <c r="L916" s="646"/>
      <c r="M916" s="35"/>
    </row>
    <row r="917" spans="3:13">
      <c r="C917" s="645"/>
      <c r="D917" s="645"/>
      <c r="E917" s="646"/>
      <c r="F917" s="646"/>
      <c r="G917" s="647"/>
      <c r="H917" s="646"/>
      <c r="I917" s="648"/>
      <c r="J917" s="646"/>
      <c r="K917" s="646"/>
      <c r="L917" s="646"/>
      <c r="M917" s="35"/>
    </row>
    <row r="918" spans="3:13">
      <c r="C918" s="645"/>
      <c r="D918" s="645"/>
      <c r="E918" s="646"/>
      <c r="F918" s="646"/>
      <c r="G918" s="647"/>
      <c r="H918" s="646"/>
      <c r="I918" s="648"/>
      <c r="J918" s="646"/>
      <c r="K918" s="646"/>
      <c r="L918" s="646"/>
      <c r="M918" s="35"/>
    </row>
    <row r="919" spans="3:13">
      <c r="C919" s="645"/>
      <c r="D919" s="645"/>
      <c r="E919" s="646"/>
      <c r="F919" s="646"/>
      <c r="G919" s="647"/>
      <c r="H919" s="646"/>
      <c r="I919" s="648"/>
      <c r="J919" s="646"/>
      <c r="K919" s="646"/>
      <c r="L919" s="646"/>
      <c r="M919" s="35"/>
    </row>
    <row r="920" spans="3:13">
      <c r="C920" s="645"/>
      <c r="D920" s="645"/>
      <c r="E920" s="646"/>
      <c r="F920" s="646"/>
      <c r="G920" s="647"/>
      <c r="H920" s="646"/>
      <c r="I920" s="648"/>
      <c r="J920" s="646"/>
      <c r="K920" s="646"/>
      <c r="L920" s="646"/>
      <c r="M920" s="35"/>
    </row>
    <row r="921" spans="3:13">
      <c r="C921" s="645"/>
      <c r="D921" s="645"/>
      <c r="E921" s="646"/>
      <c r="F921" s="646"/>
      <c r="G921" s="647"/>
      <c r="H921" s="646"/>
      <c r="I921" s="648"/>
      <c r="J921" s="646"/>
      <c r="K921" s="646"/>
      <c r="L921" s="646"/>
      <c r="M921" s="35"/>
    </row>
    <row r="922" spans="3:13">
      <c r="C922" s="645"/>
      <c r="D922" s="645"/>
      <c r="E922" s="646"/>
      <c r="F922" s="646"/>
      <c r="G922" s="647"/>
      <c r="H922" s="646"/>
      <c r="I922" s="648"/>
      <c r="J922" s="646"/>
      <c r="K922" s="646"/>
      <c r="L922" s="646"/>
      <c r="M922" s="35"/>
    </row>
    <row r="923" spans="3:13">
      <c r="C923" s="645"/>
      <c r="D923" s="645"/>
      <c r="E923" s="646"/>
      <c r="F923" s="646"/>
      <c r="G923" s="647"/>
      <c r="H923" s="646"/>
      <c r="I923" s="648"/>
      <c r="J923" s="646"/>
      <c r="K923" s="646"/>
      <c r="L923" s="646"/>
      <c r="M923" s="35"/>
    </row>
    <row r="924" spans="3:13">
      <c r="C924" s="645"/>
      <c r="D924" s="645"/>
      <c r="E924" s="646"/>
      <c r="F924" s="646"/>
      <c r="G924" s="647"/>
      <c r="H924" s="646"/>
      <c r="I924" s="648"/>
      <c r="J924" s="646"/>
      <c r="K924" s="646"/>
      <c r="L924" s="646"/>
      <c r="M924" s="35"/>
    </row>
    <row r="925" spans="3:13">
      <c r="C925" s="645"/>
      <c r="D925" s="645"/>
      <c r="E925" s="646"/>
      <c r="F925" s="646"/>
      <c r="G925" s="647"/>
      <c r="H925" s="646"/>
      <c r="I925" s="648"/>
      <c r="J925" s="646"/>
      <c r="K925" s="646"/>
      <c r="L925" s="646"/>
      <c r="M925" s="35"/>
    </row>
    <row r="926" spans="3:13">
      <c r="C926" s="645"/>
      <c r="D926" s="645"/>
      <c r="E926" s="646"/>
      <c r="F926" s="646"/>
      <c r="G926" s="647"/>
      <c r="H926" s="646"/>
      <c r="I926" s="648"/>
      <c r="J926" s="646"/>
      <c r="K926" s="646"/>
      <c r="L926" s="646"/>
      <c r="M926" s="35"/>
    </row>
    <row r="927" spans="3:13">
      <c r="C927" s="645"/>
      <c r="D927" s="645"/>
      <c r="E927" s="646"/>
      <c r="F927" s="646"/>
      <c r="G927" s="647"/>
      <c r="H927" s="646"/>
      <c r="I927" s="648"/>
      <c r="J927" s="646"/>
      <c r="K927" s="646"/>
      <c r="L927" s="646"/>
      <c r="M927" s="35"/>
    </row>
    <row r="928" spans="3:13">
      <c r="C928" s="645"/>
      <c r="D928" s="645"/>
      <c r="E928" s="646"/>
      <c r="F928" s="646"/>
      <c r="G928" s="647"/>
      <c r="H928" s="646"/>
      <c r="I928" s="648"/>
      <c r="J928" s="646"/>
      <c r="K928" s="646"/>
      <c r="L928" s="646"/>
      <c r="M928" s="35"/>
    </row>
    <row r="929" spans="3:13">
      <c r="C929" s="645"/>
      <c r="D929" s="645"/>
      <c r="E929" s="646"/>
      <c r="F929" s="646"/>
      <c r="G929" s="647"/>
      <c r="H929" s="646"/>
      <c r="I929" s="648"/>
      <c r="J929" s="646"/>
      <c r="K929" s="646"/>
      <c r="L929" s="646"/>
      <c r="M929" s="35"/>
    </row>
    <row r="930" spans="3:13">
      <c r="C930" s="645"/>
      <c r="D930" s="645"/>
      <c r="E930" s="646"/>
      <c r="F930" s="646"/>
      <c r="G930" s="647"/>
      <c r="H930" s="646"/>
      <c r="I930" s="648"/>
      <c r="J930" s="646"/>
      <c r="K930" s="646"/>
      <c r="L930" s="646"/>
      <c r="M930" s="35"/>
    </row>
    <row r="931" spans="3:13">
      <c r="C931" s="645"/>
      <c r="D931" s="645"/>
      <c r="E931" s="646"/>
      <c r="F931" s="646"/>
      <c r="G931" s="647"/>
      <c r="H931" s="646"/>
      <c r="I931" s="648"/>
      <c r="J931" s="646"/>
      <c r="K931" s="646"/>
      <c r="L931" s="646"/>
      <c r="M931" s="35"/>
    </row>
    <row r="932" spans="3:13">
      <c r="C932" s="645"/>
      <c r="D932" s="645"/>
      <c r="E932" s="646"/>
      <c r="F932" s="646"/>
      <c r="G932" s="647"/>
      <c r="H932" s="646"/>
      <c r="I932" s="648"/>
      <c r="J932" s="646"/>
      <c r="K932" s="646"/>
      <c r="L932" s="646"/>
      <c r="M932" s="35"/>
    </row>
    <row r="933" spans="3:13">
      <c r="C933" s="645"/>
      <c r="D933" s="645"/>
      <c r="E933" s="646"/>
      <c r="F933" s="646"/>
      <c r="G933" s="647"/>
      <c r="H933" s="646"/>
      <c r="I933" s="648"/>
      <c r="J933" s="646"/>
      <c r="K933" s="646"/>
      <c r="L933" s="646"/>
      <c r="M933" s="35"/>
    </row>
    <row r="934" spans="3:13">
      <c r="C934" s="645"/>
      <c r="D934" s="645"/>
      <c r="E934" s="646"/>
      <c r="F934" s="646"/>
      <c r="G934" s="647"/>
      <c r="H934" s="646"/>
      <c r="I934" s="648"/>
      <c r="J934" s="646"/>
      <c r="K934" s="646"/>
      <c r="L934" s="646"/>
      <c r="M934" s="35"/>
    </row>
    <row r="935" spans="3:13">
      <c r="C935" s="645"/>
      <c r="D935" s="645"/>
      <c r="E935" s="646"/>
      <c r="F935" s="646"/>
      <c r="G935" s="647"/>
      <c r="H935" s="646"/>
      <c r="I935" s="648"/>
      <c r="J935" s="646"/>
      <c r="K935" s="646"/>
      <c r="L935" s="646"/>
      <c r="M935" s="35"/>
    </row>
    <row r="936" spans="3:13">
      <c r="C936" s="645"/>
      <c r="D936" s="645"/>
      <c r="E936" s="646"/>
      <c r="F936" s="646"/>
      <c r="G936" s="647"/>
      <c r="H936" s="646"/>
      <c r="I936" s="648"/>
      <c r="J936" s="646"/>
      <c r="K936" s="646"/>
      <c r="L936" s="646"/>
      <c r="M936" s="35"/>
    </row>
    <row r="937" spans="3:13">
      <c r="C937" s="645"/>
      <c r="D937" s="645"/>
      <c r="E937" s="646"/>
      <c r="F937" s="646"/>
      <c r="G937" s="647"/>
      <c r="H937" s="646"/>
      <c r="I937" s="648"/>
      <c r="J937" s="646"/>
      <c r="K937" s="646"/>
      <c r="L937" s="646"/>
      <c r="M937" s="35"/>
    </row>
    <row r="938" spans="3:13">
      <c r="C938" s="645"/>
      <c r="D938" s="645"/>
      <c r="E938" s="646"/>
      <c r="F938" s="646"/>
      <c r="G938" s="647"/>
      <c r="H938" s="646"/>
      <c r="I938" s="648"/>
      <c r="J938" s="646"/>
      <c r="K938" s="646"/>
      <c r="L938" s="646"/>
      <c r="M938" s="35"/>
    </row>
    <row r="939" spans="3:13">
      <c r="C939" s="645"/>
      <c r="D939" s="645"/>
      <c r="E939" s="646"/>
      <c r="F939" s="646"/>
      <c r="G939" s="647"/>
      <c r="H939" s="646"/>
      <c r="I939" s="648"/>
      <c r="J939" s="646"/>
      <c r="K939" s="646"/>
      <c r="L939" s="646"/>
      <c r="M939" s="35"/>
    </row>
    <row r="940" spans="3:13">
      <c r="C940" s="645"/>
      <c r="D940" s="645"/>
      <c r="E940" s="646"/>
      <c r="F940" s="646"/>
      <c r="G940" s="647"/>
      <c r="H940" s="646"/>
      <c r="I940" s="648"/>
      <c r="J940" s="646"/>
      <c r="K940" s="646"/>
      <c r="L940" s="646"/>
      <c r="M940" s="35"/>
    </row>
    <row r="941" spans="3:13">
      <c r="C941" s="645"/>
      <c r="D941" s="645"/>
      <c r="E941" s="646"/>
      <c r="F941" s="646"/>
      <c r="G941" s="647"/>
      <c r="H941" s="646"/>
      <c r="I941" s="648"/>
      <c r="J941" s="646"/>
      <c r="K941" s="646"/>
      <c r="L941" s="646"/>
      <c r="M941" s="35"/>
    </row>
    <row r="942" spans="3:13">
      <c r="C942" s="645"/>
      <c r="D942" s="645"/>
      <c r="E942" s="646"/>
      <c r="F942" s="646"/>
      <c r="G942" s="647"/>
      <c r="H942" s="646"/>
      <c r="I942" s="648"/>
      <c r="J942" s="646"/>
      <c r="K942" s="646"/>
      <c r="L942" s="646"/>
      <c r="M942" s="35"/>
    </row>
    <row r="943" spans="3:13">
      <c r="C943" s="645"/>
      <c r="D943" s="645"/>
      <c r="E943" s="646"/>
      <c r="F943" s="646"/>
      <c r="G943" s="647"/>
      <c r="H943" s="646"/>
      <c r="I943" s="648"/>
      <c r="J943" s="646"/>
      <c r="K943" s="646"/>
      <c r="L943" s="646"/>
      <c r="M943" s="35"/>
    </row>
    <row r="944" spans="3:13">
      <c r="C944" s="645"/>
      <c r="D944" s="645"/>
      <c r="E944" s="646"/>
      <c r="F944" s="646"/>
      <c r="G944" s="647"/>
      <c r="H944" s="646"/>
      <c r="I944" s="648"/>
      <c r="J944" s="646"/>
      <c r="K944" s="646"/>
      <c r="L944" s="646"/>
      <c r="M944" s="35"/>
    </row>
    <row r="945" spans="3:13">
      <c r="C945" s="645"/>
      <c r="D945" s="645"/>
      <c r="E945" s="646"/>
      <c r="F945" s="646"/>
      <c r="G945" s="647"/>
      <c r="H945" s="646"/>
      <c r="I945" s="648"/>
      <c r="J945" s="646"/>
      <c r="K945" s="646"/>
      <c r="L945" s="646"/>
      <c r="M945" s="35"/>
    </row>
    <row r="946" spans="3:13">
      <c r="C946" s="645"/>
      <c r="D946" s="645"/>
      <c r="E946" s="646"/>
      <c r="F946" s="646"/>
      <c r="G946" s="647"/>
      <c r="H946" s="646"/>
      <c r="I946" s="648"/>
      <c r="J946" s="646"/>
      <c r="K946" s="646"/>
      <c r="L946" s="646"/>
      <c r="M946" s="35"/>
    </row>
    <row r="947" spans="3:13">
      <c r="C947" s="645"/>
      <c r="D947" s="645"/>
      <c r="E947" s="646"/>
      <c r="F947" s="646"/>
      <c r="G947" s="647"/>
      <c r="H947" s="646"/>
      <c r="I947" s="648"/>
      <c r="J947" s="646"/>
      <c r="K947" s="646"/>
      <c r="L947" s="646"/>
      <c r="M947" s="35"/>
    </row>
    <row r="948" spans="3:13">
      <c r="C948" s="645"/>
      <c r="D948" s="645"/>
      <c r="E948" s="646"/>
      <c r="F948" s="646"/>
      <c r="G948" s="647"/>
      <c r="H948" s="646"/>
      <c r="I948" s="648"/>
      <c r="J948" s="646"/>
      <c r="K948" s="646"/>
      <c r="L948" s="646"/>
      <c r="M948" s="35"/>
    </row>
    <row r="949" spans="3:13">
      <c r="C949" s="645"/>
      <c r="D949" s="645"/>
      <c r="E949" s="646"/>
      <c r="F949" s="646"/>
      <c r="G949" s="647"/>
      <c r="H949" s="646"/>
      <c r="I949" s="648"/>
      <c r="J949" s="646"/>
      <c r="K949" s="646"/>
      <c r="L949" s="646"/>
      <c r="M949" s="35"/>
    </row>
    <row r="950" spans="3:13">
      <c r="C950" s="645"/>
      <c r="D950" s="645"/>
      <c r="E950" s="646"/>
      <c r="F950" s="646"/>
      <c r="G950" s="647"/>
      <c r="H950" s="646"/>
      <c r="I950" s="648"/>
      <c r="J950" s="646"/>
      <c r="K950" s="646"/>
      <c r="L950" s="646"/>
      <c r="M950" s="35"/>
    </row>
    <row r="951" spans="3:13">
      <c r="C951" s="645"/>
      <c r="D951" s="645"/>
      <c r="E951" s="646"/>
      <c r="F951" s="646"/>
      <c r="G951" s="647"/>
      <c r="H951" s="646"/>
      <c r="I951" s="648"/>
      <c r="J951" s="646"/>
      <c r="K951" s="646"/>
      <c r="L951" s="646"/>
      <c r="M951" s="35"/>
    </row>
    <row r="952" spans="3:13">
      <c r="C952" s="645"/>
      <c r="D952" s="645"/>
      <c r="E952" s="646"/>
      <c r="F952" s="646"/>
      <c r="G952" s="647"/>
      <c r="H952" s="646"/>
      <c r="I952" s="648"/>
      <c r="J952" s="646"/>
      <c r="K952" s="646"/>
      <c r="L952" s="646"/>
      <c r="M952" s="35"/>
    </row>
    <row r="953" spans="3:13">
      <c r="C953" s="645"/>
      <c r="D953" s="645"/>
      <c r="E953" s="646"/>
      <c r="F953" s="646"/>
      <c r="G953" s="647"/>
      <c r="H953" s="646"/>
      <c r="I953" s="648"/>
      <c r="J953" s="646"/>
      <c r="K953" s="646"/>
      <c r="L953" s="646"/>
      <c r="M953" s="35"/>
    </row>
    <row r="954" spans="3:13">
      <c r="C954" s="645"/>
      <c r="D954" s="645"/>
      <c r="E954" s="646"/>
      <c r="F954" s="646"/>
      <c r="G954" s="647"/>
      <c r="H954" s="646"/>
      <c r="I954" s="648"/>
      <c r="J954" s="646"/>
      <c r="K954" s="646"/>
      <c r="L954" s="646"/>
      <c r="M954" s="35"/>
    </row>
    <row r="955" spans="3:13">
      <c r="C955" s="645"/>
      <c r="D955" s="645"/>
      <c r="E955" s="646"/>
      <c r="F955" s="646"/>
      <c r="G955" s="647"/>
      <c r="H955" s="646"/>
      <c r="I955" s="648"/>
      <c r="J955" s="646"/>
      <c r="K955" s="646"/>
      <c r="L955" s="646"/>
      <c r="M955" s="35"/>
    </row>
    <row r="956" spans="3:13">
      <c r="C956" s="645"/>
      <c r="D956" s="645"/>
      <c r="E956" s="646"/>
      <c r="F956" s="646"/>
      <c r="G956" s="647"/>
      <c r="H956" s="646"/>
      <c r="I956" s="648"/>
      <c r="J956" s="646"/>
      <c r="K956" s="646"/>
      <c r="L956" s="646"/>
      <c r="M956" s="35"/>
    </row>
    <row r="957" spans="3:13">
      <c r="C957" s="645"/>
      <c r="D957" s="645"/>
      <c r="E957" s="646"/>
      <c r="F957" s="646"/>
      <c r="G957" s="647"/>
      <c r="H957" s="646"/>
      <c r="I957" s="648"/>
      <c r="J957" s="646"/>
      <c r="K957" s="646"/>
      <c r="L957" s="646"/>
      <c r="M957" s="35"/>
    </row>
    <row r="958" spans="3:13">
      <c r="C958" s="645"/>
      <c r="D958" s="645"/>
      <c r="E958" s="646"/>
      <c r="F958" s="646"/>
      <c r="G958" s="647"/>
      <c r="H958" s="646"/>
      <c r="I958" s="648"/>
      <c r="J958" s="646"/>
      <c r="K958" s="646"/>
      <c r="L958" s="646"/>
      <c r="M958" s="35"/>
    </row>
    <row r="959" spans="3:13">
      <c r="C959" s="645"/>
      <c r="D959" s="645"/>
      <c r="E959" s="646"/>
      <c r="F959" s="646"/>
      <c r="G959" s="647"/>
      <c r="H959" s="646"/>
      <c r="I959" s="648"/>
      <c r="J959" s="646"/>
      <c r="K959" s="646"/>
      <c r="L959" s="646"/>
      <c r="M959" s="35"/>
    </row>
    <row r="960" spans="3:13">
      <c r="C960" s="645"/>
      <c r="D960" s="645"/>
      <c r="E960" s="646"/>
      <c r="F960" s="646"/>
      <c r="G960" s="647"/>
      <c r="H960" s="646"/>
      <c r="I960" s="648"/>
      <c r="J960" s="646"/>
      <c r="K960" s="646"/>
      <c r="L960" s="646"/>
      <c r="M960" s="35"/>
    </row>
    <row r="961" spans="3:13">
      <c r="C961" s="645"/>
      <c r="D961" s="645"/>
      <c r="E961" s="646"/>
      <c r="F961" s="646"/>
      <c r="G961" s="647"/>
      <c r="H961" s="646"/>
      <c r="I961" s="648"/>
      <c r="J961" s="646"/>
      <c r="K961" s="646"/>
      <c r="L961" s="646"/>
      <c r="M961" s="35"/>
    </row>
    <row r="962" spans="3:13">
      <c r="C962" s="645"/>
      <c r="D962" s="645"/>
      <c r="E962" s="646"/>
      <c r="F962" s="646"/>
      <c r="G962" s="647"/>
      <c r="H962" s="646"/>
      <c r="I962" s="648"/>
      <c r="J962" s="646"/>
      <c r="K962" s="646"/>
      <c r="L962" s="646"/>
      <c r="M962" s="35"/>
    </row>
    <row r="963" spans="3:13">
      <c r="C963" s="645"/>
      <c r="D963" s="645"/>
      <c r="E963" s="646"/>
      <c r="F963" s="646"/>
      <c r="G963" s="647"/>
      <c r="H963" s="646"/>
      <c r="I963" s="648"/>
      <c r="J963" s="646"/>
      <c r="K963" s="646"/>
      <c r="L963" s="646"/>
      <c r="M963" s="35"/>
    </row>
    <row r="964" spans="3:13">
      <c r="C964" s="645"/>
      <c r="D964" s="645"/>
      <c r="E964" s="646"/>
      <c r="F964" s="646"/>
      <c r="G964" s="647"/>
      <c r="H964" s="646"/>
      <c r="I964" s="648"/>
      <c r="J964" s="646"/>
      <c r="K964" s="646"/>
      <c r="L964" s="646"/>
      <c r="M964" s="35"/>
    </row>
    <row r="965" spans="3:13">
      <c r="C965" s="645"/>
      <c r="D965" s="645"/>
      <c r="E965" s="646"/>
      <c r="F965" s="646"/>
      <c r="G965" s="647"/>
      <c r="H965" s="646"/>
      <c r="I965" s="648"/>
      <c r="J965" s="646"/>
      <c r="K965" s="646"/>
      <c r="L965" s="646"/>
      <c r="M965" s="35"/>
    </row>
    <row r="966" spans="3:13">
      <c r="C966" s="645"/>
      <c r="D966" s="645"/>
      <c r="E966" s="646"/>
      <c r="F966" s="646"/>
      <c r="G966" s="647"/>
      <c r="H966" s="646"/>
      <c r="I966" s="648"/>
      <c r="J966" s="646"/>
      <c r="K966" s="646"/>
      <c r="L966" s="646"/>
      <c r="M966" s="35"/>
    </row>
    <row r="967" spans="3:13">
      <c r="C967" s="645"/>
      <c r="D967" s="645"/>
      <c r="E967" s="646"/>
      <c r="F967" s="646"/>
      <c r="G967" s="647"/>
      <c r="H967" s="646"/>
      <c r="I967" s="648"/>
      <c r="J967" s="646"/>
      <c r="K967" s="646"/>
      <c r="L967" s="646"/>
      <c r="M967" s="35"/>
    </row>
    <row r="968" spans="3:13">
      <c r="C968" s="645"/>
      <c r="D968" s="645"/>
      <c r="E968" s="646"/>
      <c r="F968" s="646"/>
      <c r="G968" s="647"/>
      <c r="H968" s="646"/>
      <c r="I968" s="648"/>
      <c r="J968" s="646"/>
      <c r="K968" s="646"/>
      <c r="L968" s="646"/>
      <c r="M968" s="35"/>
    </row>
    <row r="969" spans="3:13">
      <c r="C969" s="645"/>
      <c r="D969" s="645"/>
      <c r="E969" s="646"/>
      <c r="F969" s="646"/>
      <c r="G969" s="647"/>
      <c r="H969" s="646"/>
      <c r="I969" s="648"/>
      <c r="J969" s="646"/>
      <c r="K969" s="646"/>
      <c r="L969" s="646"/>
      <c r="M969" s="35"/>
    </row>
    <row r="970" spans="3:13">
      <c r="C970" s="645"/>
      <c r="D970" s="645"/>
      <c r="E970" s="646"/>
      <c r="F970" s="646"/>
      <c r="G970" s="647"/>
      <c r="H970" s="646"/>
      <c r="I970" s="648"/>
      <c r="J970" s="646"/>
      <c r="K970" s="646"/>
      <c r="L970" s="646"/>
      <c r="M970" s="35"/>
    </row>
    <row r="971" spans="3:13">
      <c r="C971" s="645"/>
      <c r="D971" s="645"/>
      <c r="E971" s="646"/>
      <c r="F971" s="646"/>
      <c r="G971" s="647"/>
      <c r="H971" s="646"/>
      <c r="I971" s="648"/>
      <c r="J971" s="646"/>
      <c r="K971" s="646"/>
      <c r="L971" s="646"/>
      <c r="M971" s="35"/>
    </row>
    <row r="972" spans="3:13">
      <c r="C972" s="645"/>
      <c r="D972" s="645"/>
      <c r="E972" s="646"/>
      <c r="F972" s="646"/>
      <c r="G972" s="647"/>
      <c r="H972" s="646"/>
      <c r="I972" s="648"/>
      <c r="J972" s="646"/>
      <c r="K972" s="646"/>
      <c r="L972" s="646"/>
      <c r="M972" s="35"/>
    </row>
    <row r="973" spans="3:13">
      <c r="C973" s="645"/>
      <c r="D973" s="645"/>
      <c r="E973" s="646"/>
      <c r="F973" s="646"/>
      <c r="G973" s="647"/>
      <c r="H973" s="646"/>
      <c r="I973" s="648"/>
      <c r="J973" s="646"/>
      <c r="K973" s="646"/>
      <c r="L973" s="646"/>
      <c r="M973" s="35"/>
    </row>
    <row r="974" spans="3:13">
      <c r="C974" s="645"/>
      <c r="D974" s="645"/>
      <c r="E974" s="646"/>
      <c r="F974" s="646"/>
      <c r="G974" s="647"/>
      <c r="H974" s="646"/>
      <c r="I974" s="648"/>
      <c r="J974" s="646"/>
      <c r="K974" s="646"/>
      <c r="L974" s="646"/>
      <c r="M974" s="35"/>
    </row>
    <row r="975" spans="3:13">
      <c r="C975" s="645"/>
      <c r="D975" s="645"/>
      <c r="E975" s="646"/>
      <c r="F975" s="646"/>
      <c r="G975" s="647"/>
      <c r="H975" s="646"/>
      <c r="I975" s="648"/>
      <c r="J975" s="646"/>
      <c r="K975" s="646"/>
      <c r="L975" s="646"/>
      <c r="M975" s="35"/>
    </row>
    <row r="976" spans="3:13">
      <c r="C976" s="645"/>
      <c r="D976" s="645"/>
      <c r="E976" s="646"/>
      <c r="F976" s="646"/>
      <c r="G976" s="647"/>
      <c r="H976" s="646"/>
      <c r="I976" s="648"/>
      <c r="J976" s="646"/>
      <c r="K976" s="646"/>
      <c r="L976" s="646"/>
      <c r="M976" s="35"/>
    </row>
    <row r="977" spans="3:13">
      <c r="C977" s="645"/>
      <c r="D977" s="645"/>
      <c r="E977" s="646"/>
      <c r="F977" s="646"/>
      <c r="G977" s="647"/>
      <c r="H977" s="646"/>
      <c r="I977" s="648"/>
      <c r="J977" s="646"/>
      <c r="K977" s="646"/>
      <c r="L977" s="646"/>
      <c r="M977" s="35"/>
    </row>
    <row r="978" spans="3:13">
      <c r="C978" s="645"/>
      <c r="D978" s="645"/>
      <c r="E978" s="646"/>
      <c r="F978" s="646"/>
      <c r="G978" s="647"/>
      <c r="H978" s="646"/>
      <c r="I978" s="648"/>
      <c r="J978" s="646"/>
      <c r="K978" s="646"/>
      <c r="L978" s="646"/>
      <c r="M978" s="35"/>
    </row>
    <row r="979" spans="3:13">
      <c r="C979" s="645"/>
      <c r="D979" s="645"/>
      <c r="E979" s="646"/>
      <c r="F979" s="646"/>
      <c r="G979" s="647"/>
      <c r="H979" s="646"/>
      <c r="I979" s="648"/>
      <c r="J979" s="646"/>
      <c r="K979" s="646"/>
      <c r="L979" s="646"/>
      <c r="M979" s="35"/>
    </row>
    <row r="980" spans="3:13">
      <c r="C980" s="645"/>
      <c r="D980" s="645"/>
      <c r="E980" s="646"/>
      <c r="F980" s="646"/>
      <c r="G980" s="647"/>
      <c r="H980" s="646"/>
      <c r="I980" s="648"/>
      <c r="J980" s="646"/>
      <c r="K980" s="646"/>
      <c r="L980" s="646"/>
      <c r="M980" s="35"/>
    </row>
    <row r="981" spans="3:13">
      <c r="C981" s="645"/>
      <c r="D981" s="645"/>
      <c r="E981" s="646"/>
      <c r="F981" s="646"/>
      <c r="G981" s="647"/>
      <c r="H981" s="646"/>
      <c r="I981" s="648"/>
      <c r="J981" s="646"/>
      <c r="K981" s="646"/>
      <c r="L981" s="646"/>
      <c r="M981" s="35"/>
    </row>
    <row r="982" spans="3:13">
      <c r="C982" s="645"/>
      <c r="D982" s="645"/>
      <c r="E982" s="646"/>
      <c r="F982" s="646"/>
      <c r="G982" s="647"/>
      <c r="H982" s="646"/>
      <c r="I982" s="648"/>
      <c r="J982" s="646"/>
      <c r="K982" s="646"/>
      <c r="L982" s="646"/>
      <c r="M982" s="35"/>
    </row>
    <row r="983" spans="3:13">
      <c r="C983" s="645"/>
      <c r="D983" s="645"/>
      <c r="E983" s="646"/>
      <c r="F983" s="646"/>
      <c r="G983" s="647"/>
      <c r="H983" s="646"/>
      <c r="I983" s="648"/>
      <c r="J983" s="646"/>
      <c r="K983" s="646"/>
      <c r="L983" s="646"/>
      <c r="M983" s="35"/>
    </row>
    <row r="984" spans="3:13">
      <c r="C984" s="645"/>
      <c r="D984" s="645"/>
      <c r="E984" s="646"/>
      <c r="F984" s="646"/>
      <c r="G984" s="647"/>
      <c r="H984" s="646"/>
      <c r="I984" s="648"/>
      <c r="J984" s="646"/>
      <c r="K984" s="646"/>
      <c r="L984" s="646"/>
      <c r="M984" s="35"/>
    </row>
    <row r="985" spans="3:13">
      <c r="C985" s="645"/>
      <c r="D985" s="645"/>
      <c r="E985" s="646"/>
      <c r="F985" s="646"/>
      <c r="G985" s="647"/>
      <c r="H985" s="646"/>
      <c r="I985" s="648"/>
      <c r="J985" s="646"/>
      <c r="K985" s="646"/>
      <c r="L985" s="646"/>
      <c r="M985" s="35"/>
    </row>
    <row r="986" spans="3:13">
      <c r="C986" s="645"/>
      <c r="D986" s="645"/>
      <c r="E986" s="646"/>
      <c r="F986" s="646"/>
      <c r="G986" s="647"/>
      <c r="H986" s="646"/>
      <c r="I986" s="648"/>
      <c r="J986" s="646"/>
      <c r="K986" s="646"/>
      <c r="L986" s="646"/>
      <c r="M986" s="35"/>
    </row>
    <row r="987" spans="3:13">
      <c r="C987" s="645"/>
      <c r="D987" s="645"/>
      <c r="E987" s="646"/>
      <c r="F987" s="646"/>
      <c r="G987" s="647"/>
      <c r="H987" s="646"/>
      <c r="I987" s="648"/>
      <c r="J987" s="646"/>
      <c r="K987" s="646"/>
      <c r="L987" s="646"/>
      <c r="M987" s="35"/>
    </row>
    <row r="988" spans="3:13">
      <c r="C988" s="645"/>
      <c r="D988" s="645"/>
      <c r="E988" s="646"/>
      <c r="F988" s="646"/>
      <c r="G988" s="647"/>
      <c r="H988" s="646"/>
      <c r="I988" s="648"/>
      <c r="J988" s="646"/>
      <c r="K988" s="646"/>
      <c r="L988" s="646"/>
      <c r="M988" s="35"/>
    </row>
    <row r="989" spans="3:13">
      <c r="C989" s="645"/>
      <c r="D989" s="645"/>
      <c r="E989" s="646"/>
      <c r="F989" s="646"/>
      <c r="G989" s="647"/>
      <c r="H989" s="646"/>
      <c r="I989" s="648"/>
      <c r="J989" s="646"/>
      <c r="K989" s="646"/>
      <c r="L989" s="646"/>
      <c r="M989" s="35"/>
    </row>
    <row r="990" spans="3:13">
      <c r="C990" s="645"/>
      <c r="D990" s="645"/>
      <c r="E990" s="646"/>
      <c r="F990" s="646"/>
      <c r="G990" s="647"/>
      <c r="H990" s="646"/>
      <c r="I990" s="648"/>
      <c r="J990" s="646"/>
      <c r="K990" s="646"/>
      <c r="L990" s="646"/>
      <c r="M990" s="35"/>
    </row>
    <row r="991" spans="3:13">
      <c r="C991" s="645"/>
      <c r="D991" s="645"/>
      <c r="E991" s="646"/>
      <c r="F991" s="646"/>
      <c r="G991" s="647"/>
      <c r="H991" s="646"/>
      <c r="I991" s="648"/>
      <c r="J991" s="646"/>
      <c r="K991" s="646"/>
      <c r="L991" s="646"/>
      <c r="M991" s="35"/>
    </row>
    <row r="992" spans="3:13">
      <c r="C992" s="645"/>
      <c r="D992" s="645"/>
      <c r="E992" s="646"/>
      <c r="F992" s="646"/>
      <c r="G992" s="647"/>
      <c r="H992" s="646"/>
      <c r="I992" s="648"/>
      <c r="J992" s="646"/>
      <c r="K992" s="646"/>
      <c r="L992" s="646"/>
      <c r="M992" s="35"/>
    </row>
    <row r="993" spans="3:13">
      <c r="C993" s="645"/>
      <c r="D993" s="645"/>
      <c r="E993" s="646"/>
      <c r="F993" s="646"/>
      <c r="G993" s="647"/>
      <c r="H993" s="646"/>
      <c r="I993" s="648"/>
      <c r="J993" s="646"/>
      <c r="K993" s="646"/>
      <c r="L993" s="646"/>
      <c r="M993" s="35"/>
    </row>
    <row r="994" spans="3:13">
      <c r="C994" s="645"/>
      <c r="D994" s="645"/>
      <c r="E994" s="646"/>
      <c r="F994" s="646"/>
      <c r="G994" s="647"/>
      <c r="H994" s="646"/>
      <c r="I994" s="648"/>
      <c r="J994" s="646"/>
      <c r="K994" s="646"/>
      <c r="L994" s="646"/>
      <c r="M994" s="35"/>
    </row>
    <row r="995" spans="3:13">
      <c r="C995" s="645"/>
      <c r="D995" s="645"/>
      <c r="E995" s="646"/>
      <c r="F995" s="646"/>
      <c r="G995" s="647"/>
      <c r="H995" s="646"/>
      <c r="I995" s="648"/>
      <c r="J995" s="646"/>
      <c r="K995" s="646"/>
      <c r="L995" s="646"/>
      <c r="M995" s="35"/>
    </row>
    <row r="996" spans="3:13">
      <c r="C996" s="645"/>
      <c r="D996" s="645"/>
      <c r="E996" s="646"/>
      <c r="F996" s="646"/>
      <c r="G996" s="647"/>
      <c r="H996" s="646"/>
      <c r="I996" s="648"/>
      <c r="J996" s="646"/>
      <c r="K996" s="646"/>
      <c r="L996" s="646"/>
      <c r="M996" s="35"/>
    </row>
    <row r="997" spans="3:13">
      <c r="C997" s="645"/>
      <c r="D997" s="645"/>
      <c r="E997" s="646"/>
      <c r="F997" s="646"/>
      <c r="G997" s="647"/>
      <c r="H997" s="646"/>
      <c r="I997" s="648"/>
      <c r="J997" s="646"/>
      <c r="K997" s="646"/>
      <c r="L997" s="646"/>
      <c r="M997" s="35"/>
    </row>
    <row r="998" spans="3:13">
      <c r="C998" s="645"/>
      <c r="D998" s="645"/>
      <c r="E998" s="646"/>
      <c r="F998" s="646"/>
      <c r="G998" s="647"/>
      <c r="H998" s="646"/>
      <c r="I998" s="648"/>
      <c r="J998" s="646"/>
      <c r="K998" s="646"/>
      <c r="L998" s="646"/>
      <c r="M998" s="35"/>
    </row>
    <row r="999" spans="3:13">
      <c r="C999" s="645"/>
      <c r="D999" s="645"/>
      <c r="E999" s="646"/>
      <c r="F999" s="646"/>
      <c r="G999" s="647"/>
      <c r="H999" s="646"/>
      <c r="I999" s="648"/>
      <c r="J999" s="646"/>
      <c r="K999" s="646"/>
      <c r="L999" s="646"/>
      <c r="M999" s="35"/>
    </row>
    <row r="1000" spans="3:13">
      <c r="C1000" s="645"/>
      <c r="D1000" s="645"/>
      <c r="E1000" s="646"/>
      <c r="F1000" s="646"/>
      <c r="G1000" s="647"/>
      <c r="H1000" s="646"/>
      <c r="I1000" s="648"/>
      <c r="J1000" s="646"/>
      <c r="K1000" s="646"/>
      <c r="L1000" s="646"/>
      <c r="M1000" s="35"/>
    </row>
    <row r="1001" spans="3:13">
      <c r="C1001" s="645"/>
      <c r="D1001" s="645"/>
      <c r="E1001" s="646"/>
      <c r="F1001" s="646"/>
      <c r="G1001" s="647"/>
      <c r="H1001" s="646"/>
      <c r="I1001" s="648"/>
      <c r="J1001" s="646"/>
      <c r="K1001" s="646"/>
      <c r="L1001" s="646"/>
      <c r="M1001" s="35"/>
    </row>
    <row r="1002" spans="3:13">
      <c r="C1002" s="645"/>
      <c r="D1002" s="645"/>
      <c r="E1002" s="646"/>
      <c r="F1002" s="646"/>
      <c r="G1002" s="647"/>
      <c r="H1002" s="646"/>
      <c r="I1002" s="648"/>
      <c r="J1002" s="646"/>
      <c r="K1002" s="646"/>
      <c r="L1002" s="646"/>
      <c r="M1002" s="35"/>
    </row>
    <row r="1003" spans="3:13">
      <c r="C1003" s="645"/>
      <c r="D1003" s="645"/>
      <c r="E1003" s="646"/>
      <c r="F1003" s="646"/>
      <c r="G1003" s="647"/>
      <c r="H1003" s="646"/>
      <c r="I1003" s="648"/>
      <c r="J1003" s="646"/>
      <c r="K1003" s="646"/>
      <c r="L1003" s="646"/>
      <c r="M1003" s="35"/>
    </row>
    <row r="1004" spans="3:13">
      <c r="C1004" s="645"/>
      <c r="D1004" s="645"/>
      <c r="E1004" s="646"/>
      <c r="F1004" s="646"/>
      <c r="G1004" s="647"/>
      <c r="H1004" s="646"/>
      <c r="I1004" s="648"/>
      <c r="J1004" s="646"/>
      <c r="K1004" s="646"/>
      <c r="L1004" s="646"/>
      <c r="M1004" s="35"/>
    </row>
    <row r="1005" spans="3:13">
      <c r="C1005" s="645"/>
      <c r="D1005" s="645"/>
      <c r="E1005" s="646"/>
      <c r="F1005" s="646"/>
      <c r="G1005" s="647"/>
      <c r="H1005" s="646"/>
      <c r="I1005" s="648"/>
      <c r="J1005" s="646"/>
      <c r="K1005" s="646"/>
      <c r="L1005" s="646"/>
      <c r="M1005" s="35"/>
    </row>
    <row r="1006" spans="3:13">
      <c r="C1006" s="645"/>
      <c r="D1006" s="645"/>
      <c r="E1006" s="646"/>
      <c r="F1006" s="646"/>
      <c r="G1006" s="647"/>
      <c r="H1006" s="646"/>
      <c r="I1006" s="648"/>
      <c r="J1006" s="646"/>
      <c r="K1006" s="646"/>
      <c r="L1006" s="646"/>
      <c r="M1006" s="35"/>
    </row>
    <row r="1007" spans="3:13">
      <c r="C1007" s="645"/>
      <c r="D1007" s="645"/>
      <c r="E1007" s="646"/>
      <c r="F1007" s="646"/>
      <c r="G1007" s="647"/>
      <c r="H1007" s="646"/>
      <c r="I1007" s="648"/>
      <c r="J1007" s="646"/>
      <c r="K1007" s="646"/>
      <c r="L1007" s="646"/>
      <c r="M1007" s="35"/>
    </row>
    <row r="1008" spans="3:13">
      <c r="C1008" s="645"/>
      <c r="D1008" s="645"/>
      <c r="E1008" s="646"/>
      <c r="F1008" s="646"/>
      <c r="G1008" s="647"/>
      <c r="H1008" s="646"/>
      <c r="I1008" s="648"/>
      <c r="J1008" s="646"/>
      <c r="K1008" s="646"/>
      <c r="L1008" s="646"/>
      <c r="M1008" s="35"/>
    </row>
    <row r="1009" spans="3:13">
      <c r="C1009" s="645"/>
      <c r="D1009" s="645"/>
      <c r="E1009" s="646"/>
      <c r="F1009" s="646"/>
      <c r="G1009" s="647"/>
      <c r="H1009" s="646"/>
      <c r="I1009" s="648"/>
      <c r="J1009" s="646"/>
      <c r="K1009" s="646"/>
      <c r="L1009" s="646"/>
      <c r="M1009" s="35"/>
    </row>
    <row r="1010" spans="3:13">
      <c r="C1010" s="645"/>
      <c r="D1010" s="645"/>
      <c r="E1010" s="646"/>
      <c r="F1010" s="646"/>
      <c r="G1010" s="647"/>
      <c r="H1010" s="646"/>
      <c r="I1010" s="648"/>
      <c r="J1010" s="646"/>
      <c r="K1010" s="646"/>
      <c r="L1010" s="646"/>
      <c r="M1010" s="35"/>
    </row>
    <row r="1011" spans="3:13">
      <c r="C1011" s="645"/>
      <c r="D1011" s="645"/>
      <c r="E1011" s="646"/>
      <c r="F1011" s="646"/>
      <c r="G1011" s="647"/>
      <c r="H1011" s="646"/>
      <c r="I1011" s="648"/>
      <c r="J1011" s="646"/>
      <c r="K1011" s="646"/>
      <c r="L1011" s="646"/>
      <c r="M1011" s="35"/>
    </row>
    <row r="1012" spans="3:13">
      <c r="C1012" s="645"/>
      <c r="D1012" s="645"/>
      <c r="E1012" s="646"/>
      <c r="F1012" s="646"/>
      <c r="G1012" s="647"/>
      <c r="H1012" s="646"/>
      <c r="I1012" s="648"/>
      <c r="J1012" s="646"/>
      <c r="K1012" s="646"/>
      <c r="L1012" s="646"/>
      <c r="M1012" s="35"/>
    </row>
    <row r="1013" spans="3:13">
      <c r="C1013" s="645"/>
      <c r="D1013" s="645"/>
      <c r="E1013" s="646"/>
      <c r="F1013" s="646"/>
      <c r="G1013" s="647"/>
      <c r="H1013" s="646"/>
      <c r="I1013" s="648"/>
      <c r="J1013" s="646"/>
      <c r="K1013" s="646"/>
      <c r="L1013" s="646"/>
      <c r="M1013" s="35"/>
    </row>
    <row r="1014" spans="3:13">
      <c r="C1014" s="645"/>
      <c r="D1014" s="645"/>
      <c r="E1014" s="646"/>
      <c r="F1014" s="646"/>
      <c r="G1014" s="647"/>
      <c r="H1014" s="646"/>
      <c r="I1014" s="648"/>
      <c r="J1014" s="646"/>
      <c r="K1014" s="646"/>
      <c r="L1014" s="646"/>
      <c r="M1014" s="35"/>
    </row>
    <row r="1015" spans="3:13">
      <c r="C1015" s="645"/>
      <c r="D1015" s="645"/>
      <c r="E1015" s="646"/>
      <c r="F1015" s="646"/>
      <c r="G1015" s="647"/>
      <c r="H1015" s="646"/>
      <c r="I1015" s="648"/>
      <c r="J1015" s="646"/>
      <c r="K1015" s="646"/>
      <c r="L1015" s="646"/>
      <c r="M1015" s="35"/>
    </row>
    <row r="1016" spans="3:13">
      <c r="C1016" s="645"/>
      <c r="D1016" s="645"/>
      <c r="E1016" s="646"/>
      <c r="F1016" s="646"/>
      <c r="G1016" s="647"/>
      <c r="H1016" s="646"/>
      <c r="I1016" s="648"/>
      <c r="J1016" s="646"/>
      <c r="K1016" s="646"/>
      <c r="L1016" s="646"/>
      <c r="M1016" s="35"/>
    </row>
    <row r="1017" spans="3:13">
      <c r="C1017" s="645"/>
      <c r="D1017" s="645"/>
      <c r="E1017" s="646"/>
      <c r="F1017" s="646"/>
      <c r="G1017" s="647"/>
      <c r="H1017" s="646"/>
      <c r="I1017" s="648"/>
      <c r="J1017" s="646"/>
      <c r="K1017" s="646"/>
      <c r="L1017" s="646"/>
      <c r="M1017" s="35"/>
    </row>
    <row r="1018" spans="3:13">
      <c r="C1018" s="645"/>
      <c r="D1018" s="645"/>
      <c r="E1018" s="646"/>
      <c r="F1018" s="646"/>
      <c r="G1018" s="647"/>
      <c r="H1018" s="646"/>
      <c r="I1018" s="648"/>
      <c r="J1018" s="646"/>
      <c r="K1018" s="646"/>
      <c r="L1018" s="646"/>
      <c r="M1018" s="35"/>
    </row>
    <row r="1019" spans="3:13">
      <c r="C1019" s="645"/>
      <c r="D1019" s="645"/>
      <c r="E1019" s="646"/>
      <c r="F1019" s="646"/>
      <c r="G1019" s="647"/>
      <c r="H1019" s="646"/>
      <c r="I1019" s="648"/>
      <c r="J1019" s="646"/>
      <c r="K1019" s="646"/>
      <c r="L1019" s="646"/>
      <c r="M1019" s="35"/>
    </row>
    <row r="1020" spans="3:13">
      <c r="C1020" s="645"/>
      <c r="D1020" s="645"/>
      <c r="E1020" s="646"/>
      <c r="F1020" s="646"/>
      <c r="G1020" s="647"/>
      <c r="H1020" s="646"/>
      <c r="I1020" s="648"/>
      <c r="J1020" s="646"/>
      <c r="K1020" s="646"/>
      <c r="L1020" s="646"/>
      <c r="M1020" s="35"/>
    </row>
    <row r="1021" spans="3:13">
      <c r="C1021" s="645"/>
      <c r="D1021" s="645"/>
      <c r="E1021" s="646"/>
      <c r="F1021" s="646"/>
      <c r="G1021" s="647"/>
      <c r="H1021" s="646"/>
      <c r="I1021" s="648"/>
      <c r="J1021" s="646"/>
      <c r="K1021" s="646"/>
      <c r="L1021" s="646"/>
      <c r="M1021" s="35"/>
    </row>
    <row r="1022" spans="3:13">
      <c r="C1022" s="645"/>
      <c r="D1022" s="645"/>
      <c r="E1022" s="646"/>
      <c r="F1022" s="646"/>
      <c r="G1022" s="647"/>
      <c r="H1022" s="646"/>
      <c r="I1022" s="648"/>
      <c r="J1022" s="646"/>
      <c r="K1022" s="646"/>
      <c r="L1022" s="646"/>
      <c r="M1022" s="35"/>
    </row>
    <row r="1023" spans="3:13">
      <c r="C1023" s="645"/>
      <c r="D1023" s="645"/>
      <c r="E1023" s="646"/>
      <c r="F1023" s="646"/>
      <c r="G1023" s="647"/>
      <c r="H1023" s="646"/>
      <c r="I1023" s="648"/>
      <c r="J1023" s="646"/>
      <c r="K1023" s="646"/>
      <c r="L1023" s="646"/>
      <c r="M1023" s="35"/>
    </row>
    <row r="1024" spans="3:13">
      <c r="C1024" s="645"/>
      <c r="D1024" s="645"/>
      <c r="E1024" s="646"/>
      <c r="F1024" s="646"/>
      <c r="G1024" s="647"/>
      <c r="H1024" s="646"/>
      <c r="I1024" s="648"/>
      <c r="J1024" s="646"/>
      <c r="K1024" s="646"/>
      <c r="L1024" s="646"/>
      <c r="M1024" s="35"/>
    </row>
    <row r="1025" spans="3:13">
      <c r="C1025" s="645"/>
      <c r="D1025" s="645"/>
      <c r="E1025" s="646"/>
      <c r="F1025" s="646"/>
      <c r="G1025" s="647"/>
      <c r="H1025" s="646"/>
      <c r="I1025" s="648"/>
      <c r="J1025" s="646"/>
      <c r="K1025" s="646"/>
      <c r="L1025" s="646"/>
      <c r="M1025" s="35"/>
    </row>
    <row r="1026" spans="3:13">
      <c r="C1026" s="645"/>
      <c r="D1026" s="645"/>
      <c r="E1026" s="646"/>
      <c r="F1026" s="646"/>
      <c r="G1026" s="647"/>
      <c r="H1026" s="646"/>
      <c r="I1026" s="648"/>
      <c r="J1026" s="646"/>
      <c r="K1026" s="646"/>
      <c r="L1026" s="646"/>
      <c r="M1026" s="35"/>
    </row>
    <row r="1027" spans="3:13">
      <c r="C1027" s="645"/>
      <c r="D1027" s="645"/>
      <c r="E1027" s="646"/>
      <c r="F1027" s="646"/>
      <c r="G1027" s="647"/>
      <c r="H1027" s="646"/>
      <c r="I1027" s="648"/>
      <c r="J1027" s="646"/>
      <c r="K1027" s="646"/>
      <c r="L1027" s="646"/>
      <c r="M1027" s="35"/>
    </row>
    <row r="1028" spans="3:13">
      <c r="C1028" s="645"/>
      <c r="D1028" s="645"/>
      <c r="E1028" s="646"/>
      <c r="F1028" s="646"/>
      <c r="G1028" s="647"/>
      <c r="H1028" s="646"/>
      <c r="I1028" s="648"/>
      <c r="J1028" s="646"/>
      <c r="K1028" s="646"/>
      <c r="L1028" s="646"/>
      <c r="M1028" s="35"/>
    </row>
    <row r="1029" spans="3:13">
      <c r="C1029" s="645"/>
      <c r="D1029" s="645"/>
      <c r="E1029" s="646"/>
      <c r="F1029" s="646"/>
      <c r="G1029" s="647"/>
      <c r="H1029" s="646"/>
      <c r="I1029" s="648"/>
      <c r="J1029" s="646"/>
      <c r="K1029" s="646"/>
      <c r="L1029" s="646"/>
      <c r="M1029" s="35"/>
    </row>
    <row r="1030" spans="3:13">
      <c r="C1030" s="645"/>
      <c r="D1030" s="645"/>
      <c r="E1030" s="646"/>
      <c r="F1030" s="646"/>
      <c r="G1030" s="647"/>
      <c r="H1030" s="646"/>
      <c r="I1030" s="648"/>
      <c r="J1030" s="646"/>
      <c r="K1030" s="646"/>
      <c r="L1030" s="646"/>
      <c r="M1030" s="35"/>
    </row>
    <row r="1031" spans="3:13">
      <c r="C1031" s="645"/>
      <c r="D1031" s="645"/>
      <c r="E1031" s="646"/>
      <c r="F1031" s="646"/>
      <c r="G1031" s="647"/>
      <c r="H1031" s="646"/>
      <c r="I1031" s="648"/>
      <c r="J1031" s="646"/>
      <c r="K1031" s="646"/>
      <c r="L1031" s="646"/>
      <c r="M1031" s="35"/>
    </row>
    <row r="1032" spans="3:13">
      <c r="C1032" s="645"/>
      <c r="D1032" s="645"/>
      <c r="E1032" s="646"/>
      <c r="F1032" s="646"/>
      <c r="G1032" s="647"/>
      <c r="H1032" s="646"/>
      <c r="I1032" s="648"/>
      <c r="J1032" s="646"/>
      <c r="K1032" s="646"/>
      <c r="L1032" s="646"/>
      <c r="M1032" s="35"/>
    </row>
    <row r="1033" spans="3:13">
      <c r="C1033" s="645"/>
      <c r="D1033" s="645"/>
      <c r="E1033" s="646"/>
      <c r="F1033" s="646"/>
      <c r="G1033" s="647"/>
      <c r="H1033" s="646"/>
      <c r="I1033" s="648"/>
      <c r="J1033" s="646"/>
      <c r="K1033" s="646"/>
      <c r="L1033" s="646"/>
      <c r="M1033" s="35"/>
    </row>
    <row r="1034" spans="3:13">
      <c r="C1034" s="645"/>
      <c r="D1034" s="645"/>
      <c r="E1034" s="646"/>
      <c r="F1034" s="646"/>
      <c r="G1034" s="647"/>
      <c r="H1034" s="646"/>
      <c r="I1034" s="648"/>
      <c r="J1034" s="646"/>
      <c r="K1034" s="646"/>
      <c r="L1034" s="646"/>
      <c r="M1034" s="35"/>
    </row>
    <row r="1035" spans="3:13">
      <c r="C1035" s="645"/>
      <c r="D1035" s="645"/>
      <c r="E1035" s="646"/>
      <c r="F1035" s="646"/>
      <c r="G1035" s="647"/>
      <c r="H1035" s="646"/>
      <c r="I1035" s="648"/>
      <c r="J1035" s="646"/>
      <c r="K1035" s="646"/>
      <c r="L1035" s="646"/>
      <c r="M1035" s="35"/>
    </row>
    <row r="1036" spans="3:13">
      <c r="C1036" s="645"/>
      <c r="D1036" s="645"/>
      <c r="E1036" s="646"/>
      <c r="F1036" s="646"/>
      <c r="G1036" s="647"/>
      <c r="H1036" s="646"/>
      <c r="I1036" s="648"/>
      <c r="J1036" s="646"/>
      <c r="K1036" s="646"/>
      <c r="L1036" s="646"/>
      <c r="M1036" s="35"/>
    </row>
    <row r="1037" spans="3:13">
      <c r="C1037" s="645"/>
      <c r="D1037" s="645"/>
      <c r="E1037" s="646"/>
      <c r="F1037" s="646"/>
      <c r="G1037" s="647"/>
      <c r="H1037" s="646"/>
      <c r="I1037" s="648"/>
      <c r="J1037" s="646"/>
      <c r="K1037" s="646"/>
      <c r="L1037" s="646"/>
      <c r="M1037" s="35"/>
    </row>
    <row r="1038" spans="3:13">
      <c r="C1038" s="645"/>
      <c r="D1038" s="645"/>
      <c r="E1038" s="646"/>
      <c r="F1038" s="646"/>
      <c r="G1038" s="647"/>
      <c r="H1038" s="646"/>
      <c r="I1038" s="648"/>
      <c r="J1038" s="646"/>
      <c r="K1038" s="646"/>
      <c r="L1038" s="646"/>
      <c r="M1038" s="35"/>
    </row>
    <row r="1039" spans="3:13">
      <c r="C1039" s="645"/>
      <c r="D1039" s="645"/>
      <c r="E1039" s="646"/>
      <c r="F1039" s="646"/>
      <c r="G1039" s="647"/>
      <c r="H1039" s="646"/>
      <c r="I1039" s="648"/>
      <c r="J1039" s="646"/>
      <c r="K1039" s="646"/>
      <c r="L1039" s="646"/>
      <c r="M1039" s="35"/>
    </row>
    <row r="1040" spans="3:13">
      <c r="C1040" s="645"/>
      <c r="D1040" s="645"/>
      <c r="E1040" s="646"/>
      <c r="F1040" s="646"/>
      <c r="G1040" s="647"/>
      <c r="H1040" s="646"/>
      <c r="I1040" s="648"/>
      <c r="J1040" s="646"/>
      <c r="K1040" s="646"/>
      <c r="L1040" s="646"/>
      <c r="M1040" s="35"/>
    </row>
    <row r="1041" spans="3:13">
      <c r="C1041" s="645"/>
      <c r="D1041" s="645"/>
      <c r="E1041" s="646"/>
      <c r="F1041" s="646"/>
      <c r="G1041" s="647"/>
      <c r="H1041" s="646"/>
      <c r="I1041" s="648"/>
      <c r="J1041" s="646"/>
      <c r="K1041" s="646"/>
      <c r="L1041" s="646"/>
      <c r="M1041" s="35"/>
    </row>
    <row r="1042" spans="3:13">
      <c r="C1042" s="645"/>
      <c r="D1042" s="645"/>
      <c r="E1042" s="646"/>
      <c r="F1042" s="646"/>
      <c r="G1042" s="647"/>
      <c r="H1042" s="646"/>
      <c r="I1042" s="648"/>
      <c r="J1042" s="646"/>
      <c r="K1042" s="646"/>
      <c r="L1042" s="646"/>
      <c r="M1042" s="35"/>
    </row>
    <row r="1043" spans="3:13">
      <c r="C1043" s="645"/>
      <c r="D1043" s="645"/>
      <c r="E1043" s="646"/>
      <c r="F1043" s="646"/>
      <c r="G1043" s="647"/>
      <c r="H1043" s="646"/>
      <c r="I1043" s="648"/>
      <c r="J1043" s="646"/>
      <c r="K1043" s="646"/>
      <c r="L1043" s="646"/>
      <c r="M1043" s="35"/>
    </row>
    <row r="1044" spans="3:13">
      <c r="C1044" s="645"/>
      <c r="D1044" s="645"/>
      <c r="E1044" s="646"/>
      <c r="F1044" s="646"/>
      <c r="G1044" s="647"/>
      <c r="H1044" s="646"/>
      <c r="I1044" s="648"/>
      <c r="J1044" s="646"/>
      <c r="K1044" s="646"/>
      <c r="L1044" s="646"/>
      <c r="M1044" s="35"/>
    </row>
    <row r="1045" spans="3:13">
      <c r="C1045" s="645"/>
      <c r="D1045" s="645"/>
      <c r="E1045" s="646"/>
      <c r="F1045" s="646"/>
      <c r="G1045" s="647"/>
      <c r="H1045" s="646"/>
      <c r="I1045" s="648"/>
      <c r="J1045" s="646"/>
      <c r="K1045" s="646"/>
      <c r="L1045" s="646"/>
      <c r="M1045" s="35"/>
    </row>
    <row r="1046" spans="3:13">
      <c r="C1046" s="645"/>
      <c r="D1046" s="645"/>
      <c r="E1046" s="646"/>
      <c r="F1046" s="646"/>
      <c r="G1046" s="647"/>
      <c r="H1046" s="646"/>
      <c r="I1046" s="648"/>
      <c r="J1046" s="646"/>
      <c r="K1046" s="646"/>
      <c r="L1046" s="646"/>
      <c r="M1046" s="35"/>
    </row>
    <row r="1047" spans="3:13">
      <c r="C1047" s="645"/>
      <c r="D1047" s="645"/>
      <c r="E1047" s="646"/>
      <c r="F1047" s="646"/>
      <c r="G1047" s="647"/>
      <c r="H1047" s="646"/>
      <c r="I1047" s="648"/>
      <c r="J1047" s="646"/>
      <c r="K1047" s="646"/>
      <c r="L1047" s="646"/>
      <c r="M1047" s="35"/>
    </row>
    <row r="1048" spans="3:13">
      <c r="C1048" s="645"/>
      <c r="D1048" s="645"/>
      <c r="E1048" s="646"/>
      <c r="F1048" s="646"/>
      <c r="G1048" s="647"/>
      <c r="H1048" s="646"/>
      <c r="I1048" s="648"/>
      <c r="J1048" s="646"/>
      <c r="K1048" s="646"/>
      <c r="L1048" s="646"/>
      <c r="M1048" s="35"/>
    </row>
    <row r="1049" spans="3:13">
      <c r="C1049" s="645"/>
      <c r="D1049" s="645"/>
      <c r="E1049" s="646"/>
      <c r="F1049" s="646"/>
      <c r="G1049" s="647"/>
      <c r="H1049" s="646"/>
      <c r="I1049" s="648"/>
      <c r="J1049" s="646"/>
      <c r="K1049" s="646"/>
      <c r="L1049" s="646"/>
      <c r="M1049" s="35"/>
    </row>
    <row r="1050" spans="3:13">
      <c r="C1050" s="645"/>
      <c r="D1050" s="645"/>
      <c r="E1050" s="646"/>
      <c r="F1050" s="646"/>
      <c r="G1050" s="647"/>
      <c r="H1050" s="646"/>
      <c r="I1050" s="648"/>
      <c r="J1050" s="646"/>
      <c r="K1050" s="646"/>
      <c r="L1050" s="646"/>
      <c r="M1050" s="35"/>
    </row>
    <row r="1051" spans="3:13">
      <c r="C1051" s="645"/>
      <c r="D1051" s="645"/>
      <c r="E1051" s="646"/>
      <c r="F1051" s="646"/>
      <c r="G1051" s="647"/>
      <c r="H1051" s="646"/>
      <c r="I1051" s="648"/>
      <c r="J1051" s="646"/>
      <c r="K1051" s="646"/>
      <c r="L1051" s="646"/>
      <c r="M1051" s="35"/>
    </row>
    <row r="1052" spans="3:13">
      <c r="C1052" s="645"/>
      <c r="D1052" s="645"/>
      <c r="E1052" s="646"/>
      <c r="F1052" s="646"/>
      <c r="G1052" s="647"/>
      <c r="H1052" s="646"/>
      <c r="I1052" s="648"/>
      <c r="J1052" s="646"/>
      <c r="K1052" s="646"/>
      <c r="L1052" s="646"/>
      <c r="M1052" s="35"/>
    </row>
    <row r="1053" spans="3:13">
      <c r="C1053" s="645"/>
      <c r="D1053" s="645"/>
      <c r="E1053" s="646"/>
      <c r="F1053" s="646"/>
      <c r="G1053" s="647"/>
      <c r="H1053" s="646"/>
      <c r="I1053" s="648"/>
      <c r="J1053" s="646"/>
      <c r="K1053" s="646"/>
      <c r="L1053" s="646"/>
      <c r="M1053" s="35"/>
    </row>
    <row r="1054" spans="3:13">
      <c r="C1054" s="645"/>
      <c r="D1054" s="645"/>
      <c r="E1054" s="646"/>
      <c r="F1054" s="646"/>
      <c r="G1054" s="647"/>
      <c r="H1054" s="646"/>
      <c r="I1054" s="648"/>
      <c r="J1054" s="646"/>
      <c r="K1054" s="646"/>
      <c r="L1054" s="646"/>
      <c r="M1054" s="35"/>
    </row>
    <row r="1055" spans="3:13">
      <c r="C1055" s="645"/>
      <c r="D1055" s="645"/>
      <c r="E1055" s="646"/>
      <c r="F1055" s="646"/>
      <c r="G1055" s="647"/>
      <c r="H1055" s="646"/>
      <c r="I1055" s="648"/>
      <c r="J1055" s="646"/>
      <c r="K1055" s="646"/>
      <c r="L1055" s="646"/>
      <c r="M1055" s="35"/>
    </row>
    <row r="1056" spans="3:13">
      <c r="C1056" s="645"/>
      <c r="D1056" s="645"/>
      <c r="E1056" s="646"/>
      <c r="F1056" s="646"/>
      <c r="G1056" s="647"/>
      <c r="H1056" s="646"/>
      <c r="I1056" s="648"/>
      <c r="J1056" s="646"/>
      <c r="K1056" s="646"/>
      <c r="L1056" s="646"/>
      <c r="M1056" s="35"/>
    </row>
    <row r="1057" spans="3:13">
      <c r="C1057" s="645"/>
      <c r="D1057" s="645"/>
      <c r="E1057" s="646"/>
      <c r="F1057" s="646"/>
      <c r="G1057" s="647"/>
      <c r="H1057" s="646"/>
      <c r="I1057" s="648"/>
      <c r="J1057" s="646"/>
      <c r="K1057" s="646"/>
      <c r="L1057" s="646"/>
      <c r="M1057" s="35"/>
    </row>
    <row r="1058" spans="3:13">
      <c r="C1058" s="645"/>
      <c r="D1058" s="645"/>
      <c r="E1058" s="646"/>
      <c r="F1058" s="646"/>
      <c r="G1058" s="647"/>
      <c r="H1058" s="646"/>
      <c r="I1058" s="648"/>
      <c r="J1058" s="646"/>
      <c r="K1058" s="646"/>
      <c r="L1058" s="646"/>
      <c r="M1058" s="35"/>
    </row>
    <row r="1059" spans="3:13">
      <c r="C1059" s="645"/>
      <c r="D1059" s="645"/>
      <c r="E1059" s="646"/>
      <c r="F1059" s="646"/>
      <c r="G1059" s="647"/>
      <c r="H1059" s="646"/>
      <c r="I1059" s="648"/>
      <c r="J1059" s="646"/>
      <c r="K1059" s="646"/>
      <c r="L1059" s="646"/>
      <c r="M1059" s="35"/>
    </row>
    <row r="1060" spans="3:13">
      <c r="C1060" s="645"/>
      <c r="D1060" s="645"/>
      <c r="E1060" s="646"/>
      <c r="F1060" s="646"/>
      <c r="G1060" s="647"/>
      <c r="H1060" s="646"/>
      <c r="I1060" s="648"/>
      <c r="J1060" s="646"/>
      <c r="K1060" s="646"/>
      <c r="L1060" s="646"/>
      <c r="M1060" s="35"/>
    </row>
    <row r="1061" spans="3:13">
      <c r="C1061" s="645"/>
      <c r="D1061" s="645"/>
      <c r="E1061" s="646"/>
      <c r="F1061" s="646"/>
      <c r="G1061" s="647"/>
      <c r="H1061" s="646"/>
      <c r="I1061" s="648"/>
      <c r="J1061" s="646"/>
      <c r="K1061" s="646"/>
      <c r="L1061" s="646"/>
      <c r="M1061" s="35"/>
    </row>
    <row r="1062" spans="3:13">
      <c r="C1062" s="645"/>
      <c r="D1062" s="645"/>
      <c r="E1062" s="646"/>
      <c r="F1062" s="646"/>
      <c r="G1062" s="647"/>
      <c r="H1062" s="646"/>
      <c r="I1062" s="648"/>
      <c r="J1062" s="646"/>
      <c r="K1062" s="646"/>
      <c r="L1062" s="646"/>
      <c r="M1062" s="35"/>
    </row>
    <row r="1063" spans="3:13">
      <c r="C1063" s="645"/>
      <c r="D1063" s="645"/>
      <c r="E1063" s="646"/>
      <c r="F1063" s="646"/>
      <c r="G1063" s="647"/>
      <c r="H1063" s="646"/>
      <c r="I1063" s="648"/>
      <c r="J1063" s="646"/>
      <c r="K1063" s="646"/>
      <c r="L1063" s="646"/>
      <c r="M1063" s="35"/>
    </row>
    <row r="1064" spans="3:13">
      <c r="C1064" s="645"/>
      <c r="D1064" s="645"/>
      <c r="E1064" s="646"/>
      <c r="F1064" s="646"/>
      <c r="G1064" s="647"/>
      <c r="H1064" s="646"/>
      <c r="I1064" s="648"/>
      <c r="J1064" s="646"/>
      <c r="K1064" s="646"/>
      <c r="L1064" s="646"/>
      <c r="M1064" s="35"/>
    </row>
    <row r="1065" spans="3:13">
      <c r="C1065" s="645"/>
      <c r="D1065" s="645"/>
      <c r="E1065" s="646"/>
      <c r="F1065" s="646"/>
      <c r="G1065" s="647"/>
      <c r="H1065" s="646"/>
      <c r="I1065" s="648"/>
      <c r="J1065" s="646"/>
      <c r="K1065" s="646"/>
      <c r="L1065" s="646"/>
      <c r="M1065" s="35"/>
    </row>
    <row r="1066" spans="3:13">
      <c r="C1066" s="645"/>
      <c r="D1066" s="645"/>
      <c r="E1066" s="646"/>
      <c r="F1066" s="646"/>
      <c r="G1066" s="647"/>
      <c r="H1066" s="646"/>
      <c r="I1066" s="648"/>
      <c r="J1066" s="646"/>
      <c r="K1066" s="646"/>
      <c r="L1066" s="646"/>
      <c r="M1066" s="35"/>
    </row>
    <row r="1067" spans="3:13">
      <c r="C1067" s="645"/>
      <c r="D1067" s="645"/>
      <c r="E1067" s="646"/>
      <c r="F1067" s="646"/>
      <c r="G1067" s="647"/>
      <c r="H1067" s="646"/>
      <c r="I1067" s="648"/>
      <c r="J1067" s="646"/>
      <c r="K1067" s="646"/>
      <c r="L1067" s="646"/>
      <c r="M1067" s="35"/>
    </row>
    <row r="1068" spans="3:13">
      <c r="C1068" s="645"/>
      <c r="D1068" s="645"/>
      <c r="E1068" s="646"/>
      <c r="F1068" s="646"/>
      <c r="G1068" s="647"/>
      <c r="H1068" s="646"/>
      <c r="I1068" s="648"/>
      <c r="J1068" s="646"/>
      <c r="K1068" s="646"/>
      <c r="L1068" s="646"/>
      <c r="M1068" s="35"/>
    </row>
    <row r="1069" spans="3:13">
      <c r="C1069" s="645"/>
      <c r="D1069" s="645"/>
      <c r="E1069" s="646"/>
      <c r="F1069" s="646"/>
      <c r="G1069" s="647"/>
      <c r="H1069" s="646"/>
      <c r="I1069" s="648"/>
      <c r="J1069" s="646"/>
      <c r="K1069" s="646"/>
      <c r="L1069" s="646"/>
      <c r="M1069" s="35"/>
    </row>
    <row r="1070" spans="3:13">
      <c r="C1070" s="645"/>
      <c r="D1070" s="645"/>
      <c r="E1070" s="646"/>
      <c r="F1070" s="646"/>
      <c r="G1070" s="647"/>
      <c r="H1070" s="646"/>
      <c r="I1070" s="648"/>
      <c r="J1070" s="646"/>
      <c r="K1070" s="646"/>
      <c r="L1070" s="646"/>
      <c r="M1070" s="35"/>
    </row>
    <row r="1071" spans="3:13">
      <c r="C1071" s="645"/>
      <c r="D1071" s="645"/>
      <c r="E1071" s="646"/>
      <c r="F1071" s="646"/>
      <c r="G1071" s="647"/>
      <c r="H1071" s="646"/>
      <c r="I1071" s="648"/>
      <c r="J1071" s="646"/>
      <c r="K1071" s="646"/>
      <c r="L1071" s="646"/>
      <c r="M1071" s="35"/>
    </row>
    <row r="1072" spans="3:13">
      <c r="C1072" s="645"/>
      <c r="D1072" s="645"/>
      <c r="E1072" s="646"/>
      <c r="F1072" s="646"/>
      <c r="G1072" s="647"/>
      <c r="H1072" s="646"/>
      <c r="I1072" s="648"/>
      <c r="J1072" s="646"/>
      <c r="K1072" s="646"/>
      <c r="L1072" s="646"/>
      <c r="M1072" s="35"/>
    </row>
    <row r="1073" spans="3:13">
      <c r="C1073" s="645"/>
      <c r="D1073" s="645"/>
      <c r="E1073" s="646"/>
      <c r="F1073" s="646"/>
      <c r="G1073" s="647"/>
      <c r="H1073" s="646"/>
      <c r="I1073" s="648"/>
      <c r="J1073" s="646"/>
      <c r="K1073" s="646"/>
      <c r="L1073" s="646"/>
      <c r="M1073" s="35"/>
    </row>
    <row r="1074" spans="3:13">
      <c r="C1074" s="645"/>
      <c r="D1074" s="645"/>
      <c r="E1074" s="646"/>
      <c r="F1074" s="646"/>
      <c r="G1074" s="647"/>
      <c r="H1074" s="646"/>
      <c r="I1074" s="648"/>
      <c r="J1074" s="646"/>
      <c r="K1074" s="646"/>
      <c r="L1074" s="646"/>
      <c r="M1074" s="35"/>
    </row>
    <row r="1075" spans="3:13">
      <c r="C1075" s="645"/>
      <c r="D1075" s="645"/>
      <c r="E1075" s="646"/>
      <c r="F1075" s="646"/>
      <c r="G1075" s="647"/>
      <c r="H1075" s="646"/>
      <c r="I1075" s="648"/>
      <c r="J1075" s="646"/>
      <c r="K1075" s="646"/>
      <c r="L1075" s="646"/>
      <c r="M1075" s="35"/>
    </row>
    <row r="1076" spans="3:13">
      <c r="C1076" s="645"/>
      <c r="D1076" s="645"/>
      <c r="E1076" s="646"/>
      <c r="F1076" s="646"/>
      <c r="G1076" s="647"/>
      <c r="H1076" s="646"/>
      <c r="I1076" s="648"/>
      <c r="J1076" s="646"/>
      <c r="K1076" s="646"/>
      <c r="L1076" s="646"/>
      <c r="M1076" s="35"/>
    </row>
    <row r="1077" spans="3:13">
      <c r="C1077" s="645"/>
      <c r="D1077" s="645"/>
      <c r="E1077" s="646"/>
      <c r="F1077" s="646"/>
      <c r="G1077" s="647"/>
      <c r="H1077" s="646"/>
      <c r="I1077" s="648"/>
      <c r="J1077" s="646"/>
      <c r="K1077" s="646"/>
      <c r="L1077" s="646"/>
      <c r="M1077" s="35"/>
    </row>
    <row r="1078" spans="3:13">
      <c r="C1078" s="645"/>
      <c r="D1078" s="645"/>
      <c r="E1078" s="646"/>
      <c r="F1078" s="646"/>
      <c r="G1078" s="647"/>
      <c r="H1078" s="646"/>
      <c r="I1078" s="648"/>
      <c r="J1078" s="646"/>
      <c r="K1078" s="646"/>
      <c r="L1078" s="646"/>
      <c r="M1078" s="35"/>
    </row>
    <row r="1079" spans="3:13">
      <c r="C1079" s="645"/>
      <c r="D1079" s="645"/>
      <c r="E1079" s="646"/>
      <c r="F1079" s="646"/>
      <c r="G1079" s="647"/>
      <c r="H1079" s="646"/>
      <c r="I1079" s="648"/>
      <c r="J1079" s="646"/>
      <c r="K1079" s="646"/>
      <c r="L1079" s="646"/>
      <c r="M1079" s="35"/>
    </row>
    <row r="1080" spans="3:13">
      <c r="C1080" s="645"/>
      <c r="D1080" s="645"/>
      <c r="E1080" s="646"/>
      <c r="F1080" s="646"/>
      <c r="G1080" s="647"/>
      <c r="H1080" s="646"/>
      <c r="I1080" s="648"/>
      <c r="J1080" s="646"/>
      <c r="K1080" s="646"/>
      <c r="L1080" s="646"/>
      <c r="M1080" s="35"/>
    </row>
    <row r="1081" spans="3:13">
      <c r="C1081" s="645"/>
      <c r="D1081" s="645"/>
      <c r="E1081" s="646"/>
      <c r="F1081" s="646"/>
      <c r="G1081" s="647"/>
      <c r="H1081" s="646"/>
      <c r="I1081" s="648"/>
      <c r="J1081" s="646"/>
      <c r="K1081" s="646"/>
      <c r="L1081" s="646"/>
      <c r="M1081" s="35"/>
    </row>
    <row r="1082" spans="3:13">
      <c r="C1082" s="645"/>
      <c r="D1082" s="645"/>
      <c r="E1082" s="646"/>
      <c r="F1082" s="646"/>
      <c r="G1082" s="647"/>
      <c r="H1082" s="646"/>
      <c r="I1082" s="648"/>
      <c r="J1082" s="646"/>
      <c r="K1082" s="646"/>
      <c r="L1082" s="646"/>
      <c r="M1082" s="35"/>
    </row>
    <row r="1083" spans="3:13">
      <c r="C1083" s="645"/>
      <c r="D1083" s="645"/>
      <c r="E1083" s="646"/>
      <c r="F1083" s="646"/>
      <c r="G1083" s="647"/>
      <c r="H1083" s="646"/>
      <c r="I1083" s="648"/>
      <c r="J1083" s="646"/>
      <c r="K1083" s="646"/>
      <c r="L1083" s="646"/>
      <c r="M1083" s="35"/>
    </row>
    <row r="1084" spans="3:13">
      <c r="C1084" s="645"/>
      <c r="D1084" s="645"/>
      <c r="E1084" s="646"/>
      <c r="F1084" s="646"/>
      <c r="G1084" s="647"/>
      <c r="H1084" s="646"/>
      <c r="I1084" s="648"/>
      <c r="J1084" s="646"/>
      <c r="K1084" s="646"/>
      <c r="L1084" s="646"/>
      <c r="M1084" s="35"/>
    </row>
    <row r="1085" spans="3:13">
      <c r="C1085" s="645"/>
      <c r="D1085" s="645"/>
      <c r="E1085" s="646"/>
      <c r="F1085" s="646"/>
      <c r="G1085" s="647"/>
      <c r="H1085" s="646"/>
      <c r="I1085" s="648"/>
      <c r="J1085" s="646"/>
      <c r="K1085" s="646"/>
      <c r="L1085" s="646"/>
      <c r="M1085" s="35"/>
    </row>
    <row r="1086" spans="3:13">
      <c r="C1086" s="645"/>
      <c r="D1086" s="645"/>
      <c r="E1086" s="646"/>
      <c r="F1086" s="646"/>
      <c r="G1086" s="647"/>
      <c r="H1086" s="646"/>
      <c r="I1086" s="648"/>
      <c r="J1086" s="646"/>
      <c r="K1086" s="646"/>
      <c r="L1086" s="646"/>
      <c r="M1086" s="35"/>
    </row>
    <row r="1087" spans="3:13">
      <c r="C1087" s="645"/>
      <c r="D1087" s="645"/>
      <c r="E1087" s="646"/>
      <c r="F1087" s="646"/>
      <c r="G1087" s="647"/>
      <c r="H1087" s="646"/>
      <c r="I1087" s="648"/>
      <c r="J1087" s="646"/>
      <c r="K1087" s="646"/>
      <c r="L1087" s="646"/>
      <c r="M1087" s="35"/>
    </row>
    <row r="1088" spans="3:13">
      <c r="C1088" s="645"/>
      <c r="D1088" s="645"/>
      <c r="E1088" s="646"/>
      <c r="F1088" s="646"/>
      <c r="G1088" s="647"/>
      <c r="H1088" s="646"/>
      <c r="I1088" s="648"/>
      <c r="J1088" s="646"/>
      <c r="K1088" s="646"/>
      <c r="L1088" s="646"/>
      <c r="M1088" s="35"/>
    </row>
    <row r="1089" spans="3:13">
      <c r="C1089" s="645"/>
      <c r="D1089" s="645"/>
      <c r="E1089" s="646"/>
      <c r="F1089" s="646"/>
      <c r="G1089" s="647"/>
      <c r="H1089" s="646"/>
      <c r="I1089" s="648"/>
      <c r="J1089" s="646"/>
      <c r="K1089" s="646"/>
      <c r="L1089" s="646"/>
      <c r="M1089" s="35"/>
    </row>
    <row r="1090" spans="3:13">
      <c r="C1090" s="645"/>
      <c r="D1090" s="645"/>
      <c r="E1090" s="646"/>
      <c r="F1090" s="646"/>
      <c r="G1090" s="647"/>
      <c r="H1090" s="646"/>
      <c r="I1090" s="648"/>
      <c r="J1090" s="646"/>
      <c r="K1090" s="646"/>
      <c r="L1090" s="646"/>
      <c r="M1090" s="35"/>
    </row>
    <row r="1091" spans="3:13">
      <c r="C1091" s="645"/>
      <c r="D1091" s="645"/>
      <c r="E1091" s="646"/>
      <c r="F1091" s="646"/>
      <c r="G1091" s="647"/>
      <c r="H1091" s="646"/>
      <c r="I1091" s="648"/>
      <c r="J1091" s="646"/>
      <c r="K1091" s="646"/>
      <c r="L1091" s="646"/>
      <c r="M1091" s="35"/>
    </row>
    <row r="1092" spans="3:13">
      <c r="C1092" s="645"/>
      <c r="D1092" s="645"/>
      <c r="E1092" s="646"/>
      <c r="F1092" s="646"/>
      <c r="G1092" s="647"/>
      <c r="H1092" s="646"/>
      <c r="I1092" s="648"/>
      <c r="J1092" s="646"/>
      <c r="K1092" s="646"/>
      <c r="L1092" s="646"/>
      <c r="M1092" s="35"/>
    </row>
    <row r="1093" spans="3:13">
      <c r="C1093" s="645"/>
      <c r="D1093" s="645"/>
      <c r="E1093" s="646"/>
      <c r="F1093" s="646"/>
      <c r="G1093" s="647"/>
      <c r="H1093" s="646"/>
      <c r="I1093" s="648"/>
      <c r="J1093" s="646"/>
      <c r="K1093" s="646"/>
      <c r="L1093" s="646"/>
      <c r="M1093" s="35"/>
    </row>
    <row r="1094" spans="3:13">
      <c r="C1094" s="645"/>
      <c r="D1094" s="645"/>
      <c r="E1094" s="646"/>
      <c r="F1094" s="646"/>
      <c r="G1094" s="647"/>
      <c r="H1094" s="646"/>
      <c r="I1094" s="648"/>
      <c r="J1094" s="646"/>
      <c r="K1094" s="646"/>
      <c r="L1094" s="646"/>
      <c r="M1094" s="35"/>
    </row>
    <row r="1095" spans="3:13">
      <c r="C1095" s="645"/>
      <c r="D1095" s="645"/>
      <c r="E1095" s="646"/>
      <c r="F1095" s="646"/>
      <c r="G1095" s="647"/>
      <c r="H1095" s="646"/>
      <c r="I1095" s="648"/>
      <c r="J1095" s="646"/>
      <c r="K1095" s="646"/>
      <c r="L1095" s="646"/>
      <c r="M1095" s="35"/>
    </row>
    <row r="1096" spans="3:13">
      <c r="C1096" s="645"/>
      <c r="D1096" s="645"/>
      <c r="E1096" s="646"/>
      <c r="F1096" s="646"/>
      <c r="G1096" s="647"/>
      <c r="H1096" s="646"/>
      <c r="I1096" s="648"/>
      <c r="J1096" s="646"/>
      <c r="K1096" s="646"/>
      <c r="L1096" s="646"/>
      <c r="M1096" s="35"/>
    </row>
    <row r="1097" spans="3:13">
      <c r="C1097" s="645"/>
      <c r="D1097" s="645"/>
      <c r="E1097" s="646"/>
      <c r="F1097" s="646"/>
      <c r="G1097" s="647"/>
      <c r="H1097" s="646"/>
      <c r="I1097" s="648"/>
      <c r="J1097" s="646"/>
      <c r="K1097" s="646"/>
      <c r="L1097" s="646"/>
      <c r="M1097" s="35"/>
    </row>
    <row r="1098" spans="3:13">
      <c r="C1098" s="645"/>
      <c r="D1098" s="645"/>
      <c r="E1098" s="646"/>
      <c r="F1098" s="646"/>
      <c r="G1098" s="647"/>
      <c r="H1098" s="646"/>
      <c r="I1098" s="648"/>
      <c r="J1098" s="646"/>
      <c r="K1098" s="646"/>
      <c r="L1098" s="646"/>
      <c r="M1098" s="35"/>
    </row>
    <row r="1099" spans="3:13">
      <c r="C1099" s="645"/>
      <c r="D1099" s="645"/>
      <c r="E1099" s="646"/>
      <c r="F1099" s="646"/>
      <c r="G1099" s="647"/>
      <c r="H1099" s="646"/>
      <c r="I1099" s="648"/>
      <c r="J1099" s="646"/>
      <c r="K1099" s="646"/>
      <c r="L1099" s="646"/>
      <c r="M1099" s="35"/>
    </row>
    <row r="1100" spans="3:13">
      <c r="C1100" s="645"/>
      <c r="D1100" s="645"/>
      <c r="E1100" s="646"/>
      <c r="F1100" s="646"/>
      <c r="G1100" s="647"/>
      <c r="H1100" s="646"/>
      <c r="I1100" s="648"/>
      <c r="J1100" s="646"/>
      <c r="K1100" s="646"/>
      <c r="L1100" s="646"/>
      <c r="M1100" s="35"/>
    </row>
    <row r="1101" spans="3:13">
      <c r="C1101" s="645"/>
      <c r="D1101" s="645"/>
      <c r="E1101" s="646"/>
      <c r="F1101" s="646"/>
      <c r="G1101" s="647"/>
      <c r="H1101" s="646"/>
      <c r="I1101" s="648"/>
      <c r="J1101" s="646"/>
      <c r="K1101" s="646"/>
      <c r="L1101" s="646"/>
      <c r="M1101" s="35"/>
    </row>
    <row r="1102" spans="3:13">
      <c r="C1102" s="645"/>
      <c r="D1102" s="645"/>
      <c r="E1102" s="646"/>
      <c r="F1102" s="646"/>
      <c r="G1102" s="647"/>
      <c r="H1102" s="646"/>
      <c r="I1102" s="648"/>
      <c r="J1102" s="646"/>
      <c r="K1102" s="646"/>
      <c r="L1102" s="646"/>
      <c r="M1102" s="35"/>
    </row>
    <row r="1103" spans="3:13">
      <c r="C1103" s="645"/>
      <c r="D1103" s="645"/>
      <c r="E1103" s="646"/>
      <c r="F1103" s="646"/>
      <c r="G1103" s="647"/>
      <c r="H1103" s="646"/>
      <c r="I1103" s="648"/>
      <c r="J1103" s="646"/>
      <c r="K1103" s="646"/>
      <c r="L1103" s="646"/>
      <c r="M1103" s="35"/>
    </row>
    <row r="1104" spans="3:13">
      <c r="C1104" s="645"/>
      <c r="D1104" s="645"/>
      <c r="E1104" s="646"/>
      <c r="F1104" s="646"/>
      <c r="G1104" s="647"/>
      <c r="H1104" s="646"/>
      <c r="I1104" s="648"/>
      <c r="J1104" s="646"/>
      <c r="K1104" s="646"/>
      <c r="L1104" s="646"/>
      <c r="M1104" s="35"/>
    </row>
    <row r="1105" spans="3:13">
      <c r="C1105" s="645"/>
      <c r="D1105" s="645"/>
      <c r="E1105" s="646"/>
      <c r="F1105" s="646"/>
      <c r="G1105" s="647"/>
      <c r="H1105" s="646"/>
      <c r="I1105" s="648"/>
      <c r="J1105" s="646"/>
      <c r="K1105" s="646"/>
      <c r="L1105" s="646"/>
      <c r="M1105" s="35"/>
    </row>
    <row r="1106" spans="3:13">
      <c r="C1106" s="645"/>
      <c r="D1106" s="645"/>
      <c r="E1106" s="646"/>
      <c r="F1106" s="646"/>
      <c r="G1106" s="647"/>
      <c r="H1106" s="646"/>
      <c r="I1106" s="648"/>
      <c r="J1106" s="646"/>
      <c r="K1106" s="646"/>
      <c r="L1106" s="646"/>
      <c r="M1106" s="35"/>
    </row>
    <row r="1107" spans="3:13">
      <c r="C1107" s="645"/>
      <c r="D1107" s="645"/>
      <c r="E1107" s="646"/>
      <c r="F1107" s="646"/>
      <c r="G1107" s="647"/>
      <c r="H1107" s="646"/>
      <c r="I1107" s="648"/>
      <c r="J1107" s="646"/>
      <c r="K1107" s="646"/>
      <c r="L1107" s="646"/>
      <c r="M1107" s="35"/>
    </row>
    <row r="1108" spans="3:13">
      <c r="C1108" s="645"/>
      <c r="D1108" s="645"/>
      <c r="E1108" s="646"/>
      <c r="F1108" s="646"/>
      <c r="G1108" s="647"/>
      <c r="H1108" s="646"/>
      <c r="I1108" s="648"/>
      <c r="J1108" s="646"/>
      <c r="K1108" s="646"/>
      <c r="L1108" s="646"/>
      <c r="M1108" s="35"/>
    </row>
    <row r="1109" spans="3:13">
      <c r="C1109" s="645"/>
      <c r="D1109" s="645"/>
      <c r="E1109" s="646"/>
      <c r="F1109" s="646"/>
      <c r="G1109" s="647"/>
      <c r="H1109" s="646"/>
      <c r="I1109" s="648"/>
      <c r="J1109" s="646"/>
      <c r="K1109" s="646"/>
      <c r="L1109" s="646"/>
      <c r="M1109" s="35"/>
    </row>
    <row r="1110" spans="3:13">
      <c r="C1110" s="645"/>
      <c r="D1110" s="645"/>
      <c r="E1110" s="646"/>
      <c r="F1110" s="646"/>
      <c r="G1110" s="647"/>
      <c r="H1110" s="646"/>
      <c r="I1110" s="648"/>
      <c r="J1110" s="646"/>
      <c r="K1110" s="646"/>
      <c r="L1110" s="646"/>
      <c r="M1110" s="35"/>
    </row>
    <row r="1111" spans="3:13">
      <c r="C1111" s="645"/>
      <c r="D1111" s="645"/>
      <c r="E1111" s="646"/>
      <c r="F1111" s="646"/>
      <c r="G1111" s="647"/>
      <c r="H1111" s="646"/>
      <c r="I1111" s="648"/>
      <c r="J1111" s="646"/>
      <c r="K1111" s="646"/>
      <c r="L1111" s="646"/>
      <c r="M1111" s="35"/>
    </row>
    <row r="1112" spans="3:13">
      <c r="C1112" s="645"/>
      <c r="D1112" s="645"/>
      <c r="E1112" s="646"/>
      <c r="F1112" s="646"/>
      <c r="G1112" s="647"/>
      <c r="H1112" s="646"/>
      <c r="I1112" s="648"/>
      <c r="J1112" s="646"/>
      <c r="K1112" s="646"/>
      <c r="L1112" s="646"/>
      <c r="M1112" s="35"/>
    </row>
    <row r="1113" spans="3:13">
      <c r="C1113" s="645"/>
      <c r="D1113" s="645"/>
      <c r="E1113" s="646"/>
      <c r="F1113" s="646"/>
      <c r="G1113" s="647"/>
      <c r="H1113" s="646"/>
      <c r="I1113" s="648"/>
      <c r="J1113" s="646"/>
      <c r="K1113" s="646"/>
      <c r="L1113" s="646"/>
      <c r="M1113" s="35"/>
    </row>
    <row r="1114" spans="3:13">
      <c r="C1114" s="645"/>
      <c r="D1114" s="645"/>
      <c r="E1114" s="646"/>
      <c r="F1114" s="646"/>
      <c r="G1114" s="647"/>
      <c r="H1114" s="646"/>
      <c r="I1114" s="648"/>
      <c r="J1114" s="646"/>
      <c r="K1114" s="646"/>
      <c r="L1114" s="646"/>
      <c r="M1114" s="35"/>
    </row>
    <row r="1115" spans="3:13">
      <c r="C1115" s="645"/>
      <c r="D1115" s="645"/>
      <c r="E1115" s="646"/>
      <c r="F1115" s="646"/>
      <c r="G1115" s="647"/>
      <c r="H1115" s="646"/>
      <c r="I1115" s="648"/>
      <c r="J1115" s="646"/>
      <c r="K1115" s="646"/>
      <c r="L1115" s="646"/>
      <c r="M1115" s="35"/>
    </row>
    <row r="1116" spans="3:13">
      <c r="C1116" s="645"/>
      <c r="D1116" s="645"/>
      <c r="E1116" s="646"/>
      <c r="F1116" s="646"/>
      <c r="G1116" s="647"/>
      <c r="H1116" s="646"/>
      <c r="I1116" s="648"/>
      <c r="J1116" s="646"/>
      <c r="K1116" s="646"/>
      <c r="L1116" s="646"/>
      <c r="M1116" s="35"/>
    </row>
    <row r="1117" spans="3:13">
      <c r="C1117" s="645"/>
      <c r="D1117" s="645"/>
      <c r="E1117" s="646"/>
      <c r="F1117" s="646"/>
      <c r="G1117" s="647"/>
      <c r="H1117" s="646"/>
      <c r="I1117" s="648"/>
      <c r="J1117" s="646"/>
      <c r="K1117" s="646"/>
      <c r="L1117" s="646"/>
      <c r="M1117" s="35"/>
    </row>
    <row r="1118" spans="3:13">
      <c r="C1118" s="645"/>
      <c r="D1118" s="645"/>
      <c r="E1118" s="646"/>
      <c r="F1118" s="646"/>
      <c r="G1118" s="647"/>
      <c r="H1118" s="646"/>
      <c r="I1118" s="648"/>
      <c r="J1118" s="646"/>
      <c r="K1118" s="646"/>
      <c r="L1118" s="646"/>
      <c r="M1118" s="35"/>
    </row>
    <row r="1119" spans="3:13">
      <c r="C1119" s="645"/>
      <c r="D1119" s="645"/>
      <c r="E1119" s="646"/>
      <c r="F1119" s="646"/>
      <c r="G1119" s="647"/>
      <c r="H1119" s="646"/>
      <c r="I1119" s="648"/>
      <c r="J1119" s="646"/>
      <c r="K1119" s="646"/>
      <c r="L1119" s="646"/>
      <c r="M1119" s="35"/>
    </row>
    <row r="1120" spans="3:13">
      <c r="C1120" s="645"/>
      <c r="D1120" s="645"/>
      <c r="E1120" s="646"/>
      <c r="F1120" s="646"/>
      <c r="G1120" s="647"/>
      <c r="H1120" s="646"/>
      <c r="I1120" s="648"/>
      <c r="J1120" s="646"/>
      <c r="K1120" s="646"/>
      <c r="L1120" s="646"/>
      <c r="M1120" s="35"/>
    </row>
    <row r="1121" spans="3:13">
      <c r="C1121" s="645"/>
      <c r="D1121" s="645"/>
      <c r="E1121" s="646"/>
      <c r="F1121" s="646"/>
      <c r="G1121" s="647"/>
      <c r="H1121" s="646"/>
      <c r="I1121" s="648"/>
      <c r="J1121" s="646"/>
      <c r="K1121" s="646"/>
      <c r="L1121" s="646"/>
      <c r="M1121" s="35"/>
    </row>
    <row r="1122" spans="3:13">
      <c r="C1122" s="645"/>
      <c r="D1122" s="645"/>
      <c r="E1122" s="646"/>
      <c r="F1122" s="646"/>
      <c r="G1122" s="647"/>
      <c r="H1122" s="646"/>
      <c r="I1122" s="648"/>
      <c r="J1122" s="646"/>
      <c r="K1122" s="646"/>
      <c r="L1122" s="646"/>
      <c r="M1122" s="35"/>
    </row>
    <row r="1123" spans="3:13">
      <c r="C1123" s="645"/>
      <c r="D1123" s="645"/>
      <c r="E1123" s="646"/>
      <c r="F1123" s="646"/>
      <c r="G1123" s="647"/>
      <c r="H1123" s="646"/>
      <c r="I1123" s="648"/>
      <c r="J1123" s="646"/>
      <c r="K1123" s="646"/>
      <c r="L1123" s="646"/>
      <c r="M1123" s="35"/>
    </row>
    <row r="1124" spans="3:13">
      <c r="C1124" s="645"/>
      <c r="D1124" s="645"/>
      <c r="E1124" s="646"/>
      <c r="F1124" s="646"/>
      <c r="G1124" s="647"/>
      <c r="H1124" s="646"/>
      <c r="I1124" s="648"/>
      <c r="J1124" s="646"/>
      <c r="K1124" s="646"/>
      <c r="L1124" s="646"/>
      <c r="M1124" s="35"/>
    </row>
    <row r="1125" spans="3:13">
      <c r="C1125" s="645"/>
      <c r="D1125" s="645"/>
      <c r="E1125" s="646"/>
      <c r="F1125" s="646"/>
      <c r="G1125" s="647"/>
      <c r="H1125" s="646"/>
      <c r="I1125" s="648"/>
      <c r="J1125" s="646"/>
      <c r="K1125" s="646"/>
      <c r="L1125" s="646"/>
      <c r="M1125" s="35"/>
    </row>
    <row r="1126" spans="3:13">
      <c r="C1126" s="645"/>
      <c r="D1126" s="645"/>
      <c r="E1126" s="646"/>
      <c r="F1126" s="646"/>
      <c r="G1126" s="647"/>
      <c r="H1126" s="646"/>
      <c r="I1126" s="648"/>
      <c r="J1126" s="646"/>
      <c r="K1126" s="646"/>
      <c r="L1126" s="646"/>
      <c r="M1126" s="35"/>
    </row>
    <row r="1127" spans="3:13">
      <c r="C1127" s="645"/>
      <c r="D1127" s="645"/>
      <c r="E1127" s="646"/>
      <c r="F1127" s="646"/>
      <c r="G1127" s="647"/>
      <c r="H1127" s="646"/>
      <c r="I1127" s="648"/>
      <c r="J1127" s="646"/>
      <c r="K1127" s="646"/>
      <c r="L1127" s="646"/>
      <c r="M1127" s="35"/>
    </row>
    <row r="1128" spans="3:13">
      <c r="C1128" s="645"/>
      <c r="D1128" s="645"/>
      <c r="E1128" s="646"/>
      <c r="F1128" s="646"/>
      <c r="G1128" s="647"/>
      <c r="H1128" s="646"/>
      <c r="I1128" s="648"/>
      <c r="J1128" s="646"/>
      <c r="K1128" s="646"/>
      <c r="L1128" s="646"/>
      <c r="M1128" s="35"/>
    </row>
    <row r="1129" spans="3:13">
      <c r="C1129" s="645"/>
      <c r="D1129" s="645"/>
      <c r="E1129" s="646"/>
      <c r="F1129" s="646"/>
      <c r="G1129" s="647"/>
      <c r="H1129" s="646"/>
      <c r="I1129" s="648"/>
      <c r="J1129" s="646"/>
      <c r="K1129" s="646"/>
      <c r="L1129" s="646"/>
      <c r="M1129" s="35"/>
    </row>
    <row r="1130" spans="3:13">
      <c r="C1130" s="645"/>
      <c r="D1130" s="645"/>
      <c r="E1130" s="646"/>
      <c r="F1130" s="646"/>
      <c r="G1130" s="647"/>
      <c r="H1130" s="646"/>
      <c r="I1130" s="648"/>
      <c r="J1130" s="646"/>
      <c r="K1130" s="646"/>
      <c r="L1130" s="646"/>
      <c r="M1130" s="35"/>
    </row>
    <row r="1131" spans="3:13">
      <c r="C1131" s="645"/>
      <c r="D1131" s="645"/>
      <c r="E1131" s="646"/>
      <c r="F1131" s="646"/>
      <c r="G1131" s="647"/>
      <c r="H1131" s="646"/>
      <c r="I1131" s="648"/>
      <c r="J1131" s="646"/>
      <c r="K1131" s="646"/>
      <c r="L1131" s="646"/>
      <c r="M1131" s="35"/>
    </row>
    <row r="1132" spans="3:13">
      <c r="C1132" s="645"/>
      <c r="D1132" s="645"/>
      <c r="E1132" s="646"/>
      <c r="F1132" s="646"/>
      <c r="G1132" s="647"/>
      <c r="H1132" s="646"/>
      <c r="I1132" s="648"/>
      <c r="J1132" s="646"/>
      <c r="K1132" s="646"/>
      <c r="L1132" s="646"/>
      <c r="M1132" s="35"/>
    </row>
    <row r="1133" spans="3:13">
      <c r="C1133" s="645"/>
      <c r="D1133" s="645"/>
      <c r="E1133" s="646"/>
      <c r="F1133" s="646"/>
      <c r="G1133" s="647"/>
      <c r="H1133" s="646"/>
      <c r="I1133" s="648"/>
      <c r="J1133" s="646"/>
      <c r="K1133" s="646"/>
      <c r="L1133" s="646"/>
      <c r="M1133" s="35"/>
    </row>
    <row r="1134" spans="3:13">
      <c r="C1134" s="645"/>
      <c r="D1134" s="645"/>
      <c r="E1134" s="646"/>
      <c r="F1134" s="646"/>
      <c r="G1134" s="647"/>
      <c r="H1134" s="646"/>
      <c r="I1134" s="648"/>
      <c r="J1134" s="646"/>
      <c r="K1134" s="646"/>
      <c r="L1134" s="646"/>
      <c r="M1134" s="35"/>
    </row>
    <row r="1135" spans="3:13">
      <c r="C1135" s="645"/>
      <c r="D1135" s="645"/>
      <c r="E1135" s="646"/>
      <c r="F1135" s="646"/>
      <c r="G1135" s="647"/>
      <c r="H1135" s="646"/>
      <c r="I1135" s="648"/>
      <c r="J1135" s="646"/>
      <c r="K1135" s="646"/>
      <c r="L1135" s="646"/>
      <c r="M1135" s="35"/>
    </row>
    <row r="1136" spans="3:13">
      <c r="C1136" s="645"/>
      <c r="D1136" s="645"/>
      <c r="E1136" s="646"/>
      <c r="F1136" s="646"/>
      <c r="G1136" s="647"/>
      <c r="H1136" s="646"/>
      <c r="I1136" s="648"/>
      <c r="J1136" s="646"/>
      <c r="K1136" s="646"/>
      <c r="L1136" s="646"/>
      <c r="M1136" s="35"/>
    </row>
    <row r="1137" spans="3:13">
      <c r="C1137" s="645"/>
      <c r="D1137" s="645"/>
      <c r="E1137" s="646"/>
      <c r="F1137" s="646"/>
      <c r="G1137" s="647"/>
      <c r="H1137" s="646"/>
      <c r="I1137" s="648"/>
      <c r="J1137" s="646"/>
      <c r="K1137" s="646"/>
      <c r="L1137" s="646"/>
      <c r="M1137" s="35"/>
    </row>
    <row r="1138" spans="3:13">
      <c r="C1138" s="645"/>
      <c r="D1138" s="645"/>
      <c r="E1138" s="646"/>
      <c r="F1138" s="646"/>
      <c r="G1138" s="647"/>
      <c r="H1138" s="646"/>
      <c r="I1138" s="648"/>
      <c r="J1138" s="646"/>
      <c r="K1138" s="646"/>
      <c r="L1138" s="646"/>
      <c r="M1138" s="35"/>
    </row>
    <row r="1139" spans="3:13">
      <c r="C1139" s="645"/>
      <c r="D1139" s="645"/>
      <c r="E1139" s="646"/>
      <c r="F1139" s="646"/>
      <c r="G1139" s="647"/>
      <c r="H1139" s="646"/>
      <c r="I1139" s="648"/>
      <c r="J1139" s="646"/>
      <c r="K1139" s="646"/>
      <c r="L1139" s="646"/>
      <c r="M1139" s="35"/>
    </row>
    <row r="1140" spans="3:13">
      <c r="C1140" s="645"/>
      <c r="D1140" s="645"/>
      <c r="E1140" s="646"/>
      <c r="F1140" s="646"/>
      <c r="G1140" s="647"/>
      <c r="H1140" s="646"/>
      <c r="I1140" s="648"/>
      <c r="J1140" s="646"/>
      <c r="K1140" s="646"/>
      <c r="L1140" s="646"/>
      <c r="M1140" s="35"/>
    </row>
    <row r="1141" spans="3:13">
      <c r="C1141" s="645"/>
      <c r="D1141" s="645"/>
      <c r="E1141" s="646"/>
      <c r="F1141" s="646"/>
      <c r="G1141" s="647"/>
      <c r="H1141" s="646"/>
      <c r="I1141" s="648"/>
      <c r="J1141" s="646"/>
      <c r="K1141" s="646"/>
      <c r="L1141" s="646"/>
      <c r="M1141" s="35"/>
    </row>
    <row r="1142" spans="3:13">
      <c r="C1142" s="645"/>
      <c r="D1142" s="645"/>
      <c r="E1142" s="646"/>
      <c r="F1142" s="646"/>
      <c r="G1142" s="647"/>
      <c r="H1142" s="646"/>
      <c r="I1142" s="648"/>
      <c r="J1142" s="646"/>
      <c r="K1142" s="646"/>
      <c r="L1142" s="646"/>
      <c r="M1142" s="35"/>
    </row>
    <row r="1143" spans="3:13">
      <c r="C1143" s="645"/>
      <c r="D1143" s="645"/>
      <c r="E1143" s="646"/>
      <c r="F1143" s="646"/>
      <c r="G1143" s="647"/>
      <c r="H1143" s="646"/>
      <c r="I1143" s="648"/>
      <c r="J1143" s="646"/>
      <c r="K1143" s="646"/>
      <c r="L1143" s="646"/>
      <c r="M1143" s="35"/>
    </row>
    <row r="1144" spans="3:13">
      <c r="C1144" s="645"/>
      <c r="D1144" s="645"/>
      <c r="E1144" s="646"/>
      <c r="F1144" s="646"/>
      <c r="G1144" s="647"/>
      <c r="H1144" s="646"/>
      <c r="I1144" s="648"/>
      <c r="J1144" s="646"/>
      <c r="K1144" s="646"/>
      <c r="L1144" s="646"/>
      <c r="M1144" s="35"/>
    </row>
    <row r="1145" spans="3:13">
      <c r="C1145" s="645"/>
      <c r="D1145" s="645"/>
      <c r="E1145" s="646"/>
      <c r="F1145" s="646"/>
      <c r="G1145" s="647"/>
      <c r="H1145" s="646"/>
      <c r="I1145" s="648"/>
      <c r="J1145" s="646"/>
      <c r="K1145" s="646"/>
      <c r="L1145" s="646"/>
      <c r="M1145" s="35"/>
    </row>
    <row r="1146" spans="3:13">
      <c r="C1146" s="645"/>
      <c r="D1146" s="645"/>
      <c r="E1146" s="646"/>
      <c r="F1146" s="646"/>
      <c r="G1146" s="647"/>
      <c r="H1146" s="646"/>
      <c r="I1146" s="648"/>
      <c r="J1146" s="646"/>
      <c r="K1146" s="646"/>
      <c r="L1146" s="646"/>
      <c r="M1146" s="35"/>
    </row>
    <row r="1147" spans="3:13">
      <c r="C1147" s="645"/>
      <c r="D1147" s="645"/>
      <c r="E1147" s="646"/>
      <c r="F1147" s="646"/>
      <c r="G1147" s="647"/>
      <c r="H1147" s="646"/>
      <c r="I1147" s="648"/>
      <c r="J1147" s="646"/>
      <c r="K1147" s="646"/>
      <c r="L1147" s="646"/>
      <c r="M1147" s="35"/>
    </row>
    <row r="1148" spans="3:13">
      <c r="C1148" s="645"/>
      <c r="D1148" s="645"/>
      <c r="E1148" s="646"/>
      <c r="F1148" s="646"/>
      <c r="G1148" s="647"/>
      <c r="H1148" s="646"/>
      <c r="I1148" s="648"/>
      <c r="J1148" s="646"/>
      <c r="K1148" s="646"/>
      <c r="L1148" s="646"/>
      <c r="M1148" s="35"/>
    </row>
    <row r="1149" spans="3:13">
      <c r="C1149" s="645"/>
      <c r="D1149" s="645"/>
      <c r="E1149" s="646"/>
      <c r="F1149" s="646"/>
      <c r="G1149" s="647"/>
      <c r="H1149" s="646"/>
      <c r="I1149" s="648"/>
      <c r="J1149" s="646"/>
      <c r="K1149" s="646"/>
      <c r="L1149" s="646"/>
      <c r="M1149" s="35"/>
    </row>
    <row r="1150" spans="3:13">
      <c r="C1150" s="645"/>
      <c r="D1150" s="645"/>
      <c r="E1150" s="646"/>
      <c r="F1150" s="646"/>
      <c r="G1150" s="647"/>
      <c r="H1150" s="646"/>
      <c r="I1150" s="648"/>
      <c r="J1150" s="646"/>
      <c r="K1150" s="646"/>
      <c r="L1150" s="646"/>
      <c r="M1150" s="35"/>
    </row>
    <row r="1151" spans="3:13">
      <c r="C1151" s="645"/>
      <c r="D1151" s="645"/>
      <c r="E1151" s="646"/>
      <c r="F1151" s="646"/>
      <c r="G1151" s="647"/>
      <c r="H1151" s="646"/>
      <c r="I1151" s="648"/>
      <c r="J1151" s="646"/>
      <c r="K1151" s="646"/>
      <c r="L1151" s="646"/>
      <c r="M1151" s="35"/>
    </row>
    <row r="1152" spans="3:13">
      <c r="C1152" s="645"/>
      <c r="D1152" s="645"/>
      <c r="E1152" s="646"/>
      <c r="F1152" s="646"/>
      <c r="G1152" s="647"/>
      <c r="H1152" s="646"/>
      <c r="I1152" s="648"/>
      <c r="J1152" s="646"/>
      <c r="K1152" s="646"/>
      <c r="L1152" s="646"/>
      <c r="M1152" s="35"/>
    </row>
    <row r="1153" spans="3:13">
      <c r="C1153" s="645"/>
      <c r="D1153" s="645"/>
      <c r="E1153" s="646"/>
      <c r="F1153" s="646"/>
      <c r="G1153" s="647"/>
      <c r="H1153" s="646"/>
      <c r="I1153" s="648"/>
      <c r="J1153" s="646"/>
      <c r="K1153" s="646"/>
      <c r="L1153" s="646"/>
      <c r="M1153" s="35"/>
    </row>
    <row r="1154" spans="3:13">
      <c r="C1154" s="645"/>
      <c r="D1154" s="645"/>
      <c r="E1154" s="646"/>
      <c r="F1154" s="646"/>
      <c r="G1154" s="647"/>
      <c r="H1154" s="646"/>
      <c r="I1154" s="648"/>
      <c r="J1154" s="646"/>
      <c r="K1154" s="646"/>
      <c r="L1154" s="646"/>
      <c r="M1154" s="35"/>
    </row>
    <row r="1155" spans="3:13">
      <c r="C1155" s="645"/>
      <c r="D1155" s="645"/>
      <c r="E1155" s="646"/>
      <c r="F1155" s="646"/>
      <c r="G1155" s="647"/>
      <c r="H1155" s="646"/>
      <c r="I1155" s="648"/>
      <c r="J1155" s="646"/>
      <c r="K1155" s="646"/>
      <c r="L1155" s="646"/>
      <c r="M1155" s="35"/>
    </row>
    <row r="1156" spans="3:13">
      <c r="C1156" s="645"/>
      <c r="D1156" s="645"/>
      <c r="E1156" s="646"/>
      <c r="F1156" s="646"/>
      <c r="G1156" s="647"/>
      <c r="H1156" s="646"/>
      <c r="I1156" s="648"/>
      <c r="J1156" s="646"/>
      <c r="K1156" s="646"/>
      <c r="L1156" s="646"/>
      <c r="M1156" s="35"/>
    </row>
    <row r="1157" spans="3:13">
      <c r="C1157" s="645"/>
      <c r="D1157" s="645"/>
      <c r="E1157" s="646"/>
      <c r="F1157" s="646"/>
      <c r="G1157" s="647"/>
      <c r="H1157" s="646"/>
      <c r="I1157" s="648"/>
      <c r="J1157" s="646"/>
      <c r="K1157" s="646"/>
      <c r="L1157" s="646"/>
      <c r="M1157" s="35"/>
    </row>
    <row r="1158" spans="3:13">
      <c r="C1158" s="645"/>
      <c r="D1158" s="645"/>
      <c r="E1158" s="646"/>
      <c r="F1158" s="646"/>
      <c r="G1158" s="647"/>
      <c r="H1158" s="646"/>
      <c r="I1158" s="648"/>
      <c r="J1158" s="646"/>
      <c r="K1158" s="646"/>
      <c r="L1158" s="646"/>
      <c r="M1158" s="35"/>
    </row>
    <row r="1159" spans="3:13">
      <c r="C1159" s="645"/>
      <c r="D1159" s="645"/>
      <c r="E1159" s="646"/>
      <c r="F1159" s="646"/>
      <c r="G1159" s="647"/>
      <c r="H1159" s="646"/>
      <c r="I1159" s="648"/>
      <c r="J1159" s="646"/>
      <c r="K1159" s="646"/>
      <c r="L1159" s="646"/>
      <c r="M1159" s="35"/>
    </row>
    <row r="1160" spans="3:13">
      <c r="C1160" s="645"/>
      <c r="D1160" s="645"/>
      <c r="E1160" s="646"/>
      <c r="F1160" s="646"/>
      <c r="G1160" s="647"/>
      <c r="H1160" s="646"/>
      <c r="I1160" s="648"/>
      <c r="J1160" s="646"/>
      <c r="K1160" s="646"/>
      <c r="L1160" s="646"/>
      <c r="M1160" s="35"/>
    </row>
    <row r="1161" spans="3:13">
      <c r="C1161" s="645"/>
      <c r="D1161" s="645"/>
      <c r="E1161" s="646"/>
      <c r="F1161" s="646"/>
      <c r="G1161" s="647"/>
      <c r="H1161" s="646"/>
      <c r="I1161" s="648"/>
      <c r="J1161" s="646"/>
      <c r="K1161" s="646"/>
      <c r="L1161" s="646"/>
      <c r="M1161" s="35"/>
    </row>
    <row r="1162" spans="3:13">
      <c r="C1162" s="645"/>
      <c r="D1162" s="645"/>
      <c r="E1162" s="646"/>
      <c r="F1162" s="646"/>
      <c r="G1162" s="647"/>
      <c r="H1162" s="646"/>
      <c r="I1162" s="648"/>
      <c r="J1162" s="646"/>
      <c r="K1162" s="646"/>
      <c r="L1162" s="646"/>
      <c r="M1162" s="35"/>
    </row>
    <row r="1163" spans="3:13">
      <c r="C1163" s="645"/>
      <c r="D1163" s="645"/>
      <c r="E1163" s="646"/>
      <c r="F1163" s="646"/>
      <c r="G1163" s="647"/>
      <c r="H1163" s="646"/>
      <c r="I1163" s="648"/>
      <c r="J1163" s="646"/>
      <c r="K1163" s="646"/>
      <c r="L1163" s="646"/>
      <c r="M1163" s="35"/>
    </row>
    <row r="1164" spans="3:13">
      <c r="C1164" s="645"/>
      <c r="D1164" s="645"/>
      <c r="E1164" s="646"/>
      <c r="F1164" s="646"/>
      <c r="G1164" s="647"/>
      <c r="H1164" s="646"/>
      <c r="I1164" s="648"/>
      <c r="J1164" s="646"/>
      <c r="K1164" s="646"/>
      <c r="L1164" s="646"/>
      <c r="M1164" s="35"/>
    </row>
    <row r="1165" spans="3:13">
      <c r="C1165" s="645"/>
      <c r="D1165" s="645"/>
      <c r="E1165" s="646"/>
      <c r="F1165" s="646"/>
      <c r="G1165" s="647"/>
      <c r="H1165" s="646"/>
      <c r="I1165" s="648"/>
      <c r="J1165" s="646"/>
      <c r="K1165" s="646"/>
      <c r="L1165" s="646"/>
      <c r="M1165" s="35"/>
    </row>
    <row r="1166" spans="3:13">
      <c r="C1166" s="645"/>
      <c r="D1166" s="645"/>
      <c r="E1166" s="646"/>
      <c r="F1166" s="646"/>
      <c r="G1166" s="647"/>
      <c r="H1166" s="646"/>
      <c r="I1166" s="648"/>
      <c r="J1166" s="646"/>
      <c r="K1166" s="646"/>
      <c r="L1166" s="646"/>
      <c r="M1166" s="35"/>
    </row>
    <row r="1167" spans="3:13">
      <c r="C1167" s="645"/>
      <c r="D1167" s="645"/>
      <c r="E1167" s="646"/>
      <c r="F1167" s="646"/>
      <c r="G1167" s="647"/>
      <c r="H1167" s="646"/>
      <c r="I1167" s="648"/>
      <c r="J1167" s="646"/>
      <c r="K1167" s="646"/>
      <c r="L1167" s="646"/>
      <c r="M1167" s="35"/>
    </row>
    <row r="1168" spans="3:13">
      <c r="C1168" s="645"/>
      <c r="D1168" s="645"/>
      <c r="E1168" s="646"/>
      <c r="F1168" s="646"/>
      <c r="G1168" s="647"/>
      <c r="H1168" s="646"/>
      <c r="I1168" s="648"/>
      <c r="J1168" s="646"/>
      <c r="K1168" s="646"/>
      <c r="L1168" s="646"/>
      <c r="M1168" s="35"/>
    </row>
    <row r="1169" spans="3:13">
      <c r="C1169" s="645"/>
      <c r="D1169" s="645"/>
      <c r="E1169" s="646"/>
      <c r="F1169" s="646"/>
      <c r="G1169" s="647"/>
      <c r="H1169" s="646"/>
      <c r="I1169" s="648"/>
      <c r="J1169" s="646"/>
      <c r="K1169" s="646"/>
      <c r="L1169" s="646"/>
      <c r="M1169" s="35"/>
    </row>
    <row r="1170" spans="3:13">
      <c r="C1170" s="645"/>
      <c r="D1170" s="645"/>
      <c r="E1170" s="646"/>
      <c r="F1170" s="646"/>
      <c r="G1170" s="647"/>
      <c r="H1170" s="646"/>
      <c r="I1170" s="648"/>
      <c r="J1170" s="646"/>
      <c r="K1170" s="646"/>
      <c r="L1170" s="646"/>
      <c r="M1170" s="35"/>
    </row>
    <row r="1171" spans="3:13">
      <c r="C1171" s="645"/>
      <c r="D1171" s="645"/>
      <c r="E1171" s="646"/>
      <c r="F1171" s="646"/>
      <c r="G1171" s="647"/>
      <c r="H1171" s="646"/>
      <c r="I1171" s="648"/>
      <c r="J1171" s="646"/>
      <c r="K1171" s="646"/>
      <c r="L1171" s="646"/>
      <c r="M1171" s="35"/>
    </row>
    <row r="1172" spans="3:13">
      <c r="C1172" s="645"/>
      <c r="D1172" s="645"/>
      <c r="E1172" s="646"/>
      <c r="F1172" s="646"/>
      <c r="G1172" s="647"/>
      <c r="H1172" s="646"/>
      <c r="I1172" s="648"/>
      <c r="J1172" s="646"/>
      <c r="K1172" s="646"/>
      <c r="L1172" s="646"/>
      <c r="M1172" s="35"/>
    </row>
    <row r="1173" spans="3:13">
      <c r="C1173" s="645"/>
      <c r="D1173" s="645"/>
      <c r="E1173" s="646"/>
      <c r="F1173" s="646"/>
      <c r="G1173" s="647"/>
      <c r="H1173" s="646"/>
      <c r="I1173" s="648"/>
      <c r="J1173" s="646"/>
      <c r="K1173" s="646"/>
      <c r="L1173" s="646"/>
      <c r="M1173" s="35"/>
    </row>
    <row r="1174" spans="3:13">
      <c r="C1174" s="645"/>
      <c r="D1174" s="645"/>
      <c r="E1174" s="646"/>
      <c r="F1174" s="646"/>
      <c r="G1174" s="647"/>
      <c r="H1174" s="646"/>
      <c r="I1174" s="648"/>
      <c r="J1174" s="646"/>
      <c r="K1174" s="646"/>
      <c r="L1174" s="646"/>
      <c r="M1174" s="35"/>
    </row>
    <row r="1175" spans="3:13">
      <c r="C1175" s="645"/>
      <c r="D1175" s="645"/>
      <c r="E1175" s="646"/>
      <c r="F1175" s="646"/>
      <c r="G1175" s="647"/>
      <c r="H1175" s="646"/>
      <c r="I1175" s="648"/>
      <c r="J1175" s="646"/>
      <c r="K1175" s="646"/>
      <c r="L1175" s="646"/>
      <c r="M1175" s="35"/>
    </row>
    <row r="1176" spans="3:13">
      <c r="C1176" s="645"/>
      <c r="D1176" s="645"/>
      <c r="E1176" s="646"/>
      <c r="F1176" s="646"/>
      <c r="G1176" s="647"/>
      <c r="H1176" s="646"/>
      <c r="I1176" s="648"/>
      <c r="J1176" s="646"/>
      <c r="K1176" s="646"/>
      <c r="L1176" s="646"/>
      <c r="M1176" s="35"/>
    </row>
    <row r="1177" spans="3:13">
      <c r="C1177" s="645"/>
      <c r="D1177" s="645"/>
      <c r="E1177" s="646"/>
      <c r="F1177" s="646"/>
      <c r="G1177" s="647"/>
      <c r="H1177" s="646"/>
      <c r="I1177" s="648"/>
      <c r="J1177" s="646"/>
      <c r="K1177" s="646"/>
      <c r="L1177" s="646"/>
      <c r="M1177" s="35"/>
    </row>
    <row r="1178" spans="3:13">
      <c r="C1178" s="645"/>
      <c r="D1178" s="645"/>
      <c r="E1178" s="646"/>
      <c r="F1178" s="646"/>
      <c r="G1178" s="647"/>
      <c r="H1178" s="646"/>
      <c r="I1178" s="648"/>
      <c r="J1178" s="646"/>
      <c r="K1178" s="646"/>
      <c r="L1178" s="646"/>
      <c r="M1178" s="35"/>
    </row>
    <row r="1179" spans="3:13">
      <c r="C1179" s="645"/>
      <c r="D1179" s="645"/>
      <c r="E1179" s="646"/>
      <c r="F1179" s="646"/>
      <c r="G1179" s="647"/>
      <c r="H1179" s="646"/>
      <c r="I1179" s="648"/>
      <c r="J1179" s="646"/>
      <c r="K1179" s="646"/>
      <c r="L1179" s="646"/>
      <c r="M1179" s="35"/>
    </row>
    <row r="1180" spans="3:13">
      <c r="C1180" s="645"/>
      <c r="D1180" s="645"/>
      <c r="E1180" s="646"/>
      <c r="F1180" s="646"/>
      <c r="G1180" s="647"/>
      <c r="H1180" s="646"/>
      <c r="I1180" s="648"/>
      <c r="J1180" s="646"/>
      <c r="K1180" s="646"/>
      <c r="L1180" s="646"/>
      <c r="M1180" s="35"/>
    </row>
    <row r="1181" spans="3:13">
      <c r="C1181" s="645"/>
      <c r="D1181" s="645"/>
      <c r="E1181" s="646"/>
      <c r="F1181" s="646"/>
      <c r="G1181" s="647"/>
      <c r="H1181" s="646"/>
      <c r="I1181" s="648"/>
      <c r="J1181" s="646"/>
      <c r="K1181" s="646"/>
      <c r="L1181" s="646"/>
      <c r="M1181" s="35"/>
    </row>
    <row r="1182" spans="3:13">
      <c r="C1182" s="645"/>
      <c r="D1182" s="645"/>
      <c r="E1182" s="646"/>
      <c r="F1182" s="646"/>
      <c r="G1182" s="647"/>
      <c r="H1182" s="646"/>
      <c r="I1182" s="648"/>
      <c r="J1182" s="646"/>
      <c r="K1182" s="646"/>
      <c r="L1182" s="646"/>
      <c r="M1182" s="35"/>
    </row>
    <row r="1183" spans="3:13">
      <c r="C1183" s="645"/>
      <c r="D1183" s="645"/>
      <c r="E1183" s="646"/>
      <c r="F1183" s="646"/>
      <c r="G1183" s="647"/>
      <c r="H1183" s="646"/>
      <c r="I1183" s="648"/>
      <c r="J1183" s="646"/>
      <c r="K1183" s="646"/>
      <c r="L1183" s="646"/>
      <c r="M1183" s="35"/>
    </row>
    <row r="1184" spans="3:13">
      <c r="C1184" s="645"/>
      <c r="D1184" s="645"/>
      <c r="E1184" s="646"/>
      <c r="F1184" s="646"/>
      <c r="G1184" s="647"/>
      <c r="H1184" s="646"/>
      <c r="I1184" s="648"/>
      <c r="J1184" s="646"/>
      <c r="K1184" s="646"/>
      <c r="L1184" s="646"/>
      <c r="M1184" s="35"/>
    </row>
    <row r="1185" spans="3:13">
      <c r="C1185" s="645"/>
      <c r="D1185" s="645"/>
      <c r="E1185" s="646"/>
      <c r="F1185" s="646"/>
      <c r="G1185" s="647"/>
      <c r="H1185" s="646"/>
      <c r="I1185" s="648"/>
      <c r="J1185" s="646"/>
      <c r="K1185" s="646"/>
      <c r="L1185" s="646"/>
      <c r="M1185" s="35"/>
    </row>
    <row r="1186" spans="3:13">
      <c r="C1186" s="645"/>
      <c r="D1186" s="645"/>
      <c r="E1186" s="646"/>
      <c r="F1186" s="646"/>
      <c r="G1186" s="647"/>
      <c r="H1186" s="646"/>
      <c r="I1186" s="648"/>
      <c r="J1186" s="646"/>
      <c r="K1186" s="646"/>
      <c r="L1186" s="646"/>
      <c r="M1186" s="35"/>
    </row>
    <row r="1187" spans="3:13">
      <c r="C1187" s="645"/>
      <c r="D1187" s="645"/>
      <c r="E1187" s="646"/>
      <c r="F1187" s="646"/>
      <c r="G1187" s="647"/>
      <c r="H1187" s="646"/>
      <c r="I1187" s="648"/>
      <c r="J1187" s="646"/>
      <c r="K1187" s="646"/>
      <c r="L1187" s="646"/>
      <c r="M1187" s="35"/>
    </row>
    <row r="1188" spans="3:13">
      <c r="C1188" s="645"/>
      <c r="D1188" s="645"/>
      <c r="E1188" s="646"/>
      <c r="F1188" s="646"/>
      <c r="G1188" s="647"/>
      <c r="H1188" s="646"/>
      <c r="I1188" s="648"/>
      <c r="J1188" s="646"/>
      <c r="K1188" s="646"/>
      <c r="L1188" s="646"/>
      <c r="M1188" s="35"/>
    </row>
    <row r="1189" spans="3:13">
      <c r="C1189" s="645"/>
      <c r="D1189" s="645"/>
      <c r="E1189" s="646"/>
      <c r="F1189" s="646"/>
      <c r="G1189" s="647"/>
      <c r="H1189" s="646"/>
      <c r="I1189" s="648"/>
      <c r="J1189" s="646"/>
      <c r="K1189" s="646"/>
      <c r="L1189" s="646"/>
      <c r="M1189" s="35"/>
    </row>
    <row r="1190" spans="3:13">
      <c r="C1190" s="645"/>
      <c r="D1190" s="645"/>
      <c r="E1190" s="646"/>
      <c r="F1190" s="646"/>
      <c r="G1190" s="647"/>
      <c r="H1190" s="646"/>
      <c r="I1190" s="648"/>
      <c r="J1190" s="646"/>
      <c r="K1190" s="646"/>
      <c r="L1190" s="646"/>
      <c r="M1190" s="35"/>
    </row>
    <row r="1191" spans="3:13">
      <c r="C1191" s="645"/>
      <c r="D1191" s="645"/>
      <c r="E1191" s="646"/>
      <c r="F1191" s="646"/>
      <c r="G1191" s="647"/>
      <c r="H1191" s="646"/>
      <c r="I1191" s="648"/>
      <c r="J1191" s="646"/>
      <c r="K1191" s="646"/>
      <c r="L1191" s="646"/>
      <c r="M1191" s="35"/>
    </row>
    <row r="1192" spans="3:13">
      <c r="C1192" s="645"/>
      <c r="D1192" s="645"/>
      <c r="E1192" s="646"/>
      <c r="F1192" s="646"/>
      <c r="G1192" s="647"/>
      <c r="H1192" s="646"/>
      <c r="I1192" s="648"/>
      <c r="J1192" s="646"/>
      <c r="K1192" s="646"/>
      <c r="L1192" s="646"/>
      <c r="M1192" s="35"/>
    </row>
    <row r="1193" spans="3:13">
      <c r="C1193" s="645"/>
      <c r="D1193" s="645"/>
      <c r="E1193" s="646"/>
      <c r="F1193" s="646"/>
      <c r="G1193" s="647"/>
      <c r="H1193" s="646"/>
      <c r="I1193" s="648"/>
      <c r="J1193" s="646"/>
      <c r="K1193" s="646"/>
      <c r="L1193" s="646"/>
      <c r="M1193" s="35"/>
    </row>
    <row r="1194" spans="3:13">
      <c r="C1194" s="645"/>
      <c r="D1194" s="645"/>
      <c r="E1194" s="646"/>
      <c r="F1194" s="646"/>
      <c r="G1194" s="647"/>
      <c r="H1194" s="646"/>
      <c r="I1194" s="648"/>
      <c r="J1194" s="646"/>
      <c r="K1194" s="646"/>
      <c r="L1194" s="646"/>
      <c r="M1194" s="35"/>
    </row>
    <row r="1195" spans="3:13">
      <c r="C1195" s="645"/>
      <c r="D1195" s="645"/>
      <c r="E1195" s="646"/>
      <c r="F1195" s="646"/>
      <c r="G1195" s="647"/>
      <c r="H1195" s="646"/>
      <c r="I1195" s="648"/>
      <c r="J1195" s="646"/>
      <c r="K1195" s="646"/>
      <c r="L1195" s="646"/>
      <c r="M1195" s="35"/>
    </row>
    <row r="1196" spans="3:13">
      <c r="C1196" s="645"/>
      <c r="D1196" s="645"/>
      <c r="E1196" s="646"/>
      <c r="F1196" s="646"/>
      <c r="G1196" s="647"/>
      <c r="H1196" s="646"/>
      <c r="I1196" s="648"/>
      <c r="J1196" s="646"/>
      <c r="K1196" s="646"/>
      <c r="L1196" s="646"/>
      <c r="M1196" s="35"/>
    </row>
    <row r="1197" spans="3:13">
      <c r="C1197" s="645"/>
      <c r="D1197" s="645"/>
      <c r="E1197" s="646"/>
      <c r="F1197" s="646"/>
      <c r="G1197" s="647"/>
      <c r="H1197" s="646"/>
      <c r="I1197" s="648"/>
      <c r="J1197" s="646"/>
      <c r="K1197" s="646"/>
      <c r="L1197" s="646"/>
      <c r="M1197" s="35"/>
    </row>
    <row r="1198" spans="3:13">
      <c r="C1198" s="645"/>
      <c r="D1198" s="645"/>
      <c r="E1198" s="646"/>
      <c r="F1198" s="646"/>
      <c r="G1198" s="647"/>
      <c r="H1198" s="646"/>
      <c r="I1198" s="648"/>
      <c r="J1198" s="646"/>
      <c r="K1198" s="646"/>
      <c r="L1198" s="646"/>
      <c r="M1198" s="35"/>
    </row>
    <row r="1199" spans="3:13">
      <c r="C1199" s="645"/>
      <c r="D1199" s="645"/>
      <c r="E1199" s="646"/>
      <c r="F1199" s="646"/>
      <c r="G1199" s="647"/>
      <c r="H1199" s="646"/>
      <c r="I1199" s="648"/>
      <c r="J1199" s="646"/>
      <c r="K1199" s="646"/>
      <c r="L1199" s="646"/>
      <c r="M1199" s="35"/>
    </row>
    <row r="1200" spans="3:13">
      <c r="C1200" s="645"/>
      <c r="D1200" s="645"/>
      <c r="E1200" s="646"/>
      <c r="F1200" s="646"/>
      <c r="G1200" s="647"/>
      <c r="H1200" s="646"/>
      <c r="I1200" s="648"/>
      <c r="J1200" s="646"/>
      <c r="K1200" s="646"/>
      <c r="L1200" s="646"/>
      <c r="M1200" s="35"/>
    </row>
    <row r="1201" spans="3:13">
      <c r="C1201" s="645"/>
      <c r="D1201" s="645"/>
      <c r="E1201" s="646"/>
      <c r="F1201" s="646"/>
      <c r="G1201" s="647"/>
      <c r="H1201" s="646"/>
      <c r="I1201" s="648"/>
      <c r="J1201" s="646"/>
      <c r="K1201" s="646"/>
      <c r="L1201" s="646"/>
      <c r="M1201" s="35"/>
    </row>
    <row r="1202" spans="3:13">
      <c r="C1202" s="645"/>
      <c r="D1202" s="645"/>
      <c r="E1202" s="646"/>
      <c r="F1202" s="646"/>
      <c r="G1202" s="647"/>
      <c r="H1202" s="646"/>
      <c r="I1202" s="648"/>
      <c r="J1202" s="646"/>
      <c r="K1202" s="646"/>
      <c r="L1202" s="646"/>
      <c r="M1202" s="35"/>
    </row>
    <row r="1203" spans="3:13">
      <c r="C1203" s="645"/>
      <c r="D1203" s="645"/>
      <c r="E1203" s="646"/>
      <c r="F1203" s="646"/>
      <c r="G1203" s="647"/>
      <c r="H1203" s="646"/>
      <c r="I1203" s="648"/>
      <c r="J1203" s="646"/>
      <c r="K1203" s="646"/>
      <c r="L1203" s="646"/>
      <c r="M1203" s="35"/>
    </row>
    <row r="1204" spans="3:13">
      <c r="C1204" s="645"/>
      <c r="D1204" s="645"/>
      <c r="E1204" s="646"/>
      <c r="F1204" s="646"/>
      <c r="G1204" s="647"/>
      <c r="H1204" s="646"/>
      <c r="I1204" s="648"/>
      <c r="J1204" s="646"/>
      <c r="K1204" s="646"/>
      <c r="L1204" s="646"/>
      <c r="M1204" s="35"/>
    </row>
    <row r="1205" spans="3:13">
      <c r="C1205" s="645"/>
      <c r="D1205" s="645"/>
      <c r="E1205" s="646"/>
      <c r="F1205" s="646"/>
      <c r="G1205" s="647"/>
      <c r="H1205" s="646"/>
      <c r="I1205" s="648"/>
      <c r="J1205" s="646"/>
      <c r="K1205" s="646"/>
      <c r="L1205" s="646"/>
      <c r="M1205" s="35"/>
    </row>
    <row r="1206" spans="3:13">
      <c r="C1206" s="645"/>
      <c r="D1206" s="645"/>
      <c r="E1206" s="646"/>
      <c r="F1206" s="646"/>
      <c r="G1206" s="647"/>
      <c r="H1206" s="646"/>
      <c r="I1206" s="648"/>
      <c r="J1206" s="646"/>
      <c r="K1206" s="646"/>
      <c r="L1206" s="646"/>
      <c r="M1206" s="35"/>
    </row>
    <row r="1207" spans="3:13">
      <c r="C1207" s="645"/>
      <c r="D1207" s="645"/>
      <c r="E1207" s="646"/>
      <c r="F1207" s="646"/>
      <c r="G1207" s="647"/>
      <c r="H1207" s="646"/>
      <c r="I1207" s="648"/>
      <c r="J1207" s="646"/>
      <c r="K1207" s="646"/>
      <c r="L1207" s="646"/>
      <c r="M1207" s="35"/>
    </row>
    <row r="1208" spans="3:13">
      <c r="C1208" s="645"/>
      <c r="D1208" s="645"/>
      <c r="E1208" s="646"/>
      <c r="F1208" s="646"/>
      <c r="G1208" s="647"/>
      <c r="H1208" s="646"/>
      <c r="I1208" s="648"/>
      <c r="J1208" s="646"/>
      <c r="K1208" s="646"/>
      <c r="L1208" s="646"/>
      <c r="M1208" s="35"/>
    </row>
    <row r="1209" spans="3:13">
      <c r="C1209" s="645"/>
      <c r="D1209" s="645"/>
      <c r="E1209" s="646"/>
      <c r="F1209" s="646"/>
      <c r="G1209" s="647"/>
      <c r="H1209" s="646"/>
      <c r="I1209" s="648"/>
      <c r="J1209" s="646"/>
      <c r="K1209" s="646"/>
      <c r="L1209" s="646"/>
      <c r="M1209" s="35"/>
    </row>
    <row r="1210" spans="3:13">
      <c r="C1210" s="645"/>
      <c r="D1210" s="645"/>
      <c r="E1210" s="646"/>
      <c r="F1210" s="646"/>
      <c r="G1210" s="647"/>
      <c r="H1210" s="646"/>
      <c r="I1210" s="648"/>
      <c r="J1210" s="646"/>
      <c r="K1210" s="646"/>
      <c r="L1210" s="646"/>
      <c r="M1210" s="35"/>
    </row>
    <row r="1211" spans="3:13">
      <c r="C1211" s="645"/>
      <c r="D1211" s="645"/>
      <c r="E1211" s="646"/>
      <c r="F1211" s="646"/>
      <c r="G1211" s="647"/>
      <c r="H1211" s="646"/>
      <c r="I1211" s="648"/>
      <c r="J1211" s="646"/>
      <c r="K1211" s="646"/>
      <c r="L1211" s="646"/>
      <c r="M1211" s="35"/>
    </row>
    <row r="1212" spans="3:13">
      <c r="C1212" s="645"/>
      <c r="D1212" s="645"/>
      <c r="E1212" s="646"/>
      <c r="F1212" s="646"/>
      <c r="G1212" s="647"/>
      <c r="H1212" s="646"/>
      <c r="I1212" s="648"/>
      <c r="J1212" s="646"/>
      <c r="K1212" s="646"/>
      <c r="L1212" s="646"/>
      <c r="M1212" s="35"/>
    </row>
    <row r="1213" spans="3:13">
      <c r="C1213" s="645"/>
      <c r="D1213" s="645"/>
      <c r="E1213" s="646"/>
      <c r="F1213" s="646"/>
      <c r="G1213" s="647"/>
      <c r="H1213" s="646"/>
      <c r="I1213" s="648"/>
      <c r="J1213" s="646"/>
      <c r="K1213" s="646"/>
      <c r="L1213" s="646"/>
      <c r="M1213" s="35"/>
    </row>
    <row r="1214" spans="3:13">
      <c r="C1214" s="645"/>
      <c r="D1214" s="645"/>
      <c r="E1214" s="646"/>
      <c r="F1214" s="646"/>
      <c r="G1214" s="647"/>
      <c r="H1214" s="646"/>
      <c r="I1214" s="648"/>
      <c r="J1214" s="646"/>
      <c r="K1214" s="646"/>
      <c r="L1214" s="646"/>
      <c r="M1214" s="35"/>
    </row>
    <row r="1215" spans="3:13">
      <c r="C1215" s="645"/>
      <c r="D1215" s="645"/>
      <c r="E1215" s="646"/>
      <c r="F1215" s="646"/>
      <c r="G1215" s="647"/>
      <c r="H1215" s="646"/>
      <c r="I1215" s="648"/>
      <c r="J1215" s="646"/>
      <c r="K1215" s="646"/>
      <c r="L1215" s="646"/>
      <c r="M1215" s="35"/>
    </row>
    <row r="1216" spans="3:13">
      <c r="C1216" s="645"/>
      <c r="D1216" s="645"/>
      <c r="E1216" s="646"/>
      <c r="F1216" s="646"/>
      <c r="G1216" s="647"/>
      <c r="H1216" s="646"/>
      <c r="I1216" s="648"/>
      <c r="J1216" s="646"/>
      <c r="K1216" s="646"/>
      <c r="L1216" s="646"/>
      <c r="M1216" s="35"/>
    </row>
    <row r="1217" spans="3:13">
      <c r="C1217" s="645"/>
      <c r="D1217" s="645"/>
      <c r="E1217" s="646"/>
      <c r="F1217" s="646"/>
      <c r="G1217" s="647"/>
      <c r="H1217" s="646"/>
      <c r="I1217" s="648"/>
      <c r="J1217" s="646"/>
      <c r="K1217" s="646"/>
      <c r="L1217" s="646"/>
      <c r="M1217" s="35"/>
    </row>
    <row r="1218" spans="3:13">
      <c r="C1218" s="645"/>
      <c r="D1218" s="645"/>
      <c r="E1218" s="646"/>
      <c r="F1218" s="646"/>
      <c r="G1218" s="647"/>
      <c r="H1218" s="646"/>
      <c r="I1218" s="648"/>
      <c r="J1218" s="646"/>
      <c r="K1218" s="646"/>
      <c r="L1218" s="646"/>
      <c r="M1218" s="35"/>
    </row>
    <row r="1219" spans="3:13">
      <c r="C1219" s="645"/>
      <c r="D1219" s="645"/>
      <c r="E1219" s="646"/>
      <c r="F1219" s="646"/>
      <c r="G1219" s="647"/>
      <c r="H1219" s="646"/>
      <c r="I1219" s="648"/>
      <c r="J1219" s="646"/>
      <c r="K1219" s="646"/>
      <c r="L1219" s="646"/>
      <c r="M1219" s="35"/>
    </row>
    <row r="1220" spans="3:13">
      <c r="C1220" s="645"/>
      <c r="D1220" s="645"/>
      <c r="E1220" s="646"/>
      <c r="F1220" s="646"/>
      <c r="G1220" s="647"/>
      <c r="H1220" s="646"/>
      <c r="I1220" s="648"/>
      <c r="J1220" s="646"/>
      <c r="K1220" s="646"/>
      <c r="L1220" s="646"/>
      <c r="M1220" s="35"/>
    </row>
    <row r="1221" spans="3:13">
      <c r="C1221" s="645"/>
      <c r="D1221" s="645"/>
      <c r="E1221" s="646"/>
      <c r="F1221" s="646"/>
      <c r="G1221" s="647"/>
      <c r="H1221" s="646"/>
      <c r="I1221" s="648"/>
      <c r="J1221" s="646"/>
      <c r="K1221" s="646"/>
      <c r="L1221" s="646"/>
      <c r="M1221" s="35"/>
    </row>
    <row r="1222" spans="3:13">
      <c r="C1222" s="645"/>
      <c r="D1222" s="645"/>
      <c r="E1222" s="646"/>
      <c r="F1222" s="646"/>
      <c r="G1222" s="647"/>
      <c r="H1222" s="646"/>
      <c r="I1222" s="648"/>
      <c r="J1222" s="646"/>
      <c r="K1222" s="646"/>
      <c r="L1222" s="646"/>
      <c r="M1222" s="35"/>
    </row>
    <row r="1223" spans="3:13">
      <c r="C1223" s="645"/>
      <c r="D1223" s="645"/>
      <c r="E1223" s="646"/>
      <c r="F1223" s="646"/>
      <c r="G1223" s="647"/>
      <c r="H1223" s="646"/>
      <c r="I1223" s="648"/>
      <c r="J1223" s="646"/>
      <c r="K1223" s="646"/>
      <c r="L1223" s="646"/>
      <c r="M1223" s="35"/>
    </row>
    <row r="1224" spans="3:13">
      <c r="C1224" s="645"/>
      <c r="D1224" s="645"/>
      <c r="E1224" s="646"/>
      <c r="F1224" s="646"/>
      <c r="G1224" s="647"/>
      <c r="H1224" s="646"/>
      <c r="I1224" s="648"/>
      <c r="J1224" s="646"/>
      <c r="K1224" s="646"/>
      <c r="L1224" s="646"/>
      <c r="M1224" s="35"/>
    </row>
    <row r="1225" spans="3:13">
      <c r="C1225" s="645"/>
      <c r="D1225" s="645"/>
      <c r="E1225" s="646"/>
      <c r="F1225" s="646"/>
      <c r="G1225" s="647"/>
      <c r="H1225" s="646"/>
      <c r="I1225" s="648"/>
      <c r="J1225" s="646"/>
      <c r="K1225" s="646"/>
      <c r="L1225" s="646"/>
      <c r="M1225" s="35"/>
    </row>
    <row r="1226" spans="3:13">
      <c r="C1226" s="645"/>
      <c r="D1226" s="645"/>
      <c r="E1226" s="646"/>
      <c r="F1226" s="646"/>
      <c r="G1226" s="647"/>
      <c r="H1226" s="646"/>
      <c r="I1226" s="648"/>
      <c r="J1226" s="646"/>
      <c r="K1226" s="646"/>
      <c r="L1226" s="646"/>
      <c r="M1226" s="35"/>
    </row>
    <row r="1227" spans="3:13">
      <c r="C1227" s="645"/>
      <c r="D1227" s="645"/>
      <c r="E1227" s="646"/>
      <c r="F1227" s="646"/>
      <c r="G1227" s="647"/>
      <c r="H1227" s="646"/>
      <c r="I1227" s="648"/>
      <c r="J1227" s="646"/>
      <c r="K1227" s="646"/>
      <c r="L1227" s="646"/>
      <c r="M1227" s="35"/>
    </row>
    <row r="1228" spans="3:13">
      <c r="C1228" s="645"/>
      <c r="D1228" s="645"/>
      <c r="E1228" s="646"/>
      <c r="F1228" s="646"/>
      <c r="G1228" s="647"/>
      <c r="H1228" s="646"/>
      <c r="I1228" s="648"/>
      <c r="J1228" s="646"/>
      <c r="K1228" s="646"/>
      <c r="L1228" s="646"/>
      <c r="M1228" s="35"/>
    </row>
    <row r="1229" spans="3:13">
      <c r="C1229" s="645"/>
      <c r="D1229" s="645"/>
      <c r="E1229" s="646"/>
      <c r="F1229" s="646"/>
      <c r="G1229" s="647"/>
      <c r="H1229" s="646"/>
      <c r="I1229" s="648"/>
      <c r="J1229" s="646"/>
      <c r="K1229" s="646"/>
      <c r="L1229" s="646"/>
      <c r="M1229" s="35"/>
    </row>
    <row r="1230" spans="3:13">
      <c r="C1230" s="645"/>
      <c r="D1230" s="645"/>
      <c r="E1230" s="646"/>
      <c r="F1230" s="646"/>
      <c r="G1230" s="647"/>
      <c r="H1230" s="646"/>
      <c r="I1230" s="648"/>
      <c r="J1230" s="646"/>
      <c r="K1230" s="646"/>
      <c r="L1230" s="646"/>
      <c r="M1230" s="35"/>
    </row>
    <row r="1231" spans="3:13">
      <c r="C1231" s="645"/>
      <c r="D1231" s="645"/>
      <c r="E1231" s="646"/>
      <c r="F1231" s="646"/>
      <c r="G1231" s="647"/>
      <c r="H1231" s="646"/>
      <c r="I1231" s="648"/>
      <c r="J1231" s="646"/>
      <c r="K1231" s="646"/>
      <c r="L1231" s="646"/>
      <c r="M1231" s="35"/>
    </row>
    <row r="1232" spans="3:13">
      <c r="C1232" s="645"/>
      <c r="D1232" s="645"/>
      <c r="E1232" s="646"/>
      <c r="F1232" s="646"/>
      <c r="G1232" s="647"/>
      <c r="H1232" s="646"/>
      <c r="I1232" s="648"/>
      <c r="J1232" s="646"/>
      <c r="K1232" s="646"/>
      <c r="L1232" s="646"/>
      <c r="M1232" s="35"/>
    </row>
    <row r="1233" spans="3:13">
      <c r="C1233" s="645"/>
      <c r="D1233" s="645"/>
      <c r="E1233" s="646"/>
      <c r="F1233" s="646"/>
      <c r="G1233" s="647"/>
      <c r="H1233" s="646"/>
      <c r="I1233" s="648"/>
      <c r="J1233" s="646"/>
      <c r="K1233" s="646"/>
      <c r="L1233" s="646"/>
      <c r="M1233" s="35"/>
    </row>
    <row r="1234" spans="3:13">
      <c r="C1234" s="645"/>
      <c r="D1234" s="645"/>
      <c r="E1234" s="646"/>
      <c r="F1234" s="646"/>
      <c r="G1234" s="647"/>
      <c r="H1234" s="646"/>
      <c r="I1234" s="648"/>
      <c r="J1234" s="646"/>
      <c r="K1234" s="646"/>
      <c r="L1234" s="646"/>
      <c r="M1234" s="35"/>
    </row>
    <row r="1235" spans="3:13">
      <c r="C1235" s="645"/>
      <c r="D1235" s="645"/>
      <c r="E1235" s="646"/>
      <c r="F1235" s="646"/>
      <c r="G1235" s="647"/>
      <c r="H1235" s="646"/>
      <c r="I1235" s="648"/>
      <c r="J1235" s="646"/>
      <c r="K1235" s="646"/>
      <c r="L1235" s="646"/>
      <c r="M1235" s="35"/>
    </row>
    <row r="1236" spans="3:13">
      <c r="C1236" s="645"/>
      <c r="D1236" s="645"/>
      <c r="E1236" s="646"/>
      <c r="F1236" s="646"/>
      <c r="G1236" s="647"/>
      <c r="H1236" s="646"/>
      <c r="I1236" s="648"/>
      <c r="J1236" s="646"/>
      <c r="K1236" s="646"/>
      <c r="L1236" s="646"/>
      <c r="M1236" s="35"/>
    </row>
    <row r="1237" spans="3:13">
      <c r="C1237" s="645"/>
      <c r="D1237" s="645"/>
      <c r="E1237" s="646"/>
      <c r="F1237" s="646"/>
      <c r="G1237" s="647"/>
      <c r="H1237" s="646"/>
      <c r="I1237" s="648"/>
      <c r="J1237" s="646"/>
      <c r="K1237" s="646"/>
      <c r="L1237" s="646"/>
      <c r="M1237" s="35"/>
    </row>
    <row r="1238" spans="3:13">
      <c r="C1238" s="645"/>
      <c r="D1238" s="645"/>
      <c r="E1238" s="646"/>
      <c r="F1238" s="646"/>
      <c r="G1238" s="647"/>
      <c r="H1238" s="646"/>
      <c r="I1238" s="648"/>
      <c r="J1238" s="646"/>
      <c r="K1238" s="646"/>
      <c r="L1238" s="646"/>
      <c r="M1238" s="35"/>
    </row>
    <row r="1239" spans="3:13">
      <c r="C1239" s="645"/>
      <c r="D1239" s="645"/>
      <c r="E1239" s="646"/>
      <c r="F1239" s="646"/>
      <c r="G1239" s="647"/>
      <c r="H1239" s="646"/>
      <c r="I1239" s="648"/>
      <c r="J1239" s="646"/>
      <c r="K1239" s="646"/>
      <c r="L1239" s="646"/>
      <c r="M1239" s="35"/>
    </row>
    <row r="1240" spans="3:13">
      <c r="C1240" s="645"/>
      <c r="D1240" s="645"/>
      <c r="E1240" s="646"/>
      <c r="F1240" s="646"/>
      <c r="G1240" s="647"/>
      <c r="H1240" s="646"/>
      <c r="I1240" s="648"/>
      <c r="J1240" s="646"/>
      <c r="K1240" s="646"/>
      <c r="L1240" s="646"/>
      <c r="M1240" s="35"/>
    </row>
    <row r="1241" spans="3:13">
      <c r="C1241" s="645"/>
      <c r="D1241" s="645"/>
      <c r="E1241" s="646"/>
      <c r="F1241" s="646"/>
      <c r="G1241" s="647"/>
      <c r="H1241" s="646"/>
      <c r="I1241" s="648"/>
      <c r="J1241" s="646"/>
      <c r="K1241" s="646"/>
      <c r="L1241" s="646"/>
      <c r="M1241" s="35"/>
    </row>
    <row r="1242" spans="3:13">
      <c r="C1242" s="645"/>
      <c r="D1242" s="645"/>
      <c r="E1242" s="646"/>
      <c r="F1242" s="646"/>
      <c r="G1242" s="647"/>
      <c r="H1242" s="646"/>
      <c r="I1242" s="648"/>
      <c r="J1242" s="646"/>
      <c r="K1242" s="646"/>
      <c r="L1242" s="646"/>
      <c r="M1242" s="35"/>
    </row>
    <row r="1243" spans="3:13">
      <c r="C1243" s="645"/>
      <c r="D1243" s="645"/>
      <c r="E1243" s="646"/>
      <c r="F1243" s="646"/>
      <c r="G1243" s="647"/>
      <c r="H1243" s="646"/>
      <c r="I1243" s="648"/>
      <c r="J1243" s="646"/>
      <c r="K1243" s="646"/>
      <c r="L1243" s="646"/>
      <c r="M1243" s="35"/>
    </row>
    <row r="1244" spans="3:13">
      <c r="C1244" s="645"/>
      <c r="D1244" s="645"/>
      <c r="E1244" s="646"/>
      <c r="F1244" s="646"/>
      <c r="G1244" s="647"/>
      <c r="H1244" s="646"/>
      <c r="I1244" s="648"/>
      <c r="J1244" s="646"/>
      <c r="K1244" s="646"/>
      <c r="L1244" s="646"/>
      <c r="M1244" s="35"/>
    </row>
    <row r="1245" spans="3:13">
      <c r="C1245" s="645"/>
      <c r="D1245" s="645"/>
      <c r="E1245" s="646"/>
      <c r="F1245" s="646"/>
      <c r="G1245" s="647"/>
      <c r="H1245" s="646"/>
      <c r="I1245" s="648"/>
      <c r="J1245" s="646"/>
      <c r="K1245" s="646"/>
      <c r="L1245" s="646"/>
      <c r="M1245" s="35"/>
    </row>
    <row r="1246" spans="3:13">
      <c r="C1246" s="645"/>
      <c r="D1246" s="645"/>
      <c r="E1246" s="646"/>
      <c r="F1246" s="646"/>
      <c r="G1246" s="647"/>
      <c r="H1246" s="646"/>
      <c r="I1246" s="648"/>
      <c r="J1246" s="646"/>
      <c r="K1246" s="646"/>
      <c r="L1246" s="646"/>
      <c r="M1246" s="35"/>
    </row>
    <row r="1247" spans="3:13">
      <c r="C1247" s="645"/>
      <c r="D1247" s="645"/>
      <c r="E1247" s="646"/>
      <c r="F1247" s="646"/>
      <c r="G1247" s="647"/>
      <c r="H1247" s="646"/>
      <c r="I1247" s="648"/>
      <c r="J1247" s="646"/>
      <c r="K1247" s="646"/>
      <c r="L1247" s="646"/>
      <c r="M1247" s="35"/>
    </row>
    <row r="1248" spans="3:13">
      <c r="C1248" s="645"/>
      <c r="D1248" s="645"/>
      <c r="E1248" s="646"/>
      <c r="F1248" s="646"/>
      <c r="G1248" s="647"/>
      <c r="H1248" s="646"/>
      <c r="I1248" s="648"/>
      <c r="J1248" s="646"/>
      <c r="K1248" s="646"/>
      <c r="L1248" s="646"/>
      <c r="M1248" s="35"/>
    </row>
    <row r="1249" spans="3:13">
      <c r="C1249" s="645"/>
      <c r="D1249" s="645"/>
      <c r="E1249" s="646"/>
      <c r="F1249" s="646"/>
      <c r="G1249" s="647"/>
      <c r="H1249" s="646"/>
      <c r="I1249" s="648"/>
      <c r="J1249" s="646"/>
      <c r="K1249" s="646"/>
      <c r="L1249" s="646"/>
      <c r="M1249" s="35"/>
    </row>
    <row r="1250" spans="3:13">
      <c r="C1250" s="645"/>
      <c r="D1250" s="645"/>
      <c r="E1250" s="646"/>
      <c r="F1250" s="646"/>
      <c r="G1250" s="647"/>
      <c r="H1250" s="646"/>
      <c r="I1250" s="648"/>
      <c r="J1250" s="646"/>
      <c r="K1250" s="646"/>
      <c r="L1250" s="646"/>
      <c r="M1250" s="35"/>
    </row>
    <row r="1251" spans="3:13">
      <c r="C1251" s="645"/>
      <c r="D1251" s="645"/>
      <c r="E1251" s="646"/>
      <c r="F1251" s="646"/>
      <c r="G1251" s="647"/>
      <c r="H1251" s="646"/>
      <c r="I1251" s="648"/>
      <c r="J1251" s="646"/>
      <c r="K1251" s="646"/>
      <c r="L1251" s="646"/>
      <c r="M1251" s="35"/>
    </row>
    <row r="1252" spans="3:13">
      <c r="C1252" s="645"/>
      <c r="D1252" s="645"/>
      <c r="E1252" s="646"/>
      <c r="F1252" s="646"/>
      <c r="G1252" s="647"/>
      <c r="H1252" s="646"/>
      <c r="I1252" s="648"/>
      <c r="J1252" s="646"/>
      <c r="K1252" s="646"/>
      <c r="L1252" s="646"/>
      <c r="M1252" s="35"/>
    </row>
    <row r="1253" spans="3:13">
      <c r="C1253" s="645"/>
      <c r="D1253" s="645"/>
      <c r="E1253" s="646"/>
      <c r="F1253" s="646"/>
      <c r="G1253" s="647"/>
      <c r="H1253" s="646"/>
      <c r="I1253" s="648"/>
      <c r="J1253" s="646"/>
      <c r="K1253" s="646"/>
      <c r="L1253" s="646"/>
      <c r="M1253" s="35"/>
    </row>
    <row r="1254" spans="3:13">
      <c r="C1254" s="645"/>
      <c r="D1254" s="645"/>
      <c r="E1254" s="646"/>
      <c r="F1254" s="646"/>
      <c r="G1254" s="647"/>
      <c r="H1254" s="646"/>
      <c r="I1254" s="648"/>
      <c r="J1254" s="646"/>
      <c r="K1254" s="646"/>
      <c r="L1254" s="646"/>
      <c r="M1254" s="35"/>
    </row>
    <row r="1255" spans="3:13">
      <c r="C1255" s="645"/>
      <c r="D1255" s="645"/>
      <c r="E1255" s="646"/>
      <c r="F1255" s="646"/>
      <c r="G1255" s="647"/>
      <c r="H1255" s="646"/>
      <c r="I1255" s="648"/>
      <c r="J1255" s="646"/>
      <c r="K1255" s="646"/>
      <c r="L1255" s="646"/>
      <c r="M1255" s="35"/>
    </row>
    <row r="1256" spans="3:13">
      <c r="C1256" s="645"/>
      <c r="D1256" s="645"/>
      <c r="E1256" s="646"/>
      <c r="F1256" s="646"/>
      <c r="G1256" s="647"/>
      <c r="H1256" s="646"/>
      <c r="I1256" s="648"/>
      <c r="J1256" s="646"/>
      <c r="K1256" s="646"/>
      <c r="L1256" s="646"/>
      <c r="M1256" s="35"/>
    </row>
    <row r="1257" spans="3:13">
      <c r="C1257" s="645"/>
      <c r="D1257" s="645"/>
      <c r="E1257" s="646"/>
      <c r="F1257" s="646"/>
      <c r="G1257" s="647"/>
      <c r="H1257" s="646"/>
      <c r="I1257" s="648"/>
      <c r="J1257" s="646"/>
      <c r="K1257" s="646"/>
      <c r="L1257" s="646"/>
      <c r="M1257" s="35"/>
    </row>
    <row r="1258" spans="3:13">
      <c r="C1258" s="645"/>
      <c r="D1258" s="645"/>
      <c r="E1258" s="646"/>
      <c r="F1258" s="646"/>
      <c r="G1258" s="647"/>
      <c r="H1258" s="646"/>
      <c r="I1258" s="648"/>
      <c r="J1258" s="646"/>
      <c r="K1258" s="646"/>
      <c r="L1258" s="646"/>
      <c r="M1258" s="35"/>
    </row>
    <row r="1259" spans="3:13">
      <c r="C1259" s="645"/>
      <c r="D1259" s="645"/>
      <c r="E1259" s="646"/>
      <c r="F1259" s="646"/>
      <c r="G1259" s="647"/>
      <c r="H1259" s="646"/>
      <c r="I1259" s="648"/>
      <c r="J1259" s="646"/>
      <c r="K1259" s="646"/>
      <c r="L1259" s="646"/>
      <c r="M1259" s="35"/>
    </row>
    <row r="1260" spans="3:13">
      <c r="C1260" s="645"/>
      <c r="D1260" s="645"/>
      <c r="E1260" s="646"/>
      <c r="F1260" s="646"/>
      <c r="G1260" s="647"/>
      <c r="H1260" s="646"/>
      <c r="I1260" s="648"/>
      <c r="J1260" s="646"/>
      <c r="K1260" s="646"/>
      <c r="L1260" s="646"/>
      <c r="M1260" s="35"/>
    </row>
    <row r="1261" spans="3:13">
      <c r="C1261" s="645"/>
      <c r="D1261" s="645"/>
      <c r="E1261" s="646"/>
      <c r="F1261" s="646"/>
      <c r="G1261" s="647"/>
      <c r="H1261" s="646"/>
      <c r="I1261" s="648"/>
      <c r="J1261" s="646"/>
      <c r="K1261" s="646"/>
      <c r="L1261" s="646"/>
      <c r="M1261" s="35"/>
    </row>
    <row r="1262" spans="3:13">
      <c r="C1262" s="645"/>
      <c r="D1262" s="645"/>
      <c r="E1262" s="646"/>
      <c r="F1262" s="646"/>
      <c r="G1262" s="647"/>
      <c r="H1262" s="646"/>
      <c r="I1262" s="648"/>
      <c r="J1262" s="646"/>
      <c r="K1262" s="646"/>
      <c r="L1262" s="646"/>
      <c r="M1262" s="35"/>
    </row>
    <row r="1263" spans="3:13">
      <c r="C1263" s="645"/>
      <c r="D1263" s="645"/>
      <c r="E1263" s="646"/>
      <c r="F1263" s="646"/>
      <c r="G1263" s="647"/>
      <c r="H1263" s="646"/>
      <c r="I1263" s="648"/>
      <c r="J1263" s="646"/>
      <c r="K1263" s="646"/>
      <c r="L1263" s="646"/>
      <c r="M1263" s="35"/>
    </row>
    <row r="1264" spans="3:13">
      <c r="C1264" s="645"/>
      <c r="D1264" s="645"/>
      <c r="E1264" s="646"/>
      <c r="F1264" s="646"/>
      <c r="G1264" s="647"/>
      <c r="H1264" s="646"/>
      <c r="I1264" s="648"/>
      <c r="J1264" s="646"/>
      <c r="K1264" s="646"/>
      <c r="L1264" s="646"/>
      <c r="M1264" s="35"/>
    </row>
    <row r="1265" spans="3:13">
      <c r="C1265" s="645"/>
      <c r="D1265" s="645"/>
      <c r="E1265" s="646"/>
      <c r="F1265" s="646"/>
      <c r="G1265" s="647"/>
      <c r="H1265" s="646"/>
      <c r="I1265" s="648"/>
      <c r="J1265" s="646"/>
      <c r="K1265" s="646"/>
      <c r="L1265" s="646"/>
      <c r="M1265" s="35"/>
    </row>
    <row r="1266" spans="3:13">
      <c r="C1266" s="645"/>
      <c r="D1266" s="645"/>
      <c r="E1266" s="646"/>
      <c r="F1266" s="646"/>
      <c r="G1266" s="647"/>
      <c r="H1266" s="646"/>
      <c r="I1266" s="648"/>
      <c r="J1266" s="646"/>
      <c r="K1266" s="646"/>
      <c r="L1266" s="646"/>
      <c r="M1266" s="35"/>
    </row>
    <row r="1267" spans="3:13">
      <c r="C1267" s="645"/>
      <c r="D1267" s="645"/>
      <c r="E1267" s="646"/>
      <c r="F1267" s="646"/>
      <c r="G1267" s="647"/>
      <c r="H1267" s="646"/>
      <c r="I1267" s="648"/>
      <c r="J1267" s="646"/>
      <c r="K1267" s="646"/>
      <c r="L1267" s="646"/>
      <c r="M1267" s="35"/>
    </row>
    <row r="1268" spans="3:13">
      <c r="C1268" s="645"/>
      <c r="D1268" s="645"/>
      <c r="E1268" s="646"/>
      <c r="F1268" s="646"/>
      <c r="G1268" s="647"/>
      <c r="H1268" s="646"/>
      <c r="I1268" s="648"/>
      <c r="J1268" s="646"/>
      <c r="K1268" s="646"/>
      <c r="L1268" s="646"/>
      <c r="M1268" s="35"/>
    </row>
    <row r="1269" spans="3:13">
      <c r="C1269" s="645"/>
      <c r="D1269" s="645"/>
      <c r="E1269" s="646"/>
      <c r="F1269" s="646"/>
      <c r="G1269" s="647"/>
      <c r="H1269" s="646"/>
      <c r="I1269" s="648"/>
      <c r="J1269" s="646"/>
      <c r="K1269" s="646"/>
      <c r="L1269" s="646"/>
      <c r="M1269" s="35"/>
    </row>
    <row r="1270" spans="3:13">
      <c r="C1270" s="645"/>
      <c r="D1270" s="645"/>
      <c r="E1270" s="646"/>
      <c r="F1270" s="646"/>
      <c r="G1270" s="647"/>
      <c r="H1270" s="646"/>
      <c r="I1270" s="648"/>
      <c r="J1270" s="646"/>
      <c r="K1270" s="646"/>
      <c r="L1270" s="646"/>
      <c r="M1270" s="35"/>
    </row>
    <row r="1271" spans="3:13">
      <c r="C1271" s="645"/>
      <c r="D1271" s="645"/>
      <c r="E1271" s="646"/>
      <c r="F1271" s="646"/>
      <c r="G1271" s="647"/>
      <c r="H1271" s="646"/>
      <c r="I1271" s="648"/>
      <c r="J1271" s="646"/>
      <c r="K1271" s="646"/>
      <c r="L1271" s="646"/>
      <c r="M1271" s="35"/>
    </row>
    <row r="1272" spans="3:13">
      <c r="C1272" s="645"/>
      <c r="D1272" s="645"/>
      <c r="E1272" s="646"/>
      <c r="F1272" s="646"/>
      <c r="G1272" s="647"/>
      <c r="H1272" s="646"/>
      <c r="I1272" s="648"/>
      <c r="J1272" s="646"/>
      <c r="K1272" s="646"/>
      <c r="L1272" s="646"/>
      <c r="M1272" s="35"/>
    </row>
    <row r="1273" spans="3:13">
      <c r="C1273" s="645"/>
      <c r="D1273" s="645"/>
      <c r="E1273" s="646"/>
      <c r="F1273" s="646"/>
      <c r="G1273" s="647"/>
      <c r="H1273" s="646"/>
      <c r="I1273" s="648"/>
      <c r="J1273" s="646"/>
      <c r="K1273" s="646"/>
      <c r="L1273" s="646"/>
      <c r="M1273" s="35"/>
    </row>
    <row r="1274" spans="3:13">
      <c r="C1274" s="645"/>
      <c r="D1274" s="645"/>
      <c r="E1274" s="646"/>
      <c r="F1274" s="646"/>
      <c r="G1274" s="647"/>
      <c r="H1274" s="646"/>
      <c r="I1274" s="648"/>
      <c r="J1274" s="646"/>
      <c r="K1274" s="646"/>
      <c r="L1274" s="646"/>
      <c r="M1274" s="35"/>
    </row>
    <row r="1275" spans="3:13">
      <c r="C1275" s="645"/>
      <c r="D1275" s="645"/>
      <c r="E1275" s="646"/>
      <c r="F1275" s="646"/>
      <c r="G1275" s="647"/>
      <c r="H1275" s="646"/>
      <c r="I1275" s="648"/>
      <c r="J1275" s="646"/>
      <c r="K1275" s="646"/>
      <c r="L1275" s="646"/>
      <c r="M1275" s="35"/>
    </row>
    <row r="1276" spans="3:13">
      <c r="C1276" s="645"/>
      <c r="D1276" s="645"/>
      <c r="E1276" s="646"/>
      <c r="F1276" s="646"/>
      <c r="G1276" s="647"/>
      <c r="H1276" s="646"/>
      <c r="I1276" s="648"/>
      <c r="J1276" s="646"/>
      <c r="K1276" s="646"/>
      <c r="L1276" s="646"/>
      <c r="M1276" s="35"/>
    </row>
    <row r="1277" spans="3:13">
      <c r="C1277" s="645"/>
      <c r="D1277" s="645"/>
      <c r="E1277" s="646"/>
      <c r="F1277" s="646"/>
      <c r="G1277" s="647"/>
      <c r="H1277" s="646"/>
      <c r="I1277" s="648"/>
      <c r="J1277" s="646"/>
      <c r="K1277" s="646"/>
      <c r="L1277" s="646"/>
      <c r="M1277" s="35"/>
    </row>
    <row r="1278" spans="3:13">
      <c r="C1278" s="645"/>
      <c r="D1278" s="645"/>
      <c r="E1278" s="646"/>
      <c r="F1278" s="646"/>
      <c r="G1278" s="647"/>
      <c r="H1278" s="646"/>
      <c r="I1278" s="648"/>
      <c r="J1278" s="646"/>
      <c r="K1278" s="646"/>
      <c r="L1278" s="646"/>
      <c r="M1278" s="35"/>
    </row>
    <row r="1279" spans="3:13">
      <c r="C1279" s="645"/>
      <c r="D1279" s="645"/>
      <c r="E1279" s="646"/>
      <c r="F1279" s="646"/>
      <c r="G1279" s="647"/>
      <c r="H1279" s="646"/>
      <c r="I1279" s="648"/>
      <c r="J1279" s="646"/>
      <c r="K1279" s="646"/>
      <c r="L1279" s="646"/>
      <c r="M1279" s="35"/>
    </row>
    <row r="1280" spans="3:13">
      <c r="C1280" s="645"/>
      <c r="D1280" s="645"/>
      <c r="E1280" s="646"/>
      <c r="F1280" s="646"/>
      <c r="G1280" s="647"/>
      <c r="H1280" s="646"/>
      <c r="I1280" s="648"/>
      <c r="J1280" s="646"/>
      <c r="K1280" s="646"/>
      <c r="L1280" s="646"/>
      <c r="M1280" s="35"/>
    </row>
    <row r="1281" spans="3:13">
      <c r="C1281" s="645"/>
      <c r="D1281" s="645"/>
      <c r="E1281" s="646"/>
      <c r="F1281" s="646"/>
      <c r="G1281" s="647"/>
      <c r="H1281" s="646"/>
      <c r="I1281" s="648"/>
      <c r="J1281" s="646"/>
      <c r="K1281" s="646"/>
      <c r="L1281" s="646"/>
      <c r="M1281" s="35"/>
    </row>
    <row r="1282" spans="3:13">
      <c r="C1282" s="645"/>
      <c r="D1282" s="645"/>
      <c r="E1282" s="646"/>
      <c r="F1282" s="646"/>
      <c r="G1282" s="647"/>
      <c r="H1282" s="646"/>
      <c r="I1282" s="648"/>
      <c r="J1282" s="646"/>
      <c r="K1282" s="646"/>
      <c r="L1282" s="646"/>
      <c r="M1282" s="35"/>
    </row>
    <row r="1283" spans="3:13">
      <c r="C1283" s="645"/>
      <c r="D1283" s="645"/>
      <c r="E1283" s="646"/>
      <c r="F1283" s="646"/>
      <c r="G1283" s="647"/>
      <c r="H1283" s="646"/>
      <c r="I1283" s="648"/>
      <c r="J1283" s="646"/>
      <c r="K1283" s="646"/>
      <c r="L1283" s="646"/>
      <c r="M1283" s="35"/>
    </row>
    <row r="1284" spans="3:13">
      <c r="C1284" s="645"/>
      <c r="D1284" s="645"/>
      <c r="E1284" s="646"/>
      <c r="F1284" s="646"/>
      <c r="G1284" s="647"/>
      <c r="H1284" s="646"/>
      <c r="I1284" s="648"/>
      <c r="J1284" s="646"/>
      <c r="K1284" s="646"/>
      <c r="L1284" s="646"/>
      <c r="M1284" s="35"/>
    </row>
    <row r="1285" spans="3:13">
      <c r="C1285" s="645"/>
      <c r="D1285" s="645"/>
      <c r="E1285" s="646"/>
      <c r="F1285" s="646"/>
      <c r="G1285" s="647"/>
      <c r="H1285" s="646"/>
      <c r="I1285" s="648"/>
      <c r="J1285" s="646"/>
      <c r="K1285" s="646"/>
      <c r="L1285" s="646"/>
      <c r="M1285" s="35"/>
    </row>
    <row r="1286" spans="3:13">
      <c r="C1286" s="645"/>
      <c r="D1286" s="645"/>
      <c r="E1286" s="646"/>
      <c r="F1286" s="646"/>
      <c r="G1286" s="647"/>
      <c r="H1286" s="646"/>
      <c r="I1286" s="648"/>
      <c r="J1286" s="646"/>
      <c r="K1286" s="646"/>
      <c r="L1286" s="646"/>
      <c r="M1286" s="35"/>
    </row>
    <row r="1287" spans="3:13">
      <c r="C1287" s="645"/>
      <c r="D1287" s="645"/>
      <c r="E1287" s="646"/>
      <c r="F1287" s="646"/>
      <c r="G1287" s="647"/>
      <c r="H1287" s="646"/>
      <c r="I1287" s="648"/>
      <c r="J1287" s="646"/>
      <c r="K1287" s="646"/>
      <c r="L1287" s="646"/>
      <c r="M1287" s="35"/>
    </row>
    <row r="1288" spans="3:13">
      <c r="C1288" s="645"/>
      <c r="D1288" s="645"/>
      <c r="E1288" s="646"/>
      <c r="F1288" s="646"/>
      <c r="G1288" s="647"/>
      <c r="H1288" s="646"/>
      <c r="I1288" s="648"/>
      <c r="J1288" s="646"/>
      <c r="K1288" s="646"/>
      <c r="L1288" s="646"/>
      <c r="M1288" s="35"/>
    </row>
    <row r="1289" spans="3:13">
      <c r="C1289" s="645"/>
      <c r="D1289" s="645"/>
      <c r="E1289" s="646"/>
      <c r="F1289" s="646"/>
      <c r="G1289" s="647"/>
      <c r="H1289" s="646"/>
      <c r="I1289" s="648"/>
      <c r="J1289" s="646"/>
      <c r="K1289" s="646"/>
      <c r="L1289" s="646"/>
      <c r="M1289" s="35"/>
    </row>
    <row r="1290" spans="3:13">
      <c r="C1290" s="645"/>
      <c r="D1290" s="645"/>
      <c r="E1290" s="646"/>
      <c r="F1290" s="646"/>
      <c r="G1290" s="647"/>
      <c r="H1290" s="646"/>
      <c r="I1290" s="648"/>
      <c r="J1290" s="646"/>
      <c r="K1290" s="646"/>
      <c r="L1290" s="646"/>
      <c r="M1290" s="35"/>
    </row>
    <row r="1291" spans="3:13">
      <c r="C1291" s="645"/>
      <c r="D1291" s="645"/>
      <c r="E1291" s="646"/>
      <c r="F1291" s="646"/>
      <c r="G1291" s="647"/>
      <c r="H1291" s="646"/>
      <c r="I1291" s="648"/>
      <c r="J1291" s="646"/>
      <c r="K1291" s="646"/>
      <c r="L1291" s="646"/>
      <c r="M1291" s="35"/>
    </row>
    <row r="1292" spans="3:13">
      <c r="C1292" s="645"/>
      <c r="D1292" s="645"/>
      <c r="E1292" s="646"/>
      <c r="F1292" s="646"/>
      <c r="G1292" s="647"/>
      <c r="H1292" s="646"/>
      <c r="I1292" s="648"/>
      <c r="J1292" s="646"/>
      <c r="K1292" s="646"/>
      <c r="L1292" s="646"/>
      <c r="M1292" s="35"/>
    </row>
    <row r="1293" spans="3:13">
      <c r="C1293" s="645"/>
      <c r="D1293" s="645"/>
      <c r="E1293" s="646"/>
      <c r="F1293" s="646"/>
      <c r="G1293" s="647"/>
      <c r="H1293" s="646"/>
      <c r="I1293" s="648"/>
      <c r="J1293" s="646"/>
      <c r="K1293" s="646"/>
      <c r="L1293" s="646"/>
      <c r="M1293" s="35"/>
    </row>
    <row r="1294" spans="3:13">
      <c r="C1294" s="645"/>
      <c r="D1294" s="645"/>
      <c r="E1294" s="646"/>
      <c r="F1294" s="646"/>
      <c r="G1294" s="647"/>
      <c r="H1294" s="646"/>
      <c r="I1294" s="648"/>
      <c r="J1294" s="646"/>
      <c r="K1294" s="646"/>
      <c r="L1294" s="646"/>
      <c r="M1294" s="35"/>
    </row>
    <row r="1295" spans="3:13">
      <c r="C1295" s="645"/>
      <c r="D1295" s="645"/>
      <c r="E1295" s="646"/>
      <c r="F1295" s="646"/>
      <c r="G1295" s="647"/>
      <c r="H1295" s="646"/>
      <c r="I1295" s="648"/>
      <c r="J1295" s="646"/>
      <c r="K1295" s="646"/>
      <c r="L1295" s="646"/>
      <c r="M1295" s="35"/>
    </row>
    <row r="1296" spans="3:13">
      <c r="C1296" s="645"/>
      <c r="D1296" s="645"/>
      <c r="E1296" s="646"/>
      <c r="F1296" s="646"/>
      <c r="G1296" s="647"/>
      <c r="H1296" s="646"/>
      <c r="I1296" s="648"/>
      <c r="J1296" s="646"/>
      <c r="K1296" s="646"/>
      <c r="L1296" s="646"/>
      <c r="M1296" s="35"/>
    </row>
    <row r="1297" spans="3:13">
      <c r="C1297" s="645"/>
      <c r="D1297" s="645"/>
      <c r="E1297" s="646"/>
      <c r="F1297" s="646"/>
      <c r="G1297" s="647"/>
      <c r="H1297" s="646"/>
      <c r="I1297" s="648"/>
      <c r="J1297" s="646"/>
      <c r="K1297" s="646"/>
      <c r="L1297" s="646"/>
      <c r="M1297" s="35"/>
    </row>
    <row r="1298" spans="3:13">
      <c r="C1298" s="645"/>
      <c r="D1298" s="645"/>
      <c r="E1298" s="646"/>
      <c r="F1298" s="646"/>
      <c r="G1298" s="647"/>
      <c r="H1298" s="646"/>
      <c r="I1298" s="648"/>
      <c r="J1298" s="646"/>
      <c r="K1298" s="646"/>
      <c r="L1298" s="646"/>
      <c r="M1298" s="35"/>
    </row>
    <row r="1299" spans="3:13">
      <c r="C1299" s="645"/>
      <c r="D1299" s="645"/>
      <c r="E1299" s="646"/>
      <c r="F1299" s="646"/>
      <c r="G1299" s="647"/>
      <c r="H1299" s="646"/>
      <c r="I1299" s="648"/>
      <c r="J1299" s="646"/>
      <c r="K1299" s="646"/>
      <c r="L1299" s="646"/>
      <c r="M1299" s="35"/>
    </row>
    <row r="1300" spans="3:13">
      <c r="C1300" s="645"/>
      <c r="D1300" s="645"/>
      <c r="E1300" s="646"/>
      <c r="F1300" s="646"/>
      <c r="G1300" s="647"/>
      <c r="H1300" s="646"/>
      <c r="I1300" s="648"/>
      <c r="J1300" s="646"/>
      <c r="K1300" s="646"/>
      <c r="L1300" s="646"/>
      <c r="M1300" s="35"/>
    </row>
    <row r="1301" spans="3:13">
      <c r="C1301" s="645"/>
      <c r="D1301" s="645"/>
      <c r="E1301" s="646"/>
      <c r="F1301" s="646"/>
      <c r="G1301" s="647"/>
      <c r="H1301" s="646"/>
      <c r="I1301" s="648"/>
      <c r="J1301" s="646"/>
      <c r="K1301" s="646"/>
      <c r="L1301" s="646"/>
      <c r="M1301" s="35"/>
    </row>
    <row r="1302" spans="3:13">
      <c r="C1302" s="645"/>
      <c r="D1302" s="645"/>
      <c r="E1302" s="646"/>
      <c r="F1302" s="646"/>
      <c r="G1302" s="647"/>
      <c r="H1302" s="646"/>
      <c r="I1302" s="648"/>
      <c r="J1302" s="646"/>
      <c r="K1302" s="646"/>
      <c r="L1302" s="646"/>
      <c r="M1302" s="35"/>
    </row>
    <row r="1303" spans="3:13">
      <c r="C1303" s="645"/>
      <c r="D1303" s="645"/>
      <c r="E1303" s="646"/>
      <c r="F1303" s="646"/>
      <c r="G1303" s="647"/>
      <c r="H1303" s="646"/>
      <c r="I1303" s="648"/>
      <c r="J1303" s="646"/>
      <c r="K1303" s="646"/>
      <c r="L1303" s="646"/>
      <c r="M1303" s="35"/>
    </row>
    <row r="1304" spans="3:13">
      <c r="C1304" s="645"/>
      <c r="D1304" s="645"/>
      <c r="E1304" s="646"/>
      <c r="F1304" s="646"/>
      <c r="G1304" s="647"/>
      <c r="H1304" s="646"/>
      <c r="I1304" s="648"/>
      <c r="J1304" s="646"/>
      <c r="K1304" s="646"/>
      <c r="L1304" s="646"/>
      <c r="M1304" s="35"/>
    </row>
    <row r="1305" spans="3:13">
      <c r="C1305" s="645"/>
      <c r="D1305" s="645"/>
      <c r="E1305" s="646"/>
      <c r="F1305" s="646"/>
      <c r="G1305" s="647"/>
      <c r="H1305" s="646"/>
      <c r="I1305" s="648"/>
      <c r="J1305" s="646"/>
      <c r="K1305" s="646"/>
      <c r="L1305" s="646"/>
      <c r="M1305" s="35"/>
    </row>
    <row r="1306" spans="3:13">
      <c r="C1306" s="645"/>
      <c r="D1306" s="645"/>
      <c r="E1306" s="646"/>
      <c r="F1306" s="646"/>
      <c r="G1306" s="647"/>
      <c r="H1306" s="646"/>
      <c r="I1306" s="648"/>
      <c r="J1306" s="646"/>
      <c r="K1306" s="646"/>
      <c r="L1306" s="646"/>
      <c r="M1306" s="35"/>
    </row>
    <row r="1307" spans="3:13">
      <c r="C1307" s="645"/>
      <c r="D1307" s="645"/>
      <c r="E1307" s="646"/>
      <c r="F1307" s="646"/>
      <c r="G1307" s="647"/>
      <c r="H1307" s="646"/>
      <c r="I1307" s="648"/>
      <c r="J1307" s="646"/>
      <c r="K1307" s="646"/>
      <c r="L1307" s="646"/>
      <c r="M1307" s="35"/>
    </row>
    <row r="1308" spans="3:13">
      <c r="C1308" s="645"/>
      <c r="D1308" s="645"/>
      <c r="E1308" s="646"/>
      <c r="F1308" s="646"/>
      <c r="G1308" s="647"/>
      <c r="H1308" s="646"/>
      <c r="I1308" s="648"/>
      <c r="J1308" s="646"/>
      <c r="K1308" s="646"/>
      <c r="L1308" s="646"/>
      <c r="M1308" s="35"/>
    </row>
    <row r="1309" spans="3:13">
      <c r="C1309" s="645"/>
      <c r="D1309" s="645"/>
      <c r="E1309" s="646"/>
      <c r="F1309" s="646"/>
      <c r="G1309" s="647"/>
      <c r="H1309" s="646"/>
      <c r="I1309" s="648"/>
      <c r="J1309" s="646"/>
      <c r="K1309" s="646"/>
      <c r="L1309" s="646"/>
      <c r="M1309" s="35"/>
    </row>
    <row r="1310" spans="3:13">
      <c r="C1310" s="645"/>
      <c r="D1310" s="645"/>
      <c r="E1310" s="646"/>
      <c r="F1310" s="646"/>
      <c r="G1310" s="647"/>
      <c r="H1310" s="646"/>
      <c r="I1310" s="648"/>
      <c r="J1310" s="646"/>
      <c r="K1310" s="646"/>
      <c r="L1310" s="646"/>
      <c r="M1310" s="35"/>
    </row>
    <row r="1311" spans="3:13">
      <c r="C1311" s="645"/>
      <c r="D1311" s="645"/>
      <c r="E1311" s="646"/>
      <c r="F1311" s="646"/>
      <c r="G1311" s="647"/>
      <c r="H1311" s="646"/>
      <c r="I1311" s="648"/>
      <c r="J1311" s="646"/>
      <c r="K1311" s="646"/>
      <c r="L1311" s="646"/>
      <c r="M1311" s="35"/>
    </row>
    <row r="1312" spans="3:13">
      <c r="C1312" s="645"/>
      <c r="D1312" s="645"/>
      <c r="E1312" s="646"/>
      <c r="F1312" s="646"/>
      <c r="G1312" s="647"/>
      <c r="H1312" s="646"/>
      <c r="I1312" s="648"/>
      <c r="J1312" s="646"/>
      <c r="K1312" s="646"/>
      <c r="L1312" s="646"/>
      <c r="M1312" s="35"/>
    </row>
    <row r="1313" spans="3:13">
      <c r="C1313" s="645"/>
      <c r="D1313" s="645"/>
      <c r="E1313" s="646"/>
      <c r="F1313" s="646"/>
      <c r="G1313" s="647"/>
      <c r="H1313" s="646"/>
      <c r="I1313" s="648"/>
      <c r="J1313" s="646"/>
      <c r="K1313" s="646"/>
      <c r="L1313" s="646"/>
      <c r="M1313" s="35"/>
    </row>
    <row r="1314" spans="3:13">
      <c r="C1314" s="645"/>
      <c r="D1314" s="645"/>
      <c r="E1314" s="646"/>
      <c r="F1314" s="646"/>
      <c r="G1314" s="647"/>
      <c r="H1314" s="646"/>
      <c r="I1314" s="648"/>
      <c r="J1314" s="646"/>
      <c r="K1314" s="646"/>
      <c r="L1314" s="646"/>
      <c r="M1314" s="35"/>
    </row>
    <row r="1315" spans="3:13">
      <c r="C1315" s="645"/>
      <c r="D1315" s="645"/>
      <c r="E1315" s="646"/>
      <c r="F1315" s="646"/>
      <c r="G1315" s="647"/>
      <c r="H1315" s="646"/>
      <c r="I1315" s="648"/>
      <c r="J1315" s="646"/>
      <c r="K1315" s="646"/>
      <c r="L1315" s="646"/>
      <c r="M1315" s="35"/>
    </row>
    <row r="1316" spans="3:13">
      <c r="C1316" s="645"/>
      <c r="D1316" s="645"/>
      <c r="E1316" s="646"/>
      <c r="F1316" s="646"/>
      <c r="G1316" s="647"/>
      <c r="H1316" s="646"/>
      <c r="I1316" s="648"/>
      <c r="J1316" s="646"/>
      <c r="K1316" s="646"/>
      <c r="L1316" s="646"/>
      <c r="M1316" s="35"/>
    </row>
    <row r="1317" spans="3:13">
      <c r="C1317" s="645"/>
      <c r="D1317" s="645"/>
      <c r="E1317" s="646"/>
      <c r="F1317" s="646"/>
      <c r="G1317" s="647"/>
      <c r="H1317" s="646"/>
      <c r="I1317" s="648"/>
      <c r="J1317" s="646"/>
      <c r="K1317" s="646"/>
      <c r="L1317" s="646"/>
      <c r="M1317" s="35"/>
    </row>
    <row r="1318" spans="3:13">
      <c r="C1318" s="645"/>
      <c r="D1318" s="645"/>
      <c r="E1318" s="646"/>
      <c r="F1318" s="646"/>
      <c r="G1318" s="647"/>
      <c r="H1318" s="646"/>
      <c r="I1318" s="648"/>
      <c r="J1318" s="646"/>
      <c r="K1318" s="646"/>
      <c r="L1318" s="646"/>
      <c r="M1318" s="35"/>
    </row>
    <row r="1319" spans="3:13">
      <c r="C1319" s="645"/>
      <c r="D1319" s="645"/>
      <c r="E1319" s="646"/>
      <c r="F1319" s="646"/>
      <c r="G1319" s="647"/>
      <c r="H1319" s="646"/>
      <c r="I1319" s="648"/>
      <c r="J1319" s="646"/>
      <c r="K1319" s="646"/>
      <c r="L1319" s="646"/>
      <c r="M1319" s="35"/>
    </row>
    <row r="1320" spans="3:13">
      <c r="C1320" s="645"/>
      <c r="D1320" s="645"/>
      <c r="E1320" s="646"/>
      <c r="F1320" s="646"/>
      <c r="G1320" s="647"/>
      <c r="H1320" s="646"/>
      <c r="I1320" s="648"/>
      <c r="J1320" s="646"/>
      <c r="K1320" s="646"/>
      <c r="L1320" s="646"/>
      <c r="M1320" s="35"/>
    </row>
    <row r="1321" spans="3:13">
      <c r="C1321" s="645"/>
      <c r="D1321" s="645"/>
      <c r="E1321" s="646"/>
      <c r="F1321" s="646"/>
      <c r="G1321" s="647"/>
      <c r="H1321" s="646"/>
      <c r="I1321" s="648"/>
      <c r="J1321" s="646"/>
      <c r="K1321" s="646"/>
      <c r="L1321" s="646"/>
      <c r="M1321" s="35"/>
    </row>
    <row r="1322" spans="3:13">
      <c r="C1322" s="645"/>
      <c r="D1322" s="645"/>
      <c r="E1322" s="646"/>
      <c r="F1322" s="646"/>
      <c r="G1322" s="647"/>
      <c r="H1322" s="646"/>
      <c r="I1322" s="648"/>
      <c r="J1322" s="646"/>
      <c r="K1322" s="646"/>
      <c r="L1322" s="646"/>
      <c r="M1322" s="35"/>
    </row>
    <row r="1323" spans="3:13">
      <c r="C1323" s="645"/>
      <c r="D1323" s="645"/>
      <c r="E1323" s="646"/>
      <c r="F1323" s="646"/>
      <c r="G1323" s="647"/>
      <c r="H1323" s="646"/>
      <c r="I1323" s="648"/>
      <c r="J1323" s="646"/>
      <c r="K1323" s="646"/>
      <c r="L1323" s="646"/>
      <c r="M1323" s="35"/>
    </row>
    <row r="1324" spans="3:13">
      <c r="C1324" s="645"/>
      <c r="D1324" s="645"/>
      <c r="E1324" s="646"/>
      <c r="F1324" s="646"/>
      <c r="G1324" s="647"/>
      <c r="H1324" s="646"/>
      <c r="I1324" s="648"/>
      <c r="J1324" s="646"/>
      <c r="K1324" s="646"/>
      <c r="L1324" s="646"/>
      <c r="M1324" s="35"/>
    </row>
    <row r="1325" spans="3:13">
      <c r="C1325" s="645"/>
      <c r="D1325" s="645"/>
      <c r="E1325" s="646"/>
      <c r="F1325" s="646"/>
      <c r="G1325" s="647"/>
      <c r="H1325" s="646"/>
      <c r="I1325" s="648"/>
      <c r="J1325" s="646"/>
      <c r="K1325" s="646"/>
      <c r="L1325" s="646"/>
      <c r="M1325" s="35"/>
    </row>
    <row r="1326" spans="3:13">
      <c r="C1326" s="645"/>
      <c r="D1326" s="645"/>
      <c r="E1326" s="646"/>
      <c r="F1326" s="646"/>
      <c r="G1326" s="647"/>
      <c r="H1326" s="646"/>
      <c r="I1326" s="648"/>
      <c r="J1326" s="646"/>
      <c r="K1326" s="646"/>
      <c r="L1326" s="646"/>
      <c r="M1326" s="35"/>
    </row>
    <row r="1327" spans="3:13">
      <c r="C1327" s="645"/>
      <c r="D1327" s="645"/>
      <c r="E1327" s="646"/>
      <c r="F1327" s="646"/>
      <c r="G1327" s="647"/>
      <c r="H1327" s="646"/>
      <c r="I1327" s="648"/>
      <c r="J1327" s="646"/>
      <c r="K1327" s="646"/>
      <c r="L1327" s="646"/>
      <c r="M1327" s="35"/>
    </row>
    <row r="1328" spans="3:13">
      <c r="C1328" s="645"/>
      <c r="D1328" s="645"/>
      <c r="E1328" s="646"/>
      <c r="F1328" s="646"/>
      <c r="G1328" s="647"/>
      <c r="H1328" s="646"/>
      <c r="I1328" s="648"/>
      <c r="J1328" s="646"/>
      <c r="K1328" s="646"/>
      <c r="L1328" s="646"/>
      <c r="M1328" s="35"/>
    </row>
    <row r="1329" spans="3:13">
      <c r="C1329" s="645"/>
      <c r="D1329" s="645"/>
      <c r="E1329" s="646"/>
      <c r="F1329" s="646"/>
      <c r="G1329" s="647"/>
      <c r="H1329" s="646"/>
      <c r="I1329" s="648"/>
      <c r="J1329" s="646"/>
      <c r="K1329" s="646"/>
      <c r="L1329" s="646"/>
      <c r="M1329" s="35"/>
    </row>
    <row r="1330" spans="3:13">
      <c r="C1330" s="645"/>
      <c r="D1330" s="645"/>
      <c r="E1330" s="646"/>
      <c r="F1330" s="646"/>
      <c r="G1330" s="647"/>
      <c r="H1330" s="646"/>
      <c r="I1330" s="648"/>
      <c r="J1330" s="646"/>
      <c r="K1330" s="646"/>
      <c r="L1330" s="646"/>
      <c r="M1330" s="35"/>
    </row>
    <row r="1331" spans="3:13">
      <c r="C1331" s="645"/>
      <c r="D1331" s="645"/>
      <c r="E1331" s="646"/>
      <c r="F1331" s="646"/>
      <c r="G1331" s="647"/>
      <c r="H1331" s="646"/>
      <c r="I1331" s="648"/>
      <c r="J1331" s="646"/>
      <c r="K1331" s="646"/>
      <c r="L1331" s="646"/>
      <c r="M1331" s="35"/>
    </row>
    <row r="1332" spans="3:13">
      <c r="C1332" s="645"/>
      <c r="D1332" s="645"/>
      <c r="E1332" s="646"/>
      <c r="F1332" s="646"/>
      <c r="G1332" s="647"/>
      <c r="H1332" s="646"/>
      <c r="I1332" s="648"/>
      <c r="J1332" s="646"/>
      <c r="K1332" s="646"/>
      <c r="L1332" s="646"/>
      <c r="M1332" s="35"/>
    </row>
    <row r="1333" spans="3:13">
      <c r="C1333" s="645"/>
      <c r="D1333" s="645"/>
      <c r="E1333" s="646"/>
      <c r="F1333" s="646"/>
      <c r="G1333" s="647"/>
      <c r="H1333" s="646"/>
      <c r="I1333" s="648"/>
      <c r="J1333" s="646"/>
      <c r="K1333" s="646"/>
      <c r="L1333" s="646"/>
      <c r="M1333" s="35"/>
    </row>
    <row r="1334" spans="3:13">
      <c r="C1334" s="645"/>
      <c r="D1334" s="645"/>
      <c r="E1334" s="646"/>
      <c r="F1334" s="646"/>
      <c r="G1334" s="647"/>
      <c r="H1334" s="646"/>
      <c r="I1334" s="648"/>
      <c r="J1334" s="646"/>
      <c r="K1334" s="646"/>
      <c r="L1334" s="646"/>
      <c r="M1334" s="35"/>
    </row>
    <row r="1335" spans="3:13">
      <c r="C1335" s="645"/>
      <c r="D1335" s="645"/>
      <c r="E1335" s="646"/>
      <c r="F1335" s="646"/>
      <c r="G1335" s="647"/>
      <c r="H1335" s="646"/>
      <c r="I1335" s="648"/>
      <c r="J1335" s="646"/>
      <c r="K1335" s="646"/>
      <c r="L1335" s="646"/>
      <c r="M1335" s="35"/>
    </row>
    <row r="1336" spans="3:13">
      <c r="C1336" s="645"/>
      <c r="D1336" s="645"/>
      <c r="E1336" s="646"/>
      <c r="F1336" s="646"/>
      <c r="G1336" s="647"/>
      <c r="H1336" s="646"/>
      <c r="I1336" s="648"/>
      <c r="J1336" s="646"/>
      <c r="K1336" s="646"/>
      <c r="L1336" s="646"/>
      <c r="M1336" s="35"/>
    </row>
    <row r="1337" spans="3:13">
      <c r="C1337" s="645"/>
      <c r="D1337" s="645"/>
      <c r="E1337" s="646"/>
      <c r="F1337" s="646"/>
      <c r="G1337" s="647"/>
      <c r="H1337" s="646"/>
      <c r="I1337" s="648"/>
      <c r="J1337" s="646"/>
      <c r="K1337" s="646"/>
      <c r="L1337" s="646"/>
      <c r="M1337" s="35"/>
    </row>
    <row r="1338" spans="3:13">
      <c r="C1338" s="645"/>
      <c r="D1338" s="645"/>
      <c r="E1338" s="646"/>
      <c r="F1338" s="646"/>
      <c r="G1338" s="647"/>
      <c r="H1338" s="646"/>
      <c r="I1338" s="648"/>
      <c r="J1338" s="646"/>
      <c r="K1338" s="646"/>
      <c r="L1338" s="646"/>
      <c r="M1338" s="35"/>
    </row>
    <row r="1339" spans="3:13">
      <c r="C1339" s="645"/>
      <c r="D1339" s="645"/>
      <c r="E1339" s="646"/>
      <c r="F1339" s="646"/>
      <c r="G1339" s="647"/>
      <c r="H1339" s="646"/>
      <c r="I1339" s="648"/>
      <c r="J1339" s="646"/>
      <c r="K1339" s="646"/>
      <c r="L1339" s="646"/>
      <c r="M1339" s="35"/>
    </row>
    <row r="1340" spans="3:13">
      <c r="C1340" s="645"/>
      <c r="D1340" s="645"/>
      <c r="E1340" s="646"/>
      <c r="F1340" s="646"/>
      <c r="G1340" s="647"/>
      <c r="H1340" s="646"/>
      <c r="I1340" s="648"/>
      <c r="J1340" s="646"/>
      <c r="K1340" s="646"/>
      <c r="L1340" s="646"/>
      <c r="M1340" s="35"/>
    </row>
    <row r="1341" spans="3:13">
      <c r="C1341" s="645"/>
      <c r="D1341" s="645"/>
      <c r="E1341" s="646"/>
      <c r="F1341" s="646"/>
      <c r="G1341" s="647"/>
      <c r="H1341" s="646"/>
      <c r="I1341" s="648"/>
      <c r="J1341" s="646"/>
      <c r="K1341" s="646"/>
      <c r="L1341" s="646"/>
      <c r="M1341" s="35"/>
    </row>
    <row r="1342" spans="3:13">
      <c r="C1342" s="645"/>
      <c r="D1342" s="645"/>
      <c r="E1342" s="646"/>
      <c r="F1342" s="646"/>
      <c r="G1342" s="647"/>
      <c r="H1342" s="646"/>
      <c r="I1342" s="648"/>
      <c r="J1342" s="646"/>
      <c r="K1342" s="646"/>
      <c r="L1342" s="646"/>
      <c r="M1342" s="35"/>
    </row>
    <row r="1343" spans="3:13">
      <c r="C1343" s="645"/>
      <c r="D1343" s="645"/>
      <c r="E1343" s="646"/>
      <c r="F1343" s="646"/>
      <c r="G1343" s="647"/>
      <c r="H1343" s="646"/>
      <c r="I1343" s="648"/>
      <c r="J1343" s="646"/>
      <c r="K1343" s="646"/>
      <c r="L1343" s="646"/>
      <c r="M1343" s="35"/>
    </row>
    <row r="1344" spans="3:13">
      <c r="C1344" s="645"/>
      <c r="D1344" s="645"/>
      <c r="E1344" s="646"/>
      <c r="F1344" s="646"/>
      <c r="G1344" s="647"/>
      <c r="H1344" s="646"/>
      <c r="I1344" s="648"/>
      <c r="J1344" s="646"/>
      <c r="K1344" s="646"/>
      <c r="L1344" s="646"/>
      <c r="M1344" s="35"/>
    </row>
    <row r="1345" spans="3:13">
      <c r="C1345" s="645"/>
      <c r="D1345" s="645"/>
      <c r="E1345" s="646"/>
      <c r="F1345" s="646"/>
      <c r="G1345" s="647"/>
      <c r="H1345" s="646"/>
      <c r="I1345" s="648"/>
      <c r="J1345" s="646"/>
      <c r="K1345" s="646"/>
      <c r="L1345" s="646"/>
      <c r="M1345" s="35"/>
    </row>
    <row r="1346" spans="3:13">
      <c r="C1346" s="645"/>
      <c r="D1346" s="645"/>
      <c r="E1346" s="646"/>
      <c r="F1346" s="646"/>
      <c r="G1346" s="647"/>
      <c r="H1346" s="646"/>
      <c r="I1346" s="648"/>
      <c r="J1346" s="646"/>
      <c r="K1346" s="646"/>
      <c r="L1346" s="646"/>
      <c r="M1346" s="35"/>
    </row>
    <row r="1347" spans="3:13">
      <c r="C1347" s="645"/>
      <c r="D1347" s="645"/>
      <c r="E1347" s="646"/>
      <c r="F1347" s="646"/>
      <c r="G1347" s="647"/>
      <c r="H1347" s="646"/>
      <c r="I1347" s="648"/>
      <c r="J1347" s="646"/>
      <c r="K1347" s="646"/>
      <c r="L1347" s="646"/>
      <c r="M1347" s="35"/>
    </row>
    <row r="1348" spans="3:13">
      <c r="C1348" s="645"/>
      <c r="D1348" s="645"/>
      <c r="E1348" s="646"/>
      <c r="F1348" s="646"/>
      <c r="G1348" s="647"/>
      <c r="H1348" s="646"/>
      <c r="I1348" s="648"/>
      <c r="J1348" s="646"/>
      <c r="K1348" s="646"/>
      <c r="L1348" s="646"/>
      <c r="M1348" s="35"/>
    </row>
    <row r="1349" spans="3:13">
      <c r="C1349" s="645"/>
      <c r="D1349" s="645"/>
      <c r="E1349" s="646"/>
      <c r="F1349" s="646"/>
      <c r="G1349" s="647"/>
      <c r="H1349" s="646"/>
      <c r="I1349" s="648"/>
      <c r="J1349" s="646"/>
      <c r="K1349" s="646"/>
      <c r="L1349" s="646"/>
      <c r="M1349" s="35"/>
    </row>
    <row r="1350" spans="3:13">
      <c r="C1350" s="645"/>
      <c r="D1350" s="645"/>
      <c r="E1350" s="646"/>
      <c r="F1350" s="646"/>
      <c r="G1350" s="647"/>
      <c r="H1350" s="646"/>
      <c r="I1350" s="648"/>
      <c r="J1350" s="646"/>
      <c r="K1350" s="646"/>
      <c r="L1350" s="646"/>
      <c r="M1350" s="35"/>
    </row>
    <row r="1351" spans="3:13">
      <c r="C1351" s="645"/>
      <c r="D1351" s="645"/>
      <c r="E1351" s="646"/>
      <c r="F1351" s="646"/>
      <c r="G1351" s="647"/>
      <c r="H1351" s="646"/>
      <c r="I1351" s="648"/>
      <c r="J1351" s="646"/>
      <c r="K1351" s="646"/>
      <c r="L1351" s="646"/>
      <c r="M1351" s="35"/>
    </row>
    <row r="1352" spans="3:13">
      <c r="C1352" s="645"/>
      <c r="D1352" s="645"/>
      <c r="E1352" s="646"/>
      <c r="F1352" s="646"/>
      <c r="G1352" s="647"/>
      <c r="H1352" s="646"/>
      <c r="I1352" s="648"/>
      <c r="J1352" s="646"/>
      <c r="K1352" s="646"/>
      <c r="L1352" s="646"/>
      <c r="M1352" s="35"/>
    </row>
    <row r="1353" spans="3:13">
      <c r="C1353" s="645"/>
      <c r="D1353" s="645"/>
      <c r="E1353" s="646"/>
      <c r="F1353" s="646"/>
      <c r="G1353" s="647"/>
      <c r="H1353" s="646"/>
      <c r="I1353" s="648"/>
      <c r="J1353" s="646"/>
      <c r="K1353" s="646"/>
      <c r="L1353" s="646"/>
      <c r="M1353" s="35"/>
    </row>
    <row r="1354" spans="3:13">
      <c r="C1354" s="645"/>
      <c r="D1354" s="645"/>
      <c r="E1354" s="646"/>
      <c r="F1354" s="646"/>
      <c r="G1354" s="647"/>
      <c r="H1354" s="646"/>
      <c r="I1354" s="648"/>
      <c r="J1354" s="646"/>
      <c r="K1354" s="646"/>
      <c r="L1354" s="646"/>
      <c r="M1354" s="35"/>
    </row>
    <row r="1355" spans="3:13">
      <c r="C1355" s="645"/>
      <c r="D1355" s="645"/>
      <c r="E1355" s="646"/>
      <c r="F1355" s="646"/>
      <c r="G1355" s="647"/>
      <c r="H1355" s="646"/>
      <c r="I1355" s="648"/>
      <c r="J1355" s="646"/>
      <c r="K1355" s="646"/>
      <c r="L1355" s="646"/>
      <c r="M1355" s="35"/>
    </row>
    <row r="1356" spans="3:13">
      <c r="C1356" s="645"/>
      <c r="D1356" s="645"/>
      <c r="E1356" s="646"/>
      <c r="F1356" s="646"/>
      <c r="G1356" s="647"/>
      <c r="H1356" s="646"/>
      <c r="I1356" s="648"/>
      <c r="J1356" s="646"/>
      <c r="K1356" s="646"/>
      <c r="L1356" s="646"/>
      <c r="M1356" s="35"/>
    </row>
    <row r="1357" spans="3:13">
      <c r="C1357" s="645"/>
      <c r="D1357" s="645"/>
      <c r="E1357" s="646"/>
      <c r="F1357" s="646"/>
      <c r="G1357" s="647"/>
      <c r="H1357" s="646"/>
      <c r="I1357" s="648"/>
      <c r="J1357" s="646"/>
      <c r="K1357" s="646"/>
      <c r="L1357" s="646"/>
      <c r="M1357" s="35"/>
    </row>
    <row r="1358" spans="3:13">
      <c r="C1358" s="645"/>
      <c r="D1358" s="645"/>
      <c r="E1358" s="646"/>
      <c r="F1358" s="646"/>
      <c r="G1358" s="647"/>
      <c r="H1358" s="646"/>
      <c r="I1358" s="648"/>
      <c r="J1358" s="646"/>
      <c r="K1358" s="646"/>
      <c r="L1358" s="646"/>
      <c r="M1358" s="35"/>
    </row>
    <row r="1359" spans="3:13">
      <c r="C1359" s="645"/>
      <c r="D1359" s="645"/>
      <c r="E1359" s="646"/>
      <c r="F1359" s="646"/>
      <c r="G1359" s="647"/>
      <c r="H1359" s="646"/>
      <c r="I1359" s="648"/>
      <c r="J1359" s="646"/>
      <c r="K1359" s="646"/>
      <c r="L1359" s="646"/>
      <c r="M1359" s="35"/>
    </row>
    <row r="1360" spans="3:13">
      <c r="C1360" s="645"/>
      <c r="D1360" s="645"/>
      <c r="E1360" s="646"/>
      <c r="F1360" s="646"/>
      <c r="G1360" s="647"/>
      <c r="H1360" s="646"/>
      <c r="I1360" s="648"/>
      <c r="J1360" s="646"/>
      <c r="K1360" s="646"/>
      <c r="L1360" s="646"/>
      <c r="M1360" s="35"/>
    </row>
    <row r="1361" spans="3:13">
      <c r="C1361" s="645"/>
      <c r="D1361" s="645"/>
      <c r="E1361" s="646"/>
      <c r="F1361" s="646"/>
      <c r="G1361" s="647"/>
      <c r="H1361" s="646"/>
      <c r="I1361" s="648"/>
      <c r="J1361" s="646"/>
      <c r="K1361" s="646"/>
      <c r="L1361" s="646"/>
      <c r="M1361" s="35"/>
    </row>
    <row r="1362" spans="3:13">
      <c r="C1362" s="645"/>
      <c r="D1362" s="645"/>
      <c r="E1362" s="646"/>
      <c r="F1362" s="646"/>
      <c r="G1362" s="647"/>
      <c r="H1362" s="646"/>
      <c r="I1362" s="648"/>
      <c r="J1362" s="646"/>
      <c r="K1362" s="646"/>
      <c r="L1362" s="646"/>
      <c r="M1362" s="35"/>
    </row>
    <row r="1363" spans="3:13">
      <c r="C1363" s="645"/>
      <c r="D1363" s="645"/>
      <c r="E1363" s="646"/>
      <c r="F1363" s="646"/>
      <c r="G1363" s="647"/>
      <c r="H1363" s="646"/>
      <c r="I1363" s="648"/>
      <c r="J1363" s="646"/>
      <c r="K1363" s="646"/>
      <c r="L1363" s="646"/>
      <c r="M1363" s="35"/>
    </row>
    <row r="1364" spans="3:13">
      <c r="C1364" s="645"/>
      <c r="D1364" s="645"/>
      <c r="E1364" s="646"/>
      <c r="F1364" s="646"/>
      <c r="G1364" s="647"/>
      <c r="H1364" s="646"/>
      <c r="I1364" s="648"/>
      <c r="J1364" s="646"/>
      <c r="K1364" s="646"/>
      <c r="L1364" s="646"/>
      <c r="M1364" s="35"/>
    </row>
    <row r="1365" spans="3:13">
      <c r="C1365" s="645"/>
      <c r="D1365" s="645"/>
      <c r="E1365" s="646"/>
      <c r="F1365" s="646"/>
      <c r="G1365" s="647"/>
      <c r="H1365" s="646"/>
      <c r="I1365" s="648"/>
      <c r="J1365" s="646"/>
      <c r="K1365" s="646"/>
      <c r="L1365" s="646"/>
      <c r="M1365" s="35"/>
    </row>
    <row r="1366" spans="3:13">
      <c r="C1366" s="645"/>
      <c r="D1366" s="645"/>
      <c r="E1366" s="646"/>
      <c r="F1366" s="646"/>
      <c r="G1366" s="647"/>
      <c r="H1366" s="646"/>
      <c r="I1366" s="648"/>
      <c r="J1366" s="646"/>
      <c r="K1366" s="646"/>
      <c r="L1366" s="646"/>
      <c r="M1366" s="35"/>
    </row>
    <row r="1367" spans="3:13">
      <c r="C1367" s="645"/>
      <c r="D1367" s="645"/>
      <c r="E1367" s="646"/>
      <c r="F1367" s="646"/>
      <c r="G1367" s="647"/>
      <c r="H1367" s="646"/>
      <c r="I1367" s="648"/>
      <c r="J1367" s="646"/>
      <c r="K1367" s="646"/>
      <c r="L1367" s="646"/>
      <c r="M1367" s="35"/>
    </row>
    <row r="1368" spans="3:13">
      <c r="C1368" s="645"/>
      <c r="D1368" s="645"/>
      <c r="E1368" s="646"/>
      <c r="F1368" s="646"/>
      <c r="G1368" s="647"/>
      <c r="H1368" s="646"/>
      <c r="I1368" s="648"/>
      <c r="J1368" s="646"/>
      <c r="K1368" s="646"/>
      <c r="L1368" s="646"/>
      <c r="M1368" s="35"/>
    </row>
    <row r="1369" spans="3:13">
      <c r="C1369" s="645"/>
      <c r="D1369" s="645"/>
      <c r="E1369" s="646"/>
      <c r="F1369" s="646"/>
      <c r="G1369" s="647"/>
      <c r="H1369" s="646"/>
      <c r="I1369" s="648"/>
      <c r="J1369" s="646"/>
      <c r="K1369" s="646"/>
      <c r="L1369" s="646"/>
      <c r="M1369" s="35"/>
    </row>
    <row r="1370" spans="3:13">
      <c r="C1370" s="645"/>
      <c r="D1370" s="645"/>
      <c r="E1370" s="646"/>
      <c r="F1370" s="646"/>
      <c r="G1370" s="647"/>
      <c r="H1370" s="646"/>
      <c r="I1370" s="648"/>
      <c r="J1370" s="646"/>
      <c r="K1370" s="646"/>
      <c r="L1370" s="646"/>
      <c r="M1370" s="35"/>
    </row>
    <row r="1371" spans="3:13">
      <c r="C1371" s="645"/>
      <c r="D1371" s="645"/>
      <c r="E1371" s="646"/>
      <c r="F1371" s="646"/>
      <c r="G1371" s="647"/>
      <c r="H1371" s="646"/>
      <c r="I1371" s="648"/>
      <c r="J1371" s="646"/>
      <c r="K1371" s="646"/>
      <c r="L1371" s="646"/>
      <c r="M1371" s="35"/>
    </row>
    <row r="1372" spans="3:13">
      <c r="C1372" s="645"/>
      <c r="D1372" s="645"/>
      <c r="E1372" s="646"/>
      <c r="F1372" s="646"/>
      <c r="G1372" s="647"/>
      <c r="H1372" s="646"/>
      <c r="I1372" s="648"/>
      <c r="J1372" s="646"/>
      <c r="K1372" s="646"/>
      <c r="L1372" s="646"/>
      <c r="M1372" s="35"/>
    </row>
    <row r="1373" spans="3:13">
      <c r="C1373" s="645"/>
      <c r="D1373" s="645"/>
      <c r="E1373" s="646"/>
      <c r="F1373" s="646"/>
      <c r="G1373" s="647"/>
      <c r="H1373" s="646"/>
      <c r="I1373" s="648"/>
      <c r="J1373" s="646"/>
      <c r="K1373" s="646"/>
      <c r="L1373" s="646"/>
      <c r="M1373" s="35"/>
    </row>
    <row r="1374" spans="3:13">
      <c r="C1374" s="645"/>
      <c r="D1374" s="645"/>
      <c r="E1374" s="646"/>
      <c r="F1374" s="646"/>
      <c r="G1374" s="647"/>
      <c r="H1374" s="646"/>
      <c r="I1374" s="648"/>
      <c r="J1374" s="646"/>
      <c r="K1374" s="646"/>
      <c r="L1374" s="646"/>
      <c r="M1374" s="35"/>
    </row>
  </sheetData>
  <autoFilter ref="A1:Q679"/>
  <dataConsolidate/>
  <mergeCells count="10">
    <mergeCell ref="A680:B680"/>
    <mergeCell ref="AI3:AI4"/>
    <mergeCell ref="AK3:AK4"/>
    <mergeCell ref="AL3:AL4"/>
    <mergeCell ref="A3:H3"/>
    <mergeCell ref="P3:P4"/>
    <mergeCell ref="N3:N4"/>
    <mergeCell ref="Q3:Q4"/>
    <mergeCell ref="V3:AC3"/>
    <mergeCell ref="R3:U3"/>
  </mergeCells>
  <phoneticPr fontId="65" type="noConversion"/>
  <dataValidations count="2">
    <dataValidation type="list" allowBlank="1" showInputMessage="1" showErrorMessage="1" sqref="N610 N173:N174 N5 N313:N321 N400:N412 N398 N276:N280 N342:N380 N340 N298:N311 N643:N659 N666:N679 N612:N630 N636 N593:N603 N274 AI610 AI120 AI5 AI313:AI321 AI400:AI412 AI398 AI276:AI280 AI342:AI380 AI340 N72:N80 AI298:AI311 N7:N15 N192 AI643:AI659 AI666:AI679 AI612:AI630 AI636 AI255:AI256 AI593:AI603 AI173:AI174 AI274 N120 N70 AI192 AI7:AI15 AI72:AI80 N33:N47 AI33:AI47 AI70 N49:N61 AI49:AI61 AI63:AI68 N63:N68 N98:N104 AI98:AI104 AI106:AI111 N106:N111 N113:N118 AI113:AI118 AI122:AI134 N122:N134 N136:N149 AI136:AI149 AI151:AI160 N151:N160 N162:N171 AI162:AI171 N255:N256 N194:N215 AI194:AI215 AI217:AI226 N217:N226 N228:N237 AI228:AI237 AI239:AI245 N239:N245 N247:N253 AI247:AI253 N430:N586 AI430:AI586">
      <formula1>"APPLE,AUDIOVISUEL,END USER COMPUTING,GOOGLE,INFRA,MICROSOFT,MOBIL'IT,PRINTING &amp; SCANNING"</formula1>
    </dataValidation>
    <dataValidation type="list" allowBlank="1" showInputMessage="1" showErrorMessage="1" sqref="N71 N312 N399 N275 N604:N609 N6 N471 N341 N16:N32 N637:N642 N660:N665 N587:N592 N502:N518 N413:N429 N381:N397 N322:N339 N281:N297 N175:N191 N81:N97 N611 N631:N635 N193 N257:N273 N121 AI71 AI312 AI399 AI275 AI604:AI609 AI6 AI471 AI341 AI16:AI32 AI637:AI642 AI660:AI665 AI587:AI592 AI502:AI518 AI413:AI429 AI381:AI397 AI322:AI339 AI281:AI297 AI175:AI191 AI81:AI97 AI611 AI631:AI635 AI193 AI257:AI273 AI121 N554 AI554 N570:N584 N682:N689">
      <formula1>"APPLE,PRODUCT CARE,AUDIOVISUEL,END USER COMPUTING,GOOGLE,INFRA,MICROSOFT,MOBIL'IT,PRINTING &amp; SCANNING"</formula1>
    </dataValidation>
  </dataValidation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H623"/>
  <sheetViews>
    <sheetView zoomScale="110" zoomScaleNormal="110" workbookViewId="0">
      <selection activeCell="A2" sqref="A2"/>
    </sheetView>
  </sheetViews>
  <sheetFormatPr baseColWidth="10" defaultColWidth="11.42578125" defaultRowHeight="12.75"/>
  <cols>
    <col min="1" max="1" width="28.7109375" customWidth="1"/>
    <col min="2" max="2" width="73" customWidth="1"/>
    <col min="4" max="4" width="13" customWidth="1"/>
    <col min="5" max="5" width="21.5703125" customWidth="1"/>
    <col min="13" max="13" width="10.7109375" style="227"/>
    <col min="15" max="15" width="33" customWidth="1"/>
    <col min="18" max="18" width="27.85546875" customWidth="1"/>
    <col min="19" max="19" width="107.5703125" customWidth="1"/>
    <col min="21" max="21" width="13" customWidth="1"/>
    <col min="22" max="22" width="21.5703125" customWidth="1"/>
    <col min="30" max="30" width="10.7109375" style="227"/>
    <col min="32" max="32" width="33" customWidth="1"/>
  </cols>
  <sheetData>
    <row r="1" spans="1:34" s="1" customFormat="1" ht="24" customHeight="1">
      <c r="A1" s="10" t="s">
        <v>47</v>
      </c>
      <c r="B1" s="11"/>
      <c r="C1" s="73"/>
      <c r="D1" s="75"/>
      <c r="E1" s="38"/>
      <c r="F1" s="27"/>
      <c r="G1" s="40"/>
      <c r="H1" s="27"/>
      <c r="I1" s="187"/>
      <c r="J1" s="23"/>
      <c r="K1" s="23"/>
      <c r="L1" s="23"/>
      <c r="M1" s="63"/>
      <c r="N1" s="51"/>
      <c r="O1" s="23"/>
      <c r="P1" s="212"/>
      <c r="Q1" s="212"/>
      <c r="R1" s="10" t="s">
        <v>47</v>
      </c>
      <c r="S1" s="11"/>
      <c r="T1" s="73"/>
      <c r="U1" s="75"/>
      <c r="V1" s="38"/>
      <c r="W1" s="27"/>
      <c r="X1" s="40"/>
      <c r="Y1" s="27"/>
      <c r="Z1" s="187"/>
      <c r="AA1" s="23"/>
      <c r="AB1" s="23"/>
      <c r="AC1" s="23"/>
      <c r="AD1" s="63"/>
      <c r="AE1" s="51"/>
      <c r="AF1" s="23"/>
      <c r="AG1" s="212"/>
      <c r="AH1" s="212"/>
    </row>
    <row r="2" spans="1:34" s="1" customFormat="1" ht="18.75">
      <c r="A2" s="12"/>
      <c r="B2" s="237" t="s">
        <v>1612</v>
      </c>
      <c r="C2" s="74"/>
      <c r="D2" s="76"/>
      <c r="E2" s="39"/>
      <c r="F2" s="36"/>
      <c r="G2" s="41"/>
      <c r="H2" s="36"/>
      <c r="I2" s="36"/>
      <c r="J2" s="24"/>
      <c r="K2" s="24"/>
      <c r="L2" s="24"/>
      <c r="M2" s="225"/>
      <c r="N2" s="51"/>
      <c r="O2" s="23"/>
      <c r="P2" s="184"/>
      <c r="Q2" s="184"/>
      <c r="R2" s="12"/>
      <c r="S2" s="237" t="s">
        <v>1612</v>
      </c>
      <c r="T2" s="74"/>
      <c r="U2" s="76"/>
      <c r="V2" s="39"/>
      <c r="W2" s="36"/>
      <c r="X2" s="41"/>
      <c r="Y2" s="36"/>
      <c r="Z2" s="36"/>
      <c r="AA2" s="24"/>
      <c r="AB2" s="24"/>
      <c r="AC2" s="24"/>
      <c r="AD2" s="225"/>
      <c r="AE2" s="51"/>
      <c r="AF2" s="23"/>
      <c r="AG2" s="184"/>
      <c r="AH2" s="184"/>
    </row>
    <row r="3" spans="1:34" s="1" customFormat="1" ht="30" customHeight="1">
      <c r="A3" s="681" t="s">
        <v>3418</v>
      </c>
      <c r="B3" s="681"/>
      <c r="C3" s="681"/>
      <c r="D3" s="681"/>
      <c r="E3" s="681"/>
      <c r="F3" s="681"/>
      <c r="G3" s="681"/>
      <c r="H3" s="681"/>
      <c r="I3" s="44"/>
      <c r="J3" s="45"/>
      <c r="K3" s="45"/>
      <c r="L3" s="222"/>
      <c r="M3" s="222"/>
      <c r="N3" s="677" t="s">
        <v>53</v>
      </c>
      <c r="O3" s="53" t="s">
        <v>54</v>
      </c>
      <c r="P3" s="684" t="s">
        <v>55</v>
      </c>
      <c r="Q3" s="684" t="s">
        <v>56</v>
      </c>
      <c r="R3" s="681" t="s">
        <v>1613</v>
      </c>
      <c r="S3" s="681"/>
      <c r="T3" s="681"/>
      <c r="U3" s="681"/>
      <c r="V3" s="681"/>
      <c r="W3" s="681"/>
      <c r="X3" s="681"/>
      <c r="Y3" s="681"/>
      <c r="Z3" s="44"/>
      <c r="AA3" s="45"/>
      <c r="AB3" s="45"/>
      <c r="AC3" s="222"/>
      <c r="AD3" s="222"/>
      <c r="AE3" s="677" t="s">
        <v>53</v>
      </c>
      <c r="AF3" s="53" t="s">
        <v>54</v>
      </c>
      <c r="AG3" s="684" t="s">
        <v>55</v>
      </c>
      <c r="AH3" s="684" t="s">
        <v>56</v>
      </c>
    </row>
    <row r="4" spans="1:34" s="1" customFormat="1" ht="63.75">
      <c r="A4" s="13" t="s">
        <v>59</v>
      </c>
      <c r="B4" s="30" t="s">
        <v>60</v>
      </c>
      <c r="C4" s="32" t="s">
        <v>61</v>
      </c>
      <c r="D4" s="34" t="s">
        <v>62</v>
      </c>
      <c r="E4" s="34" t="s">
        <v>63</v>
      </c>
      <c r="F4" s="37" t="s">
        <v>64</v>
      </c>
      <c r="G4" s="42" t="s">
        <v>65</v>
      </c>
      <c r="H4" s="37" t="s">
        <v>66</v>
      </c>
      <c r="I4" s="43" t="s">
        <v>67</v>
      </c>
      <c r="J4" s="16" t="s">
        <v>68</v>
      </c>
      <c r="K4" s="16" t="s">
        <v>69</v>
      </c>
      <c r="L4" s="224" t="s">
        <v>70</v>
      </c>
      <c r="M4" s="224" t="s">
        <v>71</v>
      </c>
      <c r="N4" s="677"/>
      <c r="O4" s="54" t="s">
        <v>72</v>
      </c>
      <c r="P4" s="684"/>
      <c r="Q4" s="684"/>
      <c r="R4" s="13" t="s">
        <v>59</v>
      </c>
      <c r="S4" s="30" t="s">
        <v>60</v>
      </c>
      <c r="T4" s="32" t="s">
        <v>61</v>
      </c>
      <c r="U4" s="34" t="s">
        <v>62</v>
      </c>
      <c r="V4" s="34" t="s">
        <v>63</v>
      </c>
      <c r="W4" s="37" t="s">
        <v>64</v>
      </c>
      <c r="X4" s="42" t="s">
        <v>65</v>
      </c>
      <c r="Y4" s="37" t="s">
        <v>66</v>
      </c>
      <c r="Z4" s="43" t="s">
        <v>67</v>
      </c>
      <c r="AA4" s="16" t="s">
        <v>68</v>
      </c>
      <c r="AB4" s="16" t="s">
        <v>69</v>
      </c>
      <c r="AC4" s="224" t="s">
        <v>70</v>
      </c>
      <c r="AD4" s="224" t="s">
        <v>71</v>
      </c>
      <c r="AE4" s="677"/>
      <c r="AF4" s="54" t="s">
        <v>72</v>
      </c>
      <c r="AG4" s="684"/>
      <c r="AH4" s="684"/>
    </row>
    <row r="5" spans="1:34" s="1" customFormat="1" ht="24" customHeight="1">
      <c r="A5" s="159" t="s">
        <v>1614</v>
      </c>
      <c r="C5" s="63"/>
      <c r="D5" s="35"/>
      <c r="E5" s="27"/>
      <c r="F5" s="27"/>
      <c r="G5" s="40"/>
      <c r="H5" s="27"/>
      <c r="I5" s="27"/>
      <c r="J5" s="23"/>
      <c r="K5" s="23"/>
      <c r="L5" s="23"/>
      <c r="M5" s="63"/>
      <c r="N5" s="91"/>
      <c r="O5" s="23"/>
      <c r="P5" s="14"/>
      <c r="Q5" s="14"/>
      <c r="R5" s="159" t="s">
        <v>1614</v>
      </c>
      <c r="T5" s="63"/>
      <c r="U5" s="35"/>
      <c r="V5" s="27"/>
      <c r="W5" s="27"/>
      <c r="X5" s="40"/>
      <c r="Y5" s="27"/>
      <c r="Z5" s="27"/>
      <c r="AA5" s="23"/>
      <c r="AB5" s="23"/>
      <c r="AC5" s="23"/>
      <c r="AD5" s="63"/>
      <c r="AE5" s="91"/>
      <c r="AF5" s="23"/>
      <c r="AG5" s="14"/>
      <c r="AH5" s="14"/>
    </row>
    <row r="6" spans="1:34" s="1" customFormat="1">
      <c r="A6" s="25" t="s">
        <v>1615</v>
      </c>
      <c r="B6" s="60" t="s">
        <v>1616</v>
      </c>
      <c r="C6" s="61">
        <v>1</v>
      </c>
      <c r="D6" s="35" t="s">
        <v>1617</v>
      </c>
      <c r="E6" s="62" t="s">
        <v>1615</v>
      </c>
      <c r="F6" s="63">
        <v>150</v>
      </c>
      <c r="G6" s="22">
        <f>rv_iiyama</f>
        <v>0.2</v>
      </c>
      <c r="H6" s="31">
        <f>F6-(F6*G6)</f>
        <v>120</v>
      </c>
      <c r="I6" s="31"/>
      <c r="J6" s="17"/>
      <c r="K6" s="17"/>
      <c r="L6" s="17" t="s">
        <v>77</v>
      </c>
      <c r="M6" s="71">
        <v>1.42</v>
      </c>
      <c r="N6" s="91" t="s">
        <v>75</v>
      </c>
      <c r="O6" s="55" t="s">
        <v>1618</v>
      </c>
      <c r="P6" s="14" t="s">
        <v>504</v>
      </c>
      <c r="Q6" s="14" t="s">
        <v>1273</v>
      </c>
      <c r="R6" s="25" t="s">
        <v>1615</v>
      </c>
      <c r="S6" s="60" t="s">
        <v>1616</v>
      </c>
      <c r="T6" s="61">
        <v>1</v>
      </c>
      <c r="U6" s="35" t="s">
        <v>1617</v>
      </c>
      <c r="V6" s="62" t="s">
        <v>1615</v>
      </c>
      <c r="W6" s="63">
        <v>150</v>
      </c>
      <c r="X6" s="22">
        <f>rv_iiyama</f>
        <v>0.2</v>
      </c>
      <c r="Y6" s="31">
        <f>W6-(W6*X6)</f>
        <v>120</v>
      </c>
      <c r="Z6" s="31"/>
      <c r="AA6" s="17"/>
      <c r="AB6" s="17"/>
      <c r="AC6" s="17" t="s">
        <v>77</v>
      </c>
      <c r="AD6" s="71">
        <v>1.42</v>
      </c>
      <c r="AE6" s="91" t="s">
        <v>75</v>
      </c>
      <c r="AF6" s="55" t="s">
        <v>1618</v>
      </c>
      <c r="AG6" s="14" t="s">
        <v>504</v>
      </c>
      <c r="AH6" s="14" t="s">
        <v>1273</v>
      </c>
    </row>
    <row r="7" spans="1:34" s="1" customFormat="1">
      <c r="A7" s="25" t="s">
        <v>1619</v>
      </c>
      <c r="B7" s="64" t="s">
        <v>1620</v>
      </c>
      <c r="C7" s="65">
        <v>1</v>
      </c>
      <c r="D7" s="62" t="s">
        <v>1617</v>
      </c>
      <c r="E7" s="29" t="s">
        <v>1619</v>
      </c>
      <c r="F7" s="35">
        <v>189</v>
      </c>
      <c r="G7" s="22">
        <f>rv_iiyama</f>
        <v>0.2</v>
      </c>
      <c r="H7" s="31">
        <f>F7-(F7*G7)</f>
        <v>151.19999999999999</v>
      </c>
      <c r="I7" s="31"/>
      <c r="J7" s="17"/>
      <c r="K7" s="17"/>
      <c r="L7" s="17" t="s">
        <v>77</v>
      </c>
      <c r="M7" s="71">
        <v>1.42</v>
      </c>
      <c r="N7" s="91" t="s">
        <v>75</v>
      </c>
      <c r="O7" s="55" t="s">
        <v>1618</v>
      </c>
      <c r="P7" s="14" t="s">
        <v>504</v>
      </c>
      <c r="Q7" s="14" t="s">
        <v>1273</v>
      </c>
      <c r="R7" s="25" t="s">
        <v>1619</v>
      </c>
      <c r="S7" s="64" t="s">
        <v>1620</v>
      </c>
      <c r="T7" s="65">
        <v>1</v>
      </c>
      <c r="U7" s="62" t="s">
        <v>1617</v>
      </c>
      <c r="V7" s="29" t="s">
        <v>1619</v>
      </c>
      <c r="W7" s="35">
        <v>189</v>
      </c>
      <c r="X7" s="22">
        <f>rv_iiyama</f>
        <v>0.2</v>
      </c>
      <c r="Y7" s="31">
        <f>W7-(W7*X7)</f>
        <v>151.19999999999999</v>
      </c>
      <c r="Z7" s="31"/>
      <c r="AA7" s="17"/>
      <c r="AB7" s="17"/>
      <c r="AC7" s="17" t="s">
        <v>77</v>
      </c>
      <c r="AD7" s="71">
        <v>1.42</v>
      </c>
      <c r="AE7" s="91" t="s">
        <v>75</v>
      </c>
      <c r="AF7" s="55" t="s">
        <v>1618</v>
      </c>
      <c r="AG7" s="14" t="s">
        <v>504</v>
      </c>
      <c r="AH7" s="14" t="s">
        <v>1273</v>
      </c>
    </row>
    <row r="8" spans="1:34" s="1" customFormat="1">
      <c r="A8" s="25" t="s">
        <v>1621</v>
      </c>
      <c r="B8" s="64" t="s">
        <v>1622</v>
      </c>
      <c r="C8" s="65">
        <v>1</v>
      </c>
      <c r="D8" s="62" t="s">
        <v>1617</v>
      </c>
      <c r="E8" s="29" t="s">
        <v>1621</v>
      </c>
      <c r="F8" s="35">
        <v>235</v>
      </c>
      <c r="G8" s="22">
        <f>rv_iiyama</f>
        <v>0.2</v>
      </c>
      <c r="H8" s="31">
        <f>F8-(F8*G8)</f>
        <v>188</v>
      </c>
      <c r="I8" s="31"/>
      <c r="J8" s="17"/>
      <c r="K8" s="17"/>
      <c r="L8" s="17" t="s">
        <v>77</v>
      </c>
      <c r="M8" s="71">
        <v>2.5</v>
      </c>
      <c r="N8" s="91" t="s">
        <v>75</v>
      </c>
      <c r="O8" s="55" t="s">
        <v>1618</v>
      </c>
      <c r="P8" s="14" t="s">
        <v>504</v>
      </c>
      <c r="Q8" s="14" t="s">
        <v>1273</v>
      </c>
      <c r="R8" s="25" t="s">
        <v>1621</v>
      </c>
      <c r="S8" s="64" t="s">
        <v>1622</v>
      </c>
      <c r="T8" s="65">
        <v>1</v>
      </c>
      <c r="U8" s="62" t="s">
        <v>1617</v>
      </c>
      <c r="V8" s="29" t="s">
        <v>1621</v>
      </c>
      <c r="W8" s="35">
        <v>235</v>
      </c>
      <c r="X8" s="22">
        <f>rv_iiyama</f>
        <v>0.2</v>
      </c>
      <c r="Y8" s="31">
        <f>W8-(W8*X8)</f>
        <v>188</v>
      </c>
      <c r="Z8" s="31"/>
      <c r="AA8" s="17"/>
      <c r="AB8" s="17"/>
      <c r="AC8" s="17" t="s">
        <v>77</v>
      </c>
      <c r="AD8" s="71">
        <v>2.5</v>
      </c>
      <c r="AE8" s="91" t="s">
        <v>75</v>
      </c>
      <c r="AF8" s="55" t="s">
        <v>1618</v>
      </c>
      <c r="AG8" s="14" t="s">
        <v>504</v>
      </c>
      <c r="AH8" s="14" t="s">
        <v>1273</v>
      </c>
    </row>
    <row r="9" spans="1:34" s="1" customFormat="1">
      <c r="A9" s="113" t="s">
        <v>1623</v>
      </c>
      <c r="B9" s="114" t="s">
        <v>1624</v>
      </c>
      <c r="C9" s="65">
        <v>1</v>
      </c>
      <c r="D9" s="62" t="s">
        <v>1617</v>
      </c>
      <c r="E9" s="142" t="s">
        <v>1623</v>
      </c>
      <c r="F9" s="35">
        <v>489</v>
      </c>
      <c r="G9" s="22">
        <f>rv_iiyama</f>
        <v>0.2</v>
      </c>
      <c r="H9" s="31">
        <f>F9-(F9*G9)</f>
        <v>391.2</v>
      </c>
      <c r="I9" s="31"/>
      <c r="J9" s="17"/>
      <c r="K9" s="17"/>
      <c r="L9" s="17"/>
      <c r="M9" s="71">
        <v>1.42</v>
      </c>
      <c r="N9" s="91" t="s">
        <v>75</v>
      </c>
      <c r="O9" s="55" t="s">
        <v>1618</v>
      </c>
      <c r="P9" s="14" t="s">
        <v>504</v>
      </c>
      <c r="Q9" s="14" t="s">
        <v>1273</v>
      </c>
      <c r="R9" s="113" t="s">
        <v>1623</v>
      </c>
      <c r="S9" s="114" t="s">
        <v>1624</v>
      </c>
      <c r="T9" s="65">
        <v>1</v>
      </c>
      <c r="U9" s="62" t="s">
        <v>1617</v>
      </c>
      <c r="V9" s="142" t="s">
        <v>1623</v>
      </c>
      <c r="W9" s="35">
        <v>489</v>
      </c>
      <c r="X9" s="22">
        <f>rv_iiyama</f>
        <v>0.2</v>
      </c>
      <c r="Y9" s="31">
        <f>W9-(W9*X9)</f>
        <v>391.2</v>
      </c>
      <c r="Z9" s="31"/>
      <c r="AA9" s="17"/>
      <c r="AB9" s="17"/>
      <c r="AC9" s="17"/>
      <c r="AD9" s="71">
        <v>1.42</v>
      </c>
      <c r="AE9" s="91" t="s">
        <v>75</v>
      </c>
      <c r="AF9" s="55" t="s">
        <v>1618</v>
      </c>
      <c r="AG9" s="14" t="s">
        <v>1625</v>
      </c>
      <c r="AH9" s="14" t="s">
        <v>89</v>
      </c>
    </row>
    <row r="10" spans="1:34" s="1" customFormat="1">
      <c r="A10" s="25" t="s">
        <v>1626</v>
      </c>
      <c r="B10" s="64" t="s">
        <v>1627</v>
      </c>
      <c r="C10" s="65">
        <v>1</v>
      </c>
      <c r="D10" s="62" t="s">
        <v>1617</v>
      </c>
      <c r="E10" s="29" t="s">
        <v>1626</v>
      </c>
      <c r="F10" s="35">
        <v>449.17</v>
      </c>
      <c r="G10" s="22">
        <f>rv_iiyama</f>
        <v>0.2</v>
      </c>
      <c r="H10" s="31">
        <f>F10-(F10*G10)</f>
        <v>359.33600000000001</v>
      </c>
      <c r="I10" s="31"/>
      <c r="J10" s="17"/>
      <c r="K10" s="17"/>
      <c r="L10" s="17" t="s">
        <v>77</v>
      </c>
      <c r="M10" s="71">
        <v>2.5</v>
      </c>
      <c r="N10" s="91" t="s">
        <v>75</v>
      </c>
      <c r="O10" s="55" t="s">
        <v>1618</v>
      </c>
      <c r="P10" s="14" t="s">
        <v>504</v>
      </c>
      <c r="Q10" s="14" t="s">
        <v>1273</v>
      </c>
      <c r="R10" s="25" t="s">
        <v>1626</v>
      </c>
      <c r="S10" s="64" t="s">
        <v>1627</v>
      </c>
      <c r="T10" s="65">
        <v>1</v>
      </c>
      <c r="U10" s="62" t="s">
        <v>1617</v>
      </c>
      <c r="V10" s="29" t="s">
        <v>1626</v>
      </c>
      <c r="W10" s="35">
        <v>449.17</v>
      </c>
      <c r="X10" s="22">
        <f>rv_iiyama</f>
        <v>0.2</v>
      </c>
      <c r="Y10" s="31">
        <f>W10-(W10*X10)</f>
        <v>359.33600000000001</v>
      </c>
      <c r="Z10" s="31"/>
      <c r="AA10" s="17"/>
      <c r="AB10" s="17"/>
      <c r="AC10" s="17" t="s">
        <v>77</v>
      </c>
      <c r="AD10" s="71">
        <v>2.5</v>
      </c>
      <c r="AE10" s="91" t="s">
        <v>75</v>
      </c>
      <c r="AF10" s="55" t="s">
        <v>1618</v>
      </c>
      <c r="AG10" s="14" t="s">
        <v>504</v>
      </c>
      <c r="AH10" s="14" t="s">
        <v>1273</v>
      </c>
    </row>
    <row r="11" spans="1:34" s="1" customFormat="1" ht="23.1" customHeight="1">
      <c r="A11" s="158" t="s">
        <v>1628</v>
      </c>
      <c r="B11" s="23"/>
      <c r="C11" s="63"/>
      <c r="D11" s="35"/>
      <c r="E11" s="27"/>
      <c r="F11" s="27"/>
      <c r="G11" s="40"/>
      <c r="H11" s="27"/>
      <c r="I11" s="27"/>
      <c r="J11" s="23"/>
      <c r="K11" s="23"/>
      <c r="L11" s="23"/>
      <c r="M11" s="63"/>
      <c r="N11" s="91"/>
      <c r="O11" s="55"/>
      <c r="P11" s="14"/>
      <c r="Q11" s="14"/>
      <c r="R11" s="158" t="s">
        <v>1628</v>
      </c>
      <c r="S11" s="23"/>
      <c r="T11" s="63"/>
      <c r="U11" s="35"/>
      <c r="V11" s="27"/>
      <c r="W11" s="27"/>
      <c r="X11" s="40"/>
      <c r="Y11" s="27"/>
      <c r="Z11" s="27"/>
      <c r="AA11" s="23"/>
      <c r="AB11" s="23"/>
      <c r="AC11" s="23"/>
      <c r="AD11" s="63"/>
      <c r="AE11" s="91"/>
      <c r="AF11" s="55"/>
      <c r="AG11" s="14"/>
      <c r="AH11" s="14"/>
    </row>
    <row r="12" spans="1:34" s="1" customFormat="1" ht="17.100000000000001" customHeight="1">
      <c r="A12" s="25" t="s">
        <v>1629</v>
      </c>
      <c r="B12" s="26" t="s">
        <v>1630</v>
      </c>
      <c r="C12" s="29">
        <v>1</v>
      </c>
      <c r="D12" s="62" t="s">
        <v>1631</v>
      </c>
      <c r="E12" s="142" t="s">
        <v>1629</v>
      </c>
      <c r="F12" s="63">
        <v>340.28</v>
      </c>
      <c r="G12" s="22">
        <f t="shared" ref="G12:G17" si="0">rv_philips</f>
        <v>0.2</v>
      </c>
      <c r="H12" s="31">
        <f t="shared" ref="H12:H26" si="1">F12-(F12*G12)</f>
        <v>272.22399999999999</v>
      </c>
      <c r="I12" s="31"/>
      <c r="J12" s="17"/>
      <c r="K12" s="17"/>
      <c r="L12" s="17" t="s">
        <v>77</v>
      </c>
      <c r="M12" s="17">
        <v>2.5</v>
      </c>
      <c r="N12" s="91" t="s">
        <v>75</v>
      </c>
      <c r="O12" s="55" t="s">
        <v>1618</v>
      </c>
      <c r="P12" s="14" t="s">
        <v>504</v>
      </c>
      <c r="Q12" s="14" t="s">
        <v>1273</v>
      </c>
      <c r="R12" s="25" t="s">
        <v>1632</v>
      </c>
      <c r="S12" s="26" t="s">
        <v>1630</v>
      </c>
      <c r="T12" s="29">
        <v>1</v>
      </c>
      <c r="U12" s="62" t="s">
        <v>1631</v>
      </c>
      <c r="V12" s="142" t="s">
        <v>1632</v>
      </c>
      <c r="W12" s="63">
        <v>340.28</v>
      </c>
      <c r="X12" s="22">
        <f t="shared" ref="X12:X17" si="2">rv_philips</f>
        <v>0.2</v>
      </c>
      <c r="Y12" s="31">
        <f t="shared" ref="Y12:Y26" si="3">W12-(W12*X12)</f>
        <v>272.22399999999999</v>
      </c>
      <c r="Z12" s="31"/>
      <c r="AA12" s="17"/>
      <c r="AB12" s="17"/>
      <c r="AC12" s="17" t="s">
        <v>77</v>
      </c>
      <c r="AD12" s="17">
        <v>2.5</v>
      </c>
      <c r="AE12" s="91" t="s">
        <v>75</v>
      </c>
      <c r="AF12" s="55" t="s">
        <v>1618</v>
      </c>
      <c r="AG12" s="14" t="s">
        <v>504</v>
      </c>
      <c r="AH12" s="14" t="s">
        <v>1273</v>
      </c>
    </row>
    <row r="13" spans="1:34" s="1" customFormat="1">
      <c r="A13" s="25" t="s">
        <v>1633</v>
      </c>
      <c r="B13" s="26" t="s">
        <v>1634</v>
      </c>
      <c r="C13" s="29">
        <v>1</v>
      </c>
      <c r="D13" s="62" t="s">
        <v>1631</v>
      </c>
      <c r="E13" s="142" t="s">
        <v>1633</v>
      </c>
      <c r="F13" s="63">
        <v>455.56</v>
      </c>
      <c r="G13" s="22">
        <f t="shared" si="0"/>
        <v>0.2</v>
      </c>
      <c r="H13" s="31">
        <f t="shared" si="1"/>
        <v>364.44799999999998</v>
      </c>
      <c r="I13" s="31"/>
      <c r="J13" s="17"/>
      <c r="K13" s="17"/>
      <c r="L13" s="17" t="s">
        <v>77</v>
      </c>
      <c r="M13" s="17">
        <v>2.5</v>
      </c>
      <c r="N13" s="91" t="s">
        <v>75</v>
      </c>
      <c r="O13" s="55" t="s">
        <v>1618</v>
      </c>
      <c r="P13" s="14" t="s">
        <v>504</v>
      </c>
      <c r="Q13" s="14" t="s">
        <v>1273</v>
      </c>
      <c r="R13" s="25" t="s">
        <v>1633</v>
      </c>
      <c r="S13" s="26" t="s">
        <v>1634</v>
      </c>
      <c r="T13" s="29">
        <v>1</v>
      </c>
      <c r="U13" s="62" t="s">
        <v>1631</v>
      </c>
      <c r="V13" s="142" t="s">
        <v>1633</v>
      </c>
      <c r="W13" s="63">
        <v>455.56</v>
      </c>
      <c r="X13" s="22">
        <f t="shared" si="2"/>
        <v>0.2</v>
      </c>
      <c r="Y13" s="31">
        <f t="shared" si="3"/>
        <v>364.44799999999998</v>
      </c>
      <c r="Z13" s="31"/>
      <c r="AA13" s="17"/>
      <c r="AB13" s="17"/>
      <c r="AC13" s="17" t="s">
        <v>77</v>
      </c>
      <c r="AD13" s="17">
        <v>2.5</v>
      </c>
      <c r="AE13" s="91" t="s">
        <v>75</v>
      </c>
      <c r="AF13" s="55" t="s">
        <v>1618</v>
      </c>
      <c r="AG13" s="14" t="s">
        <v>1625</v>
      </c>
      <c r="AH13" s="14" t="s">
        <v>89</v>
      </c>
    </row>
    <row r="14" spans="1:34" s="1" customFormat="1">
      <c r="A14" s="25" t="s">
        <v>1635</v>
      </c>
      <c r="B14" s="26" t="s">
        <v>1636</v>
      </c>
      <c r="C14" s="29">
        <v>1</v>
      </c>
      <c r="D14" s="62" t="s">
        <v>1631</v>
      </c>
      <c r="E14" s="142" t="s">
        <v>1635</v>
      </c>
      <c r="F14" s="63">
        <v>443.06</v>
      </c>
      <c r="G14" s="22">
        <f t="shared" si="0"/>
        <v>0.2</v>
      </c>
      <c r="H14" s="31">
        <f t="shared" si="1"/>
        <v>354.44799999999998</v>
      </c>
      <c r="I14" s="31"/>
      <c r="J14" s="17"/>
      <c r="K14" s="17"/>
      <c r="L14" s="17" t="s">
        <v>77</v>
      </c>
      <c r="M14" s="17">
        <v>2.5</v>
      </c>
      <c r="N14" s="91" t="s">
        <v>75</v>
      </c>
      <c r="O14" s="55" t="s">
        <v>1618</v>
      </c>
      <c r="P14" s="14" t="s">
        <v>504</v>
      </c>
      <c r="Q14" s="14" t="s">
        <v>1273</v>
      </c>
      <c r="R14" s="25" t="s">
        <v>1635</v>
      </c>
      <c r="S14" s="26" t="s">
        <v>1636</v>
      </c>
      <c r="T14" s="29">
        <v>1</v>
      </c>
      <c r="U14" s="62" t="s">
        <v>1631</v>
      </c>
      <c r="V14" s="142" t="s">
        <v>1635</v>
      </c>
      <c r="W14" s="63">
        <v>443.06</v>
      </c>
      <c r="X14" s="22">
        <f t="shared" si="2"/>
        <v>0.2</v>
      </c>
      <c r="Y14" s="31">
        <f t="shared" si="3"/>
        <v>354.44799999999998</v>
      </c>
      <c r="Z14" s="31"/>
      <c r="AA14" s="17"/>
      <c r="AB14" s="17"/>
      <c r="AC14" s="17" t="s">
        <v>77</v>
      </c>
      <c r="AD14" s="17">
        <v>2.5</v>
      </c>
      <c r="AE14" s="91" t="s">
        <v>75</v>
      </c>
      <c r="AF14" s="55" t="s">
        <v>1618</v>
      </c>
      <c r="AG14" s="14" t="s">
        <v>1637</v>
      </c>
      <c r="AH14" s="14" t="s">
        <v>340</v>
      </c>
    </row>
    <row r="15" spans="1:34" s="200" customFormat="1">
      <c r="A15" s="25" t="s">
        <v>1638</v>
      </c>
      <c r="B15" s="26" t="s">
        <v>1639</v>
      </c>
      <c r="C15" s="29">
        <v>1</v>
      </c>
      <c r="D15" s="62" t="s">
        <v>1631</v>
      </c>
      <c r="E15" s="142" t="s">
        <v>1638</v>
      </c>
      <c r="F15" s="63">
        <v>518.05999999999995</v>
      </c>
      <c r="G15" s="22">
        <f t="shared" si="0"/>
        <v>0.2</v>
      </c>
      <c r="H15" s="31">
        <f t="shared" si="1"/>
        <v>414.44799999999998</v>
      </c>
      <c r="I15" s="31"/>
      <c r="J15" s="17"/>
      <c r="K15" s="17"/>
      <c r="L15" s="17" t="s">
        <v>77</v>
      </c>
      <c r="M15" s="17">
        <v>2.5</v>
      </c>
      <c r="N15" s="91" t="s">
        <v>75</v>
      </c>
      <c r="O15" s="55" t="s">
        <v>1618</v>
      </c>
      <c r="P15" s="14" t="s">
        <v>504</v>
      </c>
      <c r="Q15" s="14" t="s">
        <v>1273</v>
      </c>
      <c r="R15" s="25" t="s">
        <v>1638</v>
      </c>
      <c r="S15" s="26" t="s">
        <v>1639</v>
      </c>
      <c r="T15" s="29">
        <v>1</v>
      </c>
      <c r="U15" s="62" t="s">
        <v>1631</v>
      </c>
      <c r="V15" s="142" t="s">
        <v>1638</v>
      </c>
      <c r="W15" s="63">
        <v>518.05999999999995</v>
      </c>
      <c r="X15" s="22">
        <f t="shared" si="2"/>
        <v>0.2</v>
      </c>
      <c r="Y15" s="31">
        <f t="shared" si="3"/>
        <v>414.44799999999998</v>
      </c>
      <c r="Z15" s="31"/>
      <c r="AA15" s="17"/>
      <c r="AB15" s="17"/>
      <c r="AC15" s="17" t="s">
        <v>77</v>
      </c>
      <c r="AD15" s="17">
        <v>2.5</v>
      </c>
      <c r="AE15" s="91" t="s">
        <v>75</v>
      </c>
      <c r="AF15" s="55" t="s">
        <v>1618</v>
      </c>
      <c r="AG15" s="205" t="s">
        <v>1640</v>
      </c>
      <c r="AH15" s="205" t="s">
        <v>1641</v>
      </c>
    </row>
    <row r="16" spans="1:34" s="1" customFormat="1">
      <c r="A16" s="25" t="s">
        <v>1642</v>
      </c>
      <c r="B16" s="26" t="s">
        <v>1643</v>
      </c>
      <c r="C16" s="29">
        <v>1</v>
      </c>
      <c r="D16" s="62" t="s">
        <v>1631</v>
      </c>
      <c r="E16" s="142" t="s">
        <v>1642</v>
      </c>
      <c r="F16" s="63">
        <v>227.78</v>
      </c>
      <c r="G16" s="22">
        <f t="shared" si="0"/>
        <v>0.2</v>
      </c>
      <c r="H16" s="31">
        <f t="shared" si="1"/>
        <v>182.22399999999999</v>
      </c>
      <c r="I16" s="31"/>
      <c r="J16" s="17"/>
      <c r="K16" s="17"/>
      <c r="L16" s="17" t="s">
        <v>77</v>
      </c>
      <c r="M16" s="17">
        <v>1.42</v>
      </c>
      <c r="N16" s="91" t="s">
        <v>75</v>
      </c>
      <c r="O16" s="55" t="s">
        <v>1618</v>
      </c>
      <c r="P16" s="14" t="s">
        <v>504</v>
      </c>
      <c r="Q16" s="14" t="s">
        <v>1273</v>
      </c>
      <c r="R16" s="25" t="s">
        <v>1642</v>
      </c>
      <c r="S16" s="26" t="s">
        <v>1643</v>
      </c>
      <c r="T16" s="29">
        <v>1</v>
      </c>
      <c r="U16" s="62" t="s">
        <v>1631</v>
      </c>
      <c r="V16" s="142" t="s">
        <v>1642</v>
      </c>
      <c r="W16" s="63">
        <v>227.78</v>
      </c>
      <c r="X16" s="22">
        <f t="shared" si="2"/>
        <v>0.2</v>
      </c>
      <c r="Y16" s="31">
        <f t="shared" si="3"/>
        <v>182.22399999999999</v>
      </c>
      <c r="Z16" s="31"/>
      <c r="AA16" s="17"/>
      <c r="AB16" s="17"/>
      <c r="AC16" s="17" t="s">
        <v>77</v>
      </c>
      <c r="AD16" s="17">
        <v>1.42</v>
      </c>
      <c r="AE16" s="91" t="s">
        <v>75</v>
      </c>
      <c r="AF16" s="55" t="s">
        <v>1618</v>
      </c>
      <c r="AG16" s="14" t="s">
        <v>1644</v>
      </c>
      <c r="AH16" s="14" t="s">
        <v>1645</v>
      </c>
    </row>
    <row r="17" spans="1:34" s="1" customFormat="1">
      <c r="A17" s="25" t="s">
        <v>1646</v>
      </c>
      <c r="B17" s="26" t="s">
        <v>1647</v>
      </c>
      <c r="C17" s="29">
        <v>1</v>
      </c>
      <c r="D17" s="62" t="s">
        <v>1631</v>
      </c>
      <c r="E17" s="142" t="s">
        <v>1646</v>
      </c>
      <c r="F17" s="63">
        <v>401.39</v>
      </c>
      <c r="G17" s="22">
        <f t="shared" si="0"/>
        <v>0.2</v>
      </c>
      <c r="H17" s="31">
        <f t="shared" si="1"/>
        <v>321.11199999999997</v>
      </c>
      <c r="I17" s="31"/>
      <c r="J17" s="17"/>
      <c r="K17" s="17"/>
      <c r="L17" s="17" t="s">
        <v>77</v>
      </c>
      <c r="M17" s="17">
        <v>1.42</v>
      </c>
      <c r="N17" s="91" t="s">
        <v>75</v>
      </c>
      <c r="O17" s="55" t="s">
        <v>1618</v>
      </c>
      <c r="P17" s="14" t="s">
        <v>504</v>
      </c>
      <c r="Q17" s="14" t="s">
        <v>1273</v>
      </c>
      <c r="R17" s="25" t="s">
        <v>1646</v>
      </c>
      <c r="S17" s="26" t="s">
        <v>1647</v>
      </c>
      <c r="T17" s="29">
        <v>1</v>
      </c>
      <c r="U17" s="62" t="s">
        <v>1631</v>
      </c>
      <c r="V17" s="142" t="s">
        <v>1646</v>
      </c>
      <c r="W17" s="63">
        <v>401.39</v>
      </c>
      <c r="X17" s="22">
        <f t="shared" si="2"/>
        <v>0.2</v>
      </c>
      <c r="Y17" s="31">
        <f t="shared" si="3"/>
        <v>321.11199999999997</v>
      </c>
      <c r="Z17" s="31"/>
      <c r="AA17" s="17"/>
      <c r="AB17" s="17"/>
      <c r="AC17" s="17" t="s">
        <v>77</v>
      </c>
      <c r="AD17" s="17">
        <v>1.42</v>
      </c>
      <c r="AE17" s="91" t="s">
        <v>75</v>
      </c>
      <c r="AF17" s="55" t="s">
        <v>1618</v>
      </c>
      <c r="AG17" s="14" t="s">
        <v>1648</v>
      </c>
      <c r="AH17" s="14" t="s">
        <v>1649</v>
      </c>
    </row>
    <row r="18" spans="1:34" s="1" customFormat="1">
      <c r="A18" s="113" t="s">
        <v>1650</v>
      </c>
      <c r="B18" s="305" t="s">
        <v>1651</v>
      </c>
      <c r="C18" s="292">
        <v>1</v>
      </c>
      <c r="D18" s="292" t="s">
        <v>1652</v>
      </c>
      <c r="E18" s="306" t="s">
        <v>1650</v>
      </c>
      <c r="F18" s="226">
        <v>185</v>
      </c>
      <c r="G18" s="138">
        <f>rv_samsung</f>
        <v>0.2</v>
      </c>
      <c r="H18" s="116">
        <f t="shared" si="1"/>
        <v>148</v>
      </c>
      <c r="I18" s="27"/>
      <c r="J18" s="23"/>
      <c r="K18" s="23"/>
      <c r="L18" s="63" t="s">
        <v>77</v>
      </c>
      <c r="M18" s="63">
        <v>1.25</v>
      </c>
      <c r="N18" s="91" t="s">
        <v>75</v>
      </c>
      <c r="O18" s="55" t="s">
        <v>1618</v>
      </c>
      <c r="P18" s="14" t="s">
        <v>504</v>
      </c>
      <c r="Q18" s="14" t="s">
        <v>1273</v>
      </c>
      <c r="R18" s="113" t="s">
        <v>1650</v>
      </c>
      <c r="S18" s="305" t="s">
        <v>1651</v>
      </c>
      <c r="T18" s="292">
        <v>1</v>
      </c>
      <c r="U18" s="292" t="s">
        <v>1652</v>
      </c>
      <c r="V18" s="306" t="s">
        <v>1650</v>
      </c>
      <c r="W18" s="226">
        <v>185</v>
      </c>
      <c r="X18" s="138">
        <f>rv_samsung</f>
        <v>0.2</v>
      </c>
      <c r="Y18" s="116">
        <f t="shared" si="3"/>
        <v>148</v>
      </c>
      <c r="Z18" s="27"/>
      <c r="AA18" s="23"/>
      <c r="AB18" s="23"/>
      <c r="AC18" s="63" t="s">
        <v>77</v>
      </c>
      <c r="AD18" s="63">
        <v>1.25</v>
      </c>
      <c r="AE18" s="91" t="s">
        <v>75</v>
      </c>
      <c r="AF18" s="55" t="s">
        <v>1618</v>
      </c>
      <c r="AG18" s="14" t="s">
        <v>1653</v>
      </c>
      <c r="AH18" s="14" t="s">
        <v>1654</v>
      </c>
    </row>
    <row r="19" spans="1:34" s="1" customFormat="1">
      <c r="A19" s="113" t="s">
        <v>1655</v>
      </c>
      <c r="B19" s="305" t="s">
        <v>1656</v>
      </c>
      <c r="C19" s="292">
        <v>1</v>
      </c>
      <c r="D19" s="307" t="s">
        <v>1652</v>
      </c>
      <c r="E19" s="300" t="s">
        <v>1657</v>
      </c>
      <c r="F19" s="226">
        <v>410</v>
      </c>
      <c r="G19" s="138">
        <f>rv_samsung</f>
        <v>0.2</v>
      </c>
      <c r="H19" s="116">
        <f t="shared" si="1"/>
        <v>328</v>
      </c>
      <c r="I19" s="27"/>
      <c r="J19" s="23"/>
      <c r="K19" s="23"/>
      <c r="L19" s="63" t="s">
        <v>77</v>
      </c>
      <c r="M19" s="63">
        <v>2.08</v>
      </c>
      <c r="N19" s="91" t="s">
        <v>75</v>
      </c>
      <c r="O19" s="55" t="s">
        <v>1618</v>
      </c>
      <c r="P19" s="14" t="s">
        <v>504</v>
      </c>
      <c r="Q19" s="14" t="s">
        <v>1273</v>
      </c>
      <c r="R19" s="113" t="s">
        <v>1655</v>
      </c>
      <c r="S19" s="305" t="s">
        <v>1656</v>
      </c>
      <c r="T19" s="292">
        <v>1</v>
      </c>
      <c r="U19" s="307" t="s">
        <v>1652</v>
      </c>
      <c r="V19" s="300" t="s">
        <v>1657</v>
      </c>
      <c r="W19" s="226">
        <v>410</v>
      </c>
      <c r="X19" s="138">
        <f>rv_samsung</f>
        <v>0.2</v>
      </c>
      <c r="Y19" s="116">
        <f t="shared" si="3"/>
        <v>328</v>
      </c>
      <c r="Z19" s="27"/>
      <c r="AA19" s="23"/>
      <c r="AB19" s="23"/>
      <c r="AC19" s="63" t="s">
        <v>77</v>
      </c>
      <c r="AD19" s="63">
        <v>2.08</v>
      </c>
      <c r="AE19" s="91" t="s">
        <v>75</v>
      </c>
      <c r="AF19" s="55" t="s">
        <v>1618</v>
      </c>
      <c r="AG19" s="14" t="s">
        <v>1658</v>
      </c>
      <c r="AH19" s="14" t="s">
        <v>1659</v>
      </c>
    </row>
    <row r="20" spans="1:34" s="1" customFormat="1">
      <c r="A20" s="113" t="s">
        <v>1660</v>
      </c>
      <c r="B20" s="305" t="s">
        <v>1661</v>
      </c>
      <c r="C20" s="292">
        <v>1</v>
      </c>
      <c r="D20" s="292" t="s">
        <v>1652</v>
      </c>
      <c r="E20" s="115" t="s">
        <v>1662</v>
      </c>
      <c r="F20" s="116">
        <v>430</v>
      </c>
      <c r="G20" s="138">
        <f>rv_samsung</f>
        <v>0.2</v>
      </c>
      <c r="H20" s="116">
        <f t="shared" si="1"/>
        <v>344</v>
      </c>
      <c r="I20" s="27"/>
      <c r="J20" s="23"/>
      <c r="K20" s="23"/>
      <c r="L20" s="63" t="s">
        <v>77</v>
      </c>
      <c r="M20" s="63">
        <v>2.08</v>
      </c>
      <c r="N20" s="91" t="s">
        <v>75</v>
      </c>
      <c r="O20" s="55" t="s">
        <v>1618</v>
      </c>
      <c r="P20" s="14" t="s">
        <v>504</v>
      </c>
      <c r="Q20" s="14" t="s">
        <v>1273</v>
      </c>
      <c r="R20" s="113" t="s">
        <v>1660</v>
      </c>
      <c r="S20" s="305" t="s">
        <v>1661</v>
      </c>
      <c r="T20" s="292">
        <v>1</v>
      </c>
      <c r="U20" s="292" t="s">
        <v>1652</v>
      </c>
      <c r="V20" s="115" t="s">
        <v>1662</v>
      </c>
      <c r="W20" s="116">
        <v>430</v>
      </c>
      <c r="X20" s="138">
        <f>rv_samsung</f>
        <v>0.2</v>
      </c>
      <c r="Y20" s="116">
        <f t="shared" si="3"/>
        <v>344</v>
      </c>
      <c r="Z20" s="27"/>
      <c r="AA20" s="23"/>
      <c r="AB20" s="23"/>
      <c r="AC20" s="63" t="s">
        <v>77</v>
      </c>
      <c r="AD20" s="63">
        <v>2.08</v>
      </c>
      <c r="AE20" s="91" t="s">
        <v>75</v>
      </c>
      <c r="AF20" s="55" t="s">
        <v>1618</v>
      </c>
      <c r="AG20" s="14" t="s">
        <v>1663</v>
      </c>
      <c r="AH20" s="14" t="s">
        <v>1664</v>
      </c>
    </row>
    <row r="21" spans="1:34" s="211" customFormat="1" ht="15.95" customHeight="1">
      <c r="A21" s="308" t="s">
        <v>1665</v>
      </c>
      <c r="B21" s="309" t="s">
        <v>1666</v>
      </c>
      <c r="C21" s="310">
        <v>1</v>
      </c>
      <c r="D21" s="311" t="s">
        <v>1667</v>
      </c>
      <c r="E21" s="312" t="s">
        <v>1665</v>
      </c>
      <c r="F21" s="313">
        <v>152.1</v>
      </c>
      <c r="G21" s="314">
        <f t="shared" ref="G21:G26" si="4">rv_moniteur</f>
        <v>0.1</v>
      </c>
      <c r="H21" s="315">
        <f t="shared" si="1"/>
        <v>136.88999999999999</v>
      </c>
      <c r="I21" s="208"/>
      <c r="J21" s="209"/>
      <c r="K21" s="209"/>
      <c r="L21" s="219"/>
      <c r="M21" s="219">
        <v>1.42</v>
      </c>
      <c r="N21" s="91" t="s">
        <v>75</v>
      </c>
      <c r="O21" s="55" t="s">
        <v>1618</v>
      </c>
      <c r="P21" s="14" t="s">
        <v>504</v>
      </c>
      <c r="Q21" s="14" t="s">
        <v>1273</v>
      </c>
      <c r="R21" s="308" t="s">
        <v>1665</v>
      </c>
      <c r="S21" s="309" t="s">
        <v>1666</v>
      </c>
      <c r="T21" s="310">
        <v>1</v>
      </c>
      <c r="U21" s="311" t="s">
        <v>1667</v>
      </c>
      <c r="V21" s="312" t="s">
        <v>1665</v>
      </c>
      <c r="W21" s="313">
        <v>152.1</v>
      </c>
      <c r="X21" s="314">
        <f t="shared" ref="X21:X26" si="5">rv_moniteur</f>
        <v>0.1</v>
      </c>
      <c r="Y21" s="315">
        <f t="shared" si="3"/>
        <v>136.88999999999999</v>
      </c>
      <c r="Z21" s="208"/>
      <c r="AA21" s="209"/>
      <c r="AB21" s="209"/>
      <c r="AC21" s="219"/>
      <c r="AD21" s="219">
        <v>1.42</v>
      </c>
      <c r="AE21" s="91" t="s">
        <v>75</v>
      </c>
      <c r="AF21" s="55" t="s">
        <v>1618</v>
      </c>
      <c r="AG21" s="210" t="s">
        <v>1668</v>
      </c>
      <c r="AH21" s="210" t="s">
        <v>1669</v>
      </c>
    </row>
    <row r="22" spans="1:34" s="1" customFormat="1">
      <c r="A22" s="113" t="s">
        <v>1670</v>
      </c>
      <c r="B22" s="114" t="s">
        <v>1671</v>
      </c>
      <c r="C22" s="292">
        <v>1</v>
      </c>
      <c r="D22" s="316" t="s">
        <v>1667</v>
      </c>
      <c r="E22" s="300" t="s">
        <v>1670</v>
      </c>
      <c r="F22" s="226">
        <v>217.1</v>
      </c>
      <c r="G22" s="138">
        <f t="shared" si="4"/>
        <v>0.1</v>
      </c>
      <c r="H22" s="116">
        <f t="shared" si="1"/>
        <v>195.39</v>
      </c>
      <c r="I22" s="27"/>
      <c r="J22" s="23"/>
      <c r="K22" s="23"/>
      <c r="L22" s="63"/>
      <c r="M22" s="63">
        <v>2.5</v>
      </c>
      <c r="N22" s="91" t="s">
        <v>75</v>
      </c>
      <c r="O22" s="55" t="s">
        <v>1618</v>
      </c>
      <c r="P22" s="14" t="s">
        <v>504</v>
      </c>
      <c r="Q22" s="14" t="s">
        <v>1273</v>
      </c>
      <c r="R22" s="113" t="s">
        <v>1670</v>
      </c>
      <c r="S22" s="114" t="s">
        <v>1671</v>
      </c>
      <c r="T22" s="292">
        <v>1</v>
      </c>
      <c r="U22" s="316" t="s">
        <v>1667</v>
      </c>
      <c r="V22" s="300" t="s">
        <v>1670</v>
      </c>
      <c r="W22" s="226">
        <v>217.1</v>
      </c>
      <c r="X22" s="138">
        <f t="shared" si="5"/>
        <v>0.1</v>
      </c>
      <c r="Y22" s="116">
        <f t="shared" si="3"/>
        <v>195.39</v>
      </c>
      <c r="Z22" s="27"/>
      <c r="AA22" s="23"/>
      <c r="AB22" s="23"/>
      <c r="AC22" s="63"/>
      <c r="AD22" s="63">
        <v>2.5</v>
      </c>
      <c r="AE22" s="91" t="s">
        <v>75</v>
      </c>
      <c r="AF22" s="55" t="s">
        <v>1618</v>
      </c>
      <c r="AG22" s="14" t="s">
        <v>1672</v>
      </c>
      <c r="AH22" s="14" t="s">
        <v>1673</v>
      </c>
    </row>
    <row r="23" spans="1:34" s="1" customFormat="1">
      <c r="A23" s="113" t="s">
        <v>1674</v>
      </c>
      <c r="B23" s="114" t="s">
        <v>1675</v>
      </c>
      <c r="C23" s="292">
        <v>1</v>
      </c>
      <c r="D23" s="316" t="s">
        <v>1667</v>
      </c>
      <c r="E23" s="300" t="s">
        <v>1674</v>
      </c>
      <c r="F23" s="226">
        <v>273</v>
      </c>
      <c r="G23" s="138">
        <f t="shared" si="4"/>
        <v>0.1</v>
      </c>
      <c r="H23" s="116">
        <f t="shared" si="1"/>
        <v>245.7</v>
      </c>
      <c r="I23" s="27"/>
      <c r="J23" s="23"/>
      <c r="K23" s="23"/>
      <c r="L23" s="63"/>
      <c r="M23" s="63">
        <v>2.5</v>
      </c>
      <c r="N23" s="91" t="s">
        <v>75</v>
      </c>
      <c r="O23" s="55" t="s">
        <v>1618</v>
      </c>
      <c r="P23" s="14" t="s">
        <v>504</v>
      </c>
      <c r="Q23" s="14" t="s">
        <v>1273</v>
      </c>
      <c r="R23" s="113" t="s">
        <v>1674</v>
      </c>
      <c r="S23" s="114" t="s">
        <v>1675</v>
      </c>
      <c r="T23" s="292">
        <v>1</v>
      </c>
      <c r="U23" s="316" t="s">
        <v>1667</v>
      </c>
      <c r="V23" s="300" t="s">
        <v>1674</v>
      </c>
      <c r="W23" s="226">
        <v>273</v>
      </c>
      <c r="X23" s="138">
        <f t="shared" si="5"/>
        <v>0.1</v>
      </c>
      <c r="Y23" s="116">
        <f t="shared" si="3"/>
        <v>245.7</v>
      </c>
      <c r="Z23" s="27"/>
      <c r="AA23" s="23"/>
      <c r="AB23" s="23"/>
      <c r="AC23" s="63"/>
      <c r="AD23" s="63">
        <v>2.5</v>
      </c>
      <c r="AE23" s="91" t="s">
        <v>75</v>
      </c>
      <c r="AF23" s="55" t="s">
        <v>1618</v>
      </c>
      <c r="AG23" s="14" t="s">
        <v>1676</v>
      </c>
      <c r="AH23" s="14" t="s">
        <v>1677</v>
      </c>
    </row>
    <row r="24" spans="1:34" s="1" customFormat="1">
      <c r="A24" s="113" t="s">
        <v>1678</v>
      </c>
      <c r="B24" s="114" t="s">
        <v>1679</v>
      </c>
      <c r="C24" s="292">
        <v>1</v>
      </c>
      <c r="D24" s="316" t="s">
        <v>1667</v>
      </c>
      <c r="E24" s="300" t="s">
        <v>1678</v>
      </c>
      <c r="F24" s="226">
        <v>825.5</v>
      </c>
      <c r="G24" s="138">
        <f t="shared" si="4"/>
        <v>0.1</v>
      </c>
      <c r="H24" s="116">
        <f t="shared" si="1"/>
        <v>742.95</v>
      </c>
      <c r="I24" s="27"/>
      <c r="J24" s="23"/>
      <c r="K24" s="23"/>
      <c r="L24" s="63"/>
      <c r="M24" s="63">
        <v>2.5</v>
      </c>
      <c r="N24" s="91" t="s">
        <v>75</v>
      </c>
      <c r="O24" s="55" t="s">
        <v>1618</v>
      </c>
      <c r="P24" s="14" t="s">
        <v>504</v>
      </c>
      <c r="Q24" s="14" t="s">
        <v>1273</v>
      </c>
      <c r="R24" s="113" t="s">
        <v>1678</v>
      </c>
      <c r="S24" s="114" t="s">
        <v>1679</v>
      </c>
      <c r="T24" s="292">
        <v>1</v>
      </c>
      <c r="U24" s="316" t="s">
        <v>1667</v>
      </c>
      <c r="V24" s="300" t="s">
        <v>1678</v>
      </c>
      <c r="W24" s="226">
        <v>825.5</v>
      </c>
      <c r="X24" s="138">
        <f t="shared" si="5"/>
        <v>0.1</v>
      </c>
      <c r="Y24" s="116">
        <f t="shared" si="3"/>
        <v>742.95</v>
      </c>
      <c r="Z24" s="27"/>
      <c r="AA24" s="23"/>
      <c r="AB24" s="23"/>
      <c r="AC24" s="63"/>
      <c r="AD24" s="63">
        <v>2.5</v>
      </c>
      <c r="AE24" s="91" t="s">
        <v>75</v>
      </c>
      <c r="AF24" s="55" t="s">
        <v>1618</v>
      </c>
      <c r="AG24" s="14" t="s">
        <v>1680</v>
      </c>
      <c r="AH24" s="14" t="s">
        <v>1681</v>
      </c>
    </row>
    <row r="25" spans="1:34" s="1" customFormat="1">
      <c r="A25" s="113" t="s">
        <v>1682</v>
      </c>
      <c r="B25" s="114" t="s">
        <v>1683</v>
      </c>
      <c r="C25" s="292">
        <v>1</v>
      </c>
      <c r="D25" s="316" t="s">
        <v>1667</v>
      </c>
      <c r="E25" s="300" t="s">
        <v>1682</v>
      </c>
      <c r="F25" s="226">
        <v>266.5</v>
      </c>
      <c r="G25" s="138">
        <f t="shared" si="4"/>
        <v>0.1</v>
      </c>
      <c r="H25" s="116">
        <f t="shared" si="1"/>
        <v>239.85</v>
      </c>
      <c r="I25" s="27"/>
      <c r="J25" s="23"/>
      <c r="K25" s="23"/>
      <c r="L25" s="63"/>
      <c r="M25" s="63">
        <v>2.5</v>
      </c>
      <c r="N25" s="91" t="s">
        <v>75</v>
      </c>
      <c r="O25" s="55" t="s">
        <v>1618</v>
      </c>
      <c r="P25" s="14" t="s">
        <v>504</v>
      </c>
      <c r="Q25" s="14" t="s">
        <v>1273</v>
      </c>
      <c r="R25" s="113" t="s">
        <v>1682</v>
      </c>
      <c r="S25" s="114" t="s">
        <v>1683</v>
      </c>
      <c r="T25" s="292">
        <v>1</v>
      </c>
      <c r="U25" s="316" t="s">
        <v>1667</v>
      </c>
      <c r="V25" s="300" t="s">
        <v>1682</v>
      </c>
      <c r="W25" s="226">
        <v>266.5</v>
      </c>
      <c r="X25" s="138">
        <f t="shared" si="5"/>
        <v>0.1</v>
      </c>
      <c r="Y25" s="116">
        <f t="shared" si="3"/>
        <v>239.85</v>
      </c>
      <c r="Z25" s="27"/>
      <c r="AA25" s="23"/>
      <c r="AB25" s="23"/>
      <c r="AC25" s="63"/>
      <c r="AD25" s="63">
        <v>2.5</v>
      </c>
      <c r="AE25" s="91" t="s">
        <v>75</v>
      </c>
      <c r="AF25" s="55" t="s">
        <v>1618</v>
      </c>
      <c r="AG25" s="14" t="s">
        <v>1684</v>
      </c>
      <c r="AH25" s="14" t="s">
        <v>1685</v>
      </c>
    </row>
    <row r="26" spans="1:34" s="1" customFormat="1">
      <c r="A26" s="113" t="s">
        <v>1686</v>
      </c>
      <c r="B26" s="114" t="s">
        <v>1687</v>
      </c>
      <c r="C26" s="292">
        <v>1</v>
      </c>
      <c r="D26" s="316" t="s">
        <v>1667</v>
      </c>
      <c r="E26" s="300" t="s">
        <v>1686</v>
      </c>
      <c r="F26" s="226">
        <v>845</v>
      </c>
      <c r="G26" s="138">
        <f t="shared" si="4"/>
        <v>0.1</v>
      </c>
      <c r="H26" s="116">
        <f t="shared" si="1"/>
        <v>760.5</v>
      </c>
      <c r="I26" s="27"/>
      <c r="J26" s="23"/>
      <c r="K26" s="23"/>
      <c r="L26" s="63"/>
      <c r="M26" s="63">
        <v>2.5</v>
      </c>
      <c r="N26" s="91" t="s">
        <v>75</v>
      </c>
      <c r="O26" s="55" t="s">
        <v>1618</v>
      </c>
      <c r="P26" s="14" t="s">
        <v>504</v>
      </c>
      <c r="Q26" s="14" t="s">
        <v>1273</v>
      </c>
      <c r="R26" s="113" t="s">
        <v>1686</v>
      </c>
      <c r="S26" s="114" t="s">
        <v>1687</v>
      </c>
      <c r="T26" s="292">
        <v>1</v>
      </c>
      <c r="U26" s="316" t="s">
        <v>1667</v>
      </c>
      <c r="V26" s="300" t="s">
        <v>1686</v>
      </c>
      <c r="W26" s="226">
        <v>845</v>
      </c>
      <c r="X26" s="138">
        <f t="shared" si="5"/>
        <v>0.1</v>
      </c>
      <c r="Y26" s="116">
        <f t="shared" si="3"/>
        <v>760.5</v>
      </c>
      <c r="Z26" s="27"/>
      <c r="AA26" s="23"/>
      <c r="AB26" s="23"/>
      <c r="AC26" s="63"/>
      <c r="AD26" s="63">
        <v>2.5</v>
      </c>
      <c r="AE26" s="91" t="s">
        <v>75</v>
      </c>
      <c r="AF26" s="55" t="s">
        <v>1618</v>
      </c>
      <c r="AG26" s="14" t="s">
        <v>1688</v>
      </c>
      <c r="AH26" s="14" t="s">
        <v>1689</v>
      </c>
    </row>
    <row r="27" spans="1:34" s="1" customFormat="1" ht="27.95" customHeight="1">
      <c r="A27" s="267" t="s">
        <v>1690</v>
      </c>
      <c r="B27" s="171"/>
      <c r="C27" s="65"/>
      <c r="D27" s="169"/>
      <c r="E27" s="170"/>
      <c r="F27" s="63"/>
      <c r="G27" s="22"/>
      <c r="H27" s="35"/>
      <c r="I27" s="27"/>
      <c r="J27" s="23"/>
      <c r="K27" s="23"/>
      <c r="L27" s="63"/>
      <c r="M27" s="63"/>
      <c r="N27" s="91"/>
      <c r="O27" s="55"/>
      <c r="P27" s="14"/>
      <c r="Q27" s="14"/>
      <c r="R27" s="267" t="s">
        <v>1690</v>
      </c>
      <c r="S27" s="171"/>
      <c r="T27" s="65"/>
      <c r="U27" s="169"/>
      <c r="V27" s="170"/>
      <c r="W27" s="63"/>
      <c r="X27" s="22"/>
      <c r="Y27" s="35"/>
      <c r="Z27" s="27"/>
      <c r="AA27" s="23"/>
      <c r="AB27" s="23"/>
      <c r="AC27" s="63"/>
      <c r="AD27" s="63"/>
      <c r="AE27" s="91"/>
      <c r="AF27" s="55"/>
      <c r="AG27" s="14"/>
      <c r="AH27" s="14"/>
    </row>
    <row r="28" spans="1:34" s="1" customFormat="1" ht="21.95" customHeight="1">
      <c r="A28" s="370" t="s">
        <v>3463</v>
      </c>
      <c r="B28" s="371"/>
      <c r="C28" s="65"/>
      <c r="D28" s="70"/>
      <c r="E28" s="256"/>
      <c r="F28" s="289"/>
      <c r="G28" s="290"/>
      <c r="H28" s="291"/>
      <c r="I28" s="27"/>
      <c r="J28" s="23"/>
      <c r="K28" s="23"/>
      <c r="L28" s="23"/>
      <c r="M28" s="63"/>
      <c r="N28" s="91"/>
      <c r="O28" s="55"/>
      <c r="P28" s="14"/>
      <c r="Q28" s="14"/>
      <c r="R28" s="370" t="s">
        <v>1691</v>
      </c>
      <c r="S28" s="371"/>
      <c r="T28" s="65"/>
      <c r="U28" s="70"/>
      <c r="V28" s="256"/>
      <c r="W28" s="289"/>
      <c r="X28" s="290"/>
      <c r="Y28" s="291"/>
      <c r="Z28" s="27"/>
      <c r="AA28" s="23"/>
      <c r="AB28" s="23"/>
      <c r="AC28" s="23"/>
      <c r="AD28" s="63"/>
      <c r="AE28" s="91"/>
      <c r="AF28" s="55"/>
      <c r="AG28" s="14"/>
      <c r="AH28" s="14"/>
    </row>
    <row r="29" spans="1:34" s="121" customFormat="1">
      <c r="A29" s="113" t="s">
        <v>1692</v>
      </c>
      <c r="B29" s="273" t="s">
        <v>1693</v>
      </c>
      <c r="C29" s="292">
        <v>1</v>
      </c>
      <c r="D29" s="317" t="s">
        <v>75</v>
      </c>
      <c r="E29" s="115" t="s">
        <v>1692</v>
      </c>
      <c r="F29" s="57">
        <v>90.78</v>
      </c>
      <c r="G29" s="138">
        <f t="shared" ref="G29:G37" si="6">rv_apple_acc_mac</f>
        <v>0.09</v>
      </c>
      <c r="H29" s="116">
        <f t="shared" ref="H29:H54" si="7">F29-(F29*G29)</f>
        <v>82.609800000000007</v>
      </c>
      <c r="I29" s="153"/>
      <c r="J29" s="154"/>
      <c r="K29" s="154"/>
      <c r="L29" s="154"/>
      <c r="M29" s="226">
        <v>0.05</v>
      </c>
      <c r="N29" s="91" t="s">
        <v>75</v>
      </c>
      <c r="O29" s="55" t="s">
        <v>1106</v>
      </c>
      <c r="P29" s="56" t="s">
        <v>504</v>
      </c>
      <c r="Q29" s="56" t="s">
        <v>1273</v>
      </c>
      <c r="R29" s="113" t="s">
        <v>1692</v>
      </c>
      <c r="S29" s="273" t="s">
        <v>1693</v>
      </c>
      <c r="T29" s="292">
        <v>1</v>
      </c>
      <c r="U29" s="317" t="s">
        <v>75</v>
      </c>
      <c r="V29" s="115" t="s">
        <v>1692</v>
      </c>
      <c r="W29" s="57">
        <v>90.78</v>
      </c>
      <c r="X29" s="138">
        <f t="shared" ref="X29:X32" si="8">rv_apple_acc_mac</f>
        <v>0.09</v>
      </c>
      <c r="Y29" s="116">
        <f t="shared" ref="Y29:Y54" si="9">W29-(W29*X29)</f>
        <v>82.609800000000007</v>
      </c>
      <c r="Z29" s="153"/>
      <c r="AA29" s="154"/>
      <c r="AB29" s="154"/>
      <c r="AC29" s="154"/>
      <c r="AD29" s="226">
        <v>0.05</v>
      </c>
      <c r="AE29" s="91" t="s">
        <v>75</v>
      </c>
      <c r="AF29" s="55" t="s">
        <v>1106</v>
      </c>
      <c r="AG29" s="56" t="s">
        <v>1694</v>
      </c>
      <c r="AH29" s="56" t="s">
        <v>1695</v>
      </c>
    </row>
    <row r="30" spans="1:34" s="1" customFormat="1">
      <c r="A30" s="113" t="s">
        <v>1696</v>
      </c>
      <c r="B30" s="273" t="s">
        <v>1697</v>
      </c>
      <c r="C30" s="65">
        <v>1</v>
      </c>
      <c r="D30" s="70" t="s">
        <v>75</v>
      </c>
      <c r="E30" s="115" t="s">
        <v>1696</v>
      </c>
      <c r="F30" s="71">
        <v>154.12</v>
      </c>
      <c r="G30" s="22">
        <f t="shared" si="6"/>
        <v>0.09</v>
      </c>
      <c r="H30" s="35">
        <f t="shared" ref="H30" si="10">F30-(F30*G30)</f>
        <v>140.2492</v>
      </c>
      <c r="I30" s="27"/>
      <c r="J30" s="23"/>
      <c r="K30" s="23"/>
      <c r="L30" s="23"/>
      <c r="M30" s="63">
        <v>0.05</v>
      </c>
      <c r="N30" s="91" t="s">
        <v>75</v>
      </c>
      <c r="O30" s="55" t="s">
        <v>1106</v>
      </c>
      <c r="P30" s="56" t="s">
        <v>504</v>
      </c>
      <c r="Q30" s="56" t="s">
        <v>1273</v>
      </c>
      <c r="R30" s="113" t="s">
        <v>1696</v>
      </c>
      <c r="S30" s="273" t="s">
        <v>1697</v>
      </c>
      <c r="T30" s="65">
        <v>1</v>
      </c>
      <c r="U30" s="70" t="s">
        <v>75</v>
      </c>
      <c r="V30" s="115" t="s">
        <v>1696</v>
      </c>
      <c r="W30" s="71">
        <v>154.12</v>
      </c>
      <c r="X30" s="22">
        <f t="shared" si="8"/>
        <v>0.09</v>
      </c>
      <c r="Y30" s="35">
        <f t="shared" si="9"/>
        <v>140.2492</v>
      </c>
      <c r="Z30" s="27"/>
      <c r="AA30" s="23"/>
      <c r="AB30" s="23"/>
      <c r="AC30" s="23"/>
      <c r="AD30" s="63">
        <v>0.05</v>
      </c>
      <c r="AE30" s="91" t="s">
        <v>75</v>
      </c>
      <c r="AF30" s="55" t="s">
        <v>1106</v>
      </c>
      <c r="AG30" s="14" t="s">
        <v>1694</v>
      </c>
      <c r="AH30" s="14" t="s">
        <v>1695</v>
      </c>
    </row>
    <row r="31" spans="1:34" s="1" customFormat="1">
      <c r="A31" s="113" t="s">
        <v>1698</v>
      </c>
      <c r="B31" s="273" t="s">
        <v>1699</v>
      </c>
      <c r="C31" s="65">
        <v>1</v>
      </c>
      <c r="D31" s="70" t="s">
        <v>75</v>
      </c>
      <c r="E31" s="115" t="s">
        <v>1698</v>
      </c>
      <c r="F31" s="71">
        <v>132.44999999999999</v>
      </c>
      <c r="G31" s="22">
        <f t="shared" si="6"/>
        <v>0.09</v>
      </c>
      <c r="H31" s="35">
        <f t="shared" ref="H31" si="11">F31-(F31*G31)</f>
        <v>120.52949999999998</v>
      </c>
      <c r="I31" s="27"/>
      <c r="J31" s="23"/>
      <c r="K31" s="23"/>
      <c r="L31" s="23"/>
      <c r="M31" s="63">
        <v>0.05</v>
      </c>
      <c r="N31" s="91" t="s">
        <v>75</v>
      </c>
      <c r="O31" s="55" t="s">
        <v>1106</v>
      </c>
      <c r="P31" s="56" t="s">
        <v>504</v>
      </c>
      <c r="Q31" s="56" t="s">
        <v>1273</v>
      </c>
      <c r="R31" s="113" t="s">
        <v>1698</v>
      </c>
      <c r="S31" s="273" t="s">
        <v>1699</v>
      </c>
      <c r="T31" s="65">
        <v>1</v>
      </c>
      <c r="U31" s="70" t="s">
        <v>75</v>
      </c>
      <c r="V31" s="115" t="s">
        <v>1698</v>
      </c>
      <c r="W31" s="71">
        <v>112.45</v>
      </c>
      <c r="X31" s="22">
        <f t="shared" si="8"/>
        <v>0.09</v>
      </c>
      <c r="Y31" s="35">
        <f t="shared" si="9"/>
        <v>102.3295</v>
      </c>
      <c r="Z31" s="27"/>
      <c r="AA31" s="23"/>
      <c r="AB31" s="23"/>
      <c r="AC31" s="23"/>
      <c r="AD31" s="63">
        <v>0.05</v>
      </c>
      <c r="AE31" s="91" t="s">
        <v>75</v>
      </c>
      <c r="AF31" s="55" t="s">
        <v>1106</v>
      </c>
      <c r="AG31" s="14" t="s">
        <v>1694</v>
      </c>
      <c r="AH31" s="14" t="s">
        <v>1695</v>
      </c>
    </row>
    <row r="32" spans="1:34" s="121" customFormat="1">
      <c r="A32" s="113" t="s">
        <v>1700</v>
      </c>
      <c r="B32" s="273" t="s">
        <v>1701</v>
      </c>
      <c r="C32" s="292">
        <v>1</v>
      </c>
      <c r="D32" s="317" t="s">
        <v>75</v>
      </c>
      <c r="E32" s="318" t="s">
        <v>1700</v>
      </c>
      <c r="F32" s="57">
        <v>112.45</v>
      </c>
      <c r="G32" s="138">
        <f t="shared" si="6"/>
        <v>0.09</v>
      </c>
      <c r="H32" s="116">
        <f t="shared" si="7"/>
        <v>102.3295</v>
      </c>
      <c r="I32" s="153"/>
      <c r="J32" s="154"/>
      <c r="K32" s="154"/>
      <c r="L32" s="154"/>
      <c r="M32" s="226">
        <v>0.05</v>
      </c>
      <c r="N32" s="91" t="s">
        <v>75</v>
      </c>
      <c r="O32" s="55" t="s">
        <v>1106</v>
      </c>
      <c r="P32" s="56" t="s">
        <v>504</v>
      </c>
      <c r="Q32" s="56" t="s">
        <v>1273</v>
      </c>
      <c r="R32" s="113" t="s">
        <v>1700</v>
      </c>
      <c r="S32" s="273" t="s">
        <v>1701</v>
      </c>
      <c r="T32" s="292">
        <v>1</v>
      </c>
      <c r="U32" s="317" t="s">
        <v>75</v>
      </c>
      <c r="V32" s="318" t="s">
        <v>1700</v>
      </c>
      <c r="W32" s="57">
        <v>112.45</v>
      </c>
      <c r="X32" s="138">
        <f t="shared" si="8"/>
        <v>0.09</v>
      </c>
      <c r="Y32" s="116">
        <f t="shared" si="9"/>
        <v>102.3295</v>
      </c>
      <c r="Z32" s="153"/>
      <c r="AA32" s="154"/>
      <c r="AB32" s="154"/>
      <c r="AC32" s="154"/>
      <c r="AD32" s="226">
        <v>0.05</v>
      </c>
      <c r="AE32" s="91" t="s">
        <v>75</v>
      </c>
      <c r="AF32" s="55" t="s">
        <v>1106</v>
      </c>
      <c r="AG32" s="56" t="s">
        <v>1694</v>
      </c>
      <c r="AH32" s="56" t="s">
        <v>1695</v>
      </c>
    </row>
    <row r="33" spans="1:34" s="121" customFormat="1">
      <c r="A33" s="60" t="s">
        <v>1702</v>
      </c>
      <c r="B33" s="273" t="s">
        <v>1703</v>
      </c>
      <c r="C33" s="292">
        <v>1</v>
      </c>
      <c r="D33" s="317" t="s">
        <v>75</v>
      </c>
      <c r="E33" s="597" t="s">
        <v>1702</v>
      </c>
      <c r="F33" s="57">
        <v>129.12</v>
      </c>
      <c r="G33" s="22">
        <f t="shared" si="6"/>
        <v>0.09</v>
      </c>
      <c r="H33" s="116">
        <f t="shared" si="7"/>
        <v>117.4992</v>
      </c>
      <c r="I33" s="153"/>
      <c r="J33" s="154"/>
      <c r="K33" s="154"/>
      <c r="L33" s="154"/>
      <c r="M33" s="63">
        <v>0.05</v>
      </c>
      <c r="N33" s="91" t="s">
        <v>75</v>
      </c>
      <c r="O33" s="55" t="s">
        <v>1106</v>
      </c>
      <c r="P33" s="56" t="s">
        <v>504</v>
      </c>
      <c r="Q33" s="56" t="s">
        <v>1273</v>
      </c>
      <c r="R33" s="113"/>
      <c r="S33" s="273"/>
      <c r="T33" s="292"/>
      <c r="U33" s="317"/>
      <c r="V33" s="318"/>
      <c r="W33" s="57"/>
      <c r="X33" s="138"/>
      <c r="Y33" s="116"/>
      <c r="Z33" s="153"/>
      <c r="AA33" s="154"/>
      <c r="AB33" s="154"/>
      <c r="AC33" s="154"/>
      <c r="AD33" s="226"/>
      <c r="AE33" s="91"/>
      <c r="AF33" s="55"/>
      <c r="AG33" s="56"/>
      <c r="AH33" s="56"/>
    </row>
    <row r="34" spans="1:34" s="121" customFormat="1">
      <c r="A34" s="60" t="s">
        <v>1704</v>
      </c>
      <c r="B34" s="273" t="s">
        <v>1705</v>
      </c>
      <c r="C34" s="292">
        <v>1</v>
      </c>
      <c r="D34" s="317" t="s">
        <v>75</v>
      </c>
      <c r="E34" s="597" t="s">
        <v>1704</v>
      </c>
      <c r="F34" s="57">
        <v>90.78</v>
      </c>
      <c r="G34" s="22">
        <f t="shared" si="6"/>
        <v>0.09</v>
      </c>
      <c r="H34" s="116">
        <f t="shared" si="7"/>
        <v>82.609800000000007</v>
      </c>
      <c r="I34" s="153"/>
      <c r="J34" s="154"/>
      <c r="K34" s="154"/>
      <c r="L34" s="154"/>
      <c r="M34" s="63">
        <v>0.05</v>
      </c>
      <c r="N34" s="91" t="s">
        <v>75</v>
      </c>
      <c r="O34" s="55" t="s">
        <v>1106</v>
      </c>
      <c r="P34" s="56" t="s">
        <v>504</v>
      </c>
      <c r="Q34" s="56" t="s">
        <v>1273</v>
      </c>
      <c r="R34" s="113"/>
      <c r="S34" s="273"/>
      <c r="T34" s="292"/>
      <c r="U34" s="317"/>
      <c r="V34" s="318"/>
      <c r="W34" s="57"/>
      <c r="X34" s="138"/>
      <c r="Y34" s="116"/>
      <c r="Z34" s="153"/>
      <c r="AA34" s="154"/>
      <c r="AB34" s="154"/>
      <c r="AC34" s="154"/>
      <c r="AD34" s="226"/>
      <c r="AE34" s="91"/>
      <c r="AF34" s="55"/>
      <c r="AG34" s="56"/>
      <c r="AH34" s="56"/>
    </row>
    <row r="35" spans="1:34" s="121" customFormat="1">
      <c r="A35" s="60" t="s">
        <v>1706</v>
      </c>
      <c r="B35" s="273" t="s">
        <v>1707</v>
      </c>
      <c r="C35" s="292">
        <v>1</v>
      </c>
      <c r="D35" s="317" t="s">
        <v>75</v>
      </c>
      <c r="E35" s="318" t="s">
        <v>1706</v>
      </c>
      <c r="F35" s="57">
        <v>170.78</v>
      </c>
      <c r="G35" s="22">
        <f t="shared" si="6"/>
        <v>0.09</v>
      </c>
      <c r="H35" s="116">
        <f t="shared" si="7"/>
        <v>155.40979999999999</v>
      </c>
      <c r="I35" s="153"/>
      <c r="J35" s="154"/>
      <c r="K35" s="154"/>
      <c r="L35" s="154"/>
      <c r="M35" s="63">
        <v>0.05</v>
      </c>
      <c r="N35" s="91" t="s">
        <v>75</v>
      </c>
      <c r="O35" s="55" t="s">
        <v>1106</v>
      </c>
      <c r="P35" s="56" t="s">
        <v>504</v>
      </c>
      <c r="Q35" s="56" t="s">
        <v>1273</v>
      </c>
      <c r="R35" s="113"/>
      <c r="S35" s="273"/>
      <c r="T35" s="292"/>
      <c r="U35" s="317"/>
      <c r="V35" s="318"/>
      <c r="W35" s="57"/>
      <c r="X35" s="138"/>
      <c r="Y35" s="116"/>
      <c r="Z35" s="153"/>
      <c r="AA35" s="154"/>
      <c r="AB35" s="154"/>
      <c r="AC35" s="154"/>
      <c r="AD35" s="226"/>
      <c r="AE35" s="91"/>
      <c r="AF35" s="55"/>
      <c r="AG35" s="56"/>
      <c r="AH35" s="56"/>
    </row>
    <row r="36" spans="1:34" s="121" customFormat="1">
      <c r="A36" s="60" t="s">
        <v>1708</v>
      </c>
      <c r="B36" s="273" t="s">
        <v>1709</v>
      </c>
      <c r="C36" s="292">
        <v>1</v>
      </c>
      <c r="D36" s="317" t="s">
        <v>75</v>
      </c>
      <c r="E36" s="233" t="s">
        <v>1708</v>
      </c>
      <c r="F36" s="57">
        <v>124.16</v>
      </c>
      <c r="G36" s="22">
        <f t="shared" si="6"/>
        <v>0.09</v>
      </c>
      <c r="H36" s="116">
        <f t="shared" si="7"/>
        <v>112.98560000000001</v>
      </c>
      <c r="I36" s="153"/>
      <c r="J36" s="154"/>
      <c r="K36" s="154"/>
      <c r="L36" s="154"/>
      <c r="M36" s="63">
        <v>0.01</v>
      </c>
      <c r="N36" s="91" t="s">
        <v>75</v>
      </c>
      <c r="O36" s="55" t="s">
        <v>1106</v>
      </c>
      <c r="P36" s="56" t="s">
        <v>504</v>
      </c>
      <c r="Q36" s="56" t="s">
        <v>1273</v>
      </c>
      <c r="R36" s="113"/>
      <c r="S36" s="273"/>
      <c r="T36" s="292"/>
      <c r="U36" s="317"/>
      <c r="V36" s="318"/>
      <c r="W36" s="57"/>
      <c r="X36" s="138"/>
      <c r="Y36" s="116"/>
      <c r="Z36" s="153"/>
      <c r="AA36" s="154"/>
      <c r="AB36" s="154"/>
      <c r="AC36" s="154"/>
      <c r="AD36" s="226"/>
      <c r="AE36" s="91"/>
      <c r="AF36" s="55"/>
      <c r="AG36" s="56"/>
      <c r="AH36" s="56"/>
    </row>
    <row r="37" spans="1:34" s="121" customFormat="1">
      <c r="A37" s="60" t="s">
        <v>1710</v>
      </c>
      <c r="B37" s="273" t="s">
        <v>1711</v>
      </c>
      <c r="C37" s="292">
        <v>1</v>
      </c>
      <c r="D37" s="317" t="s">
        <v>75</v>
      </c>
      <c r="E37" s="233" t="s">
        <v>1710</v>
      </c>
      <c r="F37" s="57">
        <v>149.16</v>
      </c>
      <c r="G37" s="22">
        <f t="shared" si="6"/>
        <v>0.09</v>
      </c>
      <c r="H37" s="116">
        <f t="shared" si="7"/>
        <v>135.73560000000001</v>
      </c>
      <c r="I37" s="153"/>
      <c r="J37" s="154"/>
      <c r="K37" s="154"/>
      <c r="L37" s="154"/>
      <c r="M37" s="63">
        <v>0.01</v>
      </c>
      <c r="N37" s="91" t="s">
        <v>75</v>
      </c>
      <c r="O37" s="55" t="s">
        <v>1106</v>
      </c>
      <c r="P37" s="56" t="s">
        <v>504</v>
      </c>
      <c r="Q37" s="56" t="s">
        <v>1273</v>
      </c>
      <c r="R37" s="113"/>
      <c r="S37" s="273"/>
      <c r="T37" s="292"/>
      <c r="U37" s="317"/>
      <c r="V37" s="318"/>
      <c r="W37" s="57"/>
      <c r="X37" s="138"/>
      <c r="Y37" s="116"/>
      <c r="Z37" s="153"/>
      <c r="AA37" s="154"/>
      <c r="AB37" s="154"/>
      <c r="AC37" s="154"/>
      <c r="AD37" s="226"/>
      <c r="AE37" s="91"/>
      <c r="AF37" s="55"/>
      <c r="AG37" s="56"/>
      <c r="AH37" s="56"/>
    </row>
    <row r="38" spans="1:34" s="1" customFormat="1">
      <c r="A38" s="25" t="s">
        <v>1712</v>
      </c>
      <c r="B38" s="64" t="s">
        <v>1713</v>
      </c>
      <c r="C38" s="65">
        <v>1</v>
      </c>
      <c r="D38" s="70" t="s">
        <v>75</v>
      </c>
      <c r="E38" s="72" t="s">
        <v>1712</v>
      </c>
      <c r="F38" s="71">
        <v>149.12</v>
      </c>
      <c r="G38" s="22">
        <f t="shared" ref="G38:G51" si="12">rv_apple_acc_nodac</f>
        <v>0</v>
      </c>
      <c r="H38" s="35">
        <f t="shared" si="7"/>
        <v>149.12</v>
      </c>
      <c r="I38" s="27"/>
      <c r="J38" s="23"/>
      <c r="K38" s="23"/>
      <c r="L38" s="23"/>
      <c r="M38" s="63">
        <v>0.05</v>
      </c>
      <c r="N38" s="91" t="s">
        <v>75</v>
      </c>
      <c r="O38" s="55" t="s">
        <v>1106</v>
      </c>
      <c r="P38" s="56" t="s">
        <v>504</v>
      </c>
      <c r="Q38" s="56" t="s">
        <v>1273</v>
      </c>
      <c r="R38" s="25" t="s">
        <v>1712</v>
      </c>
      <c r="S38" s="64" t="s">
        <v>1713</v>
      </c>
      <c r="T38" s="65">
        <v>1</v>
      </c>
      <c r="U38" s="70" t="s">
        <v>75</v>
      </c>
      <c r="V38" s="72" t="s">
        <v>1712</v>
      </c>
      <c r="W38" s="71">
        <v>149.12</v>
      </c>
      <c r="X38" s="22">
        <f t="shared" ref="X38:X51" si="13">rv_apple_acc_nodac</f>
        <v>0</v>
      </c>
      <c r="Y38" s="35">
        <f t="shared" si="9"/>
        <v>149.12</v>
      </c>
      <c r="Z38" s="27"/>
      <c r="AA38" s="23"/>
      <c r="AB38" s="23"/>
      <c r="AC38" s="23"/>
      <c r="AD38" s="63">
        <v>0.05</v>
      </c>
      <c r="AE38" s="91" t="s">
        <v>75</v>
      </c>
      <c r="AF38" s="55" t="s">
        <v>1106</v>
      </c>
      <c r="AG38" s="14" t="s">
        <v>1653</v>
      </c>
      <c r="AH38" s="14" t="s">
        <v>1654</v>
      </c>
    </row>
    <row r="39" spans="1:34" s="1" customFormat="1">
      <c r="A39" s="25" t="s">
        <v>1714</v>
      </c>
      <c r="B39" s="64" t="s">
        <v>1715</v>
      </c>
      <c r="C39" s="65">
        <v>1</v>
      </c>
      <c r="D39" s="70" t="s">
        <v>75</v>
      </c>
      <c r="E39" s="72" t="s">
        <v>1714</v>
      </c>
      <c r="F39" s="71">
        <v>149.12</v>
      </c>
      <c r="G39" s="22">
        <f t="shared" si="12"/>
        <v>0</v>
      </c>
      <c r="H39" s="35">
        <f t="shared" si="7"/>
        <v>149.12</v>
      </c>
      <c r="I39" s="27"/>
      <c r="J39" s="23"/>
      <c r="K39" s="23"/>
      <c r="L39" s="23"/>
      <c r="M39" s="63">
        <v>0.05</v>
      </c>
      <c r="N39" s="91" t="s">
        <v>75</v>
      </c>
      <c r="O39" s="55" t="s">
        <v>1106</v>
      </c>
      <c r="P39" s="56" t="s">
        <v>504</v>
      </c>
      <c r="Q39" s="56" t="s">
        <v>1273</v>
      </c>
      <c r="R39" s="25" t="s">
        <v>1714</v>
      </c>
      <c r="S39" s="64" t="s">
        <v>1715</v>
      </c>
      <c r="T39" s="65">
        <v>1</v>
      </c>
      <c r="U39" s="70" t="s">
        <v>75</v>
      </c>
      <c r="V39" s="72" t="s">
        <v>1714</v>
      </c>
      <c r="W39" s="71">
        <v>149.12</v>
      </c>
      <c r="X39" s="22">
        <f t="shared" si="13"/>
        <v>0</v>
      </c>
      <c r="Y39" s="35">
        <f t="shared" si="9"/>
        <v>149.12</v>
      </c>
      <c r="Z39" s="27"/>
      <c r="AA39" s="23"/>
      <c r="AB39" s="23"/>
      <c r="AC39" s="23"/>
      <c r="AD39" s="63">
        <v>0.05</v>
      </c>
      <c r="AE39" s="91" t="s">
        <v>75</v>
      </c>
      <c r="AF39" s="55" t="s">
        <v>1106</v>
      </c>
      <c r="AG39" s="14" t="s">
        <v>1658</v>
      </c>
      <c r="AH39" s="14" t="s">
        <v>1659</v>
      </c>
    </row>
    <row r="40" spans="1:34" s="1" customFormat="1">
      <c r="A40" s="25" t="s">
        <v>1716</v>
      </c>
      <c r="B40" s="64" t="s">
        <v>1717</v>
      </c>
      <c r="C40" s="65">
        <v>1</v>
      </c>
      <c r="D40" s="70" t="s">
        <v>75</v>
      </c>
      <c r="E40" s="72" t="s">
        <v>1716</v>
      </c>
      <c r="F40" s="71">
        <v>165.78</v>
      </c>
      <c r="G40" s="22">
        <f t="shared" si="12"/>
        <v>0</v>
      </c>
      <c r="H40" s="35">
        <f t="shared" si="7"/>
        <v>165.78</v>
      </c>
      <c r="I40" s="27"/>
      <c r="J40" s="23"/>
      <c r="K40" s="23"/>
      <c r="L40" s="23"/>
      <c r="M40" s="63">
        <v>0.05</v>
      </c>
      <c r="N40" s="91" t="s">
        <v>75</v>
      </c>
      <c r="O40" s="55" t="s">
        <v>1106</v>
      </c>
      <c r="P40" s="56" t="s">
        <v>504</v>
      </c>
      <c r="Q40" s="56" t="s">
        <v>1273</v>
      </c>
      <c r="R40" s="25" t="s">
        <v>1716</v>
      </c>
      <c r="S40" s="64" t="s">
        <v>1717</v>
      </c>
      <c r="T40" s="65">
        <v>1</v>
      </c>
      <c r="U40" s="70" t="s">
        <v>75</v>
      </c>
      <c r="V40" s="72" t="s">
        <v>1716</v>
      </c>
      <c r="W40" s="71">
        <v>165.78</v>
      </c>
      <c r="X40" s="22">
        <f t="shared" si="13"/>
        <v>0</v>
      </c>
      <c r="Y40" s="35">
        <f t="shared" si="9"/>
        <v>165.78</v>
      </c>
      <c r="Z40" s="27"/>
      <c r="AA40" s="23"/>
      <c r="AB40" s="23"/>
      <c r="AC40" s="23"/>
      <c r="AD40" s="63">
        <v>0.05</v>
      </c>
      <c r="AE40" s="91" t="s">
        <v>75</v>
      </c>
      <c r="AF40" s="55" t="s">
        <v>1106</v>
      </c>
      <c r="AG40" s="14" t="s">
        <v>1663</v>
      </c>
      <c r="AH40" s="14" t="s">
        <v>1664</v>
      </c>
    </row>
    <row r="41" spans="1:34" s="1" customFormat="1">
      <c r="A41" s="25" t="s">
        <v>1718</v>
      </c>
      <c r="B41" s="64" t="s">
        <v>1719</v>
      </c>
      <c r="C41" s="65">
        <v>1</v>
      </c>
      <c r="D41" s="70" t="s">
        <v>75</v>
      </c>
      <c r="E41" s="72" t="s">
        <v>1718</v>
      </c>
      <c r="F41" s="71">
        <v>165.78</v>
      </c>
      <c r="G41" s="22">
        <f t="shared" si="12"/>
        <v>0</v>
      </c>
      <c r="H41" s="35">
        <f t="shared" si="7"/>
        <v>165.78</v>
      </c>
      <c r="I41" s="27"/>
      <c r="J41" s="23"/>
      <c r="K41" s="23"/>
      <c r="L41" s="23"/>
      <c r="M41" s="63">
        <v>0.05</v>
      </c>
      <c r="N41" s="91" t="s">
        <v>75</v>
      </c>
      <c r="O41" s="55" t="s">
        <v>1106</v>
      </c>
      <c r="P41" s="56" t="s">
        <v>504</v>
      </c>
      <c r="Q41" s="56" t="s">
        <v>1273</v>
      </c>
      <c r="R41" s="25" t="s">
        <v>1718</v>
      </c>
      <c r="S41" s="64" t="s">
        <v>1719</v>
      </c>
      <c r="T41" s="65">
        <v>1</v>
      </c>
      <c r="U41" s="70" t="s">
        <v>75</v>
      </c>
      <c r="V41" s="72" t="s">
        <v>1718</v>
      </c>
      <c r="W41" s="71">
        <v>165.78</v>
      </c>
      <c r="X41" s="22">
        <f t="shared" si="13"/>
        <v>0</v>
      </c>
      <c r="Y41" s="35">
        <f t="shared" si="9"/>
        <v>165.78</v>
      </c>
      <c r="Z41" s="27"/>
      <c r="AA41" s="23"/>
      <c r="AB41" s="23"/>
      <c r="AC41" s="23"/>
      <c r="AD41" s="63">
        <v>0.05</v>
      </c>
      <c r="AE41" s="91" t="s">
        <v>75</v>
      </c>
      <c r="AF41" s="55" t="s">
        <v>1106</v>
      </c>
      <c r="AG41" s="14" t="s">
        <v>1668</v>
      </c>
      <c r="AH41" s="14" t="s">
        <v>1669</v>
      </c>
    </row>
    <row r="42" spans="1:34" s="1" customFormat="1">
      <c r="A42" s="25" t="s">
        <v>1720</v>
      </c>
      <c r="B42" s="64" t="s">
        <v>1721</v>
      </c>
      <c r="C42" s="65">
        <v>1</v>
      </c>
      <c r="D42" s="70" t="s">
        <v>75</v>
      </c>
      <c r="E42" s="72" t="s">
        <v>1720</v>
      </c>
      <c r="F42" s="71">
        <v>182.45</v>
      </c>
      <c r="G42" s="22">
        <f t="shared" si="12"/>
        <v>0</v>
      </c>
      <c r="H42" s="35">
        <f t="shared" si="7"/>
        <v>182.45</v>
      </c>
      <c r="I42" s="27"/>
      <c r="J42" s="23"/>
      <c r="K42" s="23"/>
      <c r="L42" s="23"/>
      <c r="M42" s="63">
        <v>0.05</v>
      </c>
      <c r="N42" s="91" t="s">
        <v>75</v>
      </c>
      <c r="O42" s="55" t="s">
        <v>1106</v>
      </c>
      <c r="P42" s="56" t="s">
        <v>504</v>
      </c>
      <c r="Q42" s="56" t="s">
        <v>1273</v>
      </c>
      <c r="R42" s="25" t="s">
        <v>1720</v>
      </c>
      <c r="S42" s="64" t="s">
        <v>1721</v>
      </c>
      <c r="T42" s="65">
        <v>1</v>
      </c>
      <c r="U42" s="70" t="s">
        <v>75</v>
      </c>
      <c r="V42" s="72" t="s">
        <v>1720</v>
      </c>
      <c r="W42" s="71">
        <v>182.45</v>
      </c>
      <c r="X42" s="22">
        <f t="shared" si="13"/>
        <v>0</v>
      </c>
      <c r="Y42" s="35">
        <f t="shared" si="9"/>
        <v>182.45</v>
      </c>
      <c r="Z42" s="27"/>
      <c r="AA42" s="23"/>
      <c r="AB42" s="23"/>
      <c r="AC42" s="23"/>
      <c r="AD42" s="63">
        <v>0.05</v>
      </c>
      <c r="AE42" s="91" t="s">
        <v>75</v>
      </c>
      <c r="AF42" s="55" t="s">
        <v>1106</v>
      </c>
      <c r="AG42" s="14" t="s">
        <v>1672</v>
      </c>
      <c r="AH42" s="14" t="s">
        <v>1673</v>
      </c>
    </row>
    <row r="43" spans="1:34" s="1" customFormat="1">
      <c r="A43" s="25" t="s">
        <v>1722</v>
      </c>
      <c r="B43" s="64" t="s">
        <v>1723</v>
      </c>
      <c r="C43" s="65">
        <v>1</v>
      </c>
      <c r="D43" s="70" t="s">
        <v>75</v>
      </c>
      <c r="E43" s="72" t="s">
        <v>1722</v>
      </c>
      <c r="F43" s="71">
        <v>182.45</v>
      </c>
      <c r="G43" s="22">
        <f t="shared" si="12"/>
        <v>0</v>
      </c>
      <c r="H43" s="35">
        <f t="shared" si="7"/>
        <v>182.45</v>
      </c>
      <c r="I43" s="27"/>
      <c r="J43" s="23"/>
      <c r="K43" s="23"/>
      <c r="L43" s="23"/>
      <c r="M43" s="63">
        <v>0.05</v>
      </c>
      <c r="N43" s="91" t="s">
        <v>75</v>
      </c>
      <c r="O43" s="55" t="s">
        <v>1106</v>
      </c>
      <c r="P43" s="56" t="s">
        <v>504</v>
      </c>
      <c r="Q43" s="56" t="s">
        <v>1273</v>
      </c>
      <c r="R43" s="25" t="s">
        <v>1722</v>
      </c>
      <c r="S43" s="64" t="s">
        <v>1723</v>
      </c>
      <c r="T43" s="65">
        <v>1</v>
      </c>
      <c r="U43" s="70" t="s">
        <v>75</v>
      </c>
      <c r="V43" s="72" t="s">
        <v>1722</v>
      </c>
      <c r="W43" s="71">
        <v>182.45</v>
      </c>
      <c r="X43" s="22">
        <f t="shared" si="13"/>
        <v>0</v>
      </c>
      <c r="Y43" s="35">
        <f t="shared" si="9"/>
        <v>182.45</v>
      </c>
      <c r="Z43" s="27"/>
      <c r="AA43" s="23"/>
      <c r="AB43" s="23"/>
      <c r="AC43" s="23"/>
      <c r="AD43" s="63">
        <v>0.05</v>
      </c>
      <c r="AE43" s="91" t="s">
        <v>75</v>
      </c>
      <c r="AF43" s="55" t="s">
        <v>1106</v>
      </c>
      <c r="AG43" s="14" t="s">
        <v>1676</v>
      </c>
      <c r="AH43" s="14" t="s">
        <v>1677</v>
      </c>
    </row>
    <row r="44" spans="1:34" s="1" customFormat="1">
      <c r="A44" s="25" t="s">
        <v>1724</v>
      </c>
      <c r="B44" s="64" t="s">
        <v>1725</v>
      </c>
      <c r="C44" s="65">
        <v>1</v>
      </c>
      <c r="D44" s="70" t="s">
        <v>75</v>
      </c>
      <c r="E44" s="72" t="s">
        <v>1724</v>
      </c>
      <c r="F44" s="71">
        <v>282.45</v>
      </c>
      <c r="G44" s="22">
        <f t="shared" si="12"/>
        <v>0</v>
      </c>
      <c r="H44" s="35">
        <f t="shared" si="7"/>
        <v>282.45</v>
      </c>
      <c r="I44" s="27"/>
      <c r="J44" s="23"/>
      <c r="K44" s="23"/>
      <c r="L44" s="23"/>
      <c r="M44" s="63">
        <v>0.05</v>
      </c>
      <c r="N44" s="91" t="s">
        <v>75</v>
      </c>
      <c r="O44" s="55" t="s">
        <v>1106</v>
      </c>
      <c r="P44" s="56" t="s">
        <v>504</v>
      </c>
      <c r="Q44" s="56" t="s">
        <v>1273</v>
      </c>
      <c r="R44" s="25" t="s">
        <v>1724</v>
      </c>
      <c r="S44" s="64" t="s">
        <v>1725</v>
      </c>
      <c r="T44" s="65">
        <v>1</v>
      </c>
      <c r="U44" s="70" t="s">
        <v>75</v>
      </c>
      <c r="V44" s="72" t="s">
        <v>1724</v>
      </c>
      <c r="W44" s="71">
        <v>282.45</v>
      </c>
      <c r="X44" s="22">
        <f t="shared" si="13"/>
        <v>0</v>
      </c>
      <c r="Y44" s="35">
        <f t="shared" si="9"/>
        <v>282.45</v>
      </c>
      <c r="Z44" s="27"/>
      <c r="AA44" s="23"/>
      <c r="AB44" s="23"/>
      <c r="AC44" s="23"/>
      <c r="AD44" s="63">
        <v>0.05</v>
      </c>
      <c r="AE44" s="91" t="s">
        <v>75</v>
      </c>
      <c r="AF44" s="55" t="s">
        <v>1106</v>
      </c>
      <c r="AG44" s="14" t="s">
        <v>1680</v>
      </c>
      <c r="AH44" s="14" t="s">
        <v>1681</v>
      </c>
    </row>
    <row r="45" spans="1:34" s="1" customFormat="1">
      <c r="A45" s="25" t="s">
        <v>1726</v>
      </c>
      <c r="B45" s="64" t="s">
        <v>1727</v>
      </c>
      <c r="C45" s="65">
        <v>1</v>
      </c>
      <c r="D45" s="70" t="s">
        <v>75</v>
      </c>
      <c r="E45" s="72" t="s">
        <v>1726</v>
      </c>
      <c r="F45" s="71">
        <v>282.45</v>
      </c>
      <c r="G45" s="22">
        <f t="shared" si="12"/>
        <v>0</v>
      </c>
      <c r="H45" s="35">
        <f t="shared" si="7"/>
        <v>282.45</v>
      </c>
      <c r="I45" s="27"/>
      <c r="J45" s="23"/>
      <c r="K45" s="23"/>
      <c r="L45" s="23"/>
      <c r="M45" s="63">
        <v>0.05</v>
      </c>
      <c r="N45" s="91" t="s">
        <v>75</v>
      </c>
      <c r="O45" s="55" t="s">
        <v>1106</v>
      </c>
      <c r="P45" s="56" t="s">
        <v>504</v>
      </c>
      <c r="Q45" s="56" t="s">
        <v>1273</v>
      </c>
      <c r="R45" s="25" t="s">
        <v>1726</v>
      </c>
      <c r="S45" s="64" t="s">
        <v>1727</v>
      </c>
      <c r="T45" s="65">
        <v>1</v>
      </c>
      <c r="U45" s="70" t="s">
        <v>75</v>
      </c>
      <c r="V45" s="72" t="s">
        <v>1726</v>
      </c>
      <c r="W45" s="71">
        <v>282.45</v>
      </c>
      <c r="X45" s="22">
        <f t="shared" si="13"/>
        <v>0</v>
      </c>
      <c r="Y45" s="35">
        <f t="shared" si="9"/>
        <v>282.45</v>
      </c>
      <c r="Z45" s="27"/>
      <c r="AA45" s="23"/>
      <c r="AB45" s="23"/>
      <c r="AC45" s="23"/>
      <c r="AD45" s="63">
        <v>0.05</v>
      </c>
      <c r="AE45" s="91" t="s">
        <v>75</v>
      </c>
      <c r="AF45" s="55" t="s">
        <v>1106</v>
      </c>
      <c r="AG45" s="14" t="s">
        <v>1684</v>
      </c>
      <c r="AH45" s="14" t="s">
        <v>1685</v>
      </c>
    </row>
    <row r="46" spans="1:34" s="1" customFormat="1">
      <c r="A46" s="25" t="s">
        <v>1728</v>
      </c>
      <c r="B46" s="273" t="s">
        <v>1729</v>
      </c>
      <c r="C46" s="65">
        <v>1</v>
      </c>
      <c r="D46" s="70" t="s">
        <v>75</v>
      </c>
      <c r="E46" s="29" t="s">
        <v>1728</v>
      </c>
      <c r="F46" s="71">
        <v>282.45</v>
      </c>
      <c r="G46" s="22">
        <f t="shared" si="12"/>
        <v>0</v>
      </c>
      <c r="H46" s="35">
        <f t="shared" si="7"/>
        <v>282.45</v>
      </c>
      <c r="I46" s="27"/>
      <c r="J46" s="23"/>
      <c r="K46" s="23"/>
      <c r="L46" s="23"/>
      <c r="M46" s="63">
        <v>0.05</v>
      </c>
      <c r="N46" s="91" t="s">
        <v>75</v>
      </c>
      <c r="O46" s="55" t="s">
        <v>1106</v>
      </c>
      <c r="P46" s="56" t="s">
        <v>504</v>
      </c>
      <c r="Q46" s="56" t="s">
        <v>1273</v>
      </c>
      <c r="R46" s="25" t="s">
        <v>1728</v>
      </c>
      <c r="S46" s="273" t="s">
        <v>1729</v>
      </c>
      <c r="T46" s="65">
        <v>1</v>
      </c>
      <c r="U46" s="70" t="s">
        <v>75</v>
      </c>
      <c r="V46" s="29" t="s">
        <v>1728</v>
      </c>
      <c r="W46" s="71">
        <v>282.45</v>
      </c>
      <c r="X46" s="22">
        <f t="shared" si="13"/>
        <v>0</v>
      </c>
      <c r="Y46" s="35">
        <f t="shared" si="9"/>
        <v>282.45</v>
      </c>
      <c r="Z46" s="27"/>
      <c r="AA46" s="23"/>
      <c r="AB46" s="23"/>
      <c r="AC46" s="23"/>
      <c r="AD46" s="63">
        <v>0.05</v>
      </c>
      <c r="AE46" s="91" t="s">
        <v>75</v>
      </c>
      <c r="AF46" s="55" t="s">
        <v>1106</v>
      </c>
      <c r="AG46" s="14" t="s">
        <v>1688</v>
      </c>
      <c r="AH46" s="14" t="s">
        <v>1689</v>
      </c>
    </row>
    <row r="47" spans="1:34" s="1" customFormat="1">
      <c r="A47" s="25" t="s">
        <v>1730</v>
      </c>
      <c r="B47" s="273" t="s">
        <v>1731</v>
      </c>
      <c r="C47" s="65">
        <v>1</v>
      </c>
      <c r="D47" s="70" t="s">
        <v>75</v>
      </c>
      <c r="E47" s="29" t="s">
        <v>1730</v>
      </c>
      <c r="F47" s="71">
        <v>282.45</v>
      </c>
      <c r="G47" s="22">
        <f t="shared" si="12"/>
        <v>0</v>
      </c>
      <c r="H47" s="35">
        <f t="shared" si="7"/>
        <v>282.45</v>
      </c>
      <c r="I47" s="27"/>
      <c r="J47" s="23"/>
      <c r="K47" s="23"/>
      <c r="L47" s="23"/>
      <c r="M47" s="63">
        <v>0.05</v>
      </c>
      <c r="N47" s="91" t="s">
        <v>75</v>
      </c>
      <c r="O47" s="55" t="s">
        <v>1106</v>
      </c>
      <c r="P47" s="56" t="s">
        <v>504</v>
      </c>
      <c r="Q47" s="56" t="s">
        <v>1273</v>
      </c>
      <c r="R47" s="25" t="s">
        <v>1730</v>
      </c>
      <c r="S47" s="273" t="s">
        <v>1731</v>
      </c>
      <c r="T47" s="65">
        <v>1</v>
      </c>
      <c r="U47" s="70" t="s">
        <v>75</v>
      </c>
      <c r="V47" s="29" t="s">
        <v>1730</v>
      </c>
      <c r="W47" s="71">
        <v>282.45</v>
      </c>
      <c r="X47" s="22">
        <f t="shared" si="13"/>
        <v>0</v>
      </c>
      <c r="Y47" s="35">
        <f t="shared" si="9"/>
        <v>282.45</v>
      </c>
      <c r="Z47" s="27"/>
      <c r="AA47" s="23"/>
      <c r="AB47" s="23"/>
      <c r="AC47" s="23"/>
      <c r="AD47" s="63">
        <v>0.05</v>
      </c>
      <c r="AE47" s="91" t="s">
        <v>75</v>
      </c>
      <c r="AF47" s="55" t="s">
        <v>1106</v>
      </c>
      <c r="AG47" s="14" t="s">
        <v>1688</v>
      </c>
      <c r="AH47" s="14" t="s">
        <v>1689</v>
      </c>
    </row>
    <row r="48" spans="1:34" s="1" customFormat="1">
      <c r="A48" s="25" t="s">
        <v>1732</v>
      </c>
      <c r="B48" s="64" t="s">
        <v>1733</v>
      </c>
      <c r="C48" s="65">
        <v>1</v>
      </c>
      <c r="D48" s="70" t="s">
        <v>75</v>
      </c>
      <c r="E48" s="29" t="s">
        <v>1732</v>
      </c>
      <c r="F48" s="71">
        <v>332.45</v>
      </c>
      <c r="G48" s="22">
        <f t="shared" si="12"/>
        <v>0</v>
      </c>
      <c r="H48" s="35">
        <f t="shared" si="7"/>
        <v>332.45</v>
      </c>
      <c r="I48" s="27"/>
      <c r="J48" s="23"/>
      <c r="K48" s="23"/>
      <c r="L48" s="23"/>
      <c r="M48" s="63">
        <v>0.05</v>
      </c>
      <c r="N48" s="91" t="s">
        <v>75</v>
      </c>
      <c r="O48" s="55" t="s">
        <v>1106</v>
      </c>
      <c r="P48" s="56" t="s">
        <v>504</v>
      </c>
      <c r="Q48" s="56" t="s">
        <v>1273</v>
      </c>
      <c r="R48" s="25" t="s">
        <v>1732</v>
      </c>
      <c r="S48" s="64" t="s">
        <v>1733</v>
      </c>
      <c r="T48" s="65">
        <v>1</v>
      </c>
      <c r="U48" s="70" t="s">
        <v>75</v>
      </c>
      <c r="V48" s="29" t="s">
        <v>1732</v>
      </c>
      <c r="W48" s="71">
        <v>332.45</v>
      </c>
      <c r="X48" s="22">
        <f t="shared" si="13"/>
        <v>0</v>
      </c>
      <c r="Y48" s="35">
        <f t="shared" si="9"/>
        <v>332.45</v>
      </c>
      <c r="Z48" s="27"/>
      <c r="AA48" s="23"/>
      <c r="AB48" s="23"/>
      <c r="AC48" s="23"/>
      <c r="AD48" s="63">
        <v>0.05</v>
      </c>
      <c r="AE48" s="91" t="s">
        <v>75</v>
      </c>
      <c r="AF48" s="55" t="s">
        <v>1106</v>
      </c>
      <c r="AG48" s="14" t="s">
        <v>1688</v>
      </c>
      <c r="AH48" s="14" t="s">
        <v>1689</v>
      </c>
    </row>
    <row r="49" spans="1:34" s="1" customFormat="1">
      <c r="A49" s="25" t="s">
        <v>1734</v>
      </c>
      <c r="B49" s="64" t="s">
        <v>1735</v>
      </c>
      <c r="C49" s="65">
        <v>1</v>
      </c>
      <c r="D49" s="70" t="s">
        <v>75</v>
      </c>
      <c r="E49" s="29" t="s">
        <v>1734</v>
      </c>
      <c r="F49" s="71">
        <v>332.45</v>
      </c>
      <c r="G49" s="22">
        <f t="shared" si="12"/>
        <v>0</v>
      </c>
      <c r="H49" s="35">
        <f t="shared" si="7"/>
        <v>332.45</v>
      </c>
      <c r="I49" s="27"/>
      <c r="J49" s="23"/>
      <c r="K49" s="23"/>
      <c r="L49" s="23"/>
      <c r="M49" s="63">
        <v>0.05</v>
      </c>
      <c r="N49" s="91" t="s">
        <v>75</v>
      </c>
      <c r="O49" s="55" t="s">
        <v>1106</v>
      </c>
      <c r="P49" s="56" t="s">
        <v>504</v>
      </c>
      <c r="Q49" s="56" t="s">
        <v>1273</v>
      </c>
      <c r="R49" s="25" t="s">
        <v>1734</v>
      </c>
      <c r="S49" s="64" t="s">
        <v>1735</v>
      </c>
      <c r="T49" s="65">
        <v>1</v>
      </c>
      <c r="U49" s="70" t="s">
        <v>75</v>
      </c>
      <c r="V49" s="29" t="s">
        <v>1734</v>
      </c>
      <c r="W49" s="71">
        <v>332.45</v>
      </c>
      <c r="X49" s="22">
        <f t="shared" si="13"/>
        <v>0</v>
      </c>
      <c r="Y49" s="35">
        <f t="shared" si="9"/>
        <v>332.45</v>
      </c>
      <c r="Z49" s="27"/>
      <c r="AA49" s="23"/>
      <c r="AB49" s="23"/>
      <c r="AC49" s="23"/>
      <c r="AD49" s="63">
        <v>0.05</v>
      </c>
      <c r="AE49" s="91" t="s">
        <v>75</v>
      </c>
      <c r="AF49" s="55" t="s">
        <v>1106</v>
      </c>
      <c r="AG49" s="14" t="s">
        <v>1736</v>
      </c>
      <c r="AH49" s="14" t="s">
        <v>1737</v>
      </c>
    </row>
    <row r="50" spans="1:34" s="1" customFormat="1">
      <c r="A50" s="25" t="s">
        <v>1738</v>
      </c>
      <c r="B50" s="273" t="s">
        <v>1739</v>
      </c>
      <c r="C50" s="65">
        <v>1</v>
      </c>
      <c r="D50" s="70" t="s">
        <v>75</v>
      </c>
      <c r="E50" s="115" t="s">
        <v>1738</v>
      </c>
      <c r="F50" s="71">
        <v>332.45</v>
      </c>
      <c r="G50" s="22">
        <f t="shared" si="12"/>
        <v>0</v>
      </c>
      <c r="H50" s="35">
        <f t="shared" ref="H50:H51" si="14">F50-(F50*G50)</f>
        <v>332.45</v>
      </c>
      <c r="I50" s="27"/>
      <c r="J50" s="23"/>
      <c r="K50" s="23"/>
      <c r="L50" s="23"/>
      <c r="M50" s="63">
        <v>0.05</v>
      </c>
      <c r="N50" s="91" t="s">
        <v>75</v>
      </c>
      <c r="O50" s="55" t="s">
        <v>1106</v>
      </c>
      <c r="P50" s="56" t="s">
        <v>504</v>
      </c>
      <c r="Q50" s="56" t="s">
        <v>1273</v>
      </c>
      <c r="R50" s="25" t="s">
        <v>1738</v>
      </c>
      <c r="S50" s="273" t="s">
        <v>1739</v>
      </c>
      <c r="T50" s="65">
        <v>1</v>
      </c>
      <c r="U50" s="70" t="s">
        <v>75</v>
      </c>
      <c r="V50" s="115" t="s">
        <v>1738</v>
      </c>
      <c r="W50" s="71">
        <v>332.45</v>
      </c>
      <c r="X50" s="22">
        <f t="shared" si="13"/>
        <v>0</v>
      </c>
      <c r="Y50" s="35">
        <f t="shared" si="9"/>
        <v>332.45</v>
      </c>
      <c r="Z50" s="27"/>
      <c r="AA50" s="23"/>
      <c r="AB50" s="23"/>
      <c r="AC50" s="23"/>
      <c r="AD50" s="63">
        <v>0.05</v>
      </c>
      <c r="AE50" s="91" t="s">
        <v>75</v>
      </c>
      <c r="AF50" s="55" t="s">
        <v>1106</v>
      </c>
      <c r="AG50" s="14" t="s">
        <v>1688</v>
      </c>
      <c r="AH50" s="14" t="s">
        <v>1689</v>
      </c>
    </row>
    <row r="51" spans="1:34" s="1" customFormat="1">
      <c r="A51" s="25" t="s">
        <v>1740</v>
      </c>
      <c r="B51" s="273" t="s">
        <v>1741</v>
      </c>
      <c r="C51" s="65">
        <v>1</v>
      </c>
      <c r="D51" s="70" t="s">
        <v>75</v>
      </c>
      <c r="E51" s="115" t="s">
        <v>1740</v>
      </c>
      <c r="F51" s="71">
        <v>332.45</v>
      </c>
      <c r="G51" s="22">
        <f t="shared" si="12"/>
        <v>0</v>
      </c>
      <c r="H51" s="35">
        <f t="shared" si="14"/>
        <v>332.45</v>
      </c>
      <c r="I51" s="27"/>
      <c r="J51" s="23"/>
      <c r="K51" s="23"/>
      <c r="L51" s="23"/>
      <c r="M51" s="63">
        <v>0.05</v>
      </c>
      <c r="N51" s="91" t="s">
        <v>75</v>
      </c>
      <c r="O51" s="55" t="s">
        <v>1106</v>
      </c>
      <c r="P51" s="56" t="s">
        <v>504</v>
      </c>
      <c r="Q51" s="56" t="s">
        <v>1273</v>
      </c>
      <c r="R51" s="25" t="s">
        <v>1740</v>
      </c>
      <c r="S51" s="273" t="s">
        <v>1741</v>
      </c>
      <c r="T51" s="65">
        <v>1</v>
      </c>
      <c r="U51" s="70" t="s">
        <v>75</v>
      </c>
      <c r="V51" s="115" t="s">
        <v>1740</v>
      </c>
      <c r="W51" s="71">
        <v>332.45</v>
      </c>
      <c r="X51" s="22">
        <f t="shared" si="13"/>
        <v>0</v>
      </c>
      <c r="Y51" s="35">
        <f t="shared" si="9"/>
        <v>332.45</v>
      </c>
      <c r="Z51" s="27"/>
      <c r="AA51" s="23"/>
      <c r="AB51" s="23"/>
      <c r="AC51" s="23"/>
      <c r="AD51" s="63">
        <v>0.05</v>
      </c>
      <c r="AE51" s="91" t="s">
        <v>75</v>
      </c>
      <c r="AF51" s="55" t="s">
        <v>1106</v>
      </c>
      <c r="AG51" s="14" t="s">
        <v>1688</v>
      </c>
      <c r="AH51" s="14" t="s">
        <v>1689</v>
      </c>
    </row>
    <row r="52" spans="1:34" s="1" customFormat="1">
      <c r="A52" s="25" t="s">
        <v>1742</v>
      </c>
      <c r="B52" s="64" t="s">
        <v>1743</v>
      </c>
      <c r="C52" s="65">
        <v>1</v>
      </c>
      <c r="D52" s="70" t="s">
        <v>1744</v>
      </c>
      <c r="E52" s="29" t="s">
        <v>1742</v>
      </c>
      <c r="F52" s="71">
        <v>109</v>
      </c>
      <c r="G52" s="22">
        <f>rv_10</f>
        <v>0.1</v>
      </c>
      <c r="H52" s="35">
        <f t="shared" si="7"/>
        <v>98.1</v>
      </c>
      <c r="I52" s="27"/>
      <c r="J52" s="23"/>
      <c r="K52" s="23"/>
      <c r="L52" s="23"/>
      <c r="M52" s="63">
        <v>0.02</v>
      </c>
      <c r="N52" s="91" t="s">
        <v>75</v>
      </c>
      <c r="O52" s="55" t="s">
        <v>1106</v>
      </c>
      <c r="P52" s="56" t="s">
        <v>504</v>
      </c>
      <c r="Q52" s="56" t="s">
        <v>1273</v>
      </c>
      <c r="R52" s="25" t="s">
        <v>1742</v>
      </c>
      <c r="S52" s="64" t="s">
        <v>1743</v>
      </c>
      <c r="T52" s="65">
        <v>1</v>
      </c>
      <c r="U52" s="70" t="s">
        <v>1744</v>
      </c>
      <c r="V52" s="29" t="s">
        <v>1742</v>
      </c>
      <c r="W52" s="71">
        <v>109</v>
      </c>
      <c r="X52" s="22">
        <f>rv_10</f>
        <v>0.1</v>
      </c>
      <c r="Y52" s="35">
        <f t="shared" si="9"/>
        <v>98.1</v>
      </c>
      <c r="Z52" s="27"/>
      <c r="AA52" s="23"/>
      <c r="AB52" s="23"/>
      <c r="AC52" s="23"/>
      <c r="AD52" s="63">
        <v>0.02</v>
      </c>
      <c r="AE52" s="91" t="s">
        <v>75</v>
      </c>
      <c r="AF52" s="55" t="s">
        <v>1106</v>
      </c>
      <c r="AG52" s="14" t="s">
        <v>1745</v>
      </c>
      <c r="AH52" s="14" t="s">
        <v>1746</v>
      </c>
    </row>
    <row r="53" spans="1:34" s="1" customFormat="1">
      <c r="A53" s="25" t="s">
        <v>1747</v>
      </c>
      <c r="B53" s="64" t="s">
        <v>1748</v>
      </c>
      <c r="C53" s="65">
        <v>1</v>
      </c>
      <c r="D53" s="70" t="s">
        <v>1744</v>
      </c>
      <c r="E53" s="29" t="s">
        <v>1747</v>
      </c>
      <c r="F53" s="71">
        <v>154</v>
      </c>
      <c r="G53" s="22">
        <f>rv_10</f>
        <v>0.1</v>
      </c>
      <c r="H53" s="35">
        <f t="shared" ref="H53" si="15">F53-(F53*G53)</f>
        <v>138.6</v>
      </c>
      <c r="I53" s="27"/>
      <c r="J53" s="23"/>
      <c r="K53" s="23"/>
      <c r="L53" s="23"/>
      <c r="M53" s="63">
        <v>0.02</v>
      </c>
      <c r="N53" s="91" t="s">
        <v>75</v>
      </c>
      <c r="O53" s="55" t="s">
        <v>1106</v>
      </c>
      <c r="P53" s="56" t="s">
        <v>504</v>
      </c>
      <c r="Q53" s="56" t="s">
        <v>1273</v>
      </c>
      <c r="R53" s="25" t="s">
        <v>1747</v>
      </c>
      <c r="S53" s="64" t="s">
        <v>1748</v>
      </c>
      <c r="T53" s="65">
        <v>1</v>
      </c>
      <c r="U53" s="70" t="s">
        <v>1744</v>
      </c>
      <c r="V53" s="29" t="s">
        <v>1747</v>
      </c>
      <c r="W53" s="71">
        <v>154</v>
      </c>
      <c r="X53" s="22">
        <f>rv_10</f>
        <v>0.1</v>
      </c>
      <c r="Y53" s="35">
        <f t="shared" si="9"/>
        <v>138.6</v>
      </c>
      <c r="Z53" s="27"/>
      <c r="AA53" s="23"/>
      <c r="AB53" s="23"/>
      <c r="AC53" s="23"/>
      <c r="AD53" s="63">
        <v>0.02</v>
      </c>
      <c r="AE53" s="91" t="s">
        <v>75</v>
      </c>
      <c r="AF53" s="55" t="s">
        <v>1106</v>
      </c>
      <c r="AG53" s="14" t="s">
        <v>1745</v>
      </c>
      <c r="AH53" s="14" t="s">
        <v>1746</v>
      </c>
    </row>
    <row r="54" spans="1:34" s="1" customFormat="1">
      <c r="A54" s="25" t="s">
        <v>1749</v>
      </c>
      <c r="B54" s="64" t="s">
        <v>1750</v>
      </c>
      <c r="C54" s="65">
        <v>1</v>
      </c>
      <c r="D54" s="70" t="s">
        <v>1744</v>
      </c>
      <c r="E54" s="29" t="s">
        <v>1749</v>
      </c>
      <c r="F54" s="71">
        <v>8.99</v>
      </c>
      <c r="G54" s="22">
        <f>rv_10</f>
        <v>0.1</v>
      </c>
      <c r="H54" s="35">
        <f t="shared" si="7"/>
        <v>8.0910000000000011</v>
      </c>
      <c r="I54" s="27"/>
      <c r="J54" s="23"/>
      <c r="K54" s="23"/>
      <c r="L54" s="23"/>
      <c r="M54" s="63">
        <v>0.02</v>
      </c>
      <c r="N54" s="91" t="s">
        <v>75</v>
      </c>
      <c r="O54" s="55" t="s">
        <v>1106</v>
      </c>
      <c r="P54" s="56" t="s">
        <v>504</v>
      </c>
      <c r="Q54" s="56" t="s">
        <v>1273</v>
      </c>
      <c r="R54" s="25" t="s">
        <v>1749</v>
      </c>
      <c r="S54" s="64" t="s">
        <v>1750</v>
      </c>
      <c r="T54" s="65">
        <v>1</v>
      </c>
      <c r="U54" s="70" t="s">
        <v>1744</v>
      </c>
      <c r="V54" s="29" t="s">
        <v>1749</v>
      </c>
      <c r="W54" s="71">
        <v>8.99</v>
      </c>
      <c r="X54" s="22">
        <f>rv_10</f>
        <v>0.1</v>
      </c>
      <c r="Y54" s="35">
        <f t="shared" si="9"/>
        <v>8.0910000000000011</v>
      </c>
      <c r="Z54" s="27"/>
      <c r="AA54" s="23"/>
      <c r="AB54" s="23"/>
      <c r="AC54" s="23"/>
      <c r="AD54" s="63">
        <v>0.02</v>
      </c>
      <c r="AE54" s="91" t="s">
        <v>75</v>
      </c>
      <c r="AF54" s="55" t="s">
        <v>1106</v>
      </c>
      <c r="AG54" s="14" t="s">
        <v>1751</v>
      </c>
      <c r="AH54" s="14" t="s">
        <v>1752</v>
      </c>
    </row>
    <row r="55" spans="1:34" s="1" customFormat="1" ht="21.95" customHeight="1">
      <c r="A55" s="160" t="s">
        <v>1753</v>
      </c>
      <c r="C55" s="65"/>
      <c r="D55" s="69"/>
      <c r="E55" s="27"/>
      <c r="F55" s="27"/>
      <c r="G55" s="40"/>
      <c r="H55" s="27"/>
      <c r="I55" s="27"/>
      <c r="J55" s="23"/>
      <c r="K55" s="23"/>
      <c r="L55" s="23"/>
      <c r="M55" s="63"/>
      <c r="N55" s="91"/>
      <c r="O55" s="55"/>
      <c r="P55" s="14"/>
      <c r="Q55" s="14"/>
      <c r="R55" s="160" t="s">
        <v>1753</v>
      </c>
      <c r="T55" s="65"/>
      <c r="U55" s="69"/>
      <c r="V55" s="27"/>
      <c r="W55" s="27"/>
      <c r="X55" s="40"/>
      <c r="Y55" s="27"/>
      <c r="Z55" s="27"/>
      <c r="AA55" s="23"/>
      <c r="AB55" s="23"/>
      <c r="AC55" s="23"/>
      <c r="AD55" s="63"/>
      <c r="AE55" s="91"/>
      <c r="AF55" s="55"/>
      <c r="AG55" s="14"/>
      <c r="AH55" s="14"/>
    </row>
    <row r="56" spans="1:34" s="121" customFormat="1">
      <c r="A56" s="113" t="s">
        <v>1754</v>
      </c>
      <c r="B56" s="273" t="s">
        <v>1755</v>
      </c>
      <c r="C56" s="292">
        <v>1</v>
      </c>
      <c r="D56" s="293" t="s">
        <v>75</v>
      </c>
      <c r="E56" s="300" t="s">
        <v>1754</v>
      </c>
      <c r="F56" s="57">
        <v>70.78</v>
      </c>
      <c r="G56" s="319">
        <f t="shared" ref="G56:G60" si="16">rv_apple_acc_mac</f>
        <v>0.09</v>
      </c>
      <c r="H56" s="116">
        <f t="shared" ref="H56:H63" si="17">F56-(F56*G56)</f>
        <v>64.409800000000004</v>
      </c>
      <c r="I56" s="153"/>
      <c r="J56" s="154"/>
      <c r="K56" s="154"/>
      <c r="L56" s="154"/>
      <c r="M56" s="226">
        <v>0.05</v>
      </c>
      <c r="N56" s="91" t="s">
        <v>75</v>
      </c>
      <c r="O56" s="55" t="s">
        <v>1106</v>
      </c>
      <c r="P56" s="56" t="s">
        <v>504</v>
      </c>
      <c r="Q56" s="56" t="s">
        <v>1273</v>
      </c>
      <c r="R56" s="113" t="s">
        <v>1754</v>
      </c>
      <c r="S56" s="273" t="s">
        <v>1755</v>
      </c>
      <c r="T56" s="292">
        <v>1</v>
      </c>
      <c r="U56" s="293" t="s">
        <v>75</v>
      </c>
      <c r="V56" s="300" t="s">
        <v>1754</v>
      </c>
      <c r="W56" s="57">
        <v>70.78</v>
      </c>
      <c r="X56" s="319">
        <f t="shared" ref="X56:X60" si="18">rv_apple_acc_mac</f>
        <v>0.09</v>
      </c>
      <c r="Y56" s="116">
        <f t="shared" ref="Y56:Y57" si="19">W56-(W56*X56)</f>
        <v>64.409800000000004</v>
      </c>
      <c r="Z56" s="153"/>
      <c r="AA56" s="154"/>
      <c r="AB56" s="154"/>
      <c r="AC56" s="154"/>
      <c r="AD56" s="226">
        <v>0.05</v>
      </c>
      <c r="AE56" s="91" t="s">
        <v>75</v>
      </c>
      <c r="AF56" s="55" t="s">
        <v>1106</v>
      </c>
      <c r="AG56" s="56" t="s">
        <v>1756</v>
      </c>
      <c r="AH56" s="56" t="s">
        <v>1757</v>
      </c>
    </row>
    <row r="57" spans="1:34" s="121" customFormat="1">
      <c r="A57" s="113" t="s">
        <v>1758</v>
      </c>
      <c r="B57" s="273" t="s">
        <v>1759</v>
      </c>
      <c r="C57" s="292">
        <v>1</v>
      </c>
      <c r="D57" s="293" t="s">
        <v>75</v>
      </c>
      <c r="E57" s="300" t="s">
        <v>1758</v>
      </c>
      <c r="F57" s="57">
        <v>112.45</v>
      </c>
      <c r="G57" s="319">
        <f t="shared" si="16"/>
        <v>0.09</v>
      </c>
      <c r="H57" s="116">
        <f t="shared" si="17"/>
        <v>102.3295</v>
      </c>
      <c r="I57" s="153"/>
      <c r="J57" s="154"/>
      <c r="K57" s="154"/>
      <c r="L57" s="154"/>
      <c r="M57" s="226">
        <v>0.05</v>
      </c>
      <c r="N57" s="91" t="s">
        <v>75</v>
      </c>
      <c r="O57" s="55" t="s">
        <v>1106</v>
      </c>
      <c r="P57" s="56" t="s">
        <v>504</v>
      </c>
      <c r="Q57" s="56" t="s">
        <v>1273</v>
      </c>
      <c r="R57" s="113" t="s">
        <v>1758</v>
      </c>
      <c r="S57" s="273" t="s">
        <v>1759</v>
      </c>
      <c r="T57" s="292">
        <v>1</v>
      </c>
      <c r="U57" s="293" t="s">
        <v>75</v>
      </c>
      <c r="V57" s="300" t="s">
        <v>1758</v>
      </c>
      <c r="W57" s="57">
        <v>112.45</v>
      </c>
      <c r="X57" s="319">
        <f t="shared" si="18"/>
        <v>0.09</v>
      </c>
      <c r="Y57" s="116">
        <f t="shared" si="19"/>
        <v>102.3295</v>
      </c>
      <c r="Z57" s="153"/>
      <c r="AA57" s="154"/>
      <c r="AB57" s="154"/>
      <c r="AC57" s="154"/>
      <c r="AD57" s="226">
        <v>0.05</v>
      </c>
      <c r="AE57" s="91" t="s">
        <v>75</v>
      </c>
      <c r="AF57" s="55" t="s">
        <v>1106</v>
      </c>
      <c r="AG57" s="56" t="s">
        <v>1760</v>
      </c>
      <c r="AH57" s="56" t="s">
        <v>1761</v>
      </c>
    </row>
    <row r="58" spans="1:34" s="121" customFormat="1">
      <c r="A58" s="113"/>
      <c r="B58" s="273"/>
      <c r="C58" s="292"/>
      <c r="D58" s="116"/>
      <c r="E58" s="115"/>
      <c r="F58" s="269"/>
      <c r="G58" s="319"/>
      <c r="H58" s="116"/>
      <c r="I58" s="153"/>
      <c r="J58" s="154"/>
      <c r="K58" s="154"/>
      <c r="L58" s="154"/>
      <c r="M58" s="226"/>
      <c r="N58" s="91"/>
      <c r="O58" s="55"/>
      <c r="P58" s="56"/>
      <c r="Q58" s="56"/>
      <c r="R58" s="113"/>
      <c r="S58" s="273"/>
      <c r="T58" s="292"/>
      <c r="U58" s="116"/>
      <c r="V58" s="115"/>
      <c r="W58" s="269"/>
      <c r="X58" s="319"/>
      <c r="Y58" s="116"/>
      <c r="Z58" s="153"/>
      <c r="AA58" s="154"/>
      <c r="AB58" s="154"/>
      <c r="AC58" s="154"/>
      <c r="AD58" s="226"/>
      <c r="AE58" s="91"/>
      <c r="AF58" s="55"/>
      <c r="AG58" s="56"/>
      <c r="AH58" s="56"/>
    </row>
    <row r="59" spans="1:34" s="121" customFormat="1">
      <c r="A59" s="113" t="s">
        <v>1762</v>
      </c>
      <c r="B59" s="273" t="s">
        <v>1763</v>
      </c>
      <c r="C59" s="292">
        <v>1</v>
      </c>
      <c r="D59" s="116" t="s">
        <v>75</v>
      </c>
      <c r="E59" s="115" t="s">
        <v>1762</v>
      </c>
      <c r="F59" s="269">
        <v>112.45</v>
      </c>
      <c r="G59" s="319">
        <f t="shared" si="16"/>
        <v>0.09</v>
      </c>
      <c r="H59" s="116">
        <f t="shared" si="17"/>
        <v>102.3295</v>
      </c>
      <c r="I59" s="153"/>
      <c r="J59" s="154"/>
      <c r="K59" s="154"/>
      <c r="L59" s="154"/>
      <c r="M59" s="226">
        <v>0.05</v>
      </c>
      <c r="N59" s="91" t="s">
        <v>75</v>
      </c>
      <c r="O59" s="55" t="s">
        <v>1106</v>
      </c>
      <c r="P59" s="56" t="s">
        <v>504</v>
      </c>
      <c r="Q59" s="56" t="s">
        <v>1273</v>
      </c>
      <c r="R59" s="113" t="s">
        <v>1762</v>
      </c>
      <c r="S59" s="273" t="s">
        <v>1763</v>
      </c>
      <c r="T59" s="292">
        <v>1</v>
      </c>
      <c r="U59" s="116" t="s">
        <v>75</v>
      </c>
      <c r="V59" s="115" t="s">
        <v>1762</v>
      </c>
      <c r="W59" s="269">
        <v>112.45</v>
      </c>
      <c r="X59" s="319">
        <f t="shared" si="18"/>
        <v>0.09</v>
      </c>
      <c r="Y59" s="116">
        <f t="shared" ref="Y59:Y63" si="20">W59-(W59*X59)</f>
        <v>102.3295</v>
      </c>
      <c r="Z59" s="153"/>
      <c r="AA59" s="154"/>
      <c r="AB59" s="154"/>
      <c r="AC59" s="154"/>
      <c r="AD59" s="226">
        <v>0.05</v>
      </c>
      <c r="AE59" s="91" t="s">
        <v>75</v>
      </c>
      <c r="AF59" s="55" t="s">
        <v>1106</v>
      </c>
      <c r="AG59" s="56" t="s">
        <v>1764</v>
      </c>
      <c r="AH59" s="56" t="s">
        <v>1765</v>
      </c>
    </row>
    <row r="60" spans="1:34" s="121" customFormat="1">
      <c r="A60" s="113" t="s">
        <v>1766</v>
      </c>
      <c r="B60" s="273" t="s">
        <v>1767</v>
      </c>
      <c r="C60" s="292">
        <v>1</v>
      </c>
      <c r="D60" s="116" t="s">
        <v>75</v>
      </c>
      <c r="E60" s="115" t="s">
        <v>1766</v>
      </c>
      <c r="F60" s="269">
        <v>112.45</v>
      </c>
      <c r="G60" s="319">
        <f t="shared" si="16"/>
        <v>0.09</v>
      </c>
      <c r="H60" s="116">
        <f t="shared" si="17"/>
        <v>102.3295</v>
      </c>
      <c r="I60" s="153"/>
      <c r="J60" s="154"/>
      <c r="K60" s="154"/>
      <c r="L60" s="154"/>
      <c r="M60" s="226">
        <v>0.05</v>
      </c>
      <c r="N60" s="91" t="s">
        <v>75</v>
      </c>
      <c r="O60" s="55" t="s">
        <v>1106</v>
      </c>
      <c r="P60" s="56" t="s">
        <v>504</v>
      </c>
      <c r="Q60" s="56" t="s">
        <v>1273</v>
      </c>
      <c r="R60" s="113" t="s">
        <v>1766</v>
      </c>
      <c r="S60" s="273" t="s">
        <v>1767</v>
      </c>
      <c r="T60" s="292">
        <v>1</v>
      </c>
      <c r="U60" s="116" t="s">
        <v>75</v>
      </c>
      <c r="V60" s="115" t="s">
        <v>1766</v>
      </c>
      <c r="W60" s="269">
        <v>112.45</v>
      </c>
      <c r="X60" s="319">
        <f t="shared" si="18"/>
        <v>0.09</v>
      </c>
      <c r="Y60" s="116">
        <f t="shared" si="20"/>
        <v>102.3295</v>
      </c>
      <c r="Z60" s="153"/>
      <c r="AA60" s="154"/>
      <c r="AB60" s="154"/>
      <c r="AC60" s="154"/>
      <c r="AD60" s="226">
        <v>0.05</v>
      </c>
      <c r="AE60" s="91" t="s">
        <v>75</v>
      </c>
      <c r="AF60" s="55" t="s">
        <v>1106</v>
      </c>
      <c r="AG60" s="56" t="s">
        <v>1274</v>
      </c>
      <c r="AH60" s="56" t="s">
        <v>1275</v>
      </c>
    </row>
    <row r="61" spans="1:34" s="121" customFormat="1">
      <c r="A61" s="113" t="s">
        <v>1768</v>
      </c>
      <c r="B61" s="273" t="s">
        <v>1769</v>
      </c>
      <c r="C61" s="292">
        <v>1</v>
      </c>
      <c r="D61" s="116" t="s">
        <v>75</v>
      </c>
      <c r="E61" s="115" t="s">
        <v>1768</v>
      </c>
      <c r="F61" s="269">
        <v>112.48</v>
      </c>
      <c r="G61" s="319">
        <f>rv_pencil_2</f>
        <v>0.02</v>
      </c>
      <c r="H61" s="269">
        <f t="shared" si="17"/>
        <v>110.2304</v>
      </c>
      <c r="I61" s="153"/>
      <c r="J61" s="154"/>
      <c r="K61" s="154"/>
      <c r="L61" s="154"/>
      <c r="M61" s="226">
        <v>0.02</v>
      </c>
      <c r="N61" s="91" t="s">
        <v>75</v>
      </c>
      <c r="O61" s="55" t="s">
        <v>1106</v>
      </c>
      <c r="P61" s="56" t="s">
        <v>504</v>
      </c>
      <c r="Q61" s="56" t="s">
        <v>1273</v>
      </c>
      <c r="R61" s="113" t="s">
        <v>1768</v>
      </c>
      <c r="S61" s="273" t="s">
        <v>1769</v>
      </c>
      <c r="T61" s="292">
        <v>1</v>
      </c>
      <c r="U61" s="116" t="s">
        <v>75</v>
      </c>
      <c r="V61" s="115" t="s">
        <v>1768</v>
      </c>
      <c r="W61" s="269">
        <v>112.48</v>
      </c>
      <c r="X61" s="319">
        <f>rv_pencil_2</f>
        <v>0.02</v>
      </c>
      <c r="Y61" s="269">
        <f t="shared" si="20"/>
        <v>110.2304</v>
      </c>
      <c r="Z61" s="153"/>
      <c r="AA61" s="154"/>
      <c r="AB61" s="154"/>
      <c r="AC61" s="154"/>
      <c r="AD61" s="226">
        <v>0.02</v>
      </c>
      <c r="AE61" s="91" t="s">
        <v>75</v>
      </c>
      <c r="AF61" s="55" t="s">
        <v>1106</v>
      </c>
      <c r="AG61" s="56" t="s">
        <v>1770</v>
      </c>
      <c r="AH61" s="56" t="s">
        <v>1771</v>
      </c>
    </row>
    <row r="62" spans="1:34" s="121" customFormat="1">
      <c r="A62" s="113" t="s">
        <v>1772</v>
      </c>
      <c r="B62" s="273" t="s">
        <v>1773</v>
      </c>
      <c r="C62" s="292">
        <v>1</v>
      </c>
      <c r="D62" s="116" t="s">
        <v>75</v>
      </c>
      <c r="E62" s="115" t="s">
        <v>1772</v>
      </c>
      <c r="F62" s="269">
        <v>82.48</v>
      </c>
      <c r="G62" s="319">
        <f>rv_pencil</f>
        <v>0.02</v>
      </c>
      <c r="H62" s="269">
        <f t="shared" si="17"/>
        <v>80.830399999999997</v>
      </c>
      <c r="I62" s="153"/>
      <c r="J62" s="154"/>
      <c r="K62" s="154"/>
      <c r="L62" s="154"/>
      <c r="M62" s="226">
        <v>0.02</v>
      </c>
      <c r="N62" s="91" t="s">
        <v>75</v>
      </c>
      <c r="O62" s="55" t="s">
        <v>1106</v>
      </c>
      <c r="P62" s="56" t="s">
        <v>504</v>
      </c>
      <c r="Q62" s="56" t="s">
        <v>1273</v>
      </c>
      <c r="R62" s="113" t="s">
        <v>1772</v>
      </c>
      <c r="S62" s="273" t="s">
        <v>1773</v>
      </c>
      <c r="T62" s="292">
        <v>1</v>
      </c>
      <c r="U62" s="116" t="s">
        <v>75</v>
      </c>
      <c r="V62" s="115" t="s">
        <v>1772</v>
      </c>
      <c r="W62" s="269">
        <v>82.48</v>
      </c>
      <c r="X62" s="319">
        <f>rv_pencil</f>
        <v>0.02</v>
      </c>
      <c r="Y62" s="269">
        <f t="shared" si="20"/>
        <v>80.830399999999997</v>
      </c>
      <c r="Z62" s="153"/>
      <c r="AA62" s="154"/>
      <c r="AB62" s="154"/>
      <c r="AC62" s="154"/>
      <c r="AD62" s="226">
        <v>0.02</v>
      </c>
      <c r="AE62" s="91" t="s">
        <v>75</v>
      </c>
      <c r="AF62" s="55" t="s">
        <v>1106</v>
      </c>
      <c r="AG62" s="56" t="s">
        <v>1774</v>
      </c>
      <c r="AH62" s="56" t="s">
        <v>1775</v>
      </c>
    </row>
    <row r="63" spans="1:34" s="1" customFormat="1">
      <c r="A63" s="25" t="s">
        <v>1776</v>
      </c>
      <c r="B63" s="64" t="s">
        <v>1777</v>
      </c>
      <c r="C63" s="65">
        <v>1</v>
      </c>
      <c r="D63" s="35" t="s">
        <v>75</v>
      </c>
      <c r="E63" s="29" t="s">
        <v>1776</v>
      </c>
      <c r="F63" s="69">
        <v>20.82</v>
      </c>
      <c r="G63" s="77">
        <f>rv_pencil</f>
        <v>0.02</v>
      </c>
      <c r="H63" s="69">
        <f t="shared" si="17"/>
        <v>20.403600000000001</v>
      </c>
      <c r="I63" s="27"/>
      <c r="J63" s="23"/>
      <c r="K63" s="23"/>
      <c r="L63" s="23"/>
      <c r="M63" s="63">
        <v>0</v>
      </c>
      <c r="N63" s="91" t="s">
        <v>75</v>
      </c>
      <c r="O63" s="55" t="s">
        <v>1106</v>
      </c>
      <c r="P63" s="56" t="s">
        <v>504</v>
      </c>
      <c r="Q63" s="56" t="s">
        <v>1273</v>
      </c>
      <c r="R63" s="25" t="s">
        <v>1776</v>
      </c>
      <c r="S63" s="64" t="s">
        <v>1777</v>
      </c>
      <c r="T63" s="65">
        <v>1</v>
      </c>
      <c r="U63" s="35" t="s">
        <v>75</v>
      </c>
      <c r="V63" s="29" t="s">
        <v>1776</v>
      </c>
      <c r="W63" s="69">
        <v>20.82</v>
      </c>
      <c r="X63" s="77">
        <f>rv_pencil</f>
        <v>0.02</v>
      </c>
      <c r="Y63" s="69">
        <f t="shared" si="20"/>
        <v>20.403600000000001</v>
      </c>
      <c r="Z63" s="27"/>
      <c r="AA63" s="23"/>
      <c r="AB63" s="23"/>
      <c r="AC63" s="23"/>
      <c r="AD63" s="63">
        <v>0</v>
      </c>
      <c r="AE63" s="91" t="s">
        <v>75</v>
      </c>
      <c r="AF63" s="55" t="s">
        <v>1106</v>
      </c>
      <c r="AG63" s="14" t="s">
        <v>1778</v>
      </c>
      <c r="AH63" s="14" t="s">
        <v>1779</v>
      </c>
    </row>
    <row r="64" spans="1:34" s="1" customFormat="1" ht="21" customHeight="1">
      <c r="A64" s="160" t="s">
        <v>1780</v>
      </c>
      <c r="C64" s="65"/>
      <c r="D64" s="35"/>
      <c r="E64" s="27"/>
      <c r="F64" s="27"/>
      <c r="G64" s="40"/>
      <c r="H64" s="27"/>
      <c r="I64" s="27"/>
      <c r="J64" s="23"/>
      <c r="K64" s="23"/>
      <c r="L64" s="23"/>
      <c r="M64" s="63"/>
      <c r="N64" s="91"/>
      <c r="O64" s="55"/>
      <c r="P64" s="14"/>
      <c r="Q64" s="14"/>
      <c r="R64" s="160" t="s">
        <v>1780</v>
      </c>
      <c r="T64" s="65"/>
      <c r="U64" s="35"/>
      <c r="V64" s="27"/>
      <c r="W64" s="27"/>
      <c r="X64" s="40"/>
      <c r="Y64" s="27"/>
      <c r="Z64" s="27"/>
      <c r="AA64" s="23"/>
      <c r="AB64" s="23"/>
      <c r="AC64" s="23"/>
      <c r="AD64" s="63"/>
      <c r="AE64" s="91"/>
      <c r="AF64" s="55"/>
      <c r="AG64" s="14"/>
      <c r="AH64" s="14"/>
    </row>
    <row r="65" spans="1:34" s="1" customFormat="1">
      <c r="A65" s="25" t="s">
        <v>1781</v>
      </c>
      <c r="B65" s="64" t="s">
        <v>1782</v>
      </c>
      <c r="C65" s="65">
        <v>1</v>
      </c>
      <c r="D65" s="35" t="s">
        <v>75</v>
      </c>
      <c r="E65" s="29" t="s">
        <v>1781</v>
      </c>
      <c r="F65" s="69">
        <v>20.81</v>
      </c>
      <c r="G65" s="22">
        <f t="shared" ref="G65:G69" si="21">rv_apple_acc_ipad</f>
        <v>0.15</v>
      </c>
      <c r="H65" s="69">
        <f t="shared" ref="H65:H87" si="22">F65-(F65*G65)</f>
        <v>17.688499999999998</v>
      </c>
      <c r="I65" s="27"/>
      <c r="J65" s="23"/>
      <c r="K65" s="23"/>
      <c r="L65" s="23"/>
      <c r="M65" s="63">
        <v>0.02</v>
      </c>
      <c r="N65" s="91" t="s">
        <v>75</v>
      </c>
      <c r="O65" s="55" t="s">
        <v>1106</v>
      </c>
      <c r="P65" s="56" t="s">
        <v>504</v>
      </c>
      <c r="Q65" s="56" t="s">
        <v>1273</v>
      </c>
      <c r="R65" s="25" t="s">
        <v>1781</v>
      </c>
      <c r="S65" s="64" t="s">
        <v>1782</v>
      </c>
      <c r="T65" s="65">
        <v>1</v>
      </c>
      <c r="U65" s="35" t="s">
        <v>75</v>
      </c>
      <c r="V65" s="29" t="s">
        <v>1781</v>
      </c>
      <c r="W65" s="69">
        <v>20.81</v>
      </c>
      <c r="X65" s="22">
        <f t="shared" ref="X65:X69" si="23">rv_apple_acc_ipad</f>
        <v>0.15</v>
      </c>
      <c r="Y65" s="69">
        <f t="shared" ref="Y65:Y87" si="24">W65-(W65*X65)</f>
        <v>17.688499999999998</v>
      </c>
      <c r="Z65" s="27"/>
      <c r="AA65" s="23"/>
      <c r="AB65" s="23"/>
      <c r="AC65" s="23"/>
      <c r="AD65" s="63">
        <v>0.02</v>
      </c>
      <c r="AE65" s="91" t="s">
        <v>75</v>
      </c>
      <c r="AF65" s="55" t="s">
        <v>1106</v>
      </c>
      <c r="AG65" s="14" t="s">
        <v>1680</v>
      </c>
      <c r="AH65" s="14" t="s">
        <v>1681</v>
      </c>
    </row>
    <row r="66" spans="1:34" s="1" customFormat="1">
      <c r="A66" s="25" t="s">
        <v>1783</v>
      </c>
      <c r="B66" s="64" t="s">
        <v>1784</v>
      </c>
      <c r="C66" s="65">
        <v>1</v>
      </c>
      <c r="D66" s="35" t="s">
        <v>75</v>
      </c>
      <c r="E66" s="29" t="s">
        <v>1783</v>
      </c>
      <c r="F66" s="69">
        <v>29.15</v>
      </c>
      <c r="G66" s="22">
        <f t="shared" si="21"/>
        <v>0.15</v>
      </c>
      <c r="H66" s="69">
        <f t="shared" si="22"/>
        <v>24.7775</v>
      </c>
      <c r="I66" s="27"/>
      <c r="J66" s="23"/>
      <c r="K66" s="23"/>
      <c r="L66" s="23"/>
      <c r="M66" s="63">
        <v>0.02</v>
      </c>
      <c r="N66" s="91" t="s">
        <v>75</v>
      </c>
      <c r="O66" s="55" t="s">
        <v>1106</v>
      </c>
      <c r="P66" s="56" t="s">
        <v>504</v>
      </c>
      <c r="Q66" s="56" t="s">
        <v>1273</v>
      </c>
      <c r="R66" s="25" t="s">
        <v>1783</v>
      </c>
      <c r="S66" s="64" t="s">
        <v>1784</v>
      </c>
      <c r="T66" s="65">
        <v>1</v>
      </c>
      <c r="U66" s="35" t="s">
        <v>75</v>
      </c>
      <c r="V66" s="29" t="s">
        <v>1783</v>
      </c>
      <c r="W66" s="69">
        <v>29.15</v>
      </c>
      <c r="X66" s="22">
        <f t="shared" si="23"/>
        <v>0.15</v>
      </c>
      <c r="Y66" s="69">
        <f t="shared" si="24"/>
        <v>24.7775</v>
      </c>
      <c r="Z66" s="27"/>
      <c r="AA66" s="23"/>
      <c r="AB66" s="23"/>
      <c r="AC66" s="23"/>
      <c r="AD66" s="63">
        <v>0.02</v>
      </c>
      <c r="AE66" s="91" t="s">
        <v>75</v>
      </c>
      <c r="AF66" s="55" t="s">
        <v>1106</v>
      </c>
      <c r="AG66" s="14" t="s">
        <v>1680</v>
      </c>
      <c r="AH66" s="14" t="s">
        <v>1681</v>
      </c>
    </row>
    <row r="67" spans="1:34" s="121" customFormat="1">
      <c r="A67" s="113" t="s">
        <v>1785</v>
      </c>
      <c r="B67" s="273" t="s">
        <v>1786</v>
      </c>
      <c r="C67" s="292">
        <v>1</v>
      </c>
      <c r="D67" s="116" t="s">
        <v>75</v>
      </c>
      <c r="E67" s="115" t="s">
        <v>1785</v>
      </c>
      <c r="F67" s="269">
        <v>29.16</v>
      </c>
      <c r="G67" s="138">
        <f t="shared" si="21"/>
        <v>0.15</v>
      </c>
      <c r="H67" s="269">
        <f t="shared" si="22"/>
        <v>24.786000000000001</v>
      </c>
      <c r="I67" s="153"/>
      <c r="J67" s="154"/>
      <c r="K67" s="154"/>
      <c r="L67" s="154"/>
      <c r="M67" s="226">
        <v>0.01</v>
      </c>
      <c r="N67" s="91" t="s">
        <v>75</v>
      </c>
      <c r="O67" s="55" t="s">
        <v>1106</v>
      </c>
      <c r="P67" s="56" t="s">
        <v>504</v>
      </c>
      <c r="Q67" s="56" t="s">
        <v>1273</v>
      </c>
      <c r="R67" s="113" t="s">
        <v>1785</v>
      </c>
      <c r="S67" s="273" t="s">
        <v>1786</v>
      </c>
      <c r="T67" s="292">
        <v>1</v>
      </c>
      <c r="U67" s="116" t="s">
        <v>75</v>
      </c>
      <c r="V67" s="115" t="s">
        <v>1785</v>
      </c>
      <c r="W67" s="269">
        <v>29.16</v>
      </c>
      <c r="X67" s="138">
        <f t="shared" si="23"/>
        <v>0.15</v>
      </c>
      <c r="Y67" s="269">
        <f t="shared" si="24"/>
        <v>24.786000000000001</v>
      </c>
      <c r="Z67" s="153"/>
      <c r="AA67" s="154"/>
      <c r="AB67" s="154"/>
      <c r="AC67" s="154"/>
      <c r="AD67" s="226">
        <v>0.01</v>
      </c>
      <c r="AE67" s="91" t="s">
        <v>75</v>
      </c>
      <c r="AF67" s="55" t="s">
        <v>1106</v>
      </c>
      <c r="AG67" s="56" t="s">
        <v>1680</v>
      </c>
      <c r="AH67" s="56" t="s">
        <v>1681</v>
      </c>
    </row>
    <row r="68" spans="1:34" s="121" customFormat="1">
      <c r="A68" s="113" t="s">
        <v>1787</v>
      </c>
      <c r="B68" s="273" t="s">
        <v>1788</v>
      </c>
      <c r="C68" s="292">
        <v>1</v>
      </c>
      <c r="D68" s="116" t="s">
        <v>75</v>
      </c>
      <c r="E68" s="115" t="s">
        <v>1787</v>
      </c>
      <c r="F68" s="269">
        <v>45.82</v>
      </c>
      <c r="G68" s="138">
        <f t="shared" si="21"/>
        <v>0.15</v>
      </c>
      <c r="H68" s="269">
        <f t="shared" si="22"/>
        <v>38.947000000000003</v>
      </c>
      <c r="I68" s="153"/>
      <c r="J68" s="154"/>
      <c r="K68" s="154"/>
      <c r="L68" s="154"/>
      <c r="M68" s="226">
        <v>0.01</v>
      </c>
      <c r="N68" s="91" t="s">
        <v>75</v>
      </c>
      <c r="O68" s="55" t="s">
        <v>1106</v>
      </c>
      <c r="P68" s="56" t="s">
        <v>504</v>
      </c>
      <c r="Q68" s="56" t="s">
        <v>1273</v>
      </c>
      <c r="R68" s="113" t="s">
        <v>1787</v>
      </c>
      <c r="S68" s="273" t="s">
        <v>1788</v>
      </c>
      <c r="T68" s="292">
        <v>1</v>
      </c>
      <c r="U68" s="116" t="s">
        <v>75</v>
      </c>
      <c r="V68" s="115" t="s">
        <v>1787</v>
      </c>
      <c r="W68" s="269">
        <v>45.82</v>
      </c>
      <c r="X68" s="138">
        <f t="shared" si="23"/>
        <v>0.15</v>
      </c>
      <c r="Y68" s="269">
        <f t="shared" si="24"/>
        <v>38.947000000000003</v>
      </c>
      <c r="Z68" s="153"/>
      <c r="AA68" s="154"/>
      <c r="AB68" s="154"/>
      <c r="AC68" s="154"/>
      <c r="AD68" s="226">
        <v>0.01</v>
      </c>
      <c r="AE68" s="91" t="s">
        <v>75</v>
      </c>
      <c r="AF68" s="55" t="s">
        <v>1106</v>
      </c>
      <c r="AG68" s="56" t="s">
        <v>1680</v>
      </c>
      <c r="AH68" s="56" t="s">
        <v>1681</v>
      </c>
    </row>
    <row r="69" spans="1:34" s="121" customFormat="1">
      <c r="A69" s="113" t="s">
        <v>1789</v>
      </c>
      <c r="B69" s="273" t="s">
        <v>1790</v>
      </c>
      <c r="C69" s="292">
        <v>1</v>
      </c>
      <c r="D69" s="116" t="s">
        <v>75</v>
      </c>
      <c r="E69" s="115" t="s">
        <v>1789</v>
      </c>
      <c r="F69" s="269">
        <v>45.82</v>
      </c>
      <c r="G69" s="138">
        <f t="shared" si="21"/>
        <v>0.15</v>
      </c>
      <c r="H69" s="269">
        <f t="shared" si="22"/>
        <v>38.947000000000003</v>
      </c>
      <c r="I69" s="153"/>
      <c r="J69" s="154"/>
      <c r="K69" s="154"/>
      <c r="L69" s="154"/>
      <c r="M69" s="226">
        <v>0.01</v>
      </c>
      <c r="N69" s="91" t="s">
        <v>75</v>
      </c>
      <c r="O69" s="55" t="s">
        <v>1106</v>
      </c>
      <c r="P69" s="56" t="s">
        <v>504</v>
      </c>
      <c r="Q69" s="56" t="s">
        <v>1273</v>
      </c>
      <c r="R69" s="113" t="s">
        <v>1789</v>
      </c>
      <c r="S69" s="273" t="s">
        <v>1790</v>
      </c>
      <c r="T69" s="292">
        <v>1</v>
      </c>
      <c r="U69" s="116" t="s">
        <v>75</v>
      </c>
      <c r="V69" s="115" t="s">
        <v>1789</v>
      </c>
      <c r="W69" s="269">
        <v>45.82</v>
      </c>
      <c r="X69" s="138">
        <f t="shared" si="23"/>
        <v>0.15</v>
      </c>
      <c r="Y69" s="269">
        <f t="shared" si="24"/>
        <v>38.947000000000003</v>
      </c>
      <c r="Z69" s="153"/>
      <c r="AA69" s="154"/>
      <c r="AB69" s="154"/>
      <c r="AC69" s="154"/>
      <c r="AD69" s="226">
        <v>0.01</v>
      </c>
      <c r="AE69" s="91" t="s">
        <v>75</v>
      </c>
      <c r="AF69" s="55" t="s">
        <v>1106</v>
      </c>
      <c r="AG69" s="56" t="s">
        <v>1680</v>
      </c>
      <c r="AH69" s="56" t="s">
        <v>1681</v>
      </c>
    </row>
    <row r="70" spans="1:34" s="121" customFormat="1">
      <c r="A70" s="113" t="s">
        <v>1791</v>
      </c>
      <c r="B70" s="273" t="s">
        <v>1792</v>
      </c>
      <c r="C70" s="292">
        <v>1</v>
      </c>
      <c r="D70" s="116" t="s">
        <v>75</v>
      </c>
      <c r="E70" s="115" t="s">
        <v>1791</v>
      </c>
      <c r="F70" s="269">
        <v>37.479999999999997</v>
      </c>
      <c r="G70" s="138">
        <f>rv_apple_acc_mac</f>
        <v>0.09</v>
      </c>
      <c r="H70" s="269">
        <f t="shared" si="22"/>
        <v>34.1068</v>
      </c>
      <c r="I70" s="153"/>
      <c r="J70" s="154"/>
      <c r="K70" s="154"/>
      <c r="L70" s="154"/>
      <c r="M70" s="226">
        <v>0.02</v>
      </c>
      <c r="N70" s="91" t="s">
        <v>75</v>
      </c>
      <c r="O70" s="55" t="s">
        <v>1106</v>
      </c>
      <c r="P70" s="56" t="s">
        <v>504</v>
      </c>
      <c r="Q70" s="56" t="s">
        <v>1273</v>
      </c>
      <c r="R70" s="113" t="s">
        <v>1791</v>
      </c>
      <c r="S70" s="273" t="s">
        <v>1792</v>
      </c>
      <c r="T70" s="292">
        <v>1</v>
      </c>
      <c r="U70" s="116" t="s">
        <v>75</v>
      </c>
      <c r="V70" s="115" t="s">
        <v>1791</v>
      </c>
      <c r="W70" s="269">
        <v>37.479999999999997</v>
      </c>
      <c r="X70" s="138">
        <f>rv_apple_acc_mac</f>
        <v>0.09</v>
      </c>
      <c r="Y70" s="269">
        <f t="shared" si="24"/>
        <v>34.1068</v>
      </c>
      <c r="Z70" s="153"/>
      <c r="AA70" s="154"/>
      <c r="AB70" s="154"/>
      <c r="AC70" s="154"/>
      <c r="AD70" s="226">
        <v>0.02</v>
      </c>
      <c r="AE70" s="91" t="s">
        <v>75</v>
      </c>
      <c r="AF70" s="55" t="s">
        <v>1106</v>
      </c>
      <c r="AG70" s="56" t="s">
        <v>1274</v>
      </c>
      <c r="AH70" s="56" t="s">
        <v>1275</v>
      </c>
    </row>
    <row r="71" spans="1:34" s="121" customFormat="1">
      <c r="A71" s="113" t="s">
        <v>1793</v>
      </c>
      <c r="B71" s="273" t="s">
        <v>1794</v>
      </c>
      <c r="C71" s="292">
        <v>1</v>
      </c>
      <c r="D71" s="116" t="s">
        <v>75</v>
      </c>
      <c r="E71" s="115" t="s">
        <v>1793</v>
      </c>
      <c r="F71" s="269">
        <v>29.15</v>
      </c>
      <c r="G71" s="138">
        <f>rv_apple_acc_mac</f>
        <v>0.09</v>
      </c>
      <c r="H71" s="269">
        <f t="shared" si="22"/>
        <v>26.526499999999999</v>
      </c>
      <c r="I71" s="153"/>
      <c r="J71" s="154"/>
      <c r="K71" s="154"/>
      <c r="L71" s="154"/>
      <c r="M71" s="226">
        <v>0.02</v>
      </c>
      <c r="N71" s="91" t="s">
        <v>75</v>
      </c>
      <c r="O71" s="55" t="s">
        <v>1106</v>
      </c>
      <c r="P71" s="56" t="s">
        <v>504</v>
      </c>
      <c r="Q71" s="56" t="s">
        <v>1273</v>
      </c>
      <c r="R71" s="113" t="s">
        <v>1793</v>
      </c>
      <c r="S71" s="273" t="s">
        <v>1794</v>
      </c>
      <c r="T71" s="292">
        <v>1</v>
      </c>
      <c r="U71" s="116" t="s">
        <v>75</v>
      </c>
      <c r="V71" s="115" t="s">
        <v>1793</v>
      </c>
      <c r="W71" s="269">
        <v>29.15</v>
      </c>
      <c r="X71" s="138">
        <f>rv_apple_acc_mac</f>
        <v>0.09</v>
      </c>
      <c r="Y71" s="269">
        <f t="shared" si="24"/>
        <v>26.526499999999999</v>
      </c>
      <c r="Z71" s="153"/>
      <c r="AA71" s="154"/>
      <c r="AB71" s="154"/>
      <c r="AC71" s="154"/>
      <c r="AD71" s="226">
        <v>0.02</v>
      </c>
      <c r="AE71" s="91" t="s">
        <v>75</v>
      </c>
      <c r="AF71" s="55" t="s">
        <v>1106</v>
      </c>
      <c r="AG71" s="56" t="s">
        <v>1274</v>
      </c>
      <c r="AH71" s="56" t="s">
        <v>1275</v>
      </c>
    </row>
    <row r="72" spans="1:34" s="121" customFormat="1">
      <c r="A72" s="113" t="s">
        <v>1795</v>
      </c>
      <c r="B72" s="273" t="s">
        <v>1796</v>
      </c>
      <c r="C72" s="292">
        <v>1</v>
      </c>
      <c r="D72" s="116" t="s">
        <v>75</v>
      </c>
      <c r="E72" s="115" t="s">
        <v>1795</v>
      </c>
      <c r="F72" s="269">
        <v>20.82</v>
      </c>
      <c r="G72" s="138">
        <f>rv_apple_acc_ipad</f>
        <v>0.15</v>
      </c>
      <c r="H72" s="269">
        <f t="shared" si="22"/>
        <v>17.696999999999999</v>
      </c>
      <c r="I72" s="153"/>
      <c r="J72" s="154"/>
      <c r="K72" s="154"/>
      <c r="L72" s="154"/>
      <c r="M72" s="226">
        <v>0.01</v>
      </c>
      <c r="N72" s="91" t="s">
        <v>75</v>
      </c>
      <c r="O72" s="55" t="s">
        <v>1106</v>
      </c>
      <c r="P72" s="56" t="s">
        <v>504</v>
      </c>
      <c r="Q72" s="56" t="s">
        <v>1273</v>
      </c>
      <c r="R72" s="113" t="s">
        <v>1795</v>
      </c>
      <c r="S72" s="273" t="s">
        <v>1796</v>
      </c>
      <c r="T72" s="292">
        <v>1</v>
      </c>
      <c r="U72" s="116" t="s">
        <v>75</v>
      </c>
      <c r="V72" s="115" t="s">
        <v>1795</v>
      </c>
      <c r="W72" s="269">
        <v>20.82</v>
      </c>
      <c r="X72" s="138">
        <f>rv_apple_acc_ipad</f>
        <v>0.15</v>
      </c>
      <c r="Y72" s="269">
        <f t="shared" si="24"/>
        <v>17.696999999999999</v>
      </c>
      <c r="Z72" s="153"/>
      <c r="AA72" s="154"/>
      <c r="AB72" s="154"/>
      <c r="AC72" s="154"/>
      <c r="AD72" s="226">
        <v>0.01</v>
      </c>
      <c r="AE72" s="91" t="s">
        <v>75</v>
      </c>
      <c r="AF72" s="55" t="s">
        <v>1106</v>
      </c>
      <c r="AG72" s="56" t="s">
        <v>1680</v>
      </c>
      <c r="AH72" s="56" t="s">
        <v>1681</v>
      </c>
    </row>
    <row r="73" spans="1:34" s="121" customFormat="1">
      <c r="A73" s="113" t="s">
        <v>1797</v>
      </c>
      <c r="B73" s="273" t="s">
        <v>1798</v>
      </c>
      <c r="C73" s="292">
        <v>1</v>
      </c>
      <c r="D73" s="116" t="s">
        <v>75</v>
      </c>
      <c r="E73" s="115" t="s">
        <v>1797</v>
      </c>
      <c r="F73" s="269">
        <v>20.82</v>
      </c>
      <c r="G73" s="138">
        <f>rv_apple_acc_mac</f>
        <v>0.09</v>
      </c>
      <c r="H73" s="269">
        <f t="shared" si="22"/>
        <v>18.946200000000001</v>
      </c>
      <c r="I73" s="153"/>
      <c r="J73" s="154"/>
      <c r="K73" s="154"/>
      <c r="L73" s="154"/>
      <c r="M73" s="226">
        <v>0.01</v>
      </c>
      <c r="N73" s="91" t="s">
        <v>75</v>
      </c>
      <c r="O73" s="55" t="s">
        <v>1106</v>
      </c>
      <c r="P73" s="56" t="s">
        <v>504</v>
      </c>
      <c r="Q73" s="56" t="s">
        <v>1273</v>
      </c>
      <c r="R73" s="113" t="s">
        <v>1797</v>
      </c>
      <c r="S73" s="273" t="s">
        <v>1798</v>
      </c>
      <c r="T73" s="292">
        <v>1</v>
      </c>
      <c r="U73" s="116" t="s">
        <v>75</v>
      </c>
      <c r="V73" s="115" t="s">
        <v>1797</v>
      </c>
      <c r="W73" s="269">
        <v>20.82</v>
      </c>
      <c r="X73" s="138">
        <f>rv_apple_acc_mac</f>
        <v>0.09</v>
      </c>
      <c r="Y73" s="269">
        <f t="shared" si="24"/>
        <v>18.946200000000001</v>
      </c>
      <c r="Z73" s="153"/>
      <c r="AA73" s="154"/>
      <c r="AB73" s="154"/>
      <c r="AC73" s="154"/>
      <c r="AD73" s="226">
        <v>0.01</v>
      </c>
      <c r="AE73" s="91" t="s">
        <v>75</v>
      </c>
      <c r="AF73" s="55" t="s">
        <v>1106</v>
      </c>
      <c r="AG73" s="56" t="s">
        <v>1680</v>
      </c>
      <c r="AH73" s="56" t="s">
        <v>1681</v>
      </c>
    </row>
    <row r="74" spans="1:34" s="121" customFormat="1">
      <c r="A74" s="113" t="s">
        <v>1799</v>
      </c>
      <c r="B74" s="273" t="s">
        <v>1800</v>
      </c>
      <c r="C74" s="292">
        <v>1</v>
      </c>
      <c r="D74" s="293" t="s">
        <v>75</v>
      </c>
      <c r="E74" s="300" t="s">
        <v>1799</v>
      </c>
      <c r="F74" s="226">
        <v>8.32</v>
      </c>
      <c r="G74" s="138">
        <f>rv_apple_acc_ipad</f>
        <v>0.15</v>
      </c>
      <c r="H74" s="269">
        <f t="shared" si="22"/>
        <v>7.0720000000000001</v>
      </c>
      <c r="I74" s="153"/>
      <c r="J74" s="154"/>
      <c r="K74" s="154"/>
      <c r="L74" s="154"/>
      <c r="M74" s="226">
        <v>0.01</v>
      </c>
      <c r="N74" s="91" t="s">
        <v>75</v>
      </c>
      <c r="O74" s="55" t="s">
        <v>1106</v>
      </c>
      <c r="P74" s="56" t="s">
        <v>504</v>
      </c>
      <c r="Q74" s="56" t="s">
        <v>1273</v>
      </c>
      <c r="R74" s="113" t="s">
        <v>1799</v>
      </c>
      <c r="S74" s="273" t="s">
        <v>1800</v>
      </c>
      <c r="T74" s="292">
        <v>1</v>
      </c>
      <c r="U74" s="293" t="s">
        <v>75</v>
      </c>
      <c r="V74" s="300" t="s">
        <v>1799</v>
      </c>
      <c r="W74" s="226">
        <v>8.32</v>
      </c>
      <c r="X74" s="138">
        <f>rv_apple_acc_ipad</f>
        <v>0.15</v>
      </c>
      <c r="Y74" s="269">
        <f t="shared" si="24"/>
        <v>7.0720000000000001</v>
      </c>
      <c r="Z74" s="153"/>
      <c r="AA74" s="154"/>
      <c r="AB74" s="154"/>
      <c r="AC74" s="154"/>
      <c r="AD74" s="226">
        <v>0.01</v>
      </c>
      <c r="AE74" s="91" t="s">
        <v>75</v>
      </c>
      <c r="AF74" s="55" t="s">
        <v>1106</v>
      </c>
      <c r="AG74" s="56" t="s">
        <v>1680</v>
      </c>
      <c r="AH74" s="56" t="s">
        <v>1681</v>
      </c>
    </row>
    <row r="75" spans="1:34" s="121" customFormat="1">
      <c r="A75" s="113" t="s">
        <v>1801</v>
      </c>
      <c r="B75" s="273" t="s">
        <v>1802</v>
      </c>
      <c r="C75" s="292">
        <v>1</v>
      </c>
      <c r="D75" s="116" t="s">
        <v>75</v>
      </c>
      <c r="E75" s="115" t="s">
        <v>1801</v>
      </c>
      <c r="F75" s="269">
        <v>65.81</v>
      </c>
      <c r="G75" s="138">
        <f>rv_apple_acc_mac</f>
        <v>0.09</v>
      </c>
      <c r="H75" s="269">
        <f t="shared" si="22"/>
        <v>59.887100000000004</v>
      </c>
      <c r="I75" s="153"/>
      <c r="J75" s="154"/>
      <c r="K75" s="154"/>
      <c r="L75" s="154"/>
      <c r="M75" s="226">
        <v>0.02</v>
      </c>
      <c r="N75" s="91" t="s">
        <v>75</v>
      </c>
      <c r="O75" s="55" t="s">
        <v>1106</v>
      </c>
      <c r="P75" s="56" t="s">
        <v>504</v>
      </c>
      <c r="Q75" s="56" t="s">
        <v>1273</v>
      </c>
      <c r="R75" s="113" t="s">
        <v>1801</v>
      </c>
      <c r="S75" s="273" t="s">
        <v>1802</v>
      </c>
      <c r="T75" s="292">
        <v>1</v>
      </c>
      <c r="U75" s="116" t="s">
        <v>75</v>
      </c>
      <c r="V75" s="115" t="s">
        <v>1801</v>
      </c>
      <c r="W75" s="269">
        <v>65.81</v>
      </c>
      <c r="X75" s="138">
        <f>rv_apple_acc_mac</f>
        <v>0.09</v>
      </c>
      <c r="Y75" s="269">
        <f t="shared" si="24"/>
        <v>59.887100000000004</v>
      </c>
      <c r="Z75" s="153"/>
      <c r="AA75" s="154"/>
      <c r="AB75" s="154"/>
      <c r="AC75" s="154"/>
      <c r="AD75" s="226">
        <v>0.02</v>
      </c>
      <c r="AE75" s="91" t="s">
        <v>75</v>
      </c>
      <c r="AF75" s="55" t="s">
        <v>1106</v>
      </c>
      <c r="AG75" s="56" t="s">
        <v>1274</v>
      </c>
      <c r="AH75" s="56" t="s">
        <v>1275</v>
      </c>
    </row>
    <row r="76" spans="1:34" s="121" customFormat="1">
      <c r="A76" s="113" t="s">
        <v>1803</v>
      </c>
      <c r="B76" s="273" t="s">
        <v>1804</v>
      </c>
      <c r="C76" s="292">
        <v>1</v>
      </c>
      <c r="D76" s="116" t="s">
        <v>75</v>
      </c>
      <c r="E76" s="115" t="s">
        <v>1803</v>
      </c>
      <c r="F76" s="269">
        <v>65.81</v>
      </c>
      <c r="G76" s="138">
        <f>rv_apple_acc_mac</f>
        <v>0.09</v>
      </c>
      <c r="H76" s="269">
        <f t="shared" si="22"/>
        <v>59.887100000000004</v>
      </c>
      <c r="I76" s="153"/>
      <c r="J76" s="154"/>
      <c r="K76" s="154"/>
      <c r="L76" s="154"/>
      <c r="M76" s="226">
        <v>0.02</v>
      </c>
      <c r="N76" s="91" t="s">
        <v>75</v>
      </c>
      <c r="O76" s="55" t="s">
        <v>1106</v>
      </c>
      <c r="P76" s="56" t="s">
        <v>504</v>
      </c>
      <c r="Q76" s="56" t="s">
        <v>1273</v>
      </c>
      <c r="R76" s="113" t="s">
        <v>1803</v>
      </c>
      <c r="S76" s="273" t="s">
        <v>1804</v>
      </c>
      <c r="T76" s="292">
        <v>1</v>
      </c>
      <c r="U76" s="116" t="s">
        <v>75</v>
      </c>
      <c r="V76" s="115" t="s">
        <v>1803</v>
      </c>
      <c r="W76" s="269">
        <v>65.81</v>
      </c>
      <c r="X76" s="138">
        <f>rv_apple_acc_mac</f>
        <v>0.09</v>
      </c>
      <c r="Y76" s="269">
        <f t="shared" si="24"/>
        <v>59.887100000000004</v>
      </c>
      <c r="Z76" s="153"/>
      <c r="AA76" s="154"/>
      <c r="AB76" s="154"/>
      <c r="AC76" s="154"/>
      <c r="AD76" s="226">
        <v>0.02</v>
      </c>
      <c r="AE76" s="91" t="s">
        <v>75</v>
      </c>
      <c r="AF76" s="55" t="s">
        <v>1106</v>
      </c>
      <c r="AG76" s="56" t="s">
        <v>1274</v>
      </c>
      <c r="AH76" s="56" t="s">
        <v>1275</v>
      </c>
    </row>
    <row r="77" spans="1:34" s="1" customFormat="1">
      <c r="A77" s="25" t="s">
        <v>1805</v>
      </c>
      <c r="B77" s="64" t="s">
        <v>1806</v>
      </c>
      <c r="C77" s="65">
        <v>1</v>
      </c>
      <c r="D77" s="35" t="s">
        <v>75</v>
      </c>
      <c r="E77" s="29" t="s">
        <v>1805</v>
      </c>
      <c r="F77" s="69">
        <v>29.15</v>
      </c>
      <c r="G77" s="22">
        <f>rv_apple_acc_ipad</f>
        <v>0.15</v>
      </c>
      <c r="H77" s="69">
        <f t="shared" si="22"/>
        <v>24.7775</v>
      </c>
      <c r="I77" s="27"/>
      <c r="J77" s="23"/>
      <c r="K77" s="23"/>
      <c r="L77" s="23"/>
      <c r="M77" s="63">
        <v>0.02</v>
      </c>
      <c r="N77" s="91" t="s">
        <v>75</v>
      </c>
      <c r="O77" s="55" t="s">
        <v>1106</v>
      </c>
      <c r="P77" s="56" t="s">
        <v>504</v>
      </c>
      <c r="Q77" s="56" t="s">
        <v>1273</v>
      </c>
      <c r="R77" s="25" t="s">
        <v>1805</v>
      </c>
      <c r="S77" s="64" t="s">
        <v>1806</v>
      </c>
      <c r="T77" s="65">
        <v>1</v>
      </c>
      <c r="U77" s="35" t="s">
        <v>75</v>
      </c>
      <c r="V77" s="29" t="s">
        <v>1805</v>
      </c>
      <c r="W77" s="69">
        <v>29.15</v>
      </c>
      <c r="X77" s="22">
        <f>rv_apple_acc_ipad</f>
        <v>0.15</v>
      </c>
      <c r="Y77" s="69">
        <f t="shared" si="24"/>
        <v>24.7775</v>
      </c>
      <c r="Z77" s="27"/>
      <c r="AA77" s="23"/>
      <c r="AB77" s="23"/>
      <c r="AC77" s="23"/>
      <c r="AD77" s="63">
        <v>0.02</v>
      </c>
      <c r="AE77" s="91" t="s">
        <v>75</v>
      </c>
      <c r="AF77" s="55" t="s">
        <v>1106</v>
      </c>
      <c r="AG77" s="14" t="s">
        <v>1680</v>
      </c>
      <c r="AH77" s="14" t="s">
        <v>1681</v>
      </c>
    </row>
    <row r="78" spans="1:34" s="1" customFormat="1">
      <c r="A78" s="25" t="s">
        <v>1807</v>
      </c>
      <c r="B78" s="64" t="s">
        <v>1808</v>
      </c>
      <c r="C78" s="65">
        <v>1</v>
      </c>
      <c r="D78" s="35" t="s">
        <v>75</v>
      </c>
      <c r="E78" s="29" t="s">
        <v>1807</v>
      </c>
      <c r="F78" s="69">
        <v>37.479999999999997</v>
      </c>
      <c r="G78" s="22">
        <f>rv_apple_acc_ipad</f>
        <v>0.15</v>
      </c>
      <c r="H78" s="69">
        <f t="shared" si="22"/>
        <v>31.857999999999997</v>
      </c>
      <c r="I78" s="27"/>
      <c r="J78" s="23"/>
      <c r="K78" s="23"/>
      <c r="L78" s="23"/>
      <c r="M78" s="63">
        <v>0.02</v>
      </c>
      <c r="N78" s="91" t="s">
        <v>75</v>
      </c>
      <c r="O78" s="55" t="s">
        <v>1106</v>
      </c>
      <c r="P78" s="56" t="s">
        <v>504</v>
      </c>
      <c r="Q78" s="56" t="s">
        <v>1273</v>
      </c>
      <c r="R78" s="25" t="s">
        <v>1807</v>
      </c>
      <c r="S78" s="64" t="s">
        <v>1808</v>
      </c>
      <c r="T78" s="65">
        <v>1</v>
      </c>
      <c r="U78" s="35" t="s">
        <v>75</v>
      </c>
      <c r="V78" s="29" t="s">
        <v>1807</v>
      </c>
      <c r="W78" s="69">
        <v>37.479999999999997</v>
      </c>
      <c r="X78" s="22">
        <f>rv_apple_acc_ipad</f>
        <v>0.15</v>
      </c>
      <c r="Y78" s="69">
        <f t="shared" si="24"/>
        <v>31.857999999999997</v>
      </c>
      <c r="Z78" s="27"/>
      <c r="AA78" s="23"/>
      <c r="AB78" s="23"/>
      <c r="AC78" s="23"/>
      <c r="AD78" s="63">
        <v>0.02</v>
      </c>
      <c r="AE78" s="91" t="s">
        <v>75</v>
      </c>
      <c r="AF78" s="55" t="s">
        <v>1106</v>
      </c>
      <c r="AG78" s="14" t="s">
        <v>1680</v>
      </c>
      <c r="AH78" s="14" t="s">
        <v>1681</v>
      </c>
    </row>
    <row r="79" spans="1:34" s="1" customFormat="1">
      <c r="A79" s="25"/>
      <c r="B79" s="64"/>
      <c r="C79" s="65"/>
      <c r="D79" s="35"/>
      <c r="E79" s="29"/>
      <c r="F79" s="69"/>
      <c r="G79" s="22"/>
      <c r="H79" s="69"/>
      <c r="I79" s="27"/>
      <c r="J79" s="23"/>
      <c r="K79" s="23"/>
      <c r="L79" s="23"/>
      <c r="M79" s="63"/>
      <c r="N79" s="91"/>
      <c r="O79" s="55"/>
      <c r="P79" s="56"/>
      <c r="Q79" s="56"/>
      <c r="R79" s="25" t="s">
        <v>1809</v>
      </c>
      <c r="S79" s="64" t="s">
        <v>1810</v>
      </c>
      <c r="T79" s="65">
        <v>1</v>
      </c>
      <c r="U79" s="35" t="s">
        <v>75</v>
      </c>
      <c r="V79" s="29" t="s">
        <v>1809</v>
      </c>
      <c r="W79" s="69">
        <v>20.81</v>
      </c>
      <c r="X79" s="22">
        <f>rv_apple_acc_ipad</f>
        <v>0.15</v>
      </c>
      <c r="Y79" s="69">
        <f t="shared" si="24"/>
        <v>17.688499999999998</v>
      </c>
      <c r="Z79" s="27"/>
      <c r="AA79" s="23"/>
      <c r="AB79" s="23"/>
      <c r="AC79" s="23"/>
      <c r="AD79" s="63">
        <v>0.02</v>
      </c>
      <c r="AE79" s="91" t="s">
        <v>75</v>
      </c>
      <c r="AF79" s="55" t="s">
        <v>1106</v>
      </c>
      <c r="AG79" s="14" t="s">
        <v>1680</v>
      </c>
      <c r="AH79" s="14" t="s">
        <v>1681</v>
      </c>
    </row>
    <row r="80" spans="1:34" s="121" customFormat="1">
      <c r="A80" s="113" t="s">
        <v>1811</v>
      </c>
      <c r="B80" s="273" t="s">
        <v>1812</v>
      </c>
      <c r="C80" s="292">
        <v>1</v>
      </c>
      <c r="D80" s="293" t="s">
        <v>75</v>
      </c>
      <c r="E80" s="300" t="s">
        <v>1811</v>
      </c>
      <c r="F80" s="71">
        <v>29.16</v>
      </c>
      <c r="G80" s="138">
        <f>rv_apple_acc_ipad</f>
        <v>0.15</v>
      </c>
      <c r="H80" s="269">
        <f t="shared" si="22"/>
        <v>24.786000000000001</v>
      </c>
      <c r="I80" s="153"/>
      <c r="J80" s="154"/>
      <c r="K80" s="154"/>
      <c r="L80" s="154"/>
      <c r="M80" s="63">
        <v>0.01</v>
      </c>
      <c r="N80" s="91" t="s">
        <v>75</v>
      </c>
      <c r="O80" s="55" t="s">
        <v>1106</v>
      </c>
      <c r="P80" s="56" t="s">
        <v>504</v>
      </c>
      <c r="Q80" s="56" t="s">
        <v>1273</v>
      </c>
      <c r="R80" s="113" t="s">
        <v>1811</v>
      </c>
      <c r="S80" s="273" t="s">
        <v>1812</v>
      </c>
      <c r="T80" s="292">
        <v>1</v>
      </c>
      <c r="U80" s="293" t="s">
        <v>75</v>
      </c>
      <c r="V80" s="300" t="s">
        <v>1811</v>
      </c>
      <c r="W80" s="71">
        <v>29.16</v>
      </c>
      <c r="X80" s="138">
        <f>rv_apple_acc_ipad</f>
        <v>0.15</v>
      </c>
      <c r="Y80" s="269">
        <f t="shared" si="24"/>
        <v>24.786000000000001</v>
      </c>
      <c r="Z80" s="153"/>
      <c r="AA80" s="154"/>
      <c r="AB80" s="154"/>
      <c r="AC80" s="154"/>
      <c r="AD80" s="63">
        <v>0.01</v>
      </c>
      <c r="AE80" s="91" t="s">
        <v>75</v>
      </c>
      <c r="AF80" s="55" t="s">
        <v>1106</v>
      </c>
      <c r="AG80" s="56" t="s">
        <v>1680</v>
      </c>
      <c r="AH80" s="56" t="s">
        <v>1681</v>
      </c>
    </row>
    <row r="81" spans="1:34" s="1" customFormat="1">
      <c r="A81" s="25" t="s">
        <v>1813</v>
      </c>
      <c r="B81" s="64" t="s">
        <v>1814</v>
      </c>
      <c r="C81" s="65">
        <v>1</v>
      </c>
      <c r="D81" s="35" t="s">
        <v>75</v>
      </c>
      <c r="E81" s="29" t="s">
        <v>1813</v>
      </c>
      <c r="F81" s="69">
        <v>37.49</v>
      </c>
      <c r="G81" s="22">
        <f t="shared" ref="G81:G87" si="25">rv_apple_acc_mac</f>
        <v>0.09</v>
      </c>
      <c r="H81" s="69">
        <f t="shared" si="22"/>
        <v>34.115900000000003</v>
      </c>
      <c r="I81" s="27"/>
      <c r="J81" s="23"/>
      <c r="K81" s="23"/>
      <c r="L81" s="23"/>
      <c r="M81" s="63">
        <v>0.01</v>
      </c>
      <c r="N81" s="91" t="s">
        <v>75</v>
      </c>
      <c r="O81" s="55" t="s">
        <v>1106</v>
      </c>
      <c r="P81" s="56" t="s">
        <v>504</v>
      </c>
      <c r="Q81" s="56" t="s">
        <v>1273</v>
      </c>
      <c r="R81" s="25" t="s">
        <v>1813</v>
      </c>
      <c r="S81" s="64" t="s">
        <v>1814</v>
      </c>
      <c r="T81" s="65">
        <v>1</v>
      </c>
      <c r="U81" s="35" t="s">
        <v>75</v>
      </c>
      <c r="V81" s="29" t="s">
        <v>1813</v>
      </c>
      <c r="W81" s="69">
        <v>37.49</v>
      </c>
      <c r="X81" s="22">
        <f t="shared" ref="X81:X87" si="26">rv_apple_acc_mac</f>
        <v>0.09</v>
      </c>
      <c r="Y81" s="69">
        <f t="shared" si="24"/>
        <v>34.115900000000003</v>
      </c>
      <c r="Z81" s="27"/>
      <c r="AA81" s="23"/>
      <c r="AB81" s="23"/>
      <c r="AC81" s="23"/>
      <c r="AD81" s="63">
        <v>0.01</v>
      </c>
      <c r="AE81" s="91" t="s">
        <v>75</v>
      </c>
      <c r="AF81" s="55" t="s">
        <v>1106</v>
      </c>
      <c r="AG81" s="14" t="s">
        <v>1274</v>
      </c>
      <c r="AH81" s="14" t="s">
        <v>1275</v>
      </c>
    </row>
    <row r="82" spans="1:34" s="121" customFormat="1">
      <c r="A82" s="113" t="s">
        <v>1815</v>
      </c>
      <c r="B82" s="273" t="s">
        <v>1816</v>
      </c>
      <c r="C82" s="292">
        <v>1</v>
      </c>
      <c r="D82" s="116" t="s">
        <v>75</v>
      </c>
      <c r="E82" s="115" t="s">
        <v>1815</v>
      </c>
      <c r="F82" s="269">
        <v>45.81</v>
      </c>
      <c r="G82" s="138">
        <f t="shared" si="25"/>
        <v>0.09</v>
      </c>
      <c r="H82" s="269">
        <f t="shared" si="22"/>
        <v>41.687100000000001</v>
      </c>
      <c r="I82" s="153"/>
      <c r="J82" s="154"/>
      <c r="K82" s="154"/>
      <c r="L82" s="154"/>
      <c r="M82" s="226">
        <v>0.02</v>
      </c>
      <c r="N82" s="91" t="s">
        <v>75</v>
      </c>
      <c r="O82" s="55" t="s">
        <v>1106</v>
      </c>
      <c r="P82" s="56" t="s">
        <v>504</v>
      </c>
      <c r="Q82" s="56" t="s">
        <v>1273</v>
      </c>
      <c r="R82" s="113" t="s">
        <v>1815</v>
      </c>
      <c r="S82" s="273" t="s">
        <v>1816</v>
      </c>
      <c r="T82" s="292">
        <v>1</v>
      </c>
      <c r="U82" s="116" t="s">
        <v>75</v>
      </c>
      <c r="V82" s="115" t="s">
        <v>1815</v>
      </c>
      <c r="W82" s="269">
        <v>45.81</v>
      </c>
      <c r="X82" s="138">
        <f t="shared" si="26"/>
        <v>0.09</v>
      </c>
      <c r="Y82" s="269">
        <f t="shared" si="24"/>
        <v>41.687100000000001</v>
      </c>
      <c r="Z82" s="153"/>
      <c r="AA82" s="154"/>
      <c r="AB82" s="154"/>
      <c r="AC82" s="154"/>
      <c r="AD82" s="226">
        <v>0.02</v>
      </c>
      <c r="AE82" s="91" t="s">
        <v>75</v>
      </c>
      <c r="AF82" s="55" t="s">
        <v>1106</v>
      </c>
      <c r="AG82" s="56" t="s">
        <v>1274</v>
      </c>
      <c r="AH82" s="56" t="s">
        <v>1275</v>
      </c>
    </row>
    <row r="83" spans="1:34" s="121" customFormat="1">
      <c r="A83" s="113" t="s">
        <v>1817</v>
      </c>
      <c r="B83" s="273" t="s">
        <v>1802</v>
      </c>
      <c r="C83" s="292">
        <v>1</v>
      </c>
      <c r="D83" s="293" t="s">
        <v>75</v>
      </c>
      <c r="E83" s="115" t="s">
        <v>1817</v>
      </c>
      <c r="F83" s="57">
        <v>65.81</v>
      </c>
      <c r="G83" s="138">
        <f t="shared" si="25"/>
        <v>0.09</v>
      </c>
      <c r="H83" s="269">
        <f t="shared" si="22"/>
        <v>59.887100000000004</v>
      </c>
      <c r="I83" s="153"/>
      <c r="J83" s="154"/>
      <c r="K83" s="154"/>
      <c r="L83" s="154"/>
      <c r="M83" s="226">
        <v>0.02</v>
      </c>
      <c r="N83" s="91" t="s">
        <v>75</v>
      </c>
      <c r="O83" s="55" t="s">
        <v>1106</v>
      </c>
      <c r="P83" s="56" t="s">
        <v>504</v>
      </c>
      <c r="Q83" s="56" t="s">
        <v>1273</v>
      </c>
      <c r="R83" s="113" t="s">
        <v>1817</v>
      </c>
      <c r="S83" s="273" t="s">
        <v>1802</v>
      </c>
      <c r="T83" s="292">
        <v>1</v>
      </c>
      <c r="U83" s="293" t="s">
        <v>75</v>
      </c>
      <c r="V83" s="115" t="s">
        <v>1817</v>
      </c>
      <c r="W83" s="57">
        <v>65.81</v>
      </c>
      <c r="X83" s="138">
        <f t="shared" si="26"/>
        <v>0.09</v>
      </c>
      <c r="Y83" s="269">
        <f t="shared" si="24"/>
        <v>59.887100000000004</v>
      </c>
      <c r="Z83" s="153"/>
      <c r="AA83" s="154"/>
      <c r="AB83" s="154"/>
      <c r="AC83" s="154"/>
      <c r="AD83" s="226">
        <v>0.02</v>
      </c>
      <c r="AE83" s="91" t="s">
        <v>75</v>
      </c>
      <c r="AF83" s="55" t="s">
        <v>1106</v>
      </c>
      <c r="AG83" s="56" t="s">
        <v>1274</v>
      </c>
      <c r="AH83" s="56" t="s">
        <v>1275</v>
      </c>
    </row>
    <row r="84" spans="1:34" s="121" customFormat="1">
      <c r="A84" s="113" t="s">
        <v>1818</v>
      </c>
      <c r="B84" s="273" t="s">
        <v>1819</v>
      </c>
      <c r="C84" s="292">
        <v>1</v>
      </c>
      <c r="D84" s="293" t="s">
        <v>75</v>
      </c>
      <c r="E84" s="115" t="s">
        <v>1818</v>
      </c>
      <c r="F84" s="57">
        <v>29.15</v>
      </c>
      <c r="G84" s="138">
        <f>rv_apple_acc_ipad</f>
        <v>0.15</v>
      </c>
      <c r="H84" s="269">
        <f t="shared" si="22"/>
        <v>24.7775</v>
      </c>
      <c r="I84" s="153"/>
      <c r="J84" s="154"/>
      <c r="K84" s="154"/>
      <c r="L84" s="154"/>
      <c r="M84" s="63">
        <v>0.05</v>
      </c>
      <c r="N84" s="91" t="s">
        <v>75</v>
      </c>
      <c r="O84" s="55" t="s">
        <v>1106</v>
      </c>
      <c r="P84" s="56" t="s">
        <v>504</v>
      </c>
      <c r="Q84" s="56" t="s">
        <v>1273</v>
      </c>
      <c r="R84" s="113" t="s">
        <v>1818</v>
      </c>
      <c r="S84" s="273" t="s">
        <v>1819</v>
      </c>
      <c r="T84" s="292">
        <v>1</v>
      </c>
      <c r="U84" s="293" t="s">
        <v>75</v>
      </c>
      <c r="V84" s="115" t="s">
        <v>1818</v>
      </c>
      <c r="W84" s="57">
        <v>29.15</v>
      </c>
      <c r="X84" s="138">
        <f t="shared" si="26"/>
        <v>0.09</v>
      </c>
      <c r="Y84" s="269">
        <f t="shared" si="24"/>
        <v>26.526499999999999</v>
      </c>
      <c r="Z84" s="153"/>
      <c r="AA84" s="154"/>
      <c r="AB84" s="154"/>
      <c r="AC84" s="154"/>
      <c r="AD84" s="226">
        <v>0.02</v>
      </c>
      <c r="AE84" s="91" t="s">
        <v>75</v>
      </c>
      <c r="AF84" s="55" t="s">
        <v>1106</v>
      </c>
      <c r="AG84" s="56" t="s">
        <v>1274</v>
      </c>
      <c r="AH84" s="56" t="s">
        <v>1275</v>
      </c>
    </row>
    <row r="85" spans="1:34" s="121" customFormat="1">
      <c r="A85" s="113" t="s">
        <v>1820</v>
      </c>
      <c r="B85" s="273" t="s">
        <v>1821</v>
      </c>
      <c r="C85" s="292">
        <v>1</v>
      </c>
      <c r="D85" s="293" t="s">
        <v>75</v>
      </c>
      <c r="E85" s="115" t="s">
        <v>1820</v>
      </c>
      <c r="F85" s="57">
        <v>20.81</v>
      </c>
      <c r="G85" s="138">
        <f t="shared" si="25"/>
        <v>0.09</v>
      </c>
      <c r="H85" s="269">
        <f t="shared" si="22"/>
        <v>18.937099999999997</v>
      </c>
      <c r="I85" s="153"/>
      <c r="J85" s="154"/>
      <c r="K85" s="154"/>
      <c r="L85" s="154"/>
      <c r="M85" s="226">
        <v>0.02</v>
      </c>
      <c r="N85" s="91" t="s">
        <v>75</v>
      </c>
      <c r="O85" s="55" t="s">
        <v>1106</v>
      </c>
      <c r="P85" s="56" t="s">
        <v>504</v>
      </c>
      <c r="Q85" s="56" t="s">
        <v>1273</v>
      </c>
      <c r="R85" s="113" t="s">
        <v>1820</v>
      </c>
      <c r="S85" s="273" t="s">
        <v>1821</v>
      </c>
      <c r="T85" s="292">
        <v>1</v>
      </c>
      <c r="U85" s="293" t="s">
        <v>75</v>
      </c>
      <c r="V85" s="115" t="s">
        <v>1820</v>
      </c>
      <c r="W85" s="57">
        <v>20.81</v>
      </c>
      <c r="X85" s="138">
        <f t="shared" si="26"/>
        <v>0.09</v>
      </c>
      <c r="Y85" s="269">
        <f t="shared" si="24"/>
        <v>18.937099999999997</v>
      </c>
      <c r="Z85" s="153"/>
      <c r="AA85" s="154"/>
      <c r="AB85" s="154"/>
      <c r="AC85" s="154"/>
      <c r="AD85" s="226">
        <v>0.02</v>
      </c>
      <c r="AE85" s="91" t="s">
        <v>75</v>
      </c>
      <c r="AF85" s="55" t="s">
        <v>1106</v>
      </c>
      <c r="AG85" s="56" t="s">
        <v>1274</v>
      </c>
      <c r="AH85" s="56" t="s">
        <v>1275</v>
      </c>
    </row>
    <row r="86" spans="1:34" s="121" customFormat="1">
      <c r="A86" s="113" t="s">
        <v>1822</v>
      </c>
      <c r="B86" s="273" t="s">
        <v>1823</v>
      </c>
      <c r="C86" s="292">
        <v>1</v>
      </c>
      <c r="D86" s="293" t="s">
        <v>75</v>
      </c>
      <c r="E86" s="300" t="s">
        <v>1822</v>
      </c>
      <c r="F86" s="57">
        <v>74.17</v>
      </c>
      <c r="G86" s="138">
        <f t="shared" si="25"/>
        <v>0.09</v>
      </c>
      <c r="H86" s="269">
        <f t="shared" ref="H86" si="27">F86-(F86*G86)</f>
        <v>67.494699999999995</v>
      </c>
      <c r="I86" s="153"/>
      <c r="J86" s="154"/>
      <c r="K86" s="154"/>
      <c r="L86" s="154"/>
      <c r="M86" s="226">
        <v>0.02</v>
      </c>
      <c r="N86" s="91" t="s">
        <v>75</v>
      </c>
      <c r="O86" s="55" t="s">
        <v>1106</v>
      </c>
      <c r="P86" s="56" t="s">
        <v>504</v>
      </c>
      <c r="Q86" s="56" t="s">
        <v>1273</v>
      </c>
      <c r="R86" s="113" t="s">
        <v>1822</v>
      </c>
      <c r="S86" s="273" t="s">
        <v>1823</v>
      </c>
      <c r="T86" s="292">
        <v>1</v>
      </c>
      <c r="U86" s="293" t="s">
        <v>75</v>
      </c>
      <c r="V86" s="300" t="s">
        <v>1822</v>
      </c>
      <c r="W86" s="57">
        <v>74.17</v>
      </c>
      <c r="X86" s="138">
        <f t="shared" si="26"/>
        <v>0.09</v>
      </c>
      <c r="Y86" s="269">
        <f t="shared" si="24"/>
        <v>67.494699999999995</v>
      </c>
      <c r="Z86" s="153"/>
      <c r="AA86" s="154"/>
      <c r="AB86" s="154"/>
      <c r="AC86" s="154"/>
      <c r="AD86" s="226">
        <v>0.02</v>
      </c>
      <c r="AE86" s="91" t="s">
        <v>75</v>
      </c>
      <c r="AF86" s="55" t="s">
        <v>1106</v>
      </c>
      <c r="AG86" s="56" t="s">
        <v>1274</v>
      </c>
      <c r="AH86" s="56" t="s">
        <v>1275</v>
      </c>
    </row>
    <row r="87" spans="1:34" s="121" customFormat="1">
      <c r="A87" s="113" t="s">
        <v>1824</v>
      </c>
      <c r="B87" s="273" t="s">
        <v>1825</v>
      </c>
      <c r="C87" s="292">
        <v>1</v>
      </c>
      <c r="D87" s="116" t="s">
        <v>75</v>
      </c>
      <c r="E87" s="115" t="s">
        <v>1824</v>
      </c>
      <c r="F87" s="269">
        <v>37.49</v>
      </c>
      <c r="G87" s="138">
        <f t="shared" si="25"/>
        <v>0.09</v>
      </c>
      <c r="H87" s="269">
        <f t="shared" si="22"/>
        <v>34.115900000000003</v>
      </c>
      <c r="I87" s="153"/>
      <c r="J87" s="154"/>
      <c r="K87" s="154"/>
      <c r="L87" s="154"/>
      <c r="M87" s="226">
        <v>0.01</v>
      </c>
      <c r="N87" s="91" t="s">
        <v>75</v>
      </c>
      <c r="O87" s="55" t="s">
        <v>1106</v>
      </c>
      <c r="P87" s="56" t="s">
        <v>504</v>
      </c>
      <c r="Q87" s="56" t="s">
        <v>1273</v>
      </c>
      <c r="R87" s="113" t="s">
        <v>1824</v>
      </c>
      <c r="S87" s="273" t="s">
        <v>1825</v>
      </c>
      <c r="T87" s="292">
        <v>1</v>
      </c>
      <c r="U87" s="116" t="s">
        <v>75</v>
      </c>
      <c r="V87" s="115" t="s">
        <v>1824</v>
      </c>
      <c r="W87" s="269">
        <v>37.49</v>
      </c>
      <c r="X87" s="138">
        <f t="shared" si="26"/>
        <v>0.09</v>
      </c>
      <c r="Y87" s="269">
        <f t="shared" si="24"/>
        <v>34.115900000000003</v>
      </c>
      <c r="Z87" s="153"/>
      <c r="AA87" s="154"/>
      <c r="AB87" s="154"/>
      <c r="AC87" s="154"/>
      <c r="AD87" s="226">
        <v>0.01</v>
      </c>
      <c r="AE87" s="91" t="s">
        <v>75</v>
      </c>
      <c r="AF87" s="55" t="s">
        <v>1106</v>
      </c>
      <c r="AG87" s="56" t="s">
        <v>1274</v>
      </c>
      <c r="AH87" s="56" t="s">
        <v>1275</v>
      </c>
    </row>
    <row r="88" spans="1:34" s="1" customFormat="1" ht="24.95" customHeight="1">
      <c r="A88" s="598" t="s">
        <v>1826</v>
      </c>
      <c r="C88" s="63"/>
      <c r="D88" s="35"/>
      <c r="E88" s="27"/>
      <c r="F88" s="27"/>
      <c r="G88" s="40"/>
      <c r="H88" s="27"/>
      <c r="I88" s="27"/>
      <c r="J88" s="23"/>
      <c r="K88" s="23"/>
      <c r="L88" s="23"/>
      <c r="M88" s="63"/>
      <c r="N88" s="91"/>
      <c r="O88" s="55"/>
      <c r="P88" s="14"/>
      <c r="Q88" s="14"/>
      <c r="R88" s="604" t="s">
        <v>1826</v>
      </c>
      <c r="T88" s="63"/>
      <c r="U88" s="35"/>
      <c r="V88" s="27"/>
      <c r="W88" s="27"/>
      <c r="X88" s="40"/>
      <c r="Y88" s="27"/>
      <c r="Z88" s="27"/>
      <c r="AA88" s="23"/>
      <c r="AB88" s="23"/>
      <c r="AC88" s="23"/>
      <c r="AD88" s="63"/>
      <c r="AE88" s="91"/>
      <c r="AF88" s="55"/>
      <c r="AG88" s="14"/>
      <c r="AH88" s="14"/>
    </row>
    <row r="89" spans="1:34" s="1" customFormat="1">
      <c r="A89" s="25" t="s">
        <v>1827</v>
      </c>
      <c r="B89" s="64" t="s">
        <v>1828</v>
      </c>
      <c r="C89" s="65">
        <v>1</v>
      </c>
      <c r="D89" s="35" t="s">
        <v>75</v>
      </c>
      <c r="E89" s="29" t="s">
        <v>1827</v>
      </c>
      <c r="F89" s="69">
        <v>20.81</v>
      </c>
      <c r="G89" s="22">
        <f>rv_apple_acc_ipad</f>
        <v>0.15</v>
      </c>
      <c r="H89" s="69">
        <f t="shared" ref="H89:H102" si="28">F89-(F89*G89)</f>
        <v>17.688499999999998</v>
      </c>
      <c r="I89" s="27"/>
      <c r="J89" s="23"/>
      <c r="K89" s="23"/>
      <c r="L89" s="23"/>
      <c r="M89" s="63">
        <v>0.02</v>
      </c>
      <c r="N89" s="91" t="s">
        <v>75</v>
      </c>
      <c r="O89" s="55" t="s">
        <v>1106</v>
      </c>
      <c r="P89" s="56" t="s">
        <v>504</v>
      </c>
      <c r="Q89" s="56" t="s">
        <v>1273</v>
      </c>
      <c r="R89" s="25" t="s">
        <v>1827</v>
      </c>
      <c r="S89" s="64" t="s">
        <v>1828</v>
      </c>
      <c r="T89" s="65">
        <v>1</v>
      </c>
      <c r="U89" s="35" t="s">
        <v>75</v>
      </c>
      <c r="V89" s="29" t="s">
        <v>1827</v>
      </c>
      <c r="W89" s="69">
        <v>20.81</v>
      </c>
      <c r="X89" s="22">
        <f>rv_apple_acc_ipad</f>
        <v>0.15</v>
      </c>
      <c r="Y89" s="69">
        <f t="shared" ref="Y89:Y102" si="29">W89-(W89*X89)</f>
        <v>17.688499999999998</v>
      </c>
      <c r="Z89" s="27"/>
      <c r="AA89" s="23"/>
      <c r="AB89" s="23"/>
      <c r="AC89" s="23"/>
      <c r="AD89" s="63">
        <v>0.02</v>
      </c>
      <c r="AE89" s="91" t="s">
        <v>75</v>
      </c>
      <c r="AF89" s="55" t="s">
        <v>1106</v>
      </c>
      <c r="AG89" s="14" t="s">
        <v>1680</v>
      </c>
      <c r="AH89" s="14" t="s">
        <v>1681</v>
      </c>
    </row>
    <row r="90" spans="1:34" s="1" customFormat="1">
      <c r="A90" s="25" t="s">
        <v>1829</v>
      </c>
      <c r="B90" s="64" t="s">
        <v>1830</v>
      </c>
      <c r="C90" s="65">
        <v>1</v>
      </c>
      <c r="D90" s="35" t="s">
        <v>75</v>
      </c>
      <c r="E90" s="29" t="s">
        <v>1829</v>
      </c>
      <c r="F90" s="69">
        <v>45.81</v>
      </c>
      <c r="G90" s="66">
        <f t="shared" ref="G90:G95" si="30">rv_apple_acc_mac</f>
        <v>0.09</v>
      </c>
      <c r="H90" s="69">
        <f t="shared" si="28"/>
        <v>41.687100000000001</v>
      </c>
      <c r="I90" s="27"/>
      <c r="J90" s="23"/>
      <c r="K90" s="23"/>
      <c r="L90" s="23"/>
      <c r="M90" s="63">
        <v>0.02</v>
      </c>
      <c r="N90" s="91" t="s">
        <v>75</v>
      </c>
      <c r="O90" s="55" t="s">
        <v>1106</v>
      </c>
      <c r="P90" s="56" t="s">
        <v>504</v>
      </c>
      <c r="Q90" s="56" t="s">
        <v>1273</v>
      </c>
      <c r="R90" s="25" t="s">
        <v>1829</v>
      </c>
      <c r="S90" s="64" t="s">
        <v>1830</v>
      </c>
      <c r="T90" s="65">
        <v>1</v>
      </c>
      <c r="U90" s="35" t="s">
        <v>75</v>
      </c>
      <c r="V90" s="29" t="s">
        <v>1829</v>
      </c>
      <c r="W90" s="69">
        <v>45.81</v>
      </c>
      <c r="X90" s="66">
        <f t="shared" ref="X90:X95" si="31">rv_apple_acc_mac</f>
        <v>0.09</v>
      </c>
      <c r="Y90" s="69">
        <f t="shared" si="29"/>
        <v>41.687100000000001</v>
      </c>
      <c r="Z90" s="27"/>
      <c r="AA90" s="23"/>
      <c r="AB90" s="23"/>
      <c r="AC90" s="23"/>
      <c r="AD90" s="63">
        <v>0.02</v>
      </c>
      <c r="AE90" s="91" t="s">
        <v>75</v>
      </c>
      <c r="AF90" s="55" t="s">
        <v>1106</v>
      </c>
      <c r="AG90" s="14" t="s">
        <v>1274</v>
      </c>
      <c r="AH90" s="14" t="s">
        <v>1275</v>
      </c>
    </row>
    <row r="91" spans="1:34" s="121" customFormat="1">
      <c r="A91" s="25" t="s">
        <v>1831</v>
      </c>
      <c r="B91" s="64" t="s">
        <v>1832</v>
      </c>
      <c r="C91" s="65">
        <v>1</v>
      </c>
      <c r="D91" s="62" t="s">
        <v>75</v>
      </c>
      <c r="E91" s="29" t="s">
        <v>1831</v>
      </c>
      <c r="F91" s="69">
        <v>54.12</v>
      </c>
      <c r="G91" s="66">
        <f t="shared" si="30"/>
        <v>0.09</v>
      </c>
      <c r="H91" s="69">
        <f t="shared" si="28"/>
        <v>49.249199999999995</v>
      </c>
      <c r="I91" s="27"/>
      <c r="J91" s="23"/>
      <c r="K91" s="23"/>
      <c r="L91" s="23"/>
      <c r="M91" s="63">
        <v>0.05</v>
      </c>
      <c r="N91" s="91" t="s">
        <v>75</v>
      </c>
      <c r="O91" s="55" t="s">
        <v>1106</v>
      </c>
      <c r="P91" s="56" t="s">
        <v>504</v>
      </c>
      <c r="Q91" s="56" t="s">
        <v>1273</v>
      </c>
      <c r="R91" s="113" t="s">
        <v>1833</v>
      </c>
      <c r="S91" s="273" t="s">
        <v>1834</v>
      </c>
      <c r="T91" s="292">
        <v>1</v>
      </c>
      <c r="U91" s="116" t="s">
        <v>75</v>
      </c>
      <c r="V91" s="115" t="s">
        <v>1833</v>
      </c>
      <c r="W91" s="269">
        <v>65.45</v>
      </c>
      <c r="X91" s="298">
        <f t="shared" si="31"/>
        <v>0.09</v>
      </c>
      <c r="Y91" s="269">
        <f t="shared" si="29"/>
        <v>59.5595</v>
      </c>
      <c r="Z91" s="153"/>
      <c r="AA91" s="154"/>
      <c r="AB91" s="154"/>
      <c r="AC91" s="154"/>
      <c r="AD91" s="226">
        <v>0.05</v>
      </c>
      <c r="AE91" s="91" t="s">
        <v>75</v>
      </c>
      <c r="AF91" s="55" t="s">
        <v>1106</v>
      </c>
      <c r="AG91" s="56" t="s">
        <v>1274</v>
      </c>
      <c r="AH91" s="56" t="s">
        <v>1275</v>
      </c>
    </row>
    <row r="92" spans="1:34" s="1" customFormat="1">
      <c r="A92" s="25" t="s">
        <v>1835</v>
      </c>
      <c r="B92" s="64" t="s">
        <v>1836</v>
      </c>
      <c r="C92" s="65">
        <v>1</v>
      </c>
      <c r="D92" s="35" t="s">
        <v>75</v>
      </c>
      <c r="E92" s="29" t="s">
        <v>1835</v>
      </c>
      <c r="F92" s="69">
        <v>70.78</v>
      </c>
      <c r="G92" s="66">
        <f t="shared" si="30"/>
        <v>0.09</v>
      </c>
      <c r="H92" s="69">
        <f t="shared" si="28"/>
        <v>64.409800000000004</v>
      </c>
      <c r="I92" s="27"/>
      <c r="J92" s="23"/>
      <c r="K92" s="23"/>
      <c r="L92" s="23"/>
      <c r="M92" s="63">
        <v>0.05</v>
      </c>
      <c r="N92" s="91" t="s">
        <v>75</v>
      </c>
      <c r="O92" s="55" t="s">
        <v>1106</v>
      </c>
      <c r="P92" s="56" t="s">
        <v>504</v>
      </c>
      <c r="Q92" s="56" t="s">
        <v>1273</v>
      </c>
      <c r="R92" s="25" t="s">
        <v>1835</v>
      </c>
      <c r="S92" s="64" t="s">
        <v>1836</v>
      </c>
      <c r="T92" s="65">
        <v>1</v>
      </c>
      <c r="U92" s="35" t="s">
        <v>75</v>
      </c>
      <c r="V92" s="29" t="s">
        <v>1835</v>
      </c>
      <c r="W92" s="69">
        <v>70.78</v>
      </c>
      <c r="X92" s="66">
        <f t="shared" si="31"/>
        <v>0.09</v>
      </c>
      <c r="Y92" s="69">
        <f t="shared" si="29"/>
        <v>64.409800000000004</v>
      </c>
      <c r="Z92" s="27"/>
      <c r="AA92" s="23"/>
      <c r="AB92" s="23"/>
      <c r="AC92" s="23"/>
      <c r="AD92" s="63">
        <v>0.05</v>
      </c>
      <c r="AE92" s="91" t="s">
        <v>75</v>
      </c>
      <c r="AF92" s="55" t="s">
        <v>1106</v>
      </c>
      <c r="AG92" s="14" t="s">
        <v>1274</v>
      </c>
      <c r="AH92" s="14" t="s">
        <v>1275</v>
      </c>
    </row>
    <row r="93" spans="1:34" s="1" customFormat="1">
      <c r="A93" s="25" t="s">
        <v>1837</v>
      </c>
      <c r="B93" s="64" t="s">
        <v>1838</v>
      </c>
      <c r="C93" s="65">
        <v>1</v>
      </c>
      <c r="D93" s="35" t="s">
        <v>75</v>
      </c>
      <c r="E93" s="29" t="s">
        <v>1837</v>
      </c>
      <c r="F93" s="69">
        <v>20.81</v>
      </c>
      <c r="G93" s="66">
        <f t="shared" si="30"/>
        <v>0.09</v>
      </c>
      <c r="H93" s="69">
        <f t="shared" si="28"/>
        <v>18.937099999999997</v>
      </c>
      <c r="I93" s="27"/>
      <c r="J93" s="23"/>
      <c r="K93" s="23"/>
      <c r="L93" s="23"/>
      <c r="M93" s="63">
        <v>0.02</v>
      </c>
      <c r="N93" s="91" t="s">
        <v>75</v>
      </c>
      <c r="O93" s="55" t="s">
        <v>1106</v>
      </c>
      <c r="P93" s="56" t="s">
        <v>504</v>
      </c>
      <c r="Q93" s="56" t="s">
        <v>1273</v>
      </c>
      <c r="R93" s="25" t="s">
        <v>1837</v>
      </c>
      <c r="S93" s="64" t="s">
        <v>1838</v>
      </c>
      <c r="T93" s="65">
        <v>1</v>
      </c>
      <c r="U93" s="35" t="s">
        <v>75</v>
      </c>
      <c r="V93" s="29" t="s">
        <v>1837</v>
      </c>
      <c r="W93" s="69">
        <v>20.81</v>
      </c>
      <c r="X93" s="66">
        <f t="shared" si="31"/>
        <v>0.09</v>
      </c>
      <c r="Y93" s="69">
        <f t="shared" si="29"/>
        <v>18.937099999999997</v>
      </c>
      <c r="Z93" s="27"/>
      <c r="AA93" s="23"/>
      <c r="AB93" s="23"/>
      <c r="AC93" s="23"/>
      <c r="AD93" s="63">
        <v>0.02</v>
      </c>
      <c r="AE93" s="91" t="s">
        <v>75</v>
      </c>
      <c r="AF93" s="55" t="s">
        <v>1106</v>
      </c>
      <c r="AG93" s="14" t="s">
        <v>1274</v>
      </c>
      <c r="AH93" s="14" t="s">
        <v>1275</v>
      </c>
    </row>
    <row r="94" spans="1:34" s="1" customFormat="1">
      <c r="A94" s="25" t="s">
        <v>1839</v>
      </c>
      <c r="B94" s="64" t="s">
        <v>1840</v>
      </c>
      <c r="C94" s="65">
        <v>1</v>
      </c>
      <c r="D94" s="62" t="s">
        <v>75</v>
      </c>
      <c r="E94" s="142" t="s">
        <v>1839</v>
      </c>
      <c r="F94" s="71">
        <v>20.82</v>
      </c>
      <c r="G94" s="66">
        <f t="shared" si="30"/>
        <v>0.09</v>
      </c>
      <c r="H94" s="69">
        <f t="shared" si="28"/>
        <v>18.946200000000001</v>
      </c>
      <c r="I94" s="27"/>
      <c r="J94" s="23"/>
      <c r="K94" s="23"/>
      <c r="L94" s="23"/>
      <c r="M94" s="63">
        <v>0.01</v>
      </c>
      <c r="N94" s="91" t="s">
        <v>75</v>
      </c>
      <c r="O94" s="55" t="s">
        <v>1106</v>
      </c>
      <c r="P94" s="56" t="s">
        <v>504</v>
      </c>
      <c r="Q94" s="56" t="s">
        <v>1273</v>
      </c>
      <c r="R94" s="25" t="s">
        <v>1839</v>
      </c>
      <c r="S94" s="64" t="s">
        <v>1840</v>
      </c>
      <c r="T94" s="65">
        <v>1</v>
      </c>
      <c r="U94" s="62" t="s">
        <v>75</v>
      </c>
      <c r="V94" s="142" t="s">
        <v>1839</v>
      </c>
      <c r="W94" s="71">
        <v>20.82</v>
      </c>
      <c r="X94" s="66">
        <f t="shared" si="31"/>
        <v>0.09</v>
      </c>
      <c r="Y94" s="69">
        <f t="shared" si="29"/>
        <v>18.946200000000001</v>
      </c>
      <c r="Z94" s="27"/>
      <c r="AA94" s="23"/>
      <c r="AB94" s="23"/>
      <c r="AC94" s="23"/>
      <c r="AD94" s="63">
        <v>0.01</v>
      </c>
      <c r="AE94" s="91" t="s">
        <v>75</v>
      </c>
      <c r="AF94" s="55" t="s">
        <v>1106</v>
      </c>
      <c r="AG94" s="14" t="s">
        <v>1274</v>
      </c>
      <c r="AH94" s="14" t="s">
        <v>1275</v>
      </c>
    </row>
    <row r="95" spans="1:34" s="1" customFormat="1">
      <c r="A95" s="25" t="s">
        <v>1841</v>
      </c>
      <c r="B95" s="64" t="s">
        <v>1842</v>
      </c>
      <c r="C95" s="65">
        <v>1</v>
      </c>
      <c r="D95" s="35" t="s">
        <v>75</v>
      </c>
      <c r="E95" s="29" t="s">
        <v>1841</v>
      </c>
      <c r="F95" s="69">
        <v>20.82</v>
      </c>
      <c r="G95" s="66">
        <f t="shared" si="30"/>
        <v>0.09</v>
      </c>
      <c r="H95" s="69">
        <f t="shared" si="28"/>
        <v>18.946200000000001</v>
      </c>
      <c r="I95" s="27"/>
      <c r="J95" s="23"/>
      <c r="K95" s="23"/>
      <c r="L95" s="23"/>
      <c r="M95" s="63">
        <v>0.01</v>
      </c>
      <c r="N95" s="91" t="s">
        <v>75</v>
      </c>
      <c r="O95" s="55" t="s">
        <v>1106</v>
      </c>
      <c r="P95" s="56" t="s">
        <v>504</v>
      </c>
      <c r="Q95" s="56" t="s">
        <v>1273</v>
      </c>
      <c r="R95" s="25" t="s">
        <v>1841</v>
      </c>
      <c r="S95" s="64" t="s">
        <v>1842</v>
      </c>
      <c r="T95" s="65">
        <v>1</v>
      </c>
      <c r="U95" s="35" t="s">
        <v>75</v>
      </c>
      <c r="V95" s="29" t="s">
        <v>1841</v>
      </c>
      <c r="W95" s="69">
        <v>20.82</v>
      </c>
      <c r="X95" s="66">
        <f t="shared" si="31"/>
        <v>0.09</v>
      </c>
      <c r="Y95" s="69">
        <f t="shared" si="29"/>
        <v>18.946200000000001</v>
      </c>
      <c r="Z95" s="27"/>
      <c r="AA95" s="23"/>
      <c r="AB95" s="23"/>
      <c r="AC95" s="23"/>
      <c r="AD95" s="63">
        <v>0.01</v>
      </c>
      <c r="AE95" s="91" t="s">
        <v>75</v>
      </c>
      <c r="AF95" s="55" t="s">
        <v>1106</v>
      </c>
      <c r="AG95" s="14" t="s">
        <v>1274</v>
      </c>
      <c r="AH95" s="14" t="s">
        <v>1275</v>
      </c>
    </row>
    <row r="96" spans="1:34" s="121" customFormat="1">
      <c r="A96" s="113" t="s">
        <v>1843</v>
      </c>
      <c r="B96" s="273" t="s">
        <v>1844</v>
      </c>
      <c r="C96" s="292">
        <v>1</v>
      </c>
      <c r="D96" s="116" t="s">
        <v>1845</v>
      </c>
      <c r="E96" s="115" t="s">
        <v>1843</v>
      </c>
      <c r="F96" s="269">
        <v>41.66</v>
      </c>
      <c r="G96" s="138">
        <f t="shared" ref="G96:G102" si="32">rv_20</f>
        <v>0.2</v>
      </c>
      <c r="H96" s="269">
        <f t="shared" si="28"/>
        <v>33.327999999999996</v>
      </c>
      <c r="I96" s="153"/>
      <c r="J96" s="154"/>
      <c r="K96" s="154"/>
      <c r="L96" s="154"/>
      <c r="M96" s="226">
        <v>0.01</v>
      </c>
      <c r="N96" s="91" t="s">
        <v>75</v>
      </c>
      <c r="O96" s="55" t="s">
        <v>1106</v>
      </c>
      <c r="P96" s="56" t="s">
        <v>504</v>
      </c>
      <c r="Q96" s="56" t="s">
        <v>1273</v>
      </c>
      <c r="R96" s="113" t="s">
        <v>1843</v>
      </c>
      <c r="S96" s="273" t="s">
        <v>1844</v>
      </c>
      <c r="T96" s="292">
        <v>1</v>
      </c>
      <c r="U96" s="116" t="s">
        <v>1845</v>
      </c>
      <c r="V96" s="115" t="s">
        <v>1843</v>
      </c>
      <c r="W96" s="269">
        <v>41.66</v>
      </c>
      <c r="X96" s="138">
        <f t="shared" ref="X96:X102" si="33">rv_20</f>
        <v>0.2</v>
      </c>
      <c r="Y96" s="269">
        <f t="shared" si="29"/>
        <v>33.327999999999996</v>
      </c>
      <c r="Z96" s="153"/>
      <c r="AA96" s="154"/>
      <c r="AB96" s="154"/>
      <c r="AC96" s="154"/>
      <c r="AD96" s="226">
        <v>0.01</v>
      </c>
      <c r="AE96" s="91" t="s">
        <v>75</v>
      </c>
      <c r="AF96" s="55" t="s">
        <v>1106</v>
      </c>
      <c r="AG96" s="56" t="s">
        <v>1274</v>
      </c>
      <c r="AH96" s="56" t="s">
        <v>1275</v>
      </c>
    </row>
    <row r="97" spans="1:34" s="121" customFormat="1">
      <c r="A97" s="113" t="s">
        <v>1846</v>
      </c>
      <c r="B97" s="273" t="s">
        <v>1847</v>
      </c>
      <c r="C97" s="292">
        <v>1</v>
      </c>
      <c r="D97" s="116" t="s">
        <v>1845</v>
      </c>
      <c r="E97" s="115" t="s">
        <v>1846</v>
      </c>
      <c r="F97" s="269">
        <v>83.33</v>
      </c>
      <c r="G97" s="138">
        <f t="shared" si="32"/>
        <v>0.2</v>
      </c>
      <c r="H97" s="269">
        <f t="shared" si="28"/>
        <v>66.664000000000001</v>
      </c>
      <c r="I97" s="153"/>
      <c r="J97" s="154"/>
      <c r="K97" s="154"/>
      <c r="L97" s="154"/>
      <c r="M97" s="226">
        <v>0.01</v>
      </c>
      <c r="N97" s="91" t="s">
        <v>75</v>
      </c>
      <c r="O97" s="55" t="s">
        <v>1106</v>
      </c>
      <c r="P97" s="56" t="s">
        <v>504</v>
      </c>
      <c r="Q97" s="56" t="s">
        <v>1273</v>
      </c>
      <c r="R97" s="113" t="s">
        <v>1846</v>
      </c>
      <c r="S97" s="273" t="s">
        <v>1847</v>
      </c>
      <c r="T97" s="292">
        <v>1</v>
      </c>
      <c r="U97" s="116" t="s">
        <v>1845</v>
      </c>
      <c r="V97" s="115" t="s">
        <v>1846</v>
      </c>
      <c r="W97" s="269">
        <v>83.33</v>
      </c>
      <c r="X97" s="138">
        <f t="shared" si="33"/>
        <v>0.2</v>
      </c>
      <c r="Y97" s="269">
        <f t="shared" si="29"/>
        <v>66.664000000000001</v>
      </c>
      <c r="Z97" s="153"/>
      <c r="AA97" s="154"/>
      <c r="AB97" s="154"/>
      <c r="AC97" s="154"/>
      <c r="AD97" s="226">
        <v>0.01</v>
      </c>
      <c r="AE97" s="91" t="s">
        <v>75</v>
      </c>
      <c r="AF97" s="55" t="s">
        <v>1106</v>
      </c>
      <c r="AG97" s="56" t="s">
        <v>1274</v>
      </c>
      <c r="AH97" s="56" t="s">
        <v>1275</v>
      </c>
    </row>
    <row r="98" spans="1:34" s="121" customFormat="1">
      <c r="A98" s="113" t="s">
        <v>1848</v>
      </c>
      <c r="B98" s="273" t="s">
        <v>1849</v>
      </c>
      <c r="C98" s="292">
        <v>1</v>
      </c>
      <c r="D98" s="116" t="s">
        <v>1845</v>
      </c>
      <c r="E98" s="115" t="s">
        <v>1848</v>
      </c>
      <c r="F98" s="269">
        <v>33.33</v>
      </c>
      <c r="G98" s="138">
        <f t="shared" si="32"/>
        <v>0.2</v>
      </c>
      <c r="H98" s="269">
        <f t="shared" si="28"/>
        <v>26.663999999999998</v>
      </c>
      <c r="I98" s="153"/>
      <c r="J98" s="154"/>
      <c r="K98" s="154"/>
      <c r="L98" s="154"/>
      <c r="M98" s="63">
        <v>0.02</v>
      </c>
      <c r="N98" s="91" t="s">
        <v>75</v>
      </c>
      <c r="O98" s="55" t="s">
        <v>1106</v>
      </c>
      <c r="P98" s="56" t="s">
        <v>504</v>
      </c>
      <c r="Q98" s="56" t="s">
        <v>1273</v>
      </c>
      <c r="R98" s="113" t="s">
        <v>1848</v>
      </c>
      <c r="S98" s="273" t="s">
        <v>1849</v>
      </c>
      <c r="T98" s="292">
        <v>1</v>
      </c>
      <c r="U98" s="116" t="s">
        <v>1845</v>
      </c>
      <c r="V98" s="115" t="s">
        <v>1848</v>
      </c>
      <c r="W98" s="269">
        <v>33.33</v>
      </c>
      <c r="X98" s="138">
        <f t="shared" si="33"/>
        <v>0.2</v>
      </c>
      <c r="Y98" s="269">
        <f t="shared" si="29"/>
        <v>26.663999999999998</v>
      </c>
      <c r="Z98" s="153"/>
      <c r="AA98" s="154"/>
      <c r="AB98" s="154"/>
      <c r="AC98" s="154"/>
      <c r="AD98" s="63">
        <v>0.02</v>
      </c>
      <c r="AE98" s="91" t="s">
        <v>75</v>
      </c>
      <c r="AF98" s="55" t="s">
        <v>1106</v>
      </c>
      <c r="AG98" s="56" t="s">
        <v>1274</v>
      </c>
      <c r="AH98" s="56" t="s">
        <v>1275</v>
      </c>
    </row>
    <row r="99" spans="1:34" s="121" customFormat="1">
      <c r="A99" s="113" t="s">
        <v>1850</v>
      </c>
      <c r="B99" s="273" t="s">
        <v>1851</v>
      </c>
      <c r="C99" s="292">
        <v>1</v>
      </c>
      <c r="D99" s="116" t="s">
        <v>1845</v>
      </c>
      <c r="E99" s="115" t="s">
        <v>1850</v>
      </c>
      <c r="F99" s="116">
        <v>66.66</v>
      </c>
      <c r="G99" s="138">
        <f t="shared" si="32"/>
        <v>0.2</v>
      </c>
      <c r="H99" s="116">
        <f t="shared" si="28"/>
        <v>53.327999999999996</v>
      </c>
      <c r="I99" s="153"/>
      <c r="J99" s="154"/>
      <c r="K99" s="154"/>
      <c r="L99" s="154"/>
      <c r="M99" s="226">
        <v>0.01</v>
      </c>
      <c r="N99" s="91" t="s">
        <v>75</v>
      </c>
      <c r="O99" s="55" t="s">
        <v>1106</v>
      </c>
      <c r="P99" s="56" t="s">
        <v>504</v>
      </c>
      <c r="Q99" s="56" t="s">
        <v>1273</v>
      </c>
      <c r="R99" s="113" t="s">
        <v>1850</v>
      </c>
      <c r="S99" s="273" t="s">
        <v>1851</v>
      </c>
      <c r="T99" s="292">
        <v>1</v>
      </c>
      <c r="U99" s="116" t="s">
        <v>1845</v>
      </c>
      <c r="V99" s="115" t="s">
        <v>1850</v>
      </c>
      <c r="W99" s="116">
        <v>66.66</v>
      </c>
      <c r="X99" s="138">
        <f t="shared" si="33"/>
        <v>0.2</v>
      </c>
      <c r="Y99" s="116">
        <f t="shared" si="29"/>
        <v>53.327999999999996</v>
      </c>
      <c r="Z99" s="153"/>
      <c r="AA99" s="154"/>
      <c r="AB99" s="154"/>
      <c r="AC99" s="154"/>
      <c r="AD99" s="226">
        <v>0.01</v>
      </c>
      <c r="AE99" s="91" t="s">
        <v>75</v>
      </c>
      <c r="AF99" s="55" t="s">
        <v>1106</v>
      </c>
      <c r="AG99" s="56" t="s">
        <v>1274</v>
      </c>
      <c r="AH99" s="56" t="s">
        <v>1275</v>
      </c>
    </row>
    <row r="100" spans="1:34" s="121" customFormat="1">
      <c r="A100" s="113" t="s">
        <v>1852</v>
      </c>
      <c r="B100" s="273" t="s">
        <v>1853</v>
      </c>
      <c r="C100" s="292">
        <v>1</v>
      </c>
      <c r="D100" s="116" t="s">
        <v>1845</v>
      </c>
      <c r="E100" s="115" t="s">
        <v>1852</v>
      </c>
      <c r="F100" s="116">
        <v>41.66</v>
      </c>
      <c r="G100" s="138">
        <f t="shared" si="32"/>
        <v>0.2</v>
      </c>
      <c r="H100" s="116">
        <f t="shared" si="28"/>
        <v>33.327999999999996</v>
      </c>
      <c r="I100" s="153"/>
      <c r="J100" s="154"/>
      <c r="K100" s="154"/>
      <c r="L100" s="154"/>
      <c r="M100" s="226">
        <v>0.01</v>
      </c>
      <c r="N100" s="91" t="s">
        <v>75</v>
      </c>
      <c r="O100" s="55" t="s">
        <v>1106</v>
      </c>
      <c r="P100" s="56" t="s">
        <v>504</v>
      </c>
      <c r="Q100" s="56" t="s">
        <v>1273</v>
      </c>
      <c r="R100" s="113" t="s">
        <v>1852</v>
      </c>
      <c r="S100" s="273" t="s">
        <v>1853</v>
      </c>
      <c r="T100" s="292">
        <v>1</v>
      </c>
      <c r="U100" s="116" t="s">
        <v>1845</v>
      </c>
      <c r="V100" s="115" t="s">
        <v>1852</v>
      </c>
      <c r="W100" s="116">
        <v>41.66</v>
      </c>
      <c r="X100" s="138">
        <f t="shared" si="33"/>
        <v>0.2</v>
      </c>
      <c r="Y100" s="116">
        <f t="shared" si="29"/>
        <v>33.327999999999996</v>
      </c>
      <c r="Z100" s="153"/>
      <c r="AA100" s="154"/>
      <c r="AB100" s="154"/>
      <c r="AC100" s="154"/>
      <c r="AD100" s="226">
        <v>0.01</v>
      </c>
      <c r="AE100" s="91" t="s">
        <v>75</v>
      </c>
      <c r="AF100" s="55" t="s">
        <v>1106</v>
      </c>
      <c r="AG100" s="56" t="s">
        <v>1274</v>
      </c>
      <c r="AH100" s="56" t="s">
        <v>1275</v>
      </c>
    </row>
    <row r="101" spans="1:34" s="121" customFormat="1">
      <c r="A101" s="113" t="s">
        <v>1854</v>
      </c>
      <c r="B101" s="273" t="s">
        <v>1855</v>
      </c>
      <c r="C101" s="292">
        <v>1</v>
      </c>
      <c r="D101" s="116" t="s">
        <v>1845</v>
      </c>
      <c r="E101" s="115" t="s">
        <v>1854</v>
      </c>
      <c r="F101" s="116">
        <v>83.33</v>
      </c>
      <c r="G101" s="138">
        <f t="shared" si="32"/>
        <v>0.2</v>
      </c>
      <c r="H101" s="116">
        <f t="shared" si="28"/>
        <v>66.664000000000001</v>
      </c>
      <c r="I101" s="153"/>
      <c r="J101" s="154"/>
      <c r="K101" s="154"/>
      <c r="L101" s="154"/>
      <c r="M101" s="226">
        <v>0.01</v>
      </c>
      <c r="N101" s="91" t="s">
        <v>75</v>
      </c>
      <c r="O101" s="55" t="s">
        <v>1106</v>
      </c>
      <c r="P101" s="56" t="s">
        <v>504</v>
      </c>
      <c r="Q101" s="56" t="s">
        <v>1273</v>
      </c>
      <c r="R101" s="113" t="s">
        <v>1854</v>
      </c>
      <c r="S101" s="273" t="s">
        <v>1855</v>
      </c>
      <c r="T101" s="292">
        <v>1</v>
      </c>
      <c r="U101" s="116" t="s">
        <v>1845</v>
      </c>
      <c r="V101" s="115" t="s">
        <v>1854</v>
      </c>
      <c r="W101" s="116">
        <v>83.33</v>
      </c>
      <c r="X101" s="138">
        <f t="shared" si="33"/>
        <v>0.2</v>
      </c>
      <c r="Y101" s="116">
        <f t="shared" si="29"/>
        <v>66.664000000000001</v>
      </c>
      <c r="Z101" s="153"/>
      <c r="AA101" s="154"/>
      <c r="AB101" s="154"/>
      <c r="AC101" s="154"/>
      <c r="AD101" s="226">
        <v>0.01</v>
      </c>
      <c r="AE101" s="91" t="s">
        <v>75</v>
      </c>
      <c r="AF101" s="55" t="s">
        <v>1106</v>
      </c>
      <c r="AG101" s="56" t="s">
        <v>1274</v>
      </c>
      <c r="AH101" s="56" t="s">
        <v>1275</v>
      </c>
    </row>
    <row r="102" spans="1:34" s="121" customFormat="1">
      <c r="A102" s="25" t="s">
        <v>1856</v>
      </c>
      <c r="B102" s="64" t="s">
        <v>1857</v>
      </c>
      <c r="C102" s="292">
        <v>1</v>
      </c>
      <c r="D102" s="293" t="s">
        <v>1845</v>
      </c>
      <c r="E102" s="142" t="s">
        <v>1856</v>
      </c>
      <c r="F102" s="226">
        <v>141.66</v>
      </c>
      <c r="G102" s="138">
        <f t="shared" si="32"/>
        <v>0.2</v>
      </c>
      <c r="H102" s="116">
        <f t="shared" si="28"/>
        <v>113.328</v>
      </c>
      <c r="I102" s="153"/>
      <c r="J102" s="154"/>
      <c r="K102" s="154"/>
      <c r="L102" s="154"/>
      <c r="M102" s="226">
        <v>0.01</v>
      </c>
      <c r="N102" s="91" t="s">
        <v>75</v>
      </c>
      <c r="O102" s="55" t="s">
        <v>1106</v>
      </c>
      <c r="P102" s="56" t="s">
        <v>504</v>
      </c>
      <c r="Q102" s="56" t="s">
        <v>1273</v>
      </c>
      <c r="R102" s="25" t="s">
        <v>1856</v>
      </c>
      <c r="S102" s="64" t="s">
        <v>1857</v>
      </c>
      <c r="T102" s="292">
        <v>1</v>
      </c>
      <c r="U102" s="293" t="s">
        <v>1845</v>
      </c>
      <c r="V102" s="142" t="s">
        <v>1856</v>
      </c>
      <c r="W102" s="226">
        <v>141.66</v>
      </c>
      <c r="X102" s="138">
        <f t="shared" si="33"/>
        <v>0.2</v>
      </c>
      <c r="Y102" s="116">
        <f t="shared" si="29"/>
        <v>113.328</v>
      </c>
      <c r="Z102" s="153"/>
      <c r="AA102" s="154"/>
      <c r="AB102" s="154"/>
      <c r="AC102" s="154"/>
      <c r="AD102" s="226">
        <v>0.01</v>
      </c>
      <c r="AE102" s="91" t="s">
        <v>75</v>
      </c>
      <c r="AF102" s="55" t="s">
        <v>1106</v>
      </c>
      <c r="AG102" s="56" t="s">
        <v>1274</v>
      </c>
      <c r="AH102" s="56" t="s">
        <v>1275</v>
      </c>
    </row>
    <row r="103" spans="1:34" s="168" customFormat="1" ht="24" customHeight="1">
      <c r="A103" s="599" t="s">
        <v>1858</v>
      </c>
      <c r="B103" s="162"/>
      <c r="C103" s="163"/>
      <c r="D103" s="69"/>
      <c r="E103" s="164"/>
      <c r="F103" s="69"/>
      <c r="G103" s="165"/>
      <c r="H103" s="69"/>
      <c r="I103" s="166"/>
      <c r="J103" s="167"/>
      <c r="K103" s="167"/>
      <c r="L103" s="167"/>
      <c r="M103" s="71"/>
      <c r="N103" s="91"/>
      <c r="O103" s="55"/>
      <c r="P103" s="14"/>
      <c r="Q103" s="14"/>
      <c r="R103" s="161" t="s">
        <v>1858</v>
      </c>
      <c r="S103" s="162"/>
      <c r="T103" s="163"/>
      <c r="U103" s="69"/>
      <c r="V103" s="164"/>
      <c r="W103" s="69"/>
      <c r="X103" s="165"/>
      <c r="Y103" s="69"/>
      <c r="Z103" s="166"/>
      <c r="AA103" s="167"/>
      <c r="AB103" s="167"/>
      <c r="AC103" s="167"/>
      <c r="AD103" s="71"/>
      <c r="AE103" s="91"/>
      <c r="AF103" s="55"/>
      <c r="AG103" s="14"/>
      <c r="AH103" s="14"/>
    </row>
    <row r="104" spans="1:34" s="1" customFormat="1">
      <c r="A104" s="25"/>
      <c r="B104" s="64"/>
      <c r="C104" s="65"/>
      <c r="D104" s="35"/>
      <c r="E104" s="29"/>
      <c r="F104" s="69"/>
      <c r="G104" s="22"/>
      <c r="H104" s="69"/>
      <c r="I104" s="27"/>
      <c r="J104" s="23"/>
      <c r="K104" s="23"/>
      <c r="L104" s="23"/>
      <c r="M104" s="63"/>
      <c r="N104" s="91"/>
      <c r="O104" s="55"/>
      <c r="P104" s="56"/>
      <c r="Q104" s="56"/>
      <c r="R104" s="25" t="s">
        <v>1859</v>
      </c>
      <c r="S104" s="64" t="s">
        <v>1860</v>
      </c>
      <c r="T104" s="65">
        <v>1</v>
      </c>
      <c r="U104" s="35" t="s">
        <v>75</v>
      </c>
      <c r="V104" s="29" t="s">
        <v>1859</v>
      </c>
      <c r="W104" s="69">
        <v>37.5</v>
      </c>
      <c r="X104" s="22">
        <f t="shared" ref="X104:X109" si="34">rv_apple_acc_ipad</f>
        <v>0.15</v>
      </c>
      <c r="Y104" s="69">
        <f>W104-(W104*X104)</f>
        <v>31.875</v>
      </c>
      <c r="Z104" s="27"/>
      <c r="AA104" s="23"/>
      <c r="AB104" s="23"/>
      <c r="AC104" s="23"/>
      <c r="AD104" s="63">
        <v>0</v>
      </c>
      <c r="AE104" s="91" t="s">
        <v>75</v>
      </c>
      <c r="AF104" s="55" t="s">
        <v>1106</v>
      </c>
      <c r="AG104" s="14" t="s">
        <v>1680</v>
      </c>
      <c r="AH104" s="14" t="s">
        <v>1681</v>
      </c>
    </row>
    <row r="105" spans="1:34" s="1" customFormat="1">
      <c r="A105" s="25" t="s">
        <v>1861</v>
      </c>
      <c r="B105" s="64" t="s">
        <v>1862</v>
      </c>
      <c r="C105" s="65">
        <v>1</v>
      </c>
      <c r="D105" s="35" t="s">
        <v>75</v>
      </c>
      <c r="E105" s="29" t="s">
        <v>1861</v>
      </c>
      <c r="F105" s="69">
        <v>54.17</v>
      </c>
      <c r="G105" s="22">
        <f t="shared" ref="G105:G107" si="35">rv_apple_acc_ipad</f>
        <v>0.15</v>
      </c>
      <c r="H105" s="69">
        <f t="shared" ref="H105" si="36">F105-(F105*G105)</f>
        <v>46.044499999999999</v>
      </c>
      <c r="I105" s="27"/>
      <c r="J105" s="23"/>
      <c r="K105" s="23"/>
      <c r="L105" s="23"/>
      <c r="M105" s="63">
        <v>0</v>
      </c>
      <c r="N105" s="91" t="s">
        <v>75</v>
      </c>
      <c r="O105" s="55" t="s">
        <v>1106</v>
      </c>
      <c r="P105" s="56" t="s">
        <v>504</v>
      </c>
      <c r="Q105" s="56" t="s">
        <v>1273</v>
      </c>
      <c r="R105" s="25" t="s">
        <v>1861</v>
      </c>
      <c r="S105" s="64" t="s">
        <v>1863</v>
      </c>
      <c r="T105" s="65">
        <v>1</v>
      </c>
      <c r="U105" s="35" t="s">
        <v>75</v>
      </c>
      <c r="V105" s="29" t="s">
        <v>1861</v>
      </c>
      <c r="W105" s="69">
        <v>54.17</v>
      </c>
      <c r="X105" s="22">
        <f t="shared" si="34"/>
        <v>0.15</v>
      </c>
      <c r="Y105" s="69">
        <f t="shared" ref="Y105" si="37">W105-(W105*X105)</f>
        <v>46.044499999999999</v>
      </c>
      <c r="Z105" s="27"/>
      <c r="AA105" s="23"/>
      <c r="AB105" s="23"/>
      <c r="AC105" s="23"/>
      <c r="AD105" s="63">
        <v>0</v>
      </c>
      <c r="AE105" s="91" t="s">
        <v>75</v>
      </c>
      <c r="AF105" s="55" t="s">
        <v>1106</v>
      </c>
      <c r="AG105" s="14" t="s">
        <v>1680</v>
      </c>
      <c r="AH105" s="14" t="s">
        <v>1681</v>
      </c>
    </row>
    <row r="106" spans="1:34" s="1" customFormat="1">
      <c r="A106" s="25" t="s">
        <v>1864</v>
      </c>
      <c r="B106" s="64" t="s">
        <v>1865</v>
      </c>
      <c r="C106" s="65">
        <v>1</v>
      </c>
      <c r="D106" s="35" t="s">
        <v>75</v>
      </c>
      <c r="E106" s="29" t="s">
        <v>1864</v>
      </c>
      <c r="F106" s="69">
        <v>45.83</v>
      </c>
      <c r="G106" s="22">
        <f t="shared" si="35"/>
        <v>0.15</v>
      </c>
      <c r="H106" s="69">
        <f>F106-(F106*G106)</f>
        <v>38.955500000000001</v>
      </c>
      <c r="I106" s="27"/>
      <c r="J106" s="23"/>
      <c r="K106" s="23"/>
      <c r="L106" s="23"/>
      <c r="M106" s="63">
        <v>0</v>
      </c>
      <c r="N106" s="451" t="s">
        <v>75</v>
      </c>
      <c r="O106" s="55" t="s">
        <v>1106</v>
      </c>
      <c r="P106" s="56" t="s">
        <v>1625</v>
      </c>
      <c r="Q106" s="56" t="s">
        <v>89</v>
      </c>
      <c r="R106" s="25" t="s">
        <v>1866</v>
      </c>
      <c r="S106" s="64" t="s">
        <v>1867</v>
      </c>
      <c r="T106" s="65">
        <v>1</v>
      </c>
      <c r="U106" s="35" t="s">
        <v>75</v>
      </c>
      <c r="V106" s="29" t="s">
        <v>1866</v>
      </c>
      <c r="W106" s="69">
        <v>45.83</v>
      </c>
      <c r="X106" s="22">
        <f t="shared" si="34"/>
        <v>0.15</v>
      </c>
      <c r="Y106" s="69">
        <f>W106-(W106*X106)</f>
        <v>38.955500000000001</v>
      </c>
      <c r="Z106" s="27"/>
      <c r="AA106" s="23"/>
      <c r="AB106" s="23"/>
      <c r="AC106" s="23"/>
      <c r="AD106" s="63">
        <v>0</v>
      </c>
      <c r="AE106" s="91" t="s">
        <v>75</v>
      </c>
      <c r="AF106" s="55" t="s">
        <v>1106</v>
      </c>
      <c r="AG106" s="14" t="s">
        <v>1680</v>
      </c>
      <c r="AH106" s="14" t="s">
        <v>1681</v>
      </c>
    </row>
    <row r="107" spans="1:34" s="1" customFormat="1">
      <c r="A107" s="25" t="s">
        <v>1868</v>
      </c>
      <c r="B107" s="64" t="s">
        <v>1869</v>
      </c>
      <c r="C107" s="65">
        <v>1</v>
      </c>
      <c r="D107" s="35" t="s">
        <v>75</v>
      </c>
      <c r="E107" s="29" t="s">
        <v>1868</v>
      </c>
      <c r="F107" s="69">
        <v>74.17</v>
      </c>
      <c r="G107" s="22">
        <f t="shared" si="35"/>
        <v>0.15</v>
      </c>
      <c r="H107" s="69">
        <f>F107-(F107*G107)</f>
        <v>63.044499999999999</v>
      </c>
      <c r="I107" s="27"/>
      <c r="J107" s="23"/>
      <c r="K107" s="23"/>
      <c r="L107" s="23"/>
      <c r="M107" s="63">
        <v>0</v>
      </c>
      <c r="N107" s="91" t="s">
        <v>75</v>
      </c>
      <c r="O107" s="55" t="s">
        <v>1106</v>
      </c>
      <c r="P107" s="56" t="s">
        <v>504</v>
      </c>
      <c r="Q107" s="56" t="s">
        <v>1273</v>
      </c>
      <c r="R107" s="25" t="s">
        <v>1868</v>
      </c>
      <c r="S107" s="64" t="s">
        <v>1870</v>
      </c>
      <c r="T107" s="65">
        <v>1</v>
      </c>
      <c r="U107" s="35" t="s">
        <v>75</v>
      </c>
      <c r="V107" s="29" t="s">
        <v>1868</v>
      </c>
      <c r="W107" s="69">
        <v>74.17</v>
      </c>
      <c r="X107" s="22">
        <f t="shared" si="34"/>
        <v>0.15</v>
      </c>
      <c r="Y107" s="69">
        <f>W107-(W107*X107)</f>
        <v>63.044499999999999</v>
      </c>
      <c r="Z107" s="27"/>
      <c r="AA107" s="23"/>
      <c r="AB107" s="23"/>
      <c r="AC107" s="23"/>
      <c r="AD107" s="63">
        <v>0</v>
      </c>
      <c r="AE107" s="91" t="s">
        <v>75</v>
      </c>
      <c r="AF107" s="55" t="s">
        <v>1106</v>
      </c>
      <c r="AG107" s="14" t="s">
        <v>1680</v>
      </c>
      <c r="AH107" s="14" t="s">
        <v>1681</v>
      </c>
    </row>
    <row r="108" spans="1:34" s="1" customFormat="1">
      <c r="A108" s="383" t="s">
        <v>1871</v>
      </c>
      <c r="B108" s="383" t="s">
        <v>1872</v>
      </c>
      <c r="C108" s="384">
        <v>1</v>
      </c>
      <c r="D108" s="385" t="s">
        <v>75</v>
      </c>
      <c r="E108" s="386" t="s">
        <v>1871</v>
      </c>
      <c r="F108" s="387">
        <v>74.17</v>
      </c>
      <c r="G108" s="388">
        <f t="shared" ref="G108:G116" si="38">rv_apple_acc_ipad</f>
        <v>0.15</v>
      </c>
      <c r="H108" s="387">
        <f t="shared" ref="H108:H112" si="39">F108-(F108*G108)</f>
        <v>63.044499999999999</v>
      </c>
      <c r="I108" s="27"/>
      <c r="J108" s="23"/>
      <c r="K108" s="23"/>
      <c r="L108" s="23"/>
      <c r="M108" s="63">
        <v>0</v>
      </c>
      <c r="N108" s="52" t="s">
        <v>75</v>
      </c>
      <c r="O108" s="55" t="s">
        <v>1106</v>
      </c>
      <c r="P108" s="56" t="s">
        <v>504</v>
      </c>
      <c r="Q108" s="56" t="s">
        <v>1273</v>
      </c>
      <c r="R108" s="416" t="s">
        <v>1871</v>
      </c>
      <c r="S108" s="383" t="s">
        <v>1873</v>
      </c>
      <c r="T108" s="384">
        <v>1</v>
      </c>
      <c r="U108" s="385" t="s">
        <v>75</v>
      </c>
      <c r="V108" s="386" t="s">
        <v>1871</v>
      </c>
      <c r="W108" s="387">
        <v>74.17</v>
      </c>
      <c r="X108" s="388">
        <f t="shared" si="34"/>
        <v>0.15</v>
      </c>
      <c r="Y108" s="387">
        <f t="shared" ref="Y108:Y131" si="40">W108-(W108*X108)</f>
        <v>63.044499999999999</v>
      </c>
      <c r="Z108" s="429"/>
      <c r="AA108" s="430"/>
      <c r="AB108" s="430"/>
      <c r="AC108" s="430"/>
      <c r="AD108" s="63">
        <v>0</v>
      </c>
      <c r="AE108" s="52" t="s">
        <v>75</v>
      </c>
      <c r="AF108" s="55" t="s">
        <v>1106</v>
      </c>
      <c r="AG108" s="14" t="s">
        <v>1680</v>
      </c>
      <c r="AH108" s="14" t="s">
        <v>1681</v>
      </c>
    </row>
    <row r="109" spans="1:34" s="1" customFormat="1">
      <c r="A109" s="383" t="s">
        <v>1874</v>
      </c>
      <c r="B109" s="383" t="s">
        <v>1875</v>
      </c>
      <c r="C109" s="384">
        <v>1</v>
      </c>
      <c r="D109" s="385" t="s">
        <v>75</v>
      </c>
      <c r="E109" s="386" t="s">
        <v>1874</v>
      </c>
      <c r="F109" s="387">
        <v>90.83</v>
      </c>
      <c r="G109" s="388">
        <f t="shared" si="38"/>
        <v>0.15</v>
      </c>
      <c r="H109" s="387">
        <f t="shared" si="39"/>
        <v>77.205500000000001</v>
      </c>
      <c r="I109" s="27"/>
      <c r="J109" s="23"/>
      <c r="K109" s="23"/>
      <c r="L109" s="23"/>
      <c r="M109" s="63">
        <v>0</v>
      </c>
      <c r="N109" s="52" t="s">
        <v>75</v>
      </c>
      <c r="O109" s="55" t="s">
        <v>1106</v>
      </c>
      <c r="P109" s="56" t="s">
        <v>504</v>
      </c>
      <c r="Q109" s="56" t="s">
        <v>1273</v>
      </c>
      <c r="R109" s="416" t="s">
        <v>1874</v>
      </c>
      <c r="S109" s="383" t="s">
        <v>1876</v>
      </c>
      <c r="T109" s="384">
        <v>1</v>
      </c>
      <c r="U109" s="385" t="s">
        <v>75</v>
      </c>
      <c r="V109" s="386" t="s">
        <v>1874</v>
      </c>
      <c r="W109" s="387">
        <v>90.83</v>
      </c>
      <c r="X109" s="388">
        <f t="shared" si="34"/>
        <v>0.15</v>
      </c>
      <c r="Y109" s="387">
        <f t="shared" si="40"/>
        <v>77.205500000000001</v>
      </c>
      <c r="Z109" s="429"/>
      <c r="AA109" s="430"/>
      <c r="AB109" s="430"/>
      <c r="AC109" s="430"/>
      <c r="AD109" s="63">
        <v>0</v>
      </c>
      <c r="AE109" s="52" t="s">
        <v>75</v>
      </c>
      <c r="AF109" s="55" t="s">
        <v>1106</v>
      </c>
      <c r="AG109" s="14" t="s">
        <v>1680</v>
      </c>
      <c r="AH109" s="14" t="s">
        <v>1681</v>
      </c>
    </row>
    <row r="110" spans="1:34" s="1" customFormat="1">
      <c r="A110" s="25" t="s">
        <v>1877</v>
      </c>
      <c r="B110" s="64" t="s">
        <v>1878</v>
      </c>
      <c r="C110" s="65">
        <v>1</v>
      </c>
      <c r="D110" s="35" t="s">
        <v>75</v>
      </c>
      <c r="E110" s="29" t="s">
        <v>1877</v>
      </c>
      <c r="F110" s="69">
        <v>74.17</v>
      </c>
      <c r="G110" s="22">
        <f t="shared" si="38"/>
        <v>0.15</v>
      </c>
      <c r="H110" s="69">
        <f t="shared" si="39"/>
        <v>63.044499999999999</v>
      </c>
      <c r="I110" s="27"/>
      <c r="J110" s="23"/>
      <c r="K110" s="23"/>
      <c r="L110" s="23"/>
      <c r="M110" s="63">
        <v>0</v>
      </c>
      <c r="N110" s="451" t="s">
        <v>75</v>
      </c>
      <c r="O110" s="55" t="s">
        <v>1106</v>
      </c>
      <c r="P110" s="56" t="s">
        <v>1625</v>
      </c>
      <c r="Q110" s="56" t="s">
        <v>89</v>
      </c>
      <c r="R110" s="416"/>
      <c r="S110" s="383"/>
      <c r="T110" s="384"/>
      <c r="U110" s="385"/>
      <c r="V110" s="386"/>
      <c r="W110" s="387"/>
      <c r="X110" s="388"/>
      <c r="Y110" s="387"/>
      <c r="Z110" s="429"/>
      <c r="AA110" s="430"/>
      <c r="AB110" s="430"/>
      <c r="AC110" s="430"/>
      <c r="AD110" s="58"/>
      <c r="AE110" s="52"/>
      <c r="AF110" s="55"/>
      <c r="AG110" s="14"/>
      <c r="AH110" s="14"/>
    </row>
    <row r="111" spans="1:34" s="1" customFormat="1">
      <c r="A111" s="25" t="s">
        <v>1879</v>
      </c>
      <c r="B111" s="64" t="s">
        <v>1880</v>
      </c>
      <c r="C111" s="65">
        <v>1</v>
      </c>
      <c r="D111" s="35" t="s">
        <v>75</v>
      </c>
      <c r="E111" s="29" t="s">
        <v>1879</v>
      </c>
      <c r="F111" s="69">
        <v>74.17</v>
      </c>
      <c r="G111" s="22">
        <f t="shared" si="38"/>
        <v>0.15</v>
      </c>
      <c r="H111" s="69">
        <f t="shared" si="39"/>
        <v>63.044499999999999</v>
      </c>
      <c r="I111" s="27"/>
      <c r="J111" s="23"/>
      <c r="K111" s="23"/>
      <c r="L111" s="23"/>
      <c r="M111" s="63">
        <v>0</v>
      </c>
      <c r="N111" s="451" t="s">
        <v>75</v>
      </c>
      <c r="O111" s="55" t="s">
        <v>1106</v>
      </c>
      <c r="P111" s="56" t="s">
        <v>1625</v>
      </c>
      <c r="Q111" s="56" t="s">
        <v>89</v>
      </c>
      <c r="R111" s="416"/>
      <c r="S111" s="383"/>
      <c r="T111" s="384"/>
      <c r="U111" s="385"/>
      <c r="V111" s="386"/>
      <c r="W111" s="387"/>
      <c r="X111" s="388"/>
      <c r="Y111" s="387"/>
      <c r="Z111" s="429"/>
      <c r="AA111" s="430"/>
      <c r="AB111" s="430"/>
      <c r="AC111" s="430"/>
      <c r="AD111" s="58"/>
      <c r="AE111" s="52"/>
      <c r="AF111" s="55"/>
      <c r="AG111" s="14"/>
      <c r="AH111" s="14"/>
    </row>
    <row r="112" spans="1:34" s="1" customFormat="1">
      <c r="A112" s="25" t="s">
        <v>1881</v>
      </c>
      <c r="B112" s="64" t="s">
        <v>1882</v>
      </c>
      <c r="C112" s="65">
        <v>1</v>
      </c>
      <c r="D112" s="35" t="s">
        <v>75</v>
      </c>
      <c r="E112" s="29" t="s">
        <v>1881</v>
      </c>
      <c r="F112" s="69">
        <v>74.17</v>
      </c>
      <c r="G112" s="22">
        <f t="shared" si="38"/>
        <v>0.15</v>
      </c>
      <c r="H112" s="69">
        <f t="shared" si="39"/>
        <v>63.044499999999999</v>
      </c>
      <c r="I112" s="27"/>
      <c r="J112" s="23"/>
      <c r="K112" s="23"/>
      <c r="L112" s="23"/>
      <c r="M112" s="63">
        <v>0</v>
      </c>
      <c r="N112" s="451" t="s">
        <v>75</v>
      </c>
      <c r="O112" s="55" t="s">
        <v>1106</v>
      </c>
      <c r="P112" s="56" t="s">
        <v>1625</v>
      </c>
      <c r="Q112" s="56" t="s">
        <v>89</v>
      </c>
      <c r="R112" s="416"/>
      <c r="S112" s="383"/>
      <c r="T112" s="384"/>
      <c r="U112" s="385"/>
      <c r="V112" s="386"/>
      <c r="W112" s="387"/>
      <c r="X112" s="388"/>
      <c r="Y112" s="387"/>
      <c r="Z112" s="429"/>
      <c r="AA112" s="430"/>
      <c r="AB112" s="430"/>
      <c r="AC112" s="430"/>
      <c r="AD112" s="58"/>
      <c r="AE112" s="52"/>
      <c r="AF112" s="55"/>
      <c r="AG112" s="14"/>
      <c r="AH112" s="14"/>
    </row>
    <row r="113" spans="1:34" s="288" customFormat="1">
      <c r="A113" s="25" t="s">
        <v>1883</v>
      </c>
      <c r="B113" s="383" t="s">
        <v>1884</v>
      </c>
      <c r="C113" s="384">
        <v>1</v>
      </c>
      <c r="D113" s="485" t="s">
        <v>1885</v>
      </c>
      <c r="E113" s="29" t="s">
        <v>1883</v>
      </c>
      <c r="F113" s="387">
        <v>30</v>
      </c>
      <c r="G113" s="388">
        <f t="shared" si="38"/>
        <v>0.15</v>
      </c>
      <c r="H113" s="387">
        <f t="shared" ref="H113:H116" si="41">F113-(F113*G113)</f>
        <v>25.5</v>
      </c>
      <c r="I113" s="27"/>
      <c r="J113" s="23"/>
      <c r="K113" s="23"/>
      <c r="L113" s="23"/>
      <c r="M113" s="63">
        <v>0</v>
      </c>
      <c r="N113" s="450" t="s">
        <v>75</v>
      </c>
      <c r="O113" s="55" t="s">
        <v>1106</v>
      </c>
      <c r="P113" s="56" t="s">
        <v>504</v>
      </c>
      <c r="Q113" s="56" t="s">
        <v>1273</v>
      </c>
      <c r="R113" s="605"/>
      <c r="S113" s="447"/>
      <c r="T113" s="606"/>
      <c r="U113" s="607"/>
      <c r="V113" s="608"/>
      <c r="W113" s="609"/>
      <c r="X113" s="448"/>
      <c r="Y113" s="609"/>
      <c r="Z113" s="429"/>
      <c r="AA113" s="430"/>
      <c r="AB113" s="430"/>
      <c r="AC113" s="430"/>
      <c r="AD113" s="58"/>
      <c r="AE113" s="449"/>
      <c r="AF113" s="336"/>
      <c r="AG113" s="449"/>
      <c r="AH113" s="449"/>
    </row>
    <row r="114" spans="1:34" s="288" customFormat="1" ht="14.1" customHeight="1">
      <c r="A114" s="25" t="s">
        <v>1886</v>
      </c>
      <c r="B114" s="383" t="s">
        <v>1887</v>
      </c>
      <c r="C114" s="504">
        <v>1</v>
      </c>
      <c r="D114" s="534" t="s">
        <v>1885</v>
      </c>
      <c r="E114" s="29" t="s">
        <v>1886</v>
      </c>
      <c r="F114" s="387">
        <v>35</v>
      </c>
      <c r="G114" s="388">
        <f t="shared" si="38"/>
        <v>0.15</v>
      </c>
      <c r="H114" s="387">
        <f t="shared" si="41"/>
        <v>29.75</v>
      </c>
      <c r="I114" s="27"/>
      <c r="J114" s="23"/>
      <c r="K114" s="23"/>
      <c r="L114" s="23"/>
      <c r="M114" s="63">
        <v>0</v>
      </c>
      <c r="N114" s="450" t="s">
        <v>75</v>
      </c>
      <c r="O114" s="55" t="s">
        <v>1106</v>
      </c>
      <c r="P114" s="56" t="s">
        <v>504</v>
      </c>
      <c r="Q114" s="56" t="s">
        <v>1273</v>
      </c>
      <c r="R114" s="605"/>
      <c r="S114" s="447"/>
      <c r="T114" s="606"/>
      <c r="U114" s="607"/>
      <c r="V114" s="608"/>
      <c r="W114" s="609"/>
      <c r="X114" s="448"/>
      <c r="Y114" s="609"/>
      <c r="Z114" s="429"/>
      <c r="AA114" s="430"/>
      <c r="AB114" s="430"/>
      <c r="AC114" s="430"/>
      <c r="AD114" s="58"/>
      <c r="AE114" s="449"/>
      <c r="AF114" s="336"/>
      <c r="AG114" s="449"/>
      <c r="AH114" s="449"/>
    </row>
    <row r="115" spans="1:34" s="288" customFormat="1" ht="14.1" customHeight="1">
      <c r="A115" s="25" t="s">
        <v>1888</v>
      </c>
      <c r="B115" s="383" t="s">
        <v>1889</v>
      </c>
      <c r="C115" s="504">
        <v>1</v>
      </c>
      <c r="D115" s="534" t="s">
        <v>1885</v>
      </c>
      <c r="E115" s="29" t="s">
        <v>1888</v>
      </c>
      <c r="F115" s="387">
        <v>32</v>
      </c>
      <c r="G115" s="388">
        <f t="shared" si="38"/>
        <v>0.15</v>
      </c>
      <c r="H115" s="387">
        <f t="shared" si="41"/>
        <v>27.2</v>
      </c>
      <c r="I115" s="27"/>
      <c r="J115" s="23"/>
      <c r="K115" s="23"/>
      <c r="L115" s="23"/>
      <c r="M115" s="63">
        <v>0</v>
      </c>
      <c r="N115" s="450" t="s">
        <v>75</v>
      </c>
      <c r="O115" s="55" t="s">
        <v>1106</v>
      </c>
      <c r="P115" s="56" t="s">
        <v>504</v>
      </c>
      <c r="Q115" s="56" t="s">
        <v>1273</v>
      </c>
      <c r="R115" s="605"/>
      <c r="S115" s="447"/>
      <c r="T115" s="606"/>
      <c r="U115" s="607"/>
      <c r="V115" s="608"/>
      <c r="W115" s="609"/>
      <c r="X115" s="448"/>
      <c r="Y115" s="609"/>
      <c r="Z115" s="429"/>
      <c r="AA115" s="430"/>
      <c r="AB115" s="430"/>
      <c r="AC115" s="430"/>
      <c r="AD115" s="58"/>
      <c r="AE115" s="449"/>
      <c r="AF115" s="336"/>
      <c r="AG115" s="449"/>
      <c r="AH115" s="449"/>
    </row>
    <row r="116" spans="1:34" s="288" customFormat="1" ht="14.1" customHeight="1">
      <c r="A116" s="25" t="s">
        <v>1890</v>
      </c>
      <c r="B116" s="383" t="s">
        <v>1891</v>
      </c>
      <c r="C116" s="386">
        <v>1</v>
      </c>
      <c r="D116" s="534" t="s">
        <v>1885</v>
      </c>
      <c r="E116" s="29" t="s">
        <v>1890</v>
      </c>
      <c r="F116" s="387">
        <v>35</v>
      </c>
      <c r="G116" s="388">
        <f t="shared" si="38"/>
        <v>0.15</v>
      </c>
      <c r="H116" s="387">
        <f t="shared" si="41"/>
        <v>29.75</v>
      </c>
      <c r="I116" s="27"/>
      <c r="J116" s="23"/>
      <c r="K116" s="23"/>
      <c r="L116" s="23"/>
      <c r="M116" s="63">
        <v>0</v>
      </c>
      <c r="N116" s="450" t="s">
        <v>75</v>
      </c>
      <c r="O116" s="55" t="s">
        <v>1106</v>
      </c>
      <c r="P116" s="56" t="s">
        <v>504</v>
      </c>
      <c r="Q116" s="56" t="s">
        <v>1273</v>
      </c>
      <c r="R116" s="605"/>
      <c r="S116" s="447"/>
      <c r="T116" s="606"/>
      <c r="U116" s="607"/>
      <c r="V116" s="608"/>
      <c r="W116" s="609"/>
      <c r="X116" s="448"/>
      <c r="Y116" s="609"/>
      <c r="Z116" s="429"/>
      <c r="AA116" s="430"/>
      <c r="AB116" s="430"/>
      <c r="AC116" s="430"/>
      <c r="AD116" s="58"/>
      <c r="AE116" s="449"/>
      <c r="AF116" s="336"/>
      <c r="AG116" s="449"/>
      <c r="AH116" s="449"/>
    </row>
    <row r="117" spans="1:34" s="186" customFormat="1">
      <c r="A117" s="294" t="s">
        <v>1892</v>
      </c>
      <c r="B117" s="60" t="s">
        <v>1893</v>
      </c>
      <c r="C117" s="29">
        <v>1</v>
      </c>
      <c r="D117" s="295" t="s">
        <v>1894</v>
      </c>
      <c r="E117" s="296" t="s">
        <v>1892</v>
      </c>
      <c r="F117" s="116">
        <v>41.66</v>
      </c>
      <c r="G117" s="22">
        <f t="shared" ref="G117:G134" si="42">rv_20</f>
        <v>0.2</v>
      </c>
      <c r="H117" s="31">
        <f t="shared" ref="H117:H131" si="43">F117-(F117*G117)</f>
        <v>33.327999999999996</v>
      </c>
      <c r="I117" s="31"/>
      <c r="J117" s="17"/>
      <c r="K117" s="17"/>
      <c r="L117" s="17" t="s">
        <v>77</v>
      </c>
      <c r="M117" s="17" t="s">
        <v>77</v>
      </c>
      <c r="N117" s="91" t="s">
        <v>75</v>
      </c>
      <c r="O117" s="55" t="s">
        <v>1106</v>
      </c>
      <c r="P117" s="56" t="s">
        <v>504</v>
      </c>
      <c r="Q117" s="56" t="s">
        <v>1273</v>
      </c>
      <c r="R117" s="294" t="s">
        <v>1892</v>
      </c>
      <c r="S117" s="60" t="s">
        <v>1893</v>
      </c>
      <c r="T117" s="29">
        <v>1</v>
      </c>
      <c r="U117" s="295" t="s">
        <v>1894</v>
      </c>
      <c r="V117" s="296" t="s">
        <v>1892</v>
      </c>
      <c r="W117" s="116">
        <v>41.66</v>
      </c>
      <c r="X117" s="22">
        <f t="shared" ref="X117:X134" si="44">rv_20</f>
        <v>0.2</v>
      </c>
      <c r="Y117" s="31">
        <f t="shared" si="40"/>
        <v>33.327999999999996</v>
      </c>
      <c r="Z117" s="31"/>
      <c r="AA117" s="17"/>
      <c r="AB117" s="17"/>
      <c r="AC117" s="17" t="s">
        <v>77</v>
      </c>
      <c r="AD117" s="17" t="s">
        <v>77</v>
      </c>
      <c r="AE117" s="91" t="s">
        <v>75</v>
      </c>
      <c r="AF117" s="55" t="s">
        <v>1106</v>
      </c>
      <c r="AG117" s="14" t="s">
        <v>504</v>
      </c>
      <c r="AH117" s="14" t="s">
        <v>1273</v>
      </c>
    </row>
    <row r="118" spans="1:34" s="186" customFormat="1">
      <c r="A118" s="294" t="s">
        <v>1895</v>
      </c>
      <c r="B118" s="60" t="s">
        <v>1896</v>
      </c>
      <c r="C118" s="29">
        <v>1</v>
      </c>
      <c r="D118" s="295" t="s">
        <v>1894</v>
      </c>
      <c r="E118" s="296" t="s">
        <v>1895</v>
      </c>
      <c r="F118" s="116">
        <v>20.83</v>
      </c>
      <c r="G118" s="22">
        <f t="shared" si="42"/>
        <v>0.2</v>
      </c>
      <c r="H118" s="31">
        <f t="shared" si="43"/>
        <v>16.663999999999998</v>
      </c>
      <c r="I118" s="31"/>
      <c r="J118" s="17"/>
      <c r="K118" s="17"/>
      <c r="L118" s="17" t="s">
        <v>77</v>
      </c>
      <c r="M118" s="17" t="s">
        <v>77</v>
      </c>
      <c r="N118" s="91" t="s">
        <v>75</v>
      </c>
      <c r="O118" s="55" t="s">
        <v>1106</v>
      </c>
      <c r="P118" s="56" t="s">
        <v>504</v>
      </c>
      <c r="Q118" s="56" t="s">
        <v>1273</v>
      </c>
      <c r="R118" s="294" t="s">
        <v>1895</v>
      </c>
      <c r="S118" s="60" t="s">
        <v>1896</v>
      </c>
      <c r="T118" s="29">
        <v>1</v>
      </c>
      <c r="U118" s="295" t="s">
        <v>1894</v>
      </c>
      <c r="V118" s="296" t="s">
        <v>1895</v>
      </c>
      <c r="W118" s="116">
        <v>20.83</v>
      </c>
      <c r="X118" s="22">
        <f t="shared" si="44"/>
        <v>0.2</v>
      </c>
      <c r="Y118" s="31">
        <f t="shared" si="40"/>
        <v>16.663999999999998</v>
      </c>
      <c r="Z118" s="31"/>
      <c r="AA118" s="17"/>
      <c r="AB118" s="17"/>
      <c r="AC118" s="17" t="s">
        <v>77</v>
      </c>
      <c r="AD118" s="17" t="s">
        <v>77</v>
      </c>
      <c r="AE118" s="91" t="s">
        <v>75</v>
      </c>
      <c r="AF118" s="55" t="s">
        <v>1106</v>
      </c>
      <c r="AG118" s="14" t="s">
        <v>504</v>
      </c>
      <c r="AH118" s="14" t="s">
        <v>1273</v>
      </c>
    </row>
    <row r="119" spans="1:34" s="186" customFormat="1">
      <c r="A119" s="294" t="s">
        <v>1897</v>
      </c>
      <c r="B119" s="60" t="s">
        <v>1898</v>
      </c>
      <c r="C119" s="29">
        <v>1</v>
      </c>
      <c r="D119" s="295" t="s">
        <v>1894</v>
      </c>
      <c r="E119" s="296" t="s">
        <v>1897</v>
      </c>
      <c r="F119" s="116">
        <v>24.99</v>
      </c>
      <c r="G119" s="22">
        <f t="shared" si="42"/>
        <v>0.2</v>
      </c>
      <c r="H119" s="31">
        <f t="shared" si="43"/>
        <v>19.991999999999997</v>
      </c>
      <c r="I119" s="31"/>
      <c r="J119" s="17"/>
      <c r="K119" s="17"/>
      <c r="L119" s="17" t="s">
        <v>77</v>
      </c>
      <c r="M119" s="17" t="s">
        <v>77</v>
      </c>
      <c r="N119" s="91" t="s">
        <v>75</v>
      </c>
      <c r="O119" s="55" t="s">
        <v>1106</v>
      </c>
      <c r="P119" s="56" t="s">
        <v>504</v>
      </c>
      <c r="Q119" s="56" t="s">
        <v>1273</v>
      </c>
      <c r="R119" s="294" t="s">
        <v>1897</v>
      </c>
      <c r="S119" s="60" t="s">
        <v>1898</v>
      </c>
      <c r="T119" s="29">
        <v>1</v>
      </c>
      <c r="U119" s="295" t="s">
        <v>1894</v>
      </c>
      <c r="V119" s="296" t="s">
        <v>1897</v>
      </c>
      <c r="W119" s="116">
        <v>24.99</v>
      </c>
      <c r="X119" s="22">
        <f t="shared" si="44"/>
        <v>0.2</v>
      </c>
      <c r="Y119" s="31">
        <f t="shared" si="40"/>
        <v>19.991999999999997</v>
      </c>
      <c r="Z119" s="31"/>
      <c r="AA119" s="17"/>
      <c r="AB119" s="17"/>
      <c r="AC119" s="17" t="s">
        <v>77</v>
      </c>
      <c r="AD119" s="17" t="s">
        <v>77</v>
      </c>
      <c r="AE119" s="91" t="s">
        <v>75</v>
      </c>
      <c r="AF119" s="55" t="s">
        <v>1106</v>
      </c>
      <c r="AG119" s="14" t="s">
        <v>504</v>
      </c>
      <c r="AH119" s="14" t="s">
        <v>1273</v>
      </c>
    </row>
    <row r="120" spans="1:34" s="186" customFormat="1">
      <c r="A120" s="294" t="s">
        <v>1899</v>
      </c>
      <c r="B120" s="60" t="s">
        <v>1900</v>
      </c>
      <c r="C120" s="29">
        <v>1</v>
      </c>
      <c r="D120" s="295" t="s">
        <v>1894</v>
      </c>
      <c r="E120" s="296" t="s">
        <v>1899</v>
      </c>
      <c r="F120" s="116">
        <v>24.99</v>
      </c>
      <c r="G120" s="22">
        <f t="shared" si="42"/>
        <v>0.2</v>
      </c>
      <c r="H120" s="31">
        <f t="shared" si="43"/>
        <v>19.991999999999997</v>
      </c>
      <c r="I120" s="31"/>
      <c r="J120" s="17"/>
      <c r="K120" s="17"/>
      <c r="L120" s="17" t="s">
        <v>77</v>
      </c>
      <c r="M120" s="17" t="s">
        <v>77</v>
      </c>
      <c r="N120" s="91" t="s">
        <v>75</v>
      </c>
      <c r="O120" s="55" t="s">
        <v>1106</v>
      </c>
      <c r="P120" s="56" t="s">
        <v>504</v>
      </c>
      <c r="Q120" s="56" t="s">
        <v>1273</v>
      </c>
      <c r="R120" s="294" t="s">
        <v>1899</v>
      </c>
      <c r="S120" s="60" t="s">
        <v>1900</v>
      </c>
      <c r="T120" s="29">
        <v>1</v>
      </c>
      <c r="U120" s="295" t="s">
        <v>1894</v>
      </c>
      <c r="V120" s="296" t="s">
        <v>1899</v>
      </c>
      <c r="W120" s="116">
        <v>24.99</v>
      </c>
      <c r="X120" s="22">
        <f t="shared" si="44"/>
        <v>0.2</v>
      </c>
      <c r="Y120" s="31">
        <f t="shared" si="40"/>
        <v>19.991999999999997</v>
      </c>
      <c r="Z120" s="31"/>
      <c r="AA120" s="17"/>
      <c r="AB120" s="17"/>
      <c r="AC120" s="17" t="s">
        <v>77</v>
      </c>
      <c r="AD120" s="17" t="s">
        <v>77</v>
      </c>
      <c r="AE120" s="91" t="s">
        <v>75</v>
      </c>
      <c r="AF120" s="55" t="s">
        <v>1106</v>
      </c>
      <c r="AG120" s="14" t="s">
        <v>504</v>
      </c>
      <c r="AH120" s="14" t="s">
        <v>1273</v>
      </c>
    </row>
    <row r="121" spans="1:34" s="186" customFormat="1">
      <c r="A121" s="25" t="s">
        <v>1901</v>
      </c>
      <c r="B121" s="60" t="s">
        <v>1902</v>
      </c>
      <c r="C121" s="29">
        <v>1</v>
      </c>
      <c r="D121" s="295" t="s">
        <v>1894</v>
      </c>
      <c r="E121" s="296" t="s">
        <v>1901</v>
      </c>
      <c r="F121" s="116">
        <v>45.83</v>
      </c>
      <c r="G121" s="22">
        <f t="shared" si="42"/>
        <v>0.2</v>
      </c>
      <c r="H121" s="31">
        <f t="shared" si="43"/>
        <v>36.664000000000001</v>
      </c>
      <c r="I121" s="31"/>
      <c r="J121" s="17"/>
      <c r="K121" s="17"/>
      <c r="L121" s="17" t="s">
        <v>77</v>
      </c>
      <c r="M121" s="17" t="s">
        <v>77</v>
      </c>
      <c r="N121" s="91" t="s">
        <v>75</v>
      </c>
      <c r="O121" s="55" t="s">
        <v>1106</v>
      </c>
      <c r="P121" s="56" t="s">
        <v>504</v>
      </c>
      <c r="Q121" s="56" t="s">
        <v>1273</v>
      </c>
      <c r="R121" s="25" t="s">
        <v>1901</v>
      </c>
      <c r="S121" s="60" t="s">
        <v>1902</v>
      </c>
      <c r="T121" s="29">
        <v>1</v>
      </c>
      <c r="U121" s="295" t="s">
        <v>1894</v>
      </c>
      <c r="V121" s="296" t="s">
        <v>1901</v>
      </c>
      <c r="W121" s="116">
        <v>45.83</v>
      </c>
      <c r="X121" s="22">
        <f t="shared" si="44"/>
        <v>0.2</v>
      </c>
      <c r="Y121" s="31">
        <f t="shared" si="40"/>
        <v>36.664000000000001</v>
      </c>
      <c r="Z121" s="31"/>
      <c r="AA121" s="17"/>
      <c r="AB121" s="17"/>
      <c r="AC121" s="17" t="s">
        <v>77</v>
      </c>
      <c r="AD121" s="17" t="s">
        <v>77</v>
      </c>
      <c r="AE121" s="91" t="s">
        <v>75</v>
      </c>
      <c r="AF121" s="55" t="s">
        <v>1106</v>
      </c>
      <c r="AG121" s="14" t="s">
        <v>504</v>
      </c>
      <c r="AH121" s="14" t="s">
        <v>1273</v>
      </c>
    </row>
    <row r="122" spans="1:34" s="186" customFormat="1">
      <c r="A122" s="294" t="s">
        <v>1903</v>
      </c>
      <c r="B122" s="60" t="s">
        <v>1904</v>
      </c>
      <c r="C122" s="29">
        <v>1</v>
      </c>
      <c r="D122" s="295" t="s">
        <v>1894</v>
      </c>
      <c r="E122" s="296" t="s">
        <v>1903</v>
      </c>
      <c r="F122" s="116">
        <v>45.825000000000003</v>
      </c>
      <c r="G122" s="22">
        <f t="shared" si="42"/>
        <v>0.2</v>
      </c>
      <c r="H122" s="31">
        <f t="shared" si="43"/>
        <v>36.660000000000004</v>
      </c>
      <c r="I122" s="31"/>
      <c r="J122" s="17"/>
      <c r="K122" s="17"/>
      <c r="L122" s="17" t="s">
        <v>77</v>
      </c>
      <c r="M122" s="17" t="s">
        <v>77</v>
      </c>
      <c r="N122" s="91" t="s">
        <v>75</v>
      </c>
      <c r="O122" s="55" t="s">
        <v>1106</v>
      </c>
      <c r="P122" s="56" t="s">
        <v>504</v>
      </c>
      <c r="Q122" s="56" t="s">
        <v>1273</v>
      </c>
      <c r="R122" s="294" t="s">
        <v>1903</v>
      </c>
      <c r="S122" s="60" t="s">
        <v>1904</v>
      </c>
      <c r="T122" s="29">
        <v>1</v>
      </c>
      <c r="U122" s="295" t="s">
        <v>1894</v>
      </c>
      <c r="V122" s="296" t="s">
        <v>1903</v>
      </c>
      <c r="W122" s="116">
        <v>45.825000000000003</v>
      </c>
      <c r="X122" s="22">
        <f t="shared" si="44"/>
        <v>0.2</v>
      </c>
      <c r="Y122" s="31">
        <f t="shared" si="40"/>
        <v>36.660000000000004</v>
      </c>
      <c r="Z122" s="31"/>
      <c r="AA122" s="17"/>
      <c r="AB122" s="17"/>
      <c r="AC122" s="17" t="s">
        <v>77</v>
      </c>
      <c r="AD122" s="17" t="s">
        <v>77</v>
      </c>
      <c r="AE122" s="91" t="s">
        <v>75</v>
      </c>
      <c r="AF122" s="55" t="s">
        <v>1106</v>
      </c>
      <c r="AG122" s="14" t="s">
        <v>504</v>
      </c>
      <c r="AH122" s="14" t="s">
        <v>1273</v>
      </c>
    </row>
    <row r="123" spans="1:34" s="186" customFormat="1">
      <c r="A123" s="25" t="s">
        <v>1905</v>
      </c>
      <c r="B123" s="60" t="s">
        <v>1906</v>
      </c>
      <c r="C123" s="29">
        <v>1</v>
      </c>
      <c r="D123" s="295" t="s">
        <v>1894</v>
      </c>
      <c r="E123" s="296" t="s">
        <v>1905</v>
      </c>
      <c r="F123" s="116">
        <v>29.16</v>
      </c>
      <c r="G123" s="22">
        <f t="shared" si="42"/>
        <v>0.2</v>
      </c>
      <c r="H123" s="31">
        <f t="shared" si="43"/>
        <v>23.327999999999999</v>
      </c>
      <c r="I123" s="31"/>
      <c r="J123" s="17"/>
      <c r="K123" s="17"/>
      <c r="L123" s="17" t="s">
        <v>77</v>
      </c>
      <c r="M123" s="17" t="s">
        <v>77</v>
      </c>
      <c r="N123" s="91" t="s">
        <v>75</v>
      </c>
      <c r="O123" s="55" t="s">
        <v>1106</v>
      </c>
      <c r="P123" s="56" t="s">
        <v>504</v>
      </c>
      <c r="Q123" s="56" t="s">
        <v>1273</v>
      </c>
      <c r="R123" s="25" t="s">
        <v>1905</v>
      </c>
      <c r="S123" s="60" t="s">
        <v>1906</v>
      </c>
      <c r="T123" s="29">
        <v>1</v>
      </c>
      <c r="U123" s="295" t="s">
        <v>1894</v>
      </c>
      <c r="V123" s="296" t="s">
        <v>1905</v>
      </c>
      <c r="W123" s="116">
        <v>29.16</v>
      </c>
      <c r="X123" s="22">
        <f t="shared" si="44"/>
        <v>0.2</v>
      </c>
      <c r="Y123" s="31">
        <f t="shared" si="40"/>
        <v>23.327999999999999</v>
      </c>
      <c r="Z123" s="31"/>
      <c r="AA123" s="17"/>
      <c r="AB123" s="17"/>
      <c r="AC123" s="17" t="s">
        <v>77</v>
      </c>
      <c r="AD123" s="17" t="s">
        <v>77</v>
      </c>
      <c r="AE123" s="91" t="s">
        <v>75</v>
      </c>
      <c r="AF123" s="55" t="s">
        <v>1106</v>
      </c>
      <c r="AG123" s="14" t="s">
        <v>504</v>
      </c>
      <c r="AH123" s="14" t="s">
        <v>1273</v>
      </c>
    </row>
    <row r="124" spans="1:34" s="186" customFormat="1">
      <c r="A124" s="25" t="s">
        <v>1907</v>
      </c>
      <c r="B124" s="60" t="s">
        <v>1908</v>
      </c>
      <c r="C124" s="29">
        <v>1</v>
      </c>
      <c r="D124" s="295" t="s">
        <v>1894</v>
      </c>
      <c r="E124" s="296" t="s">
        <v>1907</v>
      </c>
      <c r="F124" s="116">
        <v>29.16</v>
      </c>
      <c r="G124" s="22">
        <f t="shared" si="42"/>
        <v>0.2</v>
      </c>
      <c r="H124" s="31">
        <f t="shared" si="43"/>
        <v>23.327999999999999</v>
      </c>
      <c r="I124" s="31"/>
      <c r="J124" s="17"/>
      <c r="K124" s="17"/>
      <c r="L124" s="17" t="s">
        <v>77</v>
      </c>
      <c r="M124" s="17" t="s">
        <v>77</v>
      </c>
      <c r="N124" s="91" t="s">
        <v>75</v>
      </c>
      <c r="O124" s="55" t="s">
        <v>1106</v>
      </c>
      <c r="P124" s="56" t="s">
        <v>504</v>
      </c>
      <c r="Q124" s="56" t="s">
        <v>1273</v>
      </c>
      <c r="R124" s="25" t="s">
        <v>1907</v>
      </c>
      <c r="S124" s="60" t="s">
        <v>1908</v>
      </c>
      <c r="T124" s="29">
        <v>1</v>
      </c>
      <c r="U124" s="295" t="s">
        <v>1894</v>
      </c>
      <c r="V124" s="296" t="s">
        <v>1907</v>
      </c>
      <c r="W124" s="116">
        <v>29.16</v>
      </c>
      <c r="X124" s="22">
        <f t="shared" si="44"/>
        <v>0.2</v>
      </c>
      <c r="Y124" s="31">
        <f t="shared" si="40"/>
        <v>23.327999999999999</v>
      </c>
      <c r="Z124" s="31"/>
      <c r="AA124" s="17"/>
      <c r="AB124" s="17"/>
      <c r="AC124" s="17" t="s">
        <v>77</v>
      </c>
      <c r="AD124" s="17" t="s">
        <v>77</v>
      </c>
      <c r="AE124" s="91" t="s">
        <v>75</v>
      </c>
      <c r="AF124" s="55" t="s">
        <v>1106</v>
      </c>
      <c r="AG124" s="14" t="s">
        <v>504</v>
      </c>
      <c r="AH124" s="14" t="s">
        <v>1273</v>
      </c>
    </row>
    <row r="125" spans="1:34" s="186" customFormat="1">
      <c r="A125" s="25" t="s">
        <v>1909</v>
      </c>
      <c r="B125" s="60" t="s">
        <v>1910</v>
      </c>
      <c r="C125" s="29">
        <v>1</v>
      </c>
      <c r="D125" s="295" t="s">
        <v>1894</v>
      </c>
      <c r="E125" s="296" t="s">
        <v>1909</v>
      </c>
      <c r="F125" s="116">
        <v>33.33</v>
      </c>
      <c r="G125" s="22">
        <f t="shared" si="42"/>
        <v>0.2</v>
      </c>
      <c r="H125" s="31">
        <f t="shared" si="43"/>
        <v>26.663999999999998</v>
      </c>
      <c r="I125" s="31"/>
      <c r="J125" s="17"/>
      <c r="K125" s="17"/>
      <c r="L125" s="17" t="s">
        <v>77</v>
      </c>
      <c r="M125" s="17" t="s">
        <v>77</v>
      </c>
      <c r="N125" s="91" t="s">
        <v>75</v>
      </c>
      <c r="O125" s="55" t="s">
        <v>1106</v>
      </c>
      <c r="P125" s="56" t="s">
        <v>504</v>
      </c>
      <c r="Q125" s="56" t="s">
        <v>1273</v>
      </c>
      <c r="R125" s="25" t="s">
        <v>1909</v>
      </c>
      <c r="S125" s="60" t="s">
        <v>1910</v>
      </c>
      <c r="T125" s="29">
        <v>1</v>
      </c>
      <c r="U125" s="295" t="s">
        <v>1894</v>
      </c>
      <c r="V125" s="296" t="s">
        <v>1909</v>
      </c>
      <c r="W125" s="116">
        <v>33.33</v>
      </c>
      <c r="X125" s="22">
        <f t="shared" si="44"/>
        <v>0.2</v>
      </c>
      <c r="Y125" s="31">
        <f t="shared" si="40"/>
        <v>26.663999999999998</v>
      </c>
      <c r="Z125" s="31"/>
      <c r="AA125" s="17"/>
      <c r="AB125" s="17"/>
      <c r="AC125" s="17" t="s">
        <v>77</v>
      </c>
      <c r="AD125" s="17" t="s">
        <v>77</v>
      </c>
      <c r="AE125" s="91" t="s">
        <v>75</v>
      </c>
      <c r="AF125" s="55" t="s">
        <v>1106</v>
      </c>
      <c r="AG125" s="14" t="s">
        <v>504</v>
      </c>
      <c r="AH125" s="14" t="s">
        <v>1273</v>
      </c>
    </row>
    <row r="126" spans="1:34" s="186" customFormat="1">
      <c r="A126" s="25" t="s">
        <v>1911</v>
      </c>
      <c r="B126" s="60" t="s">
        <v>1912</v>
      </c>
      <c r="C126" s="29">
        <v>1</v>
      </c>
      <c r="D126" s="295" t="s">
        <v>1894</v>
      </c>
      <c r="E126" s="296" t="s">
        <v>1911</v>
      </c>
      <c r="F126" s="116">
        <v>33.33</v>
      </c>
      <c r="G126" s="22">
        <f t="shared" si="42"/>
        <v>0.2</v>
      </c>
      <c r="H126" s="31">
        <f t="shared" si="43"/>
        <v>26.663999999999998</v>
      </c>
      <c r="I126" s="31"/>
      <c r="J126" s="17"/>
      <c r="K126" s="17"/>
      <c r="L126" s="17" t="s">
        <v>77</v>
      </c>
      <c r="M126" s="17" t="s">
        <v>77</v>
      </c>
      <c r="N126" s="91" t="s">
        <v>75</v>
      </c>
      <c r="O126" s="55" t="s">
        <v>1106</v>
      </c>
      <c r="P126" s="56" t="s">
        <v>504</v>
      </c>
      <c r="Q126" s="56" t="s">
        <v>1273</v>
      </c>
      <c r="R126" s="25" t="s">
        <v>1911</v>
      </c>
      <c r="S126" s="60" t="s">
        <v>1912</v>
      </c>
      <c r="T126" s="29">
        <v>1</v>
      </c>
      <c r="U126" s="295" t="s">
        <v>1894</v>
      </c>
      <c r="V126" s="296" t="s">
        <v>1911</v>
      </c>
      <c r="W126" s="116">
        <v>33.33</v>
      </c>
      <c r="X126" s="22">
        <f t="shared" si="44"/>
        <v>0.2</v>
      </c>
      <c r="Y126" s="31">
        <f t="shared" si="40"/>
        <v>26.663999999999998</v>
      </c>
      <c r="Z126" s="31"/>
      <c r="AA126" s="17"/>
      <c r="AB126" s="17"/>
      <c r="AC126" s="17" t="s">
        <v>77</v>
      </c>
      <c r="AD126" s="17" t="s">
        <v>77</v>
      </c>
      <c r="AE126" s="91" t="s">
        <v>75</v>
      </c>
      <c r="AF126" s="55" t="s">
        <v>1106</v>
      </c>
      <c r="AG126" s="14" t="s">
        <v>504</v>
      </c>
      <c r="AH126" s="14" t="s">
        <v>1273</v>
      </c>
    </row>
    <row r="127" spans="1:34" s="186" customFormat="1">
      <c r="A127" s="25" t="s">
        <v>1913</v>
      </c>
      <c r="B127" s="60" t="s">
        <v>1914</v>
      </c>
      <c r="C127" s="29">
        <v>1</v>
      </c>
      <c r="D127" s="295" t="s">
        <v>1894</v>
      </c>
      <c r="E127" s="296" t="s">
        <v>1913</v>
      </c>
      <c r="F127" s="116">
        <v>33.33</v>
      </c>
      <c r="G127" s="22">
        <f t="shared" si="42"/>
        <v>0.2</v>
      </c>
      <c r="H127" s="31">
        <f t="shared" si="43"/>
        <v>26.663999999999998</v>
      </c>
      <c r="I127" s="31"/>
      <c r="J127" s="17"/>
      <c r="K127" s="17"/>
      <c r="L127" s="17" t="s">
        <v>77</v>
      </c>
      <c r="M127" s="17" t="s">
        <v>77</v>
      </c>
      <c r="N127" s="91" t="s">
        <v>75</v>
      </c>
      <c r="O127" s="55" t="s">
        <v>1106</v>
      </c>
      <c r="P127" s="56" t="s">
        <v>504</v>
      </c>
      <c r="Q127" s="56" t="s">
        <v>1273</v>
      </c>
      <c r="R127" s="25" t="s">
        <v>1913</v>
      </c>
      <c r="S127" s="60" t="s">
        <v>1914</v>
      </c>
      <c r="T127" s="29">
        <v>1</v>
      </c>
      <c r="U127" s="295" t="s">
        <v>1894</v>
      </c>
      <c r="V127" s="296" t="s">
        <v>1913</v>
      </c>
      <c r="W127" s="116">
        <v>33.33</v>
      </c>
      <c r="X127" s="22">
        <f t="shared" si="44"/>
        <v>0.2</v>
      </c>
      <c r="Y127" s="31">
        <f t="shared" si="40"/>
        <v>26.663999999999998</v>
      </c>
      <c r="Z127" s="31"/>
      <c r="AA127" s="17"/>
      <c r="AB127" s="17"/>
      <c r="AC127" s="17" t="s">
        <v>77</v>
      </c>
      <c r="AD127" s="17" t="s">
        <v>77</v>
      </c>
      <c r="AE127" s="91" t="s">
        <v>75</v>
      </c>
      <c r="AF127" s="55" t="s">
        <v>1106</v>
      </c>
      <c r="AG127" s="14" t="s">
        <v>504</v>
      </c>
      <c r="AH127" s="14" t="s">
        <v>1273</v>
      </c>
    </row>
    <row r="128" spans="1:34" s="186" customFormat="1">
      <c r="A128" s="25" t="s">
        <v>1915</v>
      </c>
      <c r="B128" s="60" t="s">
        <v>1916</v>
      </c>
      <c r="C128" s="29">
        <v>1</v>
      </c>
      <c r="D128" s="295" t="s">
        <v>1894</v>
      </c>
      <c r="E128" s="296" t="s">
        <v>1915</v>
      </c>
      <c r="F128" s="116">
        <v>15</v>
      </c>
      <c r="G128" s="22">
        <f t="shared" si="42"/>
        <v>0.2</v>
      </c>
      <c r="H128" s="31">
        <f t="shared" si="43"/>
        <v>12</v>
      </c>
      <c r="I128" s="31"/>
      <c r="J128" s="17"/>
      <c r="K128" s="17"/>
      <c r="L128" s="17" t="s">
        <v>77</v>
      </c>
      <c r="M128" s="17" t="s">
        <v>77</v>
      </c>
      <c r="N128" s="91" t="s">
        <v>75</v>
      </c>
      <c r="O128" s="55" t="s">
        <v>1106</v>
      </c>
      <c r="P128" s="56" t="s">
        <v>504</v>
      </c>
      <c r="Q128" s="56" t="s">
        <v>1273</v>
      </c>
      <c r="R128" s="25" t="s">
        <v>1915</v>
      </c>
      <c r="S128" s="60" t="s">
        <v>1916</v>
      </c>
      <c r="T128" s="29">
        <v>1</v>
      </c>
      <c r="U128" s="295" t="s">
        <v>1894</v>
      </c>
      <c r="V128" s="296" t="s">
        <v>1915</v>
      </c>
      <c r="W128" s="116">
        <v>15</v>
      </c>
      <c r="X128" s="22">
        <f t="shared" si="44"/>
        <v>0.2</v>
      </c>
      <c r="Y128" s="31">
        <f t="shared" si="40"/>
        <v>12</v>
      </c>
      <c r="Z128" s="31"/>
      <c r="AA128" s="17"/>
      <c r="AB128" s="17"/>
      <c r="AC128" s="17" t="s">
        <v>77</v>
      </c>
      <c r="AD128" s="17" t="s">
        <v>77</v>
      </c>
      <c r="AE128" s="91" t="s">
        <v>75</v>
      </c>
      <c r="AF128" s="55" t="s">
        <v>1106</v>
      </c>
      <c r="AG128" s="14" t="s">
        <v>504</v>
      </c>
      <c r="AH128" s="14" t="s">
        <v>1273</v>
      </c>
    </row>
    <row r="129" spans="1:34" s="186" customFormat="1">
      <c r="A129" s="294" t="s">
        <v>1917</v>
      </c>
      <c r="B129" s="60" t="s">
        <v>1918</v>
      </c>
      <c r="C129" s="29">
        <v>1</v>
      </c>
      <c r="D129" s="295" t="s">
        <v>1894</v>
      </c>
      <c r="E129" s="296" t="s">
        <v>1917</v>
      </c>
      <c r="F129" s="116">
        <v>15</v>
      </c>
      <c r="G129" s="22">
        <f t="shared" si="42"/>
        <v>0.2</v>
      </c>
      <c r="H129" s="31">
        <f t="shared" si="43"/>
        <v>12</v>
      </c>
      <c r="I129" s="31"/>
      <c r="J129" s="17"/>
      <c r="K129" s="17"/>
      <c r="L129" s="17" t="s">
        <v>77</v>
      </c>
      <c r="M129" s="17" t="s">
        <v>77</v>
      </c>
      <c r="N129" s="91" t="s">
        <v>75</v>
      </c>
      <c r="O129" s="55" t="s">
        <v>1106</v>
      </c>
      <c r="P129" s="56" t="s">
        <v>504</v>
      </c>
      <c r="Q129" s="56" t="s">
        <v>1273</v>
      </c>
      <c r="R129" s="294" t="s">
        <v>1917</v>
      </c>
      <c r="S129" s="60" t="s">
        <v>1918</v>
      </c>
      <c r="T129" s="29">
        <v>1</v>
      </c>
      <c r="U129" s="295" t="s">
        <v>1894</v>
      </c>
      <c r="V129" s="296" t="s">
        <v>1917</v>
      </c>
      <c r="W129" s="116">
        <v>15</v>
      </c>
      <c r="X129" s="22">
        <f t="shared" si="44"/>
        <v>0.2</v>
      </c>
      <c r="Y129" s="31">
        <f t="shared" si="40"/>
        <v>12</v>
      </c>
      <c r="Z129" s="31"/>
      <c r="AA129" s="17"/>
      <c r="AB129" s="17"/>
      <c r="AC129" s="17" t="s">
        <v>77</v>
      </c>
      <c r="AD129" s="17" t="s">
        <v>77</v>
      </c>
      <c r="AE129" s="91" t="s">
        <v>75</v>
      </c>
      <c r="AF129" s="55" t="s">
        <v>1106</v>
      </c>
      <c r="AG129" s="14" t="s">
        <v>504</v>
      </c>
      <c r="AH129" s="14" t="s">
        <v>1273</v>
      </c>
    </row>
    <row r="130" spans="1:34" s="186" customFormat="1">
      <c r="A130" s="25" t="s">
        <v>1919</v>
      </c>
      <c r="B130" s="60" t="s">
        <v>1920</v>
      </c>
      <c r="C130" s="29">
        <v>1</v>
      </c>
      <c r="D130" s="17" t="s">
        <v>1894</v>
      </c>
      <c r="E130" s="297" t="s">
        <v>1919</v>
      </c>
      <c r="F130" s="116">
        <v>24.99</v>
      </c>
      <c r="G130" s="22">
        <f t="shared" si="42"/>
        <v>0.2</v>
      </c>
      <c r="H130" s="31">
        <f t="shared" si="43"/>
        <v>19.991999999999997</v>
      </c>
      <c r="I130" s="31"/>
      <c r="J130" s="17"/>
      <c r="K130" s="17"/>
      <c r="L130" s="17" t="s">
        <v>77</v>
      </c>
      <c r="M130" s="17" t="s">
        <v>77</v>
      </c>
      <c r="N130" s="91" t="s">
        <v>75</v>
      </c>
      <c r="O130" s="55" t="s">
        <v>1106</v>
      </c>
      <c r="P130" s="56" t="s">
        <v>504</v>
      </c>
      <c r="Q130" s="56" t="s">
        <v>1273</v>
      </c>
      <c r="R130" s="25" t="s">
        <v>1919</v>
      </c>
      <c r="S130" s="60" t="s">
        <v>1920</v>
      </c>
      <c r="T130" s="29">
        <v>1</v>
      </c>
      <c r="U130" s="17" t="s">
        <v>1894</v>
      </c>
      <c r="V130" s="297" t="s">
        <v>1919</v>
      </c>
      <c r="W130" s="116">
        <v>24.99</v>
      </c>
      <c r="X130" s="22">
        <f t="shared" si="44"/>
        <v>0.2</v>
      </c>
      <c r="Y130" s="31">
        <f t="shared" si="40"/>
        <v>19.991999999999997</v>
      </c>
      <c r="Z130" s="31"/>
      <c r="AA130" s="17"/>
      <c r="AB130" s="17"/>
      <c r="AC130" s="17" t="s">
        <v>77</v>
      </c>
      <c r="AD130" s="17" t="s">
        <v>77</v>
      </c>
      <c r="AE130" s="91" t="s">
        <v>75</v>
      </c>
      <c r="AF130" s="55" t="s">
        <v>1106</v>
      </c>
      <c r="AG130" s="14" t="s">
        <v>504</v>
      </c>
      <c r="AH130" s="14" t="s">
        <v>1273</v>
      </c>
    </row>
    <row r="131" spans="1:34" s="186" customFormat="1" ht="15" customHeight="1">
      <c r="A131" s="25" t="s">
        <v>1921</v>
      </c>
      <c r="B131" s="60" t="s">
        <v>1922</v>
      </c>
      <c r="C131" s="29">
        <v>1</v>
      </c>
      <c r="D131" s="17" t="s">
        <v>1894</v>
      </c>
      <c r="E131" s="297" t="s">
        <v>1921</v>
      </c>
      <c r="F131" s="116">
        <v>16.66</v>
      </c>
      <c r="G131" s="22">
        <f t="shared" si="42"/>
        <v>0.2</v>
      </c>
      <c r="H131" s="31">
        <f t="shared" si="43"/>
        <v>13.327999999999999</v>
      </c>
      <c r="I131" s="31"/>
      <c r="J131" s="17"/>
      <c r="K131" s="17"/>
      <c r="L131" s="17" t="s">
        <v>77</v>
      </c>
      <c r="M131" s="17" t="s">
        <v>77</v>
      </c>
      <c r="N131" s="91" t="s">
        <v>75</v>
      </c>
      <c r="O131" s="55" t="s">
        <v>1106</v>
      </c>
      <c r="P131" s="56" t="s">
        <v>504</v>
      </c>
      <c r="Q131" s="56" t="s">
        <v>1273</v>
      </c>
      <c r="R131" s="25" t="s">
        <v>1921</v>
      </c>
      <c r="S131" s="60" t="s">
        <v>1922</v>
      </c>
      <c r="T131" s="29">
        <v>1</v>
      </c>
      <c r="U131" s="17" t="s">
        <v>1894</v>
      </c>
      <c r="V131" s="297" t="s">
        <v>1921</v>
      </c>
      <c r="W131" s="116">
        <v>16.66</v>
      </c>
      <c r="X131" s="22">
        <f t="shared" si="44"/>
        <v>0.2</v>
      </c>
      <c r="Y131" s="31">
        <f t="shared" si="40"/>
        <v>13.327999999999999</v>
      </c>
      <c r="Z131" s="31"/>
      <c r="AA131" s="17"/>
      <c r="AB131" s="17"/>
      <c r="AC131" s="17" t="s">
        <v>77</v>
      </c>
      <c r="AD131" s="17" t="s">
        <v>77</v>
      </c>
      <c r="AE131" s="91" t="s">
        <v>75</v>
      </c>
      <c r="AF131" s="55" t="s">
        <v>1106</v>
      </c>
      <c r="AG131" s="14" t="s">
        <v>504</v>
      </c>
      <c r="AH131" s="14" t="s">
        <v>1273</v>
      </c>
    </row>
    <row r="132" spans="1:34" s="186" customFormat="1" ht="14.1" customHeight="1">
      <c r="A132" s="25" t="s">
        <v>1923</v>
      </c>
      <c r="B132" s="383" t="s">
        <v>1924</v>
      </c>
      <c r="C132" s="504">
        <v>1</v>
      </c>
      <c r="D132" s="509" t="s">
        <v>1925</v>
      </c>
      <c r="E132" s="142" t="s">
        <v>1923</v>
      </c>
      <c r="F132" s="226">
        <v>30</v>
      </c>
      <c r="G132" s="22">
        <f t="shared" si="42"/>
        <v>0.2</v>
      </c>
      <c r="H132" s="31">
        <f t="shared" ref="H132:H134" si="45">F132-(F132*G132)</f>
        <v>24</v>
      </c>
      <c r="I132" s="31"/>
      <c r="J132" s="17"/>
      <c r="K132" s="17"/>
      <c r="L132" s="17" t="s">
        <v>77</v>
      </c>
      <c r="M132" s="17" t="s">
        <v>77</v>
      </c>
      <c r="N132" s="91" t="s">
        <v>75</v>
      </c>
      <c r="O132" s="55" t="s">
        <v>1106</v>
      </c>
      <c r="P132" s="56" t="s">
        <v>504</v>
      </c>
      <c r="Q132" s="56" t="s">
        <v>1273</v>
      </c>
      <c r="R132" s="25" t="s">
        <v>1921</v>
      </c>
      <c r="S132" s="60" t="s">
        <v>1922</v>
      </c>
      <c r="T132" s="29">
        <v>1</v>
      </c>
      <c r="U132" s="17" t="s">
        <v>1894</v>
      </c>
      <c r="V132" s="297" t="s">
        <v>1921</v>
      </c>
      <c r="W132" s="116">
        <v>16.66</v>
      </c>
      <c r="X132" s="22">
        <f t="shared" si="44"/>
        <v>0.2</v>
      </c>
      <c r="Y132" s="31">
        <f t="shared" ref="Y132:Y134" si="46">W132-(W132*X132)</f>
        <v>13.327999999999999</v>
      </c>
      <c r="Z132" s="31"/>
      <c r="AA132" s="17"/>
      <c r="AB132" s="17"/>
      <c r="AC132" s="17" t="s">
        <v>77</v>
      </c>
      <c r="AD132" s="17" t="s">
        <v>77</v>
      </c>
      <c r="AE132" s="91" t="s">
        <v>75</v>
      </c>
      <c r="AF132" s="55" t="s">
        <v>1106</v>
      </c>
      <c r="AG132" s="14" t="s">
        <v>504</v>
      </c>
      <c r="AH132" s="14" t="s">
        <v>1273</v>
      </c>
    </row>
    <row r="133" spans="1:34" s="186" customFormat="1" ht="15" customHeight="1">
      <c r="A133" s="25" t="s">
        <v>1926</v>
      </c>
      <c r="B133" s="383" t="s">
        <v>1927</v>
      </c>
      <c r="C133" s="504">
        <v>1</v>
      </c>
      <c r="D133" s="509" t="s">
        <v>1925</v>
      </c>
      <c r="E133" s="142" t="s">
        <v>1926</v>
      </c>
      <c r="F133" s="226">
        <v>35</v>
      </c>
      <c r="G133" s="22">
        <f t="shared" si="42"/>
        <v>0.2</v>
      </c>
      <c r="H133" s="31">
        <f t="shared" si="45"/>
        <v>28</v>
      </c>
      <c r="I133" s="31"/>
      <c r="J133" s="17"/>
      <c r="K133" s="17"/>
      <c r="L133" s="17" t="s">
        <v>77</v>
      </c>
      <c r="M133" s="17" t="s">
        <v>77</v>
      </c>
      <c r="N133" s="91" t="s">
        <v>75</v>
      </c>
      <c r="O133" s="55" t="s">
        <v>1106</v>
      </c>
      <c r="P133" s="56" t="s">
        <v>504</v>
      </c>
      <c r="Q133" s="56" t="s">
        <v>1273</v>
      </c>
      <c r="R133" s="25" t="s">
        <v>1921</v>
      </c>
      <c r="S133" s="60" t="s">
        <v>1922</v>
      </c>
      <c r="T133" s="29">
        <v>1</v>
      </c>
      <c r="U133" s="17" t="s">
        <v>1894</v>
      </c>
      <c r="V133" s="297" t="s">
        <v>1921</v>
      </c>
      <c r="W133" s="116">
        <v>16.66</v>
      </c>
      <c r="X133" s="22">
        <f t="shared" si="44"/>
        <v>0.2</v>
      </c>
      <c r="Y133" s="31">
        <f t="shared" si="46"/>
        <v>13.327999999999999</v>
      </c>
      <c r="Z133" s="31"/>
      <c r="AA133" s="17"/>
      <c r="AB133" s="17"/>
      <c r="AC133" s="17" t="s">
        <v>77</v>
      </c>
      <c r="AD133" s="17" t="s">
        <v>77</v>
      </c>
      <c r="AE133" s="91" t="s">
        <v>75</v>
      </c>
      <c r="AF133" s="55" t="s">
        <v>1106</v>
      </c>
      <c r="AG133" s="14" t="s">
        <v>504</v>
      </c>
      <c r="AH133" s="14" t="s">
        <v>1273</v>
      </c>
    </row>
    <row r="134" spans="1:34" s="186" customFormat="1" ht="14.1" customHeight="1">
      <c r="A134" s="25" t="s">
        <v>1928</v>
      </c>
      <c r="B134" s="383" t="s">
        <v>1929</v>
      </c>
      <c r="C134" s="504">
        <v>1</v>
      </c>
      <c r="D134" s="509" t="s">
        <v>1925</v>
      </c>
      <c r="E134" s="142" t="s">
        <v>1928</v>
      </c>
      <c r="F134" s="226">
        <v>38</v>
      </c>
      <c r="G134" s="22">
        <f t="shared" si="42"/>
        <v>0.2</v>
      </c>
      <c r="H134" s="31">
        <f t="shared" si="45"/>
        <v>30.4</v>
      </c>
      <c r="I134" s="31"/>
      <c r="J134" s="17"/>
      <c r="K134" s="17"/>
      <c r="L134" s="17" t="s">
        <v>77</v>
      </c>
      <c r="M134" s="17" t="s">
        <v>77</v>
      </c>
      <c r="N134" s="91" t="s">
        <v>75</v>
      </c>
      <c r="O134" s="55" t="s">
        <v>1106</v>
      </c>
      <c r="P134" s="56" t="s">
        <v>504</v>
      </c>
      <c r="Q134" s="56" t="s">
        <v>1273</v>
      </c>
      <c r="R134" s="25" t="s">
        <v>1921</v>
      </c>
      <c r="S134" s="60" t="s">
        <v>1922</v>
      </c>
      <c r="T134" s="29">
        <v>1</v>
      </c>
      <c r="U134" s="17" t="s">
        <v>1894</v>
      </c>
      <c r="V134" s="297" t="s">
        <v>1921</v>
      </c>
      <c r="W134" s="116">
        <v>16.66</v>
      </c>
      <c r="X134" s="22">
        <f t="shared" si="44"/>
        <v>0.2</v>
      </c>
      <c r="Y134" s="31">
        <f t="shared" si="46"/>
        <v>13.327999999999999</v>
      </c>
      <c r="Z134" s="31"/>
      <c r="AA134" s="17"/>
      <c r="AB134" s="17"/>
      <c r="AC134" s="17" t="s">
        <v>77</v>
      </c>
      <c r="AD134" s="17" t="s">
        <v>77</v>
      </c>
      <c r="AE134" s="91" t="s">
        <v>75</v>
      </c>
      <c r="AF134" s="55" t="s">
        <v>1106</v>
      </c>
      <c r="AG134" s="14" t="s">
        <v>504</v>
      </c>
      <c r="AH134" s="14" t="s">
        <v>1273</v>
      </c>
    </row>
    <row r="135" spans="1:34" s="1" customFormat="1" ht="27.95" customHeight="1">
      <c r="A135" s="599" t="s">
        <v>1930</v>
      </c>
      <c r="B135" s="152"/>
      <c r="C135" s="65"/>
      <c r="D135" s="35"/>
      <c r="E135" s="33"/>
      <c r="F135" s="69"/>
      <c r="G135" s="22"/>
      <c r="H135" s="69"/>
      <c r="I135" s="27"/>
      <c r="J135" s="23"/>
      <c r="K135" s="23"/>
      <c r="L135" s="23"/>
      <c r="M135" s="63"/>
      <c r="N135" s="91"/>
      <c r="O135" s="55"/>
      <c r="P135" s="14"/>
      <c r="Q135" s="202"/>
      <c r="R135" s="161" t="s">
        <v>1930</v>
      </c>
      <c r="S135" s="152"/>
      <c r="T135" s="65"/>
      <c r="U135" s="35"/>
      <c r="V135" s="33"/>
      <c r="W135" s="69"/>
      <c r="X135" s="22"/>
      <c r="Y135" s="69"/>
      <c r="Z135" s="27"/>
      <c r="AA135" s="23"/>
      <c r="AB135" s="23"/>
      <c r="AC135" s="23"/>
      <c r="AD135" s="63"/>
      <c r="AE135" s="91"/>
      <c r="AF135" s="55"/>
      <c r="AG135" s="14"/>
      <c r="AH135" s="202"/>
    </row>
    <row r="136" spans="1:34" s="121" customFormat="1">
      <c r="A136" s="113" t="s">
        <v>1931</v>
      </c>
      <c r="B136" s="273" t="s">
        <v>1932</v>
      </c>
      <c r="C136" s="292">
        <v>1</v>
      </c>
      <c r="D136" s="293" t="s">
        <v>75</v>
      </c>
      <c r="E136" s="300" t="s">
        <v>1931</v>
      </c>
      <c r="F136" s="57">
        <v>182.45</v>
      </c>
      <c r="G136" s="138">
        <f>rv_atv</f>
        <v>0.05</v>
      </c>
      <c r="H136" s="269">
        <f>F136-(F136*G136)</f>
        <v>173.32749999999999</v>
      </c>
      <c r="I136" s="153"/>
      <c r="J136" s="154"/>
      <c r="K136" s="154"/>
      <c r="L136" s="154"/>
      <c r="M136" s="226">
        <v>0.05</v>
      </c>
      <c r="N136" s="91" t="s">
        <v>75</v>
      </c>
      <c r="O136" s="55" t="s">
        <v>1106</v>
      </c>
      <c r="P136" s="56" t="s">
        <v>504</v>
      </c>
      <c r="Q136" s="56" t="s">
        <v>1273</v>
      </c>
      <c r="R136" s="113" t="s">
        <v>1931</v>
      </c>
      <c r="S136" s="273" t="s">
        <v>1932</v>
      </c>
      <c r="T136" s="292">
        <v>1</v>
      </c>
      <c r="U136" s="293" t="s">
        <v>75</v>
      </c>
      <c r="V136" s="300" t="s">
        <v>1931</v>
      </c>
      <c r="W136" s="57">
        <v>182.45</v>
      </c>
      <c r="X136" s="138">
        <f>rv_atv</f>
        <v>0.05</v>
      </c>
      <c r="Y136" s="269">
        <f>W136-(W136*X136)</f>
        <v>173.32749999999999</v>
      </c>
      <c r="Z136" s="153"/>
      <c r="AA136" s="154"/>
      <c r="AB136" s="154"/>
      <c r="AC136" s="154"/>
      <c r="AD136" s="226">
        <v>0.05</v>
      </c>
      <c r="AE136" s="91" t="s">
        <v>75</v>
      </c>
      <c r="AF136" s="55" t="s">
        <v>1106</v>
      </c>
      <c r="AG136" s="56" t="s">
        <v>1680</v>
      </c>
      <c r="AH136" s="56" t="s">
        <v>1681</v>
      </c>
    </row>
    <row r="137" spans="1:34" s="121" customFormat="1">
      <c r="A137" s="113" t="s">
        <v>1933</v>
      </c>
      <c r="B137" s="273" t="s">
        <v>1934</v>
      </c>
      <c r="C137" s="292">
        <v>1</v>
      </c>
      <c r="D137" s="293" t="s">
        <v>75</v>
      </c>
      <c r="E137" s="300" t="s">
        <v>1933</v>
      </c>
      <c r="F137" s="57">
        <v>165.78</v>
      </c>
      <c r="G137" s="138">
        <f>rv_atv</f>
        <v>0.05</v>
      </c>
      <c r="H137" s="269">
        <f>F137-(F137*G137)</f>
        <v>157.49100000000001</v>
      </c>
      <c r="I137" s="153"/>
      <c r="J137" s="154"/>
      <c r="K137" s="154"/>
      <c r="L137" s="154"/>
      <c r="M137" s="226">
        <v>0.05</v>
      </c>
      <c r="N137" s="91" t="s">
        <v>75</v>
      </c>
      <c r="O137" s="55" t="s">
        <v>1106</v>
      </c>
      <c r="P137" s="56" t="s">
        <v>504</v>
      </c>
      <c r="Q137" s="56" t="s">
        <v>1273</v>
      </c>
      <c r="R137" s="113" t="s">
        <v>1933</v>
      </c>
      <c r="S137" s="273" t="s">
        <v>1934</v>
      </c>
      <c r="T137" s="292">
        <v>1</v>
      </c>
      <c r="U137" s="293" t="s">
        <v>75</v>
      </c>
      <c r="V137" s="300" t="s">
        <v>1933</v>
      </c>
      <c r="W137" s="57">
        <v>165.78</v>
      </c>
      <c r="X137" s="138">
        <f>rv_atv</f>
        <v>0.05</v>
      </c>
      <c r="Y137" s="269">
        <f>W137-(W137*X137)</f>
        <v>157.49100000000001</v>
      </c>
      <c r="Z137" s="153"/>
      <c r="AA137" s="154"/>
      <c r="AB137" s="154"/>
      <c r="AC137" s="154"/>
      <c r="AD137" s="226">
        <v>0.05</v>
      </c>
      <c r="AE137" s="91" t="s">
        <v>75</v>
      </c>
      <c r="AF137" s="55" t="s">
        <v>1106</v>
      </c>
      <c r="AG137" s="56" t="s">
        <v>1680</v>
      </c>
      <c r="AH137" s="56" t="s">
        <v>1681</v>
      </c>
    </row>
    <row r="138" spans="1:34" s="121" customFormat="1">
      <c r="A138" s="113" t="s">
        <v>1935</v>
      </c>
      <c r="B138" s="273" t="s">
        <v>1936</v>
      </c>
      <c r="C138" s="292">
        <v>1</v>
      </c>
      <c r="D138" s="116" t="s">
        <v>75</v>
      </c>
      <c r="E138" s="115" t="s">
        <v>1935</v>
      </c>
      <c r="F138" s="269">
        <v>132.44999999999999</v>
      </c>
      <c r="G138" s="138">
        <f>rv_atv</f>
        <v>0.05</v>
      </c>
      <c r="H138" s="269">
        <f>F138-(F138*G138)</f>
        <v>125.82749999999999</v>
      </c>
      <c r="I138" s="153"/>
      <c r="J138" s="154"/>
      <c r="K138" s="154"/>
      <c r="L138" s="154"/>
      <c r="M138" s="226">
        <v>0.05</v>
      </c>
      <c r="N138" s="91" t="s">
        <v>75</v>
      </c>
      <c r="O138" s="55" t="s">
        <v>1106</v>
      </c>
      <c r="P138" s="56" t="s">
        <v>504</v>
      </c>
      <c r="Q138" s="56" t="s">
        <v>1273</v>
      </c>
      <c r="R138" s="113" t="s">
        <v>1935</v>
      </c>
      <c r="S138" s="273" t="s">
        <v>1936</v>
      </c>
      <c r="T138" s="292">
        <v>1</v>
      </c>
      <c r="U138" s="116" t="s">
        <v>75</v>
      </c>
      <c r="V138" s="115" t="s">
        <v>1935</v>
      </c>
      <c r="W138" s="269">
        <v>132.44999999999999</v>
      </c>
      <c r="X138" s="138">
        <f>rv_atv</f>
        <v>0.05</v>
      </c>
      <c r="Y138" s="269">
        <f>W138-(W138*X138)</f>
        <v>125.82749999999999</v>
      </c>
      <c r="Z138" s="153"/>
      <c r="AA138" s="154"/>
      <c r="AB138" s="154"/>
      <c r="AC138" s="154"/>
      <c r="AD138" s="226">
        <v>0.05</v>
      </c>
      <c r="AE138" s="91" t="s">
        <v>75</v>
      </c>
      <c r="AF138" s="55" t="s">
        <v>1106</v>
      </c>
      <c r="AG138" s="56" t="s">
        <v>1680</v>
      </c>
      <c r="AH138" s="56" t="s">
        <v>1681</v>
      </c>
    </row>
    <row r="139" spans="1:34" s="121" customFormat="1">
      <c r="A139" s="25" t="s">
        <v>1937</v>
      </c>
      <c r="B139" s="273" t="s">
        <v>1938</v>
      </c>
      <c r="C139" s="292">
        <v>1</v>
      </c>
      <c r="D139" s="293" t="s">
        <v>75</v>
      </c>
      <c r="E139" s="29" t="s">
        <v>1937</v>
      </c>
      <c r="F139" s="269">
        <v>54.15</v>
      </c>
      <c r="G139" s="138">
        <f>rv_atv</f>
        <v>0.05</v>
      </c>
      <c r="H139" s="269">
        <f>F139-(F139*G139)</f>
        <v>51.442499999999995</v>
      </c>
      <c r="I139" s="153"/>
      <c r="J139" s="154"/>
      <c r="K139" s="154"/>
      <c r="L139" s="154"/>
      <c r="M139" s="226">
        <v>0.02</v>
      </c>
      <c r="N139" s="91" t="s">
        <v>75</v>
      </c>
      <c r="O139" s="55" t="s">
        <v>1106</v>
      </c>
      <c r="P139" s="56" t="s">
        <v>504</v>
      </c>
      <c r="Q139" s="56" t="s">
        <v>1273</v>
      </c>
      <c r="R139" s="25" t="s">
        <v>1937</v>
      </c>
      <c r="S139" s="273" t="s">
        <v>1938</v>
      </c>
      <c r="T139" s="292">
        <v>1</v>
      </c>
      <c r="U139" s="293" t="s">
        <v>75</v>
      </c>
      <c r="V139" s="29" t="s">
        <v>1937</v>
      </c>
      <c r="W139" s="269">
        <v>54.15</v>
      </c>
      <c r="X139" s="138">
        <f>rv_atv</f>
        <v>0.05</v>
      </c>
      <c r="Y139" s="269">
        <f>W139-(W139*X139)</f>
        <v>51.442499999999995</v>
      </c>
      <c r="Z139" s="153"/>
      <c r="AA139" s="154"/>
      <c r="AB139" s="154"/>
      <c r="AC139" s="154"/>
      <c r="AD139" s="226">
        <v>0.02</v>
      </c>
      <c r="AE139" s="91" t="s">
        <v>75</v>
      </c>
      <c r="AF139" s="55" t="s">
        <v>1106</v>
      </c>
      <c r="AG139" s="56" t="s">
        <v>1680</v>
      </c>
      <c r="AH139" s="56" t="s">
        <v>1681</v>
      </c>
    </row>
    <row r="140" spans="1:34" s="168" customFormat="1" ht="24" customHeight="1">
      <c r="A140" s="599" t="s">
        <v>1939</v>
      </c>
      <c r="B140" s="162"/>
      <c r="C140" s="163"/>
      <c r="D140" s="69"/>
      <c r="E140" s="164"/>
      <c r="F140" s="69"/>
      <c r="G140" s="165"/>
      <c r="H140" s="69"/>
      <c r="I140" s="166"/>
      <c r="J140" s="167"/>
      <c r="K140" s="167"/>
      <c r="L140" s="167"/>
      <c r="M140" s="71"/>
      <c r="N140" s="91"/>
      <c r="O140" s="55"/>
      <c r="P140" s="14"/>
      <c r="Q140" s="14"/>
      <c r="R140" s="161" t="s">
        <v>1939</v>
      </c>
      <c r="S140" s="162"/>
      <c r="T140" s="163"/>
      <c r="U140" s="69"/>
      <c r="V140" s="164"/>
      <c r="W140" s="69"/>
      <c r="X140" s="165"/>
      <c r="Y140" s="69"/>
      <c r="Z140" s="166"/>
      <c r="AA140" s="167"/>
      <c r="AB140" s="167"/>
      <c r="AC140" s="167"/>
      <c r="AD140" s="71"/>
      <c r="AE140" s="91"/>
      <c r="AF140" s="55"/>
      <c r="AG140" s="14"/>
      <c r="AH140" s="14"/>
    </row>
    <row r="141" spans="1:34" s="1" customFormat="1">
      <c r="A141" s="25" t="s">
        <v>1940</v>
      </c>
      <c r="B141" s="64" t="s">
        <v>1941</v>
      </c>
      <c r="C141" s="65">
        <v>1</v>
      </c>
      <c r="D141" s="35" t="s">
        <v>75</v>
      </c>
      <c r="E141" s="29" t="s">
        <v>1940</v>
      </c>
      <c r="F141" s="69">
        <v>82.5</v>
      </c>
      <c r="G141" s="22"/>
      <c r="H141" s="69">
        <f t="shared" ref="H141:H152" si="47">F141-(F141*G141)</f>
        <v>82.5</v>
      </c>
      <c r="I141" s="27"/>
      <c r="J141" s="23"/>
      <c r="K141" s="23"/>
      <c r="L141" s="23"/>
      <c r="M141" s="63">
        <v>0</v>
      </c>
      <c r="N141" s="91" t="s">
        <v>75</v>
      </c>
      <c r="O141" s="55" t="s">
        <v>1942</v>
      </c>
      <c r="P141" s="14" t="s">
        <v>1943</v>
      </c>
      <c r="Q141" s="14" t="s">
        <v>1944</v>
      </c>
      <c r="R141" s="25" t="s">
        <v>1940</v>
      </c>
      <c r="S141" s="64" t="s">
        <v>1941</v>
      </c>
      <c r="T141" s="65">
        <v>1</v>
      </c>
      <c r="U141" s="35" t="s">
        <v>75</v>
      </c>
      <c r="V141" s="29" t="s">
        <v>1940</v>
      </c>
      <c r="W141" s="69">
        <v>82.5</v>
      </c>
      <c r="X141" s="22"/>
      <c r="Y141" s="69">
        <f t="shared" ref="Y141:Y152" si="48">W141-(W141*X141)</f>
        <v>82.5</v>
      </c>
      <c r="Z141" s="27"/>
      <c r="AA141" s="23"/>
      <c r="AB141" s="23"/>
      <c r="AC141" s="23"/>
      <c r="AD141" s="63">
        <v>0</v>
      </c>
      <c r="AE141" s="91" t="s">
        <v>75</v>
      </c>
      <c r="AF141" s="55" t="s">
        <v>1942</v>
      </c>
      <c r="AG141" s="14" t="s">
        <v>1943</v>
      </c>
      <c r="AH141" s="14" t="s">
        <v>1944</v>
      </c>
    </row>
    <row r="142" spans="1:34" s="1" customFormat="1">
      <c r="A142" s="25" t="s">
        <v>1945</v>
      </c>
      <c r="B142" s="64" t="s">
        <v>1946</v>
      </c>
      <c r="C142" s="65">
        <v>1</v>
      </c>
      <c r="D142" s="35" t="s">
        <v>75</v>
      </c>
      <c r="E142" s="29" t="s">
        <v>1945</v>
      </c>
      <c r="F142" s="69">
        <v>82.5</v>
      </c>
      <c r="G142" s="22">
        <f>rv_log_apple_vol</f>
        <v>0.1</v>
      </c>
      <c r="H142" s="69">
        <f t="shared" si="47"/>
        <v>74.25</v>
      </c>
      <c r="I142" s="27"/>
      <c r="J142" s="23"/>
      <c r="K142" s="23"/>
      <c r="L142" s="23"/>
      <c r="M142" s="63">
        <v>0</v>
      </c>
      <c r="N142" s="91" t="s">
        <v>75</v>
      </c>
      <c r="O142" s="55" t="s">
        <v>1942</v>
      </c>
      <c r="P142" s="14" t="s">
        <v>1943</v>
      </c>
      <c r="Q142" s="14" t="s">
        <v>1944</v>
      </c>
      <c r="R142" s="25" t="s">
        <v>1945</v>
      </c>
      <c r="S142" s="64" t="s">
        <v>1946</v>
      </c>
      <c r="T142" s="65">
        <v>1</v>
      </c>
      <c r="U142" s="35" t="s">
        <v>75</v>
      </c>
      <c r="V142" s="29" t="s">
        <v>1945</v>
      </c>
      <c r="W142" s="69">
        <v>82.5</v>
      </c>
      <c r="X142" s="22">
        <f>rv_log_apple_vol</f>
        <v>0.1</v>
      </c>
      <c r="Y142" s="69">
        <f t="shared" si="48"/>
        <v>74.25</v>
      </c>
      <c r="Z142" s="27"/>
      <c r="AA142" s="23"/>
      <c r="AB142" s="23"/>
      <c r="AC142" s="23"/>
      <c r="AD142" s="63">
        <v>0</v>
      </c>
      <c r="AE142" s="91" t="s">
        <v>75</v>
      </c>
      <c r="AF142" s="55" t="s">
        <v>1942</v>
      </c>
      <c r="AG142" s="14" t="s">
        <v>1943</v>
      </c>
      <c r="AH142" s="14" t="s">
        <v>1944</v>
      </c>
    </row>
    <row r="143" spans="1:34" s="1" customFormat="1">
      <c r="A143" s="25" t="s">
        <v>1947</v>
      </c>
      <c r="B143" s="64" t="s">
        <v>1948</v>
      </c>
      <c r="C143" s="65">
        <v>1</v>
      </c>
      <c r="D143" s="35" t="s">
        <v>75</v>
      </c>
      <c r="E143" s="29" t="s">
        <v>1947</v>
      </c>
      <c r="F143" s="69">
        <v>299.17</v>
      </c>
      <c r="G143" s="22"/>
      <c r="H143" s="69">
        <f t="shared" si="47"/>
        <v>299.17</v>
      </c>
      <c r="I143" s="27"/>
      <c r="J143" s="23"/>
      <c r="K143" s="23"/>
      <c r="L143" s="23"/>
      <c r="M143" s="63">
        <v>0</v>
      </c>
      <c r="N143" s="91" t="s">
        <v>75</v>
      </c>
      <c r="O143" s="55" t="s">
        <v>1942</v>
      </c>
      <c r="P143" s="14" t="s">
        <v>1943</v>
      </c>
      <c r="Q143" s="14" t="s">
        <v>1944</v>
      </c>
      <c r="R143" s="25" t="s">
        <v>1947</v>
      </c>
      <c r="S143" s="64" t="s">
        <v>1948</v>
      </c>
      <c r="T143" s="65">
        <v>1</v>
      </c>
      <c r="U143" s="35" t="s">
        <v>75</v>
      </c>
      <c r="V143" s="29" t="s">
        <v>1947</v>
      </c>
      <c r="W143" s="69">
        <v>299.17</v>
      </c>
      <c r="X143" s="22"/>
      <c r="Y143" s="69">
        <f t="shared" si="48"/>
        <v>299.17</v>
      </c>
      <c r="Z143" s="27"/>
      <c r="AA143" s="23"/>
      <c r="AB143" s="23"/>
      <c r="AC143" s="23"/>
      <c r="AD143" s="63">
        <v>0</v>
      </c>
      <c r="AE143" s="91" t="s">
        <v>75</v>
      </c>
      <c r="AF143" s="55" t="s">
        <v>1942</v>
      </c>
      <c r="AG143" s="14" t="s">
        <v>1943</v>
      </c>
      <c r="AH143" s="14" t="s">
        <v>1944</v>
      </c>
    </row>
    <row r="144" spans="1:34" s="1" customFormat="1">
      <c r="A144" s="25" t="s">
        <v>1949</v>
      </c>
      <c r="B144" s="64" t="s">
        <v>1950</v>
      </c>
      <c r="C144" s="65">
        <v>1</v>
      </c>
      <c r="D144" s="35" t="s">
        <v>75</v>
      </c>
      <c r="E144" s="29" t="s">
        <v>1949</v>
      </c>
      <c r="F144" s="69">
        <v>299.17</v>
      </c>
      <c r="G144" s="22">
        <f>rv_log_apple_vol</f>
        <v>0.1</v>
      </c>
      <c r="H144" s="69">
        <f t="shared" si="47"/>
        <v>269.25300000000004</v>
      </c>
      <c r="I144" s="27"/>
      <c r="J144" s="23"/>
      <c r="K144" s="23"/>
      <c r="L144" s="23"/>
      <c r="M144" s="63">
        <v>0</v>
      </c>
      <c r="N144" s="91" t="s">
        <v>75</v>
      </c>
      <c r="O144" s="55" t="s">
        <v>1942</v>
      </c>
      <c r="P144" s="14" t="s">
        <v>1943</v>
      </c>
      <c r="Q144" s="14" t="s">
        <v>1944</v>
      </c>
      <c r="R144" s="25" t="s">
        <v>1949</v>
      </c>
      <c r="S144" s="64" t="s">
        <v>1950</v>
      </c>
      <c r="T144" s="65">
        <v>1</v>
      </c>
      <c r="U144" s="35" t="s">
        <v>75</v>
      </c>
      <c r="V144" s="29" t="s">
        <v>1949</v>
      </c>
      <c r="W144" s="69">
        <v>299.17</v>
      </c>
      <c r="X144" s="22">
        <f>rv_log_apple_vol</f>
        <v>0.1</v>
      </c>
      <c r="Y144" s="69">
        <f t="shared" si="48"/>
        <v>269.25300000000004</v>
      </c>
      <c r="Z144" s="27"/>
      <c r="AA144" s="23"/>
      <c r="AB144" s="23"/>
      <c r="AC144" s="23"/>
      <c r="AD144" s="63">
        <v>0</v>
      </c>
      <c r="AE144" s="91" t="s">
        <v>75</v>
      </c>
      <c r="AF144" s="55" t="s">
        <v>1942</v>
      </c>
      <c r="AG144" s="14" t="s">
        <v>1943</v>
      </c>
      <c r="AH144" s="14" t="s">
        <v>1944</v>
      </c>
    </row>
    <row r="145" spans="1:34" s="1" customFormat="1">
      <c r="A145" s="25" t="s">
        <v>1951</v>
      </c>
      <c r="B145" s="64" t="s">
        <v>1952</v>
      </c>
      <c r="C145" s="65">
        <v>1</v>
      </c>
      <c r="D145" s="35" t="s">
        <v>75</v>
      </c>
      <c r="E145" s="29" t="s">
        <v>1951</v>
      </c>
      <c r="F145" s="69">
        <v>50</v>
      </c>
      <c r="G145" s="22"/>
      <c r="H145" s="69">
        <f t="shared" si="47"/>
        <v>50</v>
      </c>
      <c r="I145" s="27"/>
      <c r="J145" s="23"/>
      <c r="K145" s="23"/>
      <c r="L145" s="23"/>
      <c r="M145" s="63">
        <v>0</v>
      </c>
      <c r="N145" s="91" t="s">
        <v>75</v>
      </c>
      <c r="O145" s="55" t="s">
        <v>1942</v>
      </c>
      <c r="P145" s="14" t="s">
        <v>1943</v>
      </c>
      <c r="Q145" s="14" t="s">
        <v>1944</v>
      </c>
      <c r="R145" s="25" t="s">
        <v>1951</v>
      </c>
      <c r="S145" s="64" t="s">
        <v>1952</v>
      </c>
      <c r="T145" s="65">
        <v>1</v>
      </c>
      <c r="U145" s="35" t="s">
        <v>75</v>
      </c>
      <c r="V145" s="29" t="s">
        <v>1951</v>
      </c>
      <c r="W145" s="69">
        <v>50</v>
      </c>
      <c r="X145" s="22"/>
      <c r="Y145" s="69">
        <f t="shared" si="48"/>
        <v>50</v>
      </c>
      <c r="Z145" s="27"/>
      <c r="AA145" s="23"/>
      <c r="AB145" s="23"/>
      <c r="AC145" s="23"/>
      <c r="AD145" s="63">
        <v>0</v>
      </c>
      <c r="AE145" s="91" t="s">
        <v>75</v>
      </c>
      <c r="AF145" s="55" t="s">
        <v>1942</v>
      </c>
      <c r="AG145" s="14" t="s">
        <v>1943</v>
      </c>
      <c r="AH145" s="14" t="s">
        <v>1944</v>
      </c>
    </row>
    <row r="146" spans="1:34" s="1" customFormat="1">
      <c r="A146" s="25" t="s">
        <v>1953</v>
      </c>
      <c r="B146" s="64" t="s">
        <v>1954</v>
      </c>
      <c r="C146" s="65">
        <v>1</v>
      </c>
      <c r="D146" s="35" t="s">
        <v>75</v>
      </c>
      <c r="E146" s="29" t="s">
        <v>1953</v>
      </c>
      <c r="F146" s="69">
        <v>50</v>
      </c>
      <c r="G146" s="22">
        <f>rv_log_apple_vol</f>
        <v>0.1</v>
      </c>
      <c r="H146" s="69">
        <f t="shared" si="47"/>
        <v>45</v>
      </c>
      <c r="I146" s="27"/>
      <c r="J146" s="23"/>
      <c r="K146" s="23"/>
      <c r="L146" s="23"/>
      <c r="M146" s="63">
        <v>0</v>
      </c>
      <c r="N146" s="91" t="s">
        <v>75</v>
      </c>
      <c r="O146" s="55" t="s">
        <v>1942</v>
      </c>
      <c r="P146" s="14" t="s">
        <v>1943</v>
      </c>
      <c r="Q146" s="14" t="s">
        <v>1944</v>
      </c>
      <c r="R146" s="25" t="s">
        <v>1953</v>
      </c>
      <c r="S146" s="64" t="s">
        <v>1954</v>
      </c>
      <c r="T146" s="65">
        <v>1</v>
      </c>
      <c r="U146" s="35" t="s">
        <v>75</v>
      </c>
      <c r="V146" s="29" t="s">
        <v>1953</v>
      </c>
      <c r="W146" s="69">
        <v>50</v>
      </c>
      <c r="X146" s="22">
        <f>rv_log_apple_vol</f>
        <v>0.1</v>
      </c>
      <c r="Y146" s="69">
        <f t="shared" si="48"/>
        <v>45</v>
      </c>
      <c r="Z146" s="27"/>
      <c r="AA146" s="23"/>
      <c r="AB146" s="23"/>
      <c r="AC146" s="23"/>
      <c r="AD146" s="63">
        <v>0</v>
      </c>
      <c r="AE146" s="91" t="s">
        <v>75</v>
      </c>
      <c r="AF146" s="55" t="s">
        <v>1942</v>
      </c>
      <c r="AG146" s="14" t="s">
        <v>1943</v>
      </c>
      <c r="AH146" s="14" t="s">
        <v>1944</v>
      </c>
    </row>
    <row r="147" spans="1:34" s="1" customFormat="1">
      <c r="A147" s="25" t="s">
        <v>1955</v>
      </c>
      <c r="B147" s="64" t="s">
        <v>1956</v>
      </c>
      <c r="C147" s="65">
        <v>1</v>
      </c>
      <c r="D147" s="35" t="s">
        <v>75</v>
      </c>
      <c r="E147" s="29" t="s">
        <v>1955</v>
      </c>
      <c r="F147" s="69">
        <v>50</v>
      </c>
      <c r="G147" s="22"/>
      <c r="H147" s="69">
        <f t="shared" si="47"/>
        <v>50</v>
      </c>
      <c r="I147" s="27"/>
      <c r="J147" s="23"/>
      <c r="K147" s="23"/>
      <c r="L147" s="23"/>
      <c r="M147" s="63">
        <v>0</v>
      </c>
      <c r="N147" s="91" t="s">
        <v>75</v>
      </c>
      <c r="O147" s="55" t="s">
        <v>1942</v>
      </c>
      <c r="P147" s="14" t="s">
        <v>1943</v>
      </c>
      <c r="Q147" s="14" t="s">
        <v>1944</v>
      </c>
      <c r="R147" s="25" t="s">
        <v>1955</v>
      </c>
      <c r="S147" s="64" t="s">
        <v>1956</v>
      </c>
      <c r="T147" s="65">
        <v>1</v>
      </c>
      <c r="U147" s="35" t="s">
        <v>75</v>
      </c>
      <c r="V147" s="29" t="s">
        <v>1955</v>
      </c>
      <c r="W147" s="69">
        <v>50</v>
      </c>
      <c r="X147" s="22"/>
      <c r="Y147" s="69">
        <f t="shared" si="48"/>
        <v>50</v>
      </c>
      <c r="Z147" s="27"/>
      <c r="AA147" s="23"/>
      <c r="AB147" s="23"/>
      <c r="AC147" s="23"/>
      <c r="AD147" s="63">
        <v>0</v>
      </c>
      <c r="AE147" s="91" t="s">
        <v>75</v>
      </c>
      <c r="AF147" s="55" t="s">
        <v>1942</v>
      </c>
      <c r="AG147" s="14" t="s">
        <v>1943</v>
      </c>
      <c r="AH147" s="14" t="s">
        <v>1944</v>
      </c>
    </row>
    <row r="148" spans="1:34" s="1" customFormat="1">
      <c r="A148" s="25" t="s">
        <v>1957</v>
      </c>
      <c r="B148" s="64" t="s">
        <v>1958</v>
      </c>
      <c r="C148" s="65">
        <v>1</v>
      </c>
      <c r="D148" s="35" t="s">
        <v>75</v>
      </c>
      <c r="E148" s="29" t="s">
        <v>1957</v>
      </c>
      <c r="F148" s="69">
        <v>50</v>
      </c>
      <c r="G148" s="22">
        <f>rv_log_apple_vol</f>
        <v>0.1</v>
      </c>
      <c r="H148" s="69">
        <f t="shared" si="47"/>
        <v>45</v>
      </c>
      <c r="I148" s="27"/>
      <c r="J148" s="23"/>
      <c r="K148" s="23"/>
      <c r="L148" s="23"/>
      <c r="M148" s="63">
        <v>0</v>
      </c>
      <c r="N148" s="91" t="s">
        <v>75</v>
      </c>
      <c r="O148" s="55" t="s">
        <v>1942</v>
      </c>
      <c r="P148" s="14" t="s">
        <v>1943</v>
      </c>
      <c r="Q148" s="14" t="s">
        <v>1944</v>
      </c>
      <c r="R148" s="25" t="s">
        <v>1957</v>
      </c>
      <c r="S148" s="64" t="s">
        <v>1958</v>
      </c>
      <c r="T148" s="65">
        <v>1</v>
      </c>
      <c r="U148" s="35" t="s">
        <v>75</v>
      </c>
      <c r="V148" s="29" t="s">
        <v>1957</v>
      </c>
      <c r="W148" s="69">
        <v>50</v>
      </c>
      <c r="X148" s="22">
        <f>rv_log_apple_vol</f>
        <v>0.1</v>
      </c>
      <c r="Y148" s="69">
        <f t="shared" si="48"/>
        <v>45</v>
      </c>
      <c r="Z148" s="27"/>
      <c r="AA148" s="23"/>
      <c r="AB148" s="23"/>
      <c r="AC148" s="23"/>
      <c r="AD148" s="63">
        <v>0</v>
      </c>
      <c r="AE148" s="91" t="s">
        <v>75</v>
      </c>
      <c r="AF148" s="55" t="s">
        <v>1942</v>
      </c>
      <c r="AG148" s="14" t="s">
        <v>1943</v>
      </c>
      <c r="AH148" s="14" t="s">
        <v>1944</v>
      </c>
    </row>
    <row r="149" spans="1:34" s="1" customFormat="1">
      <c r="A149" s="25" t="s">
        <v>1959</v>
      </c>
      <c r="B149" s="64" t="s">
        <v>1960</v>
      </c>
      <c r="C149" s="65">
        <v>1</v>
      </c>
      <c r="D149" s="35" t="s">
        <v>75</v>
      </c>
      <c r="E149" s="29" t="s">
        <v>1959</v>
      </c>
      <c r="F149" s="69">
        <v>208.33</v>
      </c>
      <c r="G149" s="22"/>
      <c r="H149" s="69">
        <f t="shared" si="47"/>
        <v>208.33</v>
      </c>
      <c r="I149" s="27"/>
      <c r="J149" s="23"/>
      <c r="K149" s="23"/>
      <c r="L149" s="23"/>
      <c r="M149" s="63">
        <v>0</v>
      </c>
      <c r="N149" s="91" t="s">
        <v>75</v>
      </c>
      <c r="O149" s="55" t="s">
        <v>1942</v>
      </c>
      <c r="P149" s="14" t="s">
        <v>1943</v>
      </c>
      <c r="Q149" s="14" t="s">
        <v>1944</v>
      </c>
      <c r="R149" s="25" t="s">
        <v>1959</v>
      </c>
      <c r="S149" s="64" t="s">
        <v>1960</v>
      </c>
      <c r="T149" s="65">
        <v>1</v>
      </c>
      <c r="U149" s="35" t="s">
        <v>75</v>
      </c>
      <c r="V149" s="29" t="s">
        <v>1959</v>
      </c>
      <c r="W149" s="69">
        <v>208.33</v>
      </c>
      <c r="X149" s="22"/>
      <c r="Y149" s="69">
        <f t="shared" si="48"/>
        <v>208.33</v>
      </c>
      <c r="Z149" s="27"/>
      <c r="AA149" s="23"/>
      <c r="AB149" s="23"/>
      <c r="AC149" s="23"/>
      <c r="AD149" s="63">
        <v>0</v>
      </c>
      <c r="AE149" s="91" t="s">
        <v>75</v>
      </c>
      <c r="AF149" s="55" t="s">
        <v>1942</v>
      </c>
      <c r="AG149" s="14" t="s">
        <v>1943</v>
      </c>
      <c r="AH149" s="14" t="s">
        <v>1944</v>
      </c>
    </row>
    <row r="150" spans="1:34" s="1" customFormat="1">
      <c r="A150" s="25" t="s">
        <v>1961</v>
      </c>
      <c r="B150" s="64" t="s">
        <v>1962</v>
      </c>
      <c r="C150" s="65">
        <v>1</v>
      </c>
      <c r="D150" s="35" t="s">
        <v>75</v>
      </c>
      <c r="E150" s="29" t="s">
        <v>1961</v>
      </c>
      <c r="F150" s="69">
        <v>208.33</v>
      </c>
      <c r="G150" s="22"/>
      <c r="H150" s="69">
        <f t="shared" si="47"/>
        <v>208.33</v>
      </c>
      <c r="I150" s="27"/>
      <c r="J150" s="23"/>
      <c r="K150" s="23"/>
      <c r="L150" s="23"/>
      <c r="M150" s="63">
        <v>0</v>
      </c>
      <c r="N150" s="91" t="s">
        <v>75</v>
      </c>
      <c r="O150" s="55" t="s">
        <v>1942</v>
      </c>
      <c r="P150" s="14" t="s">
        <v>1943</v>
      </c>
      <c r="Q150" s="14" t="s">
        <v>1944</v>
      </c>
      <c r="R150" s="25" t="s">
        <v>1961</v>
      </c>
      <c r="S150" s="64" t="s">
        <v>1962</v>
      </c>
      <c r="T150" s="65">
        <v>1</v>
      </c>
      <c r="U150" s="35" t="s">
        <v>75</v>
      </c>
      <c r="V150" s="29" t="s">
        <v>1961</v>
      </c>
      <c r="W150" s="69">
        <v>208.33</v>
      </c>
      <c r="X150" s="22"/>
      <c r="Y150" s="69">
        <f t="shared" si="48"/>
        <v>208.33</v>
      </c>
      <c r="Z150" s="27"/>
      <c r="AA150" s="23"/>
      <c r="AB150" s="23"/>
      <c r="AC150" s="23"/>
      <c r="AD150" s="63">
        <v>0</v>
      </c>
      <c r="AE150" s="91" t="s">
        <v>75</v>
      </c>
      <c r="AF150" s="55" t="s">
        <v>1942</v>
      </c>
      <c r="AG150" s="14" t="s">
        <v>1943</v>
      </c>
      <c r="AH150" s="14" t="s">
        <v>1944</v>
      </c>
    </row>
    <row r="151" spans="1:34" s="1" customFormat="1">
      <c r="A151" s="25" t="s">
        <v>1963</v>
      </c>
      <c r="B151" s="64" t="s">
        <v>1964</v>
      </c>
      <c r="C151" s="65">
        <v>1</v>
      </c>
      <c r="D151" s="35" t="s">
        <v>75</v>
      </c>
      <c r="E151" s="29" t="s">
        <v>1963</v>
      </c>
      <c r="F151" s="69">
        <v>32.99</v>
      </c>
      <c r="G151" s="22"/>
      <c r="H151" s="69">
        <f t="shared" si="47"/>
        <v>32.99</v>
      </c>
      <c r="I151" s="27"/>
      <c r="J151" s="23"/>
      <c r="K151" s="23"/>
      <c r="L151" s="23"/>
      <c r="M151" s="63">
        <v>0</v>
      </c>
      <c r="N151" s="91" t="s">
        <v>75</v>
      </c>
      <c r="O151" s="55" t="s">
        <v>1942</v>
      </c>
      <c r="P151" s="14" t="s">
        <v>1943</v>
      </c>
      <c r="Q151" s="14" t="s">
        <v>1944</v>
      </c>
      <c r="R151" s="25" t="s">
        <v>1963</v>
      </c>
      <c r="S151" s="64" t="s">
        <v>1964</v>
      </c>
      <c r="T151" s="65">
        <v>1</v>
      </c>
      <c r="U151" s="35" t="s">
        <v>75</v>
      </c>
      <c r="V151" s="29" t="s">
        <v>1963</v>
      </c>
      <c r="W151" s="69">
        <v>32.99</v>
      </c>
      <c r="X151" s="22"/>
      <c r="Y151" s="69">
        <f t="shared" si="48"/>
        <v>32.99</v>
      </c>
      <c r="Z151" s="27"/>
      <c r="AA151" s="23"/>
      <c r="AB151" s="23"/>
      <c r="AC151" s="23"/>
      <c r="AD151" s="63">
        <v>0</v>
      </c>
      <c r="AE151" s="91" t="s">
        <v>75</v>
      </c>
      <c r="AF151" s="55" t="s">
        <v>1942</v>
      </c>
      <c r="AG151" s="14" t="s">
        <v>1943</v>
      </c>
      <c r="AH151" s="14" t="s">
        <v>1944</v>
      </c>
    </row>
    <row r="152" spans="1:34" s="1" customFormat="1">
      <c r="A152" s="25" t="s">
        <v>1965</v>
      </c>
      <c r="B152" s="64" t="s">
        <v>1966</v>
      </c>
      <c r="C152" s="65">
        <v>1</v>
      </c>
      <c r="D152" s="35" t="s">
        <v>75</v>
      </c>
      <c r="E152" s="29" t="s">
        <v>1965</v>
      </c>
      <c r="F152" s="69">
        <v>32.99</v>
      </c>
      <c r="G152" s="22"/>
      <c r="H152" s="69">
        <f t="shared" si="47"/>
        <v>32.99</v>
      </c>
      <c r="I152" s="27"/>
      <c r="J152" s="23"/>
      <c r="K152" s="23"/>
      <c r="L152" s="23"/>
      <c r="M152" s="63">
        <v>0</v>
      </c>
      <c r="N152" s="91" t="s">
        <v>75</v>
      </c>
      <c r="O152" s="55" t="s">
        <v>1942</v>
      </c>
      <c r="P152" s="14" t="s">
        <v>1943</v>
      </c>
      <c r="Q152" s="14" t="s">
        <v>1944</v>
      </c>
      <c r="R152" s="25" t="s">
        <v>1965</v>
      </c>
      <c r="S152" s="64" t="s">
        <v>1966</v>
      </c>
      <c r="T152" s="65">
        <v>1</v>
      </c>
      <c r="U152" s="35" t="s">
        <v>75</v>
      </c>
      <c r="V152" s="29" t="s">
        <v>1965</v>
      </c>
      <c r="W152" s="69">
        <v>32.99</v>
      </c>
      <c r="X152" s="22"/>
      <c r="Y152" s="69">
        <f t="shared" si="48"/>
        <v>32.99</v>
      </c>
      <c r="Z152" s="27"/>
      <c r="AA152" s="23"/>
      <c r="AB152" s="23"/>
      <c r="AC152" s="23"/>
      <c r="AD152" s="63">
        <v>0</v>
      </c>
      <c r="AE152" s="91" t="s">
        <v>75</v>
      </c>
      <c r="AF152" s="55" t="s">
        <v>1942</v>
      </c>
      <c r="AG152" s="14" t="s">
        <v>1943</v>
      </c>
      <c r="AH152" s="14" t="s">
        <v>1944</v>
      </c>
    </row>
    <row r="153" spans="1:34" s="1" customFormat="1" ht="24" customHeight="1">
      <c r="A153" s="599" t="s">
        <v>1967</v>
      </c>
      <c r="C153" s="65"/>
      <c r="D153" s="35"/>
      <c r="E153" s="27"/>
      <c r="F153" s="27"/>
      <c r="G153" s="40"/>
      <c r="H153" s="27"/>
      <c r="I153" s="27"/>
      <c r="J153" s="23"/>
      <c r="K153" s="23"/>
      <c r="L153" s="23"/>
      <c r="M153" s="63"/>
      <c r="N153" s="91"/>
      <c r="O153" s="55"/>
      <c r="P153" s="14"/>
      <c r="Q153" s="14"/>
      <c r="R153" s="161" t="s">
        <v>1967</v>
      </c>
      <c r="T153" s="65"/>
      <c r="U153" s="35"/>
      <c r="V153" s="27"/>
      <c r="W153" s="27"/>
      <c r="X153" s="40"/>
      <c r="Y153" s="27"/>
      <c r="Z153" s="27"/>
      <c r="AA153" s="23"/>
      <c r="AB153" s="23"/>
      <c r="AC153" s="23"/>
      <c r="AD153" s="63"/>
      <c r="AE153" s="91"/>
      <c r="AF153" s="55"/>
      <c r="AG153" s="14"/>
      <c r="AH153" s="14"/>
    </row>
    <row r="154" spans="1:34" s="1" customFormat="1">
      <c r="A154" s="25" t="s">
        <v>1781</v>
      </c>
      <c r="B154" s="64" t="s">
        <v>1782</v>
      </c>
      <c r="C154" s="65">
        <v>1</v>
      </c>
      <c r="D154" s="35" t="s">
        <v>75</v>
      </c>
      <c r="E154" s="29" t="s">
        <v>1781</v>
      </c>
      <c r="F154" s="69">
        <v>20.81</v>
      </c>
      <c r="G154" s="22">
        <f>rv_apple_acc_ipad</f>
        <v>0.15</v>
      </c>
      <c r="H154" s="69">
        <f t="shared" ref="H154:H160" si="49">F154-(F154*G154)</f>
        <v>17.688499999999998</v>
      </c>
      <c r="I154" s="27"/>
      <c r="J154" s="23"/>
      <c r="K154" s="23"/>
      <c r="L154" s="23"/>
      <c r="M154" s="63">
        <v>0.02</v>
      </c>
      <c r="N154" s="91" t="s">
        <v>75</v>
      </c>
      <c r="O154" s="55" t="s">
        <v>1106</v>
      </c>
      <c r="P154" s="56" t="s">
        <v>504</v>
      </c>
      <c r="Q154" s="56" t="s">
        <v>1273</v>
      </c>
      <c r="R154" s="25" t="s">
        <v>1781</v>
      </c>
      <c r="S154" s="64" t="s">
        <v>1782</v>
      </c>
      <c r="T154" s="65">
        <v>1</v>
      </c>
      <c r="U154" s="35" t="s">
        <v>75</v>
      </c>
      <c r="V154" s="29" t="s">
        <v>1781</v>
      </c>
      <c r="W154" s="69">
        <v>20.81</v>
      </c>
      <c r="X154" s="22">
        <f>rv_apple_acc_ipad</f>
        <v>0.15</v>
      </c>
      <c r="Y154" s="69">
        <f t="shared" ref="Y154:Y160" si="50">W154-(W154*X154)</f>
        <v>17.688499999999998</v>
      </c>
      <c r="Z154" s="27"/>
      <c r="AA154" s="23"/>
      <c r="AB154" s="23"/>
      <c r="AC154" s="23"/>
      <c r="AD154" s="63">
        <v>0.02</v>
      </c>
      <c r="AE154" s="91" t="s">
        <v>75</v>
      </c>
      <c r="AF154" s="55" t="s">
        <v>1106</v>
      </c>
      <c r="AG154" s="14" t="s">
        <v>1680</v>
      </c>
      <c r="AH154" s="14" t="s">
        <v>1681</v>
      </c>
    </row>
    <row r="155" spans="1:34" s="1" customFormat="1">
      <c r="A155" s="25" t="s">
        <v>1783</v>
      </c>
      <c r="B155" s="64" t="s">
        <v>1784</v>
      </c>
      <c r="C155" s="65">
        <v>1</v>
      </c>
      <c r="D155" s="35" t="s">
        <v>75</v>
      </c>
      <c r="E155" s="29" t="s">
        <v>1783</v>
      </c>
      <c r="F155" s="69">
        <v>29.15</v>
      </c>
      <c r="G155" s="22">
        <f>rv_apple_acc_ipad</f>
        <v>0.15</v>
      </c>
      <c r="H155" s="69">
        <f t="shared" si="49"/>
        <v>24.7775</v>
      </c>
      <c r="I155" s="27"/>
      <c r="J155" s="23"/>
      <c r="K155" s="23"/>
      <c r="L155" s="23"/>
      <c r="M155" s="63">
        <v>0.02</v>
      </c>
      <c r="N155" s="91" t="s">
        <v>75</v>
      </c>
      <c r="O155" s="55" t="s">
        <v>1106</v>
      </c>
      <c r="P155" s="56" t="s">
        <v>504</v>
      </c>
      <c r="Q155" s="56" t="s">
        <v>1273</v>
      </c>
      <c r="R155" s="25" t="s">
        <v>1783</v>
      </c>
      <c r="S155" s="64" t="s">
        <v>1784</v>
      </c>
      <c r="T155" s="65">
        <v>1</v>
      </c>
      <c r="U155" s="35" t="s">
        <v>75</v>
      </c>
      <c r="V155" s="29" t="s">
        <v>1783</v>
      </c>
      <c r="W155" s="69">
        <v>29.15</v>
      </c>
      <c r="X155" s="22">
        <f>rv_apple_acc_ipad</f>
        <v>0.15</v>
      </c>
      <c r="Y155" s="69">
        <f t="shared" si="50"/>
        <v>24.7775</v>
      </c>
      <c r="Z155" s="27"/>
      <c r="AA155" s="23"/>
      <c r="AB155" s="23"/>
      <c r="AC155" s="23"/>
      <c r="AD155" s="63">
        <v>0.02</v>
      </c>
      <c r="AE155" s="91" t="s">
        <v>75</v>
      </c>
      <c r="AF155" s="55" t="s">
        <v>1106</v>
      </c>
      <c r="AG155" s="14" t="s">
        <v>1680</v>
      </c>
      <c r="AH155" s="14" t="s">
        <v>1681</v>
      </c>
    </row>
    <row r="156" spans="1:34" s="1" customFormat="1">
      <c r="A156" s="25" t="s">
        <v>1785</v>
      </c>
      <c r="B156" s="64" t="s">
        <v>1786</v>
      </c>
      <c r="C156" s="65">
        <v>1</v>
      </c>
      <c r="D156" s="35" t="s">
        <v>75</v>
      </c>
      <c r="E156" s="29" t="s">
        <v>1785</v>
      </c>
      <c r="F156" s="69">
        <v>29.16</v>
      </c>
      <c r="G156" s="22">
        <f>rv_apple_acc_ipad</f>
        <v>0.15</v>
      </c>
      <c r="H156" s="69">
        <f t="shared" si="49"/>
        <v>24.786000000000001</v>
      </c>
      <c r="I156" s="27"/>
      <c r="J156" s="23"/>
      <c r="K156" s="23"/>
      <c r="L156" s="23"/>
      <c r="M156" s="63">
        <v>0.01</v>
      </c>
      <c r="N156" s="91" t="s">
        <v>75</v>
      </c>
      <c r="O156" s="55" t="s">
        <v>1106</v>
      </c>
      <c r="P156" s="56" t="s">
        <v>504</v>
      </c>
      <c r="Q156" s="56" t="s">
        <v>1273</v>
      </c>
      <c r="R156" s="25" t="s">
        <v>1785</v>
      </c>
      <c r="S156" s="64" t="s">
        <v>1786</v>
      </c>
      <c r="T156" s="65">
        <v>1</v>
      </c>
      <c r="U156" s="35" t="s">
        <v>75</v>
      </c>
      <c r="V156" s="29" t="s">
        <v>1785</v>
      </c>
      <c r="W156" s="69">
        <v>29.16</v>
      </c>
      <c r="X156" s="22">
        <f>rv_apple_acc_ipad</f>
        <v>0.15</v>
      </c>
      <c r="Y156" s="69">
        <f t="shared" si="50"/>
        <v>24.786000000000001</v>
      </c>
      <c r="Z156" s="27"/>
      <c r="AA156" s="23"/>
      <c r="AB156" s="23"/>
      <c r="AC156" s="23"/>
      <c r="AD156" s="63">
        <v>0.01</v>
      </c>
      <c r="AE156" s="91" t="s">
        <v>75</v>
      </c>
      <c r="AF156" s="55" t="s">
        <v>1106</v>
      </c>
      <c r="AG156" s="14" t="s">
        <v>1680</v>
      </c>
      <c r="AH156" s="14" t="s">
        <v>1681</v>
      </c>
    </row>
    <row r="157" spans="1:34" s="1" customFormat="1">
      <c r="A157" s="25" t="s">
        <v>1795</v>
      </c>
      <c r="B157" s="64" t="s">
        <v>1796</v>
      </c>
      <c r="C157" s="65">
        <v>1</v>
      </c>
      <c r="D157" s="35" t="s">
        <v>75</v>
      </c>
      <c r="E157" s="29" t="s">
        <v>1795</v>
      </c>
      <c r="F157" s="69">
        <v>20.82</v>
      </c>
      <c r="G157" s="22">
        <f>rv_apple_acc_ipad</f>
        <v>0.15</v>
      </c>
      <c r="H157" s="69">
        <f t="shared" si="49"/>
        <v>17.696999999999999</v>
      </c>
      <c r="I157" s="27"/>
      <c r="J157" s="23"/>
      <c r="K157" s="23"/>
      <c r="L157" s="23"/>
      <c r="M157" s="63">
        <v>0.01</v>
      </c>
      <c r="N157" s="91" t="s">
        <v>75</v>
      </c>
      <c r="O157" s="55" t="s">
        <v>1106</v>
      </c>
      <c r="P157" s="56" t="s">
        <v>504</v>
      </c>
      <c r="Q157" s="56" t="s">
        <v>1273</v>
      </c>
      <c r="R157" s="25" t="s">
        <v>1795</v>
      </c>
      <c r="S157" s="64" t="s">
        <v>1796</v>
      </c>
      <c r="T157" s="65">
        <v>1</v>
      </c>
      <c r="U157" s="35" t="s">
        <v>75</v>
      </c>
      <c r="V157" s="29" t="s">
        <v>1795</v>
      </c>
      <c r="W157" s="69">
        <v>20.82</v>
      </c>
      <c r="X157" s="22">
        <f>rv_apple_acc_ipad</f>
        <v>0.15</v>
      </c>
      <c r="Y157" s="69">
        <f t="shared" si="50"/>
        <v>17.696999999999999</v>
      </c>
      <c r="Z157" s="27"/>
      <c r="AA157" s="23"/>
      <c r="AB157" s="23"/>
      <c r="AC157" s="23"/>
      <c r="AD157" s="63">
        <v>0.01</v>
      </c>
      <c r="AE157" s="91" t="s">
        <v>75</v>
      </c>
      <c r="AF157" s="55" t="s">
        <v>1106</v>
      </c>
      <c r="AG157" s="14" t="s">
        <v>1680</v>
      </c>
      <c r="AH157" s="14" t="s">
        <v>1681</v>
      </c>
    </row>
    <row r="158" spans="1:34" s="1" customFormat="1">
      <c r="A158" s="25" t="s">
        <v>1797</v>
      </c>
      <c r="B158" s="64" t="s">
        <v>1798</v>
      </c>
      <c r="C158" s="65">
        <v>1</v>
      </c>
      <c r="D158" s="35" t="s">
        <v>75</v>
      </c>
      <c r="E158" s="29" t="s">
        <v>1797</v>
      </c>
      <c r="F158" s="69">
        <v>20.83</v>
      </c>
      <c r="G158" s="22">
        <f>rv_apple_acc_mac</f>
        <v>0.09</v>
      </c>
      <c r="H158" s="69">
        <f t="shared" si="49"/>
        <v>18.955299999999998</v>
      </c>
      <c r="I158" s="27"/>
      <c r="J158" s="23"/>
      <c r="K158" s="23"/>
      <c r="L158" s="23"/>
      <c r="M158" s="63">
        <v>0.01</v>
      </c>
      <c r="N158" s="91" t="s">
        <v>75</v>
      </c>
      <c r="O158" s="55" t="s">
        <v>1106</v>
      </c>
      <c r="P158" s="56" t="s">
        <v>504</v>
      </c>
      <c r="Q158" s="56" t="s">
        <v>1273</v>
      </c>
      <c r="R158" s="25" t="s">
        <v>1797</v>
      </c>
      <c r="S158" s="64" t="s">
        <v>1798</v>
      </c>
      <c r="T158" s="65">
        <v>1</v>
      </c>
      <c r="U158" s="35" t="s">
        <v>75</v>
      </c>
      <c r="V158" s="29" t="s">
        <v>1797</v>
      </c>
      <c r="W158" s="69">
        <v>20.83</v>
      </c>
      <c r="X158" s="22">
        <f>rv_apple_acc_mac</f>
        <v>0.09</v>
      </c>
      <c r="Y158" s="69">
        <f t="shared" si="50"/>
        <v>18.955299999999998</v>
      </c>
      <c r="Z158" s="27"/>
      <c r="AA158" s="23"/>
      <c r="AB158" s="23"/>
      <c r="AC158" s="23"/>
      <c r="AD158" s="63">
        <v>0.01</v>
      </c>
      <c r="AE158" s="91" t="s">
        <v>75</v>
      </c>
      <c r="AF158" s="55" t="s">
        <v>1106</v>
      </c>
      <c r="AG158" s="14" t="s">
        <v>1274</v>
      </c>
      <c r="AH158" s="14" t="s">
        <v>1275</v>
      </c>
    </row>
    <row r="159" spans="1:34" s="1" customFormat="1">
      <c r="A159" s="25" t="s">
        <v>1807</v>
      </c>
      <c r="B159" s="64" t="s">
        <v>1808</v>
      </c>
      <c r="C159" s="65">
        <v>1</v>
      </c>
      <c r="D159" s="35" t="s">
        <v>75</v>
      </c>
      <c r="E159" s="29" t="s">
        <v>1807</v>
      </c>
      <c r="F159" s="69">
        <v>37.5</v>
      </c>
      <c r="G159" s="22">
        <f>rv_apple_acc_ipad</f>
        <v>0.15</v>
      </c>
      <c r="H159" s="69">
        <f t="shared" si="49"/>
        <v>31.875</v>
      </c>
      <c r="I159" s="27"/>
      <c r="J159" s="23"/>
      <c r="K159" s="23"/>
      <c r="L159" s="23"/>
      <c r="M159" s="63">
        <v>0.01</v>
      </c>
      <c r="N159" s="91" t="s">
        <v>75</v>
      </c>
      <c r="O159" s="55" t="s">
        <v>1106</v>
      </c>
      <c r="P159" s="56" t="s">
        <v>504</v>
      </c>
      <c r="Q159" s="56" t="s">
        <v>1273</v>
      </c>
      <c r="R159" s="25" t="s">
        <v>1807</v>
      </c>
      <c r="S159" s="64" t="s">
        <v>1808</v>
      </c>
      <c r="T159" s="65">
        <v>1</v>
      </c>
      <c r="U159" s="35" t="s">
        <v>75</v>
      </c>
      <c r="V159" s="29" t="s">
        <v>1807</v>
      </c>
      <c r="W159" s="69">
        <v>37.5</v>
      </c>
      <c r="X159" s="22">
        <f>rv_apple_acc_ipad</f>
        <v>0.15</v>
      </c>
      <c r="Y159" s="69">
        <f t="shared" si="50"/>
        <v>31.875</v>
      </c>
      <c r="Z159" s="27"/>
      <c r="AA159" s="23"/>
      <c r="AB159" s="23"/>
      <c r="AC159" s="23"/>
      <c r="AD159" s="63">
        <v>0.01</v>
      </c>
      <c r="AE159" s="91" t="s">
        <v>75</v>
      </c>
      <c r="AF159" s="55" t="s">
        <v>1106</v>
      </c>
      <c r="AG159" s="14" t="s">
        <v>1680</v>
      </c>
      <c r="AH159" s="14" t="s">
        <v>1681</v>
      </c>
    </row>
    <row r="160" spans="1:34" s="1" customFormat="1">
      <c r="A160" s="25" t="s">
        <v>1809</v>
      </c>
      <c r="B160" s="64" t="s">
        <v>1810</v>
      </c>
      <c r="C160" s="65">
        <v>1</v>
      </c>
      <c r="D160" s="35" t="s">
        <v>75</v>
      </c>
      <c r="E160" s="29" t="s">
        <v>1809</v>
      </c>
      <c r="F160" s="69">
        <v>20.83</v>
      </c>
      <c r="G160" s="22">
        <f>rv_apple_acc_ipad</f>
        <v>0.15</v>
      </c>
      <c r="H160" s="69">
        <f t="shared" si="49"/>
        <v>17.705499999999997</v>
      </c>
      <c r="I160" s="27"/>
      <c r="J160" s="23"/>
      <c r="K160" s="23"/>
      <c r="L160" s="23"/>
      <c r="M160" s="63">
        <v>0.02</v>
      </c>
      <c r="N160" s="91" t="s">
        <v>75</v>
      </c>
      <c r="O160" s="55" t="s">
        <v>1106</v>
      </c>
      <c r="P160" s="56" t="s">
        <v>504</v>
      </c>
      <c r="Q160" s="56" t="s">
        <v>1273</v>
      </c>
      <c r="R160" s="25" t="s">
        <v>1809</v>
      </c>
      <c r="S160" s="64" t="s">
        <v>1810</v>
      </c>
      <c r="T160" s="65">
        <v>1</v>
      </c>
      <c r="U160" s="35" t="s">
        <v>75</v>
      </c>
      <c r="V160" s="29" t="s">
        <v>1809</v>
      </c>
      <c r="W160" s="69">
        <v>20.83</v>
      </c>
      <c r="X160" s="22">
        <f>rv_apple_acc_ipad</f>
        <v>0.15</v>
      </c>
      <c r="Y160" s="69">
        <f t="shared" si="50"/>
        <v>17.705499999999997</v>
      </c>
      <c r="Z160" s="27"/>
      <c r="AA160" s="23"/>
      <c r="AB160" s="23"/>
      <c r="AC160" s="23"/>
      <c r="AD160" s="63">
        <v>0.02</v>
      </c>
      <c r="AE160" s="91" t="s">
        <v>75</v>
      </c>
      <c r="AF160" s="55" t="s">
        <v>1106</v>
      </c>
      <c r="AG160" s="14" t="s">
        <v>1680</v>
      </c>
      <c r="AH160" s="14" t="s">
        <v>1681</v>
      </c>
    </row>
    <row r="161" spans="1:34" s="1" customFormat="1" ht="27.95" customHeight="1">
      <c r="A161" s="599" t="s">
        <v>1968</v>
      </c>
      <c r="B161" s="152"/>
      <c r="C161" s="65"/>
      <c r="D161" s="35"/>
      <c r="E161" s="33"/>
      <c r="F161" s="69"/>
      <c r="G161" s="66"/>
      <c r="H161" s="69"/>
      <c r="I161" s="27"/>
      <c r="J161" s="23"/>
      <c r="K161" s="23"/>
      <c r="L161" s="23"/>
      <c r="M161" s="63"/>
      <c r="N161" s="91"/>
      <c r="O161" s="55"/>
      <c r="P161" s="14"/>
      <c r="Q161" s="14"/>
      <c r="R161" s="161" t="s">
        <v>1969</v>
      </c>
      <c r="S161" s="152"/>
      <c r="T161" s="65"/>
      <c r="U161" s="35"/>
      <c r="V161" s="33"/>
      <c r="W161" s="69"/>
      <c r="X161" s="66"/>
      <c r="Y161" s="69"/>
      <c r="Z161" s="27"/>
      <c r="AA161" s="23"/>
      <c r="AB161" s="23"/>
      <c r="AC161" s="23"/>
      <c r="AD161" s="63"/>
      <c r="AE161" s="91"/>
      <c r="AF161" s="55"/>
      <c r="AG161" s="14"/>
      <c r="AH161" s="14"/>
    </row>
    <row r="162" spans="1:34" s="121" customFormat="1">
      <c r="A162" s="113" t="s">
        <v>1970</v>
      </c>
      <c r="B162" s="273" t="s">
        <v>1971</v>
      </c>
      <c r="C162" s="292">
        <v>1</v>
      </c>
      <c r="D162" s="116" t="s">
        <v>75</v>
      </c>
      <c r="E162" s="115" t="s">
        <v>1970</v>
      </c>
      <c r="F162" s="269">
        <v>70.73</v>
      </c>
      <c r="G162" s="298">
        <f t="shared" ref="G162:G173" si="51">rv_apple_acc_mac</f>
        <v>0.09</v>
      </c>
      <c r="H162" s="269">
        <f t="shared" ref="H162:H196" si="52">F162-(F162*G162)</f>
        <v>64.3643</v>
      </c>
      <c r="I162" s="153"/>
      <c r="J162" s="154"/>
      <c r="K162" s="154"/>
      <c r="L162" s="154"/>
      <c r="M162" s="226">
        <v>0.1</v>
      </c>
      <c r="N162" s="91" t="s">
        <v>75</v>
      </c>
      <c r="O162" s="55" t="s">
        <v>1106</v>
      </c>
      <c r="P162" s="56" t="s">
        <v>504</v>
      </c>
      <c r="Q162" s="56" t="s">
        <v>1273</v>
      </c>
      <c r="R162" s="113" t="s">
        <v>1970</v>
      </c>
      <c r="S162" s="273" t="s">
        <v>1971</v>
      </c>
      <c r="T162" s="292">
        <v>1</v>
      </c>
      <c r="U162" s="116" t="s">
        <v>75</v>
      </c>
      <c r="V162" s="115" t="s">
        <v>1970</v>
      </c>
      <c r="W162" s="269">
        <v>70.73</v>
      </c>
      <c r="X162" s="298">
        <f t="shared" ref="X162:X173" si="53">rv_apple_acc_mac</f>
        <v>0.09</v>
      </c>
      <c r="Y162" s="269">
        <f t="shared" ref="Y162:Y182" si="54">W162-(W162*X162)</f>
        <v>64.3643</v>
      </c>
      <c r="Z162" s="153"/>
      <c r="AA162" s="154"/>
      <c r="AB162" s="154"/>
      <c r="AC162" s="154"/>
      <c r="AD162" s="226">
        <v>0.1</v>
      </c>
      <c r="AE162" s="91" t="s">
        <v>75</v>
      </c>
      <c r="AF162" s="55" t="s">
        <v>1106</v>
      </c>
      <c r="AG162" s="56" t="s">
        <v>1274</v>
      </c>
      <c r="AH162" s="56" t="s">
        <v>1275</v>
      </c>
    </row>
    <row r="163" spans="1:34" s="121" customFormat="1">
      <c r="A163" s="113" t="s">
        <v>1972</v>
      </c>
      <c r="B163" s="273" t="s">
        <v>1973</v>
      </c>
      <c r="C163" s="292">
        <v>1</v>
      </c>
      <c r="D163" s="116" t="s">
        <v>75</v>
      </c>
      <c r="E163" s="115" t="s">
        <v>1972</v>
      </c>
      <c r="F163" s="269">
        <v>70.73</v>
      </c>
      <c r="G163" s="298">
        <f t="shared" si="51"/>
        <v>0.09</v>
      </c>
      <c r="H163" s="269">
        <f t="shared" si="52"/>
        <v>64.3643</v>
      </c>
      <c r="I163" s="153"/>
      <c r="J163" s="154"/>
      <c r="K163" s="154"/>
      <c r="L163" s="154"/>
      <c r="M163" s="226">
        <v>0.1</v>
      </c>
      <c r="N163" s="91" t="s">
        <v>75</v>
      </c>
      <c r="O163" s="55" t="s">
        <v>1106</v>
      </c>
      <c r="P163" s="56" t="s">
        <v>504</v>
      </c>
      <c r="Q163" s="56" t="s">
        <v>1273</v>
      </c>
      <c r="R163" s="113" t="s">
        <v>1972</v>
      </c>
      <c r="S163" s="273" t="s">
        <v>1973</v>
      </c>
      <c r="T163" s="292">
        <v>1</v>
      </c>
      <c r="U163" s="116" t="s">
        <v>75</v>
      </c>
      <c r="V163" s="115" t="s">
        <v>1972</v>
      </c>
      <c r="W163" s="269">
        <v>70.73</v>
      </c>
      <c r="X163" s="298">
        <f t="shared" si="53"/>
        <v>0.09</v>
      </c>
      <c r="Y163" s="269">
        <f t="shared" si="54"/>
        <v>64.3643</v>
      </c>
      <c r="Z163" s="153"/>
      <c r="AA163" s="154"/>
      <c r="AB163" s="154"/>
      <c r="AC163" s="154"/>
      <c r="AD163" s="226">
        <v>0.1</v>
      </c>
      <c r="AE163" s="91" t="s">
        <v>75</v>
      </c>
      <c r="AF163" s="55" t="s">
        <v>1106</v>
      </c>
      <c r="AG163" s="56" t="s">
        <v>1274</v>
      </c>
      <c r="AH163" s="56" t="s">
        <v>1275</v>
      </c>
    </row>
    <row r="164" spans="1:34" s="121" customFormat="1">
      <c r="A164" s="113" t="s">
        <v>1974</v>
      </c>
      <c r="B164" s="273" t="s">
        <v>1975</v>
      </c>
      <c r="C164" s="292">
        <v>1</v>
      </c>
      <c r="D164" s="116" t="s">
        <v>75</v>
      </c>
      <c r="E164" s="115" t="s">
        <v>1974</v>
      </c>
      <c r="F164" s="269">
        <v>70.73</v>
      </c>
      <c r="G164" s="298">
        <f t="shared" si="51"/>
        <v>0.09</v>
      </c>
      <c r="H164" s="269">
        <f t="shared" si="52"/>
        <v>64.3643</v>
      </c>
      <c r="I164" s="153"/>
      <c r="J164" s="154"/>
      <c r="K164" s="154"/>
      <c r="L164" s="154"/>
      <c r="M164" s="226">
        <v>0.1</v>
      </c>
      <c r="N164" s="91" t="s">
        <v>75</v>
      </c>
      <c r="O164" s="55" t="s">
        <v>1106</v>
      </c>
      <c r="P164" s="56" t="s">
        <v>504</v>
      </c>
      <c r="Q164" s="56" t="s">
        <v>1273</v>
      </c>
      <c r="R164" s="113" t="s">
        <v>1974</v>
      </c>
      <c r="S164" s="273" t="s">
        <v>1975</v>
      </c>
      <c r="T164" s="292">
        <v>1</v>
      </c>
      <c r="U164" s="116" t="s">
        <v>75</v>
      </c>
      <c r="V164" s="115" t="s">
        <v>1974</v>
      </c>
      <c r="W164" s="269">
        <v>70.73</v>
      </c>
      <c r="X164" s="298">
        <f t="shared" si="53"/>
        <v>0.09</v>
      </c>
      <c r="Y164" s="269">
        <f t="shared" si="54"/>
        <v>64.3643</v>
      </c>
      <c r="Z164" s="153"/>
      <c r="AA164" s="154"/>
      <c r="AB164" s="154"/>
      <c r="AC164" s="154"/>
      <c r="AD164" s="226">
        <v>0.1</v>
      </c>
      <c r="AE164" s="91" t="s">
        <v>75</v>
      </c>
      <c r="AF164" s="55" t="s">
        <v>1106</v>
      </c>
      <c r="AG164" s="56" t="s">
        <v>1274</v>
      </c>
      <c r="AH164" s="56" t="s">
        <v>1275</v>
      </c>
    </row>
    <row r="165" spans="1:34" s="121" customFormat="1">
      <c r="A165" s="113" t="s">
        <v>1976</v>
      </c>
      <c r="B165" s="273" t="s">
        <v>1977</v>
      </c>
      <c r="C165" s="292">
        <v>1</v>
      </c>
      <c r="D165" s="116" t="s">
        <v>75</v>
      </c>
      <c r="E165" s="115" t="s">
        <v>1976</v>
      </c>
      <c r="F165" s="269">
        <v>70.81</v>
      </c>
      <c r="G165" s="298">
        <f t="shared" si="51"/>
        <v>0.09</v>
      </c>
      <c r="H165" s="269">
        <f t="shared" si="52"/>
        <v>64.437100000000001</v>
      </c>
      <c r="I165" s="153"/>
      <c r="J165" s="154"/>
      <c r="K165" s="154"/>
      <c r="L165" s="154"/>
      <c r="M165" s="226" t="s">
        <v>1978</v>
      </c>
      <c r="N165" s="91" t="s">
        <v>75</v>
      </c>
      <c r="O165" s="55" t="s">
        <v>1106</v>
      </c>
      <c r="P165" s="56" t="s">
        <v>504</v>
      </c>
      <c r="Q165" s="56" t="s">
        <v>1273</v>
      </c>
      <c r="R165" s="113" t="s">
        <v>1976</v>
      </c>
      <c r="S165" s="273" t="s">
        <v>1977</v>
      </c>
      <c r="T165" s="292">
        <v>1</v>
      </c>
      <c r="U165" s="116" t="s">
        <v>75</v>
      </c>
      <c r="V165" s="115" t="s">
        <v>1976</v>
      </c>
      <c r="W165" s="269">
        <v>70.81</v>
      </c>
      <c r="X165" s="298">
        <f t="shared" si="53"/>
        <v>0.09</v>
      </c>
      <c r="Y165" s="269">
        <f t="shared" si="54"/>
        <v>64.437100000000001</v>
      </c>
      <c r="Z165" s="153"/>
      <c r="AA165" s="154"/>
      <c r="AB165" s="154"/>
      <c r="AC165" s="154"/>
      <c r="AD165" s="226" t="s">
        <v>1978</v>
      </c>
      <c r="AE165" s="91" t="s">
        <v>75</v>
      </c>
      <c r="AF165" s="55" t="s">
        <v>1106</v>
      </c>
      <c r="AG165" s="56" t="s">
        <v>1274</v>
      </c>
      <c r="AH165" s="56" t="s">
        <v>1275</v>
      </c>
    </row>
    <row r="166" spans="1:34" s="121" customFormat="1">
      <c r="A166" s="113" t="s">
        <v>1979</v>
      </c>
      <c r="B166" s="273" t="s">
        <v>1980</v>
      </c>
      <c r="C166" s="292">
        <v>1</v>
      </c>
      <c r="D166" s="116" t="s">
        <v>75</v>
      </c>
      <c r="E166" s="115" t="s">
        <v>1979</v>
      </c>
      <c r="F166" s="269">
        <v>70.78</v>
      </c>
      <c r="G166" s="298">
        <f t="shared" si="51"/>
        <v>0.09</v>
      </c>
      <c r="H166" s="269">
        <f t="shared" si="52"/>
        <v>64.409800000000004</v>
      </c>
      <c r="I166" s="153"/>
      <c r="J166" s="154"/>
      <c r="K166" s="154"/>
      <c r="L166" s="154"/>
      <c r="M166" s="226">
        <v>0.05</v>
      </c>
      <c r="N166" s="91" t="s">
        <v>75</v>
      </c>
      <c r="O166" s="55" t="s">
        <v>1106</v>
      </c>
      <c r="P166" s="56" t="s">
        <v>504</v>
      </c>
      <c r="Q166" s="56" t="s">
        <v>1273</v>
      </c>
      <c r="R166" s="113" t="s">
        <v>1979</v>
      </c>
      <c r="S166" s="273" t="s">
        <v>1980</v>
      </c>
      <c r="T166" s="292">
        <v>1</v>
      </c>
      <c r="U166" s="116" t="s">
        <v>75</v>
      </c>
      <c r="V166" s="115" t="s">
        <v>1979</v>
      </c>
      <c r="W166" s="269">
        <v>70.78</v>
      </c>
      <c r="X166" s="298">
        <f t="shared" si="53"/>
        <v>0.09</v>
      </c>
      <c r="Y166" s="269">
        <f t="shared" si="54"/>
        <v>64.409800000000004</v>
      </c>
      <c r="Z166" s="153"/>
      <c r="AA166" s="154"/>
      <c r="AB166" s="154"/>
      <c r="AC166" s="154"/>
      <c r="AD166" s="226">
        <v>0.05</v>
      </c>
      <c r="AE166" s="91" t="s">
        <v>75</v>
      </c>
      <c r="AF166" s="55" t="s">
        <v>1106</v>
      </c>
      <c r="AG166" s="56" t="s">
        <v>1274</v>
      </c>
      <c r="AH166" s="56" t="s">
        <v>1275</v>
      </c>
    </row>
    <row r="167" spans="1:34" s="121" customFormat="1">
      <c r="A167" s="113" t="s">
        <v>1981</v>
      </c>
      <c r="B167" s="273" t="s">
        <v>1982</v>
      </c>
      <c r="C167" s="292">
        <v>1</v>
      </c>
      <c r="D167" s="116" t="s">
        <v>75</v>
      </c>
      <c r="E167" s="115" t="s">
        <v>1981</v>
      </c>
      <c r="F167" s="269">
        <v>70.78</v>
      </c>
      <c r="G167" s="298">
        <f t="shared" si="51"/>
        <v>0.09</v>
      </c>
      <c r="H167" s="269">
        <f t="shared" si="52"/>
        <v>64.409800000000004</v>
      </c>
      <c r="I167" s="153"/>
      <c r="J167" s="154"/>
      <c r="K167" s="154"/>
      <c r="L167" s="154"/>
      <c r="M167" s="226">
        <v>0.05</v>
      </c>
      <c r="N167" s="91" t="s">
        <v>75</v>
      </c>
      <c r="O167" s="55" t="s">
        <v>1106</v>
      </c>
      <c r="P167" s="56" t="s">
        <v>504</v>
      </c>
      <c r="Q167" s="56" t="s">
        <v>1273</v>
      </c>
      <c r="R167" s="113" t="s">
        <v>1981</v>
      </c>
      <c r="S167" s="273" t="s">
        <v>1982</v>
      </c>
      <c r="T167" s="292">
        <v>1</v>
      </c>
      <c r="U167" s="116" t="s">
        <v>75</v>
      </c>
      <c r="V167" s="115" t="s">
        <v>1981</v>
      </c>
      <c r="W167" s="269">
        <v>70.78</v>
      </c>
      <c r="X167" s="298">
        <f t="shared" si="53"/>
        <v>0.09</v>
      </c>
      <c r="Y167" s="269">
        <f t="shared" si="54"/>
        <v>64.409800000000004</v>
      </c>
      <c r="Z167" s="153"/>
      <c r="AA167" s="154"/>
      <c r="AB167" s="154"/>
      <c r="AC167" s="154"/>
      <c r="AD167" s="226">
        <v>0.05</v>
      </c>
      <c r="AE167" s="91" t="s">
        <v>75</v>
      </c>
      <c r="AF167" s="55" t="s">
        <v>1106</v>
      </c>
      <c r="AG167" s="56" t="s">
        <v>1274</v>
      </c>
      <c r="AH167" s="56" t="s">
        <v>1275</v>
      </c>
    </row>
    <row r="168" spans="1:34" s="121" customFormat="1">
      <c r="A168" s="25" t="s">
        <v>1831</v>
      </c>
      <c r="B168" s="64" t="s">
        <v>1983</v>
      </c>
      <c r="C168" s="65">
        <v>1</v>
      </c>
      <c r="D168" s="35" t="s">
        <v>75</v>
      </c>
      <c r="E168" s="142" t="s">
        <v>1831</v>
      </c>
      <c r="F168" s="71">
        <v>54.17</v>
      </c>
      <c r="G168" s="66">
        <f t="shared" si="51"/>
        <v>0.09</v>
      </c>
      <c r="H168" s="69">
        <f t="shared" ref="H168:H169" si="55">F168-(F168*G168)</f>
        <v>49.294699999999999</v>
      </c>
      <c r="I168" s="153"/>
      <c r="J168" s="154"/>
      <c r="K168" s="154"/>
      <c r="L168" s="154"/>
      <c r="M168" s="226">
        <v>0.05</v>
      </c>
      <c r="N168" s="91" t="s">
        <v>75</v>
      </c>
      <c r="O168" s="55" t="s">
        <v>1106</v>
      </c>
      <c r="P168" s="56" t="s">
        <v>504</v>
      </c>
      <c r="Q168" s="56" t="s">
        <v>1273</v>
      </c>
      <c r="R168" s="25" t="s">
        <v>1831</v>
      </c>
      <c r="S168" s="64" t="s">
        <v>1983</v>
      </c>
      <c r="T168" s="65">
        <v>1</v>
      </c>
      <c r="U168" s="35" t="s">
        <v>75</v>
      </c>
      <c r="V168" s="142" t="s">
        <v>1831</v>
      </c>
      <c r="W168" s="71">
        <v>54.17</v>
      </c>
      <c r="X168" s="66">
        <f t="shared" si="53"/>
        <v>0.09</v>
      </c>
      <c r="Y168" s="69">
        <f t="shared" si="54"/>
        <v>49.294699999999999</v>
      </c>
      <c r="Z168" s="153"/>
      <c r="AA168" s="154"/>
      <c r="AB168" s="154"/>
      <c r="AC168" s="154"/>
      <c r="AD168" s="226">
        <v>0.05</v>
      </c>
      <c r="AE168" s="91" t="s">
        <v>75</v>
      </c>
      <c r="AF168" s="55"/>
      <c r="AG168" s="56"/>
      <c r="AH168" s="56"/>
    </row>
    <row r="169" spans="1:34" s="121" customFormat="1">
      <c r="A169" s="64" t="s">
        <v>1835</v>
      </c>
      <c r="B169" s="64" t="s">
        <v>1984</v>
      </c>
      <c r="C169" s="65">
        <v>1</v>
      </c>
      <c r="D169" s="62" t="s">
        <v>75</v>
      </c>
      <c r="E169" s="29" t="s">
        <v>1835</v>
      </c>
      <c r="F169" s="71">
        <v>70.83</v>
      </c>
      <c r="G169" s="66">
        <f t="shared" si="51"/>
        <v>0.09</v>
      </c>
      <c r="H169" s="69">
        <f t="shared" si="55"/>
        <v>64.455299999999994</v>
      </c>
      <c r="I169" s="153"/>
      <c r="J169" s="154"/>
      <c r="K169" s="154"/>
      <c r="L169" s="154"/>
      <c r="M169" s="226">
        <v>0.05</v>
      </c>
      <c r="N169" s="91" t="s">
        <v>75</v>
      </c>
      <c r="O169" s="55" t="s">
        <v>1106</v>
      </c>
      <c r="P169" s="56" t="s">
        <v>1625</v>
      </c>
      <c r="Q169" s="56" t="s">
        <v>89</v>
      </c>
      <c r="R169" s="25" t="s">
        <v>1985</v>
      </c>
      <c r="S169" s="64" t="s">
        <v>1984</v>
      </c>
      <c r="T169" s="65">
        <v>1</v>
      </c>
      <c r="U169" s="62" t="s">
        <v>75</v>
      </c>
      <c r="V169" s="29" t="s">
        <v>1985</v>
      </c>
      <c r="W169" s="71">
        <v>70.83</v>
      </c>
      <c r="X169" s="66">
        <f t="shared" si="53"/>
        <v>0.09</v>
      </c>
      <c r="Y169" s="69">
        <f t="shared" si="54"/>
        <v>64.455299999999994</v>
      </c>
      <c r="Z169" s="153"/>
      <c r="AA169" s="154"/>
      <c r="AB169" s="154"/>
      <c r="AC169" s="154"/>
      <c r="AD169" s="226">
        <v>0.05</v>
      </c>
      <c r="AE169" s="91" t="s">
        <v>75</v>
      </c>
      <c r="AF169" s="55"/>
      <c r="AG169" s="56"/>
      <c r="AH169" s="56"/>
    </row>
    <row r="170" spans="1:34" s="121" customFormat="1">
      <c r="A170" s="25" t="s">
        <v>1986</v>
      </c>
      <c r="B170" s="64" t="s">
        <v>1987</v>
      </c>
      <c r="C170" s="65">
        <v>1</v>
      </c>
      <c r="D170" s="62" t="s">
        <v>75</v>
      </c>
      <c r="E170" s="142" t="s">
        <v>1986</v>
      </c>
      <c r="F170" s="71">
        <v>87.5</v>
      </c>
      <c r="G170" s="66">
        <f t="shared" si="51"/>
        <v>0.09</v>
      </c>
      <c r="H170" s="69">
        <f t="shared" ref="H170" si="56">F170-(F170*G170)</f>
        <v>79.625</v>
      </c>
      <c r="I170" s="153"/>
      <c r="J170" s="154"/>
      <c r="K170" s="154"/>
      <c r="L170" s="154"/>
      <c r="M170" s="226">
        <v>0.05</v>
      </c>
      <c r="N170" s="91" t="s">
        <v>75</v>
      </c>
      <c r="O170" s="55" t="s">
        <v>1106</v>
      </c>
      <c r="P170" s="56" t="s">
        <v>504</v>
      </c>
      <c r="Q170" s="56" t="s">
        <v>1273</v>
      </c>
      <c r="R170" s="25" t="s">
        <v>1986</v>
      </c>
      <c r="S170" s="64" t="s">
        <v>1987</v>
      </c>
      <c r="T170" s="65">
        <v>1</v>
      </c>
      <c r="U170" s="62" t="s">
        <v>75</v>
      </c>
      <c r="V170" s="142" t="s">
        <v>1986</v>
      </c>
      <c r="W170" s="71">
        <v>87.5</v>
      </c>
      <c r="X170" s="66">
        <f t="shared" si="53"/>
        <v>0.09</v>
      </c>
      <c r="Y170" s="69">
        <f t="shared" si="54"/>
        <v>79.625</v>
      </c>
      <c r="Z170" s="153"/>
      <c r="AA170" s="154"/>
      <c r="AB170" s="154"/>
      <c r="AC170" s="154"/>
      <c r="AD170" s="226">
        <v>0.05</v>
      </c>
      <c r="AE170" s="91" t="s">
        <v>75</v>
      </c>
      <c r="AF170" s="55" t="s">
        <v>1106</v>
      </c>
      <c r="AG170" s="56" t="s">
        <v>1680</v>
      </c>
      <c r="AH170" s="56" t="s">
        <v>1681</v>
      </c>
    </row>
    <row r="171" spans="1:34" s="121" customFormat="1">
      <c r="A171" s="25" t="s">
        <v>1988</v>
      </c>
      <c r="B171" s="64" t="s">
        <v>1989</v>
      </c>
      <c r="C171" s="65">
        <v>1</v>
      </c>
      <c r="D171" s="62" t="s">
        <v>75</v>
      </c>
      <c r="E171" s="142" t="s">
        <v>1988</v>
      </c>
      <c r="F171" s="71">
        <v>45.83</v>
      </c>
      <c r="G171" s="66">
        <f t="shared" si="51"/>
        <v>0.09</v>
      </c>
      <c r="H171" s="69">
        <f t="shared" ref="H171" si="57">F171-(F171*G171)</f>
        <v>41.705300000000001</v>
      </c>
      <c r="I171" s="153"/>
      <c r="J171" s="154"/>
      <c r="K171" s="154"/>
      <c r="L171" s="154"/>
      <c r="M171" s="226">
        <v>0.05</v>
      </c>
      <c r="N171" s="91" t="s">
        <v>75</v>
      </c>
      <c r="O171" s="55" t="s">
        <v>1106</v>
      </c>
      <c r="P171" s="56" t="s">
        <v>504</v>
      </c>
      <c r="Q171" s="56" t="s">
        <v>1273</v>
      </c>
      <c r="R171" s="25" t="s">
        <v>1988</v>
      </c>
      <c r="S171" s="64" t="s">
        <v>1989</v>
      </c>
      <c r="T171" s="65">
        <v>1</v>
      </c>
      <c r="U171" s="62" t="s">
        <v>75</v>
      </c>
      <c r="V171" s="142" t="s">
        <v>1988</v>
      </c>
      <c r="W171" s="71">
        <v>45.83</v>
      </c>
      <c r="X171" s="66">
        <f t="shared" si="53"/>
        <v>0.09</v>
      </c>
      <c r="Y171" s="69">
        <f t="shared" si="54"/>
        <v>41.705300000000001</v>
      </c>
      <c r="Z171" s="153"/>
      <c r="AA171" s="154"/>
      <c r="AB171" s="154"/>
      <c r="AC171" s="154"/>
      <c r="AD171" s="226">
        <v>0.05</v>
      </c>
      <c r="AE171" s="91" t="s">
        <v>75</v>
      </c>
      <c r="AF171" s="55" t="s">
        <v>1106</v>
      </c>
      <c r="AG171" s="56" t="s">
        <v>1680</v>
      </c>
      <c r="AH171" s="56" t="s">
        <v>1681</v>
      </c>
    </row>
    <row r="172" spans="1:34" s="121" customFormat="1">
      <c r="A172" s="25" t="s">
        <v>1839</v>
      </c>
      <c r="B172" s="64" t="s">
        <v>1990</v>
      </c>
      <c r="C172" s="65">
        <v>1</v>
      </c>
      <c r="D172" s="62" t="s">
        <v>75</v>
      </c>
      <c r="E172" s="29" t="s">
        <v>1839</v>
      </c>
      <c r="F172" s="71">
        <v>20.83</v>
      </c>
      <c r="G172" s="66">
        <f t="shared" si="51"/>
        <v>0.09</v>
      </c>
      <c r="H172" s="69">
        <f t="shared" ref="H172:H173" si="58">F172-(F172*G172)</f>
        <v>18.955299999999998</v>
      </c>
      <c r="I172" s="153"/>
      <c r="J172" s="154"/>
      <c r="K172" s="154"/>
      <c r="L172" s="154"/>
      <c r="M172" s="226">
        <v>0.05</v>
      </c>
      <c r="N172" s="91" t="s">
        <v>75</v>
      </c>
      <c r="O172" s="55" t="s">
        <v>1106</v>
      </c>
      <c r="P172" s="56" t="s">
        <v>504</v>
      </c>
      <c r="Q172" s="56" t="s">
        <v>1273</v>
      </c>
      <c r="R172" s="25" t="s">
        <v>1839</v>
      </c>
      <c r="S172" s="64" t="s">
        <v>1990</v>
      </c>
      <c r="T172" s="65">
        <v>1</v>
      </c>
      <c r="U172" s="62" t="s">
        <v>75</v>
      </c>
      <c r="V172" s="29" t="s">
        <v>1839</v>
      </c>
      <c r="W172" s="71">
        <v>20.83</v>
      </c>
      <c r="X172" s="66">
        <f t="shared" si="53"/>
        <v>0.09</v>
      </c>
      <c r="Y172" s="69">
        <f t="shared" si="54"/>
        <v>18.955299999999998</v>
      </c>
      <c r="Z172" s="153"/>
      <c r="AA172" s="154"/>
      <c r="AB172" s="154"/>
      <c r="AC172" s="154"/>
      <c r="AD172" s="226">
        <v>0.05</v>
      </c>
      <c r="AE172" s="91" t="s">
        <v>75</v>
      </c>
      <c r="AF172" s="55" t="s">
        <v>1106</v>
      </c>
      <c r="AG172" s="56" t="s">
        <v>1680</v>
      </c>
      <c r="AH172" s="56" t="s">
        <v>1681</v>
      </c>
    </row>
    <row r="173" spans="1:34" s="121" customFormat="1">
      <c r="A173" s="25" t="s">
        <v>1991</v>
      </c>
      <c r="B173" s="64" t="s">
        <v>1992</v>
      </c>
      <c r="C173" s="65">
        <v>1</v>
      </c>
      <c r="D173" s="62" t="s">
        <v>75</v>
      </c>
      <c r="E173" s="29" t="s">
        <v>1991</v>
      </c>
      <c r="F173" s="71">
        <v>20.83</v>
      </c>
      <c r="G173" s="66">
        <f t="shared" si="51"/>
        <v>0.09</v>
      </c>
      <c r="H173" s="69">
        <f t="shared" si="58"/>
        <v>18.955299999999998</v>
      </c>
      <c r="I173" s="153"/>
      <c r="J173" s="154"/>
      <c r="K173" s="154"/>
      <c r="L173" s="154"/>
      <c r="M173" s="226">
        <v>0.05</v>
      </c>
      <c r="N173" s="91" t="s">
        <v>75</v>
      </c>
      <c r="O173" s="55" t="s">
        <v>1106</v>
      </c>
      <c r="P173" s="56" t="s">
        <v>504</v>
      </c>
      <c r="Q173" s="56" t="s">
        <v>1273</v>
      </c>
      <c r="R173" s="25" t="s">
        <v>1991</v>
      </c>
      <c r="S173" s="64" t="s">
        <v>1992</v>
      </c>
      <c r="T173" s="65">
        <v>1</v>
      </c>
      <c r="U173" s="62" t="s">
        <v>75</v>
      </c>
      <c r="V173" s="29" t="s">
        <v>1991</v>
      </c>
      <c r="W173" s="71">
        <v>20.83</v>
      </c>
      <c r="X173" s="66">
        <f t="shared" si="53"/>
        <v>0.09</v>
      </c>
      <c r="Y173" s="69">
        <f t="shared" si="54"/>
        <v>18.955299999999998</v>
      </c>
      <c r="Z173" s="153"/>
      <c r="AA173" s="154"/>
      <c r="AB173" s="154"/>
      <c r="AC173" s="154"/>
      <c r="AD173" s="226">
        <v>0.05</v>
      </c>
      <c r="AE173" s="91" t="s">
        <v>75</v>
      </c>
      <c r="AF173" s="55" t="s">
        <v>1106</v>
      </c>
      <c r="AG173" s="56" t="s">
        <v>1680</v>
      </c>
      <c r="AH173" s="56" t="s">
        <v>1681</v>
      </c>
    </row>
    <row r="174" spans="1:34" s="121" customFormat="1">
      <c r="A174" s="113" t="s">
        <v>1993</v>
      </c>
      <c r="B174" s="273" t="s">
        <v>1994</v>
      </c>
      <c r="C174" s="292">
        <v>1</v>
      </c>
      <c r="D174" s="116" t="s">
        <v>75</v>
      </c>
      <c r="E174" s="115" t="s">
        <v>1993</v>
      </c>
      <c r="F174" s="269">
        <v>20.81</v>
      </c>
      <c r="G174" s="138">
        <f>rv_apple_acc_ipad</f>
        <v>0.15</v>
      </c>
      <c r="H174" s="269">
        <f t="shared" si="52"/>
        <v>17.688499999999998</v>
      </c>
      <c r="I174" s="153"/>
      <c r="J174" s="154"/>
      <c r="K174" s="154"/>
      <c r="L174" s="154"/>
      <c r="M174" s="226">
        <v>0.02</v>
      </c>
      <c r="N174" s="91" t="s">
        <v>75</v>
      </c>
      <c r="O174" s="55" t="s">
        <v>1106</v>
      </c>
      <c r="P174" s="56" t="s">
        <v>504</v>
      </c>
      <c r="Q174" s="56" t="s">
        <v>1273</v>
      </c>
      <c r="R174" s="113" t="s">
        <v>1993</v>
      </c>
      <c r="S174" s="273" t="s">
        <v>1994</v>
      </c>
      <c r="T174" s="292">
        <v>1</v>
      </c>
      <c r="U174" s="116" t="s">
        <v>75</v>
      </c>
      <c r="V174" s="115" t="s">
        <v>1993</v>
      </c>
      <c r="W174" s="269">
        <v>20.81</v>
      </c>
      <c r="X174" s="138">
        <f>rv_apple_acc_ipad</f>
        <v>0.15</v>
      </c>
      <c r="Y174" s="269">
        <f t="shared" si="54"/>
        <v>17.688499999999998</v>
      </c>
      <c r="Z174" s="153"/>
      <c r="AA174" s="154"/>
      <c r="AB174" s="154"/>
      <c r="AC174" s="154"/>
      <c r="AD174" s="226">
        <v>0.02</v>
      </c>
      <c r="AE174" s="91" t="s">
        <v>75</v>
      </c>
      <c r="AF174" s="55" t="s">
        <v>1106</v>
      </c>
      <c r="AG174" s="56" t="s">
        <v>1680</v>
      </c>
      <c r="AH174" s="56" t="s">
        <v>1681</v>
      </c>
    </row>
    <row r="175" spans="1:34" s="121" customFormat="1">
      <c r="A175" s="113" t="s">
        <v>1995</v>
      </c>
      <c r="B175" s="273" t="s">
        <v>1996</v>
      </c>
      <c r="C175" s="292">
        <v>1</v>
      </c>
      <c r="D175" s="116" t="s">
        <v>75</v>
      </c>
      <c r="E175" s="115" t="s">
        <v>1995</v>
      </c>
      <c r="F175" s="269">
        <v>20.81</v>
      </c>
      <c r="G175" s="138">
        <f>rv_apple_acc_ipad</f>
        <v>0.15</v>
      </c>
      <c r="H175" s="269">
        <f t="shared" si="52"/>
        <v>17.688499999999998</v>
      </c>
      <c r="I175" s="153"/>
      <c r="J175" s="154"/>
      <c r="K175" s="154"/>
      <c r="L175" s="154"/>
      <c r="M175" s="226">
        <v>0.02</v>
      </c>
      <c r="N175" s="91" t="s">
        <v>75</v>
      </c>
      <c r="O175" s="55" t="s">
        <v>1106</v>
      </c>
      <c r="P175" s="56" t="s">
        <v>504</v>
      </c>
      <c r="Q175" s="56" t="s">
        <v>1273</v>
      </c>
      <c r="R175" s="113" t="s">
        <v>1995</v>
      </c>
      <c r="S175" s="273" t="s">
        <v>1996</v>
      </c>
      <c r="T175" s="292">
        <v>1</v>
      </c>
      <c r="U175" s="116" t="s">
        <v>75</v>
      </c>
      <c r="V175" s="115" t="s">
        <v>1995</v>
      </c>
      <c r="W175" s="269">
        <v>20.81</v>
      </c>
      <c r="X175" s="138">
        <f>rv_apple_acc_ipad</f>
        <v>0.15</v>
      </c>
      <c r="Y175" s="269">
        <f t="shared" si="54"/>
        <v>17.688499999999998</v>
      </c>
      <c r="Z175" s="153"/>
      <c r="AA175" s="154"/>
      <c r="AB175" s="154"/>
      <c r="AC175" s="154"/>
      <c r="AD175" s="226">
        <v>0.02</v>
      </c>
      <c r="AE175" s="91" t="s">
        <v>75</v>
      </c>
      <c r="AF175" s="55" t="s">
        <v>1106</v>
      </c>
      <c r="AG175" s="56" t="s">
        <v>1680</v>
      </c>
      <c r="AH175" s="56" t="s">
        <v>1681</v>
      </c>
    </row>
    <row r="176" spans="1:34" s="121" customFormat="1">
      <c r="A176" s="113" t="s">
        <v>1997</v>
      </c>
      <c r="B176" s="273" t="s">
        <v>1998</v>
      </c>
      <c r="C176" s="292">
        <v>1</v>
      </c>
      <c r="D176" s="116" t="s">
        <v>75</v>
      </c>
      <c r="E176" s="115" t="s">
        <v>1997</v>
      </c>
      <c r="F176" s="269">
        <v>9.32</v>
      </c>
      <c r="G176" s="138">
        <f>rv_apple_acc_mac</f>
        <v>0.09</v>
      </c>
      <c r="H176" s="269">
        <f t="shared" si="52"/>
        <v>8.4812000000000012</v>
      </c>
      <c r="I176" s="153"/>
      <c r="J176" s="154"/>
      <c r="K176" s="154"/>
      <c r="L176" s="154"/>
      <c r="M176" s="226">
        <v>0.01</v>
      </c>
      <c r="N176" s="91" t="s">
        <v>75</v>
      </c>
      <c r="O176" s="55" t="s">
        <v>1106</v>
      </c>
      <c r="P176" s="56" t="s">
        <v>504</v>
      </c>
      <c r="Q176" s="56" t="s">
        <v>1273</v>
      </c>
      <c r="R176" s="113" t="s">
        <v>1997</v>
      </c>
      <c r="S176" s="273" t="s">
        <v>1998</v>
      </c>
      <c r="T176" s="292">
        <v>1</v>
      </c>
      <c r="U176" s="116" t="s">
        <v>75</v>
      </c>
      <c r="V176" s="115" t="s">
        <v>1997</v>
      </c>
      <c r="W176" s="269">
        <v>9.32</v>
      </c>
      <c r="X176" s="138">
        <f>rv_apple_acc_mac</f>
        <v>0.09</v>
      </c>
      <c r="Y176" s="269">
        <f t="shared" si="54"/>
        <v>8.4812000000000012</v>
      </c>
      <c r="Z176" s="153"/>
      <c r="AA176" s="154"/>
      <c r="AB176" s="154"/>
      <c r="AC176" s="154"/>
      <c r="AD176" s="226">
        <v>0.01</v>
      </c>
      <c r="AE176" s="91" t="s">
        <v>75</v>
      </c>
      <c r="AF176" s="55" t="s">
        <v>1106</v>
      </c>
      <c r="AG176" s="56" t="s">
        <v>1274</v>
      </c>
      <c r="AH176" s="56" t="s">
        <v>1275</v>
      </c>
    </row>
    <row r="177" spans="1:34" s="121" customFormat="1">
      <c r="A177" s="113" t="s">
        <v>1999</v>
      </c>
      <c r="B177" s="273" t="s">
        <v>2000</v>
      </c>
      <c r="C177" s="292">
        <v>1</v>
      </c>
      <c r="D177" s="116" t="s">
        <v>75</v>
      </c>
      <c r="E177" s="115" t="s">
        <v>1999</v>
      </c>
      <c r="F177" s="269">
        <v>29.15</v>
      </c>
      <c r="G177" s="138">
        <f>rv_apple_acc_mac</f>
        <v>0.09</v>
      </c>
      <c r="H177" s="269">
        <f t="shared" si="52"/>
        <v>26.526499999999999</v>
      </c>
      <c r="I177" s="153"/>
      <c r="J177" s="154"/>
      <c r="K177" s="154"/>
      <c r="L177" s="154"/>
      <c r="M177" s="226">
        <v>0.02</v>
      </c>
      <c r="N177" s="91" t="s">
        <v>75</v>
      </c>
      <c r="O177" s="55" t="s">
        <v>1106</v>
      </c>
      <c r="P177" s="56" t="s">
        <v>504</v>
      </c>
      <c r="Q177" s="56" t="s">
        <v>1273</v>
      </c>
      <c r="R177" s="113" t="s">
        <v>1999</v>
      </c>
      <c r="S177" s="273" t="s">
        <v>2000</v>
      </c>
      <c r="T177" s="292">
        <v>1</v>
      </c>
      <c r="U177" s="116" t="s">
        <v>75</v>
      </c>
      <c r="V177" s="115" t="s">
        <v>1999</v>
      </c>
      <c r="W177" s="269">
        <v>29.15</v>
      </c>
      <c r="X177" s="138">
        <f>rv_apple_acc_mac</f>
        <v>0.09</v>
      </c>
      <c r="Y177" s="269">
        <f t="shared" si="54"/>
        <v>26.526499999999999</v>
      </c>
      <c r="Z177" s="153"/>
      <c r="AA177" s="154"/>
      <c r="AB177" s="154"/>
      <c r="AC177" s="154"/>
      <c r="AD177" s="226">
        <v>0.02</v>
      </c>
      <c r="AE177" s="91" t="s">
        <v>75</v>
      </c>
      <c r="AF177" s="55" t="s">
        <v>1106</v>
      </c>
      <c r="AG177" s="56" t="s">
        <v>1274</v>
      </c>
      <c r="AH177" s="56" t="s">
        <v>1275</v>
      </c>
    </row>
    <row r="178" spans="1:34" s="121" customFormat="1">
      <c r="A178" s="113" t="s">
        <v>2001</v>
      </c>
      <c r="B178" s="273" t="s">
        <v>2002</v>
      </c>
      <c r="C178" s="292">
        <v>1</v>
      </c>
      <c r="D178" s="116" t="s">
        <v>75</v>
      </c>
      <c r="E178" s="115" t="s">
        <v>2001</v>
      </c>
      <c r="F178" s="269">
        <v>29.16</v>
      </c>
      <c r="G178" s="138">
        <f>rv_apple_acc_mac</f>
        <v>0.09</v>
      </c>
      <c r="H178" s="269">
        <f t="shared" si="52"/>
        <v>26.535599999999999</v>
      </c>
      <c r="I178" s="153"/>
      <c r="J178" s="154"/>
      <c r="K178" s="154"/>
      <c r="L178" s="154"/>
      <c r="M178" s="226">
        <v>0.01</v>
      </c>
      <c r="N178" s="91" t="s">
        <v>75</v>
      </c>
      <c r="O178" s="55" t="s">
        <v>1106</v>
      </c>
      <c r="P178" s="56" t="s">
        <v>504</v>
      </c>
      <c r="Q178" s="56" t="s">
        <v>1273</v>
      </c>
      <c r="R178" s="113" t="s">
        <v>2001</v>
      </c>
      <c r="S178" s="273" t="s">
        <v>2002</v>
      </c>
      <c r="T178" s="292">
        <v>1</v>
      </c>
      <c r="U178" s="116" t="s">
        <v>75</v>
      </c>
      <c r="V178" s="115" t="s">
        <v>2001</v>
      </c>
      <c r="W178" s="269">
        <v>29.16</v>
      </c>
      <c r="X178" s="138">
        <f>rv_apple_acc_mac</f>
        <v>0.09</v>
      </c>
      <c r="Y178" s="269">
        <f t="shared" si="54"/>
        <v>26.535599999999999</v>
      </c>
      <c r="Z178" s="153"/>
      <c r="AA178" s="154"/>
      <c r="AB178" s="154"/>
      <c r="AC178" s="154"/>
      <c r="AD178" s="226">
        <v>0.01</v>
      </c>
      <c r="AE178" s="91" t="s">
        <v>75</v>
      </c>
      <c r="AF178" s="55" t="s">
        <v>1106</v>
      </c>
      <c r="AG178" s="56" t="s">
        <v>1274</v>
      </c>
      <c r="AH178" s="56" t="s">
        <v>1275</v>
      </c>
    </row>
    <row r="179" spans="1:34" s="121" customFormat="1">
      <c r="A179" s="113" t="s">
        <v>2003</v>
      </c>
      <c r="B179" s="273" t="s">
        <v>2004</v>
      </c>
      <c r="C179" s="292">
        <v>1</v>
      </c>
      <c r="D179" s="116" t="s">
        <v>75</v>
      </c>
      <c r="E179" s="115" t="s">
        <v>2003</v>
      </c>
      <c r="F179" s="269">
        <v>29.15</v>
      </c>
      <c r="G179" s="138">
        <f>rv_apple_acc_mac</f>
        <v>0.09</v>
      </c>
      <c r="H179" s="269">
        <f t="shared" si="52"/>
        <v>26.526499999999999</v>
      </c>
      <c r="I179" s="153"/>
      <c r="J179" s="154"/>
      <c r="K179" s="154"/>
      <c r="L179" s="154"/>
      <c r="M179" s="226">
        <v>0.02</v>
      </c>
      <c r="N179" s="91" t="s">
        <v>75</v>
      </c>
      <c r="O179" s="55" t="s">
        <v>1106</v>
      </c>
      <c r="P179" s="56" t="s">
        <v>504</v>
      </c>
      <c r="Q179" s="56" t="s">
        <v>1273</v>
      </c>
      <c r="R179" s="113" t="s">
        <v>2003</v>
      </c>
      <c r="S179" s="273" t="s">
        <v>2004</v>
      </c>
      <c r="T179" s="292">
        <v>1</v>
      </c>
      <c r="U179" s="116" t="s">
        <v>75</v>
      </c>
      <c r="V179" s="115" t="s">
        <v>2003</v>
      </c>
      <c r="W179" s="269">
        <v>29.15</v>
      </c>
      <c r="X179" s="138">
        <f>rv_apple_acc_mac</f>
        <v>0.09</v>
      </c>
      <c r="Y179" s="269">
        <f t="shared" si="54"/>
        <v>26.526499999999999</v>
      </c>
      <c r="Z179" s="153"/>
      <c r="AA179" s="154"/>
      <c r="AB179" s="154"/>
      <c r="AC179" s="154"/>
      <c r="AD179" s="226">
        <v>0.02</v>
      </c>
      <c r="AE179" s="91" t="s">
        <v>75</v>
      </c>
      <c r="AF179" s="55" t="s">
        <v>1106</v>
      </c>
      <c r="AG179" s="56" t="s">
        <v>1274</v>
      </c>
      <c r="AH179" s="56" t="s">
        <v>1275</v>
      </c>
    </row>
    <row r="180" spans="1:34" s="121" customFormat="1">
      <c r="A180" s="113">
        <v>84315</v>
      </c>
      <c r="B180" s="273" t="s">
        <v>2005</v>
      </c>
      <c r="C180" s="292">
        <v>1</v>
      </c>
      <c r="D180" s="116" t="s">
        <v>2006</v>
      </c>
      <c r="E180" s="115">
        <v>84315</v>
      </c>
      <c r="F180" s="269">
        <v>39.15</v>
      </c>
      <c r="G180" s="138">
        <f>rv_30</f>
        <v>0.3</v>
      </c>
      <c r="H180" s="269">
        <f t="shared" si="52"/>
        <v>27.405000000000001</v>
      </c>
      <c r="I180" s="153"/>
      <c r="J180" s="154"/>
      <c r="K180" s="154"/>
      <c r="L180" s="154"/>
      <c r="M180" s="226">
        <v>0</v>
      </c>
      <c r="N180" s="91" t="s">
        <v>75</v>
      </c>
      <c r="O180" s="55" t="s">
        <v>1106</v>
      </c>
      <c r="P180" s="56" t="s">
        <v>504</v>
      </c>
      <c r="Q180" s="56" t="s">
        <v>1273</v>
      </c>
      <c r="R180" s="113">
        <v>84315</v>
      </c>
      <c r="S180" s="273" t="s">
        <v>2005</v>
      </c>
      <c r="T180" s="292">
        <v>1</v>
      </c>
      <c r="U180" s="116" t="s">
        <v>2006</v>
      </c>
      <c r="V180" s="115">
        <v>84315</v>
      </c>
      <c r="W180" s="269">
        <v>39.15</v>
      </c>
      <c r="X180" s="138">
        <f>rv_30</f>
        <v>0.3</v>
      </c>
      <c r="Y180" s="269">
        <f t="shared" si="54"/>
        <v>27.405000000000001</v>
      </c>
      <c r="Z180" s="153"/>
      <c r="AA180" s="154"/>
      <c r="AB180" s="154"/>
      <c r="AC180" s="154"/>
      <c r="AD180" s="226">
        <v>0</v>
      </c>
      <c r="AE180" s="91" t="s">
        <v>75</v>
      </c>
      <c r="AF180" s="55" t="s">
        <v>1106</v>
      </c>
      <c r="AG180" s="56" t="s">
        <v>1274</v>
      </c>
      <c r="AH180" s="56" t="s">
        <v>1275</v>
      </c>
    </row>
    <row r="181" spans="1:34" s="121" customFormat="1">
      <c r="A181" s="113" t="s">
        <v>2007</v>
      </c>
      <c r="B181" s="273" t="s">
        <v>2008</v>
      </c>
      <c r="C181" s="292">
        <v>1</v>
      </c>
      <c r="D181" s="116" t="s">
        <v>2009</v>
      </c>
      <c r="E181" s="115" t="s">
        <v>2007</v>
      </c>
      <c r="F181" s="269">
        <v>11.99</v>
      </c>
      <c r="G181" s="138">
        <f>rv_10</f>
        <v>0.1</v>
      </c>
      <c r="H181" s="269">
        <f t="shared" si="52"/>
        <v>10.791</v>
      </c>
      <c r="I181" s="153"/>
      <c r="J181" s="154"/>
      <c r="K181" s="154"/>
      <c r="L181" s="154"/>
      <c r="M181" s="226">
        <v>0.02</v>
      </c>
      <c r="N181" s="91" t="s">
        <v>75</v>
      </c>
      <c r="O181" s="55" t="s">
        <v>1106</v>
      </c>
      <c r="P181" s="56" t="s">
        <v>504</v>
      </c>
      <c r="Q181" s="56" t="s">
        <v>1273</v>
      </c>
      <c r="R181" s="113" t="s">
        <v>2007</v>
      </c>
      <c r="S181" s="273" t="s">
        <v>2008</v>
      </c>
      <c r="T181" s="292">
        <v>1</v>
      </c>
      <c r="U181" s="116" t="s">
        <v>2009</v>
      </c>
      <c r="V181" s="115" t="s">
        <v>2007</v>
      </c>
      <c r="W181" s="269">
        <v>11.99</v>
      </c>
      <c r="X181" s="138">
        <f>rv_10</f>
        <v>0.1</v>
      </c>
      <c r="Y181" s="269">
        <f t="shared" si="54"/>
        <v>10.791</v>
      </c>
      <c r="Z181" s="153"/>
      <c r="AA181" s="154"/>
      <c r="AB181" s="154"/>
      <c r="AC181" s="154"/>
      <c r="AD181" s="226">
        <v>0.02</v>
      </c>
      <c r="AE181" s="91" t="s">
        <v>75</v>
      </c>
      <c r="AF181" s="55" t="s">
        <v>1106</v>
      </c>
      <c r="AG181" s="56" t="s">
        <v>2010</v>
      </c>
      <c r="AH181" s="56" t="s">
        <v>2011</v>
      </c>
    </row>
    <row r="182" spans="1:34" s="121" customFormat="1">
      <c r="A182" s="113" t="s">
        <v>2012</v>
      </c>
      <c r="B182" s="273" t="s">
        <v>2013</v>
      </c>
      <c r="C182" s="292">
        <v>1</v>
      </c>
      <c r="D182" s="116" t="s">
        <v>2009</v>
      </c>
      <c r="E182" s="115" t="s">
        <v>2012</v>
      </c>
      <c r="F182" s="269">
        <v>43.99</v>
      </c>
      <c r="G182" s="138">
        <f>rv_10</f>
        <v>0.1</v>
      </c>
      <c r="H182" s="269">
        <f t="shared" si="52"/>
        <v>39.591000000000001</v>
      </c>
      <c r="I182" s="153"/>
      <c r="J182" s="154"/>
      <c r="K182" s="154"/>
      <c r="L182" s="154"/>
      <c r="M182" s="63">
        <v>0.01</v>
      </c>
      <c r="N182" s="91" t="s">
        <v>75</v>
      </c>
      <c r="O182" s="55" t="s">
        <v>1106</v>
      </c>
      <c r="P182" s="56" t="s">
        <v>504</v>
      </c>
      <c r="Q182" s="56" t="s">
        <v>1273</v>
      </c>
      <c r="R182" s="113" t="s">
        <v>2012</v>
      </c>
      <c r="S182" s="273" t="s">
        <v>2013</v>
      </c>
      <c r="T182" s="292">
        <v>1</v>
      </c>
      <c r="U182" s="116" t="s">
        <v>2009</v>
      </c>
      <c r="V182" s="115" t="s">
        <v>2012</v>
      </c>
      <c r="W182" s="269">
        <v>43.99</v>
      </c>
      <c r="X182" s="138">
        <f>rv_10</f>
        <v>0.1</v>
      </c>
      <c r="Y182" s="269">
        <f t="shared" si="54"/>
        <v>39.591000000000001</v>
      </c>
      <c r="Z182" s="153"/>
      <c r="AA182" s="154"/>
      <c r="AB182" s="154"/>
      <c r="AC182" s="154"/>
      <c r="AD182" s="63">
        <v>0.01</v>
      </c>
      <c r="AE182" s="91" t="s">
        <v>75</v>
      </c>
      <c r="AF182" s="55" t="s">
        <v>1106</v>
      </c>
      <c r="AG182" s="56" t="s">
        <v>1770</v>
      </c>
      <c r="AH182" s="56" t="s">
        <v>1771</v>
      </c>
    </row>
    <row r="183" spans="1:34" s="121" customFormat="1">
      <c r="A183" s="600" t="s">
        <v>2014</v>
      </c>
      <c r="B183" s="64" t="s">
        <v>2015</v>
      </c>
      <c r="C183" s="292">
        <v>1</v>
      </c>
      <c r="D183" s="116" t="s">
        <v>2009</v>
      </c>
      <c r="E183" s="115" t="s">
        <v>2012</v>
      </c>
      <c r="F183" s="269">
        <v>41.99</v>
      </c>
      <c r="G183" s="138">
        <f>rv_10</f>
        <v>0.1</v>
      </c>
      <c r="H183" s="269">
        <f t="shared" ref="H183" si="59">F183-(F183*G183)</f>
        <v>37.791000000000004</v>
      </c>
      <c r="I183" s="153"/>
      <c r="J183" s="154"/>
      <c r="K183" s="154"/>
      <c r="L183" s="154"/>
      <c r="M183" s="63">
        <v>0.01</v>
      </c>
      <c r="N183" s="91" t="s">
        <v>75</v>
      </c>
      <c r="O183" s="55" t="s">
        <v>1106</v>
      </c>
      <c r="P183" s="56" t="s">
        <v>504</v>
      </c>
      <c r="Q183" s="56" t="s">
        <v>1273</v>
      </c>
      <c r="R183" s="113"/>
      <c r="S183" s="273"/>
      <c r="T183" s="292"/>
      <c r="U183" s="116"/>
      <c r="V183" s="115"/>
      <c r="W183" s="269"/>
      <c r="X183" s="138"/>
      <c r="Y183" s="269"/>
      <c r="Z183" s="153"/>
      <c r="AA183" s="154"/>
      <c r="AB183" s="154"/>
      <c r="AC183" s="154"/>
      <c r="AD183" s="63">
        <v>0.01</v>
      </c>
      <c r="AE183" s="91" t="s">
        <v>75</v>
      </c>
      <c r="AF183" s="55" t="s">
        <v>1106</v>
      </c>
      <c r="AG183" s="56" t="s">
        <v>1770</v>
      </c>
      <c r="AH183" s="56" t="s">
        <v>1771</v>
      </c>
    </row>
    <row r="184" spans="1:34" s="197" customFormat="1" ht="39" customHeight="1">
      <c r="A184" s="601" t="s">
        <v>2016</v>
      </c>
      <c r="B184" s="453"/>
      <c r="C184" s="292"/>
      <c r="D184" s="116"/>
      <c r="E184" s="117"/>
      <c r="F184" s="269"/>
      <c r="G184" s="138"/>
      <c r="H184" s="269"/>
      <c r="I184" s="153"/>
      <c r="J184" s="154"/>
      <c r="K184" s="154"/>
      <c r="L184" s="154"/>
      <c r="M184" s="226"/>
      <c r="N184" s="91"/>
      <c r="O184" s="55"/>
      <c r="P184" s="203"/>
      <c r="Q184" s="203"/>
      <c r="R184" s="426" t="s">
        <v>2016</v>
      </c>
      <c r="S184" s="199"/>
      <c r="T184" s="610"/>
      <c r="U184" s="195"/>
      <c r="V184" s="198"/>
      <c r="W184" s="201"/>
      <c r="X184" s="611"/>
      <c r="Y184" s="201"/>
      <c r="Z184" s="612"/>
      <c r="AA184" s="613"/>
      <c r="AB184" s="613"/>
      <c r="AC184" s="154"/>
      <c r="AD184" s="226"/>
      <c r="AE184" s="91"/>
      <c r="AF184" s="55"/>
      <c r="AG184" s="203"/>
      <c r="AH184" s="203"/>
    </row>
    <row r="185" spans="1:34" s="197" customFormat="1" ht="15.95" customHeight="1">
      <c r="A185" s="302" t="s">
        <v>2017</v>
      </c>
      <c r="B185" s="154"/>
      <c r="C185" s="292"/>
      <c r="D185" s="116"/>
      <c r="E185" s="117"/>
      <c r="F185" s="269"/>
      <c r="G185" s="138"/>
      <c r="H185" s="269"/>
      <c r="I185" s="153"/>
      <c r="J185" s="154"/>
      <c r="K185" s="154"/>
      <c r="L185" s="154"/>
      <c r="M185" s="226"/>
      <c r="N185" s="91"/>
      <c r="O185" s="55"/>
      <c r="P185" s="203"/>
      <c r="Q185" s="203"/>
      <c r="R185" s="204" t="s">
        <v>2017</v>
      </c>
      <c r="S185" s="613"/>
      <c r="T185" s="610"/>
      <c r="U185" s="195"/>
      <c r="V185" s="198"/>
      <c r="W185" s="201"/>
      <c r="X185" s="611"/>
      <c r="Y185" s="201"/>
      <c r="Z185" s="612"/>
      <c r="AA185" s="613"/>
      <c r="AB185" s="613"/>
      <c r="AC185" s="154"/>
      <c r="AD185" s="226"/>
      <c r="AE185" s="91"/>
      <c r="AF185" s="55"/>
      <c r="AG185" s="203"/>
      <c r="AH185" s="203"/>
    </row>
    <row r="186" spans="1:34" s="121" customFormat="1" ht="15.95" customHeight="1">
      <c r="A186" s="162" t="s">
        <v>2018</v>
      </c>
      <c r="B186" s="64" t="s">
        <v>2019</v>
      </c>
      <c r="C186" s="292">
        <v>1</v>
      </c>
      <c r="D186" s="116" t="s">
        <v>1105</v>
      </c>
      <c r="E186" s="233" t="s">
        <v>2018</v>
      </c>
      <c r="F186" s="269">
        <v>48</v>
      </c>
      <c r="G186" s="138">
        <f>rv_32</f>
        <v>0.32</v>
      </c>
      <c r="H186" s="269">
        <f t="shared" si="52"/>
        <v>32.64</v>
      </c>
      <c r="I186" s="153"/>
      <c r="J186" s="154"/>
      <c r="K186" s="154"/>
      <c r="L186" s="154"/>
      <c r="M186" s="226">
        <v>0.01</v>
      </c>
      <c r="N186" s="91" t="s">
        <v>75</v>
      </c>
      <c r="O186" s="55" t="s">
        <v>1106</v>
      </c>
      <c r="P186" s="56" t="s">
        <v>504</v>
      </c>
      <c r="Q186" s="56" t="s">
        <v>1273</v>
      </c>
      <c r="R186" s="162" t="s">
        <v>2018</v>
      </c>
      <c r="S186" s="64" t="s">
        <v>2019</v>
      </c>
      <c r="T186" s="292">
        <v>1</v>
      </c>
      <c r="U186" s="116" t="s">
        <v>1105</v>
      </c>
      <c r="V186" s="233" t="s">
        <v>2018</v>
      </c>
      <c r="W186" s="269">
        <v>48</v>
      </c>
      <c r="X186" s="138">
        <f>rv_32</f>
        <v>0.32</v>
      </c>
      <c r="Y186" s="269">
        <f t="shared" ref="Y186:Y188" si="60">W186-(W186*X186)</f>
        <v>32.64</v>
      </c>
      <c r="Z186" s="153"/>
      <c r="AA186" s="154"/>
      <c r="AB186" s="154"/>
      <c r="AC186" s="154"/>
      <c r="AD186" s="226">
        <v>0.01</v>
      </c>
      <c r="AE186" s="91" t="s">
        <v>75</v>
      </c>
      <c r="AF186" s="55" t="s">
        <v>1106</v>
      </c>
      <c r="AG186" s="56" t="s">
        <v>1770</v>
      </c>
      <c r="AH186" s="56" t="s">
        <v>1771</v>
      </c>
    </row>
    <row r="187" spans="1:34" s="121" customFormat="1" ht="15.95" customHeight="1">
      <c r="A187" s="162" t="s">
        <v>2020</v>
      </c>
      <c r="B187" s="64" t="s">
        <v>2021</v>
      </c>
      <c r="C187" s="292">
        <v>1</v>
      </c>
      <c r="D187" s="116" t="s">
        <v>1105</v>
      </c>
      <c r="E187" s="233" t="s">
        <v>2020</v>
      </c>
      <c r="F187" s="269">
        <v>85</v>
      </c>
      <c r="G187" s="138">
        <f>rv_32</f>
        <v>0.32</v>
      </c>
      <c r="H187" s="269">
        <f t="shared" si="52"/>
        <v>57.8</v>
      </c>
      <c r="I187" s="153"/>
      <c r="J187" s="154"/>
      <c r="K187" s="154"/>
      <c r="L187" s="154"/>
      <c r="M187" s="226">
        <v>0.01</v>
      </c>
      <c r="N187" s="91" t="s">
        <v>75</v>
      </c>
      <c r="O187" s="55" t="s">
        <v>1106</v>
      </c>
      <c r="P187" s="56" t="s">
        <v>504</v>
      </c>
      <c r="Q187" s="56" t="s">
        <v>1273</v>
      </c>
      <c r="R187" s="162" t="s">
        <v>2020</v>
      </c>
      <c r="S187" s="64" t="s">
        <v>2021</v>
      </c>
      <c r="T187" s="292">
        <v>1</v>
      </c>
      <c r="U187" s="116" t="s">
        <v>1105</v>
      </c>
      <c r="V187" s="233" t="s">
        <v>2020</v>
      </c>
      <c r="W187" s="269">
        <v>85</v>
      </c>
      <c r="X187" s="138">
        <f>rv_32</f>
        <v>0.32</v>
      </c>
      <c r="Y187" s="269">
        <f t="shared" si="60"/>
        <v>57.8</v>
      </c>
      <c r="Z187" s="153"/>
      <c r="AA187" s="154"/>
      <c r="AB187" s="154"/>
      <c r="AC187" s="154"/>
      <c r="AD187" s="226">
        <v>0.01</v>
      </c>
      <c r="AE187" s="91" t="s">
        <v>75</v>
      </c>
      <c r="AF187" s="55" t="s">
        <v>1106</v>
      </c>
      <c r="AG187" s="56" t="s">
        <v>1770</v>
      </c>
      <c r="AH187" s="56" t="s">
        <v>1771</v>
      </c>
    </row>
    <row r="188" spans="1:34" s="121" customFormat="1" ht="17.100000000000001" customHeight="1">
      <c r="A188" s="162" t="s">
        <v>2022</v>
      </c>
      <c r="B188" s="64" t="s">
        <v>2023</v>
      </c>
      <c r="C188" s="292">
        <v>1</v>
      </c>
      <c r="D188" s="116" t="s">
        <v>1105</v>
      </c>
      <c r="E188" s="233" t="s">
        <v>2022</v>
      </c>
      <c r="F188" s="269">
        <v>159</v>
      </c>
      <c r="G188" s="138">
        <f>rv_32</f>
        <v>0.32</v>
      </c>
      <c r="H188" s="269">
        <f t="shared" si="52"/>
        <v>108.12</v>
      </c>
      <c r="I188" s="153"/>
      <c r="J188" s="154"/>
      <c r="K188" s="154"/>
      <c r="L188" s="154"/>
      <c r="M188" s="226">
        <v>0.01</v>
      </c>
      <c r="N188" s="91" t="s">
        <v>75</v>
      </c>
      <c r="O188" s="55" t="s">
        <v>1106</v>
      </c>
      <c r="P188" s="56" t="s">
        <v>504</v>
      </c>
      <c r="Q188" s="56" t="s">
        <v>1273</v>
      </c>
      <c r="R188" s="162" t="s">
        <v>2022</v>
      </c>
      <c r="S188" s="64" t="s">
        <v>2023</v>
      </c>
      <c r="T188" s="292">
        <v>1</v>
      </c>
      <c r="U188" s="116" t="s">
        <v>1105</v>
      </c>
      <c r="V188" s="233" t="s">
        <v>2022</v>
      </c>
      <c r="W188" s="269">
        <v>159</v>
      </c>
      <c r="X188" s="138">
        <f>rv_32</f>
        <v>0.32</v>
      </c>
      <c r="Y188" s="269">
        <f t="shared" si="60"/>
        <v>108.12</v>
      </c>
      <c r="Z188" s="153"/>
      <c r="AA188" s="154"/>
      <c r="AB188" s="154"/>
      <c r="AC188" s="154"/>
      <c r="AD188" s="226">
        <v>0.01</v>
      </c>
      <c r="AE188" s="91" t="s">
        <v>75</v>
      </c>
      <c r="AF188" s="55" t="s">
        <v>1106</v>
      </c>
      <c r="AG188" s="56" t="s">
        <v>1770</v>
      </c>
      <c r="AH188" s="56" t="s">
        <v>1771</v>
      </c>
    </row>
    <row r="189" spans="1:34" s="121" customFormat="1" ht="14.1" customHeight="1">
      <c r="A189" s="302" t="s">
        <v>2024</v>
      </c>
      <c r="B189" s="273"/>
      <c r="C189" s="292"/>
      <c r="D189" s="116"/>
      <c r="E189" s="117"/>
      <c r="F189" s="269"/>
      <c r="G189" s="138"/>
      <c r="H189" s="269"/>
      <c r="I189" s="153"/>
      <c r="J189" s="154"/>
      <c r="K189" s="154"/>
      <c r="L189" s="154"/>
      <c r="M189" s="226"/>
      <c r="N189" s="91" t="s">
        <v>75</v>
      </c>
      <c r="O189" s="55" t="s">
        <v>1106</v>
      </c>
      <c r="P189" s="56" t="s">
        <v>504</v>
      </c>
      <c r="Q189" s="56" t="s">
        <v>1273</v>
      </c>
      <c r="R189" s="302" t="s">
        <v>2024</v>
      </c>
      <c r="S189" s="273"/>
      <c r="T189" s="292"/>
      <c r="U189" s="116"/>
      <c r="V189" s="117"/>
      <c r="W189" s="269"/>
      <c r="X189" s="138"/>
      <c r="Y189" s="269"/>
      <c r="Z189" s="153"/>
      <c r="AA189" s="154"/>
      <c r="AB189" s="154"/>
      <c r="AC189" s="154"/>
      <c r="AD189" s="226"/>
      <c r="AE189" s="91" t="s">
        <v>75</v>
      </c>
      <c r="AF189" s="55" t="s">
        <v>1106</v>
      </c>
      <c r="AG189" s="56" t="s">
        <v>1770</v>
      </c>
      <c r="AH189" s="56" t="s">
        <v>1771</v>
      </c>
    </row>
    <row r="190" spans="1:34" s="121" customFormat="1" ht="14.1" customHeight="1">
      <c r="A190" s="162" t="s">
        <v>2025</v>
      </c>
      <c r="B190" s="273" t="s">
        <v>2026</v>
      </c>
      <c r="C190" s="292">
        <v>1</v>
      </c>
      <c r="D190" s="116" t="s">
        <v>1105</v>
      </c>
      <c r="E190" s="303" t="s">
        <v>2025</v>
      </c>
      <c r="F190" s="57">
        <v>89</v>
      </c>
      <c r="G190" s="138">
        <f>rv_32</f>
        <v>0.32</v>
      </c>
      <c r="H190" s="269">
        <f t="shared" si="52"/>
        <v>60.519999999999996</v>
      </c>
      <c r="I190" s="153"/>
      <c r="J190" s="154"/>
      <c r="K190" s="154"/>
      <c r="L190" s="154"/>
      <c r="M190" s="226">
        <v>0.01</v>
      </c>
      <c r="N190" s="91" t="s">
        <v>75</v>
      </c>
      <c r="O190" s="55" t="s">
        <v>1106</v>
      </c>
      <c r="P190" s="56" t="s">
        <v>504</v>
      </c>
      <c r="Q190" s="56" t="s">
        <v>1273</v>
      </c>
      <c r="R190" s="162" t="s">
        <v>2025</v>
      </c>
      <c r="S190" s="273" t="s">
        <v>2026</v>
      </c>
      <c r="T190" s="292">
        <v>1</v>
      </c>
      <c r="U190" s="116" t="s">
        <v>1105</v>
      </c>
      <c r="V190" s="303" t="s">
        <v>2025</v>
      </c>
      <c r="W190" s="57">
        <v>89</v>
      </c>
      <c r="X190" s="138">
        <f>rv_32</f>
        <v>0.32</v>
      </c>
      <c r="Y190" s="269">
        <f t="shared" ref="Y190:Y192" si="61">W190-(W190*X190)</f>
        <v>60.519999999999996</v>
      </c>
      <c r="Z190" s="153"/>
      <c r="AA190" s="154"/>
      <c r="AB190" s="154"/>
      <c r="AC190" s="154"/>
      <c r="AD190" s="226">
        <v>0.01</v>
      </c>
      <c r="AE190" s="91" t="s">
        <v>75</v>
      </c>
      <c r="AF190" s="55" t="s">
        <v>1106</v>
      </c>
      <c r="AG190" s="56" t="s">
        <v>1770</v>
      </c>
      <c r="AH190" s="56" t="s">
        <v>1771</v>
      </c>
    </row>
    <row r="191" spans="1:34" s="121" customFormat="1" ht="14.1" customHeight="1">
      <c r="A191" s="162" t="s">
        <v>1103</v>
      </c>
      <c r="B191" s="273" t="s">
        <v>1104</v>
      </c>
      <c r="C191" s="292">
        <v>1</v>
      </c>
      <c r="D191" s="116" t="s">
        <v>1105</v>
      </c>
      <c r="E191" s="303" t="s">
        <v>1103</v>
      </c>
      <c r="F191" s="57">
        <v>179</v>
      </c>
      <c r="G191" s="138">
        <f>rv_32</f>
        <v>0.32</v>
      </c>
      <c r="H191" s="269">
        <f t="shared" si="52"/>
        <v>121.72</v>
      </c>
      <c r="I191" s="153"/>
      <c r="J191" s="154"/>
      <c r="K191" s="154"/>
      <c r="L191" s="154"/>
      <c r="M191" s="226">
        <v>0.01</v>
      </c>
      <c r="N191" s="91" t="s">
        <v>75</v>
      </c>
      <c r="O191" s="55" t="s">
        <v>1106</v>
      </c>
      <c r="P191" s="56" t="s">
        <v>504</v>
      </c>
      <c r="Q191" s="56" t="s">
        <v>1273</v>
      </c>
      <c r="R191" s="162" t="s">
        <v>1103</v>
      </c>
      <c r="S191" s="273" t="s">
        <v>1104</v>
      </c>
      <c r="T191" s="292">
        <v>1</v>
      </c>
      <c r="U191" s="116" t="s">
        <v>1105</v>
      </c>
      <c r="V191" s="303" t="s">
        <v>1103</v>
      </c>
      <c r="W191" s="57">
        <v>179</v>
      </c>
      <c r="X191" s="138">
        <f>rv_32</f>
        <v>0.32</v>
      </c>
      <c r="Y191" s="269">
        <f t="shared" si="61"/>
        <v>121.72</v>
      </c>
      <c r="Z191" s="153"/>
      <c r="AA191" s="154"/>
      <c r="AB191" s="154"/>
      <c r="AC191" s="154"/>
      <c r="AD191" s="226">
        <v>0.01</v>
      </c>
      <c r="AE191" s="91" t="s">
        <v>75</v>
      </c>
      <c r="AF191" s="55" t="s">
        <v>1106</v>
      </c>
      <c r="AG191" s="56" t="s">
        <v>1770</v>
      </c>
      <c r="AH191" s="56" t="s">
        <v>1771</v>
      </c>
    </row>
    <row r="192" spans="1:34" s="121" customFormat="1" ht="14.1" customHeight="1">
      <c r="A192" s="162" t="s">
        <v>1107</v>
      </c>
      <c r="B192" s="273" t="s">
        <v>1108</v>
      </c>
      <c r="C192" s="292">
        <v>1</v>
      </c>
      <c r="D192" s="116" t="s">
        <v>1105</v>
      </c>
      <c r="E192" s="303" t="s">
        <v>1107</v>
      </c>
      <c r="F192" s="57">
        <v>359</v>
      </c>
      <c r="G192" s="138">
        <f>rv_32</f>
        <v>0.32</v>
      </c>
      <c r="H192" s="269">
        <f t="shared" si="52"/>
        <v>244.12</v>
      </c>
      <c r="I192" s="153"/>
      <c r="J192" s="154"/>
      <c r="K192" s="154"/>
      <c r="L192" s="154"/>
      <c r="M192" s="226">
        <v>0.01</v>
      </c>
      <c r="N192" s="91" t="s">
        <v>75</v>
      </c>
      <c r="O192" s="55" t="s">
        <v>1106</v>
      </c>
      <c r="P192" s="56" t="s">
        <v>504</v>
      </c>
      <c r="Q192" s="56" t="s">
        <v>1273</v>
      </c>
      <c r="R192" s="162" t="s">
        <v>1107</v>
      </c>
      <c r="S192" s="273" t="s">
        <v>1108</v>
      </c>
      <c r="T192" s="292">
        <v>1</v>
      </c>
      <c r="U192" s="116" t="s">
        <v>1105</v>
      </c>
      <c r="V192" s="303" t="s">
        <v>1107</v>
      </c>
      <c r="W192" s="57">
        <v>359</v>
      </c>
      <c r="X192" s="138">
        <f>rv_32</f>
        <v>0.32</v>
      </c>
      <c r="Y192" s="269">
        <f t="shared" si="61"/>
        <v>244.12</v>
      </c>
      <c r="Z192" s="153"/>
      <c r="AA192" s="154"/>
      <c r="AB192" s="154"/>
      <c r="AC192" s="154"/>
      <c r="AD192" s="226">
        <v>0.01</v>
      </c>
      <c r="AE192" s="91" t="s">
        <v>75</v>
      </c>
      <c r="AF192" s="55" t="s">
        <v>1106</v>
      </c>
      <c r="AG192" s="56" t="s">
        <v>1770</v>
      </c>
      <c r="AH192" s="56" t="s">
        <v>1771</v>
      </c>
    </row>
    <row r="193" spans="1:34" s="121" customFormat="1" ht="15.95" customHeight="1">
      <c r="A193" s="302" t="s">
        <v>2027</v>
      </c>
      <c r="B193" s="273"/>
      <c r="C193" s="292"/>
      <c r="D193" s="116"/>
      <c r="E193" s="117"/>
      <c r="F193" s="269"/>
      <c r="G193" s="138"/>
      <c r="H193" s="269"/>
      <c r="I193" s="153"/>
      <c r="J193" s="154"/>
      <c r="K193" s="154"/>
      <c r="L193" s="154"/>
      <c r="M193" s="226"/>
      <c r="N193" s="91" t="s">
        <v>75</v>
      </c>
      <c r="O193" s="55" t="s">
        <v>1106</v>
      </c>
      <c r="P193" s="56" t="s">
        <v>504</v>
      </c>
      <c r="Q193" s="56" t="s">
        <v>1273</v>
      </c>
      <c r="R193" s="302" t="s">
        <v>2027</v>
      </c>
      <c r="S193" s="273"/>
      <c r="T193" s="292"/>
      <c r="U193" s="116"/>
      <c r="V193" s="117"/>
      <c r="W193" s="269"/>
      <c r="X193" s="138"/>
      <c r="Y193" s="269"/>
      <c r="Z193" s="153"/>
      <c r="AA193" s="154"/>
      <c r="AB193" s="154"/>
      <c r="AC193" s="154"/>
      <c r="AD193" s="226"/>
      <c r="AE193" s="91" t="s">
        <v>75</v>
      </c>
      <c r="AF193" s="55" t="s">
        <v>1106</v>
      </c>
      <c r="AG193" s="56" t="s">
        <v>1770</v>
      </c>
      <c r="AH193" s="56" t="s">
        <v>1771</v>
      </c>
    </row>
    <row r="194" spans="1:34" s="121" customFormat="1" ht="12.95" customHeight="1">
      <c r="A194" s="162" t="s">
        <v>2028</v>
      </c>
      <c r="B194" s="304" t="s">
        <v>2029</v>
      </c>
      <c r="C194" s="292">
        <v>1</v>
      </c>
      <c r="D194" s="116" t="s">
        <v>1105</v>
      </c>
      <c r="E194" s="303" t="s">
        <v>2028</v>
      </c>
      <c r="F194" s="57">
        <v>48</v>
      </c>
      <c r="G194" s="138">
        <f>rv_32</f>
        <v>0.32</v>
      </c>
      <c r="H194" s="269">
        <f t="shared" si="52"/>
        <v>32.64</v>
      </c>
      <c r="I194" s="153"/>
      <c r="J194" s="154"/>
      <c r="K194" s="154"/>
      <c r="L194" s="154"/>
      <c r="M194" s="226">
        <v>0.01</v>
      </c>
      <c r="N194" s="91" t="s">
        <v>75</v>
      </c>
      <c r="O194" s="55" t="s">
        <v>1106</v>
      </c>
      <c r="P194" s="56" t="s">
        <v>504</v>
      </c>
      <c r="Q194" s="56" t="s">
        <v>1273</v>
      </c>
      <c r="R194" s="162" t="s">
        <v>2028</v>
      </c>
      <c r="S194" s="304" t="s">
        <v>2029</v>
      </c>
      <c r="T194" s="292">
        <v>1</v>
      </c>
      <c r="U194" s="116" t="s">
        <v>1105</v>
      </c>
      <c r="V194" s="303" t="s">
        <v>2028</v>
      </c>
      <c r="W194" s="57">
        <v>48</v>
      </c>
      <c r="X194" s="138">
        <f>rv_32</f>
        <v>0.32</v>
      </c>
      <c r="Y194" s="269">
        <f t="shared" ref="Y194:Y196" si="62">W194-(W194*X194)</f>
        <v>32.64</v>
      </c>
      <c r="Z194" s="153"/>
      <c r="AA194" s="154"/>
      <c r="AB194" s="154"/>
      <c r="AC194" s="154"/>
      <c r="AD194" s="226">
        <v>0.01</v>
      </c>
      <c r="AE194" s="91" t="s">
        <v>75</v>
      </c>
      <c r="AF194" s="55" t="s">
        <v>1106</v>
      </c>
      <c r="AG194" s="56" t="s">
        <v>1770</v>
      </c>
      <c r="AH194" s="56" t="s">
        <v>1771</v>
      </c>
    </row>
    <row r="195" spans="1:34" s="121" customFormat="1" ht="12.95" customHeight="1">
      <c r="A195" s="162" t="s">
        <v>2030</v>
      </c>
      <c r="B195" s="273" t="s">
        <v>2031</v>
      </c>
      <c r="C195" s="292">
        <v>1</v>
      </c>
      <c r="D195" s="116" t="s">
        <v>1105</v>
      </c>
      <c r="E195" s="303" t="s">
        <v>2030</v>
      </c>
      <c r="F195" s="57">
        <v>69</v>
      </c>
      <c r="G195" s="138">
        <f>rv_32</f>
        <v>0.32</v>
      </c>
      <c r="H195" s="269">
        <f t="shared" si="52"/>
        <v>46.92</v>
      </c>
      <c r="I195" s="153"/>
      <c r="J195" s="154"/>
      <c r="K195" s="154"/>
      <c r="L195" s="154"/>
      <c r="M195" s="226">
        <v>0.01</v>
      </c>
      <c r="N195" s="91" t="s">
        <v>75</v>
      </c>
      <c r="O195" s="55" t="s">
        <v>1106</v>
      </c>
      <c r="P195" s="56" t="s">
        <v>504</v>
      </c>
      <c r="Q195" s="56" t="s">
        <v>1273</v>
      </c>
      <c r="R195" s="162" t="s">
        <v>2030</v>
      </c>
      <c r="S195" s="273" t="s">
        <v>2031</v>
      </c>
      <c r="T195" s="292">
        <v>1</v>
      </c>
      <c r="U195" s="116" t="s">
        <v>1105</v>
      </c>
      <c r="V195" s="303" t="s">
        <v>2030</v>
      </c>
      <c r="W195" s="57">
        <v>69</v>
      </c>
      <c r="X195" s="138">
        <f>rv_32</f>
        <v>0.32</v>
      </c>
      <c r="Y195" s="269">
        <f t="shared" si="62"/>
        <v>46.92</v>
      </c>
      <c r="Z195" s="153"/>
      <c r="AA195" s="154"/>
      <c r="AB195" s="154"/>
      <c r="AC195" s="154"/>
      <c r="AD195" s="226">
        <v>0.01</v>
      </c>
      <c r="AE195" s="91" t="s">
        <v>75</v>
      </c>
      <c r="AF195" s="55" t="s">
        <v>1106</v>
      </c>
      <c r="AG195" s="56" t="s">
        <v>1770</v>
      </c>
      <c r="AH195" s="56" t="s">
        <v>1771</v>
      </c>
    </row>
    <row r="196" spans="1:34" s="121" customFormat="1" ht="12.95" customHeight="1">
      <c r="A196" s="162" t="s">
        <v>2032</v>
      </c>
      <c r="B196" s="273" t="s">
        <v>2033</v>
      </c>
      <c r="C196" s="292">
        <v>1</v>
      </c>
      <c r="D196" s="116" t="s">
        <v>1105</v>
      </c>
      <c r="E196" s="303" t="s">
        <v>2032</v>
      </c>
      <c r="F196" s="57">
        <v>111</v>
      </c>
      <c r="G196" s="138">
        <f>rv_32</f>
        <v>0.32</v>
      </c>
      <c r="H196" s="269">
        <f t="shared" si="52"/>
        <v>75.47999999999999</v>
      </c>
      <c r="I196" s="153"/>
      <c r="J196" s="154"/>
      <c r="K196" s="154"/>
      <c r="L196" s="154"/>
      <c r="M196" s="226">
        <v>0.01</v>
      </c>
      <c r="N196" s="91" t="s">
        <v>75</v>
      </c>
      <c r="O196" s="55" t="s">
        <v>1106</v>
      </c>
      <c r="P196" s="56" t="s">
        <v>504</v>
      </c>
      <c r="Q196" s="56" t="s">
        <v>1273</v>
      </c>
      <c r="R196" s="162" t="s">
        <v>2032</v>
      </c>
      <c r="S196" s="273" t="s">
        <v>2033</v>
      </c>
      <c r="T196" s="292">
        <v>1</v>
      </c>
      <c r="U196" s="116" t="s">
        <v>1105</v>
      </c>
      <c r="V196" s="303" t="s">
        <v>2032</v>
      </c>
      <c r="W196" s="57">
        <v>111</v>
      </c>
      <c r="X196" s="138">
        <f>rv_32</f>
        <v>0.32</v>
      </c>
      <c r="Y196" s="269">
        <f t="shared" si="62"/>
        <v>75.47999999999999</v>
      </c>
      <c r="Z196" s="153"/>
      <c r="AA196" s="154"/>
      <c r="AB196" s="154"/>
      <c r="AC196" s="154"/>
      <c r="AD196" s="226">
        <v>0.01</v>
      </c>
      <c r="AE196" s="91" t="s">
        <v>75</v>
      </c>
      <c r="AF196" s="55" t="s">
        <v>1106</v>
      </c>
      <c r="AG196" s="56" t="s">
        <v>1770</v>
      </c>
      <c r="AH196" s="56" t="s">
        <v>1771</v>
      </c>
    </row>
    <row r="197" spans="1:34" s="1" customFormat="1" ht="27.95" customHeight="1">
      <c r="A197" s="599" t="s">
        <v>2034</v>
      </c>
      <c r="C197" s="65"/>
      <c r="D197" s="35"/>
      <c r="E197" s="27"/>
      <c r="F197" s="27"/>
      <c r="G197" s="40"/>
      <c r="H197" s="27"/>
      <c r="I197" s="27"/>
      <c r="J197" s="23"/>
      <c r="K197" s="23"/>
      <c r="L197" s="23"/>
      <c r="M197" s="63"/>
      <c r="N197" s="91"/>
      <c r="O197" s="55"/>
      <c r="P197" s="205"/>
      <c r="Q197" s="205"/>
      <c r="R197" s="161" t="s">
        <v>2034</v>
      </c>
      <c r="T197" s="65"/>
      <c r="U197" s="35"/>
      <c r="V197" s="27"/>
      <c r="W197" s="27"/>
      <c r="X197" s="40"/>
      <c r="Y197" s="27"/>
      <c r="Z197" s="27"/>
      <c r="AA197" s="23"/>
      <c r="AB197" s="23"/>
      <c r="AC197" s="23"/>
      <c r="AD197" s="63"/>
      <c r="AE197" s="91"/>
      <c r="AF197" s="55"/>
      <c r="AG197" s="205"/>
      <c r="AH197" s="205"/>
    </row>
    <row r="198" spans="1:34" s="1" customFormat="1">
      <c r="A198" s="25" t="s">
        <v>2035</v>
      </c>
      <c r="B198" s="64" t="s">
        <v>2036</v>
      </c>
      <c r="C198" s="65">
        <v>1</v>
      </c>
      <c r="D198" s="35" t="s">
        <v>2037</v>
      </c>
      <c r="E198" s="29" t="s">
        <v>2035</v>
      </c>
      <c r="F198" s="35">
        <v>27.86</v>
      </c>
      <c r="G198" s="22">
        <f>rv_10</f>
        <v>0.1</v>
      </c>
      <c r="H198" s="69">
        <f>F198-(F198*G198)</f>
        <v>25.073999999999998</v>
      </c>
      <c r="I198" s="27"/>
      <c r="J198" s="23"/>
      <c r="K198" s="23"/>
      <c r="L198" s="23"/>
      <c r="M198" s="63">
        <v>0.02</v>
      </c>
      <c r="N198" s="91" t="s">
        <v>75</v>
      </c>
      <c r="O198" s="55" t="s">
        <v>1106</v>
      </c>
      <c r="P198" s="56" t="s">
        <v>504</v>
      </c>
      <c r="Q198" s="56" t="s">
        <v>1273</v>
      </c>
      <c r="R198" s="25" t="s">
        <v>2035</v>
      </c>
      <c r="S198" s="64" t="s">
        <v>2036</v>
      </c>
      <c r="T198" s="65">
        <v>1</v>
      </c>
      <c r="U198" s="35" t="s">
        <v>2037</v>
      </c>
      <c r="V198" s="29" t="s">
        <v>2035</v>
      </c>
      <c r="W198" s="35">
        <v>27.86</v>
      </c>
      <c r="X198" s="22">
        <f>rv_10</f>
        <v>0.1</v>
      </c>
      <c r="Y198" s="69">
        <f>W198-(W198*X198)</f>
        <v>25.073999999999998</v>
      </c>
      <c r="Z198" s="27"/>
      <c r="AA198" s="23"/>
      <c r="AB198" s="23"/>
      <c r="AC198" s="23"/>
      <c r="AD198" s="63">
        <v>0.02</v>
      </c>
      <c r="AE198" s="91" t="s">
        <v>75</v>
      </c>
      <c r="AF198" s="55" t="s">
        <v>1106</v>
      </c>
      <c r="AG198" s="14" t="s">
        <v>1274</v>
      </c>
      <c r="AH198" s="14" t="s">
        <v>1275</v>
      </c>
    </row>
    <row r="199" spans="1:34" s="1" customFormat="1">
      <c r="A199" s="25" t="s">
        <v>2038</v>
      </c>
      <c r="B199" s="64" t="s">
        <v>2039</v>
      </c>
      <c r="C199" s="65">
        <v>1</v>
      </c>
      <c r="D199" s="35" t="s">
        <v>2037</v>
      </c>
      <c r="E199" s="29" t="s">
        <v>2038</v>
      </c>
      <c r="F199" s="35">
        <v>49.99</v>
      </c>
      <c r="G199" s="22">
        <f>rv_10</f>
        <v>0.1</v>
      </c>
      <c r="H199" s="69">
        <f>F199-(F199*G199)</f>
        <v>44.991</v>
      </c>
      <c r="I199" s="27"/>
      <c r="J199" s="23"/>
      <c r="K199" s="23"/>
      <c r="L199" s="23"/>
      <c r="M199" s="63">
        <v>0.02</v>
      </c>
      <c r="N199" s="91" t="s">
        <v>75</v>
      </c>
      <c r="O199" s="55" t="s">
        <v>1106</v>
      </c>
      <c r="P199" s="56" t="s">
        <v>504</v>
      </c>
      <c r="Q199" s="56" t="s">
        <v>1273</v>
      </c>
      <c r="R199" s="25" t="s">
        <v>2038</v>
      </c>
      <c r="S199" s="64" t="s">
        <v>2039</v>
      </c>
      <c r="T199" s="65">
        <v>1</v>
      </c>
      <c r="U199" s="35" t="s">
        <v>2037</v>
      </c>
      <c r="V199" s="29" t="s">
        <v>2038</v>
      </c>
      <c r="W199" s="35">
        <v>49.99</v>
      </c>
      <c r="X199" s="22">
        <f>rv_10</f>
        <v>0.1</v>
      </c>
      <c r="Y199" s="69">
        <f>W199-(W199*X199)</f>
        <v>44.991</v>
      </c>
      <c r="Z199" s="27"/>
      <c r="AA199" s="23"/>
      <c r="AB199" s="23"/>
      <c r="AC199" s="23"/>
      <c r="AD199" s="63">
        <v>0.02</v>
      </c>
      <c r="AE199" s="91" t="s">
        <v>75</v>
      </c>
      <c r="AF199" s="55" t="s">
        <v>1106</v>
      </c>
      <c r="AG199" s="14" t="s">
        <v>1274</v>
      </c>
      <c r="AH199" s="14" t="s">
        <v>1275</v>
      </c>
    </row>
    <row r="200" spans="1:34" s="1" customFormat="1">
      <c r="A200" s="25" t="s">
        <v>2040</v>
      </c>
      <c r="B200" s="64" t="s">
        <v>2041</v>
      </c>
      <c r="C200" s="65">
        <v>1</v>
      </c>
      <c r="D200" s="35" t="s">
        <v>2042</v>
      </c>
      <c r="E200" s="29" t="s">
        <v>2040</v>
      </c>
      <c r="F200" s="35">
        <v>36.979999999999997</v>
      </c>
      <c r="G200" s="22">
        <f t="shared" ref="G200:G208" si="63">rv_20</f>
        <v>0.2</v>
      </c>
      <c r="H200" s="69">
        <f t="shared" ref="H200:H262" si="64">F200-(F200*G200)</f>
        <v>29.583999999999996</v>
      </c>
      <c r="I200" s="27"/>
      <c r="J200" s="23"/>
      <c r="K200" s="23"/>
      <c r="L200" s="23"/>
      <c r="M200" s="63">
        <v>0.1</v>
      </c>
      <c r="N200" s="91" t="s">
        <v>75</v>
      </c>
      <c r="O200" s="55" t="s">
        <v>1106</v>
      </c>
      <c r="P200" s="56" t="s">
        <v>504</v>
      </c>
      <c r="Q200" s="56" t="s">
        <v>1273</v>
      </c>
      <c r="R200" s="25" t="s">
        <v>2040</v>
      </c>
      <c r="S200" s="64" t="s">
        <v>2041</v>
      </c>
      <c r="T200" s="65">
        <v>1</v>
      </c>
      <c r="U200" s="35" t="s">
        <v>2042</v>
      </c>
      <c r="V200" s="29" t="s">
        <v>2040</v>
      </c>
      <c r="W200" s="35">
        <v>36.979999999999997</v>
      </c>
      <c r="X200" s="22">
        <f t="shared" ref="X200:X208" si="65">rv_20</f>
        <v>0.2</v>
      </c>
      <c r="Y200" s="69">
        <f t="shared" ref="Y200:Y262" si="66">W200-(W200*X200)</f>
        <v>29.583999999999996</v>
      </c>
      <c r="Z200" s="27"/>
      <c r="AA200" s="23"/>
      <c r="AB200" s="23"/>
      <c r="AC200" s="23"/>
      <c r="AD200" s="63">
        <v>0.1</v>
      </c>
      <c r="AE200" s="91" t="s">
        <v>75</v>
      </c>
      <c r="AF200" s="55" t="s">
        <v>1106</v>
      </c>
      <c r="AG200" s="14" t="s">
        <v>2010</v>
      </c>
      <c r="AH200" s="14" t="s">
        <v>2011</v>
      </c>
    </row>
    <row r="201" spans="1:34" s="1" customFormat="1">
      <c r="A201" s="25" t="s">
        <v>2043</v>
      </c>
      <c r="B201" s="64" t="s">
        <v>2044</v>
      </c>
      <c r="C201" s="65">
        <v>1</v>
      </c>
      <c r="D201" s="35" t="s">
        <v>2042</v>
      </c>
      <c r="E201" s="29" t="s">
        <v>2043</v>
      </c>
      <c r="F201" s="35">
        <v>143.07</v>
      </c>
      <c r="G201" s="22">
        <f t="shared" si="63"/>
        <v>0.2</v>
      </c>
      <c r="H201" s="69">
        <f t="shared" si="64"/>
        <v>114.45599999999999</v>
      </c>
      <c r="I201" s="27"/>
      <c r="J201" s="23"/>
      <c r="K201" s="23"/>
      <c r="L201" s="23"/>
      <c r="M201" s="63">
        <v>0.63</v>
      </c>
      <c r="N201" s="91" t="s">
        <v>75</v>
      </c>
      <c r="O201" s="55" t="s">
        <v>1106</v>
      </c>
      <c r="P201" s="56" t="s">
        <v>504</v>
      </c>
      <c r="Q201" s="56" t="s">
        <v>1273</v>
      </c>
      <c r="R201" s="25" t="s">
        <v>2043</v>
      </c>
      <c r="S201" s="64" t="s">
        <v>2044</v>
      </c>
      <c r="T201" s="65">
        <v>1</v>
      </c>
      <c r="U201" s="35" t="s">
        <v>2042</v>
      </c>
      <c r="V201" s="29" t="s">
        <v>2043</v>
      </c>
      <c r="W201" s="35">
        <v>143.07</v>
      </c>
      <c r="X201" s="22">
        <f t="shared" si="65"/>
        <v>0.2</v>
      </c>
      <c r="Y201" s="69">
        <f t="shared" si="66"/>
        <v>114.45599999999999</v>
      </c>
      <c r="Z201" s="27"/>
      <c r="AA201" s="23"/>
      <c r="AB201" s="23"/>
      <c r="AC201" s="23"/>
      <c r="AD201" s="63">
        <v>0.63</v>
      </c>
      <c r="AE201" s="91" t="s">
        <v>75</v>
      </c>
      <c r="AF201" s="55" t="s">
        <v>1106</v>
      </c>
      <c r="AG201" s="14" t="s">
        <v>1770</v>
      </c>
      <c r="AH201" s="14" t="s">
        <v>1771</v>
      </c>
    </row>
    <row r="202" spans="1:34" s="1" customFormat="1">
      <c r="A202" s="25" t="s">
        <v>2045</v>
      </c>
      <c r="B202" s="64" t="s">
        <v>2046</v>
      </c>
      <c r="C202" s="65">
        <v>1</v>
      </c>
      <c r="D202" s="35" t="s">
        <v>2042</v>
      </c>
      <c r="E202" s="29" t="s">
        <v>2045</v>
      </c>
      <c r="F202" s="35">
        <v>152.11000000000001</v>
      </c>
      <c r="G202" s="22">
        <f t="shared" si="63"/>
        <v>0.2</v>
      </c>
      <c r="H202" s="69">
        <f t="shared" si="64"/>
        <v>121.68800000000002</v>
      </c>
      <c r="I202" s="27"/>
      <c r="J202" s="23"/>
      <c r="K202" s="23"/>
      <c r="L202" s="23"/>
      <c r="M202" s="63">
        <v>0.92</v>
      </c>
      <c r="N202" s="91" t="s">
        <v>75</v>
      </c>
      <c r="O202" s="55" t="s">
        <v>1106</v>
      </c>
      <c r="P202" s="56" t="s">
        <v>504</v>
      </c>
      <c r="Q202" s="56" t="s">
        <v>1273</v>
      </c>
      <c r="R202" s="25" t="s">
        <v>2045</v>
      </c>
      <c r="S202" s="64" t="s">
        <v>2046</v>
      </c>
      <c r="T202" s="65">
        <v>1</v>
      </c>
      <c r="U202" s="35" t="s">
        <v>2042</v>
      </c>
      <c r="V202" s="29" t="s">
        <v>2045</v>
      </c>
      <c r="W202" s="35">
        <v>152.11000000000001</v>
      </c>
      <c r="X202" s="22">
        <f t="shared" si="65"/>
        <v>0.2</v>
      </c>
      <c r="Y202" s="69">
        <f t="shared" si="66"/>
        <v>121.68800000000002</v>
      </c>
      <c r="Z202" s="27"/>
      <c r="AA202" s="23"/>
      <c r="AB202" s="23"/>
      <c r="AC202" s="23"/>
      <c r="AD202" s="63">
        <v>0.92</v>
      </c>
      <c r="AE202" s="91" t="s">
        <v>75</v>
      </c>
      <c r="AF202" s="55" t="s">
        <v>1106</v>
      </c>
      <c r="AG202" s="14" t="s">
        <v>1774</v>
      </c>
      <c r="AH202" s="14" t="s">
        <v>1775</v>
      </c>
    </row>
    <row r="203" spans="1:34" s="1" customFormat="1">
      <c r="A203" s="25" t="s">
        <v>2047</v>
      </c>
      <c r="B203" s="64" t="s">
        <v>2048</v>
      </c>
      <c r="C203" s="65">
        <v>1</v>
      </c>
      <c r="D203" s="35" t="s">
        <v>2042</v>
      </c>
      <c r="E203" s="29" t="s">
        <v>2047</v>
      </c>
      <c r="F203" s="35">
        <v>33.93</v>
      </c>
      <c r="G203" s="22">
        <f t="shared" si="63"/>
        <v>0.2</v>
      </c>
      <c r="H203" s="69">
        <f t="shared" si="64"/>
        <v>27.143999999999998</v>
      </c>
      <c r="I203" s="27"/>
      <c r="J203" s="23"/>
      <c r="K203" s="23"/>
      <c r="L203" s="23"/>
      <c r="M203" s="63">
        <v>0.02</v>
      </c>
      <c r="N203" s="91" t="s">
        <v>75</v>
      </c>
      <c r="O203" s="55" t="s">
        <v>1106</v>
      </c>
      <c r="P203" s="56" t="s">
        <v>504</v>
      </c>
      <c r="Q203" s="56" t="s">
        <v>1273</v>
      </c>
      <c r="R203" s="25" t="s">
        <v>2047</v>
      </c>
      <c r="S203" s="64" t="s">
        <v>2048</v>
      </c>
      <c r="T203" s="65">
        <v>1</v>
      </c>
      <c r="U203" s="35" t="s">
        <v>2042</v>
      </c>
      <c r="V203" s="29" t="s">
        <v>2047</v>
      </c>
      <c r="W203" s="35">
        <v>33.93</v>
      </c>
      <c r="X203" s="22">
        <f t="shared" si="65"/>
        <v>0.2</v>
      </c>
      <c r="Y203" s="69">
        <f t="shared" si="66"/>
        <v>27.143999999999998</v>
      </c>
      <c r="Z203" s="27"/>
      <c r="AA203" s="23"/>
      <c r="AB203" s="23"/>
      <c r="AC203" s="23"/>
      <c r="AD203" s="63">
        <v>0.02</v>
      </c>
      <c r="AE203" s="91" t="s">
        <v>75</v>
      </c>
      <c r="AF203" s="55" t="s">
        <v>1106</v>
      </c>
      <c r="AG203" s="14" t="s">
        <v>1778</v>
      </c>
      <c r="AH203" s="14" t="s">
        <v>1779</v>
      </c>
    </row>
    <row r="204" spans="1:34" s="1" customFormat="1">
      <c r="A204" s="25" t="s">
        <v>2049</v>
      </c>
      <c r="B204" s="64" t="s">
        <v>2050</v>
      </c>
      <c r="C204" s="65">
        <v>1</v>
      </c>
      <c r="D204" s="35" t="s">
        <v>1845</v>
      </c>
      <c r="E204" s="29" t="s">
        <v>2049</v>
      </c>
      <c r="F204" s="35">
        <v>25.89</v>
      </c>
      <c r="G204" s="22">
        <f t="shared" si="63"/>
        <v>0.2</v>
      </c>
      <c r="H204" s="35">
        <f t="shared" si="64"/>
        <v>20.712</v>
      </c>
      <c r="I204" s="27"/>
      <c r="J204" s="23"/>
      <c r="K204" s="23"/>
      <c r="L204" s="23"/>
      <c r="M204" s="63">
        <v>0.05</v>
      </c>
      <c r="N204" s="91" t="s">
        <v>75</v>
      </c>
      <c r="O204" s="55" t="s">
        <v>1106</v>
      </c>
      <c r="P204" s="56" t="s">
        <v>504</v>
      </c>
      <c r="Q204" s="56" t="s">
        <v>1273</v>
      </c>
      <c r="R204" s="25" t="s">
        <v>2049</v>
      </c>
      <c r="S204" s="64" t="s">
        <v>2050</v>
      </c>
      <c r="T204" s="65">
        <v>1</v>
      </c>
      <c r="U204" s="35" t="s">
        <v>1845</v>
      </c>
      <c r="V204" s="29" t="s">
        <v>2049</v>
      </c>
      <c r="W204" s="35">
        <v>25.89</v>
      </c>
      <c r="X204" s="22">
        <f t="shared" si="65"/>
        <v>0.2</v>
      </c>
      <c r="Y204" s="35">
        <f t="shared" si="66"/>
        <v>20.712</v>
      </c>
      <c r="Z204" s="27"/>
      <c r="AA204" s="23"/>
      <c r="AB204" s="23"/>
      <c r="AC204" s="23"/>
      <c r="AD204" s="63">
        <v>0.05</v>
      </c>
      <c r="AE204" s="91" t="s">
        <v>75</v>
      </c>
      <c r="AF204" s="55" t="s">
        <v>1106</v>
      </c>
      <c r="AG204" s="14" t="s">
        <v>1274</v>
      </c>
      <c r="AH204" s="14" t="s">
        <v>1275</v>
      </c>
    </row>
    <row r="205" spans="1:34" s="1" customFormat="1">
      <c r="A205" s="25" t="s">
        <v>2051</v>
      </c>
      <c r="B205" s="64" t="s">
        <v>2052</v>
      </c>
      <c r="C205" s="65">
        <v>1</v>
      </c>
      <c r="D205" s="35" t="s">
        <v>1845</v>
      </c>
      <c r="E205" s="29" t="s">
        <v>2051</v>
      </c>
      <c r="F205" s="35">
        <v>25.89</v>
      </c>
      <c r="G205" s="22">
        <f t="shared" si="63"/>
        <v>0.2</v>
      </c>
      <c r="H205" s="35">
        <f t="shared" si="64"/>
        <v>20.712</v>
      </c>
      <c r="I205" s="27"/>
      <c r="J205" s="23"/>
      <c r="K205" s="23"/>
      <c r="L205" s="23"/>
      <c r="M205" s="63">
        <v>0.01</v>
      </c>
      <c r="N205" s="91" t="s">
        <v>75</v>
      </c>
      <c r="O205" s="55" t="s">
        <v>1106</v>
      </c>
      <c r="P205" s="56" t="s">
        <v>504</v>
      </c>
      <c r="Q205" s="56" t="s">
        <v>1273</v>
      </c>
      <c r="R205" s="25" t="s">
        <v>2051</v>
      </c>
      <c r="S205" s="64" t="s">
        <v>2052</v>
      </c>
      <c r="T205" s="65">
        <v>1</v>
      </c>
      <c r="U205" s="35" t="s">
        <v>1845</v>
      </c>
      <c r="V205" s="29" t="s">
        <v>2051</v>
      </c>
      <c r="W205" s="35">
        <v>25.89</v>
      </c>
      <c r="X205" s="22">
        <f t="shared" si="65"/>
        <v>0.2</v>
      </c>
      <c r="Y205" s="35">
        <f t="shared" si="66"/>
        <v>20.712</v>
      </c>
      <c r="Z205" s="27"/>
      <c r="AA205" s="23"/>
      <c r="AB205" s="23"/>
      <c r="AC205" s="23"/>
      <c r="AD205" s="63">
        <v>0.01</v>
      </c>
      <c r="AE205" s="91" t="s">
        <v>75</v>
      </c>
      <c r="AF205" s="55" t="s">
        <v>1106</v>
      </c>
      <c r="AG205" s="14" t="s">
        <v>1274</v>
      </c>
      <c r="AH205" s="14" t="s">
        <v>1275</v>
      </c>
    </row>
    <row r="206" spans="1:34" s="1" customFormat="1">
      <c r="A206" s="25" t="s">
        <v>2053</v>
      </c>
      <c r="B206" s="64" t="s">
        <v>2054</v>
      </c>
      <c r="C206" s="65">
        <v>1</v>
      </c>
      <c r="D206" s="35" t="s">
        <v>1845</v>
      </c>
      <c r="E206" s="29" t="s">
        <v>2053</v>
      </c>
      <c r="F206" s="35">
        <v>20.14</v>
      </c>
      <c r="G206" s="22">
        <f t="shared" si="63"/>
        <v>0.2</v>
      </c>
      <c r="H206" s="35">
        <f t="shared" si="64"/>
        <v>16.112000000000002</v>
      </c>
      <c r="I206" s="27"/>
      <c r="J206" s="23"/>
      <c r="K206" s="23"/>
      <c r="L206" s="23"/>
      <c r="M206" s="63">
        <v>0.05</v>
      </c>
      <c r="N206" s="91" t="s">
        <v>75</v>
      </c>
      <c r="O206" s="55" t="s">
        <v>1106</v>
      </c>
      <c r="P206" s="56" t="s">
        <v>504</v>
      </c>
      <c r="Q206" s="56" t="s">
        <v>1273</v>
      </c>
      <c r="R206" s="25" t="s">
        <v>2053</v>
      </c>
      <c r="S206" s="64" t="s">
        <v>2054</v>
      </c>
      <c r="T206" s="65">
        <v>1</v>
      </c>
      <c r="U206" s="35" t="s">
        <v>1845</v>
      </c>
      <c r="V206" s="29" t="s">
        <v>2053</v>
      </c>
      <c r="W206" s="35">
        <v>20.14</v>
      </c>
      <c r="X206" s="22">
        <f t="shared" si="65"/>
        <v>0.2</v>
      </c>
      <c r="Y206" s="35">
        <f t="shared" si="66"/>
        <v>16.112000000000002</v>
      </c>
      <c r="Z206" s="27"/>
      <c r="AA206" s="23"/>
      <c r="AB206" s="23"/>
      <c r="AC206" s="23"/>
      <c r="AD206" s="63">
        <v>0.05</v>
      </c>
      <c r="AE206" s="91" t="s">
        <v>75</v>
      </c>
      <c r="AF206" s="55" t="s">
        <v>1106</v>
      </c>
      <c r="AG206" s="14" t="s">
        <v>1274</v>
      </c>
      <c r="AH206" s="14" t="s">
        <v>1275</v>
      </c>
    </row>
    <row r="207" spans="1:34" s="1" customFormat="1">
      <c r="A207" s="25" t="s">
        <v>2055</v>
      </c>
      <c r="B207" s="64" t="s">
        <v>2056</v>
      </c>
      <c r="C207" s="65">
        <v>1</v>
      </c>
      <c r="D207" s="35" t="s">
        <v>1845</v>
      </c>
      <c r="E207" s="29" t="s">
        <v>2055</v>
      </c>
      <c r="F207" s="35">
        <v>44.64</v>
      </c>
      <c r="G207" s="22">
        <f t="shared" si="63"/>
        <v>0.2</v>
      </c>
      <c r="H207" s="35">
        <f t="shared" si="64"/>
        <v>35.712000000000003</v>
      </c>
      <c r="I207" s="27"/>
      <c r="J207" s="23"/>
      <c r="K207" s="23"/>
      <c r="L207" s="23"/>
      <c r="M207" s="63">
        <v>0.01</v>
      </c>
      <c r="N207" s="91" t="s">
        <v>75</v>
      </c>
      <c r="O207" s="55" t="s">
        <v>1106</v>
      </c>
      <c r="P207" s="56" t="s">
        <v>504</v>
      </c>
      <c r="Q207" s="56" t="s">
        <v>1273</v>
      </c>
      <c r="R207" s="25" t="s">
        <v>2055</v>
      </c>
      <c r="S207" s="64" t="s">
        <v>2056</v>
      </c>
      <c r="T207" s="65">
        <v>1</v>
      </c>
      <c r="U207" s="35" t="s">
        <v>1845</v>
      </c>
      <c r="V207" s="29" t="s">
        <v>2055</v>
      </c>
      <c r="W207" s="35">
        <v>44.64</v>
      </c>
      <c r="X207" s="22">
        <f t="shared" si="65"/>
        <v>0.2</v>
      </c>
      <c r="Y207" s="35">
        <f t="shared" si="66"/>
        <v>35.712000000000003</v>
      </c>
      <c r="Z207" s="27"/>
      <c r="AA207" s="23"/>
      <c r="AB207" s="23"/>
      <c r="AC207" s="23"/>
      <c r="AD207" s="63">
        <v>0.01</v>
      </c>
      <c r="AE207" s="91" t="s">
        <v>75</v>
      </c>
      <c r="AF207" s="55" t="s">
        <v>1106</v>
      </c>
      <c r="AG207" s="14" t="s">
        <v>1274</v>
      </c>
      <c r="AH207" s="14" t="s">
        <v>1275</v>
      </c>
    </row>
    <row r="208" spans="1:34" s="1" customFormat="1">
      <c r="A208" s="25" t="s">
        <v>2057</v>
      </c>
      <c r="B208" s="64" t="s">
        <v>2058</v>
      </c>
      <c r="C208" s="65">
        <v>1</v>
      </c>
      <c r="D208" s="35" t="s">
        <v>1845</v>
      </c>
      <c r="E208" s="29" t="s">
        <v>2057</v>
      </c>
      <c r="F208" s="35">
        <v>36</v>
      </c>
      <c r="G208" s="22">
        <f t="shared" si="63"/>
        <v>0.2</v>
      </c>
      <c r="H208" s="35">
        <f t="shared" si="64"/>
        <v>28.8</v>
      </c>
      <c r="I208" s="27"/>
      <c r="J208" s="23"/>
      <c r="K208" s="23"/>
      <c r="L208" s="23"/>
      <c r="M208" s="63">
        <v>0.02</v>
      </c>
      <c r="N208" s="91" t="s">
        <v>75</v>
      </c>
      <c r="O208" s="55" t="s">
        <v>1106</v>
      </c>
      <c r="P208" s="56" t="s">
        <v>504</v>
      </c>
      <c r="Q208" s="56" t="s">
        <v>1273</v>
      </c>
      <c r="R208" s="25" t="s">
        <v>2057</v>
      </c>
      <c r="S208" s="64" t="s">
        <v>2058</v>
      </c>
      <c r="T208" s="65">
        <v>1</v>
      </c>
      <c r="U208" s="35" t="s">
        <v>1845</v>
      </c>
      <c r="V208" s="29" t="s">
        <v>2057</v>
      </c>
      <c r="W208" s="35">
        <v>36</v>
      </c>
      <c r="X208" s="22">
        <f t="shared" si="65"/>
        <v>0.2</v>
      </c>
      <c r="Y208" s="35">
        <f t="shared" si="66"/>
        <v>28.8</v>
      </c>
      <c r="Z208" s="27"/>
      <c r="AA208" s="23"/>
      <c r="AB208" s="23"/>
      <c r="AC208" s="23"/>
      <c r="AD208" s="63">
        <v>0.02</v>
      </c>
      <c r="AE208" s="91" t="s">
        <v>75</v>
      </c>
      <c r="AF208" s="55" t="s">
        <v>1106</v>
      </c>
      <c r="AG208" s="14" t="s">
        <v>1274</v>
      </c>
      <c r="AH208" s="14" t="s">
        <v>1275</v>
      </c>
    </row>
    <row r="209" spans="1:34" s="1" customFormat="1">
      <c r="A209" s="25" t="s">
        <v>2059</v>
      </c>
      <c r="B209" s="64" t="s">
        <v>2060</v>
      </c>
      <c r="C209" s="65">
        <v>1</v>
      </c>
      <c r="D209" s="35" t="s">
        <v>1845</v>
      </c>
      <c r="E209" s="29" t="s">
        <v>2059</v>
      </c>
      <c r="F209" s="35">
        <v>12.16</v>
      </c>
      <c r="G209" s="22">
        <f>rv_30</f>
        <v>0.3</v>
      </c>
      <c r="H209" s="35">
        <f t="shared" si="64"/>
        <v>8.5120000000000005</v>
      </c>
      <c r="I209" s="27"/>
      <c r="J209" s="23"/>
      <c r="K209" s="23"/>
      <c r="L209" s="23"/>
      <c r="M209" s="63">
        <v>0.02</v>
      </c>
      <c r="N209" s="91" t="s">
        <v>75</v>
      </c>
      <c r="O209" s="55" t="s">
        <v>1106</v>
      </c>
      <c r="P209" s="56" t="s">
        <v>504</v>
      </c>
      <c r="Q209" s="56" t="s">
        <v>1273</v>
      </c>
      <c r="R209" s="25" t="s">
        <v>2059</v>
      </c>
      <c r="S209" s="64" t="s">
        <v>2060</v>
      </c>
      <c r="T209" s="65">
        <v>1</v>
      </c>
      <c r="U209" s="35" t="s">
        <v>1845</v>
      </c>
      <c r="V209" s="29" t="s">
        <v>2059</v>
      </c>
      <c r="W209" s="35">
        <v>12.16</v>
      </c>
      <c r="X209" s="22">
        <f>rv_30</f>
        <v>0.3</v>
      </c>
      <c r="Y209" s="35">
        <f t="shared" si="66"/>
        <v>8.5120000000000005</v>
      </c>
      <c r="Z209" s="27"/>
      <c r="AA209" s="23"/>
      <c r="AB209" s="23"/>
      <c r="AC209" s="23"/>
      <c r="AD209" s="63">
        <v>0.02</v>
      </c>
      <c r="AE209" s="91" t="s">
        <v>75</v>
      </c>
      <c r="AF209" s="55" t="s">
        <v>1106</v>
      </c>
      <c r="AG209" s="14" t="s">
        <v>1274</v>
      </c>
      <c r="AH209" s="14" t="s">
        <v>1275</v>
      </c>
    </row>
    <row r="210" spans="1:34" s="1" customFormat="1">
      <c r="A210" s="25" t="s">
        <v>2061</v>
      </c>
      <c r="B210" s="64" t="s">
        <v>2062</v>
      </c>
      <c r="C210" s="65">
        <v>1</v>
      </c>
      <c r="D210" s="35" t="s">
        <v>1845</v>
      </c>
      <c r="E210" s="29" t="s">
        <v>2061</v>
      </c>
      <c r="F210" s="35">
        <v>203.55</v>
      </c>
      <c r="G210" s="22">
        <f t="shared" ref="G210:G222" si="67">rv_20</f>
        <v>0.2</v>
      </c>
      <c r="H210" s="35">
        <f t="shared" si="64"/>
        <v>162.84</v>
      </c>
      <c r="I210" s="27"/>
      <c r="J210" s="23"/>
      <c r="K210" s="23"/>
      <c r="L210" s="23"/>
      <c r="M210" s="63">
        <v>0.02</v>
      </c>
      <c r="N210" s="91" t="s">
        <v>75</v>
      </c>
      <c r="O210" s="55" t="s">
        <v>1106</v>
      </c>
      <c r="P210" s="56" t="s">
        <v>504</v>
      </c>
      <c r="Q210" s="56" t="s">
        <v>1273</v>
      </c>
      <c r="R210" s="25" t="s">
        <v>2061</v>
      </c>
      <c r="S210" s="64" t="s">
        <v>2062</v>
      </c>
      <c r="T210" s="65">
        <v>1</v>
      </c>
      <c r="U210" s="35" t="s">
        <v>1845</v>
      </c>
      <c r="V210" s="29" t="s">
        <v>2061</v>
      </c>
      <c r="W210" s="35">
        <v>203.55</v>
      </c>
      <c r="X210" s="22">
        <f t="shared" ref="X210:X234" si="68">rv_20</f>
        <v>0.2</v>
      </c>
      <c r="Y210" s="35">
        <f t="shared" si="66"/>
        <v>162.84</v>
      </c>
      <c r="Z210" s="27"/>
      <c r="AA210" s="23"/>
      <c r="AB210" s="23"/>
      <c r="AC210" s="23"/>
      <c r="AD210" s="63">
        <v>0.02</v>
      </c>
      <c r="AE210" s="91" t="s">
        <v>75</v>
      </c>
      <c r="AF210" s="55" t="s">
        <v>1106</v>
      </c>
      <c r="AG210" s="14" t="s">
        <v>1274</v>
      </c>
      <c r="AH210" s="14" t="s">
        <v>1275</v>
      </c>
    </row>
    <row r="211" spans="1:34" s="1" customFormat="1">
      <c r="A211" s="25" t="s">
        <v>2063</v>
      </c>
      <c r="B211" s="64" t="s">
        <v>2064</v>
      </c>
      <c r="C211" s="65">
        <v>1</v>
      </c>
      <c r="D211" s="35" t="s">
        <v>1845</v>
      </c>
      <c r="E211" s="29" t="s">
        <v>2063</v>
      </c>
      <c r="F211" s="35">
        <v>265.16000000000003</v>
      </c>
      <c r="G211" s="22">
        <f t="shared" si="67"/>
        <v>0.2</v>
      </c>
      <c r="H211" s="35">
        <f t="shared" si="64"/>
        <v>212.12800000000001</v>
      </c>
      <c r="I211" s="27"/>
      <c r="J211" s="23"/>
      <c r="K211" s="23"/>
      <c r="L211" s="23"/>
      <c r="M211" s="63">
        <v>0.02</v>
      </c>
      <c r="N211" s="91" t="s">
        <v>75</v>
      </c>
      <c r="O211" s="55" t="s">
        <v>1106</v>
      </c>
      <c r="P211" s="56" t="s">
        <v>504</v>
      </c>
      <c r="Q211" s="56" t="s">
        <v>1273</v>
      </c>
      <c r="R211" s="25" t="s">
        <v>2063</v>
      </c>
      <c r="S211" s="64" t="s">
        <v>2064</v>
      </c>
      <c r="T211" s="65">
        <v>1</v>
      </c>
      <c r="U211" s="35" t="s">
        <v>1845</v>
      </c>
      <c r="V211" s="29" t="s">
        <v>2063</v>
      </c>
      <c r="W211" s="35">
        <v>265.16000000000003</v>
      </c>
      <c r="X211" s="22">
        <f t="shared" si="68"/>
        <v>0.2</v>
      </c>
      <c r="Y211" s="35">
        <f t="shared" si="66"/>
        <v>212.12800000000001</v>
      </c>
      <c r="Z211" s="27"/>
      <c r="AA211" s="23"/>
      <c r="AB211" s="23"/>
      <c r="AC211" s="23"/>
      <c r="AD211" s="63">
        <v>0.02</v>
      </c>
      <c r="AE211" s="91" t="s">
        <v>75</v>
      </c>
      <c r="AF211" s="55" t="s">
        <v>1106</v>
      </c>
      <c r="AG211" s="14" t="s">
        <v>1274</v>
      </c>
      <c r="AH211" s="14" t="s">
        <v>1275</v>
      </c>
    </row>
    <row r="212" spans="1:34" s="1" customFormat="1">
      <c r="A212" s="25" t="s">
        <v>2065</v>
      </c>
      <c r="B212" s="64" t="s">
        <v>2066</v>
      </c>
      <c r="C212" s="65">
        <v>1</v>
      </c>
      <c r="D212" s="35" t="s">
        <v>1845</v>
      </c>
      <c r="E212" s="29" t="s">
        <v>2065</v>
      </c>
      <c r="F212" s="35">
        <v>290</v>
      </c>
      <c r="G212" s="22">
        <f t="shared" si="67"/>
        <v>0.2</v>
      </c>
      <c r="H212" s="35">
        <f t="shared" si="64"/>
        <v>232</v>
      </c>
      <c r="I212" s="27"/>
      <c r="J212" s="23"/>
      <c r="K212" s="23"/>
      <c r="L212" s="23"/>
      <c r="M212" s="63">
        <v>0.02</v>
      </c>
      <c r="N212" s="91" t="s">
        <v>75</v>
      </c>
      <c r="O212" s="55" t="s">
        <v>1106</v>
      </c>
      <c r="P212" s="56" t="s">
        <v>504</v>
      </c>
      <c r="Q212" s="56" t="s">
        <v>1273</v>
      </c>
      <c r="R212" s="25" t="s">
        <v>2065</v>
      </c>
      <c r="S212" s="64" t="s">
        <v>2066</v>
      </c>
      <c r="T212" s="65">
        <v>1</v>
      </c>
      <c r="U212" s="35" t="s">
        <v>1845</v>
      </c>
      <c r="V212" s="29" t="s">
        <v>2065</v>
      </c>
      <c r="W212" s="35">
        <v>290</v>
      </c>
      <c r="X212" s="22">
        <f t="shared" si="68"/>
        <v>0.2</v>
      </c>
      <c r="Y212" s="35">
        <f t="shared" si="66"/>
        <v>232</v>
      </c>
      <c r="Z212" s="27"/>
      <c r="AA212" s="23"/>
      <c r="AB212" s="23"/>
      <c r="AC212" s="23"/>
      <c r="AD212" s="63">
        <v>0.02</v>
      </c>
      <c r="AE212" s="91" t="s">
        <v>75</v>
      </c>
      <c r="AF212" s="55" t="s">
        <v>1106</v>
      </c>
      <c r="AG212" s="14" t="s">
        <v>1274</v>
      </c>
      <c r="AH212" s="14" t="s">
        <v>1275</v>
      </c>
    </row>
    <row r="213" spans="1:34" s="1" customFormat="1">
      <c r="A213" s="25" t="s">
        <v>2067</v>
      </c>
      <c r="B213" s="64" t="s">
        <v>2068</v>
      </c>
      <c r="C213" s="65">
        <v>1</v>
      </c>
      <c r="D213" s="35" t="s">
        <v>2069</v>
      </c>
      <c r="E213" s="29" t="s">
        <v>2067</v>
      </c>
      <c r="F213" s="35">
        <v>5.0199999999999996</v>
      </c>
      <c r="G213" s="22">
        <f t="shared" si="67"/>
        <v>0.2</v>
      </c>
      <c r="H213" s="35">
        <f t="shared" si="64"/>
        <v>4.016</v>
      </c>
      <c r="I213" s="27"/>
      <c r="J213" s="23"/>
      <c r="K213" s="23"/>
      <c r="L213" s="63">
        <v>2</v>
      </c>
      <c r="M213" s="63">
        <v>0.01</v>
      </c>
      <c r="N213" s="91" t="s">
        <v>75</v>
      </c>
      <c r="O213" s="55" t="s">
        <v>1106</v>
      </c>
      <c r="P213" s="56" t="s">
        <v>504</v>
      </c>
      <c r="Q213" s="56" t="s">
        <v>1273</v>
      </c>
      <c r="R213" s="25" t="s">
        <v>2067</v>
      </c>
      <c r="S213" s="64" t="s">
        <v>2068</v>
      </c>
      <c r="T213" s="65">
        <v>1</v>
      </c>
      <c r="U213" s="35" t="s">
        <v>2069</v>
      </c>
      <c r="V213" s="29" t="s">
        <v>2067</v>
      </c>
      <c r="W213" s="35">
        <v>5.0199999999999996</v>
      </c>
      <c r="X213" s="22">
        <f t="shared" si="68"/>
        <v>0.2</v>
      </c>
      <c r="Y213" s="35">
        <f t="shared" si="66"/>
        <v>4.016</v>
      </c>
      <c r="Z213" s="27"/>
      <c r="AA213" s="23"/>
      <c r="AB213" s="23"/>
      <c r="AC213" s="63">
        <v>2</v>
      </c>
      <c r="AD213" s="63">
        <v>0.01</v>
      </c>
      <c r="AE213" s="91" t="s">
        <v>75</v>
      </c>
      <c r="AF213" s="55" t="s">
        <v>1106</v>
      </c>
      <c r="AG213" s="14" t="s">
        <v>1274</v>
      </c>
      <c r="AH213" s="14" t="s">
        <v>1275</v>
      </c>
    </row>
    <row r="214" spans="1:34" s="1" customFormat="1">
      <c r="A214" s="25" t="s">
        <v>2070</v>
      </c>
      <c r="B214" s="64" t="s">
        <v>2071</v>
      </c>
      <c r="C214" s="65">
        <v>1</v>
      </c>
      <c r="D214" s="35" t="s">
        <v>2069</v>
      </c>
      <c r="E214" s="29" t="s">
        <v>2070</v>
      </c>
      <c r="F214" s="35">
        <v>9.18</v>
      </c>
      <c r="G214" s="22">
        <f t="shared" si="67"/>
        <v>0.2</v>
      </c>
      <c r="H214" s="35">
        <f t="shared" si="64"/>
        <v>7.3439999999999994</v>
      </c>
      <c r="I214" s="27"/>
      <c r="J214" s="23"/>
      <c r="K214" s="23"/>
      <c r="L214" s="63">
        <v>2.8</v>
      </c>
      <c r="M214" s="63">
        <v>0.01</v>
      </c>
      <c r="N214" s="91" t="s">
        <v>75</v>
      </c>
      <c r="O214" s="55" t="s">
        <v>1106</v>
      </c>
      <c r="P214" s="56" t="s">
        <v>504</v>
      </c>
      <c r="Q214" s="56" t="s">
        <v>1273</v>
      </c>
      <c r="R214" s="25" t="s">
        <v>2070</v>
      </c>
      <c r="S214" s="64" t="s">
        <v>2071</v>
      </c>
      <c r="T214" s="65">
        <v>1</v>
      </c>
      <c r="U214" s="35" t="s">
        <v>2069</v>
      </c>
      <c r="V214" s="29" t="s">
        <v>2070</v>
      </c>
      <c r="W214" s="35">
        <v>9.18</v>
      </c>
      <c r="X214" s="22">
        <f t="shared" si="68"/>
        <v>0.2</v>
      </c>
      <c r="Y214" s="35">
        <f t="shared" si="66"/>
        <v>7.3439999999999994</v>
      </c>
      <c r="Z214" s="27"/>
      <c r="AA214" s="23"/>
      <c r="AB214" s="23"/>
      <c r="AC214" s="63">
        <v>2.8</v>
      </c>
      <c r="AD214" s="63">
        <v>0.01</v>
      </c>
      <c r="AE214" s="91" t="s">
        <v>75</v>
      </c>
      <c r="AF214" s="55" t="s">
        <v>1106</v>
      </c>
      <c r="AG214" s="14" t="s">
        <v>1274</v>
      </c>
      <c r="AH214" s="14" t="s">
        <v>1275</v>
      </c>
    </row>
    <row r="215" spans="1:34" s="1" customFormat="1">
      <c r="A215" s="25" t="s">
        <v>2072</v>
      </c>
      <c r="B215" s="64" t="s">
        <v>2073</v>
      </c>
      <c r="C215" s="65">
        <v>1</v>
      </c>
      <c r="D215" s="35" t="s">
        <v>2069</v>
      </c>
      <c r="E215" s="29" t="s">
        <v>2072</v>
      </c>
      <c r="F215" s="35">
        <v>17.52</v>
      </c>
      <c r="G215" s="22">
        <f t="shared" si="67"/>
        <v>0.2</v>
      </c>
      <c r="H215" s="35">
        <f t="shared" si="64"/>
        <v>14.016</v>
      </c>
      <c r="I215" s="27"/>
      <c r="J215" s="23"/>
      <c r="K215" s="23"/>
      <c r="L215" s="63">
        <v>3.4</v>
      </c>
      <c r="M215" s="63">
        <v>0.01</v>
      </c>
      <c r="N215" s="91" t="s">
        <v>75</v>
      </c>
      <c r="O215" s="55" t="s">
        <v>1106</v>
      </c>
      <c r="P215" s="56" t="s">
        <v>504</v>
      </c>
      <c r="Q215" s="56" t="s">
        <v>1273</v>
      </c>
      <c r="R215" s="25" t="s">
        <v>2072</v>
      </c>
      <c r="S215" s="64" t="s">
        <v>2073</v>
      </c>
      <c r="T215" s="65">
        <v>1</v>
      </c>
      <c r="U215" s="35" t="s">
        <v>2069</v>
      </c>
      <c r="V215" s="29" t="s">
        <v>2072</v>
      </c>
      <c r="W215" s="35">
        <v>17.52</v>
      </c>
      <c r="X215" s="22">
        <f t="shared" si="68"/>
        <v>0.2</v>
      </c>
      <c r="Y215" s="35">
        <f t="shared" si="66"/>
        <v>14.016</v>
      </c>
      <c r="Z215" s="27"/>
      <c r="AA215" s="23"/>
      <c r="AB215" s="23"/>
      <c r="AC215" s="63">
        <v>3.4</v>
      </c>
      <c r="AD215" s="63">
        <v>0.01</v>
      </c>
      <c r="AE215" s="91" t="s">
        <v>75</v>
      </c>
      <c r="AF215" s="55" t="s">
        <v>1106</v>
      </c>
      <c r="AG215" s="14" t="s">
        <v>1274</v>
      </c>
      <c r="AH215" s="14" t="s">
        <v>1275</v>
      </c>
    </row>
    <row r="216" spans="1:34" s="1" customFormat="1">
      <c r="A216" s="25" t="s">
        <v>2074</v>
      </c>
      <c r="B216" s="64" t="s">
        <v>2075</v>
      </c>
      <c r="C216" s="65">
        <v>1</v>
      </c>
      <c r="D216" s="35" t="s">
        <v>2069</v>
      </c>
      <c r="E216" s="29" t="s">
        <v>2074</v>
      </c>
      <c r="F216" s="35">
        <v>44.04</v>
      </c>
      <c r="G216" s="22">
        <f t="shared" si="67"/>
        <v>0.2</v>
      </c>
      <c r="H216" s="35">
        <f t="shared" si="64"/>
        <v>35.231999999999999</v>
      </c>
      <c r="I216" s="27"/>
      <c r="J216" s="23"/>
      <c r="K216" s="23"/>
      <c r="L216" s="63">
        <v>4</v>
      </c>
      <c r="M216" s="63">
        <v>0.01</v>
      </c>
      <c r="N216" s="91" t="s">
        <v>75</v>
      </c>
      <c r="O216" s="55" t="s">
        <v>1106</v>
      </c>
      <c r="P216" s="56" t="s">
        <v>504</v>
      </c>
      <c r="Q216" s="56" t="s">
        <v>1273</v>
      </c>
      <c r="R216" s="25" t="s">
        <v>2074</v>
      </c>
      <c r="S216" s="64" t="s">
        <v>2075</v>
      </c>
      <c r="T216" s="65">
        <v>1</v>
      </c>
      <c r="U216" s="35" t="s">
        <v>2069</v>
      </c>
      <c r="V216" s="29" t="s">
        <v>2074</v>
      </c>
      <c r="W216" s="35">
        <v>44.04</v>
      </c>
      <c r="X216" s="22">
        <f t="shared" si="68"/>
        <v>0.2</v>
      </c>
      <c r="Y216" s="35">
        <f t="shared" si="66"/>
        <v>35.231999999999999</v>
      </c>
      <c r="Z216" s="27"/>
      <c r="AA216" s="23"/>
      <c r="AB216" s="23"/>
      <c r="AC216" s="63">
        <v>4</v>
      </c>
      <c r="AD216" s="63">
        <v>0.01</v>
      </c>
      <c r="AE216" s="91" t="s">
        <v>75</v>
      </c>
      <c r="AF216" s="55" t="s">
        <v>1106</v>
      </c>
      <c r="AG216" s="14" t="s">
        <v>1274</v>
      </c>
      <c r="AH216" s="14" t="s">
        <v>1275</v>
      </c>
    </row>
    <row r="217" spans="1:34" s="1" customFormat="1">
      <c r="A217" s="25" t="s">
        <v>2076</v>
      </c>
      <c r="B217" s="64" t="s">
        <v>2077</v>
      </c>
      <c r="C217" s="65">
        <v>1</v>
      </c>
      <c r="D217" s="35" t="s">
        <v>2069</v>
      </c>
      <c r="E217" s="29" t="s">
        <v>2076</v>
      </c>
      <c r="F217" s="35">
        <v>8.8000000000000007</v>
      </c>
      <c r="G217" s="22">
        <f t="shared" si="67"/>
        <v>0.2</v>
      </c>
      <c r="H217" s="35">
        <f t="shared" si="64"/>
        <v>7.0400000000000009</v>
      </c>
      <c r="I217" s="27"/>
      <c r="J217" s="23"/>
      <c r="K217" s="23"/>
      <c r="L217" s="63">
        <v>2.8</v>
      </c>
      <c r="M217" s="63">
        <v>0.01</v>
      </c>
      <c r="N217" s="91" t="s">
        <v>75</v>
      </c>
      <c r="O217" s="55" t="s">
        <v>1106</v>
      </c>
      <c r="P217" s="56" t="s">
        <v>504</v>
      </c>
      <c r="Q217" s="56" t="s">
        <v>1273</v>
      </c>
      <c r="R217" s="25" t="s">
        <v>2076</v>
      </c>
      <c r="S217" s="64" t="s">
        <v>2077</v>
      </c>
      <c r="T217" s="65">
        <v>1</v>
      </c>
      <c r="U217" s="35" t="s">
        <v>2069</v>
      </c>
      <c r="V217" s="29" t="s">
        <v>2076</v>
      </c>
      <c r="W217" s="35">
        <v>8.8000000000000007</v>
      </c>
      <c r="X217" s="22">
        <f t="shared" si="68"/>
        <v>0.2</v>
      </c>
      <c r="Y217" s="35">
        <f t="shared" si="66"/>
        <v>7.0400000000000009</v>
      </c>
      <c r="Z217" s="27"/>
      <c r="AA217" s="23"/>
      <c r="AB217" s="23"/>
      <c r="AC217" s="63">
        <v>2.8</v>
      </c>
      <c r="AD217" s="63">
        <v>0.01</v>
      </c>
      <c r="AE217" s="91" t="s">
        <v>75</v>
      </c>
      <c r="AF217" s="55" t="s">
        <v>1106</v>
      </c>
      <c r="AG217" s="14" t="s">
        <v>1770</v>
      </c>
      <c r="AH217" s="14" t="s">
        <v>1275</v>
      </c>
    </row>
    <row r="218" spans="1:34" s="1" customFormat="1">
      <c r="A218" s="25" t="s">
        <v>2078</v>
      </c>
      <c r="B218" s="64" t="s">
        <v>2079</v>
      </c>
      <c r="C218" s="65">
        <v>1</v>
      </c>
      <c r="D218" s="35" t="s">
        <v>2069</v>
      </c>
      <c r="E218" s="29" t="s">
        <v>2078</v>
      </c>
      <c r="F218" s="35">
        <v>17.29</v>
      </c>
      <c r="G218" s="22">
        <f t="shared" si="67"/>
        <v>0.2</v>
      </c>
      <c r="H218" s="35">
        <f t="shared" si="64"/>
        <v>13.831999999999999</v>
      </c>
      <c r="I218" s="27"/>
      <c r="J218" s="23"/>
      <c r="K218" s="23"/>
      <c r="L218" s="63">
        <v>3.4</v>
      </c>
      <c r="M218" s="63">
        <v>0.01</v>
      </c>
      <c r="N218" s="91" t="s">
        <v>75</v>
      </c>
      <c r="O218" s="55" t="s">
        <v>1106</v>
      </c>
      <c r="P218" s="56" t="s">
        <v>504</v>
      </c>
      <c r="Q218" s="56" t="s">
        <v>1273</v>
      </c>
      <c r="R218" s="25" t="s">
        <v>2078</v>
      </c>
      <c r="S218" s="64" t="s">
        <v>2079</v>
      </c>
      <c r="T218" s="65">
        <v>1</v>
      </c>
      <c r="U218" s="35" t="s">
        <v>2069</v>
      </c>
      <c r="V218" s="29" t="s">
        <v>2078</v>
      </c>
      <c r="W218" s="35">
        <v>17.29</v>
      </c>
      <c r="X218" s="22">
        <f t="shared" si="68"/>
        <v>0.2</v>
      </c>
      <c r="Y218" s="35">
        <f t="shared" si="66"/>
        <v>13.831999999999999</v>
      </c>
      <c r="Z218" s="27"/>
      <c r="AA218" s="23"/>
      <c r="AB218" s="23"/>
      <c r="AC218" s="63">
        <v>3.4</v>
      </c>
      <c r="AD218" s="63">
        <v>0.01</v>
      </c>
      <c r="AE218" s="91" t="s">
        <v>75</v>
      </c>
      <c r="AF218" s="55" t="s">
        <v>1106</v>
      </c>
      <c r="AG218" s="14" t="s">
        <v>1774</v>
      </c>
      <c r="AH218" s="14" t="s">
        <v>1275</v>
      </c>
    </row>
    <row r="219" spans="1:34" s="1" customFormat="1">
      <c r="A219" s="25" t="s">
        <v>2080</v>
      </c>
      <c r="B219" s="64" t="s">
        <v>2081</v>
      </c>
      <c r="C219" s="65">
        <v>1</v>
      </c>
      <c r="D219" s="35" t="s">
        <v>2069</v>
      </c>
      <c r="E219" s="29" t="s">
        <v>2080</v>
      </c>
      <c r="F219" s="35">
        <v>52.14</v>
      </c>
      <c r="G219" s="22">
        <f t="shared" si="67"/>
        <v>0.2</v>
      </c>
      <c r="H219" s="35">
        <f t="shared" si="64"/>
        <v>41.712000000000003</v>
      </c>
      <c r="I219" s="27"/>
      <c r="J219" s="23"/>
      <c r="K219" s="23"/>
      <c r="L219" s="63">
        <v>4</v>
      </c>
      <c r="M219" s="63">
        <v>0.01</v>
      </c>
      <c r="N219" s="91" t="s">
        <v>75</v>
      </c>
      <c r="O219" s="55" t="s">
        <v>1106</v>
      </c>
      <c r="P219" s="56" t="s">
        <v>504</v>
      </c>
      <c r="Q219" s="56" t="s">
        <v>1273</v>
      </c>
      <c r="R219" s="25" t="s">
        <v>2080</v>
      </c>
      <c r="S219" s="64" t="s">
        <v>2081</v>
      </c>
      <c r="T219" s="65">
        <v>1</v>
      </c>
      <c r="U219" s="35" t="s">
        <v>2069</v>
      </c>
      <c r="V219" s="29" t="s">
        <v>2080</v>
      </c>
      <c r="W219" s="35">
        <v>52.14</v>
      </c>
      <c r="X219" s="22">
        <f t="shared" si="68"/>
        <v>0.2</v>
      </c>
      <c r="Y219" s="35">
        <f t="shared" si="66"/>
        <v>41.712000000000003</v>
      </c>
      <c r="Z219" s="27"/>
      <c r="AA219" s="23"/>
      <c r="AB219" s="23"/>
      <c r="AC219" s="63">
        <v>4</v>
      </c>
      <c r="AD219" s="63">
        <v>0.01</v>
      </c>
      <c r="AE219" s="91" t="s">
        <v>75</v>
      </c>
      <c r="AF219" s="55" t="s">
        <v>1106</v>
      </c>
      <c r="AG219" s="14" t="s">
        <v>1778</v>
      </c>
      <c r="AH219" s="14" t="s">
        <v>1275</v>
      </c>
    </row>
    <row r="220" spans="1:34" s="1" customFormat="1">
      <c r="A220" s="25">
        <v>49062</v>
      </c>
      <c r="B220" s="64" t="s">
        <v>2082</v>
      </c>
      <c r="C220" s="65">
        <v>1</v>
      </c>
      <c r="D220" s="35" t="s">
        <v>2083</v>
      </c>
      <c r="E220" s="29">
        <v>49062</v>
      </c>
      <c r="F220" s="35">
        <v>5.07</v>
      </c>
      <c r="G220" s="22">
        <f t="shared" si="67"/>
        <v>0.2</v>
      </c>
      <c r="H220" s="35">
        <f t="shared" si="64"/>
        <v>4.056</v>
      </c>
      <c r="I220" s="27"/>
      <c r="J220" s="23"/>
      <c r="K220" s="23"/>
      <c r="L220" s="63">
        <v>1</v>
      </c>
      <c r="M220" s="63">
        <v>0.01</v>
      </c>
      <c r="N220" s="91" t="s">
        <v>75</v>
      </c>
      <c r="O220" s="55" t="s">
        <v>1106</v>
      </c>
      <c r="P220" s="56" t="s">
        <v>504</v>
      </c>
      <c r="Q220" s="56" t="s">
        <v>1273</v>
      </c>
      <c r="R220" s="25">
        <v>49062</v>
      </c>
      <c r="S220" s="64" t="s">
        <v>2082</v>
      </c>
      <c r="T220" s="65">
        <v>1</v>
      </c>
      <c r="U220" s="35" t="s">
        <v>2083</v>
      </c>
      <c r="V220" s="29">
        <v>49062</v>
      </c>
      <c r="W220" s="35">
        <v>5.07</v>
      </c>
      <c r="X220" s="22">
        <f t="shared" si="68"/>
        <v>0.2</v>
      </c>
      <c r="Y220" s="35">
        <f t="shared" si="66"/>
        <v>4.056</v>
      </c>
      <c r="Z220" s="27"/>
      <c r="AA220" s="23"/>
      <c r="AB220" s="23"/>
      <c r="AC220" s="63">
        <v>1</v>
      </c>
      <c r="AD220" s="63">
        <v>0.01</v>
      </c>
      <c r="AE220" s="91" t="s">
        <v>75</v>
      </c>
      <c r="AF220" s="55" t="s">
        <v>1106</v>
      </c>
      <c r="AG220" s="14" t="s">
        <v>2084</v>
      </c>
      <c r="AH220" s="14" t="s">
        <v>1275</v>
      </c>
    </row>
    <row r="221" spans="1:34" s="1" customFormat="1">
      <c r="A221" s="25">
        <v>49063</v>
      </c>
      <c r="B221" s="64" t="s">
        <v>2085</v>
      </c>
      <c r="C221" s="65">
        <v>1</v>
      </c>
      <c r="D221" s="35" t="s">
        <v>2083</v>
      </c>
      <c r="E221" s="29">
        <v>49063</v>
      </c>
      <c r="F221" s="35">
        <v>5.32</v>
      </c>
      <c r="G221" s="22">
        <f t="shared" si="67"/>
        <v>0.2</v>
      </c>
      <c r="H221" s="35">
        <f t="shared" si="64"/>
        <v>4.2560000000000002</v>
      </c>
      <c r="I221" s="27"/>
      <c r="J221" s="23"/>
      <c r="K221" s="23"/>
      <c r="L221" s="63">
        <v>1.5</v>
      </c>
      <c r="M221" s="63">
        <v>0.01</v>
      </c>
      <c r="N221" s="91" t="s">
        <v>75</v>
      </c>
      <c r="O221" s="55" t="s">
        <v>1106</v>
      </c>
      <c r="P221" s="56" t="s">
        <v>504</v>
      </c>
      <c r="Q221" s="56" t="s">
        <v>1273</v>
      </c>
      <c r="R221" s="25">
        <v>49063</v>
      </c>
      <c r="S221" s="64" t="s">
        <v>2085</v>
      </c>
      <c r="T221" s="65">
        <v>1</v>
      </c>
      <c r="U221" s="35" t="s">
        <v>2083</v>
      </c>
      <c r="V221" s="29">
        <v>49063</v>
      </c>
      <c r="W221" s="35">
        <v>5.32</v>
      </c>
      <c r="X221" s="22">
        <f t="shared" si="68"/>
        <v>0.2</v>
      </c>
      <c r="Y221" s="35">
        <f t="shared" si="66"/>
        <v>4.2560000000000002</v>
      </c>
      <c r="Z221" s="27"/>
      <c r="AA221" s="23"/>
      <c r="AB221" s="23"/>
      <c r="AC221" s="23"/>
      <c r="AD221" s="63">
        <v>1.5</v>
      </c>
      <c r="AE221" s="91" t="s">
        <v>75</v>
      </c>
      <c r="AF221" s="55" t="s">
        <v>1106</v>
      </c>
      <c r="AG221" s="14" t="s">
        <v>2086</v>
      </c>
      <c r="AH221" s="14" t="s">
        <v>1275</v>
      </c>
    </row>
    <row r="222" spans="1:34" s="1" customFormat="1">
      <c r="A222" s="25" t="s">
        <v>2087</v>
      </c>
      <c r="B222" s="64" t="s">
        <v>2088</v>
      </c>
      <c r="C222" s="65">
        <v>1</v>
      </c>
      <c r="D222" s="62" t="s">
        <v>2089</v>
      </c>
      <c r="E222" s="142" t="s">
        <v>2087</v>
      </c>
      <c r="F222" s="35">
        <v>39.99</v>
      </c>
      <c r="G222" s="22">
        <f t="shared" si="67"/>
        <v>0.2</v>
      </c>
      <c r="H222" s="35">
        <f t="shared" ref="H222" si="69">F222-(F222*G222)</f>
        <v>31.992000000000001</v>
      </c>
      <c r="I222" s="27"/>
      <c r="J222" s="23"/>
      <c r="K222" s="23"/>
      <c r="L222" s="23"/>
      <c r="M222" s="63">
        <v>0.1</v>
      </c>
      <c r="N222" s="91" t="s">
        <v>75</v>
      </c>
      <c r="O222" s="55" t="s">
        <v>1106</v>
      </c>
      <c r="P222" s="56" t="s">
        <v>504</v>
      </c>
      <c r="Q222" s="56" t="s">
        <v>1273</v>
      </c>
      <c r="R222" s="25" t="s">
        <v>2087</v>
      </c>
      <c r="S222" s="64" t="s">
        <v>2088</v>
      </c>
      <c r="T222" s="65">
        <v>1</v>
      </c>
      <c r="U222" s="62" t="s">
        <v>2089</v>
      </c>
      <c r="V222" s="142" t="s">
        <v>2087</v>
      </c>
      <c r="W222" s="35">
        <v>39.99</v>
      </c>
      <c r="X222" s="22">
        <f t="shared" si="68"/>
        <v>0.2</v>
      </c>
      <c r="Y222" s="35">
        <f t="shared" si="66"/>
        <v>31.992000000000001</v>
      </c>
      <c r="Z222" s="429"/>
      <c r="AA222" s="430"/>
      <c r="AB222" s="430"/>
      <c r="AC222" s="430"/>
      <c r="AD222" s="63">
        <v>0.1</v>
      </c>
      <c r="AE222" s="91" t="s">
        <v>75</v>
      </c>
      <c r="AF222" s="55"/>
      <c r="AG222" s="14"/>
      <c r="AH222" s="14"/>
    </row>
    <row r="223" spans="1:34" s="1" customFormat="1">
      <c r="A223" s="25" t="s">
        <v>2090</v>
      </c>
      <c r="B223" s="64" t="s">
        <v>2091</v>
      </c>
      <c r="C223" s="65">
        <v>1</v>
      </c>
      <c r="D223" s="35" t="s">
        <v>2089</v>
      </c>
      <c r="E223" s="29" t="s">
        <v>2090</v>
      </c>
      <c r="F223" s="35">
        <v>8.93</v>
      </c>
      <c r="G223" s="22">
        <f t="shared" ref="G223:G234" si="70">rv_20</f>
        <v>0.2</v>
      </c>
      <c r="H223" s="35">
        <f t="shared" si="64"/>
        <v>7.1440000000000001</v>
      </c>
      <c r="I223" s="27"/>
      <c r="J223" s="23"/>
      <c r="K223" s="23"/>
      <c r="L223" s="23"/>
      <c r="M223" s="63">
        <v>0.02</v>
      </c>
      <c r="N223" s="91" t="s">
        <v>75</v>
      </c>
      <c r="O223" s="55" t="s">
        <v>1106</v>
      </c>
      <c r="P223" s="56" t="s">
        <v>504</v>
      </c>
      <c r="Q223" s="56" t="s">
        <v>1273</v>
      </c>
      <c r="R223" s="25" t="s">
        <v>2090</v>
      </c>
      <c r="S223" s="64" t="s">
        <v>2091</v>
      </c>
      <c r="T223" s="65">
        <v>1</v>
      </c>
      <c r="U223" s="35" t="s">
        <v>2089</v>
      </c>
      <c r="V223" s="29" t="s">
        <v>2090</v>
      </c>
      <c r="W223" s="35">
        <v>8.93</v>
      </c>
      <c r="X223" s="22">
        <f t="shared" si="68"/>
        <v>0.2</v>
      </c>
      <c r="Y223" s="35">
        <f t="shared" si="66"/>
        <v>7.1440000000000001</v>
      </c>
      <c r="Z223" s="27"/>
      <c r="AA223" s="23"/>
      <c r="AB223" s="23"/>
      <c r="AC223" s="23"/>
      <c r="AD223" s="63">
        <v>0.02</v>
      </c>
      <c r="AE223" s="91" t="s">
        <v>75</v>
      </c>
      <c r="AF223" s="55" t="s">
        <v>1106</v>
      </c>
      <c r="AG223" s="14" t="s">
        <v>1274</v>
      </c>
      <c r="AH223" s="14" t="s">
        <v>1275</v>
      </c>
    </row>
    <row r="224" spans="1:34" s="1" customFormat="1">
      <c r="A224" s="25" t="s">
        <v>2092</v>
      </c>
      <c r="B224" s="64" t="s">
        <v>2093</v>
      </c>
      <c r="C224" s="65">
        <v>1</v>
      </c>
      <c r="D224" s="35" t="s">
        <v>2094</v>
      </c>
      <c r="E224" s="29" t="s">
        <v>2092</v>
      </c>
      <c r="F224" s="35">
        <v>50.04</v>
      </c>
      <c r="G224" s="22">
        <f t="shared" si="70"/>
        <v>0.2</v>
      </c>
      <c r="H224" s="35">
        <f t="shared" si="64"/>
        <v>40.031999999999996</v>
      </c>
      <c r="I224" s="27"/>
      <c r="J224" s="23"/>
      <c r="K224" s="23"/>
      <c r="L224" s="23"/>
      <c r="M224" s="63">
        <v>0</v>
      </c>
      <c r="N224" s="91" t="s">
        <v>75</v>
      </c>
      <c r="O224" s="55" t="s">
        <v>1106</v>
      </c>
      <c r="P224" s="56" t="s">
        <v>504</v>
      </c>
      <c r="Q224" s="56" t="s">
        <v>1273</v>
      </c>
      <c r="R224" s="25" t="s">
        <v>2092</v>
      </c>
      <c r="S224" s="64" t="s">
        <v>2093</v>
      </c>
      <c r="T224" s="65">
        <v>1</v>
      </c>
      <c r="U224" s="35" t="s">
        <v>2094</v>
      </c>
      <c r="V224" s="29" t="s">
        <v>2092</v>
      </c>
      <c r="W224" s="35">
        <v>50.04</v>
      </c>
      <c r="X224" s="22">
        <f t="shared" si="68"/>
        <v>0.2</v>
      </c>
      <c r="Y224" s="35">
        <f t="shared" si="66"/>
        <v>40.031999999999996</v>
      </c>
      <c r="Z224" s="27"/>
      <c r="AA224" s="23"/>
      <c r="AB224" s="23"/>
      <c r="AC224" s="23"/>
      <c r="AD224" s="63">
        <v>0</v>
      </c>
      <c r="AE224" s="91" t="s">
        <v>75</v>
      </c>
      <c r="AF224" s="55" t="s">
        <v>1106</v>
      </c>
      <c r="AG224" s="14" t="s">
        <v>1274</v>
      </c>
      <c r="AH224" s="14" t="s">
        <v>1275</v>
      </c>
    </row>
    <row r="225" spans="1:34" s="1" customFormat="1">
      <c r="A225" s="25" t="s">
        <v>2095</v>
      </c>
      <c r="B225" s="64" t="s">
        <v>2096</v>
      </c>
      <c r="C225" s="65">
        <v>1</v>
      </c>
      <c r="D225" s="35" t="s">
        <v>2094</v>
      </c>
      <c r="E225" s="29" t="s">
        <v>2095</v>
      </c>
      <c r="F225" s="35">
        <v>60.13</v>
      </c>
      <c r="G225" s="22">
        <f t="shared" si="70"/>
        <v>0.2</v>
      </c>
      <c r="H225" s="35">
        <f t="shared" si="64"/>
        <v>48.103999999999999</v>
      </c>
      <c r="I225" s="27"/>
      <c r="J225" s="23"/>
      <c r="K225" s="23"/>
      <c r="L225" s="23"/>
      <c r="M225" s="63">
        <v>0</v>
      </c>
      <c r="N225" s="91" t="s">
        <v>75</v>
      </c>
      <c r="O225" s="55" t="s">
        <v>1106</v>
      </c>
      <c r="P225" s="56" t="s">
        <v>504</v>
      </c>
      <c r="Q225" s="56" t="s">
        <v>1273</v>
      </c>
      <c r="R225" s="25" t="s">
        <v>2095</v>
      </c>
      <c r="S225" s="64" t="s">
        <v>2096</v>
      </c>
      <c r="T225" s="65">
        <v>1</v>
      </c>
      <c r="U225" s="35" t="s">
        <v>2094</v>
      </c>
      <c r="V225" s="29" t="s">
        <v>2095</v>
      </c>
      <c r="W225" s="35">
        <v>60.13</v>
      </c>
      <c r="X225" s="22">
        <f t="shared" si="68"/>
        <v>0.2</v>
      </c>
      <c r="Y225" s="35">
        <f t="shared" si="66"/>
        <v>48.103999999999999</v>
      </c>
      <c r="Z225" s="27"/>
      <c r="AA225" s="23"/>
      <c r="AB225" s="23"/>
      <c r="AC225" s="23"/>
      <c r="AD225" s="63">
        <v>0</v>
      </c>
      <c r="AE225" s="91" t="s">
        <v>75</v>
      </c>
      <c r="AF225" s="55" t="s">
        <v>1106</v>
      </c>
      <c r="AG225" s="14" t="s">
        <v>1274</v>
      </c>
      <c r="AH225" s="14" t="s">
        <v>1275</v>
      </c>
    </row>
    <row r="226" spans="1:34" s="1" customFormat="1">
      <c r="A226" s="25" t="s">
        <v>2097</v>
      </c>
      <c r="B226" s="64" t="s">
        <v>2098</v>
      </c>
      <c r="C226" s="65">
        <v>1</v>
      </c>
      <c r="D226" s="35" t="s">
        <v>2094</v>
      </c>
      <c r="E226" s="29" t="s">
        <v>2097</v>
      </c>
      <c r="F226" s="35">
        <v>127.93</v>
      </c>
      <c r="G226" s="22">
        <f t="shared" si="70"/>
        <v>0.2</v>
      </c>
      <c r="H226" s="35">
        <f t="shared" si="64"/>
        <v>102.34400000000001</v>
      </c>
      <c r="I226" s="27"/>
      <c r="J226" s="23"/>
      <c r="K226" s="23"/>
      <c r="L226" s="23"/>
      <c r="M226" s="63">
        <v>0</v>
      </c>
      <c r="N226" s="91" t="s">
        <v>75</v>
      </c>
      <c r="O226" s="55" t="s">
        <v>1106</v>
      </c>
      <c r="P226" s="56" t="s">
        <v>504</v>
      </c>
      <c r="Q226" s="56" t="s">
        <v>1273</v>
      </c>
      <c r="R226" s="25" t="s">
        <v>2097</v>
      </c>
      <c r="S226" s="64" t="s">
        <v>2098</v>
      </c>
      <c r="T226" s="65">
        <v>1</v>
      </c>
      <c r="U226" s="35" t="s">
        <v>2094</v>
      </c>
      <c r="V226" s="29" t="s">
        <v>2097</v>
      </c>
      <c r="W226" s="35">
        <v>127.93</v>
      </c>
      <c r="X226" s="22">
        <f t="shared" si="68"/>
        <v>0.2</v>
      </c>
      <c r="Y226" s="35">
        <f t="shared" si="66"/>
        <v>102.34400000000001</v>
      </c>
      <c r="Z226" s="27"/>
      <c r="AA226" s="23"/>
      <c r="AB226" s="23"/>
      <c r="AC226" s="23"/>
      <c r="AD226" s="63">
        <v>0</v>
      </c>
      <c r="AE226" s="91" t="s">
        <v>75</v>
      </c>
      <c r="AF226" s="55" t="s">
        <v>1106</v>
      </c>
      <c r="AG226" s="14" t="s">
        <v>1274</v>
      </c>
      <c r="AH226" s="14" t="s">
        <v>1275</v>
      </c>
    </row>
    <row r="227" spans="1:34" s="1" customFormat="1">
      <c r="A227" s="25" t="s">
        <v>2099</v>
      </c>
      <c r="B227" s="64" t="s">
        <v>2100</v>
      </c>
      <c r="C227" s="65">
        <v>1</v>
      </c>
      <c r="D227" s="35" t="s">
        <v>2094</v>
      </c>
      <c r="E227" s="29" t="s">
        <v>2099</v>
      </c>
      <c r="F227" s="35">
        <v>149.29</v>
      </c>
      <c r="G227" s="22">
        <f t="shared" si="70"/>
        <v>0.2</v>
      </c>
      <c r="H227" s="35">
        <f t="shared" si="64"/>
        <v>119.43199999999999</v>
      </c>
      <c r="I227" s="27"/>
      <c r="J227" s="23"/>
      <c r="K227" s="23"/>
      <c r="L227" s="23"/>
      <c r="M227" s="63">
        <v>0</v>
      </c>
      <c r="N227" s="91" t="s">
        <v>75</v>
      </c>
      <c r="O227" s="55" t="s">
        <v>1106</v>
      </c>
      <c r="P227" s="56" t="s">
        <v>504</v>
      </c>
      <c r="Q227" s="56" t="s">
        <v>1273</v>
      </c>
      <c r="R227" s="25" t="s">
        <v>2099</v>
      </c>
      <c r="S227" s="64" t="s">
        <v>2100</v>
      </c>
      <c r="T227" s="65">
        <v>1</v>
      </c>
      <c r="U227" s="35" t="s">
        <v>2094</v>
      </c>
      <c r="V227" s="29" t="s">
        <v>2099</v>
      </c>
      <c r="W227" s="35">
        <v>149.29</v>
      </c>
      <c r="X227" s="22">
        <f t="shared" si="68"/>
        <v>0.2</v>
      </c>
      <c r="Y227" s="35">
        <f t="shared" si="66"/>
        <v>119.43199999999999</v>
      </c>
      <c r="Z227" s="27"/>
      <c r="AA227" s="23"/>
      <c r="AB227" s="23"/>
      <c r="AC227" s="23"/>
      <c r="AD227" s="63">
        <v>0</v>
      </c>
      <c r="AE227" s="91" t="s">
        <v>75</v>
      </c>
      <c r="AF227" s="55" t="s">
        <v>1106</v>
      </c>
      <c r="AG227" s="14" t="s">
        <v>1274</v>
      </c>
      <c r="AH227" s="14" t="s">
        <v>1275</v>
      </c>
    </row>
    <row r="228" spans="1:34" s="1" customFormat="1">
      <c r="A228" s="25" t="s">
        <v>2101</v>
      </c>
      <c r="B228" s="64" t="s">
        <v>2102</v>
      </c>
      <c r="C228" s="65">
        <v>1</v>
      </c>
      <c r="D228" s="35" t="s">
        <v>2094</v>
      </c>
      <c r="E228" s="29" t="s">
        <v>2101</v>
      </c>
      <c r="F228" s="35">
        <v>65.13</v>
      </c>
      <c r="G228" s="22">
        <f t="shared" si="70"/>
        <v>0.2</v>
      </c>
      <c r="H228" s="35">
        <f t="shared" si="64"/>
        <v>52.103999999999999</v>
      </c>
      <c r="I228" s="27"/>
      <c r="J228" s="23"/>
      <c r="K228" s="23"/>
      <c r="L228" s="23"/>
      <c r="M228" s="63">
        <v>0</v>
      </c>
      <c r="N228" s="91" t="s">
        <v>75</v>
      </c>
      <c r="O228" s="55" t="s">
        <v>1106</v>
      </c>
      <c r="P228" s="56" t="s">
        <v>504</v>
      </c>
      <c r="Q228" s="56" t="s">
        <v>1273</v>
      </c>
      <c r="R228" s="25" t="s">
        <v>2101</v>
      </c>
      <c r="S228" s="64" t="s">
        <v>2102</v>
      </c>
      <c r="T228" s="65">
        <v>1</v>
      </c>
      <c r="U228" s="35" t="s">
        <v>2094</v>
      </c>
      <c r="V228" s="29" t="s">
        <v>2101</v>
      </c>
      <c r="W228" s="35">
        <v>65.13</v>
      </c>
      <c r="X228" s="22">
        <f t="shared" si="68"/>
        <v>0.2</v>
      </c>
      <c r="Y228" s="35">
        <f t="shared" si="66"/>
        <v>52.103999999999999</v>
      </c>
      <c r="Z228" s="27"/>
      <c r="AA228" s="23"/>
      <c r="AB228" s="23"/>
      <c r="AC228" s="23"/>
      <c r="AD228" s="63">
        <v>0</v>
      </c>
      <c r="AE228" s="91" t="s">
        <v>75</v>
      </c>
      <c r="AF228" s="55" t="s">
        <v>1106</v>
      </c>
      <c r="AG228" s="14" t="s">
        <v>1274</v>
      </c>
      <c r="AH228" s="14" t="s">
        <v>1275</v>
      </c>
    </row>
    <row r="229" spans="1:34" s="1" customFormat="1">
      <c r="A229" s="25" t="s">
        <v>2103</v>
      </c>
      <c r="B229" s="64" t="s">
        <v>2104</v>
      </c>
      <c r="C229" s="65">
        <v>1</v>
      </c>
      <c r="D229" s="35" t="s">
        <v>2094</v>
      </c>
      <c r="E229" s="29" t="s">
        <v>2103</v>
      </c>
      <c r="F229" s="35">
        <v>67.23</v>
      </c>
      <c r="G229" s="22">
        <f t="shared" si="70"/>
        <v>0.2</v>
      </c>
      <c r="H229" s="35">
        <f t="shared" si="64"/>
        <v>53.784000000000006</v>
      </c>
      <c r="I229" s="27"/>
      <c r="J229" s="23"/>
      <c r="K229" s="23"/>
      <c r="L229" s="23"/>
      <c r="M229" s="63">
        <v>0</v>
      </c>
      <c r="N229" s="91" t="s">
        <v>75</v>
      </c>
      <c r="O229" s="55" t="s">
        <v>1106</v>
      </c>
      <c r="P229" s="56" t="s">
        <v>504</v>
      </c>
      <c r="Q229" s="56" t="s">
        <v>1273</v>
      </c>
      <c r="R229" s="25" t="s">
        <v>2103</v>
      </c>
      <c r="S229" s="64" t="s">
        <v>2104</v>
      </c>
      <c r="T229" s="65">
        <v>1</v>
      </c>
      <c r="U229" s="35" t="s">
        <v>2094</v>
      </c>
      <c r="V229" s="29" t="s">
        <v>2103</v>
      </c>
      <c r="W229" s="35">
        <v>67.23</v>
      </c>
      <c r="X229" s="22">
        <f t="shared" si="68"/>
        <v>0.2</v>
      </c>
      <c r="Y229" s="35">
        <f t="shared" si="66"/>
        <v>53.784000000000006</v>
      </c>
      <c r="Z229" s="27"/>
      <c r="AA229" s="23"/>
      <c r="AB229" s="23"/>
      <c r="AC229" s="23"/>
      <c r="AD229" s="63">
        <v>0</v>
      </c>
      <c r="AE229" s="91" t="s">
        <v>75</v>
      </c>
      <c r="AF229" s="55" t="s">
        <v>1106</v>
      </c>
      <c r="AG229" s="14" t="s">
        <v>1274</v>
      </c>
      <c r="AH229" s="14" t="s">
        <v>1275</v>
      </c>
    </row>
    <row r="230" spans="1:34" s="1" customFormat="1">
      <c r="A230" s="25" t="s">
        <v>2105</v>
      </c>
      <c r="B230" s="64" t="s">
        <v>2106</v>
      </c>
      <c r="C230" s="65">
        <v>1</v>
      </c>
      <c r="D230" s="35" t="s">
        <v>2094</v>
      </c>
      <c r="E230" s="29" t="s">
        <v>2105</v>
      </c>
      <c r="F230" s="35">
        <v>88.23</v>
      </c>
      <c r="G230" s="22">
        <f t="shared" si="70"/>
        <v>0.2</v>
      </c>
      <c r="H230" s="35">
        <f t="shared" si="64"/>
        <v>70.584000000000003</v>
      </c>
      <c r="I230" s="27"/>
      <c r="J230" s="23"/>
      <c r="K230" s="23"/>
      <c r="L230" s="23"/>
      <c r="M230" s="63">
        <v>0</v>
      </c>
      <c r="N230" s="91" t="s">
        <v>75</v>
      </c>
      <c r="O230" s="55" t="s">
        <v>1106</v>
      </c>
      <c r="P230" s="56" t="s">
        <v>504</v>
      </c>
      <c r="Q230" s="56" t="s">
        <v>1273</v>
      </c>
      <c r="R230" s="25" t="s">
        <v>2105</v>
      </c>
      <c r="S230" s="64" t="s">
        <v>2106</v>
      </c>
      <c r="T230" s="65">
        <v>1</v>
      </c>
      <c r="U230" s="35" t="s">
        <v>2094</v>
      </c>
      <c r="V230" s="29" t="s">
        <v>2105</v>
      </c>
      <c r="W230" s="35">
        <v>88.23</v>
      </c>
      <c r="X230" s="22">
        <f t="shared" si="68"/>
        <v>0.2</v>
      </c>
      <c r="Y230" s="35">
        <f t="shared" si="66"/>
        <v>70.584000000000003</v>
      </c>
      <c r="Z230" s="27"/>
      <c r="AA230" s="23"/>
      <c r="AB230" s="23"/>
      <c r="AC230" s="23"/>
      <c r="AD230" s="63">
        <v>0</v>
      </c>
      <c r="AE230" s="91" t="s">
        <v>75</v>
      </c>
      <c r="AF230" s="55" t="s">
        <v>1106</v>
      </c>
      <c r="AG230" s="14" t="s">
        <v>1274</v>
      </c>
      <c r="AH230" s="14" t="s">
        <v>1275</v>
      </c>
    </row>
    <row r="231" spans="1:34" s="1" customFormat="1">
      <c r="A231" s="25" t="s">
        <v>2107</v>
      </c>
      <c r="B231" s="64" t="s">
        <v>2108</v>
      </c>
      <c r="C231" s="65">
        <v>1</v>
      </c>
      <c r="D231" s="35" t="s">
        <v>2094</v>
      </c>
      <c r="E231" s="29" t="s">
        <v>2107</v>
      </c>
      <c r="F231" s="35">
        <v>100.84</v>
      </c>
      <c r="G231" s="22">
        <f t="shared" si="70"/>
        <v>0.2</v>
      </c>
      <c r="H231" s="35">
        <f t="shared" si="64"/>
        <v>80.671999999999997</v>
      </c>
      <c r="I231" s="27"/>
      <c r="J231" s="23"/>
      <c r="K231" s="23"/>
      <c r="L231" s="23"/>
      <c r="M231" s="63">
        <v>0</v>
      </c>
      <c r="N231" s="91" t="s">
        <v>75</v>
      </c>
      <c r="O231" s="55" t="s">
        <v>1106</v>
      </c>
      <c r="P231" s="56" t="s">
        <v>504</v>
      </c>
      <c r="Q231" s="56" t="s">
        <v>1273</v>
      </c>
      <c r="R231" s="25" t="s">
        <v>2107</v>
      </c>
      <c r="S231" s="64" t="s">
        <v>2108</v>
      </c>
      <c r="T231" s="65">
        <v>1</v>
      </c>
      <c r="U231" s="35" t="s">
        <v>2094</v>
      </c>
      <c r="V231" s="29" t="s">
        <v>2107</v>
      </c>
      <c r="W231" s="35">
        <v>100.84</v>
      </c>
      <c r="X231" s="22">
        <f t="shared" si="68"/>
        <v>0.2</v>
      </c>
      <c r="Y231" s="35">
        <f t="shared" si="66"/>
        <v>80.671999999999997</v>
      </c>
      <c r="Z231" s="27"/>
      <c r="AA231" s="23"/>
      <c r="AB231" s="23"/>
      <c r="AC231" s="23"/>
      <c r="AD231" s="63">
        <v>0</v>
      </c>
      <c r="AE231" s="91" t="s">
        <v>75</v>
      </c>
      <c r="AF231" s="55" t="s">
        <v>1106</v>
      </c>
      <c r="AG231" s="14" t="s">
        <v>1274</v>
      </c>
      <c r="AH231" s="14" t="s">
        <v>1275</v>
      </c>
    </row>
    <row r="232" spans="1:34" s="1" customFormat="1">
      <c r="A232" s="25">
        <v>508317</v>
      </c>
      <c r="B232" s="64" t="s">
        <v>2109</v>
      </c>
      <c r="C232" s="65">
        <v>1</v>
      </c>
      <c r="D232" s="35" t="s">
        <v>2110</v>
      </c>
      <c r="E232" s="29">
        <v>508317</v>
      </c>
      <c r="F232" s="35">
        <v>75.2</v>
      </c>
      <c r="G232" s="22">
        <f t="shared" si="70"/>
        <v>0.2</v>
      </c>
      <c r="H232" s="35">
        <f t="shared" si="64"/>
        <v>60.160000000000004</v>
      </c>
      <c r="I232" s="27"/>
      <c r="J232" s="23"/>
      <c r="K232" s="23"/>
      <c r="L232" s="23"/>
      <c r="M232" s="63">
        <v>0</v>
      </c>
      <c r="N232" s="91" t="s">
        <v>75</v>
      </c>
      <c r="O232" s="55" t="s">
        <v>1106</v>
      </c>
      <c r="P232" s="56" t="s">
        <v>504</v>
      </c>
      <c r="Q232" s="56" t="s">
        <v>1273</v>
      </c>
      <c r="R232" s="25">
        <v>508317</v>
      </c>
      <c r="S232" s="64" t="s">
        <v>2109</v>
      </c>
      <c r="T232" s="65">
        <v>1</v>
      </c>
      <c r="U232" s="35" t="s">
        <v>2110</v>
      </c>
      <c r="V232" s="29">
        <v>508317</v>
      </c>
      <c r="W232" s="35">
        <v>75.2</v>
      </c>
      <c r="X232" s="22">
        <f t="shared" si="68"/>
        <v>0.2</v>
      </c>
      <c r="Y232" s="35">
        <f t="shared" si="66"/>
        <v>60.160000000000004</v>
      </c>
      <c r="Z232" s="27"/>
      <c r="AA232" s="23"/>
      <c r="AB232" s="23"/>
      <c r="AC232" s="23"/>
      <c r="AD232" s="63">
        <v>0</v>
      </c>
      <c r="AE232" s="91" t="s">
        <v>75</v>
      </c>
      <c r="AF232" s="55" t="s">
        <v>1106</v>
      </c>
      <c r="AG232" s="14" t="s">
        <v>1274</v>
      </c>
      <c r="AH232" s="14" t="s">
        <v>1275</v>
      </c>
    </row>
    <row r="233" spans="1:34" s="1" customFormat="1">
      <c r="A233" s="25">
        <v>1000645</v>
      </c>
      <c r="B233" s="64" t="s">
        <v>2111</v>
      </c>
      <c r="C233" s="65">
        <v>1</v>
      </c>
      <c r="D233" s="35" t="s">
        <v>2110</v>
      </c>
      <c r="E233" s="29">
        <v>1000645</v>
      </c>
      <c r="F233" s="35">
        <v>212.54</v>
      </c>
      <c r="G233" s="22">
        <f t="shared" si="70"/>
        <v>0.2</v>
      </c>
      <c r="H233" s="35">
        <f t="shared" si="64"/>
        <v>170.03199999999998</v>
      </c>
      <c r="I233" s="27"/>
      <c r="J233" s="23"/>
      <c r="K233" s="23"/>
      <c r="L233" s="23"/>
      <c r="M233" s="63">
        <v>0</v>
      </c>
      <c r="N233" s="91" t="s">
        <v>75</v>
      </c>
      <c r="O233" s="55" t="s">
        <v>1106</v>
      </c>
      <c r="P233" s="56" t="s">
        <v>504</v>
      </c>
      <c r="Q233" s="56" t="s">
        <v>1273</v>
      </c>
      <c r="R233" s="25">
        <v>1000645</v>
      </c>
      <c r="S233" s="64" t="s">
        <v>2111</v>
      </c>
      <c r="T233" s="65">
        <v>1</v>
      </c>
      <c r="U233" s="35" t="s">
        <v>2110</v>
      </c>
      <c r="V233" s="29">
        <v>1000645</v>
      </c>
      <c r="W233" s="35">
        <v>212.54</v>
      </c>
      <c r="X233" s="22">
        <f t="shared" si="68"/>
        <v>0.2</v>
      </c>
      <c r="Y233" s="35">
        <f t="shared" si="66"/>
        <v>170.03199999999998</v>
      </c>
      <c r="Z233" s="27"/>
      <c r="AA233" s="23"/>
      <c r="AB233" s="23"/>
      <c r="AC233" s="23"/>
      <c r="AD233" s="63">
        <v>0</v>
      </c>
      <c r="AE233" s="91" t="s">
        <v>75</v>
      </c>
      <c r="AF233" s="55" t="s">
        <v>1106</v>
      </c>
      <c r="AG233" s="14" t="s">
        <v>1274</v>
      </c>
      <c r="AH233" s="14" t="s">
        <v>1275</v>
      </c>
    </row>
    <row r="234" spans="1:34" s="1" customFormat="1">
      <c r="A234" s="25">
        <v>1000567</v>
      </c>
      <c r="B234" s="64" t="s">
        <v>2112</v>
      </c>
      <c r="C234" s="65">
        <v>1</v>
      </c>
      <c r="D234" s="35" t="s">
        <v>2110</v>
      </c>
      <c r="E234" s="29">
        <v>1000567</v>
      </c>
      <c r="F234" s="35">
        <v>213.39</v>
      </c>
      <c r="G234" s="22">
        <f t="shared" si="70"/>
        <v>0.2</v>
      </c>
      <c r="H234" s="35">
        <f t="shared" si="64"/>
        <v>170.71199999999999</v>
      </c>
      <c r="I234" s="27"/>
      <c r="J234" s="23"/>
      <c r="K234" s="23"/>
      <c r="L234" s="23"/>
      <c r="M234" s="63">
        <v>0</v>
      </c>
      <c r="N234" s="91" t="s">
        <v>75</v>
      </c>
      <c r="O234" s="55" t="s">
        <v>1106</v>
      </c>
      <c r="P234" s="56" t="s">
        <v>504</v>
      </c>
      <c r="Q234" s="56" t="s">
        <v>1273</v>
      </c>
      <c r="R234" s="25">
        <v>1000567</v>
      </c>
      <c r="S234" s="64" t="s">
        <v>2112</v>
      </c>
      <c r="T234" s="65">
        <v>1</v>
      </c>
      <c r="U234" s="35" t="s">
        <v>2110</v>
      </c>
      <c r="V234" s="29">
        <v>1000567</v>
      </c>
      <c r="W234" s="35">
        <v>213.39</v>
      </c>
      <c r="X234" s="22">
        <f t="shared" si="68"/>
        <v>0.2</v>
      </c>
      <c r="Y234" s="35">
        <f t="shared" si="66"/>
        <v>170.71199999999999</v>
      </c>
      <c r="Z234" s="27"/>
      <c r="AA234" s="23"/>
      <c r="AB234" s="23"/>
      <c r="AC234" s="23"/>
      <c r="AD234" s="63">
        <v>0</v>
      </c>
      <c r="AE234" s="91" t="s">
        <v>75</v>
      </c>
      <c r="AF234" s="55" t="s">
        <v>1106</v>
      </c>
      <c r="AG234" s="14" t="s">
        <v>1274</v>
      </c>
      <c r="AH234" s="14" t="s">
        <v>1275</v>
      </c>
    </row>
    <row r="235" spans="1:34" s="1" customFormat="1">
      <c r="A235" s="25" t="s">
        <v>2113</v>
      </c>
      <c r="B235" s="64" t="s">
        <v>2114</v>
      </c>
      <c r="C235" s="65">
        <v>1</v>
      </c>
      <c r="D235" s="35" t="s">
        <v>2115</v>
      </c>
      <c r="E235" s="29" t="s">
        <v>2113</v>
      </c>
      <c r="F235" s="35">
        <v>173.92</v>
      </c>
      <c r="G235" s="22">
        <f>rv_10</f>
        <v>0.1</v>
      </c>
      <c r="H235" s="35">
        <f t="shared" si="64"/>
        <v>156.52799999999999</v>
      </c>
      <c r="I235" s="27"/>
      <c r="J235" s="23"/>
      <c r="K235" s="23"/>
      <c r="L235" s="23"/>
      <c r="M235" s="63">
        <v>0</v>
      </c>
      <c r="N235" s="91" t="s">
        <v>75</v>
      </c>
      <c r="O235" s="55" t="s">
        <v>1106</v>
      </c>
      <c r="P235" s="56" t="s">
        <v>504</v>
      </c>
      <c r="Q235" s="56" t="s">
        <v>1273</v>
      </c>
      <c r="R235" s="25" t="s">
        <v>2113</v>
      </c>
      <c r="S235" s="64" t="s">
        <v>2114</v>
      </c>
      <c r="T235" s="65">
        <v>1</v>
      </c>
      <c r="U235" s="35" t="s">
        <v>2115</v>
      </c>
      <c r="V235" s="29" t="s">
        <v>2113</v>
      </c>
      <c r="W235" s="35">
        <v>173.92</v>
      </c>
      <c r="X235" s="22">
        <f>rv_10</f>
        <v>0.1</v>
      </c>
      <c r="Y235" s="35">
        <f t="shared" si="66"/>
        <v>156.52799999999999</v>
      </c>
      <c r="Z235" s="27"/>
      <c r="AA235" s="23"/>
      <c r="AB235" s="23"/>
      <c r="AC235" s="23"/>
      <c r="AD235" s="63">
        <v>0</v>
      </c>
      <c r="AE235" s="91" t="s">
        <v>75</v>
      </c>
      <c r="AF235" s="55" t="s">
        <v>1106</v>
      </c>
      <c r="AG235" s="14" t="s">
        <v>1274</v>
      </c>
      <c r="AH235" s="14" t="s">
        <v>1275</v>
      </c>
    </row>
    <row r="236" spans="1:34" s="1" customFormat="1">
      <c r="A236" s="25" t="s">
        <v>2116</v>
      </c>
      <c r="B236" s="64" t="s">
        <v>2117</v>
      </c>
      <c r="C236" s="65">
        <v>1</v>
      </c>
      <c r="D236" s="35" t="s">
        <v>2115</v>
      </c>
      <c r="E236" s="29" t="s">
        <v>2116</v>
      </c>
      <c r="F236" s="35">
        <v>356.11</v>
      </c>
      <c r="G236" s="22">
        <f>rv_10</f>
        <v>0.1</v>
      </c>
      <c r="H236" s="35">
        <f t="shared" si="64"/>
        <v>320.49900000000002</v>
      </c>
      <c r="I236" s="27"/>
      <c r="J236" s="23"/>
      <c r="K236" s="23"/>
      <c r="L236" s="23"/>
      <c r="M236" s="63">
        <v>0</v>
      </c>
      <c r="N236" s="91" t="s">
        <v>75</v>
      </c>
      <c r="O236" s="55" t="s">
        <v>1106</v>
      </c>
      <c r="P236" s="56" t="s">
        <v>504</v>
      </c>
      <c r="Q236" s="56" t="s">
        <v>1273</v>
      </c>
      <c r="R236" s="25" t="s">
        <v>2116</v>
      </c>
      <c r="S236" s="64" t="s">
        <v>2117</v>
      </c>
      <c r="T236" s="65">
        <v>1</v>
      </c>
      <c r="U236" s="35" t="s">
        <v>2115</v>
      </c>
      <c r="V236" s="29" t="s">
        <v>2116</v>
      </c>
      <c r="W236" s="35">
        <v>356.11</v>
      </c>
      <c r="X236" s="22">
        <f>rv_10</f>
        <v>0.1</v>
      </c>
      <c r="Y236" s="35">
        <f t="shared" si="66"/>
        <v>320.49900000000002</v>
      </c>
      <c r="Z236" s="27"/>
      <c r="AA236" s="23"/>
      <c r="AB236" s="23"/>
      <c r="AC236" s="23"/>
      <c r="AD236" s="63">
        <v>0</v>
      </c>
      <c r="AE236" s="91" t="s">
        <v>75</v>
      </c>
      <c r="AF236" s="55" t="s">
        <v>1106</v>
      </c>
      <c r="AG236" s="14" t="s">
        <v>1274</v>
      </c>
      <c r="AH236" s="14" t="s">
        <v>1275</v>
      </c>
    </row>
    <row r="237" spans="1:34" s="1" customFormat="1">
      <c r="A237" s="25" t="s">
        <v>2118</v>
      </c>
      <c r="B237" s="64" t="s">
        <v>2119</v>
      </c>
      <c r="C237" s="65">
        <v>1</v>
      </c>
      <c r="D237" s="35" t="s">
        <v>2115</v>
      </c>
      <c r="E237" s="29" t="s">
        <v>2118</v>
      </c>
      <c r="F237" s="35">
        <v>368.52</v>
      </c>
      <c r="G237" s="22">
        <f>rv_10</f>
        <v>0.1</v>
      </c>
      <c r="H237" s="35">
        <f t="shared" si="64"/>
        <v>331.66800000000001</v>
      </c>
      <c r="I237" s="27"/>
      <c r="J237" s="23"/>
      <c r="K237" s="23"/>
      <c r="L237" s="23"/>
      <c r="M237" s="63">
        <v>0</v>
      </c>
      <c r="N237" s="91" t="s">
        <v>75</v>
      </c>
      <c r="O237" s="55" t="s">
        <v>1106</v>
      </c>
      <c r="P237" s="56" t="s">
        <v>504</v>
      </c>
      <c r="Q237" s="56" t="s">
        <v>1273</v>
      </c>
      <c r="R237" s="25" t="s">
        <v>2118</v>
      </c>
      <c r="S237" s="64" t="s">
        <v>2119</v>
      </c>
      <c r="T237" s="65">
        <v>1</v>
      </c>
      <c r="U237" s="35" t="s">
        <v>2115</v>
      </c>
      <c r="V237" s="29" t="s">
        <v>2118</v>
      </c>
      <c r="W237" s="35">
        <v>368.52</v>
      </c>
      <c r="X237" s="22">
        <f>rv_10</f>
        <v>0.1</v>
      </c>
      <c r="Y237" s="35">
        <f t="shared" si="66"/>
        <v>331.66800000000001</v>
      </c>
      <c r="Z237" s="27"/>
      <c r="AA237" s="23"/>
      <c r="AB237" s="23"/>
      <c r="AC237" s="23"/>
      <c r="AD237" s="63">
        <v>0</v>
      </c>
      <c r="AE237" s="91" t="s">
        <v>75</v>
      </c>
      <c r="AF237" s="55" t="s">
        <v>1106</v>
      </c>
      <c r="AG237" s="14" t="s">
        <v>1274</v>
      </c>
      <c r="AH237" s="14" t="s">
        <v>1275</v>
      </c>
    </row>
    <row r="238" spans="1:34" s="1" customFormat="1">
      <c r="A238" s="25" t="s">
        <v>2120</v>
      </c>
      <c r="B238" s="64" t="s">
        <v>2121</v>
      </c>
      <c r="C238" s="65">
        <v>1</v>
      </c>
      <c r="D238" s="35" t="s">
        <v>2115</v>
      </c>
      <c r="E238" s="29" t="s">
        <v>2120</v>
      </c>
      <c r="F238" s="35">
        <v>612.84</v>
      </c>
      <c r="G238" s="22">
        <f>rv_10</f>
        <v>0.1</v>
      </c>
      <c r="H238" s="35">
        <f t="shared" si="64"/>
        <v>551.55600000000004</v>
      </c>
      <c r="I238" s="27"/>
      <c r="J238" s="23"/>
      <c r="K238" s="23"/>
      <c r="L238" s="23"/>
      <c r="M238" s="63">
        <v>0</v>
      </c>
      <c r="N238" s="91" t="s">
        <v>75</v>
      </c>
      <c r="O238" s="55" t="s">
        <v>1106</v>
      </c>
      <c r="P238" s="56" t="s">
        <v>504</v>
      </c>
      <c r="Q238" s="56" t="s">
        <v>1273</v>
      </c>
      <c r="R238" s="25" t="s">
        <v>2120</v>
      </c>
      <c r="S238" s="64" t="s">
        <v>2121</v>
      </c>
      <c r="T238" s="65">
        <v>1</v>
      </c>
      <c r="U238" s="35" t="s">
        <v>2115</v>
      </c>
      <c r="V238" s="29" t="s">
        <v>2120</v>
      </c>
      <c r="W238" s="35">
        <v>612.84</v>
      </c>
      <c r="X238" s="22">
        <f>rv_10</f>
        <v>0.1</v>
      </c>
      <c r="Y238" s="35">
        <f t="shared" si="66"/>
        <v>551.55600000000004</v>
      </c>
      <c r="Z238" s="27"/>
      <c r="AA238" s="23"/>
      <c r="AB238" s="23"/>
      <c r="AC238" s="23"/>
      <c r="AD238" s="63">
        <v>0</v>
      </c>
      <c r="AE238" s="91" t="s">
        <v>75</v>
      </c>
      <c r="AF238" s="55" t="s">
        <v>1106</v>
      </c>
      <c r="AG238" s="14" t="s">
        <v>1274</v>
      </c>
      <c r="AH238" s="14" t="s">
        <v>1275</v>
      </c>
    </row>
    <row r="239" spans="1:34" s="1" customFormat="1">
      <c r="A239" s="25">
        <v>225130</v>
      </c>
      <c r="B239" s="64" t="s">
        <v>2122</v>
      </c>
      <c r="C239" s="65">
        <v>1</v>
      </c>
      <c r="D239" s="35" t="s">
        <v>2123</v>
      </c>
      <c r="E239" s="29">
        <v>225130</v>
      </c>
      <c r="F239" s="35">
        <v>104.98</v>
      </c>
      <c r="G239" s="22">
        <f t="shared" ref="G239:G251" si="71">rv_20</f>
        <v>0.2</v>
      </c>
      <c r="H239" s="35">
        <f t="shared" si="64"/>
        <v>83.984000000000009</v>
      </c>
      <c r="I239" s="27"/>
      <c r="J239" s="23"/>
      <c r="K239" s="23"/>
      <c r="L239" s="23"/>
      <c r="M239" s="63">
        <v>0.05</v>
      </c>
      <c r="N239" s="91" t="s">
        <v>75</v>
      </c>
      <c r="O239" s="55" t="s">
        <v>1106</v>
      </c>
      <c r="P239" s="56" t="s">
        <v>504</v>
      </c>
      <c r="Q239" s="56" t="s">
        <v>1273</v>
      </c>
      <c r="R239" s="25">
        <v>225130</v>
      </c>
      <c r="S239" s="64" t="s">
        <v>2122</v>
      </c>
      <c r="T239" s="65">
        <v>1</v>
      </c>
      <c r="U239" s="35" t="s">
        <v>2123</v>
      </c>
      <c r="V239" s="29">
        <v>225130</v>
      </c>
      <c r="W239" s="35">
        <v>104.98</v>
      </c>
      <c r="X239" s="22">
        <f t="shared" ref="X239:X251" si="72">rv_20</f>
        <v>0.2</v>
      </c>
      <c r="Y239" s="35">
        <f t="shared" si="66"/>
        <v>83.984000000000009</v>
      </c>
      <c r="Z239" s="27"/>
      <c r="AA239" s="23"/>
      <c r="AB239" s="23"/>
      <c r="AC239" s="23"/>
      <c r="AD239" s="63">
        <v>0.05</v>
      </c>
      <c r="AE239" s="91" t="s">
        <v>75</v>
      </c>
      <c r="AF239" s="55" t="s">
        <v>1106</v>
      </c>
      <c r="AG239" s="14" t="s">
        <v>1274</v>
      </c>
      <c r="AH239" s="14" t="s">
        <v>1275</v>
      </c>
    </row>
    <row r="240" spans="1:34" s="1" customFormat="1">
      <c r="A240" s="25">
        <v>225131</v>
      </c>
      <c r="B240" s="64" t="s">
        <v>2124</v>
      </c>
      <c r="C240" s="65">
        <v>1</v>
      </c>
      <c r="D240" s="35" t="s">
        <v>2123</v>
      </c>
      <c r="E240" s="29">
        <v>225131</v>
      </c>
      <c r="F240" s="35">
        <v>138.91</v>
      </c>
      <c r="G240" s="22">
        <f t="shared" si="71"/>
        <v>0.2</v>
      </c>
      <c r="H240" s="35">
        <f t="shared" si="64"/>
        <v>111.128</v>
      </c>
      <c r="I240" s="27"/>
      <c r="J240" s="23"/>
      <c r="K240" s="23"/>
      <c r="L240" s="23"/>
      <c r="M240" s="63">
        <v>0.05</v>
      </c>
      <c r="N240" s="91" t="s">
        <v>75</v>
      </c>
      <c r="O240" s="55" t="s">
        <v>1106</v>
      </c>
      <c r="P240" s="56" t="s">
        <v>504</v>
      </c>
      <c r="Q240" s="56" t="s">
        <v>1273</v>
      </c>
      <c r="R240" s="25">
        <v>225131</v>
      </c>
      <c r="S240" s="64" t="s">
        <v>2124</v>
      </c>
      <c r="T240" s="65">
        <v>1</v>
      </c>
      <c r="U240" s="35" t="s">
        <v>2123</v>
      </c>
      <c r="V240" s="29">
        <v>225131</v>
      </c>
      <c r="W240" s="35">
        <v>138.91</v>
      </c>
      <c r="X240" s="22">
        <f t="shared" si="72"/>
        <v>0.2</v>
      </c>
      <c r="Y240" s="35">
        <f t="shared" si="66"/>
        <v>111.128</v>
      </c>
      <c r="Z240" s="27"/>
      <c r="AA240" s="23"/>
      <c r="AB240" s="23"/>
      <c r="AC240" s="23"/>
      <c r="AD240" s="63">
        <v>0.05</v>
      </c>
      <c r="AE240" s="91" t="s">
        <v>75</v>
      </c>
      <c r="AF240" s="55" t="s">
        <v>1106</v>
      </c>
      <c r="AG240" s="14" t="s">
        <v>1274</v>
      </c>
      <c r="AH240" s="14" t="s">
        <v>1275</v>
      </c>
    </row>
    <row r="241" spans="1:34" s="1" customFormat="1">
      <c r="A241" s="25">
        <v>225132</v>
      </c>
      <c r="B241" s="64" t="s">
        <v>2125</v>
      </c>
      <c r="C241" s="65">
        <v>1</v>
      </c>
      <c r="D241" s="35" t="s">
        <v>2123</v>
      </c>
      <c r="E241" s="29">
        <v>225132</v>
      </c>
      <c r="F241" s="35">
        <v>138.91</v>
      </c>
      <c r="G241" s="22">
        <f t="shared" si="71"/>
        <v>0.2</v>
      </c>
      <c r="H241" s="35">
        <f t="shared" si="64"/>
        <v>111.128</v>
      </c>
      <c r="I241" s="27"/>
      <c r="J241" s="23"/>
      <c r="K241" s="23"/>
      <c r="L241" s="23"/>
      <c r="M241" s="63">
        <v>0.05</v>
      </c>
      <c r="N241" s="91" t="s">
        <v>75</v>
      </c>
      <c r="O241" s="55" t="s">
        <v>1106</v>
      </c>
      <c r="P241" s="56" t="s">
        <v>504</v>
      </c>
      <c r="Q241" s="56" t="s">
        <v>1273</v>
      </c>
      <c r="R241" s="25">
        <v>225132</v>
      </c>
      <c r="S241" s="64" t="s">
        <v>2125</v>
      </c>
      <c r="T241" s="65">
        <v>1</v>
      </c>
      <c r="U241" s="35" t="s">
        <v>2123</v>
      </c>
      <c r="V241" s="29">
        <v>225132</v>
      </c>
      <c r="W241" s="35">
        <v>138.91</v>
      </c>
      <c r="X241" s="22">
        <f t="shared" si="72"/>
        <v>0.2</v>
      </c>
      <c r="Y241" s="35">
        <f t="shared" si="66"/>
        <v>111.128</v>
      </c>
      <c r="Z241" s="27"/>
      <c r="AA241" s="23"/>
      <c r="AB241" s="23"/>
      <c r="AC241" s="23"/>
      <c r="AD241" s="63">
        <v>0.05</v>
      </c>
      <c r="AE241" s="91" t="s">
        <v>75</v>
      </c>
      <c r="AF241" s="55" t="s">
        <v>1106</v>
      </c>
      <c r="AG241" s="14" t="s">
        <v>1274</v>
      </c>
      <c r="AH241" s="14" t="s">
        <v>1275</v>
      </c>
    </row>
    <row r="242" spans="1:34" s="1" customFormat="1">
      <c r="A242" s="25">
        <v>225137</v>
      </c>
      <c r="B242" s="64" t="s">
        <v>2126</v>
      </c>
      <c r="C242" s="65">
        <v>1</v>
      </c>
      <c r="D242" s="35" t="s">
        <v>2123</v>
      </c>
      <c r="E242" s="29">
        <v>225137</v>
      </c>
      <c r="F242" s="35">
        <v>158.02000000000001</v>
      </c>
      <c r="G242" s="22">
        <f t="shared" si="71"/>
        <v>0.2</v>
      </c>
      <c r="H242" s="35">
        <f t="shared" si="64"/>
        <v>126.41600000000001</v>
      </c>
      <c r="I242" s="27"/>
      <c r="J242" s="23"/>
      <c r="K242" s="23"/>
      <c r="L242" s="23"/>
      <c r="M242" s="63">
        <v>0.05</v>
      </c>
      <c r="N242" s="91" t="s">
        <v>75</v>
      </c>
      <c r="O242" s="55" t="s">
        <v>1106</v>
      </c>
      <c r="P242" s="56" t="s">
        <v>504</v>
      </c>
      <c r="Q242" s="56" t="s">
        <v>1273</v>
      </c>
      <c r="R242" s="25">
        <v>225137</v>
      </c>
      <c r="S242" s="64" t="s">
        <v>2126</v>
      </c>
      <c r="T242" s="65">
        <v>1</v>
      </c>
      <c r="U242" s="35" t="s">
        <v>2123</v>
      </c>
      <c r="V242" s="29">
        <v>225137</v>
      </c>
      <c r="W242" s="35">
        <v>158.02000000000001</v>
      </c>
      <c r="X242" s="22">
        <f t="shared" si="72"/>
        <v>0.2</v>
      </c>
      <c r="Y242" s="35">
        <f t="shared" si="66"/>
        <v>126.41600000000001</v>
      </c>
      <c r="Z242" s="27"/>
      <c r="AA242" s="23"/>
      <c r="AB242" s="23"/>
      <c r="AC242" s="23"/>
      <c r="AD242" s="63">
        <v>0.05</v>
      </c>
      <c r="AE242" s="91" t="s">
        <v>75</v>
      </c>
      <c r="AF242" s="55" t="s">
        <v>1106</v>
      </c>
      <c r="AG242" s="14" t="s">
        <v>1274</v>
      </c>
      <c r="AH242" s="14" t="s">
        <v>1275</v>
      </c>
    </row>
    <row r="243" spans="1:34" s="1" customFormat="1">
      <c r="A243" s="25" t="s">
        <v>2127</v>
      </c>
      <c r="B243" s="64" t="s">
        <v>2128</v>
      </c>
      <c r="C243" s="65">
        <v>1</v>
      </c>
      <c r="D243" s="35" t="s">
        <v>2129</v>
      </c>
      <c r="E243" s="29" t="s">
        <v>2127</v>
      </c>
      <c r="F243" s="35">
        <v>58.73</v>
      </c>
      <c r="G243" s="22">
        <f t="shared" si="71"/>
        <v>0.2</v>
      </c>
      <c r="H243" s="35">
        <f t="shared" si="64"/>
        <v>46.983999999999995</v>
      </c>
      <c r="I243" s="27"/>
      <c r="J243" s="23"/>
      <c r="K243" s="23"/>
      <c r="L243" s="23"/>
      <c r="M243" s="63">
        <v>0</v>
      </c>
      <c r="N243" s="91" t="s">
        <v>75</v>
      </c>
      <c r="O243" s="55" t="s">
        <v>1106</v>
      </c>
      <c r="P243" s="56" t="s">
        <v>504</v>
      </c>
      <c r="Q243" s="56" t="s">
        <v>1273</v>
      </c>
      <c r="R243" s="25" t="s">
        <v>2127</v>
      </c>
      <c r="S243" s="64" t="s">
        <v>2128</v>
      </c>
      <c r="T243" s="65">
        <v>1</v>
      </c>
      <c r="U243" s="35" t="s">
        <v>2129</v>
      </c>
      <c r="V243" s="29" t="s">
        <v>2127</v>
      </c>
      <c r="W243" s="35">
        <v>58.73</v>
      </c>
      <c r="X243" s="22">
        <f t="shared" si="72"/>
        <v>0.2</v>
      </c>
      <c r="Y243" s="35">
        <f t="shared" si="66"/>
        <v>46.983999999999995</v>
      </c>
      <c r="Z243" s="27"/>
      <c r="AA243" s="23"/>
      <c r="AB243" s="23"/>
      <c r="AC243" s="23"/>
      <c r="AD243" s="63">
        <v>0</v>
      </c>
      <c r="AE243" s="91" t="s">
        <v>75</v>
      </c>
      <c r="AF243" s="55" t="s">
        <v>1106</v>
      </c>
      <c r="AG243" s="14" t="s">
        <v>1274</v>
      </c>
      <c r="AH243" s="14" t="s">
        <v>1275</v>
      </c>
    </row>
    <row r="244" spans="1:34" s="1" customFormat="1">
      <c r="A244" s="25" t="s">
        <v>2130</v>
      </c>
      <c r="B244" s="64" t="s">
        <v>2131</v>
      </c>
      <c r="C244" s="65">
        <v>1</v>
      </c>
      <c r="D244" s="35" t="s">
        <v>2129</v>
      </c>
      <c r="E244" s="29" t="s">
        <v>2130</v>
      </c>
      <c r="F244" s="35">
        <v>58.73</v>
      </c>
      <c r="G244" s="22">
        <f t="shared" si="71"/>
        <v>0.2</v>
      </c>
      <c r="H244" s="35">
        <f t="shared" si="64"/>
        <v>46.983999999999995</v>
      </c>
      <c r="I244" s="27"/>
      <c r="J244" s="23"/>
      <c r="K244" s="23"/>
      <c r="L244" s="23"/>
      <c r="M244" s="63">
        <v>0</v>
      </c>
      <c r="N244" s="91" t="s">
        <v>75</v>
      </c>
      <c r="O244" s="55" t="s">
        <v>1106</v>
      </c>
      <c r="P244" s="56" t="s">
        <v>504</v>
      </c>
      <c r="Q244" s="56" t="s">
        <v>1273</v>
      </c>
      <c r="R244" s="25" t="s">
        <v>2130</v>
      </c>
      <c r="S244" s="64" t="s">
        <v>2131</v>
      </c>
      <c r="T244" s="65">
        <v>1</v>
      </c>
      <c r="U244" s="35" t="s">
        <v>2129</v>
      </c>
      <c r="V244" s="29" t="s">
        <v>2130</v>
      </c>
      <c r="W244" s="35">
        <v>58.73</v>
      </c>
      <c r="X244" s="22">
        <f t="shared" si="72"/>
        <v>0.2</v>
      </c>
      <c r="Y244" s="35">
        <f t="shared" si="66"/>
        <v>46.983999999999995</v>
      </c>
      <c r="Z244" s="27"/>
      <c r="AA244" s="23"/>
      <c r="AB244" s="23"/>
      <c r="AC244" s="23"/>
      <c r="AD244" s="63">
        <v>0</v>
      </c>
      <c r="AE244" s="91" t="s">
        <v>75</v>
      </c>
      <c r="AF244" s="55" t="s">
        <v>1106</v>
      </c>
      <c r="AG244" s="14" t="s">
        <v>1274</v>
      </c>
      <c r="AH244" s="14" t="s">
        <v>1275</v>
      </c>
    </row>
    <row r="245" spans="1:34" s="1" customFormat="1">
      <c r="A245" s="25" t="s">
        <v>2132</v>
      </c>
      <c r="B245" s="64" t="s">
        <v>2133</v>
      </c>
      <c r="C245" s="65">
        <v>1</v>
      </c>
      <c r="D245" s="35" t="s">
        <v>2129</v>
      </c>
      <c r="E245" s="29" t="s">
        <v>2132</v>
      </c>
      <c r="F245" s="35">
        <v>58.73</v>
      </c>
      <c r="G245" s="22">
        <f t="shared" si="71"/>
        <v>0.2</v>
      </c>
      <c r="H245" s="35">
        <f t="shared" si="64"/>
        <v>46.983999999999995</v>
      </c>
      <c r="I245" s="27"/>
      <c r="J245" s="23"/>
      <c r="K245" s="23"/>
      <c r="L245" s="23"/>
      <c r="M245" s="63">
        <v>0</v>
      </c>
      <c r="N245" s="91" t="s">
        <v>75</v>
      </c>
      <c r="O245" s="55" t="s">
        <v>1106</v>
      </c>
      <c r="P245" s="56" t="s">
        <v>504</v>
      </c>
      <c r="Q245" s="56" t="s">
        <v>1273</v>
      </c>
      <c r="R245" s="25" t="s">
        <v>2132</v>
      </c>
      <c r="S245" s="64" t="s">
        <v>2133</v>
      </c>
      <c r="T245" s="65">
        <v>1</v>
      </c>
      <c r="U245" s="35" t="s">
        <v>2129</v>
      </c>
      <c r="V245" s="29" t="s">
        <v>2132</v>
      </c>
      <c r="W245" s="35">
        <v>58.73</v>
      </c>
      <c r="X245" s="22">
        <f t="shared" si="72"/>
        <v>0.2</v>
      </c>
      <c r="Y245" s="35">
        <f t="shared" si="66"/>
        <v>46.983999999999995</v>
      </c>
      <c r="Z245" s="27"/>
      <c r="AA245" s="23"/>
      <c r="AB245" s="23"/>
      <c r="AC245" s="23"/>
      <c r="AD245" s="63">
        <v>0</v>
      </c>
      <c r="AE245" s="91" t="s">
        <v>75</v>
      </c>
      <c r="AF245" s="55" t="s">
        <v>1106</v>
      </c>
      <c r="AG245" s="14" t="s">
        <v>1274</v>
      </c>
      <c r="AH245" s="14" t="s">
        <v>1275</v>
      </c>
    </row>
    <row r="246" spans="1:34" s="1" customFormat="1">
      <c r="A246" s="25" t="s">
        <v>2134</v>
      </c>
      <c r="B246" s="64" t="s">
        <v>2135</v>
      </c>
      <c r="C246" s="65">
        <v>1</v>
      </c>
      <c r="D246" s="35" t="s">
        <v>2129</v>
      </c>
      <c r="E246" s="29" t="s">
        <v>2134</v>
      </c>
      <c r="F246" s="35">
        <v>184.41</v>
      </c>
      <c r="G246" s="22">
        <f t="shared" si="71"/>
        <v>0.2</v>
      </c>
      <c r="H246" s="35">
        <f t="shared" si="64"/>
        <v>147.52799999999999</v>
      </c>
      <c r="I246" s="27"/>
      <c r="J246" s="23"/>
      <c r="K246" s="23"/>
      <c r="L246" s="23"/>
      <c r="M246" s="63">
        <v>0</v>
      </c>
      <c r="N246" s="91" t="s">
        <v>75</v>
      </c>
      <c r="O246" s="55" t="s">
        <v>1106</v>
      </c>
      <c r="P246" s="56" t="s">
        <v>504</v>
      </c>
      <c r="Q246" s="56" t="s">
        <v>1273</v>
      </c>
      <c r="R246" s="25" t="s">
        <v>2134</v>
      </c>
      <c r="S246" s="64" t="s">
        <v>2135</v>
      </c>
      <c r="T246" s="65">
        <v>1</v>
      </c>
      <c r="U246" s="35" t="s">
        <v>2129</v>
      </c>
      <c r="V246" s="29" t="s">
        <v>2134</v>
      </c>
      <c r="W246" s="35">
        <v>184.41</v>
      </c>
      <c r="X246" s="22">
        <f t="shared" si="72"/>
        <v>0.2</v>
      </c>
      <c r="Y246" s="35">
        <f t="shared" si="66"/>
        <v>147.52799999999999</v>
      </c>
      <c r="Z246" s="27"/>
      <c r="AA246" s="23"/>
      <c r="AB246" s="23"/>
      <c r="AC246" s="23"/>
      <c r="AD246" s="63">
        <v>0</v>
      </c>
      <c r="AE246" s="91" t="s">
        <v>75</v>
      </c>
      <c r="AF246" s="55" t="s">
        <v>1106</v>
      </c>
      <c r="AG246" s="14" t="s">
        <v>1274</v>
      </c>
      <c r="AH246" s="14" t="s">
        <v>1275</v>
      </c>
    </row>
    <row r="247" spans="1:34" s="1" customFormat="1">
      <c r="A247" s="25" t="s">
        <v>2136</v>
      </c>
      <c r="B247" s="64" t="s">
        <v>2137</v>
      </c>
      <c r="C247" s="65">
        <v>1</v>
      </c>
      <c r="D247" s="35" t="s">
        <v>2129</v>
      </c>
      <c r="E247" s="29" t="s">
        <v>2136</v>
      </c>
      <c r="F247" s="35">
        <v>184.41</v>
      </c>
      <c r="G247" s="22">
        <f t="shared" si="71"/>
        <v>0.2</v>
      </c>
      <c r="H247" s="35">
        <f t="shared" si="64"/>
        <v>147.52799999999999</v>
      </c>
      <c r="I247" s="27"/>
      <c r="J247" s="23"/>
      <c r="K247" s="23"/>
      <c r="L247" s="23"/>
      <c r="M247" s="63">
        <v>0</v>
      </c>
      <c r="N247" s="91" t="s">
        <v>75</v>
      </c>
      <c r="O247" s="55" t="s">
        <v>1106</v>
      </c>
      <c r="P247" s="56" t="s">
        <v>504</v>
      </c>
      <c r="Q247" s="56" t="s">
        <v>1273</v>
      </c>
      <c r="R247" s="25" t="s">
        <v>2136</v>
      </c>
      <c r="S247" s="64" t="s">
        <v>2137</v>
      </c>
      <c r="T247" s="65">
        <v>1</v>
      </c>
      <c r="U247" s="35" t="s">
        <v>2129</v>
      </c>
      <c r="V247" s="29" t="s">
        <v>2136</v>
      </c>
      <c r="W247" s="35">
        <v>184.41</v>
      </c>
      <c r="X247" s="22">
        <f t="shared" si="72"/>
        <v>0.2</v>
      </c>
      <c r="Y247" s="35">
        <f t="shared" si="66"/>
        <v>147.52799999999999</v>
      </c>
      <c r="Z247" s="27"/>
      <c r="AA247" s="23"/>
      <c r="AB247" s="23"/>
      <c r="AC247" s="23"/>
      <c r="AD247" s="63">
        <v>0</v>
      </c>
      <c r="AE247" s="91" t="s">
        <v>75</v>
      </c>
      <c r="AF247" s="55" t="s">
        <v>1106</v>
      </c>
      <c r="AG247" s="14" t="s">
        <v>1274</v>
      </c>
      <c r="AH247" s="14" t="s">
        <v>1275</v>
      </c>
    </row>
    <row r="248" spans="1:34" s="1" customFormat="1">
      <c r="A248" s="25" t="s">
        <v>2138</v>
      </c>
      <c r="B248" s="64" t="s">
        <v>2139</v>
      </c>
      <c r="C248" s="65">
        <v>1</v>
      </c>
      <c r="D248" s="35" t="s">
        <v>2129</v>
      </c>
      <c r="E248" s="29" t="s">
        <v>2138</v>
      </c>
      <c r="F248" s="35">
        <v>44.34</v>
      </c>
      <c r="G248" s="22">
        <f t="shared" si="71"/>
        <v>0.2</v>
      </c>
      <c r="H248" s="35">
        <f t="shared" si="64"/>
        <v>35.472000000000001</v>
      </c>
      <c r="I248" s="27"/>
      <c r="J248" s="23"/>
      <c r="K248" s="23"/>
      <c r="L248" s="23"/>
      <c r="M248" s="63">
        <v>0</v>
      </c>
      <c r="N248" s="91" t="s">
        <v>75</v>
      </c>
      <c r="O248" s="55" t="s">
        <v>1106</v>
      </c>
      <c r="P248" s="56" t="s">
        <v>504</v>
      </c>
      <c r="Q248" s="56" t="s">
        <v>1273</v>
      </c>
      <c r="R248" s="25" t="s">
        <v>2138</v>
      </c>
      <c r="S248" s="64" t="s">
        <v>2139</v>
      </c>
      <c r="T248" s="65">
        <v>1</v>
      </c>
      <c r="U248" s="35" t="s">
        <v>2129</v>
      </c>
      <c r="V248" s="29" t="s">
        <v>2138</v>
      </c>
      <c r="W248" s="35">
        <v>44.34</v>
      </c>
      <c r="X248" s="22">
        <f t="shared" si="72"/>
        <v>0.2</v>
      </c>
      <c r="Y248" s="35">
        <f t="shared" si="66"/>
        <v>35.472000000000001</v>
      </c>
      <c r="Z248" s="27"/>
      <c r="AA248" s="23"/>
      <c r="AB248" s="23"/>
      <c r="AC248" s="23"/>
      <c r="AD248" s="63">
        <v>0</v>
      </c>
      <c r="AE248" s="91" t="s">
        <v>75</v>
      </c>
      <c r="AF248" s="55" t="s">
        <v>1106</v>
      </c>
      <c r="AG248" s="14" t="s">
        <v>1274</v>
      </c>
      <c r="AH248" s="14" t="s">
        <v>1275</v>
      </c>
    </row>
    <row r="249" spans="1:34" s="121" customFormat="1">
      <c r="A249" s="113" t="s">
        <v>2140</v>
      </c>
      <c r="B249" s="273" t="s">
        <v>2141</v>
      </c>
      <c r="C249" s="292">
        <v>1</v>
      </c>
      <c r="D249" s="293" t="s">
        <v>2129</v>
      </c>
      <c r="E249" s="300" t="s">
        <v>2140</v>
      </c>
      <c r="F249" s="226">
        <v>44.34</v>
      </c>
      <c r="G249" s="138">
        <f t="shared" si="71"/>
        <v>0.2</v>
      </c>
      <c r="H249" s="116">
        <f t="shared" si="64"/>
        <v>35.472000000000001</v>
      </c>
      <c r="I249" s="153"/>
      <c r="J249" s="154"/>
      <c r="K249" s="154"/>
      <c r="L249" s="154"/>
      <c r="M249" s="226">
        <v>0</v>
      </c>
      <c r="N249" s="91" t="s">
        <v>75</v>
      </c>
      <c r="O249" s="55" t="s">
        <v>1106</v>
      </c>
      <c r="P249" s="56" t="s">
        <v>504</v>
      </c>
      <c r="Q249" s="56" t="s">
        <v>1273</v>
      </c>
      <c r="R249" s="113" t="s">
        <v>2140</v>
      </c>
      <c r="S249" s="273" t="s">
        <v>2141</v>
      </c>
      <c r="T249" s="292">
        <v>1</v>
      </c>
      <c r="U249" s="293" t="s">
        <v>2129</v>
      </c>
      <c r="V249" s="300" t="s">
        <v>2140</v>
      </c>
      <c r="W249" s="116">
        <v>44.34</v>
      </c>
      <c r="X249" s="138">
        <f t="shared" si="72"/>
        <v>0.2</v>
      </c>
      <c r="Y249" s="116">
        <f t="shared" si="66"/>
        <v>35.472000000000001</v>
      </c>
      <c r="Z249" s="153"/>
      <c r="AA249" s="154"/>
      <c r="AB249" s="154"/>
      <c r="AC249" s="154"/>
      <c r="AD249" s="226">
        <v>0</v>
      </c>
      <c r="AE249" s="91" t="s">
        <v>75</v>
      </c>
      <c r="AF249" s="55" t="s">
        <v>1106</v>
      </c>
      <c r="AG249" s="56" t="s">
        <v>1274</v>
      </c>
      <c r="AH249" s="56" t="s">
        <v>1275</v>
      </c>
    </row>
    <row r="250" spans="1:34" s="121" customFormat="1">
      <c r="A250" s="113" t="s">
        <v>2142</v>
      </c>
      <c r="B250" s="273" t="s">
        <v>2143</v>
      </c>
      <c r="C250" s="292">
        <v>1</v>
      </c>
      <c r="D250" s="116" t="s">
        <v>2129</v>
      </c>
      <c r="E250" s="115" t="s">
        <v>2142</v>
      </c>
      <c r="F250" s="116">
        <v>44.34</v>
      </c>
      <c r="G250" s="138">
        <f t="shared" si="71"/>
        <v>0.2</v>
      </c>
      <c r="H250" s="116">
        <f t="shared" si="64"/>
        <v>35.472000000000001</v>
      </c>
      <c r="I250" s="153"/>
      <c r="J250" s="154"/>
      <c r="K250" s="154"/>
      <c r="L250" s="154"/>
      <c r="M250" s="226">
        <v>0</v>
      </c>
      <c r="N250" s="91" t="s">
        <v>75</v>
      </c>
      <c r="O250" s="55" t="s">
        <v>1106</v>
      </c>
      <c r="P250" s="56" t="s">
        <v>504</v>
      </c>
      <c r="Q250" s="56" t="s">
        <v>1273</v>
      </c>
      <c r="R250" s="113" t="s">
        <v>2142</v>
      </c>
      <c r="S250" s="273" t="s">
        <v>2143</v>
      </c>
      <c r="T250" s="292">
        <v>1</v>
      </c>
      <c r="U250" s="116" t="s">
        <v>2129</v>
      </c>
      <c r="V250" s="115" t="s">
        <v>2142</v>
      </c>
      <c r="W250" s="116">
        <v>44.34</v>
      </c>
      <c r="X250" s="138">
        <f t="shared" si="72"/>
        <v>0.2</v>
      </c>
      <c r="Y250" s="116">
        <f t="shared" si="66"/>
        <v>35.472000000000001</v>
      </c>
      <c r="Z250" s="153"/>
      <c r="AA250" s="154"/>
      <c r="AB250" s="154"/>
      <c r="AC250" s="154"/>
      <c r="AD250" s="226">
        <v>0</v>
      </c>
      <c r="AE250" s="91" t="s">
        <v>75</v>
      </c>
      <c r="AF250" s="55" t="s">
        <v>1106</v>
      </c>
      <c r="AG250" s="56" t="s">
        <v>1274</v>
      </c>
      <c r="AH250" s="56" t="s">
        <v>1275</v>
      </c>
    </row>
    <row r="251" spans="1:34" s="121" customFormat="1">
      <c r="A251" s="113" t="s">
        <v>2144</v>
      </c>
      <c r="B251" s="273" t="s">
        <v>2145</v>
      </c>
      <c r="C251" s="292">
        <v>1</v>
      </c>
      <c r="D251" s="116" t="s">
        <v>2129</v>
      </c>
      <c r="E251" s="115" t="s">
        <v>2144</v>
      </c>
      <c r="F251" s="116">
        <v>57.54</v>
      </c>
      <c r="G251" s="138">
        <f t="shared" si="71"/>
        <v>0.2</v>
      </c>
      <c r="H251" s="116">
        <f t="shared" si="64"/>
        <v>46.031999999999996</v>
      </c>
      <c r="I251" s="153"/>
      <c r="J251" s="154"/>
      <c r="K251" s="154"/>
      <c r="L251" s="154"/>
      <c r="M251" s="226">
        <v>0</v>
      </c>
      <c r="N251" s="91" t="s">
        <v>75</v>
      </c>
      <c r="O251" s="55" t="s">
        <v>1106</v>
      </c>
      <c r="P251" s="56" t="s">
        <v>504</v>
      </c>
      <c r="Q251" s="56" t="s">
        <v>1273</v>
      </c>
      <c r="R251" s="113" t="s">
        <v>2144</v>
      </c>
      <c r="S251" s="273" t="s">
        <v>2145</v>
      </c>
      <c r="T251" s="292">
        <v>1</v>
      </c>
      <c r="U251" s="116" t="s">
        <v>2129</v>
      </c>
      <c r="V251" s="115" t="s">
        <v>2144</v>
      </c>
      <c r="W251" s="116">
        <v>57.54</v>
      </c>
      <c r="X251" s="138">
        <f t="shared" si="72"/>
        <v>0.2</v>
      </c>
      <c r="Y251" s="116">
        <f t="shared" si="66"/>
        <v>46.031999999999996</v>
      </c>
      <c r="Z251" s="153"/>
      <c r="AA251" s="154"/>
      <c r="AB251" s="154"/>
      <c r="AC251" s="154"/>
      <c r="AD251" s="226">
        <v>0</v>
      </c>
      <c r="AE251" s="91" t="s">
        <v>75</v>
      </c>
      <c r="AF251" s="55" t="s">
        <v>1106</v>
      </c>
      <c r="AG251" s="56" t="s">
        <v>1274</v>
      </c>
      <c r="AH251" s="56" t="s">
        <v>1275</v>
      </c>
    </row>
    <row r="252" spans="1:34" s="121" customFormat="1">
      <c r="A252" s="113" t="s">
        <v>2146</v>
      </c>
      <c r="B252" s="273" t="s">
        <v>2147</v>
      </c>
      <c r="C252" s="292">
        <v>1</v>
      </c>
      <c r="D252" s="116" t="s">
        <v>2148</v>
      </c>
      <c r="E252" s="115" t="s">
        <v>2146</v>
      </c>
      <c r="F252" s="116">
        <v>42.47</v>
      </c>
      <c r="G252" s="138">
        <f>rv_30</f>
        <v>0.3</v>
      </c>
      <c r="H252" s="116">
        <f t="shared" si="64"/>
        <v>29.728999999999999</v>
      </c>
      <c r="I252" s="153"/>
      <c r="J252" s="154"/>
      <c r="K252" s="154"/>
      <c r="L252" s="154"/>
      <c r="M252" s="226">
        <v>0</v>
      </c>
      <c r="N252" s="91" t="s">
        <v>75</v>
      </c>
      <c r="O252" s="55" t="s">
        <v>1106</v>
      </c>
      <c r="P252" s="56" t="s">
        <v>504</v>
      </c>
      <c r="Q252" s="56" t="s">
        <v>1273</v>
      </c>
      <c r="R252" s="113" t="s">
        <v>2146</v>
      </c>
      <c r="S252" s="273" t="s">
        <v>2147</v>
      </c>
      <c r="T252" s="292">
        <v>1</v>
      </c>
      <c r="U252" s="116" t="s">
        <v>2148</v>
      </c>
      <c r="V252" s="115" t="s">
        <v>2146</v>
      </c>
      <c r="W252" s="116">
        <v>42.47</v>
      </c>
      <c r="X252" s="138">
        <f>rv_30</f>
        <v>0.3</v>
      </c>
      <c r="Y252" s="116">
        <f t="shared" si="66"/>
        <v>29.728999999999999</v>
      </c>
      <c r="Z252" s="153"/>
      <c r="AA252" s="154"/>
      <c r="AB252" s="154"/>
      <c r="AC252" s="154"/>
      <c r="AD252" s="226">
        <v>0</v>
      </c>
      <c r="AE252" s="91" t="s">
        <v>75</v>
      </c>
      <c r="AF252" s="55" t="s">
        <v>1106</v>
      </c>
      <c r="AG252" s="56" t="s">
        <v>1274</v>
      </c>
      <c r="AH252" s="56" t="s">
        <v>1275</v>
      </c>
    </row>
    <row r="253" spans="1:34" s="121" customFormat="1">
      <c r="A253" s="113" t="s">
        <v>2149</v>
      </c>
      <c r="B253" s="273" t="s">
        <v>2150</v>
      </c>
      <c r="C253" s="292">
        <v>1</v>
      </c>
      <c r="D253" s="116" t="s">
        <v>2148</v>
      </c>
      <c r="E253" s="115" t="s">
        <v>2149</v>
      </c>
      <c r="F253" s="116">
        <v>42.47</v>
      </c>
      <c r="G253" s="138">
        <f>rv_30</f>
        <v>0.3</v>
      </c>
      <c r="H253" s="116">
        <f t="shared" si="64"/>
        <v>29.728999999999999</v>
      </c>
      <c r="I253" s="153"/>
      <c r="J253" s="154"/>
      <c r="K253" s="154"/>
      <c r="L253" s="154"/>
      <c r="M253" s="226">
        <v>0</v>
      </c>
      <c r="N253" s="91" t="s">
        <v>75</v>
      </c>
      <c r="O253" s="55" t="s">
        <v>1106</v>
      </c>
      <c r="P253" s="56" t="s">
        <v>504</v>
      </c>
      <c r="Q253" s="56" t="s">
        <v>1273</v>
      </c>
      <c r="R253" s="113" t="s">
        <v>2149</v>
      </c>
      <c r="S253" s="273" t="s">
        <v>2150</v>
      </c>
      <c r="T253" s="292">
        <v>1</v>
      </c>
      <c r="U253" s="116" t="s">
        <v>2148</v>
      </c>
      <c r="V253" s="115" t="s">
        <v>2149</v>
      </c>
      <c r="W253" s="116">
        <v>42.47</v>
      </c>
      <c r="X253" s="138">
        <f>rv_30</f>
        <v>0.3</v>
      </c>
      <c r="Y253" s="116">
        <f t="shared" si="66"/>
        <v>29.728999999999999</v>
      </c>
      <c r="Z253" s="153"/>
      <c r="AA253" s="154"/>
      <c r="AB253" s="154"/>
      <c r="AC253" s="154"/>
      <c r="AD253" s="226">
        <v>0</v>
      </c>
      <c r="AE253" s="91" t="s">
        <v>75</v>
      </c>
      <c r="AF253" s="55" t="s">
        <v>1106</v>
      </c>
      <c r="AG253" s="56" t="s">
        <v>1274</v>
      </c>
      <c r="AH253" s="56" t="s">
        <v>1275</v>
      </c>
    </row>
    <row r="254" spans="1:34" s="121" customFormat="1">
      <c r="A254" s="25" t="s">
        <v>2151</v>
      </c>
      <c r="B254" s="64" t="s">
        <v>2152</v>
      </c>
      <c r="C254" s="65">
        <v>1</v>
      </c>
      <c r="D254" s="62" t="s">
        <v>2148</v>
      </c>
      <c r="E254" s="142" t="s">
        <v>2151</v>
      </c>
      <c r="F254" s="35">
        <v>42.47</v>
      </c>
      <c r="G254" s="22">
        <f>rv_30</f>
        <v>0.3</v>
      </c>
      <c r="H254" s="35">
        <f t="shared" si="64"/>
        <v>29.728999999999999</v>
      </c>
      <c r="I254" s="153"/>
      <c r="J254" s="154"/>
      <c r="K254" s="154"/>
      <c r="L254" s="154"/>
      <c r="M254" s="226">
        <v>0</v>
      </c>
      <c r="N254" s="91" t="s">
        <v>75</v>
      </c>
      <c r="O254" s="55" t="s">
        <v>1106</v>
      </c>
      <c r="P254" s="56" t="s">
        <v>504</v>
      </c>
      <c r="Q254" s="56" t="s">
        <v>1273</v>
      </c>
      <c r="R254" s="113"/>
      <c r="S254" s="273"/>
      <c r="T254" s="292"/>
      <c r="U254" s="116"/>
      <c r="V254" s="115"/>
      <c r="W254" s="116"/>
      <c r="X254" s="138"/>
      <c r="Y254" s="116"/>
      <c r="Z254" s="153"/>
      <c r="AA254" s="154"/>
      <c r="AB254" s="154"/>
      <c r="AC254" s="154"/>
      <c r="AD254" s="226"/>
      <c r="AE254" s="91"/>
      <c r="AF254" s="55"/>
      <c r="AG254" s="56"/>
      <c r="AH254" s="56"/>
    </row>
    <row r="255" spans="1:34" s="121" customFormat="1">
      <c r="A255" s="113" t="s">
        <v>2153</v>
      </c>
      <c r="B255" s="273" t="s">
        <v>2154</v>
      </c>
      <c r="C255" s="292">
        <v>1</v>
      </c>
      <c r="D255" s="116" t="s">
        <v>2148</v>
      </c>
      <c r="E255" s="115" t="s">
        <v>2153</v>
      </c>
      <c r="F255" s="116">
        <v>42.47</v>
      </c>
      <c r="G255" s="138">
        <f>rv_30</f>
        <v>0.3</v>
      </c>
      <c r="H255" s="116">
        <f t="shared" si="64"/>
        <v>29.728999999999999</v>
      </c>
      <c r="I255" s="153"/>
      <c r="J255" s="154"/>
      <c r="K255" s="154"/>
      <c r="L255" s="154"/>
      <c r="M255" s="226">
        <v>0</v>
      </c>
      <c r="N255" s="91" t="s">
        <v>75</v>
      </c>
      <c r="O255" s="55" t="s">
        <v>1106</v>
      </c>
      <c r="P255" s="56" t="s">
        <v>504</v>
      </c>
      <c r="Q255" s="56" t="s">
        <v>1273</v>
      </c>
      <c r="R255" s="113" t="s">
        <v>2153</v>
      </c>
      <c r="S255" s="273" t="s">
        <v>2154</v>
      </c>
      <c r="T255" s="292">
        <v>1</v>
      </c>
      <c r="U255" s="116" t="s">
        <v>2148</v>
      </c>
      <c r="V255" s="115" t="s">
        <v>2153</v>
      </c>
      <c r="W255" s="116">
        <v>42.47</v>
      </c>
      <c r="X255" s="138">
        <f>rv_30</f>
        <v>0.3</v>
      </c>
      <c r="Y255" s="116">
        <f t="shared" si="66"/>
        <v>29.728999999999999</v>
      </c>
      <c r="Z255" s="153"/>
      <c r="AA255" s="154"/>
      <c r="AB255" s="154"/>
      <c r="AC255" s="154"/>
      <c r="AD255" s="226">
        <v>0</v>
      </c>
      <c r="AE255" s="91" t="s">
        <v>75</v>
      </c>
      <c r="AF255" s="55" t="s">
        <v>1106</v>
      </c>
      <c r="AG255" s="56" t="s">
        <v>1274</v>
      </c>
      <c r="AH255" s="56" t="s">
        <v>1275</v>
      </c>
    </row>
    <row r="256" spans="1:34" s="121" customFormat="1">
      <c r="A256" s="113" t="s">
        <v>2155</v>
      </c>
      <c r="B256" s="273" t="s">
        <v>2156</v>
      </c>
      <c r="C256" s="292">
        <v>1</v>
      </c>
      <c r="D256" s="116" t="s">
        <v>2157</v>
      </c>
      <c r="E256" s="115" t="s">
        <v>2155</v>
      </c>
      <c r="F256" s="116">
        <v>41.7</v>
      </c>
      <c r="G256" s="138">
        <f t="shared" ref="G256:G304" si="73">rv_20</f>
        <v>0.2</v>
      </c>
      <c r="H256" s="116">
        <f t="shared" si="64"/>
        <v>33.36</v>
      </c>
      <c r="I256" s="153"/>
      <c r="J256" s="154"/>
      <c r="K256" s="154"/>
      <c r="L256" s="154"/>
      <c r="M256" s="226">
        <v>0.02</v>
      </c>
      <c r="N256" s="91" t="s">
        <v>75</v>
      </c>
      <c r="O256" s="55" t="s">
        <v>1106</v>
      </c>
      <c r="P256" s="56" t="s">
        <v>504</v>
      </c>
      <c r="Q256" s="56" t="s">
        <v>1273</v>
      </c>
      <c r="R256" s="113" t="s">
        <v>2155</v>
      </c>
      <c r="S256" s="273" t="s">
        <v>2156</v>
      </c>
      <c r="T256" s="292">
        <v>1</v>
      </c>
      <c r="U256" s="116" t="s">
        <v>2157</v>
      </c>
      <c r="V256" s="115" t="s">
        <v>2155</v>
      </c>
      <c r="W256" s="116">
        <v>41.7</v>
      </c>
      <c r="X256" s="138">
        <f t="shared" ref="X256:X304" si="74">rv_20</f>
        <v>0.2</v>
      </c>
      <c r="Y256" s="116">
        <f t="shared" si="66"/>
        <v>33.36</v>
      </c>
      <c r="Z256" s="153"/>
      <c r="AA256" s="154"/>
      <c r="AB256" s="154"/>
      <c r="AC256" s="154"/>
      <c r="AD256" s="226">
        <v>0.02</v>
      </c>
      <c r="AE256" s="91" t="s">
        <v>75</v>
      </c>
      <c r="AF256" s="55" t="s">
        <v>1106</v>
      </c>
      <c r="AG256" s="56" t="s">
        <v>1274</v>
      </c>
      <c r="AH256" s="56" t="s">
        <v>1275</v>
      </c>
    </row>
    <row r="257" spans="1:34" s="121" customFormat="1">
      <c r="A257" s="113" t="s">
        <v>2158</v>
      </c>
      <c r="B257" s="273" t="s">
        <v>2159</v>
      </c>
      <c r="C257" s="292">
        <v>1</v>
      </c>
      <c r="D257" s="116" t="s">
        <v>2157</v>
      </c>
      <c r="E257" s="115" t="s">
        <v>2158</v>
      </c>
      <c r="F257" s="116">
        <v>29.04</v>
      </c>
      <c r="G257" s="138">
        <f t="shared" si="73"/>
        <v>0.2</v>
      </c>
      <c r="H257" s="116">
        <f t="shared" si="64"/>
        <v>23.231999999999999</v>
      </c>
      <c r="I257" s="153"/>
      <c r="J257" s="154"/>
      <c r="K257" s="154"/>
      <c r="L257" s="154"/>
      <c r="M257" s="226">
        <v>0.02</v>
      </c>
      <c r="N257" s="91" t="s">
        <v>75</v>
      </c>
      <c r="O257" s="55" t="s">
        <v>1106</v>
      </c>
      <c r="P257" s="56" t="s">
        <v>504</v>
      </c>
      <c r="Q257" s="56" t="s">
        <v>1273</v>
      </c>
      <c r="R257" s="113" t="s">
        <v>2158</v>
      </c>
      <c r="S257" s="273" t="s">
        <v>2159</v>
      </c>
      <c r="T257" s="292">
        <v>1</v>
      </c>
      <c r="U257" s="116" t="s">
        <v>2157</v>
      </c>
      <c r="V257" s="115" t="s">
        <v>2158</v>
      </c>
      <c r="W257" s="116">
        <v>29.04</v>
      </c>
      <c r="X257" s="138">
        <f t="shared" si="74"/>
        <v>0.2</v>
      </c>
      <c r="Y257" s="116">
        <f t="shared" si="66"/>
        <v>23.231999999999999</v>
      </c>
      <c r="Z257" s="153"/>
      <c r="AA257" s="154"/>
      <c r="AB257" s="154"/>
      <c r="AC257" s="154"/>
      <c r="AD257" s="226">
        <v>0.02</v>
      </c>
      <c r="AE257" s="91" t="s">
        <v>75</v>
      </c>
      <c r="AF257" s="55" t="s">
        <v>1106</v>
      </c>
      <c r="AG257" s="56" t="s">
        <v>1274</v>
      </c>
      <c r="AH257" s="56" t="s">
        <v>1275</v>
      </c>
    </row>
    <row r="258" spans="1:34" s="121" customFormat="1">
      <c r="A258" s="113" t="s">
        <v>2160</v>
      </c>
      <c r="B258" s="273" t="s">
        <v>2161</v>
      </c>
      <c r="C258" s="292">
        <v>1</v>
      </c>
      <c r="D258" s="116" t="s">
        <v>2157</v>
      </c>
      <c r="E258" s="115" t="s">
        <v>2162</v>
      </c>
      <c r="F258" s="116">
        <v>48.39</v>
      </c>
      <c r="G258" s="138">
        <f t="shared" si="73"/>
        <v>0.2</v>
      </c>
      <c r="H258" s="116">
        <f t="shared" si="64"/>
        <v>38.712000000000003</v>
      </c>
      <c r="I258" s="153"/>
      <c r="J258" s="154"/>
      <c r="K258" s="154"/>
      <c r="L258" s="154"/>
      <c r="M258" s="226">
        <v>0.05</v>
      </c>
      <c r="N258" s="91" t="s">
        <v>75</v>
      </c>
      <c r="O258" s="55" t="s">
        <v>1106</v>
      </c>
      <c r="P258" s="56" t="s">
        <v>504</v>
      </c>
      <c r="Q258" s="56" t="s">
        <v>1273</v>
      </c>
      <c r="R258" s="113" t="s">
        <v>2160</v>
      </c>
      <c r="S258" s="273" t="s">
        <v>2161</v>
      </c>
      <c r="T258" s="292">
        <v>1</v>
      </c>
      <c r="U258" s="116" t="s">
        <v>2157</v>
      </c>
      <c r="V258" s="115" t="s">
        <v>2162</v>
      </c>
      <c r="W258" s="116">
        <v>48.39</v>
      </c>
      <c r="X258" s="138">
        <f t="shared" si="74"/>
        <v>0.2</v>
      </c>
      <c r="Y258" s="116">
        <f t="shared" si="66"/>
        <v>38.712000000000003</v>
      </c>
      <c r="Z258" s="153"/>
      <c r="AA258" s="154"/>
      <c r="AB258" s="154"/>
      <c r="AC258" s="154"/>
      <c r="AD258" s="226">
        <v>0.05</v>
      </c>
      <c r="AE258" s="91" t="s">
        <v>75</v>
      </c>
      <c r="AF258" s="55" t="s">
        <v>1106</v>
      </c>
      <c r="AG258" s="56" t="s">
        <v>1274</v>
      </c>
      <c r="AH258" s="56" t="s">
        <v>1275</v>
      </c>
    </row>
    <row r="259" spans="1:34" s="121" customFormat="1">
      <c r="A259" s="113" t="s">
        <v>2163</v>
      </c>
      <c r="B259" s="273" t="s">
        <v>2164</v>
      </c>
      <c r="C259" s="292">
        <v>1</v>
      </c>
      <c r="D259" s="116" t="s">
        <v>2157</v>
      </c>
      <c r="E259" s="115" t="s">
        <v>2163</v>
      </c>
      <c r="F259" s="116">
        <v>115</v>
      </c>
      <c r="G259" s="138">
        <f t="shared" si="73"/>
        <v>0.2</v>
      </c>
      <c r="H259" s="116">
        <f t="shared" si="64"/>
        <v>92</v>
      </c>
      <c r="I259" s="153"/>
      <c r="J259" s="154"/>
      <c r="K259" s="154"/>
      <c r="L259" s="154"/>
      <c r="M259" s="226">
        <v>0.05</v>
      </c>
      <c r="N259" s="91" t="s">
        <v>75</v>
      </c>
      <c r="O259" s="55" t="s">
        <v>1106</v>
      </c>
      <c r="P259" s="56" t="s">
        <v>504</v>
      </c>
      <c r="Q259" s="56" t="s">
        <v>1273</v>
      </c>
      <c r="R259" s="113" t="s">
        <v>2163</v>
      </c>
      <c r="S259" s="273" t="s">
        <v>2164</v>
      </c>
      <c r="T259" s="292">
        <v>1</v>
      </c>
      <c r="U259" s="116" t="s">
        <v>2157</v>
      </c>
      <c r="V259" s="115" t="s">
        <v>2163</v>
      </c>
      <c r="W259" s="116">
        <v>115</v>
      </c>
      <c r="X259" s="138">
        <f t="shared" si="74"/>
        <v>0.2</v>
      </c>
      <c r="Y259" s="116">
        <f t="shared" si="66"/>
        <v>92</v>
      </c>
      <c r="Z259" s="153"/>
      <c r="AA259" s="154"/>
      <c r="AB259" s="154"/>
      <c r="AC259" s="154"/>
      <c r="AD259" s="226">
        <v>0.05</v>
      </c>
      <c r="AE259" s="91" t="s">
        <v>75</v>
      </c>
      <c r="AF259" s="55" t="s">
        <v>1106</v>
      </c>
      <c r="AG259" s="56" t="s">
        <v>1274</v>
      </c>
      <c r="AH259" s="56" t="s">
        <v>1275</v>
      </c>
    </row>
    <row r="260" spans="1:34" s="121" customFormat="1">
      <c r="A260" s="113" t="s">
        <v>2165</v>
      </c>
      <c r="B260" s="273" t="s">
        <v>2166</v>
      </c>
      <c r="C260" s="292">
        <v>1</v>
      </c>
      <c r="D260" s="116" t="s">
        <v>2157</v>
      </c>
      <c r="E260" s="115" t="s">
        <v>2165</v>
      </c>
      <c r="F260" s="116">
        <v>135.61000000000001</v>
      </c>
      <c r="G260" s="138">
        <f t="shared" si="73"/>
        <v>0.2</v>
      </c>
      <c r="H260" s="116">
        <f t="shared" si="64"/>
        <v>108.48800000000001</v>
      </c>
      <c r="I260" s="153"/>
      <c r="J260" s="154"/>
      <c r="K260" s="154"/>
      <c r="L260" s="154"/>
      <c r="M260" s="226">
        <v>0.11</v>
      </c>
      <c r="N260" s="91" t="s">
        <v>75</v>
      </c>
      <c r="O260" s="55" t="s">
        <v>1106</v>
      </c>
      <c r="P260" s="56" t="s">
        <v>504</v>
      </c>
      <c r="Q260" s="56" t="s">
        <v>1273</v>
      </c>
      <c r="R260" s="113" t="s">
        <v>2165</v>
      </c>
      <c r="S260" s="273" t="s">
        <v>2166</v>
      </c>
      <c r="T260" s="292">
        <v>1</v>
      </c>
      <c r="U260" s="116" t="s">
        <v>2157</v>
      </c>
      <c r="V260" s="115" t="s">
        <v>2165</v>
      </c>
      <c r="W260" s="116">
        <v>135.61000000000001</v>
      </c>
      <c r="X260" s="138">
        <f t="shared" si="74"/>
        <v>0.2</v>
      </c>
      <c r="Y260" s="116">
        <f t="shared" si="66"/>
        <v>108.48800000000001</v>
      </c>
      <c r="Z260" s="153"/>
      <c r="AA260" s="154"/>
      <c r="AB260" s="154"/>
      <c r="AC260" s="154"/>
      <c r="AD260" s="226">
        <v>0.11</v>
      </c>
      <c r="AE260" s="91" t="s">
        <v>75</v>
      </c>
      <c r="AF260" s="55" t="s">
        <v>1106</v>
      </c>
      <c r="AG260" s="56" t="s">
        <v>1274</v>
      </c>
      <c r="AH260" s="56" t="s">
        <v>1275</v>
      </c>
    </row>
    <row r="261" spans="1:34" s="1" customFormat="1">
      <c r="A261" s="25" t="s">
        <v>2167</v>
      </c>
      <c r="B261" s="64" t="s">
        <v>2168</v>
      </c>
      <c r="C261" s="65">
        <v>1</v>
      </c>
      <c r="D261" s="35" t="s">
        <v>2169</v>
      </c>
      <c r="E261" s="29" t="s">
        <v>2167</v>
      </c>
      <c r="F261" s="35">
        <v>76.290000000000006</v>
      </c>
      <c r="G261" s="22">
        <f t="shared" si="73"/>
        <v>0.2</v>
      </c>
      <c r="H261" s="35">
        <f t="shared" si="64"/>
        <v>61.032000000000004</v>
      </c>
      <c r="I261" s="27"/>
      <c r="J261" s="23"/>
      <c r="K261" s="23"/>
      <c r="L261" s="23"/>
      <c r="M261" s="63">
        <v>0.05</v>
      </c>
      <c r="N261" s="91" t="s">
        <v>75</v>
      </c>
      <c r="O261" s="55" t="s">
        <v>1106</v>
      </c>
      <c r="P261" s="56" t="s">
        <v>504</v>
      </c>
      <c r="Q261" s="56" t="s">
        <v>1273</v>
      </c>
      <c r="R261" s="25" t="s">
        <v>2167</v>
      </c>
      <c r="S261" s="64" t="s">
        <v>2168</v>
      </c>
      <c r="T261" s="65">
        <v>1</v>
      </c>
      <c r="U261" s="35" t="s">
        <v>2169</v>
      </c>
      <c r="V261" s="29" t="s">
        <v>2167</v>
      </c>
      <c r="W261" s="35">
        <v>76.290000000000006</v>
      </c>
      <c r="X261" s="22">
        <f t="shared" si="74"/>
        <v>0.2</v>
      </c>
      <c r="Y261" s="35">
        <f t="shared" si="66"/>
        <v>61.032000000000004</v>
      </c>
      <c r="Z261" s="27"/>
      <c r="AA261" s="23"/>
      <c r="AB261" s="23"/>
      <c r="AC261" s="23"/>
      <c r="AD261" s="63">
        <v>0.05</v>
      </c>
      <c r="AE261" s="91" t="s">
        <v>75</v>
      </c>
      <c r="AF261" s="55" t="s">
        <v>1106</v>
      </c>
      <c r="AG261" s="14" t="s">
        <v>1274</v>
      </c>
      <c r="AH261" s="14" t="s">
        <v>1275</v>
      </c>
    </row>
    <row r="262" spans="1:34" s="1" customFormat="1">
      <c r="A262" s="25" t="s">
        <v>2170</v>
      </c>
      <c r="B262" s="64" t="s">
        <v>2171</v>
      </c>
      <c r="C262" s="65">
        <v>1</v>
      </c>
      <c r="D262" s="62" t="s">
        <v>2169</v>
      </c>
      <c r="E262" s="29" t="s">
        <v>2170</v>
      </c>
      <c r="F262" s="35">
        <v>95</v>
      </c>
      <c r="G262" s="22">
        <f t="shared" si="73"/>
        <v>0.2</v>
      </c>
      <c r="H262" s="35">
        <f t="shared" si="64"/>
        <v>76</v>
      </c>
      <c r="I262" s="27"/>
      <c r="J262" s="23"/>
      <c r="K262" s="23"/>
      <c r="L262" s="23"/>
      <c r="M262" s="63">
        <v>0</v>
      </c>
      <c r="N262" s="91" t="s">
        <v>75</v>
      </c>
      <c r="O262" s="55" t="s">
        <v>1106</v>
      </c>
      <c r="P262" s="56" t="s">
        <v>504</v>
      </c>
      <c r="Q262" s="56" t="s">
        <v>1273</v>
      </c>
      <c r="R262" s="25" t="s">
        <v>2170</v>
      </c>
      <c r="S262" s="64" t="s">
        <v>2171</v>
      </c>
      <c r="T262" s="65">
        <v>1</v>
      </c>
      <c r="U262" s="62" t="s">
        <v>2169</v>
      </c>
      <c r="V262" s="29" t="s">
        <v>2170</v>
      </c>
      <c r="W262" s="35">
        <v>95</v>
      </c>
      <c r="X262" s="22">
        <f t="shared" si="74"/>
        <v>0.2</v>
      </c>
      <c r="Y262" s="35">
        <f t="shared" si="66"/>
        <v>76</v>
      </c>
      <c r="Z262" s="429"/>
      <c r="AA262" s="430"/>
      <c r="AB262" s="430"/>
      <c r="AC262" s="430"/>
      <c r="AD262" s="63">
        <v>0</v>
      </c>
      <c r="AE262" s="91" t="s">
        <v>75</v>
      </c>
      <c r="AF262" s="55" t="s">
        <v>1106</v>
      </c>
      <c r="AG262" s="14" t="s">
        <v>1274</v>
      </c>
      <c r="AH262" s="14" t="s">
        <v>1275</v>
      </c>
    </row>
    <row r="263" spans="1:34" s="1" customFormat="1">
      <c r="A263" s="25"/>
      <c r="B263" s="64"/>
      <c r="C263" s="65"/>
      <c r="D263" s="35"/>
      <c r="E263" s="29"/>
      <c r="F263" s="35"/>
      <c r="G263" s="22"/>
      <c r="H263" s="35"/>
      <c r="I263" s="27"/>
      <c r="J263" s="23"/>
      <c r="K263" s="23"/>
      <c r="L263" s="23"/>
      <c r="M263" s="63"/>
      <c r="N263" s="91"/>
      <c r="O263" s="55"/>
      <c r="P263" s="14"/>
      <c r="Q263" s="14"/>
      <c r="R263" s="25"/>
      <c r="S263" s="64"/>
      <c r="T263" s="65"/>
      <c r="U263" s="35"/>
      <c r="V263" s="29"/>
      <c r="W263" s="35"/>
      <c r="X263" s="22"/>
      <c r="Y263" s="35"/>
      <c r="Z263" s="27"/>
      <c r="AA263" s="23"/>
      <c r="AB263" s="23"/>
      <c r="AC263" s="23"/>
      <c r="AD263" s="63"/>
      <c r="AE263" s="91"/>
      <c r="AF263" s="55" t="s">
        <v>1106</v>
      </c>
      <c r="AG263" s="14" t="s">
        <v>1274</v>
      </c>
      <c r="AH263" s="14" t="s">
        <v>1275</v>
      </c>
    </row>
    <row r="264" spans="1:34" s="1" customFormat="1">
      <c r="A264" s="25" t="s">
        <v>2172</v>
      </c>
      <c r="B264" s="64" t="s">
        <v>2173</v>
      </c>
      <c r="C264" s="142">
        <v>1</v>
      </c>
      <c r="D264" s="142" t="s">
        <v>2169</v>
      </c>
      <c r="E264" s="142" t="s">
        <v>2172</v>
      </c>
      <c r="F264" s="63">
        <v>373</v>
      </c>
      <c r="G264" s="22">
        <f t="shared" si="73"/>
        <v>0.2</v>
      </c>
      <c r="H264" s="35">
        <f t="shared" ref="H264:H328" si="75">F264-(F264*G264)</f>
        <v>298.39999999999998</v>
      </c>
      <c r="I264" s="27"/>
      <c r="J264" s="23"/>
      <c r="K264" s="23"/>
      <c r="L264" s="23"/>
      <c r="M264" s="63">
        <v>0.1</v>
      </c>
      <c r="N264" s="91" t="s">
        <v>75</v>
      </c>
      <c r="O264" s="55" t="s">
        <v>1106</v>
      </c>
      <c r="P264" s="56" t="s">
        <v>504</v>
      </c>
      <c r="Q264" s="56" t="s">
        <v>1273</v>
      </c>
      <c r="R264" s="25" t="s">
        <v>2172</v>
      </c>
      <c r="S264" s="64" t="s">
        <v>2173</v>
      </c>
      <c r="T264" s="142">
        <v>1</v>
      </c>
      <c r="U264" s="142" t="s">
        <v>2169</v>
      </c>
      <c r="V264" s="142" t="s">
        <v>2172</v>
      </c>
      <c r="W264" s="35">
        <v>373</v>
      </c>
      <c r="X264" s="22">
        <f t="shared" si="74"/>
        <v>0.2</v>
      </c>
      <c r="Y264" s="35">
        <f t="shared" ref="Y264:Y267" si="76">W264-(W264*X264)</f>
        <v>298.39999999999998</v>
      </c>
      <c r="Z264" s="27"/>
      <c r="AA264" s="23"/>
      <c r="AB264" s="23"/>
      <c r="AC264" s="23"/>
      <c r="AD264" s="63">
        <v>0.1</v>
      </c>
      <c r="AE264" s="91" t="s">
        <v>75</v>
      </c>
      <c r="AF264" s="55" t="s">
        <v>1106</v>
      </c>
      <c r="AG264" s="14" t="s">
        <v>1274</v>
      </c>
      <c r="AH264" s="14" t="s">
        <v>1275</v>
      </c>
    </row>
    <row r="265" spans="1:34" s="1" customFormat="1">
      <c r="A265" s="25" t="s">
        <v>2174</v>
      </c>
      <c r="B265" s="64" t="s">
        <v>2175</v>
      </c>
      <c r="C265" s="65">
        <v>1</v>
      </c>
      <c r="D265" s="35" t="s">
        <v>2169</v>
      </c>
      <c r="E265" s="29" t="s">
        <v>2174</v>
      </c>
      <c r="F265" s="35">
        <v>46.09</v>
      </c>
      <c r="G265" s="22">
        <f t="shared" si="73"/>
        <v>0.2</v>
      </c>
      <c r="H265" s="35">
        <f t="shared" si="75"/>
        <v>36.872</v>
      </c>
      <c r="I265" s="27"/>
      <c r="J265" s="23"/>
      <c r="K265" s="23"/>
      <c r="L265" s="23"/>
      <c r="M265" s="63">
        <v>0.02</v>
      </c>
      <c r="N265" s="91" t="s">
        <v>75</v>
      </c>
      <c r="O265" s="55" t="s">
        <v>1106</v>
      </c>
      <c r="P265" s="56" t="s">
        <v>504</v>
      </c>
      <c r="Q265" s="56" t="s">
        <v>1273</v>
      </c>
      <c r="R265" s="25" t="s">
        <v>2174</v>
      </c>
      <c r="S265" s="64" t="s">
        <v>2175</v>
      </c>
      <c r="T265" s="65">
        <v>1</v>
      </c>
      <c r="U265" s="35" t="s">
        <v>2169</v>
      </c>
      <c r="V265" s="29" t="s">
        <v>2174</v>
      </c>
      <c r="W265" s="35">
        <v>46.09</v>
      </c>
      <c r="X265" s="22">
        <f t="shared" si="74"/>
        <v>0.2</v>
      </c>
      <c r="Y265" s="35">
        <f t="shared" si="76"/>
        <v>36.872</v>
      </c>
      <c r="Z265" s="27"/>
      <c r="AA265" s="23"/>
      <c r="AB265" s="23"/>
      <c r="AC265" s="23"/>
      <c r="AD265" s="63">
        <v>0.02</v>
      </c>
      <c r="AE265" s="91" t="s">
        <v>75</v>
      </c>
      <c r="AF265" s="55" t="s">
        <v>1106</v>
      </c>
      <c r="AG265" s="14" t="s">
        <v>1274</v>
      </c>
      <c r="AH265" s="14" t="s">
        <v>1275</v>
      </c>
    </row>
    <row r="266" spans="1:34" s="1" customFormat="1">
      <c r="A266" s="25" t="s">
        <v>2176</v>
      </c>
      <c r="B266" s="64" t="s">
        <v>2177</v>
      </c>
      <c r="C266" s="65">
        <v>1</v>
      </c>
      <c r="D266" s="35" t="s">
        <v>2169</v>
      </c>
      <c r="E266" s="29" t="s">
        <v>2176</v>
      </c>
      <c r="F266" s="35">
        <v>135.59</v>
      </c>
      <c r="G266" s="22">
        <f t="shared" si="73"/>
        <v>0.2</v>
      </c>
      <c r="H266" s="35">
        <f t="shared" si="75"/>
        <v>108.47200000000001</v>
      </c>
      <c r="I266" s="27"/>
      <c r="J266" s="23"/>
      <c r="K266" s="23"/>
      <c r="L266" s="23"/>
      <c r="M266" s="63">
        <v>0</v>
      </c>
      <c r="N266" s="91" t="s">
        <v>75</v>
      </c>
      <c r="O266" s="55" t="s">
        <v>1106</v>
      </c>
      <c r="P266" s="56" t="s">
        <v>504</v>
      </c>
      <c r="Q266" s="56" t="s">
        <v>1273</v>
      </c>
      <c r="R266" s="25" t="s">
        <v>2176</v>
      </c>
      <c r="S266" s="64" t="s">
        <v>2177</v>
      </c>
      <c r="T266" s="65">
        <v>1</v>
      </c>
      <c r="U266" s="35" t="s">
        <v>2169</v>
      </c>
      <c r="V266" s="29" t="s">
        <v>2176</v>
      </c>
      <c r="W266" s="35">
        <v>135.59</v>
      </c>
      <c r="X266" s="22">
        <f t="shared" si="74"/>
        <v>0.2</v>
      </c>
      <c r="Y266" s="35">
        <f t="shared" si="76"/>
        <v>108.47200000000001</v>
      </c>
      <c r="Z266" s="27"/>
      <c r="AA266" s="23"/>
      <c r="AB266" s="23"/>
      <c r="AC266" s="23"/>
      <c r="AD266" s="63">
        <v>0</v>
      </c>
      <c r="AE266" s="91" t="s">
        <v>75</v>
      </c>
      <c r="AF266" s="55" t="s">
        <v>1106</v>
      </c>
      <c r="AG266" s="14" t="s">
        <v>1274</v>
      </c>
      <c r="AH266" s="14" t="s">
        <v>1275</v>
      </c>
    </row>
    <row r="267" spans="1:34" s="1" customFormat="1">
      <c r="A267" s="25" t="s">
        <v>2178</v>
      </c>
      <c r="B267" s="64" t="s">
        <v>2179</v>
      </c>
      <c r="C267" s="65">
        <v>1</v>
      </c>
      <c r="D267" s="35" t="s">
        <v>2169</v>
      </c>
      <c r="E267" s="29" t="s">
        <v>2178</v>
      </c>
      <c r="F267" s="35">
        <v>110.71</v>
      </c>
      <c r="G267" s="22">
        <f t="shared" si="73"/>
        <v>0.2</v>
      </c>
      <c r="H267" s="35">
        <f t="shared" si="75"/>
        <v>88.567999999999998</v>
      </c>
      <c r="I267" s="27"/>
      <c r="J267" s="23"/>
      <c r="K267" s="23"/>
      <c r="L267" s="23"/>
      <c r="M267" s="63">
        <v>0</v>
      </c>
      <c r="N267" s="91" t="s">
        <v>75</v>
      </c>
      <c r="O267" s="55" t="s">
        <v>1106</v>
      </c>
      <c r="P267" s="56" t="s">
        <v>504</v>
      </c>
      <c r="Q267" s="56" t="s">
        <v>1273</v>
      </c>
      <c r="R267" s="25" t="s">
        <v>2178</v>
      </c>
      <c r="S267" s="64" t="s">
        <v>2179</v>
      </c>
      <c r="T267" s="65">
        <v>1</v>
      </c>
      <c r="U267" s="35" t="s">
        <v>2169</v>
      </c>
      <c r="V267" s="29" t="s">
        <v>2178</v>
      </c>
      <c r="W267" s="35">
        <v>110.71</v>
      </c>
      <c r="X267" s="22">
        <f t="shared" si="74"/>
        <v>0.2</v>
      </c>
      <c r="Y267" s="35">
        <f t="shared" si="76"/>
        <v>88.567999999999998</v>
      </c>
      <c r="Z267" s="27"/>
      <c r="AA267" s="23"/>
      <c r="AB267" s="23"/>
      <c r="AC267" s="23"/>
      <c r="AD267" s="63">
        <v>0</v>
      </c>
      <c r="AE267" s="91" t="s">
        <v>75</v>
      </c>
      <c r="AF267" s="55" t="s">
        <v>1106</v>
      </c>
      <c r="AG267" s="14" t="s">
        <v>1274</v>
      </c>
      <c r="AH267" s="14" t="s">
        <v>1275</v>
      </c>
    </row>
    <row r="268" spans="1:34" s="1" customFormat="1">
      <c r="A268" s="25"/>
      <c r="B268" s="64"/>
      <c r="C268" s="65"/>
      <c r="D268" s="35"/>
      <c r="E268" s="29"/>
      <c r="F268" s="35"/>
      <c r="G268" s="22"/>
      <c r="H268" s="35"/>
      <c r="I268" s="27"/>
      <c r="J268" s="23"/>
      <c r="K268" s="23"/>
      <c r="L268" s="23"/>
      <c r="M268" s="63"/>
      <c r="N268" s="91"/>
      <c r="O268" s="55"/>
      <c r="P268" s="14"/>
      <c r="Q268" s="14"/>
      <c r="R268" s="331"/>
      <c r="S268" s="390"/>
      <c r="T268" s="427"/>
      <c r="U268" s="435"/>
      <c r="V268" s="29"/>
      <c r="W268" s="35"/>
      <c r="X268" s="22"/>
      <c r="Y268" s="35"/>
      <c r="Z268" s="27"/>
      <c r="AA268" s="23"/>
      <c r="AB268" s="23"/>
      <c r="AC268" s="23"/>
      <c r="AD268" s="63"/>
      <c r="AE268" s="91"/>
      <c r="AF268" s="55" t="s">
        <v>1106</v>
      </c>
      <c r="AG268" s="14" t="s">
        <v>1274</v>
      </c>
      <c r="AH268" s="14" t="s">
        <v>1275</v>
      </c>
    </row>
    <row r="269" spans="1:34" s="1" customFormat="1">
      <c r="A269" s="25" t="s">
        <v>2180</v>
      </c>
      <c r="B269" s="64" t="s">
        <v>2181</v>
      </c>
      <c r="C269" s="65">
        <v>1</v>
      </c>
      <c r="D269" s="29" t="s">
        <v>2182</v>
      </c>
      <c r="E269" s="29" t="s">
        <v>2180</v>
      </c>
      <c r="F269" s="35">
        <v>126.48</v>
      </c>
      <c r="G269" s="22">
        <f t="shared" si="73"/>
        <v>0.2</v>
      </c>
      <c r="H269" s="35">
        <f t="shared" si="75"/>
        <v>101.184</v>
      </c>
      <c r="I269" s="27"/>
      <c r="J269" s="23"/>
      <c r="K269" s="23"/>
      <c r="L269" s="17">
        <v>6</v>
      </c>
      <c r="M269" s="63">
        <v>0.05</v>
      </c>
      <c r="N269" s="91" t="s">
        <v>75</v>
      </c>
      <c r="O269" s="55" t="s">
        <v>1106</v>
      </c>
      <c r="P269" s="56" t="s">
        <v>504</v>
      </c>
      <c r="Q269" s="56" t="s">
        <v>1273</v>
      </c>
      <c r="R269" s="25" t="s">
        <v>2180</v>
      </c>
      <c r="S269" s="64" t="s">
        <v>2181</v>
      </c>
      <c r="T269" s="65">
        <v>1</v>
      </c>
      <c r="U269" s="29" t="s">
        <v>2182</v>
      </c>
      <c r="V269" s="29" t="s">
        <v>2180</v>
      </c>
      <c r="W269" s="35">
        <v>126.48</v>
      </c>
      <c r="X269" s="22">
        <f t="shared" si="74"/>
        <v>0.2</v>
      </c>
      <c r="Y269" s="35">
        <f t="shared" ref="Y269:Y323" si="77">W269-(W269*X269)</f>
        <v>101.184</v>
      </c>
      <c r="Z269" s="27"/>
      <c r="AA269" s="23"/>
      <c r="AB269" s="23"/>
      <c r="AC269" s="17">
        <v>6</v>
      </c>
      <c r="AD269" s="63">
        <v>0.05</v>
      </c>
      <c r="AE269" s="91" t="s">
        <v>75</v>
      </c>
      <c r="AF269" s="55" t="s">
        <v>1106</v>
      </c>
      <c r="AG269" s="14" t="s">
        <v>1274</v>
      </c>
      <c r="AH269" s="14" t="s">
        <v>1275</v>
      </c>
    </row>
    <row r="270" spans="1:34" s="1" customFormat="1">
      <c r="A270" s="25" t="s">
        <v>2183</v>
      </c>
      <c r="B270" s="64" t="s">
        <v>2184</v>
      </c>
      <c r="C270" s="65">
        <v>1</v>
      </c>
      <c r="D270" s="29" t="s">
        <v>2182</v>
      </c>
      <c r="E270" s="29" t="s">
        <v>2183</v>
      </c>
      <c r="F270" s="35">
        <v>154.02000000000001</v>
      </c>
      <c r="G270" s="22">
        <f t="shared" si="73"/>
        <v>0.2</v>
      </c>
      <c r="H270" s="35">
        <f t="shared" si="75"/>
        <v>123.21600000000001</v>
      </c>
      <c r="I270" s="27"/>
      <c r="J270" s="23"/>
      <c r="K270" s="23"/>
      <c r="L270" s="17">
        <v>6</v>
      </c>
      <c r="M270" s="63">
        <v>0</v>
      </c>
      <c r="N270" s="91" t="s">
        <v>75</v>
      </c>
      <c r="O270" s="55" t="s">
        <v>1106</v>
      </c>
      <c r="P270" s="56" t="s">
        <v>504</v>
      </c>
      <c r="Q270" s="56" t="s">
        <v>1273</v>
      </c>
      <c r="R270" s="25" t="s">
        <v>2183</v>
      </c>
      <c r="S270" s="64" t="s">
        <v>2184</v>
      </c>
      <c r="T270" s="65">
        <v>1</v>
      </c>
      <c r="U270" s="29" t="s">
        <v>2182</v>
      </c>
      <c r="V270" s="29" t="s">
        <v>2183</v>
      </c>
      <c r="W270" s="35">
        <v>154.02000000000001</v>
      </c>
      <c r="X270" s="22">
        <f t="shared" si="74"/>
        <v>0.2</v>
      </c>
      <c r="Y270" s="35">
        <f t="shared" si="77"/>
        <v>123.21600000000001</v>
      </c>
      <c r="Z270" s="27"/>
      <c r="AA270" s="23"/>
      <c r="AB270" s="23"/>
      <c r="AC270" s="17">
        <v>6</v>
      </c>
      <c r="AD270" s="63">
        <v>0</v>
      </c>
      <c r="AE270" s="91" t="s">
        <v>75</v>
      </c>
      <c r="AF270" s="55" t="s">
        <v>1106</v>
      </c>
      <c r="AG270" s="14" t="s">
        <v>1274</v>
      </c>
      <c r="AH270" s="14" t="s">
        <v>1275</v>
      </c>
    </row>
    <row r="271" spans="1:34" s="1" customFormat="1">
      <c r="A271" s="25" t="s">
        <v>2185</v>
      </c>
      <c r="B271" s="64" t="s">
        <v>2186</v>
      </c>
      <c r="C271" s="65">
        <v>1</v>
      </c>
      <c r="D271" s="29" t="s">
        <v>2182</v>
      </c>
      <c r="E271" s="29" t="s">
        <v>2185</v>
      </c>
      <c r="F271" s="35">
        <v>224.95</v>
      </c>
      <c r="G271" s="22">
        <f t="shared" si="73"/>
        <v>0.2</v>
      </c>
      <c r="H271" s="35">
        <f t="shared" si="75"/>
        <v>179.95999999999998</v>
      </c>
      <c r="I271" s="27"/>
      <c r="J271" s="23"/>
      <c r="K271" s="23"/>
      <c r="L271" s="17">
        <v>6</v>
      </c>
      <c r="M271" s="63">
        <v>0.05</v>
      </c>
      <c r="N271" s="91" t="s">
        <v>75</v>
      </c>
      <c r="O271" s="55" t="s">
        <v>1106</v>
      </c>
      <c r="P271" s="56" t="s">
        <v>504</v>
      </c>
      <c r="Q271" s="56" t="s">
        <v>1273</v>
      </c>
      <c r="R271" s="25" t="s">
        <v>2185</v>
      </c>
      <c r="S271" s="64" t="s">
        <v>2186</v>
      </c>
      <c r="T271" s="65">
        <v>1</v>
      </c>
      <c r="U271" s="29" t="s">
        <v>2182</v>
      </c>
      <c r="V271" s="29" t="s">
        <v>2185</v>
      </c>
      <c r="W271" s="35">
        <v>224.95</v>
      </c>
      <c r="X271" s="22">
        <f t="shared" si="74"/>
        <v>0.2</v>
      </c>
      <c r="Y271" s="35">
        <f t="shared" si="77"/>
        <v>179.95999999999998</v>
      </c>
      <c r="Z271" s="27"/>
      <c r="AA271" s="23"/>
      <c r="AB271" s="23"/>
      <c r="AC271" s="17">
        <v>6</v>
      </c>
      <c r="AD271" s="63">
        <v>0.05</v>
      </c>
      <c r="AE271" s="91" t="s">
        <v>75</v>
      </c>
      <c r="AF271" s="55" t="s">
        <v>1106</v>
      </c>
      <c r="AG271" s="14" t="s">
        <v>1274</v>
      </c>
      <c r="AH271" s="14" t="s">
        <v>1275</v>
      </c>
    </row>
    <row r="272" spans="1:34" s="1" customFormat="1">
      <c r="A272" s="25" t="s">
        <v>2187</v>
      </c>
      <c r="B272" s="64" t="s">
        <v>2188</v>
      </c>
      <c r="C272" s="65">
        <v>1</v>
      </c>
      <c r="D272" s="29" t="s">
        <v>2182</v>
      </c>
      <c r="E272" s="29" t="s">
        <v>2187</v>
      </c>
      <c r="F272" s="35">
        <v>258.18</v>
      </c>
      <c r="G272" s="22">
        <f t="shared" si="73"/>
        <v>0.2</v>
      </c>
      <c r="H272" s="35">
        <f t="shared" si="75"/>
        <v>206.54400000000001</v>
      </c>
      <c r="I272" s="27"/>
      <c r="J272" s="23"/>
      <c r="K272" s="23"/>
      <c r="L272" s="17">
        <v>10</v>
      </c>
      <c r="M272" s="63">
        <v>0.05</v>
      </c>
      <c r="N272" s="91" t="s">
        <v>75</v>
      </c>
      <c r="O272" s="55" t="s">
        <v>1106</v>
      </c>
      <c r="P272" s="56" t="s">
        <v>504</v>
      </c>
      <c r="Q272" s="56" t="s">
        <v>1273</v>
      </c>
      <c r="R272" s="25" t="s">
        <v>2187</v>
      </c>
      <c r="S272" s="64" t="s">
        <v>2188</v>
      </c>
      <c r="T272" s="65">
        <v>1</v>
      </c>
      <c r="U272" s="29" t="s">
        <v>2182</v>
      </c>
      <c r="V272" s="29" t="s">
        <v>2187</v>
      </c>
      <c r="W272" s="35">
        <v>258.18</v>
      </c>
      <c r="X272" s="22">
        <f t="shared" si="74"/>
        <v>0.2</v>
      </c>
      <c r="Y272" s="35">
        <f t="shared" si="77"/>
        <v>206.54400000000001</v>
      </c>
      <c r="Z272" s="27"/>
      <c r="AA272" s="23"/>
      <c r="AB272" s="23"/>
      <c r="AC272" s="17">
        <v>10</v>
      </c>
      <c r="AD272" s="63">
        <v>0.05</v>
      </c>
      <c r="AE272" s="91" t="s">
        <v>75</v>
      </c>
      <c r="AF272" s="55" t="s">
        <v>1106</v>
      </c>
      <c r="AG272" s="14" t="s">
        <v>1274</v>
      </c>
      <c r="AH272" s="14" t="s">
        <v>1275</v>
      </c>
    </row>
    <row r="273" spans="1:34" s="1" customFormat="1">
      <c r="A273" s="25" t="s">
        <v>2189</v>
      </c>
      <c r="B273" s="64" t="s">
        <v>2190</v>
      </c>
      <c r="C273" s="65">
        <v>1</v>
      </c>
      <c r="D273" s="29" t="s">
        <v>2182</v>
      </c>
      <c r="E273" s="29" t="s">
        <v>2189</v>
      </c>
      <c r="F273" s="35">
        <v>186.29</v>
      </c>
      <c r="G273" s="22">
        <f t="shared" si="73"/>
        <v>0.2</v>
      </c>
      <c r="H273" s="35">
        <f t="shared" si="75"/>
        <v>149.03199999999998</v>
      </c>
      <c r="I273" s="27"/>
      <c r="J273" s="23"/>
      <c r="K273" s="23"/>
      <c r="L273" s="17">
        <v>6</v>
      </c>
      <c r="M273" s="63">
        <v>0.05</v>
      </c>
      <c r="N273" s="91" t="s">
        <v>75</v>
      </c>
      <c r="O273" s="55" t="s">
        <v>1106</v>
      </c>
      <c r="P273" s="56" t="s">
        <v>504</v>
      </c>
      <c r="Q273" s="56" t="s">
        <v>1273</v>
      </c>
      <c r="R273" s="25" t="s">
        <v>2189</v>
      </c>
      <c r="S273" s="64" t="s">
        <v>2190</v>
      </c>
      <c r="T273" s="65">
        <v>1</v>
      </c>
      <c r="U273" s="29" t="s">
        <v>2182</v>
      </c>
      <c r="V273" s="29" t="s">
        <v>2189</v>
      </c>
      <c r="W273" s="35">
        <v>186.29</v>
      </c>
      <c r="X273" s="22">
        <f t="shared" si="74"/>
        <v>0.2</v>
      </c>
      <c r="Y273" s="35">
        <f t="shared" si="77"/>
        <v>149.03199999999998</v>
      </c>
      <c r="Z273" s="27"/>
      <c r="AA273" s="23"/>
      <c r="AB273" s="23"/>
      <c r="AC273" s="17">
        <v>6</v>
      </c>
      <c r="AD273" s="63">
        <v>0.05</v>
      </c>
      <c r="AE273" s="91" t="s">
        <v>75</v>
      </c>
      <c r="AF273" s="55" t="s">
        <v>1106</v>
      </c>
      <c r="AG273" s="14" t="s">
        <v>1274</v>
      </c>
      <c r="AH273" s="14" t="s">
        <v>1275</v>
      </c>
    </row>
    <row r="274" spans="1:34" s="1" customFormat="1">
      <c r="A274" s="25" t="s">
        <v>2191</v>
      </c>
      <c r="B274" s="64" t="s">
        <v>2192</v>
      </c>
      <c r="C274" s="65">
        <v>1</v>
      </c>
      <c r="D274" s="29" t="s">
        <v>2182</v>
      </c>
      <c r="E274" s="29" t="s">
        <v>2191</v>
      </c>
      <c r="F274" s="35">
        <v>351.84</v>
      </c>
      <c r="G274" s="22">
        <f t="shared" si="73"/>
        <v>0.2</v>
      </c>
      <c r="H274" s="35">
        <f t="shared" si="75"/>
        <v>281.47199999999998</v>
      </c>
      <c r="I274" s="27"/>
      <c r="J274" s="23"/>
      <c r="K274" s="23"/>
      <c r="L274" s="17">
        <v>6</v>
      </c>
      <c r="M274" s="63">
        <v>0.05</v>
      </c>
      <c r="N274" s="91" t="s">
        <v>75</v>
      </c>
      <c r="O274" s="55" t="s">
        <v>1106</v>
      </c>
      <c r="P274" s="56" t="s">
        <v>504</v>
      </c>
      <c r="Q274" s="56" t="s">
        <v>1273</v>
      </c>
      <c r="R274" s="25" t="s">
        <v>2191</v>
      </c>
      <c r="S274" s="64" t="s">
        <v>2192</v>
      </c>
      <c r="T274" s="65">
        <v>1</v>
      </c>
      <c r="U274" s="29" t="s">
        <v>2182</v>
      </c>
      <c r="V274" s="29" t="s">
        <v>2191</v>
      </c>
      <c r="W274" s="35">
        <v>351.84</v>
      </c>
      <c r="X274" s="22">
        <f t="shared" si="74"/>
        <v>0.2</v>
      </c>
      <c r="Y274" s="35">
        <f t="shared" si="77"/>
        <v>281.47199999999998</v>
      </c>
      <c r="Z274" s="27"/>
      <c r="AA274" s="23"/>
      <c r="AB274" s="23"/>
      <c r="AC274" s="17">
        <v>6</v>
      </c>
      <c r="AD274" s="63">
        <v>0.05</v>
      </c>
      <c r="AE274" s="91" t="s">
        <v>75</v>
      </c>
      <c r="AF274" s="55" t="s">
        <v>1106</v>
      </c>
      <c r="AG274" s="14" t="s">
        <v>1274</v>
      </c>
      <c r="AH274" s="14" t="s">
        <v>1275</v>
      </c>
    </row>
    <row r="275" spans="1:34" s="1" customFormat="1">
      <c r="A275" s="25" t="s">
        <v>2193</v>
      </c>
      <c r="B275" s="64" t="s">
        <v>2194</v>
      </c>
      <c r="C275" s="65">
        <v>1</v>
      </c>
      <c r="D275" s="142" t="s">
        <v>2182</v>
      </c>
      <c r="E275" s="142" t="s">
        <v>2193</v>
      </c>
      <c r="F275" s="299">
        <v>4149.7299999999996</v>
      </c>
      <c r="G275" s="22">
        <f t="shared" si="73"/>
        <v>0.2</v>
      </c>
      <c r="H275" s="35">
        <f t="shared" si="75"/>
        <v>3319.7839999999997</v>
      </c>
      <c r="I275" s="27"/>
      <c r="J275" s="23"/>
      <c r="K275" s="63"/>
      <c r="L275" s="17">
        <v>15</v>
      </c>
      <c r="M275" s="63">
        <v>1.67</v>
      </c>
      <c r="N275" s="91" t="s">
        <v>75</v>
      </c>
      <c r="O275" s="55" t="s">
        <v>1106</v>
      </c>
      <c r="P275" s="56" t="s">
        <v>504</v>
      </c>
      <c r="Q275" s="56" t="s">
        <v>1273</v>
      </c>
      <c r="R275" s="25" t="s">
        <v>2193</v>
      </c>
      <c r="S275" s="64" t="s">
        <v>2194</v>
      </c>
      <c r="T275" s="65">
        <v>1</v>
      </c>
      <c r="U275" s="142" t="s">
        <v>2182</v>
      </c>
      <c r="V275" s="142" t="s">
        <v>2193</v>
      </c>
      <c r="W275" s="299">
        <v>4149.7299999999996</v>
      </c>
      <c r="X275" s="22">
        <f t="shared" si="74"/>
        <v>0.2</v>
      </c>
      <c r="Y275" s="35">
        <f t="shared" si="77"/>
        <v>3319.7839999999997</v>
      </c>
      <c r="Z275" s="27"/>
      <c r="AA275" s="23"/>
      <c r="AB275" s="63"/>
      <c r="AC275" s="63">
        <v>15</v>
      </c>
      <c r="AD275" s="17">
        <v>1.67</v>
      </c>
      <c r="AE275" s="91" t="s">
        <v>75</v>
      </c>
      <c r="AF275" s="55" t="s">
        <v>1106</v>
      </c>
      <c r="AG275" s="14" t="s">
        <v>1274</v>
      </c>
      <c r="AH275" s="14" t="s">
        <v>1275</v>
      </c>
    </row>
    <row r="276" spans="1:34" s="1" customFormat="1">
      <c r="A276" s="25" t="s">
        <v>2195</v>
      </c>
      <c r="B276" s="64" t="s">
        <v>2196</v>
      </c>
      <c r="C276" s="65">
        <v>1</v>
      </c>
      <c r="D276" s="142" t="s">
        <v>2182</v>
      </c>
      <c r="E276" s="142" t="s">
        <v>2195</v>
      </c>
      <c r="F276" s="299">
        <v>4926.9799999999996</v>
      </c>
      <c r="G276" s="22">
        <f t="shared" si="73"/>
        <v>0.2</v>
      </c>
      <c r="H276" s="35">
        <f t="shared" si="75"/>
        <v>3941.5839999999998</v>
      </c>
      <c r="I276" s="27"/>
      <c r="J276" s="23"/>
      <c r="K276" s="63"/>
      <c r="L276" s="17">
        <v>15</v>
      </c>
      <c r="M276" s="63">
        <v>1.67</v>
      </c>
      <c r="N276" s="91" t="s">
        <v>75</v>
      </c>
      <c r="O276" s="55" t="s">
        <v>1106</v>
      </c>
      <c r="P276" s="56" t="s">
        <v>504</v>
      </c>
      <c r="Q276" s="56" t="s">
        <v>1273</v>
      </c>
      <c r="R276" s="25" t="s">
        <v>2195</v>
      </c>
      <c r="S276" s="64" t="s">
        <v>2196</v>
      </c>
      <c r="T276" s="65">
        <v>1</v>
      </c>
      <c r="U276" s="142" t="s">
        <v>2182</v>
      </c>
      <c r="V276" s="142" t="s">
        <v>2195</v>
      </c>
      <c r="W276" s="299">
        <v>4926.9799999999996</v>
      </c>
      <c r="X276" s="22">
        <f t="shared" si="74"/>
        <v>0.2</v>
      </c>
      <c r="Y276" s="35">
        <f t="shared" si="77"/>
        <v>3941.5839999999998</v>
      </c>
      <c r="Z276" s="27"/>
      <c r="AA276" s="23"/>
      <c r="AB276" s="63"/>
      <c r="AC276" s="63">
        <v>15</v>
      </c>
      <c r="AD276" s="17">
        <v>1.67</v>
      </c>
      <c r="AE276" s="91" t="s">
        <v>75</v>
      </c>
      <c r="AF276" s="55" t="s">
        <v>1106</v>
      </c>
      <c r="AG276" s="14" t="s">
        <v>1274</v>
      </c>
      <c r="AH276" s="14" t="s">
        <v>1275</v>
      </c>
    </row>
    <row r="277" spans="1:34" s="1" customFormat="1">
      <c r="A277" s="25" t="s">
        <v>2197</v>
      </c>
      <c r="B277" s="64" t="s">
        <v>2198</v>
      </c>
      <c r="C277" s="65">
        <v>1</v>
      </c>
      <c r="D277" s="142" t="s">
        <v>2182</v>
      </c>
      <c r="E277" s="142" t="s">
        <v>2197</v>
      </c>
      <c r="F277" s="299">
        <v>6566.55</v>
      </c>
      <c r="G277" s="22">
        <f t="shared" si="73"/>
        <v>0.2</v>
      </c>
      <c r="H277" s="35">
        <f t="shared" si="75"/>
        <v>5253.24</v>
      </c>
      <c r="I277" s="27"/>
      <c r="J277" s="23"/>
      <c r="K277" s="63"/>
      <c r="L277" s="17">
        <v>15</v>
      </c>
      <c r="M277" s="63">
        <v>1.67</v>
      </c>
      <c r="N277" s="91" t="s">
        <v>75</v>
      </c>
      <c r="O277" s="55" t="s">
        <v>1106</v>
      </c>
      <c r="P277" s="56" t="s">
        <v>504</v>
      </c>
      <c r="Q277" s="56" t="s">
        <v>1273</v>
      </c>
      <c r="R277" s="25" t="s">
        <v>2197</v>
      </c>
      <c r="S277" s="64" t="s">
        <v>2198</v>
      </c>
      <c r="T277" s="65">
        <v>1</v>
      </c>
      <c r="U277" s="142" t="s">
        <v>2182</v>
      </c>
      <c r="V277" s="142" t="s">
        <v>2197</v>
      </c>
      <c r="W277" s="299">
        <v>6566.55</v>
      </c>
      <c r="X277" s="22">
        <f t="shared" si="74"/>
        <v>0.2</v>
      </c>
      <c r="Y277" s="35">
        <f t="shared" si="77"/>
        <v>5253.24</v>
      </c>
      <c r="Z277" s="27"/>
      <c r="AA277" s="23"/>
      <c r="AB277" s="63"/>
      <c r="AC277" s="63">
        <v>15</v>
      </c>
      <c r="AD277" s="17">
        <v>1.67</v>
      </c>
      <c r="AE277" s="91" t="s">
        <v>75</v>
      </c>
      <c r="AF277" s="55" t="s">
        <v>1106</v>
      </c>
      <c r="AG277" s="14" t="s">
        <v>1274</v>
      </c>
      <c r="AH277" s="14" t="s">
        <v>1275</v>
      </c>
    </row>
    <row r="278" spans="1:34" s="1" customFormat="1">
      <c r="A278" s="25" t="s">
        <v>2199</v>
      </c>
      <c r="B278" s="64" t="s">
        <v>2200</v>
      </c>
      <c r="C278" s="65">
        <v>1</v>
      </c>
      <c r="D278" s="29" t="s">
        <v>2182</v>
      </c>
      <c r="E278" s="29" t="s">
        <v>2199</v>
      </c>
      <c r="F278" s="92">
        <v>1110.6400000000001</v>
      </c>
      <c r="G278" s="22">
        <f t="shared" si="73"/>
        <v>0.2</v>
      </c>
      <c r="H278" s="35">
        <f t="shared" si="75"/>
        <v>888.51200000000006</v>
      </c>
      <c r="I278" s="27"/>
      <c r="J278" s="23"/>
      <c r="K278" s="23"/>
      <c r="L278" s="17">
        <v>0</v>
      </c>
      <c r="M278" s="63">
        <v>0</v>
      </c>
      <c r="N278" s="91" t="s">
        <v>75</v>
      </c>
      <c r="O278" s="55" t="s">
        <v>1106</v>
      </c>
      <c r="P278" s="56" t="s">
        <v>504</v>
      </c>
      <c r="Q278" s="56" t="s">
        <v>1273</v>
      </c>
      <c r="R278" s="25" t="s">
        <v>2199</v>
      </c>
      <c r="S278" s="64" t="s">
        <v>2200</v>
      </c>
      <c r="T278" s="65">
        <v>1</v>
      </c>
      <c r="U278" s="29" t="s">
        <v>2182</v>
      </c>
      <c r="V278" s="29" t="s">
        <v>2199</v>
      </c>
      <c r="W278" s="92">
        <v>1110.6400000000001</v>
      </c>
      <c r="X278" s="22">
        <f t="shared" si="74"/>
        <v>0.2</v>
      </c>
      <c r="Y278" s="35">
        <f t="shared" si="77"/>
        <v>888.51200000000006</v>
      </c>
      <c r="Z278" s="27"/>
      <c r="AA278" s="23"/>
      <c r="AB278" s="23"/>
      <c r="AC278" s="17">
        <v>0</v>
      </c>
      <c r="AD278" s="63">
        <v>0</v>
      </c>
      <c r="AE278" s="91" t="s">
        <v>75</v>
      </c>
      <c r="AF278" s="55" t="s">
        <v>1106</v>
      </c>
      <c r="AG278" s="14" t="s">
        <v>1274</v>
      </c>
      <c r="AH278" s="14" t="s">
        <v>1275</v>
      </c>
    </row>
    <row r="279" spans="1:34" s="1" customFormat="1">
      <c r="A279" s="25" t="s">
        <v>2201</v>
      </c>
      <c r="B279" s="64" t="s">
        <v>2202</v>
      </c>
      <c r="C279" s="65">
        <v>1</v>
      </c>
      <c r="D279" s="29" t="s">
        <v>2182</v>
      </c>
      <c r="E279" s="29" t="s">
        <v>2201</v>
      </c>
      <c r="F279" s="92">
        <v>1725</v>
      </c>
      <c r="G279" s="22">
        <f t="shared" si="73"/>
        <v>0.2</v>
      </c>
      <c r="H279" s="35">
        <f t="shared" si="75"/>
        <v>1380</v>
      </c>
      <c r="I279" s="27"/>
      <c r="J279" s="23"/>
      <c r="K279" s="23"/>
      <c r="L279" s="17">
        <v>0</v>
      </c>
      <c r="M279" s="63">
        <v>0</v>
      </c>
      <c r="N279" s="91" t="s">
        <v>75</v>
      </c>
      <c r="O279" s="55" t="s">
        <v>1106</v>
      </c>
      <c r="P279" s="56" t="s">
        <v>504</v>
      </c>
      <c r="Q279" s="56" t="s">
        <v>1273</v>
      </c>
      <c r="R279" s="25" t="s">
        <v>2201</v>
      </c>
      <c r="S279" s="64" t="s">
        <v>2202</v>
      </c>
      <c r="T279" s="65">
        <v>1</v>
      </c>
      <c r="U279" s="29" t="s">
        <v>2182</v>
      </c>
      <c r="V279" s="29" t="s">
        <v>2201</v>
      </c>
      <c r="W279" s="92">
        <v>1725</v>
      </c>
      <c r="X279" s="22">
        <f t="shared" si="74"/>
        <v>0.2</v>
      </c>
      <c r="Y279" s="35">
        <f t="shared" si="77"/>
        <v>1380</v>
      </c>
      <c r="Z279" s="27"/>
      <c r="AA279" s="23"/>
      <c r="AB279" s="23"/>
      <c r="AC279" s="17">
        <v>0</v>
      </c>
      <c r="AD279" s="63">
        <v>0</v>
      </c>
      <c r="AE279" s="91" t="s">
        <v>75</v>
      </c>
      <c r="AF279" s="55" t="s">
        <v>1106</v>
      </c>
      <c r="AG279" s="14" t="s">
        <v>1274</v>
      </c>
      <c r="AH279" s="14" t="s">
        <v>1275</v>
      </c>
    </row>
    <row r="280" spans="1:34" s="1" customFormat="1">
      <c r="A280" s="25">
        <v>9000298</v>
      </c>
      <c r="B280" s="64" t="s">
        <v>2203</v>
      </c>
      <c r="C280" s="65">
        <v>1</v>
      </c>
      <c r="D280" s="29" t="s">
        <v>2182</v>
      </c>
      <c r="E280" s="29">
        <v>9000298</v>
      </c>
      <c r="F280" s="35">
        <v>148.22999999999999</v>
      </c>
      <c r="G280" s="22">
        <f t="shared" si="73"/>
        <v>0.2</v>
      </c>
      <c r="H280" s="35">
        <f t="shared" si="75"/>
        <v>118.58399999999999</v>
      </c>
      <c r="I280" s="27"/>
      <c r="J280" s="23"/>
      <c r="K280" s="23"/>
      <c r="L280" s="17">
        <v>6</v>
      </c>
      <c r="M280" s="63">
        <v>0.05</v>
      </c>
      <c r="N280" s="91" t="s">
        <v>75</v>
      </c>
      <c r="O280" s="55" t="s">
        <v>1106</v>
      </c>
      <c r="P280" s="56" t="s">
        <v>504</v>
      </c>
      <c r="Q280" s="56" t="s">
        <v>1273</v>
      </c>
      <c r="R280" s="25">
        <v>9000298</v>
      </c>
      <c r="S280" s="64" t="s">
        <v>2203</v>
      </c>
      <c r="T280" s="65">
        <v>1</v>
      </c>
      <c r="U280" s="29" t="s">
        <v>2182</v>
      </c>
      <c r="V280" s="29">
        <v>9000298</v>
      </c>
      <c r="W280" s="35">
        <v>148.22999999999999</v>
      </c>
      <c r="X280" s="22">
        <f t="shared" si="74"/>
        <v>0.2</v>
      </c>
      <c r="Y280" s="35">
        <f t="shared" si="77"/>
        <v>118.58399999999999</v>
      </c>
      <c r="Z280" s="27"/>
      <c r="AA280" s="23"/>
      <c r="AB280" s="23"/>
      <c r="AC280" s="17">
        <v>6</v>
      </c>
      <c r="AD280" s="63">
        <v>0.05</v>
      </c>
      <c r="AE280" s="91" t="s">
        <v>75</v>
      </c>
      <c r="AF280" s="55" t="s">
        <v>1106</v>
      </c>
      <c r="AG280" s="14" t="s">
        <v>1274</v>
      </c>
      <c r="AH280" s="14" t="s">
        <v>1275</v>
      </c>
    </row>
    <row r="281" spans="1:34" s="121" customFormat="1">
      <c r="A281" s="113" t="s">
        <v>2204</v>
      </c>
      <c r="B281" s="273" t="s">
        <v>2205</v>
      </c>
      <c r="C281" s="292">
        <v>1</v>
      </c>
      <c r="D281" s="300" t="s">
        <v>2182</v>
      </c>
      <c r="E281" s="300" t="s">
        <v>2204</v>
      </c>
      <c r="F281" s="226">
        <v>144.84</v>
      </c>
      <c r="G281" s="138">
        <f t="shared" si="73"/>
        <v>0.2</v>
      </c>
      <c r="H281" s="116">
        <f t="shared" si="75"/>
        <v>115.872</v>
      </c>
      <c r="I281" s="153"/>
      <c r="J281" s="154"/>
      <c r="K281" s="154"/>
      <c r="L281" s="17">
        <v>6</v>
      </c>
      <c r="M281" s="63">
        <v>0.02</v>
      </c>
      <c r="N281" s="91" t="s">
        <v>75</v>
      </c>
      <c r="O281" s="55" t="s">
        <v>1106</v>
      </c>
      <c r="P281" s="56" t="s">
        <v>504</v>
      </c>
      <c r="Q281" s="56" t="s">
        <v>1273</v>
      </c>
      <c r="R281" s="113" t="s">
        <v>2204</v>
      </c>
      <c r="S281" s="273" t="s">
        <v>2205</v>
      </c>
      <c r="T281" s="292">
        <v>1</v>
      </c>
      <c r="U281" s="300" t="s">
        <v>2182</v>
      </c>
      <c r="V281" s="300" t="s">
        <v>2204</v>
      </c>
      <c r="W281" s="226">
        <v>144.84</v>
      </c>
      <c r="X281" s="138">
        <f t="shared" si="74"/>
        <v>0.2</v>
      </c>
      <c r="Y281" s="116">
        <f t="shared" si="77"/>
        <v>115.872</v>
      </c>
      <c r="Z281" s="153"/>
      <c r="AA281" s="154"/>
      <c r="AB281" s="154"/>
      <c r="AC281" s="120">
        <v>6</v>
      </c>
      <c r="AD281" s="226">
        <v>0</v>
      </c>
      <c r="AE281" s="91" t="s">
        <v>75</v>
      </c>
      <c r="AF281" s="55" t="s">
        <v>1106</v>
      </c>
      <c r="AG281" s="56" t="s">
        <v>1274</v>
      </c>
      <c r="AH281" s="56" t="s">
        <v>1275</v>
      </c>
    </row>
    <row r="282" spans="1:34" s="121" customFormat="1">
      <c r="A282" s="25" t="s">
        <v>2206</v>
      </c>
      <c r="B282" s="64" t="s">
        <v>2207</v>
      </c>
      <c r="C282" s="65">
        <v>1</v>
      </c>
      <c r="D282" s="142" t="s">
        <v>2182</v>
      </c>
      <c r="E282" s="142" t="s">
        <v>2206</v>
      </c>
      <c r="F282" s="63">
        <v>288</v>
      </c>
      <c r="G282" s="22">
        <f t="shared" si="73"/>
        <v>0.2</v>
      </c>
      <c r="H282" s="35">
        <f t="shared" ref="H282" si="78">F282-(F282*G282)</f>
        <v>230.4</v>
      </c>
      <c r="I282" s="153"/>
      <c r="J282" s="154"/>
      <c r="K282" s="154"/>
      <c r="L282" s="17">
        <v>6</v>
      </c>
      <c r="M282" s="63">
        <v>0</v>
      </c>
      <c r="N282" s="91" t="s">
        <v>75</v>
      </c>
      <c r="O282" s="55" t="s">
        <v>1106</v>
      </c>
      <c r="P282" s="56" t="s">
        <v>504</v>
      </c>
      <c r="Q282" s="56" t="s">
        <v>1273</v>
      </c>
      <c r="R282" s="25" t="s">
        <v>2206</v>
      </c>
      <c r="S282" s="64" t="s">
        <v>2207</v>
      </c>
      <c r="T282" s="65">
        <v>1</v>
      </c>
      <c r="U282" s="142" t="s">
        <v>2182</v>
      </c>
      <c r="V282" s="142" t="s">
        <v>2206</v>
      </c>
      <c r="W282" s="63">
        <v>288</v>
      </c>
      <c r="X282" s="22">
        <f t="shared" si="74"/>
        <v>0.2</v>
      </c>
      <c r="Y282" s="35">
        <f t="shared" si="77"/>
        <v>230.4</v>
      </c>
      <c r="Z282" s="153"/>
      <c r="AA282" s="154"/>
      <c r="AB282" s="154"/>
      <c r="AC282" s="120">
        <v>6</v>
      </c>
      <c r="AD282" s="226">
        <v>0</v>
      </c>
      <c r="AE282" s="91" t="s">
        <v>75</v>
      </c>
      <c r="AF282" s="55" t="s">
        <v>1106</v>
      </c>
      <c r="AG282" s="56" t="s">
        <v>1274</v>
      </c>
      <c r="AH282" s="56" t="s">
        <v>1275</v>
      </c>
    </row>
    <row r="283" spans="1:34" s="121" customFormat="1">
      <c r="A283" s="113" t="s">
        <v>2208</v>
      </c>
      <c r="B283" s="273" t="s">
        <v>2209</v>
      </c>
      <c r="C283" s="292">
        <v>1</v>
      </c>
      <c r="D283" s="115" t="s">
        <v>2182</v>
      </c>
      <c r="E283" s="115" t="s">
        <v>2208</v>
      </c>
      <c r="F283" s="116">
        <v>378.68</v>
      </c>
      <c r="G283" s="138">
        <f t="shared" si="73"/>
        <v>0.2</v>
      </c>
      <c r="H283" s="116">
        <f t="shared" si="75"/>
        <v>302.94400000000002</v>
      </c>
      <c r="I283" s="153"/>
      <c r="J283" s="154"/>
      <c r="K283" s="154"/>
      <c r="L283" s="17">
        <v>6</v>
      </c>
      <c r="M283" s="63">
        <v>0.3</v>
      </c>
      <c r="N283" s="91" t="s">
        <v>75</v>
      </c>
      <c r="O283" s="55" t="s">
        <v>1106</v>
      </c>
      <c r="P283" s="56" t="s">
        <v>504</v>
      </c>
      <c r="Q283" s="56" t="s">
        <v>1273</v>
      </c>
      <c r="R283" s="113" t="s">
        <v>2208</v>
      </c>
      <c r="S283" s="273" t="s">
        <v>2209</v>
      </c>
      <c r="T283" s="292">
        <v>1</v>
      </c>
      <c r="U283" s="115" t="s">
        <v>2182</v>
      </c>
      <c r="V283" s="115" t="s">
        <v>2208</v>
      </c>
      <c r="W283" s="116">
        <v>378.68</v>
      </c>
      <c r="X283" s="138">
        <f t="shared" si="74"/>
        <v>0.2</v>
      </c>
      <c r="Y283" s="116">
        <f t="shared" si="77"/>
        <v>302.94400000000002</v>
      </c>
      <c r="Z283" s="153"/>
      <c r="AA283" s="154"/>
      <c r="AB283" s="154"/>
      <c r="AC283" s="120">
        <v>6</v>
      </c>
      <c r="AD283" s="226">
        <v>0.3</v>
      </c>
      <c r="AE283" s="91" t="s">
        <v>75</v>
      </c>
      <c r="AF283" s="55" t="s">
        <v>1106</v>
      </c>
      <c r="AG283" s="56" t="s">
        <v>1274</v>
      </c>
      <c r="AH283" s="56" t="s">
        <v>1275</v>
      </c>
    </row>
    <row r="284" spans="1:34" s="1" customFormat="1">
      <c r="A284" s="25" t="s">
        <v>2210</v>
      </c>
      <c r="B284" s="64" t="s">
        <v>2211</v>
      </c>
      <c r="C284" s="65">
        <v>1</v>
      </c>
      <c r="D284" s="29" t="s">
        <v>2182</v>
      </c>
      <c r="E284" s="29" t="s">
        <v>2210</v>
      </c>
      <c r="F284" s="35">
        <v>305.14</v>
      </c>
      <c r="G284" s="22">
        <f t="shared" si="73"/>
        <v>0.2</v>
      </c>
      <c r="H284" s="35">
        <f t="shared" si="75"/>
        <v>244.11199999999999</v>
      </c>
      <c r="I284" s="27"/>
      <c r="J284" s="23"/>
      <c r="K284" s="23"/>
      <c r="L284" s="17">
        <v>0</v>
      </c>
      <c r="M284" s="63">
        <v>0</v>
      </c>
      <c r="N284" s="91" t="s">
        <v>75</v>
      </c>
      <c r="O284" s="55" t="s">
        <v>1106</v>
      </c>
      <c r="P284" s="56" t="s">
        <v>504</v>
      </c>
      <c r="Q284" s="56" t="s">
        <v>1273</v>
      </c>
      <c r="R284" s="25" t="s">
        <v>2210</v>
      </c>
      <c r="S284" s="64" t="s">
        <v>2211</v>
      </c>
      <c r="T284" s="65">
        <v>1</v>
      </c>
      <c r="U284" s="29" t="s">
        <v>2182</v>
      </c>
      <c r="V284" s="29" t="s">
        <v>2210</v>
      </c>
      <c r="W284" s="35">
        <v>305.14</v>
      </c>
      <c r="X284" s="22">
        <f t="shared" si="74"/>
        <v>0.2</v>
      </c>
      <c r="Y284" s="35">
        <f t="shared" si="77"/>
        <v>244.11199999999999</v>
      </c>
      <c r="Z284" s="27"/>
      <c r="AA284" s="23"/>
      <c r="AB284" s="23"/>
      <c r="AC284" s="17">
        <v>0</v>
      </c>
      <c r="AD284" s="63">
        <v>0</v>
      </c>
      <c r="AE284" s="91" t="s">
        <v>75</v>
      </c>
      <c r="AF284" s="55" t="s">
        <v>1106</v>
      </c>
      <c r="AG284" s="14" t="s">
        <v>1274</v>
      </c>
      <c r="AH284" s="14" t="s">
        <v>1275</v>
      </c>
    </row>
    <row r="285" spans="1:34" s="1" customFormat="1">
      <c r="A285" s="25" t="s">
        <v>2212</v>
      </c>
      <c r="B285" s="64" t="s">
        <v>2213</v>
      </c>
      <c r="C285" s="65">
        <v>1</v>
      </c>
      <c r="D285" s="29" t="s">
        <v>2182</v>
      </c>
      <c r="E285" s="29" t="s">
        <v>2212</v>
      </c>
      <c r="F285" s="35">
        <v>343.89</v>
      </c>
      <c r="G285" s="22">
        <f t="shared" si="73"/>
        <v>0.2</v>
      </c>
      <c r="H285" s="35">
        <f t="shared" si="75"/>
        <v>275.11199999999997</v>
      </c>
      <c r="I285" s="27"/>
      <c r="J285" s="23"/>
      <c r="K285" s="23"/>
      <c r="L285" s="17">
        <v>0</v>
      </c>
      <c r="M285" s="63">
        <v>0</v>
      </c>
      <c r="N285" s="91" t="s">
        <v>75</v>
      </c>
      <c r="O285" s="55" t="s">
        <v>1106</v>
      </c>
      <c r="P285" s="56" t="s">
        <v>504</v>
      </c>
      <c r="Q285" s="56" t="s">
        <v>1273</v>
      </c>
      <c r="R285" s="25" t="s">
        <v>2212</v>
      </c>
      <c r="S285" s="64" t="s">
        <v>2213</v>
      </c>
      <c r="T285" s="65">
        <v>1</v>
      </c>
      <c r="U285" s="29" t="s">
        <v>2182</v>
      </c>
      <c r="V285" s="29" t="s">
        <v>2212</v>
      </c>
      <c r="W285" s="35">
        <v>343.89</v>
      </c>
      <c r="X285" s="22">
        <f t="shared" si="74"/>
        <v>0.2</v>
      </c>
      <c r="Y285" s="35">
        <f t="shared" si="77"/>
        <v>275.11199999999997</v>
      </c>
      <c r="Z285" s="27"/>
      <c r="AA285" s="23"/>
      <c r="AB285" s="23"/>
      <c r="AC285" s="17">
        <v>0</v>
      </c>
      <c r="AD285" s="63">
        <v>0</v>
      </c>
      <c r="AE285" s="91" t="s">
        <v>75</v>
      </c>
      <c r="AF285" s="55" t="s">
        <v>1106</v>
      </c>
      <c r="AG285" s="14" t="s">
        <v>1274</v>
      </c>
      <c r="AH285" s="14" t="s">
        <v>1275</v>
      </c>
    </row>
    <row r="286" spans="1:34" s="1" customFormat="1">
      <c r="A286" s="25" t="s">
        <v>2214</v>
      </c>
      <c r="B286" s="64" t="s">
        <v>2215</v>
      </c>
      <c r="C286" s="65">
        <v>1</v>
      </c>
      <c r="D286" s="29" t="s">
        <v>2182</v>
      </c>
      <c r="E286" s="29" t="s">
        <v>2214</v>
      </c>
      <c r="F286" s="35">
        <v>408.91</v>
      </c>
      <c r="G286" s="22">
        <f t="shared" si="73"/>
        <v>0.2</v>
      </c>
      <c r="H286" s="35">
        <f t="shared" si="75"/>
        <v>327.12800000000004</v>
      </c>
      <c r="I286" s="27"/>
      <c r="J286" s="23"/>
      <c r="K286" s="23"/>
      <c r="L286" s="17">
        <v>0</v>
      </c>
      <c r="M286" s="63">
        <v>0</v>
      </c>
      <c r="N286" s="91" t="s">
        <v>75</v>
      </c>
      <c r="O286" s="55" t="s">
        <v>1106</v>
      </c>
      <c r="P286" s="56" t="s">
        <v>504</v>
      </c>
      <c r="Q286" s="56" t="s">
        <v>1273</v>
      </c>
      <c r="R286" s="25" t="s">
        <v>2214</v>
      </c>
      <c r="S286" s="64" t="s">
        <v>2215</v>
      </c>
      <c r="T286" s="65">
        <v>1</v>
      </c>
      <c r="U286" s="29" t="s">
        <v>2182</v>
      </c>
      <c r="V286" s="29" t="s">
        <v>2214</v>
      </c>
      <c r="W286" s="35">
        <v>408.91</v>
      </c>
      <c r="X286" s="22">
        <f t="shared" si="74"/>
        <v>0.2</v>
      </c>
      <c r="Y286" s="35">
        <f t="shared" si="77"/>
        <v>327.12800000000004</v>
      </c>
      <c r="Z286" s="27"/>
      <c r="AA286" s="23"/>
      <c r="AB286" s="23"/>
      <c r="AC286" s="17">
        <v>0</v>
      </c>
      <c r="AD286" s="63">
        <v>0</v>
      </c>
      <c r="AE286" s="91" t="s">
        <v>75</v>
      </c>
      <c r="AF286" s="55" t="s">
        <v>1106</v>
      </c>
      <c r="AG286" s="14" t="s">
        <v>1274</v>
      </c>
      <c r="AH286" s="14" t="s">
        <v>1275</v>
      </c>
    </row>
    <row r="287" spans="1:34" s="1" customFormat="1">
      <c r="A287" s="25" t="s">
        <v>2216</v>
      </c>
      <c r="B287" s="64" t="s">
        <v>2217</v>
      </c>
      <c r="C287" s="65">
        <v>1</v>
      </c>
      <c r="D287" s="29" t="s">
        <v>2182</v>
      </c>
      <c r="E287" s="29" t="s">
        <v>2216</v>
      </c>
      <c r="F287" s="35">
        <v>192.75</v>
      </c>
      <c r="G287" s="22">
        <f t="shared" si="73"/>
        <v>0.2</v>
      </c>
      <c r="H287" s="35">
        <f t="shared" si="75"/>
        <v>154.19999999999999</v>
      </c>
      <c r="I287" s="27"/>
      <c r="J287" s="23"/>
      <c r="K287" s="63"/>
      <c r="L287" s="17">
        <v>6</v>
      </c>
      <c r="M287" s="63">
        <v>0.05</v>
      </c>
      <c r="N287" s="91" t="s">
        <v>75</v>
      </c>
      <c r="O287" s="55" t="s">
        <v>1106</v>
      </c>
      <c r="P287" s="56" t="s">
        <v>504</v>
      </c>
      <c r="Q287" s="56" t="s">
        <v>1273</v>
      </c>
      <c r="R287" s="25" t="s">
        <v>2216</v>
      </c>
      <c r="S287" s="64" t="s">
        <v>2217</v>
      </c>
      <c r="T287" s="65">
        <v>1</v>
      </c>
      <c r="U287" s="29" t="s">
        <v>2182</v>
      </c>
      <c r="V287" s="29" t="s">
        <v>2216</v>
      </c>
      <c r="W287" s="35">
        <v>192.75</v>
      </c>
      <c r="X287" s="22">
        <f t="shared" si="74"/>
        <v>0.2</v>
      </c>
      <c r="Y287" s="35">
        <f t="shared" si="77"/>
        <v>154.19999999999999</v>
      </c>
      <c r="Z287" s="27"/>
      <c r="AA287" s="23"/>
      <c r="AB287" s="63"/>
      <c r="AC287" s="63">
        <v>6</v>
      </c>
      <c r="AD287" s="17">
        <v>0.05</v>
      </c>
      <c r="AE287" s="91" t="s">
        <v>75</v>
      </c>
      <c r="AF287" s="55" t="s">
        <v>1106</v>
      </c>
      <c r="AG287" s="14" t="s">
        <v>1274</v>
      </c>
      <c r="AH287" s="14" t="s">
        <v>1275</v>
      </c>
    </row>
    <row r="288" spans="1:34" s="1" customFormat="1">
      <c r="A288" s="25" t="s">
        <v>2218</v>
      </c>
      <c r="B288" s="64" t="s">
        <v>2219</v>
      </c>
      <c r="C288" s="65">
        <v>1</v>
      </c>
      <c r="D288" s="29" t="s">
        <v>2182</v>
      </c>
      <c r="E288" s="29" t="s">
        <v>2218</v>
      </c>
      <c r="F288" s="35">
        <v>306.48</v>
      </c>
      <c r="G288" s="22">
        <f t="shared" si="73"/>
        <v>0.2</v>
      </c>
      <c r="H288" s="35">
        <f t="shared" si="75"/>
        <v>245.18400000000003</v>
      </c>
      <c r="I288" s="27"/>
      <c r="J288" s="23"/>
      <c r="K288" s="63"/>
      <c r="L288" s="17">
        <v>6</v>
      </c>
      <c r="M288" s="63">
        <v>0.05</v>
      </c>
      <c r="N288" s="91" t="s">
        <v>75</v>
      </c>
      <c r="O288" s="55" t="s">
        <v>1106</v>
      </c>
      <c r="P288" s="56" t="s">
        <v>504</v>
      </c>
      <c r="Q288" s="56" t="s">
        <v>1273</v>
      </c>
      <c r="R288" s="25" t="s">
        <v>2218</v>
      </c>
      <c r="S288" s="64" t="s">
        <v>2219</v>
      </c>
      <c r="T288" s="65">
        <v>1</v>
      </c>
      <c r="U288" s="29" t="s">
        <v>2182</v>
      </c>
      <c r="V288" s="29" t="s">
        <v>2218</v>
      </c>
      <c r="W288" s="35">
        <v>306.48</v>
      </c>
      <c r="X288" s="22">
        <f t="shared" si="74"/>
        <v>0.2</v>
      </c>
      <c r="Y288" s="35">
        <f t="shared" si="77"/>
        <v>245.18400000000003</v>
      </c>
      <c r="Z288" s="27"/>
      <c r="AA288" s="23"/>
      <c r="AB288" s="63"/>
      <c r="AC288" s="63">
        <v>6</v>
      </c>
      <c r="AD288" s="17">
        <v>0.05</v>
      </c>
      <c r="AE288" s="91" t="s">
        <v>75</v>
      </c>
      <c r="AF288" s="55" t="s">
        <v>1106</v>
      </c>
      <c r="AG288" s="14" t="s">
        <v>1274</v>
      </c>
      <c r="AH288" s="14" t="s">
        <v>1275</v>
      </c>
    </row>
    <row r="289" spans="1:34" s="1" customFormat="1">
      <c r="A289" s="25" t="s">
        <v>2220</v>
      </c>
      <c r="B289" s="64" t="s">
        <v>2221</v>
      </c>
      <c r="C289" s="65">
        <v>1</v>
      </c>
      <c r="D289" s="29" t="s">
        <v>2182</v>
      </c>
      <c r="E289" s="29" t="s">
        <v>2220</v>
      </c>
      <c r="F289" s="35">
        <v>522.75</v>
      </c>
      <c r="G289" s="22">
        <f t="shared" si="73"/>
        <v>0.2</v>
      </c>
      <c r="H289" s="35">
        <f t="shared" si="75"/>
        <v>418.2</v>
      </c>
      <c r="I289" s="27"/>
      <c r="J289" s="23"/>
      <c r="K289" s="63"/>
      <c r="L289" s="17">
        <v>6</v>
      </c>
      <c r="M289" s="63">
        <v>0.05</v>
      </c>
      <c r="N289" s="91" t="s">
        <v>75</v>
      </c>
      <c r="O289" s="55" t="s">
        <v>1106</v>
      </c>
      <c r="P289" s="56" t="s">
        <v>504</v>
      </c>
      <c r="Q289" s="56" t="s">
        <v>1273</v>
      </c>
      <c r="R289" s="25" t="s">
        <v>2220</v>
      </c>
      <c r="S289" s="64" t="s">
        <v>2221</v>
      </c>
      <c r="T289" s="65">
        <v>1</v>
      </c>
      <c r="U289" s="29" t="s">
        <v>2182</v>
      </c>
      <c r="V289" s="29" t="s">
        <v>2220</v>
      </c>
      <c r="W289" s="35">
        <v>522.75</v>
      </c>
      <c r="X289" s="22">
        <f t="shared" si="74"/>
        <v>0.2</v>
      </c>
      <c r="Y289" s="35">
        <f t="shared" si="77"/>
        <v>418.2</v>
      </c>
      <c r="Z289" s="27"/>
      <c r="AA289" s="23"/>
      <c r="AB289" s="63"/>
      <c r="AC289" s="63">
        <v>6</v>
      </c>
      <c r="AD289" s="17">
        <v>0.05</v>
      </c>
      <c r="AE289" s="91" t="s">
        <v>75</v>
      </c>
      <c r="AF289" s="55" t="s">
        <v>1106</v>
      </c>
      <c r="AG289" s="14" t="s">
        <v>1274</v>
      </c>
      <c r="AH289" s="14" t="s">
        <v>1275</v>
      </c>
    </row>
    <row r="290" spans="1:34" s="1" customFormat="1">
      <c r="A290" s="25" t="s">
        <v>2222</v>
      </c>
      <c r="B290" s="64" t="s">
        <v>2223</v>
      </c>
      <c r="C290" s="65">
        <v>1</v>
      </c>
      <c r="D290" s="29" t="s">
        <v>2182</v>
      </c>
      <c r="E290" s="29" t="s">
        <v>2222</v>
      </c>
      <c r="F290" s="35">
        <v>537.52</v>
      </c>
      <c r="G290" s="22">
        <f t="shared" si="73"/>
        <v>0.2</v>
      </c>
      <c r="H290" s="35">
        <f t="shared" si="75"/>
        <v>430.01599999999996</v>
      </c>
      <c r="I290" s="27"/>
      <c r="J290" s="23"/>
      <c r="K290" s="63"/>
      <c r="L290" s="17">
        <v>6</v>
      </c>
      <c r="M290" s="63">
        <v>0.05</v>
      </c>
      <c r="N290" s="91" t="s">
        <v>75</v>
      </c>
      <c r="O290" s="55" t="s">
        <v>1106</v>
      </c>
      <c r="P290" s="56" t="s">
        <v>504</v>
      </c>
      <c r="Q290" s="56" t="s">
        <v>1273</v>
      </c>
      <c r="R290" s="25" t="s">
        <v>2222</v>
      </c>
      <c r="S290" s="64" t="s">
        <v>2223</v>
      </c>
      <c r="T290" s="65">
        <v>1</v>
      </c>
      <c r="U290" s="29" t="s">
        <v>2182</v>
      </c>
      <c r="V290" s="29" t="s">
        <v>2222</v>
      </c>
      <c r="W290" s="35">
        <v>537.52</v>
      </c>
      <c r="X290" s="22">
        <f t="shared" si="74"/>
        <v>0.2</v>
      </c>
      <c r="Y290" s="35">
        <f t="shared" si="77"/>
        <v>430.01599999999996</v>
      </c>
      <c r="Z290" s="27"/>
      <c r="AA290" s="23"/>
      <c r="AB290" s="63"/>
      <c r="AC290" s="63">
        <v>6</v>
      </c>
      <c r="AD290" s="17">
        <v>0.05</v>
      </c>
      <c r="AE290" s="91" t="s">
        <v>75</v>
      </c>
      <c r="AF290" s="55" t="s">
        <v>1106</v>
      </c>
      <c r="AG290" s="14" t="s">
        <v>1274</v>
      </c>
      <c r="AH290" s="14" t="s">
        <v>1275</v>
      </c>
    </row>
    <row r="291" spans="1:34" s="1" customFormat="1">
      <c r="A291" s="25" t="s">
        <v>2224</v>
      </c>
      <c r="B291" s="64" t="s">
        <v>2225</v>
      </c>
      <c r="C291" s="65">
        <v>1</v>
      </c>
      <c r="D291" s="29" t="s">
        <v>2182</v>
      </c>
      <c r="E291" s="29" t="s">
        <v>2224</v>
      </c>
      <c r="F291" s="35">
        <v>924.96</v>
      </c>
      <c r="G291" s="22">
        <f t="shared" si="73"/>
        <v>0.2</v>
      </c>
      <c r="H291" s="35">
        <f t="shared" si="75"/>
        <v>739.96800000000007</v>
      </c>
      <c r="I291" s="27"/>
      <c r="J291" s="23"/>
      <c r="K291" s="63"/>
      <c r="L291" s="17">
        <v>6</v>
      </c>
      <c r="M291" s="63">
        <v>0.05</v>
      </c>
      <c r="N291" s="91" t="s">
        <v>75</v>
      </c>
      <c r="O291" s="55" t="s">
        <v>1106</v>
      </c>
      <c r="P291" s="56" t="s">
        <v>504</v>
      </c>
      <c r="Q291" s="56" t="s">
        <v>1273</v>
      </c>
      <c r="R291" s="25" t="s">
        <v>2224</v>
      </c>
      <c r="S291" s="64" t="s">
        <v>2225</v>
      </c>
      <c r="T291" s="65">
        <v>1</v>
      </c>
      <c r="U291" s="29" t="s">
        <v>2182</v>
      </c>
      <c r="V291" s="29" t="s">
        <v>2224</v>
      </c>
      <c r="W291" s="35">
        <v>924.96</v>
      </c>
      <c r="X291" s="22">
        <f t="shared" si="74"/>
        <v>0.2</v>
      </c>
      <c r="Y291" s="35">
        <f t="shared" si="77"/>
        <v>739.96800000000007</v>
      </c>
      <c r="Z291" s="27"/>
      <c r="AA291" s="23"/>
      <c r="AB291" s="63"/>
      <c r="AC291" s="63">
        <v>6</v>
      </c>
      <c r="AD291" s="17">
        <v>0.05</v>
      </c>
      <c r="AE291" s="91" t="s">
        <v>75</v>
      </c>
      <c r="AF291" s="55" t="s">
        <v>1106</v>
      </c>
      <c r="AG291" s="14" t="s">
        <v>1274</v>
      </c>
      <c r="AH291" s="14" t="s">
        <v>1275</v>
      </c>
    </row>
    <row r="292" spans="1:34" s="1" customFormat="1">
      <c r="A292" s="25" t="s">
        <v>2226</v>
      </c>
      <c r="B292" s="64" t="s">
        <v>2227</v>
      </c>
      <c r="C292" s="65">
        <v>1</v>
      </c>
      <c r="D292" s="29" t="s">
        <v>2182</v>
      </c>
      <c r="E292" s="29" t="s">
        <v>2226</v>
      </c>
      <c r="F292" s="35">
        <v>95.52</v>
      </c>
      <c r="G292" s="22">
        <f t="shared" si="73"/>
        <v>0.2</v>
      </c>
      <c r="H292" s="35">
        <f t="shared" si="75"/>
        <v>76.415999999999997</v>
      </c>
      <c r="I292" s="27"/>
      <c r="J292" s="23"/>
      <c r="K292" s="63"/>
      <c r="L292" s="17">
        <v>6</v>
      </c>
      <c r="M292" s="63">
        <v>0.05</v>
      </c>
      <c r="N292" s="91" t="s">
        <v>75</v>
      </c>
      <c r="O292" s="55" t="s">
        <v>1106</v>
      </c>
      <c r="P292" s="56" t="s">
        <v>504</v>
      </c>
      <c r="Q292" s="56" t="s">
        <v>1273</v>
      </c>
      <c r="R292" s="25" t="s">
        <v>2226</v>
      </c>
      <c r="S292" s="64" t="s">
        <v>2227</v>
      </c>
      <c r="T292" s="65">
        <v>1</v>
      </c>
      <c r="U292" s="29" t="s">
        <v>2182</v>
      </c>
      <c r="V292" s="29" t="s">
        <v>2226</v>
      </c>
      <c r="W292" s="35">
        <v>95.52</v>
      </c>
      <c r="X292" s="22">
        <f t="shared" si="74"/>
        <v>0.2</v>
      </c>
      <c r="Y292" s="35">
        <f t="shared" si="77"/>
        <v>76.415999999999997</v>
      </c>
      <c r="Z292" s="27"/>
      <c r="AA292" s="23"/>
      <c r="AB292" s="63"/>
      <c r="AC292" s="63">
        <v>6</v>
      </c>
      <c r="AD292" s="17">
        <v>0.05</v>
      </c>
      <c r="AE292" s="91" t="s">
        <v>75</v>
      </c>
      <c r="AF292" s="55" t="s">
        <v>1106</v>
      </c>
      <c r="AG292" s="14" t="s">
        <v>1274</v>
      </c>
      <c r="AH292" s="14" t="s">
        <v>1275</v>
      </c>
    </row>
    <row r="293" spans="1:34" s="1" customFormat="1">
      <c r="A293" s="25" t="s">
        <v>2228</v>
      </c>
      <c r="B293" s="64" t="s">
        <v>2229</v>
      </c>
      <c r="C293" s="65">
        <v>1</v>
      </c>
      <c r="D293" s="29" t="s">
        <v>2182</v>
      </c>
      <c r="E293" s="29" t="s">
        <v>2228</v>
      </c>
      <c r="F293" s="35">
        <v>122.16</v>
      </c>
      <c r="G293" s="22">
        <f t="shared" si="73"/>
        <v>0.2</v>
      </c>
      <c r="H293" s="35">
        <f t="shared" si="75"/>
        <v>97.727999999999994</v>
      </c>
      <c r="I293" s="27"/>
      <c r="J293" s="23"/>
      <c r="K293" s="63"/>
      <c r="L293" s="17">
        <v>6</v>
      </c>
      <c r="M293" s="63">
        <v>0.05</v>
      </c>
      <c r="N293" s="91" t="s">
        <v>75</v>
      </c>
      <c r="O293" s="55" t="s">
        <v>1106</v>
      </c>
      <c r="P293" s="56" t="s">
        <v>504</v>
      </c>
      <c r="Q293" s="56" t="s">
        <v>1273</v>
      </c>
      <c r="R293" s="25" t="s">
        <v>2228</v>
      </c>
      <c r="S293" s="64" t="s">
        <v>2229</v>
      </c>
      <c r="T293" s="65">
        <v>1</v>
      </c>
      <c r="U293" s="29" t="s">
        <v>2182</v>
      </c>
      <c r="V293" s="29" t="s">
        <v>2228</v>
      </c>
      <c r="W293" s="35">
        <v>122.16</v>
      </c>
      <c r="X293" s="22">
        <f t="shared" si="74"/>
        <v>0.2</v>
      </c>
      <c r="Y293" s="35">
        <f t="shared" si="77"/>
        <v>97.727999999999994</v>
      </c>
      <c r="Z293" s="27"/>
      <c r="AA293" s="23"/>
      <c r="AB293" s="63"/>
      <c r="AC293" s="63">
        <v>6</v>
      </c>
      <c r="AD293" s="17">
        <v>0.05</v>
      </c>
      <c r="AE293" s="91" t="s">
        <v>75</v>
      </c>
      <c r="AF293" s="55" t="s">
        <v>1106</v>
      </c>
      <c r="AG293" s="14" t="s">
        <v>1274</v>
      </c>
      <c r="AH293" s="14" t="s">
        <v>1275</v>
      </c>
    </row>
    <row r="294" spans="1:34" s="1" customFormat="1">
      <c r="A294" s="25" t="s">
        <v>2230</v>
      </c>
      <c r="B294" s="64" t="s">
        <v>2231</v>
      </c>
      <c r="C294" s="65">
        <v>1</v>
      </c>
      <c r="D294" s="29" t="s">
        <v>2182</v>
      </c>
      <c r="E294" s="29" t="s">
        <v>2230</v>
      </c>
      <c r="F294" s="35">
        <v>176.93</v>
      </c>
      <c r="G294" s="22">
        <f t="shared" si="73"/>
        <v>0.2</v>
      </c>
      <c r="H294" s="35">
        <f t="shared" si="75"/>
        <v>141.54400000000001</v>
      </c>
      <c r="I294" s="27"/>
      <c r="J294" s="23"/>
      <c r="K294" s="63"/>
      <c r="L294" s="17">
        <v>6</v>
      </c>
      <c r="M294" s="63">
        <v>0.05</v>
      </c>
      <c r="N294" s="91" t="s">
        <v>75</v>
      </c>
      <c r="O294" s="55" t="s">
        <v>1106</v>
      </c>
      <c r="P294" s="56" t="s">
        <v>504</v>
      </c>
      <c r="Q294" s="56" t="s">
        <v>1273</v>
      </c>
      <c r="R294" s="25" t="s">
        <v>2230</v>
      </c>
      <c r="S294" s="64" t="s">
        <v>2231</v>
      </c>
      <c r="T294" s="65">
        <v>1</v>
      </c>
      <c r="U294" s="29" t="s">
        <v>2182</v>
      </c>
      <c r="V294" s="29" t="s">
        <v>2230</v>
      </c>
      <c r="W294" s="35">
        <v>176.93</v>
      </c>
      <c r="X294" s="22">
        <f t="shared" si="74"/>
        <v>0.2</v>
      </c>
      <c r="Y294" s="35">
        <f t="shared" si="77"/>
        <v>141.54400000000001</v>
      </c>
      <c r="Z294" s="27"/>
      <c r="AA294" s="23"/>
      <c r="AB294" s="63"/>
      <c r="AC294" s="63">
        <v>6</v>
      </c>
      <c r="AD294" s="17">
        <v>0.05</v>
      </c>
      <c r="AE294" s="91" t="s">
        <v>75</v>
      </c>
      <c r="AF294" s="55" t="s">
        <v>1106</v>
      </c>
      <c r="AG294" s="14" t="s">
        <v>1274</v>
      </c>
      <c r="AH294" s="14" t="s">
        <v>1275</v>
      </c>
    </row>
    <row r="295" spans="1:34" s="1" customFormat="1">
      <c r="A295" s="25" t="s">
        <v>2232</v>
      </c>
      <c r="B295" s="64" t="s">
        <v>2233</v>
      </c>
      <c r="C295" s="65">
        <v>1</v>
      </c>
      <c r="D295" s="142" t="s">
        <v>2182</v>
      </c>
      <c r="E295" s="233" t="s">
        <v>2232</v>
      </c>
      <c r="F295" s="35">
        <v>194.27</v>
      </c>
      <c r="G295" s="22">
        <f t="shared" si="73"/>
        <v>0.2</v>
      </c>
      <c r="H295" s="35">
        <f t="shared" si="75"/>
        <v>155.416</v>
      </c>
      <c r="I295" s="27"/>
      <c r="J295" s="23"/>
      <c r="K295" s="23"/>
      <c r="L295" s="17">
        <v>10</v>
      </c>
      <c r="M295" s="63">
        <v>0.05</v>
      </c>
      <c r="N295" s="91" t="s">
        <v>75</v>
      </c>
      <c r="O295" s="55" t="s">
        <v>1106</v>
      </c>
      <c r="P295" s="56" t="s">
        <v>504</v>
      </c>
      <c r="Q295" s="56" t="s">
        <v>1273</v>
      </c>
      <c r="R295" s="25" t="s">
        <v>2232</v>
      </c>
      <c r="S295" s="64" t="s">
        <v>2233</v>
      </c>
      <c r="T295" s="65">
        <v>1</v>
      </c>
      <c r="U295" s="142" t="s">
        <v>2182</v>
      </c>
      <c r="V295" s="233" t="s">
        <v>2232</v>
      </c>
      <c r="W295" s="35">
        <v>194.27</v>
      </c>
      <c r="X295" s="22">
        <f t="shared" si="74"/>
        <v>0.2</v>
      </c>
      <c r="Y295" s="35">
        <f t="shared" si="77"/>
        <v>155.416</v>
      </c>
      <c r="Z295" s="27"/>
      <c r="AA295" s="23"/>
      <c r="AB295" s="23"/>
      <c r="AC295" s="17">
        <v>10</v>
      </c>
      <c r="AD295" s="63">
        <v>0.05</v>
      </c>
      <c r="AE295" s="91" t="s">
        <v>75</v>
      </c>
      <c r="AF295" s="55" t="s">
        <v>1106</v>
      </c>
      <c r="AG295" s="14" t="s">
        <v>1274</v>
      </c>
      <c r="AH295" s="14" t="s">
        <v>1275</v>
      </c>
    </row>
    <row r="296" spans="1:34" s="1" customFormat="1">
      <c r="A296" s="25" t="s">
        <v>2234</v>
      </c>
      <c r="B296" s="64" t="s">
        <v>2235</v>
      </c>
      <c r="C296" s="65">
        <v>1</v>
      </c>
      <c r="D296" s="142" t="s">
        <v>2182</v>
      </c>
      <c r="E296" s="233" t="s">
        <v>2234</v>
      </c>
      <c r="F296" s="35">
        <v>251.09</v>
      </c>
      <c r="G296" s="22">
        <f t="shared" si="73"/>
        <v>0.2</v>
      </c>
      <c r="H296" s="35">
        <f t="shared" si="75"/>
        <v>200.87200000000001</v>
      </c>
      <c r="I296" s="27"/>
      <c r="J296" s="23"/>
      <c r="K296" s="23"/>
      <c r="L296" s="17">
        <v>10</v>
      </c>
      <c r="M296" s="63">
        <v>0.05</v>
      </c>
      <c r="N296" s="91" t="s">
        <v>75</v>
      </c>
      <c r="O296" s="55" t="s">
        <v>1106</v>
      </c>
      <c r="P296" s="56" t="s">
        <v>504</v>
      </c>
      <c r="Q296" s="56" t="s">
        <v>1273</v>
      </c>
      <c r="R296" s="25" t="s">
        <v>2234</v>
      </c>
      <c r="S296" s="64" t="s">
        <v>2235</v>
      </c>
      <c r="T296" s="65">
        <v>1</v>
      </c>
      <c r="U296" s="142" t="s">
        <v>2182</v>
      </c>
      <c r="V296" s="233" t="s">
        <v>2234</v>
      </c>
      <c r="W296" s="35">
        <v>251.09</v>
      </c>
      <c r="X296" s="22">
        <f t="shared" si="74"/>
        <v>0.2</v>
      </c>
      <c r="Y296" s="35">
        <f t="shared" si="77"/>
        <v>200.87200000000001</v>
      </c>
      <c r="Z296" s="27"/>
      <c r="AA296" s="23"/>
      <c r="AB296" s="23"/>
      <c r="AC296" s="17">
        <v>10</v>
      </c>
      <c r="AD296" s="63">
        <v>0.05</v>
      </c>
      <c r="AE296" s="91" t="s">
        <v>75</v>
      </c>
      <c r="AF296" s="55" t="s">
        <v>1106</v>
      </c>
      <c r="AG296" s="14" t="s">
        <v>1274</v>
      </c>
      <c r="AH296" s="14" t="s">
        <v>1275</v>
      </c>
    </row>
    <row r="297" spans="1:34" s="1" customFormat="1">
      <c r="A297" s="25" t="s">
        <v>2236</v>
      </c>
      <c r="B297" s="64" t="s">
        <v>2237</v>
      </c>
      <c r="C297" s="65">
        <v>1</v>
      </c>
      <c r="D297" s="142" t="s">
        <v>2182</v>
      </c>
      <c r="E297" s="233" t="s">
        <v>2236</v>
      </c>
      <c r="F297" s="35">
        <v>332.2</v>
      </c>
      <c r="G297" s="22">
        <f t="shared" si="73"/>
        <v>0.2</v>
      </c>
      <c r="H297" s="35">
        <f t="shared" si="75"/>
        <v>265.76</v>
      </c>
      <c r="I297" s="27"/>
      <c r="J297" s="23"/>
      <c r="K297" s="23"/>
      <c r="L297" s="17">
        <v>15</v>
      </c>
      <c r="M297" s="63">
        <v>0.05</v>
      </c>
      <c r="N297" s="91" t="s">
        <v>75</v>
      </c>
      <c r="O297" s="55" t="s">
        <v>1106</v>
      </c>
      <c r="P297" s="56" t="s">
        <v>504</v>
      </c>
      <c r="Q297" s="56" t="s">
        <v>1273</v>
      </c>
      <c r="R297" s="25" t="s">
        <v>2236</v>
      </c>
      <c r="S297" s="64" t="s">
        <v>2237</v>
      </c>
      <c r="T297" s="65">
        <v>1</v>
      </c>
      <c r="U297" s="142" t="s">
        <v>2182</v>
      </c>
      <c r="V297" s="233" t="s">
        <v>2236</v>
      </c>
      <c r="W297" s="35">
        <v>332.2</v>
      </c>
      <c r="X297" s="22">
        <f t="shared" si="74"/>
        <v>0.2</v>
      </c>
      <c r="Y297" s="35">
        <f t="shared" si="77"/>
        <v>265.76</v>
      </c>
      <c r="Z297" s="27"/>
      <c r="AA297" s="23"/>
      <c r="AB297" s="23"/>
      <c r="AC297" s="17">
        <v>15</v>
      </c>
      <c r="AD297" s="63">
        <v>0.05</v>
      </c>
      <c r="AE297" s="91" t="s">
        <v>75</v>
      </c>
      <c r="AF297" s="55" t="s">
        <v>1106</v>
      </c>
      <c r="AG297" s="14" t="s">
        <v>1274</v>
      </c>
      <c r="AH297" s="14" t="s">
        <v>1275</v>
      </c>
    </row>
    <row r="298" spans="1:34" s="1" customFormat="1">
      <c r="A298" s="25" t="s">
        <v>2238</v>
      </c>
      <c r="B298" s="64" t="s">
        <v>2239</v>
      </c>
      <c r="C298" s="65">
        <v>1</v>
      </c>
      <c r="D298" s="142" t="s">
        <v>2182</v>
      </c>
      <c r="E298" s="233" t="s">
        <v>2238</v>
      </c>
      <c r="F298" s="35">
        <v>92.68</v>
      </c>
      <c r="G298" s="22">
        <f t="shared" si="73"/>
        <v>0.2</v>
      </c>
      <c r="H298" s="35">
        <f t="shared" si="75"/>
        <v>74.144000000000005</v>
      </c>
      <c r="I298" s="27"/>
      <c r="J298" s="23"/>
      <c r="K298" s="23"/>
      <c r="L298" s="17">
        <v>6</v>
      </c>
      <c r="M298" s="63">
        <v>0.05</v>
      </c>
      <c r="N298" s="91" t="s">
        <v>75</v>
      </c>
      <c r="O298" s="55" t="s">
        <v>1106</v>
      </c>
      <c r="P298" s="56" t="s">
        <v>504</v>
      </c>
      <c r="Q298" s="56" t="s">
        <v>1273</v>
      </c>
      <c r="R298" s="25" t="s">
        <v>2238</v>
      </c>
      <c r="S298" s="64" t="s">
        <v>2239</v>
      </c>
      <c r="T298" s="65">
        <v>1</v>
      </c>
      <c r="U298" s="142" t="s">
        <v>2182</v>
      </c>
      <c r="V298" s="233" t="s">
        <v>2238</v>
      </c>
      <c r="W298" s="35">
        <v>92.68</v>
      </c>
      <c r="X298" s="22">
        <f t="shared" si="74"/>
        <v>0.2</v>
      </c>
      <c r="Y298" s="35">
        <f t="shared" si="77"/>
        <v>74.144000000000005</v>
      </c>
      <c r="Z298" s="27"/>
      <c r="AA298" s="23"/>
      <c r="AB298" s="23"/>
      <c r="AC298" s="17">
        <v>6</v>
      </c>
      <c r="AD298" s="63">
        <v>0.05</v>
      </c>
      <c r="AE298" s="91" t="s">
        <v>75</v>
      </c>
      <c r="AF298" s="55" t="s">
        <v>1106</v>
      </c>
      <c r="AG298" s="14" t="s">
        <v>1274</v>
      </c>
      <c r="AH298" s="14" t="s">
        <v>1275</v>
      </c>
    </row>
    <row r="299" spans="1:34" s="1" customFormat="1">
      <c r="A299" s="25" t="s">
        <v>2240</v>
      </c>
      <c r="B299" s="64" t="s">
        <v>2241</v>
      </c>
      <c r="C299" s="65">
        <v>1</v>
      </c>
      <c r="D299" s="142" t="s">
        <v>2182</v>
      </c>
      <c r="E299" s="233" t="s">
        <v>2240</v>
      </c>
      <c r="F299" s="35">
        <v>115.73</v>
      </c>
      <c r="G299" s="22">
        <f t="shared" si="73"/>
        <v>0.2</v>
      </c>
      <c r="H299" s="35">
        <f t="shared" si="75"/>
        <v>92.584000000000003</v>
      </c>
      <c r="I299" s="27"/>
      <c r="J299" s="23"/>
      <c r="K299" s="23"/>
      <c r="L299" s="17">
        <v>6</v>
      </c>
      <c r="M299" s="63">
        <v>0.05</v>
      </c>
      <c r="N299" s="91" t="s">
        <v>75</v>
      </c>
      <c r="O299" s="55" t="s">
        <v>1106</v>
      </c>
      <c r="P299" s="56" t="s">
        <v>504</v>
      </c>
      <c r="Q299" s="56" t="s">
        <v>1273</v>
      </c>
      <c r="R299" s="25" t="s">
        <v>2240</v>
      </c>
      <c r="S299" s="64" t="s">
        <v>2241</v>
      </c>
      <c r="T299" s="65">
        <v>1</v>
      </c>
      <c r="U299" s="142" t="s">
        <v>2182</v>
      </c>
      <c r="V299" s="233" t="s">
        <v>2240</v>
      </c>
      <c r="W299" s="35">
        <v>115.73</v>
      </c>
      <c r="X299" s="22">
        <f t="shared" si="74"/>
        <v>0.2</v>
      </c>
      <c r="Y299" s="35">
        <f t="shared" si="77"/>
        <v>92.584000000000003</v>
      </c>
      <c r="Z299" s="27"/>
      <c r="AA299" s="23"/>
      <c r="AB299" s="23"/>
      <c r="AC299" s="17">
        <v>6</v>
      </c>
      <c r="AD299" s="63">
        <v>0.05</v>
      </c>
      <c r="AE299" s="91" t="s">
        <v>75</v>
      </c>
      <c r="AF299" s="55" t="s">
        <v>1106</v>
      </c>
      <c r="AG299" s="14" t="s">
        <v>1274</v>
      </c>
      <c r="AH299" s="14" t="s">
        <v>1275</v>
      </c>
    </row>
    <row r="300" spans="1:34" s="1" customFormat="1">
      <c r="A300" s="25" t="s">
        <v>2242</v>
      </c>
      <c r="B300" s="64" t="s">
        <v>2243</v>
      </c>
      <c r="C300" s="65">
        <v>1</v>
      </c>
      <c r="D300" s="142" t="s">
        <v>2182</v>
      </c>
      <c r="E300" s="233" t="s">
        <v>2242</v>
      </c>
      <c r="F300" s="35">
        <v>157.94999999999999</v>
      </c>
      <c r="G300" s="22">
        <f t="shared" si="73"/>
        <v>0.2</v>
      </c>
      <c r="H300" s="35">
        <f t="shared" si="75"/>
        <v>126.35999999999999</v>
      </c>
      <c r="I300" s="27"/>
      <c r="J300" s="23"/>
      <c r="K300" s="23"/>
      <c r="L300" s="17">
        <v>6</v>
      </c>
      <c r="M300" s="63">
        <v>0.05</v>
      </c>
      <c r="N300" s="91" t="s">
        <v>75</v>
      </c>
      <c r="O300" s="55" t="s">
        <v>1106</v>
      </c>
      <c r="P300" s="56" t="s">
        <v>504</v>
      </c>
      <c r="Q300" s="56" t="s">
        <v>1273</v>
      </c>
      <c r="R300" s="25" t="s">
        <v>2242</v>
      </c>
      <c r="S300" s="64" t="s">
        <v>2243</v>
      </c>
      <c r="T300" s="65">
        <v>1</v>
      </c>
      <c r="U300" s="142" t="s">
        <v>2182</v>
      </c>
      <c r="V300" s="233" t="s">
        <v>2242</v>
      </c>
      <c r="W300" s="35">
        <v>157.94999999999999</v>
      </c>
      <c r="X300" s="22">
        <f t="shared" si="74"/>
        <v>0.2</v>
      </c>
      <c r="Y300" s="35">
        <f t="shared" si="77"/>
        <v>126.35999999999999</v>
      </c>
      <c r="Z300" s="27"/>
      <c r="AA300" s="23"/>
      <c r="AB300" s="23"/>
      <c r="AC300" s="17">
        <v>6</v>
      </c>
      <c r="AD300" s="63">
        <v>0.05</v>
      </c>
      <c r="AE300" s="91" t="s">
        <v>75</v>
      </c>
      <c r="AF300" s="55" t="s">
        <v>1106</v>
      </c>
      <c r="AG300" s="14" t="s">
        <v>1274</v>
      </c>
      <c r="AH300" s="14" t="s">
        <v>1275</v>
      </c>
    </row>
    <row r="301" spans="1:34" s="1" customFormat="1">
      <c r="A301" s="25" t="s">
        <v>2244</v>
      </c>
      <c r="B301" s="64" t="s">
        <v>2245</v>
      </c>
      <c r="C301" s="65">
        <v>1</v>
      </c>
      <c r="D301" s="142" t="s">
        <v>2182</v>
      </c>
      <c r="E301" s="233" t="s">
        <v>2244</v>
      </c>
      <c r="F301" s="35">
        <v>186.5</v>
      </c>
      <c r="G301" s="22">
        <f t="shared" si="73"/>
        <v>0.2</v>
      </c>
      <c r="H301" s="35">
        <f t="shared" si="75"/>
        <v>149.19999999999999</v>
      </c>
      <c r="I301" s="27"/>
      <c r="J301" s="23"/>
      <c r="K301" s="23"/>
      <c r="L301" s="17">
        <v>10</v>
      </c>
      <c r="M301" s="63">
        <v>0.05</v>
      </c>
      <c r="N301" s="91" t="s">
        <v>75</v>
      </c>
      <c r="O301" s="55" t="s">
        <v>1106</v>
      </c>
      <c r="P301" s="56" t="s">
        <v>504</v>
      </c>
      <c r="Q301" s="56" t="s">
        <v>1273</v>
      </c>
      <c r="R301" s="25" t="s">
        <v>2244</v>
      </c>
      <c r="S301" s="64" t="s">
        <v>2245</v>
      </c>
      <c r="T301" s="65">
        <v>1</v>
      </c>
      <c r="U301" s="142" t="s">
        <v>2182</v>
      </c>
      <c r="V301" s="233" t="s">
        <v>2244</v>
      </c>
      <c r="W301" s="35">
        <v>186.5</v>
      </c>
      <c r="X301" s="22">
        <f t="shared" si="74"/>
        <v>0.2</v>
      </c>
      <c r="Y301" s="35">
        <f t="shared" si="77"/>
        <v>149.19999999999999</v>
      </c>
      <c r="Z301" s="27"/>
      <c r="AA301" s="23"/>
      <c r="AB301" s="23"/>
      <c r="AC301" s="17">
        <v>10</v>
      </c>
      <c r="AD301" s="63">
        <v>0.05</v>
      </c>
      <c r="AE301" s="91" t="s">
        <v>75</v>
      </c>
      <c r="AF301" s="55" t="s">
        <v>1106</v>
      </c>
      <c r="AG301" s="14" t="s">
        <v>1274</v>
      </c>
      <c r="AH301" s="14" t="s">
        <v>1275</v>
      </c>
    </row>
    <row r="302" spans="1:34" s="1" customFormat="1">
      <c r="A302" s="25" t="s">
        <v>2246</v>
      </c>
      <c r="B302" s="64" t="s">
        <v>2247</v>
      </c>
      <c r="C302" s="65">
        <v>1</v>
      </c>
      <c r="D302" s="29" t="s">
        <v>2182</v>
      </c>
      <c r="E302" s="29" t="s">
        <v>2246</v>
      </c>
      <c r="F302" s="35">
        <v>86.46</v>
      </c>
      <c r="G302" s="22">
        <f t="shared" si="73"/>
        <v>0.2</v>
      </c>
      <c r="H302" s="35">
        <f t="shared" si="75"/>
        <v>69.167999999999992</v>
      </c>
      <c r="I302" s="27"/>
      <c r="J302" s="23"/>
      <c r="K302" s="23"/>
      <c r="L302" s="17">
        <v>6</v>
      </c>
      <c r="M302" s="63">
        <v>0.05</v>
      </c>
      <c r="N302" s="91" t="s">
        <v>75</v>
      </c>
      <c r="O302" s="55" t="s">
        <v>1106</v>
      </c>
      <c r="P302" s="56" t="s">
        <v>504</v>
      </c>
      <c r="Q302" s="56" t="s">
        <v>1273</v>
      </c>
      <c r="R302" s="25" t="s">
        <v>2246</v>
      </c>
      <c r="S302" s="64" t="s">
        <v>2247</v>
      </c>
      <c r="T302" s="65">
        <v>1</v>
      </c>
      <c r="U302" s="29" t="s">
        <v>2182</v>
      </c>
      <c r="V302" s="29" t="s">
        <v>2246</v>
      </c>
      <c r="W302" s="35">
        <v>86.46</v>
      </c>
      <c r="X302" s="22">
        <f t="shared" si="74"/>
        <v>0.2</v>
      </c>
      <c r="Y302" s="35">
        <f t="shared" si="77"/>
        <v>69.167999999999992</v>
      </c>
      <c r="Z302" s="27"/>
      <c r="AA302" s="23"/>
      <c r="AB302" s="23"/>
      <c r="AC302" s="17">
        <v>6</v>
      </c>
      <c r="AD302" s="63">
        <v>0.05</v>
      </c>
      <c r="AE302" s="91" t="s">
        <v>75</v>
      </c>
      <c r="AF302" s="55" t="s">
        <v>1106</v>
      </c>
      <c r="AG302" s="14" t="s">
        <v>1274</v>
      </c>
      <c r="AH302" s="14" t="s">
        <v>1275</v>
      </c>
    </row>
    <row r="303" spans="1:34" s="1" customFormat="1">
      <c r="A303" s="25" t="s">
        <v>2248</v>
      </c>
      <c r="B303" s="64" t="s">
        <v>2249</v>
      </c>
      <c r="C303" s="65">
        <v>1</v>
      </c>
      <c r="D303" s="142" t="s">
        <v>2250</v>
      </c>
      <c r="E303" s="142" t="s">
        <v>2248</v>
      </c>
      <c r="F303" s="35">
        <v>394</v>
      </c>
      <c r="G303" s="22">
        <f t="shared" si="73"/>
        <v>0.2</v>
      </c>
      <c r="H303" s="35">
        <f t="shared" ref="H303" si="79">F303-(F303*G303)</f>
        <v>315.2</v>
      </c>
      <c r="I303" s="27"/>
      <c r="J303" s="23"/>
      <c r="K303" s="23"/>
      <c r="L303" s="17">
        <v>6</v>
      </c>
      <c r="M303" s="63">
        <v>0.38</v>
      </c>
      <c r="N303" s="91" t="s">
        <v>75</v>
      </c>
      <c r="O303" s="55" t="s">
        <v>1106</v>
      </c>
      <c r="P303" s="56" t="s">
        <v>504</v>
      </c>
      <c r="Q303" s="56" t="s">
        <v>1273</v>
      </c>
      <c r="R303" s="25" t="s">
        <v>2248</v>
      </c>
      <c r="S303" s="64" t="s">
        <v>2249</v>
      </c>
      <c r="T303" s="65">
        <v>1</v>
      </c>
      <c r="U303" s="142" t="s">
        <v>2250</v>
      </c>
      <c r="V303" s="142" t="s">
        <v>2248</v>
      </c>
      <c r="W303" s="35">
        <v>394</v>
      </c>
      <c r="X303" s="22">
        <f t="shared" si="74"/>
        <v>0.2</v>
      </c>
      <c r="Y303" s="35">
        <f t="shared" si="77"/>
        <v>315.2</v>
      </c>
      <c r="Z303" s="27"/>
      <c r="AA303" s="23"/>
      <c r="AB303" s="23"/>
      <c r="AC303" s="17">
        <v>6</v>
      </c>
      <c r="AD303" s="63">
        <v>0.38</v>
      </c>
      <c r="AE303" s="91" t="s">
        <v>75</v>
      </c>
      <c r="AF303" s="55" t="s">
        <v>1106</v>
      </c>
      <c r="AG303" s="14" t="s">
        <v>1274</v>
      </c>
      <c r="AH303" s="14" t="s">
        <v>1275</v>
      </c>
    </row>
    <row r="304" spans="1:34" s="1" customFormat="1">
      <c r="A304" s="25" t="s">
        <v>2251</v>
      </c>
      <c r="B304" s="64" t="s">
        <v>2252</v>
      </c>
      <c r="C304" s="65">
        <v>1</v>
      </c>
      <c r="D304" s="35" t="s">
        <v>1744</v>
      </c>
      <c r="E304" s="29" t="s">
        <v>2251</v>
      </c>
      <c r="F304" s="35">
        <v>42.34</v>
      </c>
      <c r="G304" s="22">
        <f t="shared" si="73"/>
        <v>0.2</v>
      </c>
      <c r="H304" s="35">
        <f t="shared" si="75"/>
        <v>33.872</v>
      </c>
      <c r="I304" s="27"/>
      <c r="J304" s="23"/>
      <c r="K304" s="23"/>
      <c r="L304" s="23"/>
      <c r="M304" s="63">
        <v>0.02</v>
      </c>
      <c r="N304" s="91" t="s">
        <v>75</v>
      </c>
      <c r="O304" s="55" t="s">
        <v>1106</v>
      </c>
      <c r="P304" s="56" t="s">
        <v>504</v>
      </c>
      <c r="Q304" s="56" t="s">
        <v>1273</v>
      </c>
      <c r="R304" s="25" t="s">
        <v>2251</v>
      </c>
      <c r="S304" s="64" t="s">
        <v>2252</v>
      </c>
      <c r="T304" s="65">
        <v>1</v>
      </c>
      <c r="U304" s="35" t="s">
        <v>1744</v>
      </c>
      <c r="V304" s="29" t="s">
        <v>2251</v>
      </c>
      <c r="W304" s="35">
        <v>42.34</v>
      </c>
      <c r="X304" s="22">
        <f t="shared" si="74"/>
        <v>0.2</v>
      </c>
      <c r="Y304" s="35">
        <f t="shared" si="77"/>
        <v>33.872</v>
      </c>
      <c r="Z304" s="27"/>
      <c r="AA304" s="23"/>
      <c r="AB304" s="23"/>
      <c r="AC304" s="23"/>
      <c r="AD304" s="63">
        <v>0.02</v>
      </c>
      <c r="AE304" s="91" t="s">
        <v>75</v>
      </c>
      <c r="AF304" s="55" t="s">
        <v>1106</v>
      </c>
      <c r="AG304" s="14" t="s">
        <v>1274</v>
      </c>
      <c r="AH304" s="14" t="s">
        <v>1275</v>
      </c>
    </row>
    <row r="305" spans="1:34" s="1" customFormat="1">
      <c r="A305" s="25" t="s">
        <v>2253</v>
      </c>
      <c r="B305" s="64" t="s">
        <v>2254</v>
      </c>
      <c r="C305" s="65">
        <v>1</v>
      </c>
      <c r="D305" s="35" t="s">
        <v>1744</v>
      </c>
      <c r="E305" s="29" t="s">
        <v>2253</v>
      </c>
      <c r="F305" s="35">
        <v>134.02000000000001</v>
      </c>
      <c r="G305" s="22">
        <f>rv_10</f>
        <v>0.1</v>
      </c>
      <c r="H305" s="35">
        <f t="shared" si="75"/>
        <v>120.61800000000001</v>
      </c>
      <c r="I305" s="27"/>
      <c r="J305" s="23"/>
      <c r="K305" s="23"/>
      <c r="L305" s="23"/>
      <c r="M305" s="63">
        <v>0.2</v>
      </c>
      <c r="N305" s="91" t="s">
        <v>75</v>
      </c>
      <c r="O305" s="55" t="s">
        <v>1106</v>
      </c>
      <c r="P305" s="56" t="s">
        <v>504</v>
      </c>
      <c r="Q305" s="56" t="s">
        <v>1273</v>
      </c>
      <c r="R305" s="25" t="s">
        <v>2253</v>
      </c>
      <c r="S305" s="64" t="s">
        <v>2254</v>
      </c>
      <c r="T305" s="65">
        <v>1</v>
      </c>
      <c r="U305" s="35" t="s">
        <v>1744</v>
      </c>
      <c r="V305" s="29" t="s">
        <v>2253</v>
      </c>
      <c r="W305" s="35">
        <v>134.02000000000001</v>
      </c>
      <c r="X305" s="22">
        <f>rv_10</f>
        <v>0.1</v>
      </c>
      <c r="Y305" s="35">
        <f t="shared" si="77"/>
        <v>120.61800000000001</v>
      </c>
      <c r="Z305" s="27"/>
      <c r="AA305" s="23"/>
      <c r="AB305" s="23"/>
      <c r="AC305" s="23"/>
      <c r="AD305" s="63">
        <v>0.2</v>
      </c>
      <c r="AE305" s="91" t="s">
        <v>75</v>
      </c>
      <c r="AF305" s="55" t="s">
        <v>1106</v>
      </c>
      <c r="AG305" s="14" t="s">
        <v>1274</v>
      </c>
      <c r="AH305" s="14" t="s">
        <v>1275</v>
      </c>
    </row>
    <row r="306" spans="1:34" s="1" customFormat="1">
      <c r="A306" s="25" t="s">
        <v>2255</v>
      </c>
      <c r="B306" s="64" t="s">
        <v>2256</v>
      </c>
      <c r="C306" s="65">
        <v>1</v>
      </c>
      <c r="D306" s="35" t="s">
        <v>1744</v>
      </c>
      <c r="E306" s="29" t="s">
        <v>2255</v>
      </c>
      <c r="F306" s="35">
        <v>43.75</v>
      </c>
      <c r="G306" s="22">
        <f t="shared" ref="G306:G328" si="80">rv_20</f>
        <v>0.2</v>
      </c>
      <c r="H306" s="35">
        <f t="shared" si="75"/>
        <v>35</v>
      </c>
      <c r="I306" s="27"/>
      <c r="J306" s="23"/>
      <c r="K306" s="23"/>
      <c r="L306" s="23"/>
      <c r="M306" s="63">
        <v>0.1</v>
      </c>
      <c r="N306" s="91" t="s">
        <v>75</v>
      </c>
      <c r="O306" s="55" t="s">
        <v>1106</v>
      </c>
      <c r="P306" s="56" t="s">
        <v>504</v>
      </c>
      <c r="Q306" s="56" t="s">
        <v>1273</v>
      </c>
      <c r="R306" s="25" t="s">
        <v>2255</v>
      </c>
      <c r="S306" s="64" t="s">
        <v>2256</v>
      </c>
      <c r="T306" s="65">
        <v>1</v>
      </c>
      <c r="U306" s="35" t="s">
        <v>1744</v>
      </c>
      <c r="V306" s="29" t="s">
        <v>2255</v>
      </c>
      <c r="W306" s="35">
        <v>43.75</v>
      </c>
      <c r="X306" s="22">
        <f t="shared" ref="X306:X328" si="81">rv_20</f>
        <v>0.2</v>
      </c>
      <c r="Y306" s="35">
        <f t="shared" si="77"/>
        <v>35</v>
      </c>
      <c r="Z306" s="27"/>
      <c r="AA306" s="23"/>
      <c r="AB306" s="23"/>
      <c r="AC306" s="23"/>
      <c r="AD306" s="63">
        <v>0.1</v>
      </c>
      <c r="AE306" s="91" t="s">
        <v>75</v>
      </c>
      <c r="AF306" s="55" t="s">
        <v>1106</v>
      </c>
      <c r="AG306" s="14" t="s">
        <v>1274</v>
      </c>
      <c r="AH306" s="14" t="s">
        <v>1275</v>
      </c>
    </row>
    <row r="307" spans="1:34" s="1" customFormat="1">
      <c r="A307" s="25" t="s">
        <v>2257</v>
      </c>
      <c r="B307" s="64" t="s">
        <v>2258</v>
      </c>
      <c r="C307" s="65">
        <v>1</v>
      </c>
      <c r="D307" s="35" t="s">
        <v>1744</v>
      </c>
      <c r="E307" s="29" t="s">
        <v>2257</v>
      </c>
      <c r="F307" s="35">
        <v>28.29</v>
      </c>
      <c r="G307" s="22">
        <f t="shared" si="80"/>
        <v>0.2</v>
      </c>
      <c r="H307" s="35">
        <f t="shared" si="75"/>
        <v>22.631999999999998</v>
      </c>
      <c r="I307" s="27"/>
      <c r="J307" s="23"/>
      <c r="K307" s="23"/>
      <c r="L307" s="23"/>
      <c r="M307" s="63">
        <v>0.1</v>
      </c>
      <c r="N307" s="91" t="s">
        <v>75</v>
      </c>
      <c r="O307" s="55" t="s">
        <v>1106</v>
      </c>
      <c r="P307" s="56" t="s">
        <v>504</v>
      </c>
      <c r="Q307" s="56" t="s">
        <v>1273</v>
      </c>
      <c r="R307" s="25" t="s">
        <v>2257</v>
      </c>
      <c r="S307" s="64" t="s">
        <v>2258</v>
      </c>
      <c r="T307" s="65">
        <v>1</v>
      </c>
      <c r="U307" s="35" t="s">
        <v>1744</v>
      </c>
      <c r="V307" s="29" t="s">
        <v>2257</v>
      </c>
      <c r="W307" s="35">
        <v>28.29</v>
      </c>
      <c r="X307" s="22">
        <f t="shared" si="81"/>
        <v>0.2</v>
      </c>
      <c r="Y307" s="35">
        <f t="shared" si="77"/>
        <v>22.631999999999998</v>
      </c>
      <c r="Z307" s="27"/>
      <c r="AA307" s="23"/>
      <c r="AB307" s="23"/>
      <c r="AC307" s="28"/>
      <c r="AD307" s="63">
        <v>0.1</v>
      </c>
      <c r="AE307" s="91" t="s">
        <v>75</v>
      </c>
      <c r="AF307" s="55" t="s">
        <v>1106</v>
      </c>
      <c r="AG307" s="14" t="s">
        <v>1274</v>
      </c>
      <c r="AH307" s="14" t="s">
        <v>1275</v>
      </c>
    </row>
    <row r="308" spans="1:34" s="1" customFormat="1">
      <c r="A308" s="25" t="s">
        <v>2259</v>
      </c>
      <c r="B308" s="64" t="s">
        <v>2260</v>
      </c>
      <c r="C308" s="65">
        <v>1</v>
      </c>
      <c r="D308" s="35" t="s">
        <v>1744</v>
      </c>
      <c r="E308" s="29" t="s">
        <v>2259</v>
      </c>
      <c r="F308" s="35">
        <v>97.32</v>
      </c>
      <c r="G308" s="22">
        <f t="shared" si="80"/>
        <v>0.2</v>
      </c>
      <c r="H308" s="35">
        <f t="shared" si="75"/>
        <v>77.855999999999995</v>
      </c>
      <c r="I308" s="27"/>
      <c r="J308" s="23"/>
      <c r="K308" s="23"/>
      <c r="L308" s="23"/>
      <c r="M308" s="63">
        <v>0.38</v>
      </c>
      <c r="N308" s="91" t="s">
        <v>75</v>
      </c>
      <c r="O308" s="55" t="s">
        <v>1106</v>
      </c>
      <c r="P308" s="56" t="s">
        <v>504</v>
      </c>
      <c r="Q308" s="56" t="s">
        <v>1273</v>
      </c>
      <c r="R308" s="25" t="s">
        <v>2259</v>
      </c>
      <c r="S308" s="64" t="s">
        <v>2260</v>
      </c>
      <c r="T308" s="65">
        <v>1</v>
      </c>
      <c r="U308" s="35" t="s">
        <v>1744</v>
      </c>
      <c r="V308" s="29" t="s">
        <v>2259</v>
      </c>
      <c r="W308" s="35">
        <v>97.32</v>
      </c>
      <c r="X308" s="22">
        <f t="shared" si="81"/>
        <v>0.2</v>
      </c>
      <c r="Y308" s="35">
        <f t="shared" si="77"/>
        <v>77.855999999999995</v>
      </c>
      <c r="Z308" s="27"/>
      <c r="AA308" s="23"/>
      <c r="AB308" s="23"/>
      <c r="AC308" s="28"/>
      <c r="AD308" s="63">
        <v>0.38</v>
      </c>
      <c r="AE308" s="91" t="s">
        <v>75</v>
      </c>
      <c r="AF308" s="55" t="s">
        <v>1106</v>
      </c>
      <c r="AG308" s="14" t="s">
        <v>1274</v>
      </c>
      <c r="AH308" s="14" t="s">
        <v>1275</v>
      </c>
    </row>
    <row r="309" spans="1:34" s="1" customFormat="1">
      <c r="A309" s="25" t="s">
        <v>2261</v>
      </c>
      <c r="B309" s="64" t="s">
        <v>2262</v>
      </c>
      <c r="C309" s="65">
        <v>1</v>
      </c>
      <c r="D309" s="35" t="s">
        <v>1744</v>
      </c>
      <c r="E309" s="29" t="s">
        <v>2261</v>
      </c>
      <c r="F309" s="35">
        <v>124.07</v>
      </c>
      <c r="G309" s="22">
        <f t="shared" si="80"/>
        <v>0.2</v>
      </c>
      <c r="H309" s="35">
        <f t="shared" si="75"/>
        <v>99.256</v>
      </c>
      <c r="I309" s="27"/>
      <c r="J309" s="23"/>
      <c r="K309" s="23"/>
      <c r="L309" s="23"/>
      <c r="M309" s="63">
        <v>0.63</v>
      </c>
      <c r="N309" s="91" t="s">
        <v>75</v>
      </c>
      <c r="O309" s="55" t="s">
        <v>1106</v>
      </c>
      <c r="P309" s="56" t="s">
        <v>504</v>
      </c>
      <c r="Q309" s="56" t="s">
        <v>1273</v>
      </c>
      <c r="R309" s="25" t="s">
        <v>2261</v>
      </c>
      <c r="S309" s="64" t="s">
        <v>2262</v>
      </c>
      <c r="T309" s="65">
        <v>1</v>
      </c>
      <c r="U309" s="35" t="s">
        <v>1744</v>
      </c>
      <c r="V309" s="29" t="s">
        <v>2261</v>
      </c>
      <c r="W309" s="35">
        <v>124.07</v>
      </c>
      <c r="X309" s="22">
        <f t="shared" si="81"/>
        <v>0.2</v>
      </c>
      <c r="Y309" s="35">
        <f t="shared" si="77"/>
        <v>99.256</v>
      </c>
      <c r="Z309" s="27"/>
      <c r="AA309" s="23"/>
      <c r="AB309" s="23"/>
      <c r="AC309" s="28"/>
      <c r="AD309" s="63">
        <v>0.63</v>
      </c>
      <c r="AE309" s="91" t="s">
        <v>75</v>
      </c>
      <c r="AF309" s="55" t="s">
        <v>1106</v>
      </c>
      <c r="AG309" s="14" t="s">
        <v>1274</v>
      </c>
      <c r="AH309" s="14" t="s">
        <v>1275</v>
      </c>
    </row>
    <row r="310" spans="1:34" s="1" customFormat="1">
      <c r="A310" s="25" t="s">
        <v>2263</v>
      </c>
      <c r="B310" s="64" t="s">
        <v>2264</v>
      </c>
      <c r="C310" s="65">
        <v>1</v>
      </c>
      <c r="D310" s="35" t="s">
        <v>1744</v>
      </c>
      <c r="E310" s="29" t="s">
        <v>2263</v>
      </c>
      <c r="F310" s="35">
        <v>74.11</v>
      </c>
      <c r="G310" s="22">
        <f t="shared" si="80"/>
        <v>0.2</v>
      </c>
      <c r="H310" s="35">
        <f t="shared" si="75"/>
        <v>59.287999999999997</v>
      </c>
      <c r="I310" s="27"/>
      <c r="J310" s="23"/>
      <c r="K310" s="23"/>
      <c r="L310" s="23"/>
      <c r="M310" s="63">
        <v>0.05</v>
      </c>
      <c r="N310" s="91" t="s">
        <v>75</v>
      </c>
      <c r="O310" s="55" t="s">
        <v>1106</v>
      </c>
      <c r="P310" s="56" t="s">
        <v>504</v>
      </c>
      <c r="Q310" s="56" t="s">
        <v>1273</v>
      </c>
      <c r="R310" s="25" t="s">
        <v>2263</v>
      </c>
      <c r="S310" s="64" t="s">
        <v>2264</v>
      </c>
      <c r="T310" s="65">
        <v>1</v>
      </c>
      <c r="U310" s="35" t="s">
        <v>1744</v>
      </c>
      <c r="V310" s="29" t="s">
        <v>2263</v>
      </c>
      <c r="W310" s="35">
        <v>74.11</v>
      </c>
      <c r="X310" s="22">
        <f t="shared" si="81"/>
        <v>0.2</v>
      </c>
      <c r="Y310" s="35">
        <f t="shared" si="77"/>
        <v>59.287999999999997</v>
      </c>
      <c r="Z310" s="27"/>
      <c r="AA310" s="23"/>
      <c r="AB310" s="23"/>
      <c r="AC310" s="28"/>
      <c r="AD310" s="63">
        <v>0.05</v>
      </c>
      <c r="AE310" s="91" t="s">
        <v>75</v>
      </c>
      <c r="AF310" s="55" t="s">
        <v>1106</v>
      </c>
      <c r="AG310" s="14" t="s">
        <v>1274</v>
      </c>
      <c r="AH310" s="14" t="s">
        <v>1275</v>
      </c>
    </row>
    <row r="311" spans="1:34" s="1" customFormat="1">
      <c r="A311" s="25" t="s">
        <v>2265</v>
      </c>
      <c r="B311" s="64" t="s">
        <v>2266</v>
      </c>
      <c r="C311" s="65">
        <v>1</v>
      </c>
      <c r="D311" s="35" t="s">
        <v>2267</v>
      </c>
      <c r="E311" s="29" t="s">
        <v>2265</v>
      </c>
      <c r="F311" s="35">
        <v>92.32</v>
      </c>
      <c r="G311" s="22">
        <f t="shared" si="80"/>
        <v>0.2</v>
      </c>
      <c r="H311" s="35">
        <f t="shared" si="75"/>
        <v>73.855999999999995</v>
      </c>
      <c r="I311" s="27"/>
      <c r="J311" s="23"/>
      <c r="K311" s="23"/>
      <c r="L311" s="23"/>
      <c r="M311" s="63">
        <v>0</v>
      </c>
      <c r="N311" s="91" t="s">
        <v>75</v>
      </c>
      <c r="O311" s="55" t="s">
        <v>1106</v>
      </c>
      <c r="P311" s="56" t="s">
        <v>504</v>
      </c>
      <c r="Q311" s="56" t="s">
        <v>1273</v>
      </c>
      <c r="R311" s="25" t="s">
        <v>2265</v>
      </c>
      <c r="S311" s="64" t="s">
        <v>2266</v>
      </c>
      <c r="T311" s="65">
        <v>1</v>
      </c>
      <c r="U311" s="35" t="s">
        <v>2267</v>
      </c>
      <c r="V311" s="29" t="s">
        <v>2265</v>
      </c>
      <c r="W311" s="35">
        <v>92.32</v>
      </c>
      <c r="X311" s="22">
        <f t="shared" si="81"/>
        <v>0.2</v>
      </c>
      <c r="Y311" s="35">
        <f t="shared" si="77"/>
        <v>73.855999999999995</v>
      </c>
      <c r="Z311" s="27"/>
      <c r="AA311" s="23"/>
      <c r="AB311" s="23"/>
      <c r="AC311" s="28"/>
      <c r="AD311" s="63">
        <v>0</v>
      </c>
      <c r="AE311" s="91" t="s">
        <v>75</v>
      </c>
      <c r="AF311" s="55" t="s">
        <v>1106</v>
      </c>
      <c r="AG311" s="14" t="s">
        <v>1274</v>
      </c>
      <c r="AH311" s="14" t="s">
        <v>1275</v>
      </c>
    </row>
    <row r="312" spans="1:34" s="1" customFormat="1">
      <c r="A312" s="25" t="s">
        <v>2268</v>
      </c>
      <c r="B312" s="64" t="s">
        <v>2269</v>
      </c>
      <c r="C312" s="65">
        <v>1</v>
      </c>
      <c r="D312" s="35" t="s">
        <v>2267</v>
      </c>
      <c r="E312" s="29" t="s">
        <v>2268</v>
      </c>
      <c r="F312" s="35">
        <v>92.32</v>
      </c>
      <c r="G312" s="22">
        <f t="shared" si="80"/>
        <v>0.2</v>
      </c>
      <c r="H312" s="35">
        <f t="shared" si="75"/>
        <v>73.855999999999995</v>
      </c>
      <c r="I312" s="27"/>
      <c r="J312" s="23"/>
      <c r="K312" s="23"/>
      <c r="L312" s="23"/>
      <c r="M312" s="63">
        <v>0</v>
      </c>
      <c r="N312" s="91" t="s">
        <v>75</v>
      </c>
      <c r="O312" s="55" t="s">
        <v>1106</v>
      </c>
      <c r="P312" s="56" t="s">
        <v>504</v>
      </c>
      <c r="Q312" s="56" t="s">
        <v>1273</v>
      </c>
      <c r="R312" s="25" t="s">
        <v>2268</v>
      </c>
      <c r="S312" s="64" t="s">
        <v>2269</v>
      </c>
      <c r="T312" s="65">
        <v>1</v>
      </c>
      <c r="U312" s="35" t="s">
        <v>2267</v>
      </c>
      <c r="V312" s="29" t="s">
        <v>2268</v>
      </c>
      <c r="W312" s="35">
        <v>92.32</v>
      </c>
      <c r="X312" s="22">
        <f t="shared" si="81"/>
        <v>0.2</v>
      </c>
      <c r="Y312" s="35">
        <f t="shared" si="77"/>
        <v>73.855999999999995</v>
      </c>
      <c r="Z312" s="27"/>
      <c r="AA312" s="23"/>
      <c r="AB312" s="23"/>
      <c r="AC312" s="28"/>
      <c r="AD312" s="63">
        <v>0</v>
      </c>
      <c r="AE312" s="91" t="s">
        <v>75</v>
      </c>
      <c r="AF312" s="55" t="s">
        <v>1106</v>
      </c>
      <c r="AG312" s="14" t="s">
        <v>1274</v>
      </c>
      <c r="AH312" s="14" t="s">
        <v>1275</v>
      </c>
    </row>
    <row r="313" spans="1:34" s="1" customFormat="1">
      <c r="A313" s="25" t="s">
        <v>2270</v>
      </c>
      <c r="B313" s="64" t="s">
        <v>2271</v>
      </c>
      <c r="C313" s="65">
        <v>1</v>
      </c>
      <c r="D313" s="35" t="s">
        <v>2267</v>
      </c>
      <c r="E313" s="29" t="s">
        <v>2270</v>
      </c>
      <c r="F313" s="35">
        <v>75.34</v>
      </c>
      <c r="G313" s="22">
        <f t="shared" si="80"/>
        <v>0.2</v>
      </c>
      <c r="H313" s="35">
        <f t="shared" si="75"/>
        <v>60.272000000000006</v>
      </c>
      <c r="I313" s="27"/>
      <c r="J313" s="23"/>
      <c r="K313" s="23"/>
      <c r="L313" s="23"/>
      <c r="M313" s="63">
        <v>0</v>
      </c>
      <c r="N313" s="91" t="s">
        <v>75</v>
      </c>
      <c r="O313" s="55" t="s">
        <v>1106</v>
      </c>
      <c r="P313" s="56" t="s">
        <v>504</v>
      </c>
      <c r="Q313" s="56" t="s">
        <v>1273</v>
      </c>
      <c r="R313" s="25" t="s">
        <v>2270</v>
      </c>
      <c r="S313" s="64" t="s">
        <v>2271</v>
      </c>
      <c r="T313" s="65">
        <v>1</v>
      </c>
      <c r="U313" s="35" t="s">
        <v>2267</v>
      </c>
      <c r="V313" s="29" t="s">
        <v>2270</v>
      </c>
      <c r="W313" s="35">
        <v>75.34</v>
      </c>
      <c r="X313" s="22">
        <f t="shared" si="81"/>
        <v>0.2</v>
      </c>
      <c r="Y313" s="35">
        <f t="shared" si="77"/>
        <v>60.272000000000006</v>
      </c>
      <c r="Z313" s="27"/>
      <c r="AA313" s="23"/>
      <c r="AB313" s="23"/>
      <c r="AC313" s="28"/>
      <c r="AD313" s="63">
        <v>0</v>
      </c>
      <c r="AE313" s="91" t="s">
        <v>75</v>
      </c>
      <c r="AF313" s="55" t="s">
        <v>1106</v>
      </c>
      <c r="AG313" s="14" t="s">
        <v>1274</v>
      </c>
      <c r="AH313" s="14" t="s">
        <v>1275</v>
      </c>
    </row>
    <row r="314" spans="1:34" s="1" customFormat="1">
      <c r="A314" s="25" t="s">
        <v>2272</v>
      </c>
      <c r="B314" s="64" t="s">
        <v>2273</v>
      </c>
      <c r="C314" s="65">
        <v>1</v>
      </c>
      <c r="D314" s="35" t="s">
        <v>2267</v>
      </c>
      <c r="E314" s="29" t="s">
        <v>2272</v>
      </c>
      <c r="F314" s="35">
        <v>75.34</v>
      </c>
      <c r="G314" s="22">
        <f t="shared" si="80"/>
        <v>0.2</v>
      </c>
      <c r="H314" s="35">
        <f t="shared" si="75"/>
        <v>60.272000000000006</v>
      </c>
      <c r="I314" s="27"/>
      <c r="J314" s="23"/>
      <c r="K314" s="23"/>
      <c r="L314" s="23"/>
      <c r="M314" s="63">
        <v>0</v>
      </c>
      <c r="N314" s="91" t="s">
        <v>75</v>
      </c>
      <c r="O314" s="55" t="s">
        <v>1106</v>
      </c>
      <c r="P314" s="56" t="s">
        <v>504</v>
      </c>
      <c r="Q314" s="56" t="s">
        <v>1273</v>
      </c>
      <c r="R314" s="25" t="s">
        <v>2272</v>
      </c>
      <c r="S314" s="64" t="s">
        <v>2273</v>
      </c>
      <c r="T314" s="65">
        <v>1</v>
      </c>
      <c r="U314" s="35" t="s">
        <v>2267</v>
      </c>
      <c r="V314" s="29" t="s">
        <v>2272</v>
      </c>
      <c r="W314" s="35">
        <v>75.34</v>
      </c>
      <c r="X314" s="22">
        <f t="shared" si="81"/>
        <v>0.2</v>
      </c>
      <c r="Y314" s="35">
        <f t="shared" si="77"/>
        <v>60.272000000000006</v>
      </c>
      <c r="Z314" s="27"/>
      <c r="AA314" s="23"/>
      <c r="AB314" s="23"/>
      <c r="AC314" s="28"/>
      <c r="AD314" s="63">
        <v>0</v>
      </c>
      <c r="AE314" s="91" t="s">
        <v>75</v>
      </c>
      <c r="AF314" s="55" t="s">
        <v>1106</v>
      </c>
      <c r="AG314" s="14" t="s">
        <v>1274</v>
      </c>
      <c r="AH314" s="14" t="s">
        <v>1275</v>
      </c>
    </row>
    <row r="315" spans="1:34" s="1" customFormat="1">
      <c r="A315" s="25" t="s">
        <v>2274</v>
      </c>
      <c r="B315" s="64" t="s">
        <v>2275</v>
      </c>
      <c r="C315" s="65">
        <v>1</v>
      </c>
      <c r="D315" s="35" t="s">
        <v>2267</v>
      </c>
      <c r="E315" s="29" t="s">
        <v>2274</v>
      </c>
      <c r="F315" s="35">
        <v>75.34</v>
      </c>
      <c r="G315" s="22">
        <f t="shared" si="80"/>
        <v>0.2</v>
      </c>
      <c r="H315" s="35">
        <f t="shared" si="75"/>
        <v>60.272000000000006</v>
      </c>
      <c r="I315" s="27"/>
      <c r="J315" s="23"/>
      <c r="K315" s="23"/>
      <c r="L315" s="23"/>
      <c r="M315" s="63">
        <v>0</v>
      </c>
      <c r="N315" s="91" t="s">
        <v>75</v>
      </c>
      <c r="O315" s="55" t="s">
        <v>1106</v>
      </c>
      <c r="P315" s="56" t="s">
        <v>504</v>
      </c>
      <c r="Q315" s="56" t="s">
        <v>1273</v>
      </c>
      <c r="R315" s="25" t="s">
        <v>2274</v>
      </c>
      <c r="S315" s="64" t="s">
        <v>2275</v>
      </c>
      <c r="T315" s="65">
        <v>1</v>
      </c>
      <c r="U315" s="35" t="s">
        <v>2267</v>
      </c>
      <c r="V315" s="29" t="s">
        <v>2274</v>
      </c>
      <c r="W315" s="35">
        <v>75.34</v>
      </c>
      <c r="X315" s="22">
        <f t="shared" si="81"/>
        <v>0.2</v>
      </c>
      <c r="Y315" s="35">
        <f t="shared" si="77"/>
        <v>60.272000000000006</v>
      </c>
      <c r="Z315" s="27"/>
      <c r="AA315" s="23"/>
      <c r="AB315" s="23"/>
      <c r="AC315" s="28"/>
      <c r="AD315" s="63">
        <v>0</v>
      </c>
      <c r="AE315" s="91" t="s">
        <v>75</v>
      </c>
      <c r="AF315" s="55" t="s">
        <v>1106</v>
      </c>
      <c r="AG315" s="14" t="s">
        <v>1274</v>
      </c>
      <c r="AH315" s="14" t="s">
        <v>1275</v>
      </c>
    </row>
    <row r="316" spans="1:34" s="1" customFormat="1">
      <c r="A316" s="25" t="s">
        <v>2276</v>
      </c>
      <c r="B316" s="64" t="s">
        <v>2277</v>
      </c>
      <c r="C316" s="65">
        <v>1</v>
      </c>
      <c r="D316" s="35" t="s">
        <v>2267</v>
      </c>
      <c r="E316" s="29" t="s">
        <v>2276</v>
      </c>
      <c r="F316" s="35">
        <v>52.7</v>
      </c>
      <c r="G316" s="22">
        <f t="shared" si="80"/>
        <v>0.2</v>
      </c>
      <c r="H316" s="35">
        <f t="shared" si="75"/>
        <v>42.160000000000004</v>
      </c>
      <c r="I316" s="27"/>
      <c r="J316" s="23"/>
      <c r="K316" s="23"/>
      <c r="L316" s="23"/>
      <c r="M316" s="63">
        <v>0</v>
      </c>
      <c r="N316" s="91" t="s">
        <v>75</v>
      </c>
      <c r="O316" s="55" t="s">
        <v>1106</v>
      </c>
      <c r="P316" s="56" t="s">
        <v>504</v>
      </c>
      <c r="Q316" s="56" t="s">
        <v>1273</v>
      </c>
      <c r="R316" s="25" t="s">
        <v>2276</v>
      </c>
      <c r="S316" s="64" t="s">
        <v>2277</v>
      </c>
      <c r="T316" s="65">
        <v>1</v>
      </c>
      <c r="U316" s="35" t="s">
        <v>2267</v>
      </c>
      <c r="V316" s="29" t="s">
        <v>2276</v>
      </c>
      <c r="W316" s="35">
        <v>52.7</v>
      </c>
      <c r="X316" s="22">
        <f t="shared" si="81"/>
        <v>0.2</v>
      </c>
      <c r="Y316" s="35">
        <f t="shared" si="77"/>
        <v>42.160000000000004</v>
      </c>
      <c r="Z316" s="27"/>
      <c r="AA316" s="23"/>
      <c r="AB316" s="23"/>
      <c r="AC316" s="28"/>
      <c r="AD316" s="63">
        <v>0</v>
      </c>
      <c r="AE316" s="91" t="s">
        <v>75</v>
      </c>
      <c r="AF316" s="55" t="s">
        <v>1106</v>
      </c>
      <c r="AG316" s="14" t="s">
        <v>1274</v>
      </c>
      <c r="AH316" s="14" t="s">
        <v>1275</v>
      </c>
    </row>
    <row r="317" spans="1:34" s="1" customFormat="1">
      <c r="A317" s="25" t="s">
        <v>2278</v>
      </c>
      <c r="B317" s="64" t="s">
        <v>2279</v>
      </c>
      <c r="C317" s="65">
        <v>1</v>
      </c>
      <c r="D317" s="35" t="s">
        <v>2267</v>
      </c>
      <c r="E317" s="29" t="s">
        <v>2278</v>
      </c>
      <c r="F317" s="35">
        <v>59.71</v>
      </c>
      <c r="G317" s="22">
        <f t="shared" si="80"/>
        <v>0.2</v>
      </c>
      <c r="H317" s="35">
        <f t="shared" si="75"/>
        <v>47.768000000000001</v>
      </c>
      <c r="I317" s="27"/>
      <c r="J317" s="23"/>
      <c r="K317" s="23"/>
      <c r="L317" s="23"/>
      <c r="M317" s="63">
        <v>0</v>
      </c>
      <c r="N317" s="91" t="s">
        <v>75</v>
      </c>
      <c r="O317" s="55" t="s">
        <v>1106</v>
      </c>
      <c r="P317" s="56" t="s">
        <v>504</v>
      </c>
      <c r="Q317" s="56" t="s">
        <v>1273</v>
      </c>
      <c r="R317" s="25" t="s">
        <v>2278</v>
      </c>
      <c r="S317" s="64" t="s">
        <v>2279</v>
      </c>
      <c r="T317" s="65">
        <v>1</v>
      </c>
      <c r="U317" s="35" t="s">
        <v>2267</v>
      </c>
      <c r="V317" s="29" t="s">
        <v>2278</v>
      </c>
      <c r="W317" s="35">
        <v>59.71</v>
      </c>
      <c r="X317" s="22">
        <f t="shared" si="81"/>
        <v>0.2</v>
      </c>
      <c r="Y317" s="35">
        <f t="shared" si="77"/>
        <v>47.768000000000001</v>
      </c>
      <c r="Z317" s="27"/>
      <c r="AA317" s="23"/>
      <c r="AB317" s="23"/>
      <c r="AC317" s="28"/>
      <c r="AD317" s="63">
        <v>0</v>
      </c>
      <c r="AE317" s="91" t="s">
        <v>75</v>
      </c>
      <c r="AF317" s="55" t="s">
        <v>1106</v>
      </c>
      <c r="AG317" s="14" t="s">
        <v>1274</v>
      </c>
      <c r="AH317" s="14" t="s">
        <v>1275</v>
      </c>
    </row>
    <row r="318" spans="1:34" s="1" customFormat="1">
      <c r="A318" s="25" t="s">
        <v>2280</v>
      </c>
      <c r="B318" s="64" t="s">
        <v>2281</v>
      </c>
      <c r="C318" s="65">
        <v>1</v>
      </c>
      <c r="D318" s="35" t="s">
        <v>2267</v>
      </c>
      <c r="E318" s="29" t="s">
        <v>2280</v>
      </c>
      <c r="F318" s="35">
        <v>52.5</v>
      </c>
      <c r="G318" s="22">
        <f t="shared" si="80"/>
        <v>0.2</v>
      </c>
      <c r="H318" s="35">
        <f t="shared" si="75"/>
        <v>42</v>
      </c>
      <c r="I318" s="27"/>
      <c r="J318" s="23"/>
      <c r="K318" s="23"/>
      <c r="L318" s="23"/>
      <c r="M318" s="63">
        <v>0</v>
      </c>
      <c r="N318" s="91" t="s">
        <v>75</v>
      </c>
      <c r="O318" s="55" t="s">
        <v>1106</v>
      </c>
      <c r="P318" s="56" t="s">
        <v>504</v>
      </c>
      <c r="Q318" s="56" t="s">
        <v>1273</v>
      </c>
      <c r="R318" s="25" t="s">
        <v>2280</v>
      </c>
      <c r="S318" s="64" t="s">
        <v>2281</v>
      </c>
      <c r="T318" s="65">
        <v>1</v>
      </c>
      <c r="U318" s="35" t="s">
        <v>2267</v>
      </c>
      <c r="V318" s="29" t="s">
        <v>2280</v>
      </c>
      <c r="W318" s="35">
        <v>52.5</v>
      </c>
      <c r="X318" s="22">
        <f t="shared" si="81"/>
        <v>0.2</v>
      </c>
      <c r="Y318" s="35">
        <f t="shared" si="77"/>
        <v>42</v>
      </c>
      <c r="Z318" s="27"/>
      <c r="AA318" s="23"/>
      <c r="AB318" s="23"/>
      <c r="AC318" s="28"/>
      <c r="AD318" s="63">
        <v>0</v>
      </c>
      <c r="AE318" s="91" t="s">
        <v>75</v>
      </c>
      <c r="AF318" s="55" t="s">
        <v>1106</v>
      </c>
      <c r="AG318" s="14" t="s">
        <v>1274</v>
      </c>
      <c r="AH318" s="14" t="s">
        <v>1275</v>
      </c>
    </row>
    <row r="319" spans="1:34" s="1" customFormat="1">
      <c r="A319" s="25" t="s">
        <v>2282</v>
      </c>
      <c r="B319" s="64" t="s">
        <v>2283</v>
      </c>
      <c r="C319" s="65">
        <v>1</v>
      </c>
      <c r="D319" s="35" t="s">
        <v>2267</v>
      </c>
      <c r="E319" s="29" t="s">
        <v>2282</v>
      </c>
      <c r="F319" s="35">
        <v>96.32</v>
      </c>
      <c r="G319" s="22">
        <f t="shared" si="80"/>
        <v>0.2</v>
      </c>
      <c r="H319" s="35">
        <f t="shared" si="75"/>
        <v>77.055999999999997</v>
      </c>
      <c r="I319" s="27"/>
      <c r="J319" s="23"/>
      <c r="K319" s="23"/>
      <c r="L319" s="23"/>
      <c r="M319" s="63">
        <v>0</v>
      </c>
      <c r="N319" s="91" t="s">
        <v>75</v>
      </c>
      <c r="O319" s="55" t="s">
        <v>1106</v>
      </c>
      <c r="P319" s="56" t="s">
        <v>504</v>
      </c>
      <c r="Q319" s="56" t="s">
        <v>1273</v>
      </c>
      <c r="R319" s="25" t="s">
        <v>2282</v>
      </c>
      <c r="S319" s="64" t="s">
        <v>2283</v>
      </c>
      <c r="T319" s="65">
        <v>1</v>
      </c>
      <c r="U319" s="35" t="s">
        <v>2267</v>
      </c>
      <c r="V319" s="29" t="s">
        <v>2282</v>
      </c>
      <c r="W319" s="35">
        <v>96.32</v>
      </c>
      <c r="X319" s="22">
        <f t="shared" si="81"/>
        <v>0.2</v>
      </c>
      <c r="Y319" s="35">
        <f t="shared" si="77"/>
        <v>77.055999999999997</v>
      </c>
      <c r="Z319" s="27"/>
      <c r="AA319" s="23"/>
      <c r="AB319" s="23"/>
      <c r="AC319" s="28"/>
      <c r="AD319" s="63">
        <v>0</v>
      </c>
      <c r="AE319" s="91" t="s">
        <v>75</v>
      </c>
      <c r="AF319" s="55" t="s">
        <v>1106</v>
      </c>
      <c r="AG319" s="14" t="s">
        <v>1274</v>
      </c>
      <c r="AH319" s="14" t="s">
        <v>1275</v>
      </c>
    </row>
    <row r="320" spans="1:34" s="1" customFormat="1">
      <c r="A320" s="25" t="s">
        <v>2284</v>
      </c>
      <c r="B320" s="64" t="s">
        <v>2285</v>
      </c>
      <c r="C320" s="65">
        <v>1</v>
      </c>
      <c r="D320" s="35" t="s">
        <v>2267</v>
      </c>
      <c r="E320" s="29" t="s">
        <v>2284</v>
      </c>
      <c r="F320" s="35">
        <v>97.34</v>
      </c>
      <c r="G320" s="22">
        <f t="shared" si="80"/>
        <v>0.2</v>
      </c>
      <c r="H320" s="35">
        <f t="shared" si="75"/>
        <v>77.872</v>
      </c>
      <c r="I320" s="27"/>
      <c r="J320" s="23"/>
      <c r="K320" s="23"/>
      <c r="L320" s="23"/>
      <c r="M320" s="63">
        <v>0</v>
      </c>
      <c r="N320" s="91" t="s">
        <v>75</v>
      </c>
      <c r="O320" s="55" t="s">
        <v>1106</v>
      </c>
      <c r="P320" s="56" t="s">
        <v>504</v>
      </c>
      <c r="Q320" s="56" t="s">
        <v>1273</v>
      </c>
      <c r="R320" s="25" t="s">
        <v>2284</v>
      </c>
      <c r="S320" s="64" t="s">
        <v>2285</v>
      </c>
      <c r="T320" s="65">
        <v>1</v>
      </c>
      <c r="U320" s="35" t="s">
        <v>2267</v>
      </c>
      <c r="V320" s="29" t="s">
        <v>2284</v>
      </c>
      <c r="W320" s="35">
        <v>97.34</v>
      </c>
      <c r="X320" s="22">
        <f t="shared" si="81"/>
        <v>0.2</v>
      </c>
      <c r="Y320" s="35">
        <f t="shared" si="77"/>
        <v>77.872</v>
      </c>
      <c r="Z320" s="27"/>
      <c r="AA320" s="23"/>
      <c r="AB320" s="23"/>
      <c r="AC320" s="28"/>
      <c r="AD320" s="63">
        <v>0</v>
      </c>
      <c r="AE320" s="91" t="s">
        <v>75</v>
      </c>
      <c r="AF320" s="55" t="s">
        <v>1106</v>
      </c>
      <c r="AG320" s="14" t="s">
        <v>1274</v>
      </c>
      <c r="AH320" s="14" t="s">
        <v>1275</v>
      </c>
    </row>
    <row r="321" spans="1:34" s="1" customFormat="1">
      <c r="A321" s="25" t="s">
        <v>2286</v>
      </c>
      <c r="B321" s="64" t="s">
        <v>2287</v>
      </c>
      <c r="C321" s="65">
        <v>1</v>
      </c>
      <c r="D321" s="35" t="s">
        <v>2267</v>
      </c>
      <c r="E321" s="29" t="s">
        <v>2286</v>
      </c>
      <c r="F321" s="35">
        <v>79.17</v>
      </c>
      <c r="G321" s="22">
        <f t="shared" si="80"/>
        <v>0.2</v>
      </c>
      <c r="H321" s="35">
        <f t="shared" si="75"/>
        <v>63.335999999999999</v>
      </c>
      <c r="I321" s="27"/>
      <c r="J321" s="23"/>
      <c r="K321" s="23"/>
      <c r="L321" s="23"/>
      <c r="M321" s="63">
        <v>0</v>
      </c>
      <c r="N321" s="91" t="s">
        <v>75</v>
      </c>
      <c r="O321" s="55" t="s">
        <v>1106</v>
      </c>
      <c r="P321" s="56" t="s">
        <v>504</v>
      </c>
      <c r="Q321" s="56" t="s">
        <v>1273</v>
      </c>
      <c r="R321" s="25" t="s">
        <v>2286</v>
      </c>
      <c r="S321" s="64" t="s">
        <v>2288</v>
      </c>
      <c r="T321" s="65">
        <v>1</v>
      </c>
      <c r="U321" s="35" t="s">
        <v>2267</v>
      </c>
      <c r="V321" s="29" t="s">
        <v>2286</v>
      </c>
      <c r="W321" s="35">
        <v>79.17</v>
      </c>
      <c r="X321" s="22">
        <f t="shared" si="81"/>
        <v>0.2</v>
      </c>
      <c r="Y321" s="35">
        <f t="shared" si="77"/>
        <v>63.335999999999999</v>
      </c>
      <c r="Z321" s="27"/>
      <c r="AA321" s="23"/>
      <c r="AB321" s="23"/>
      <c r="AC321" s="28"/>
      <c r="AD321" s="63">
        <v>0</v>
      </c>
      <c r="AE321" s="91" t="s">
        <v>75</v>
      </c>
      <c r="AF321" s="55" t="s">
        <v>1106</v>
      </c>
      <c r="AG321" s="14" t="s">
        <v>1274</v>
      </c>
      <c r="AH321" s="14" t="s">
        <v>1275</v>
      </c>
    </row>
    <row r="322" spans="1:34" s="1" customFormat="1">
      <c r="A322" s="25" t="s">
        <v>2289</v>
      </c>
      <c r="B322" s="64" t="s">
        <v>2290</v>
      </c>
      <c r="C322" s="65">
        <v>1</v>
      </c>
      <c r="D322" s="35" t="s">
        <v>2267</v>
      </c>
      <c r="E322" s="29" t="s">
        <v>2289</v>
      </c>
      <c r="F322" s="35">
        <v>37.229999999999997</v>
      </c>
      <c r="G322" s="22">
        <f t="shared" si="80"/>
        <v>0.2</v>
      </c>
      <c r="H322" s="35">
        <f t="shared" si="75"/>
        <v>29.783999999999999</v>
      </c>
      <c r="I322" s="27"/>
      <c r="J322" s="23"/>
      <c r="K322" s="23"/>
      <c r="L322" s="23"/>
      <c r="M322" s="63">
        <v>0</v>
      </c>
      <c r="N322" s="91" t="s">
        <v>75</v>
      </c>
      <c r="O322" s="55" t="s">
        <v>1106</v>
      </c>
      <c r="P322" s="56" t="s">
        <v>504</v>
      </c>
      <c r="Q322" s="56" t="s">
        <v>1273</v>
      </c>
      <c r="R322" s="25" t="s">
        <v>2289</v>
      </c>
      <c r="S322" s="64" t="s">
        <v>2291</v>
      </c>
      <c r="T322" s="65">
        <v>1</v>
      </c>
      <c r="U322" s="35" t="s">
        <v>2267</v>
      </c>
      <c r="V322" s="29" t="s">
        <v>2289</v>
      </c>
      <c r="W322" s="35">
        <v>98.05</v>
      </c>
      <c r="X322" s="22">
        <f t="shared" si="81"/>
        <v>0.2</v>
      </c>
      <c r="Y322" s="35">
        <f t="shared" si="77"/>
        <v>78.44</v>
      </c>
      <c r="Z322" s="27"/>
      <c r="AA322" s="23"/>
      <c r="AB322" s="23"/>
      <c r="AC322" s="28"/>
      <c r="AD322" s="63">
        <v>0</v>
      </c>
      <c r="AE322" s="91" t="s">
        <v>75</v>
      </c>
      <c r="AF322" s="55" t="s">
        <v>1106</v>
      </c>
      <c r="AG322" s="14" t="s">
        <v>1274</v>
      </c>
      <c r="AH322" s="14" t="s">
        <v>1275</v>
      </c>
    </row>
    <row r="323" spans="1:34" s="1" customFormat="1">
      <c r="A323" s="25" t="s">
        <v>2292</v>
      </c>
      <c r="B323" s="64" t="s">
        <v>2293</v>
      </c>
      <c r="C323" s="65">
        <v>1</v>
      </c>
      <c r="D323" s="35" t="s">
        <v>2267</v>
      </c>
      <c r="E323" s="29" t="s">
        <v>2292</v>
      </c>
      <c r="F323" s="35">
        <v>56.9</v>
      </c>
      <c r="G323" s="22">
        <f t="shared" si="80"/>
        <v>0.2</v>
      </c>
      <c r="H323" s="35">
        <f t="shared" si="75"/>
        <v>45.519999999999996</v>
      </c>
      <c r="I323" s="27"/>
      <c r="J323" s="23"/>
      <c r="K323" s="23"/>
      <c r="L323" s="23"/>
      <c r="M323" s="63">
        <v>0</v>
      </c>
      <c r="N323" s="91" t="s">
        <v>75</v>
      </c>
      <c r="O323" s="55" t="s">
        <v>1106</v>
      </c>
      <c r="P323" s="56" t="s">
        <v>504</v>
      </c>
      <c r="Q323" s="56" t="s">
        <v>1273</v>
      </c>
      <c r="R323" s="25" t="s">
        <v>2292</v>
      </c>
      <c r="S323" s="64" t="s">
        <v>2294</v>
      </c>
      <c r="T323" s="65">
        <v>1</v>
      </c>
      <c r="U323" s="35" t="s">
        <v>2267</v>
      </c>
      <c r="V323" s="29" t="s">
        <v>2292</v>
      </c>
      <c r="W323" s="35">
        <v>110.71</v>
      </c>
      <c r="X323" s="22">
        <f t="shared" si="81"/>
        <v>0.2</v>
      </c>
      <c r="Y323" s="35">
        <f t="shared" si="77"/>
        <v>88.567999999999998</v>
      </c>
      <c r="Z323" s="27"/>
      <c r="AA323" s="23"/>
      <c r="AB323" s="23"/>
      <c r="AC323" s="28"/>
      <c r="AD323" s="63">
        <v>0</v>
      </c>
      <c r="AE323" s="91" t="s">
        <v>75</v>
      </c>
      <c r="AF323" s="55" t="s">
        <v>1106</v>
      </c>
      <c r="AG323" s="14" t="s">
        <v>1274</v>
      </c>
      <c r="AH323" s="14" t="s">
        <v>1275</v>
      </c>
    </row>
    <row r="324" spans="1:34" s="1" customFormat="1">
      <c r="A324" s="602" t="s">
        <v>2295</v>
      </c>
      <c r="B324" s="64" t="s">
        <v>2296</v>
      </c>
      <c r="C324" s="65">
        <v>1</v>
      </c>
      <c r="D324" s="35" t="s">
        <v>2267</v>
      </c>
      <c r="E324" s="29" t="s">
        <v>2295</v>
      </c>
      <c r="F324" s="35">
        <v>79.17</v>
      </c>
      <c r="G324" s="22">
        <f t="shared" si="80"/>
        <v>0.2</v>
      </c>
      <c r="H324" s="35">
        <f t="shared" ref="H324:H326" si="82">F324-(F324*G324)</f>
        <v>63.335999999999999</v>
      </c>
      <c r="I324" s="27"/>
      <c r="J324" s="23"/>
      <c r="K324" s="23"/>
      <c r="L324" s="23"/>
      <c r="M324" s="63">
        <v>0</v>
      </c>
      <c r="N324" s="91" t="s">
        <v>75</v>
      </c>
      <c r="O324" s="55" t="s">
        <v>1106</v>
      </c>
      <c r="P324" s="56" t="s">
        <v>504</v>
      </c>
      <c r="Q324" s="56" t="s">
        <v>1273</v>
      </c>
      <c r="R324" s="25"/>
      <c r="S324" s="64"/>
      <c r="T324" s="65"/>
      <c r="U324" s="35"/>
      <c r="V324" s="29"/>
      <c r="W324" s="35"/>
      <c r="X324" s="22"/>
      <c r="Y324" s="35"/>
      <c r="Z324" s="27"/>
      <c r="AA324" s="23"/>
      <c r="AB324" s="23"/>
      <c r="AC324" s="28"/>
      <c r="AD324" s="63"/>
      <c r="AE324" s="91"/>
      <c r="AF324" s="55"/>
      <c r="AG324" s="14"/>
      <c r="AH324" s="14"/>
    </row>
    <row r="325" spans="1:34" s="1" customFormat="1">
      <c r="A325" s="602" t="s">
        <v>2297</v>
      </c>
      <c r="B325" s="64" t="s">
        <v>2298</v>
      </c>
      <c r="C325" s="65">
        <v>1</v>
      </c>
      <c r="D325" s="35" t="s">
        <v>2267</v>
      </c>
      <c r="E325" s="29" t="s">
        <v>2297</v>
      </c>
      <c r="F325" s="35">
        <v>37.229999999999997</v>
      </c>
      <c r="G325" s="22">
        <f t="shared" si="80"/>
        <v>0.2</v>
      </c>
      <c r="H325" s="35">
        <f t="shared" si="82"/>
        <v>29.783999999999999</v>
      </c>
      <c r="I325" s="27"/>
      <c r="J325" s="23"/>
      <c r="K325" s="23"/>
      <c r="L325" s="23"/>
      <c r="M325" s="63">
        <v>0</v>
      </c>
      <c r="N325" s="91" t="s">
        <v>75</v>
      </c>
      <c r="O325" s="55" t="s">
        <v>1106</v>
      </c>
      <c r="P325" s="56" t="s">
        <v>504</v>
      </c>
      <c r="Q325" s="56" t="s">
        <v>1273</v>
      </c>
      <c r="R325" s="25"/>
      <c r="S325" s="64"/>
      <c r="T325" s="65"/>
      <c r="U325" s="35"/>
      <c r="V325" s="29"/>
      <c r="W325" s="35"/>
      <c r="X325" s="22"/>
      <c r="Y325" s="35"/>
      <c r="Z325" s="27"/>
      <c r="AA325" s="23"/>
      <c r="AB325" s="23"/>
      <c r="AC325" s="28"/>
      <c r="AD325" s="63"/>
      <c r="AE325" s="91"/>
      <c r="AF325" s="55"/>
      <c r="AG325" s="14"/>
      <c r="AH325" s="14"/>
    </row>
    <row r="326" spans="1:34" s="1" customFormat="1">
      <c r="A326" s="602" t="s">
        <v>2299</v>
      </c>
      <c r="B326" s="64" t="s">
        <v>2300</v>
      </c>
      <c r="C326" s="65">
        <v>1</v>
      </c>
      <c r="D326" s="35" t="s">
        <v>2267</v>
      </c>
      <c r="E326" s="29" t="s">
        <v>2299</v>
      </c>
      <c r="F326" s="35">
        <v>56.9</v>
      </c>
      <c r="G326" s="22">
        <f t="shared" si="80"/>
        <v>0.2</v>
      </c>
      <c r="H326" s="35">
        <f t="shared" si="82"/>
        <v>45.519999999999996</v>
      </c>
      <c r="I326" s="27"/>
      <c r="J326" s="23"/>
      <c r="K326" s="23"/>
      <c r="L326" s="23"/>
      <c r="M326" s="63">
        <v>0</v>
      </c>
      <c r="N326" s="91" t="s">
        <v>75</v>
      </c>
      <c r="O326" s="55" t="s">
        <v>1106</v>
      </c>
      <c r="P326" s="56" t="s">
        <v>504</v>
      </c>
      <c r="Q326" s="56" t="s">
        <v>1273</v>
      </c>
      <c r="R326" s="25"/>
      <c r="S326" s="64"/>
      <c r="T326" s="65"/>
      <c r="U326" s="35"/>
      <c r="V326" s="29"/>
      <c r="W326" s="35"/>
      <c r="X326" s="22"/>
      <c r="Y326" s="35"/>
      <c r="Z326" s="27"/>
      <c r="AA326" s="23"/>
      <c r="AB326" s="23"/>
      <c r="AC326" s="28"/>
      <c r="AD326" s="63"/>
      <c r="AE326" s="91"/>
      <c r="AF326" s="55"/>
      <c r="AG326" s="14"/>
      <c r="AH326" s="14"/>
    </row>
    <row r="327" spans="1:34" s="1" customFormat="1">
      <c r="A327" s="25" t="s">
        <v>2301</v>
      </c>
      <c r="B327" s="64" t="s">
        <v>2302</v>
      </c>
      <c r="C327" s="29">
        <v>1</v>
      </c>
      <c r="D327" s="29" t="s">
        <v>2303</v>
      </c>
      <c r="E327" s="29" t="s">
        <v>2301</v>
      </c>
      <c r="F327" s="35">
        <v>68</v>
      </c>
      <c r="G327" s="22">
        <f t="shared" si="80"/>
        <v>0.2</v>
      </c>
      <c r="H327" s="35">
        <f t="shared" si="75"/>
        <v>54.4</v>
      </c>
      <c r="I327" s="27"/>
      <c r="J327" s="23"/>
      <c r="K327" s="23"/>
      <c r="L327" s="23"/>
      <c r="M327" s="63">
        <v>0.02</v>
      </c>
      <c r="N327" s="91" t="s">
        <v>75</v>
      </c>
      <c r="O327" s="55" t="s">
        <v>1106</v>
      </c>
      <c r="P327" s="56" t="s">
        <v>504</v>
      </c>
      <c r="Q327" s="56" t="s">
        <v>1273</v>
      </c>
      <c r="R327" s="25" t="s">
        <v>2301</v>
      </c>
      <c r="S327" s="64" t="s">
        <v>2302</v>
      </c>
      <c r="T327" s="29">
        <v>1</v>
      </c>
      <c r="U327" s="29" t="s">
        <v>2303</v>
      </c>
      <c r="V327" s="29" t="s">
        <v>2301</v>
      </c>
      <c r="W327" s="35">
        <v>62.91</v>
      </c>
      <c r="X327" s="22">
        <f t="shared" si="81"/>
        <v>0.2</v>
      </c>
      <c r="Y327" s="35">
        <f t="shared" ref="Y327:Y349" si="83">W327-(W327*X327)</f>
        <v>50.327999999999996</v>
      </c>
      <c r="Z327" s="27"/>
      <c r="AA327" s="23"/>
      <c r="AB327" s="23"/>
      <c r="AC327" s="28"/>
      <c r="AD327" s="63">
        <v>0.02</v>
      </c>
      <c r="AE327" s="91" t="s">
        <v>75</v>
      </c>
      <c r="AF327" s="55" t="s">
        <v>1106</v>
      </c>
      <c r="AG327" s="14" t="s">
        <v>1274</v>
      </c>
      <c r="AH327" s="14" t="s">
        <v>1275</v>
      </c>
    </row>
    <row r="328" spans="1:34" s="1" customFormat="1">
      <c r="A328" s="25" t="s">
        <v>2304</v>
      </c>
      <c r="B328" s="64" t="s">
        <v>2305</v>
      </c>
      <c r="C328" s="29">
        <v>1</v>
      </c>
      <c r="D328" s="29" t="s">
        <v>2303</v>
      </c>
      <c r="E328" s="29" t="s">
        <v>2304</v>
      </c>
      <c r="F328" s="35">
        <v>84.79</v>
      </c>
      <c r="G328" s="22">
        <f t="shared" si="80"/>
        <v>0.2</v>
      </c>
      <c r="H328" s="35">
        <f t="shared" si="75"/>
        <v>67.832000000000008</v>
      </c>
      <c r="I328" s="27"/>
      <c r="J328" s="23"/>
      <c r="K328" s="23"/>
      <c r="L328" s="23"/>
      <c r="M328" s="63">
        <v>0</v>
      </c>
      <c r="N328" s="91" t="s">
        <v>75</v>
      </c>
      <c r="O328" s="55" t="s">
        <v>1106</v>
      </c>
      <c r="P328" s="56" t="s">
        <v>504</v>
      </c>
      <c r="Q328" s="56" t="s">
        <v>1273</v>
      </c>
      <c r="R328" s="25" t="s">
        <v>2304</v>
      </c>
      <c r="S328" s="64" t="s">
        <v>2305</v>
      </c>
      <c r="T328" s="29">
        <v>1</v>
      </c>
      <c r="U328" s="29" t="s">
        <v>2303</v>
      </c>
      <c r="V328" s="29" t="s">
        <v>2304</v>
      </c>
      <c r="W328" s="35">
        <v>84.79</v>
      </c>
      <c r="X328" s="22">
        <f t="shared" si="81"/>
        <v>0.2</v>
      </c>
      <c r="Y328" s="35">
        <f t="shared" si="83"/>
        <v>67.832000000000008</v>
      </c>
      <c r="Z328" s="27"/>
      <c r="AA328" s="23"/>
      <c r="AB328" s="23"/>
      <c r="AC328" s="28"/>
      <c r="AD328" s="63">
        <v>0</v>
      </c>
      <c r="AE328" s="91" t="s">
        <v>75</v>
      </c>
      <c r="AF328" s="55" t="s">
        <v>1106</v>
      </c>
      <c r="AG328" s="14" t="s">
        <v>1274</v>
      </c>
      <c r="AH328" s="14" t="s">
        <v>1275</v>
      </c>
    </row>
    <row r="329" spans="1:34" s="121" customFormat="1">
      <c r="A329" s="25" t="s">
        <v>2306</v>
      </c>
      <c r="B329" s="64" t="s">
        <v>2307</v>
      </c>
      <c r="C329" s="115">
        <v>1</v>
      </c>
      <c r="D329" s="115" t="s">
        <v>2303</v>
      </c>
      <c r="E329" s="29" t="s">
        <v>2306</v>
      </c>
      <c r="F329" s="116">
        <v>35.369999999999997</v>
      </c>
      <c r="G329" s="138">
        <f>rv_30</f>
        <v>0.3</v>
      </c>
      <c r="H329" s="116">
        <f t="shared" ref="H329:H402" si="84">F329-(F329*G329)</f>
        <v>24.759</v>
      </c>
      <c r="I329" s="153"/>
      <c r="J329" s="154"/>
      <c r="K329" s="154"/>
      <c r="L329" s="154"/>
      <c r="M329" s="63">
        <v>0</v>
      </c>
      <c r="N329" s="91" t="s">
        <v>75</v>
      </c>
      <c r="O329" s="55" t="s">
        <v>1106</v>
      </c>
      <c r="P329" s="56" t="s">
        <v>504</v>
      </c>
      <c r="Q329" s="56" t="s">
        <v>1273</v>
      </c>
      <c r="R329" s="25" t="s">
        <v>2306</v>
      </c>
      <c r="S329" s="64" t="s">
        <v>2307</v>
      </c>
      <c r="T329" s="115">
        <v>1</v>
      </c>
      <c r="U329" s="115" t="s">
        <v>2303</v>
      </c>
      <c r="V329" s="29" t="s">
        <v>2306</v>
      </c>
      <c r="W329" s="116">
        <v>35.369999999999997</v>
      </c>
      <c r="X329" s="138">
        <f>rv_30</f>
        <v>0.3</v>
      </c>
      <c r="Y329" s="116">
        <f t="shared" si="83"/>
        <v>24.759</v>
      </c>
      <c r="Z329" s="153"/>
      <c r="AA329" s="154"/>
      <c r="AB329" s="154"/>
      <c r="AC329" s="154"/>
      <c r="AD329" s="63">
        <v>0</v>
      </c>
      <c r="AE329" s="91" t="s">
        <v>75</v>
      </c>
      <c r="AF329" s="55" t="s">
        <v>1106</v>
      </c>
      <c r="AG329" s="56" t="s">
        <v>1274</v>
      </c>
      <c r="AH329" s="56" t="s">
        <v>1275</v>
      </c>
    </row>
    <row r="330" spans="1:34" s="1" customFormat="1">
      <c r="A330" s="25" t="s">
        <v>2308</v>
      </c>
      <c r="B330" s="64" t="s">
        <v>2309</v>
      </c>
      <c r="C330" s="29">
        <v>1</v>
      </c>
      <c r="D330" s="29" t="s">
        <v>2303</v>
      </c>
      <c r="E330" s="29" t="s">
        <v>2308</v>
      </c>
      <c r="F330" s="35">
        <v>42.1</v>
      </c>
      <c r="G330" s="22">
        <f>rv_30</f>
        <v>0.3</v>
      </c>
      <c r="H330" s="35">
        <f t="shared" si="84"/>
        <v>29.47</v>
      </c>
      <c r="I330" s="27"/>
      <c r="J330" s="23"/>
      <c r="K330" s="23"/>
      <c r="L330" s="23"/>
      <c r="M330" s="63">
        <v>0</v>
      </c>
      <c r="N330" s="91" t="s">
        <v>75</v>
      </c>
      <c r="O330" s="55" t="s">
        <v>1106</v>
      </c>
      <c r="P330" s="56" t="s">
        <v>504</v>
      </c>
      <c r="Q330" s="56" t="s">
        <v>1273</v>
      </c>
      <c r="R330" s="25" t="s">
        <v>2308</v>
      </c>
      <c r="S330" s="64" t="s">
        <v>2309</v>
      </c>
      <c r="T330" s="29">
        <v>1</v>
      </c>
      <c r="U330" s="29" t="s">
        <v>2303</v>
      </c>
      <c r="V330" s="29" t="s">
        <v>2308</v>
      </c>
      <c r="W330" s="35">
        <v>42.1</v>
      </c>
      <c r="X330" s="22">
        <f>rv_30</f>
        <v>0.3</v>
      </c>
      <c r="Y330" s="35">
        <f t="shared" si="83"/>
        <v>29.47</v>
      </c>
      <c r="Z330" s="27"/>
      <c r="AA330" s="23"/>
      <c r="AB330" s="23"/>
      <c r="AC330" s="28"/>
      <c r="AD330" s="63">
        <v>0</v>
      </c>
      <c r="AE330" s="91" t="s">
        <v>75</v>
      </c>
      <c r="AF330" s="55" t="s">
        <v>1106</v>
      </c>
      <c r="AG330" s="14" t="s">
        <v>1274</v>
      </c>
      <c r="AH330" s="14" t="s">
        <v>1275</v>
      </c>
    </row>
    <row r="331" spans="1:34" s="1" customFormat="1" ht="15" customHeight="1">
      <c r="A331" s="25" t="s">
        <v>2310</v>
      </c>
      <c r="B331" s="64" t="s">
        <v>2311</v>
      </c>
      <c r="C331" s="29">
        <v>1</v>
      </c>
      <c r="D331" s="29" t="s">
        <v>2303</v>
      </c>
      <c r="E331" s="29" t="s">
        <v>2310</v>
      </c>
      <c r="F331" s="35">
        <v>53</v>
      </c>
      <c r="G331" s="22">
        <f>rv_30</f>
        <v>0.3</v>
      </c>
      <c r="H331" s="35">
        <f t="shared" si="84"/>
        <v>37.1</v>
      </c>
      <c r="I331" s="27"/>
      <c r="J331" s="23"/>
      <c r="K331" s="23"/>
      <c r="L331" s="23"/>
      <c r="M331" s="63">
        <v>0</v>
      </c>
      <c r="N331" s="91" t="s">
        <v>75</v>
      </c>
      <c r="O331" s="55" t="s">
        <v>1106</v>
      </c>
      <c r="P331" s="56" t="s">
        <v>504</v>
      </c>
      <c r="Q331" s="56" t="s">
        <v>1273</v>
      </c>
      <c r="R331" s="25" t="s">
        <v>2310</v>
      </c>
      <c r="S331" s="64" t="s">
        <v>2311</v>
      </c>
      <c r="T331" s="29">
        <v>1</v>
      </c>
      <c r="U331" s="29" t="s">
        <v>2303</v>
      </c>
      <c r="V331" s="29" t="s">
        <v>2310</v>
      </c>
      <c r="W331" s="35">
        <v>53.57</v>
      </c>
      <c r="X331" s="22">
        <f>rv_30</f>
        <v>0.3</v>
      </c>
      <c r="Y331" s="35">
        <f t="shared" si="83"/>
        <v>37.499000000000002</v>
      </c>
      <c r="Z331" s="27"/>
      <c r="AA331" s="23"/>
      <c r="AB331" s="23"/>
      <c r="AC331" s="28"/>
      <c r="AD331" s="63">
        <v>0</v>
      </c>
      <c r="AE331" s="91" t="s">
        <v>75</v>
      </c>
      <c r="AF331" s="55" t="s">
        <v>1106</v>
      </c>
      <c r="AG331" s="14" t="s">
        <v>1274</v>
      </c>
      <c r="AH331" s="14" t="s">
        <v>1275</v>
      </c>
    </row>
    <row r="332" spans="1:34" s="1" customFormat="1">
      <c r="A332" s="25" t="s">
        <v>2312</v>
      </c>
      <c r="B332" s="64" t="s">
        <v>2313</v>
      </c>
      <c r="C332" s="65">
        <v>1</v>
      </c>
      <c r="D332" s="35" t="s">
        <v>2314</v>
      </c>
      <c r="E332" s="29" t="s">
        <v>2312</v>
      </c>
      <c r="F332" s="35">
        <v>17.86</v>
      </c>
      <c r="G332" s="22">
        <f t="shared" ref="G332:G338" si="85">rv_20</f>
        <v>0.2</v>
      </c>
      <c r="H332" s="35">
        <f t="shared" si="84"/>
        <v>14.288</v>
      </c>
      <c r="I332" s="27"/>
      <c r="J332" s="23"/>
      <c r="K332" s="23"/>
      <c r="L332" s="23"/>
      <c r="M332" s="63">
        <v>0</v>
      </c>
      <c r="N332" s="91" t="s">
        <v>75</v>
      </c>
      <c r="O332" s="55" t="s">
        <v>1106</v>
      </c>
      <c r="P332" s="56" t="s">
        <v>504</v>
      </c>
      <c r="Q332" s="56" t="s">
        <v>1273</v>
      </c>
      <c r="R332" s="25" t="s">
        <v>2312</v>
      </c>
      <c r="S332" s="64" t="s">
        <v>2313</v>
      </c>
      <c r="T332" s="65">
        <v>1</v>
      </c>
      <c r="U332" s="35" t="s">
        <v>2314</v>
      </c>
      <c r="V332" s="29" t="s">
        <v>2312</v>
      </c>
      <c r="W332" s="35">
        <v>17.86</v>
      </c>
      <c r="X332" s="22">
        <f t="shared" ref="X332:X338" si="86">rv_20</f>
        <v>0.2</v>
      </c>
      <c r="Y332" s="35">
        <f t="shared" si="83"/>
        <v>14.288</v>
      </c>
      <c r="Z332" s="27"/>
      <c r="AA332" s="23"/>
      <c r="AB332" s="23"/>
      <c r="AC332" s="28"/>
      <c r="AD332" s="63">
        <v>0</v>
      </c>
      <c r="AE332" s="91" t="s">
        <v>75</v>
      </c>
      <c r="AF332" s="55" t="s">
        <v>1106</v>
      </c>
      <c r="AG332" s="14" t="s">
        <v>1274</v>
      </c>
      <c r="AH332" s="14" t="s">
        <v>1275</v>
      </c>
    </row>
    <row r="333" spans="1:34" s="1" customFormat="1">
      <c r="A333" s="25" t="s">
        <v>2315</v>
      </c>
      <c r="B333" s="64" t="s">
        <v>2316</v>
      </c>
      <c r="C333" s="65">
        <v>1</v>
      </c>
      <c r="D333" s="35" t="s">
        <v>2314</v>
      </c>
      <c r="E333" s="29" t="s">
        <v>2315</v>
      </c>
      <c r="F333" s="35">
        <v>17.86</v>
      </c>
      <c r="G333" s="22">
        <f t="shared" si="85"/>
        <v>0.2</v>
      </c>
      <c r="H333" s="35">
        <f t="shared" si="84"/>
        <v>14.288</v>
      </c>
      <c r="I333" s="27"/>
      <c r="J333" s="23"/>
      <c r="K333" s="23"/>
      <c r="L333" s="23"/>
      <c r="M333" s="63">
        <v>0</v>
      </c>
      <c r="N333" s="91" t="s">
        <v>75</v>
      </c>
      <c r="O333" s="55" t="s">
        <v>1106</v>
      </c>
      <c r="P333" s="56" t="s">
        <v>504</v>
      </c>
      <c r="Q333" s="56" t="s">
        <v>1273</v>
      </c>
      <c r="R333" s="25" t="s">
        <v>2315</v>
      </c>
      <c r="S333" s="64" t="s">
        <v>2316</v>
      </c>
      <c r="T333" s="65">
        <v>1</v>
      </c>
      <c r="U333" s="35" t="s">
        <v>2314</v>
      </c>
      <c r="V333" s="29" t="s">
        <v>2315</v>
      </c>
      <c r="W333" s="35">
        <v>17.86</v>
      </c>
      <c r="X333" s="22">
        <f t="shared" si="86"/>
        <v>0.2</v>
      </c>
      <c r="Y333" s="35">
        <f t="shared" si="83"/>
        <v>14.288</v>
      </c>
      <c r="Z333" s="27"/>
      <c r="AA333" s="23"/>
      <c r="AB333" s="23"/>
      <c r="AC333" s="28"/>
      <c r="AD333" s="63">
        <v>0</v>
      </c>
      <c r="AE333" s="91" t="s">
        <v>75</v>
      </c>
      <c r="AF333" s="55" t="s">
        <v>1106</v>
      </c>
      <c r="AG333" s="14" t="s">
        <v>1274</v>
      </c>
      <c r="AH333" s="14" t="s">
        <v>1275</v>
      </c>
    </row>
    <row r="334" spans="1:34" s="1" customFormat="1">
      <c r="A334" s="25" t="s">
        <v>2317</v>
      </c>
      <c r="B334" s="64" t="s">
        <v>2318</v>
      </c>
      <c r="C334" s="65">
        <v>1</v>
      </c>
      <c r="D334" s="35" t="s">
        <v>2314</v>
      </c>
      <c r="E334" s="29" t="s">
        <v>2317</v>
      </c>
      <c r="F334" s="35">
        <v>19.61</v>
      </c>
      <c r="G334" s="22">
        <f t="shared" si="85"/>
        <v>0.2</v>
      </c>
      <c r="H334" s="35">
        <f t="shared" si="84"/>
        <v>15.687999999999999</v>
      </c>
      <c r="I334" s="27"/>
      <c r="J334" s="23"/>
      <c r="K334" s="23"/>
      <c r="L334" s="23"/>
      <c r="M334" s="63">
        <v>0</v>
      </c>
      <c r="N334" s="91" t="s">
        <v>75</v>
      </c>
      <c r="O334" s="55" t="s">
        <v>1106</v>
      </c>
      <c r="P334" s="56" t="s">
        <v>504</v>
      </c>
      <c r="Q334" s="56" t="s">
        <v>1273</v>
      </c>
      <c r="R334" s="25" t="s">
        <v>2317</v>
      </c>
      <c r="S334" s="64" t="s">
        <v>2318</v>
      </c>
      <c r="T334" s="65">
        <v>1</v>
      </c>
      <c r="U334" s="35" t="s">
        <v>2314</v>
      </c>
      <c r="V334" s="29" t="s">
        <v>2317</v>
      </c>
      <c r="W334" s="35">
        <v>19.61</v>
      </c>
      <c r="X334" s="22">
        <f t="shared" si="86"/>
        <v>0.2</v>
      </c>
      <c r="Y334" s="35">
        <f t="shared" si="83"/>
        <v>15.687999999999999</v>
      </c>
      <c r="Z334" s="27"/>
      <c r="AA334" s="23"/>
      <c r="AB334" s="23"/>
      <c r="AC334" s="28"/>
      <c r="AD334" s="63">
        <v>0</v>
      </c>
      <c r="AE334" s="91" t="s">
        <v>75</v>
      </c>
      <c r="AF334" s="55" t="s">
        <v>1106</v>
      </c>
      <c r="AG334" s="14" t="s">
        <v>1274</v>
      </c>
      <c r="AH334" s="14" t="s">
        <v>1275</v>
      </c>
    </row>
    <row r="335" spans="1:34" s="1" customFormat="1">
      <c r="A335" s="25" t="s">
        <v>2319</v>
      </c>
      <c r="B335" s="64" t="s">
        <v>2320</v>
      </c>
      <c r="C335" s="65">
        <v>1</v>
      </c>
      <c r="D335" s="62" t="s">
        <v>2314</v>
      </c>
      <c r="E335" s="417" t="s">
        <v>2319</v>
      </c>
      <c r="F335" s="63">
        <v>14.88</v>
      </c>
      <c r="G335" s="22">
        <f t="shared" si="85"/>
        <v>0.2</v>
      </c>
      <c r="H335" s="35">
        <f t="shared" si="84"/>
        <v>11.904</v>
      </c>
      <c r="I335" s="27"/>
      <c r="J335" s="23"/>
      <c r="K335" s="23"/>
      <c r="L335" s="23"/>
      <c r="M335" s="63">
        <v>0</v>
      </c>
      <c r="N335" s="91" t="s">
        <v>75</v>
      </c>
      <c r="O335" s="55" t="s">
        <v>1106</v>
      </c>
      <c r="P335" s="56" t="s">
        <v>504</v>
      </c>
      <c r="Q335" s="56" t="s">
        <v>1273</v>
      </c>
      <c r="R335" s="25" t="s">
        <v>2319</v>
      </c>
      <c r="S335" s="64" t="s">
        <v>2320</v>
      </c>
      <c r="T335" s="65">
        <v>1</v>
      </c>
      <c r="U335" s="62" t="s">
        <v>2314</v>
      </c>
      <c r="V335" s="417" t="s">
        <v>2319</v>
      </c>
      <c r="W335" s="35">
        <v>14.88</v>
      </c>
      <c r="X335" s="22">
        <f t="shared" si="86"/>
        <v>0.2</v>
      </c>
      <c r="Y335" s="35">
        <f t="shared" si="83"/>
        <v>11.904</v>
      </c>
      <c r="Z335" s="429"/>
      <c r="AA335" s="430"/>
      <c r="AB335" s="430"/>
      <c r="AC335" s="430"/>
      <c r="AD335" s="58">
        <v>0</v>
      </c>
      <c r="AE335" s="58" t="s">
        <v>75</v>
      </c>
      <c r="AF335" s="55" t="s">
        <v>1106</v>
      </c>
      <c r="AG335" s="14" t="s">
        <v>1274</v>
      </c>
      <c r="AH335" s="14" t="s">
        <v>1275</v>
      </c>
    </row>
    <row r="336" spans="1:34" s="1" customFormat="1">
      <c r="A336" s="25" t="s">
        <v>2321</v>
      </c>
      <c r="B336" s="64" t="s">
        <v>2322</v>
      </c>
      <c r="C336" s="65">
        <v>1</v>
      </c>
      <c r="D336" s="35" t="s">
        <v>2314</v>
      </c>
      <c r="E336" s="29" t="s">
        <v>2321</v>
      </c>
      <c r="F336" s="35">
        <v>14.88</v>
      </c>
      <c r="G336" s="22">
        <f t="shared" si="85"/>
        <v>0.2</v>
      </c>
      <c r="H336" s="35">
        <f t="shared" si="84"/>
        <v>11.904</v>
      </c>
      <c r="I336" s="27"/>
      <c r="J336" s="23"/>
      <c r="K336" s="23"/>
      <c r="L336" s="23"/>
      <c r="M336" s="63">
        <v>0</v>
      </c>
      <c r="N336" s="91" t="s">
        <v>75</v>
      </c>
      <c r="O336" s="55" t="s">
        <v>1106</v>
      </c>
      <c r="P336" s="56" t="s">
        <v>504</v>
      </c>
      <c r="Q336" s="56" t="s">
        <v>1273</v>
      </c>
      <c r="R336" s="25" t="s">
        <v>2321</v>
      </c>
      <c r="S336" s="64" t="s">
        <v>2322</v>
      </c>
      <c r="T336" s="65">
        <v>1</v>
      </c>
      <c r="U336" s="35" t="s">
        <v>2314</v>
      </c>
      <c r="V336" s="29" t="s">
        <v>2321</v>
      </c>
      <c r="W336" s="35">
        <v>14.88</v>
      </c>
      <c r="X336" s="22">
        <f t="shared" si="86"/>
        <v>0.2</v>
      </c>
      <c r="Y336" s="35">
        <f t="shared" si="83"/>
        <v>11.904</v>
      </c>
      <c r="Z336" s="27"/>
      <c r="AA336" s="23"/>
      <c r="AB336" s="23"/>
      <c r="AC336" s="28"/>
      <c r="AD336" s="63">
        <v>0</v>
      </c>
      <c r="AE336" s="91" t="s">
        <v>75</v>
      </c>
      <c r="AF336" s="55" t="s">
        <v>1106</v>
      </c>
      <c r="AG336" s="14" t="s">
        <v>1274</v>
      </c>
      <c r="AH336" s="14" t="s">
        <v>1275</v>
      </c>
    </row>
    <row r="337" spans="1:34" s="1" customFormat="1">
      <c r="A337" s="25" t="s">
        <v>2323</v>
      </c>
      <c r="B337" s="64" t="s">
        <v>2324</v>
      </c>
      <c r="C337" s="65">
        <v>1</v>
      </c>
      <c r="D337" s="35" t="s">
        <v>2314</v>
      </c>
      <c r="E337" s="29" t="s">
        <v>2323</v>
      </c>
      <c r="F337" s="35">
        <v>14.88</v>
      </c>
      <c r="G337" s="22">
        <f t="shared" si="85"/>
        <v>0.2</v>
      </c>
      <c r="H337" s="35">
        <f t="shared" si="84"/>
        <v>11.904</v>
      </c>
      <c r="I337" s="27"/>
      <c r="J337" s="23"/>
      <c r="K337" s="23"/>
      <c r="L337" s="23"/>
      <c r="M337" s="63">
        <v>0</v>
      </c>
      <c r="N337" s="91" t="s">
        <v>75</v>
      </c>
      <c r="O337" s="55" t="s">
        <v>1106</v>
      </c>
      <c r="P337" s="56" t="s">
        <v>504</v>
      </c>
      <c r="Q337" s="56" t="s">
        <v>1273</v>
      </c>
      <c r="R337" s="25" t="s">
        <v>2323</v>
      </c>
      <c r="S337" s="64" t="s">
        <v>2324</v>
      </c>
      <c r="T337" s="65">
        <v>1</v>
      </c>
      <c r="U337" s="35" t="s">
        <v>2314</v>
      </c>
      <c r="V337" s="29" t="s">
        <v>2323</v>
      </c>
      <c r="W337" s="35">
        <v>14.88</v>
      </c>
      <c r="X337" s="22">
        <f t="shared" si="86"/>
        <v>0.2</v>
      </c>
      <c r="Y337" s="35">
        <f t="shared" si="83"/>
        <v>11.904</v>
      </c>
      <c r="Z337" s="27"/>
      <c r="AA337" s="23"/>
      <c r="AB337" s="23"/>
      <c r="AC337" s="28"/>
      <c r="AD337" s="63">
        <v>0</v>
      </c>
      <c r="AE337" s="91" t="s">
        <v>75</v>
      </c>
      <c r="AF337" s="55" t="s">
        <v>1106</v>
      </c>
      <c r="AG337" s="14" t="s">
        <v>1274</v>
      </c>
      <c r="AH337" s="14" t="s">
        <v>1275</v>
      </c>
    </row>
    <row r="338" spans="1:34" s="1" customFormat="1">
      <c r="A338" s="25" t="s">
        <v>2325</v>
      </c>
      <c r="B338" s="64" t="s">
        <v>2326</v>
      </c>
      <c r="C338" s="65">
        <v>1</v>
      </c>
      <c r="D338" s="35" t="s">
        <v>2314</v>
      </c>
      <c r="E338" s="29" t="s">
        <v>2325</v>
      </c>
      <c r="F338" s="35">
        <v>17.86</v>
      </c>
      <c r="G338" s="22">
        <f t="shared" si="85"/>
        <v>0.2</v>
      </c>
      <c r="H338" s="35">
        <f t="shared" si="84"/>
        <v>14.288</v>
      </c>
      <c r="I338" s="27"/>
      <c r="J338" s="23"/>
      <c r="K338" s="23"/>
      <c r="L338" s="23"/>
      <c r="M338" s="63">
        <v>0</v>
      </c>
      <c r="N338" s="91" t="s">
        <v>75</v>
      </c>
      <c r="O338" s="55" t="s">
        <v>1106</v>
      </c>
      <c r="P338" s="56" t="s">
        <v>504</v>
      </c>
      <c r="Q338" s="56" t="s">
        <v>1273</v>
      </c>
      <c r="R338" s="25" t="s">
        <v>2325</v>
      </c>
      <c r="S338" s="64" t="s">
        <v>2326</v>
      </c>
      <c r="T338" s="65">
        <v>1</v>
      </c>
      <c r="U338" s="35" t="s">
        <v>2314</v>
      </c>
      <c r="V338" s="29" t="s">
        <v>2325</v>
      </c>
      <c r="W338" s="35">
        <v>17.86</v>
      </c>
      <c r="X338" s="22">
        <f t="shared" si="86"/>
        <v>0.2</v>
      </c>
      <c r="Y338" s="35">
        <f t="shared" si="83"/>
        <v>14.288</v>
      </c>
      <c r="Z338" s="27"/>
      <c r="AA338" s="23"/>
      <c r="AB338" s="23"/>
      <c r="AC338" s="28"/>
      <c r="AD338" s="63">
        <v>0</v>
      </c>
      <c r="AE338" s="91" t="s">
        <v>75</v>
      </c>
      <c r="AF338" s="55" t="s">
        <v>1106</v>
      </c>
      <c r="AG338" s="14" t="s">
        <v>1274</v>
      </c>
      <c r="AH338" s="14" t="s">
        <v>1275</v>
      </c>
    </row>
    <row r="339" spans="1:34" s="1" customFormat="1">
      <c r="A339" s="25" t="s">
        <v>2327</v>
      </c>
      <c r="B339" s="64" t="s">
        <v>2328</v>
      </c>
      <c r="C339" s="65">
        <v>1</v>
      </c>
      <c r="D339" s="35" t="s">
        <v>2314</v>
      </c>
      <c r="E339" s="29" t="s">
        <v>2327</v>
      </c>
      <c r="F339" s="35">
        <v>22.92</v>
      </c>
      <c r="G339" s="22">
        <f>rv_30</f>
        <v>0.3</v>
      </c>
      <c r="H339" s="35">
        <f t="shared" si="84"/>
        <v>16.044</v>
      </c>
      <c r="I339" s="27"/>
      <c r="J339" s="23"/>
      <c r="K339" s="23"/>
      <c r="L339" s="23"/>
      <c r="M339" s="63">
        <v>0</v>
      </c>
      <c r="N339" s="91" t="s">
        <v>75</v>
      </c>
      <c r="O339" s="55" t="s">
        <v>1106</v>
      </c>
      <c r="P339" s="56" t="s">
        <v>504</v>
      </c>
      <c r="Q339" s="56" t="s">
        <v>1273</v>
      </c>
      <c r="R339" s="25" t="s">
        <v>2327</v>
      </c>
      <c r="S339" s="64" t="s">
        <v>2328</v>
      </c>
      <c r="T339" s="65">
        <v>1</v>
      </c>
      <c r="U339" s="35" t="s">
        <v>2314</v>
      </c>
      <c r="V339" s="29" t="s">
        <v>2327</v>
      </c>
      <c r="W339" s="35">
        <v>22.92</v>
      </c>
      <c r="X339" s="22">
        <f>rv_30</f>
        <v>0.3</v>
      </c>
      <c r="Y339" s="35">
        <f t="shared" si="83"/>
        <v>16.044</v>
      </c>
      <c r="Z339" s="27"/>
      <c r="AA339" s="23"/>
      <c r="AB339" s="23"/>
      <c r="AC339" s="28"/>
      <c r="AD339" s="63">
        <v>0</v>
      </c>
      <c r="AE339" s="91" t="s">
        <v>75</v>
      </c>
      <c r="AF339" s="55" t="s">
        <v>1106</v>
      </c>
      <c r="AG339" s="14" t="s">
        <v>1274</v>
      </c>
      <c r="AH339" s="14" t="s">
        <v>1275</v>
      </c>
    </row>
    <row r="340" spans="1:34" s="1" customFormat="1">
      <c r="A340" s="25" t="s">
        <v>2329</v>
      </c>
      <c r="B340" s="64" t="s">
        <v>2330</v>
      </c>
      <c r="C340" s="65">
        <v>1</v>
      </c>
      <c r="D340" s="35" t="s">
        <v>2314</v>
      </c>
      <c r="E340" s="29" t="s">
        <v>2329</v>
      </c>
      <c r="F340" s="35">
        <v>22.92</v>
      </c>
      <c r="G340" s="22">
        <f>rv_30</f>
        <v>0.3</v>
      </c>
      <c r="H340" s="35">
        <f t="shared" si="84"/>
        <v>16.044</v>
      </c>
      <c r="I340" s="27"/>
      <c r="J340" s="23"/>
      <c r="K340" s="23"/>
      <c r="L340" s="23"/>
      <c r="M340" s="63">
        <v>0</v>
      </c>
      <c r="N340" s="91" t="s">
        <v>75</v>
      </c>
      <c r="O340" s="55" t="s">
        <v>1106</v>
      </c>
      <c r="P340" s="56" t="s">
        <v>504</v>
      </c>
      <c r="Q340" s="56" t="s">
        <v>1273</v>
      </c>
      <c r="R340" s="25" t="s">
        <v>2329</v>
      </c>
      <c r="S340" s="64" t="s">
        <v>2330</v>
      </c>
      <c r="T340" s="65">
        <v>1</v>
      </c>
      <c r="U340" s="35" t="s">
        <v>2314</v>
      </c>
      <c r="V340" s="29" t="s">
        <v>2329</v>
      </c>
      <c r="W340" s="35">
        <v>22.92</v>
      </c>
      <c r="X340" s="22">
        <f>rv_30</f>
        <v>0.3</v>
      </c>
      <c r="Y340" s="35">
        <f t="shared" si="83"/>
        <v>16.044</v>
      </c>
      <c r="Z340" s="27"/>
      <c r="AA340" s="23"/>
      <c r="AB340" s="23"/>
      <c r="AC340" s="28"/>
      <c r="AD340" s="63">
        <v>0</v>
      </c>
      <c r="AE340" s="91" t="s">
        <v>75</v>
      </c>
      <c r="AF340" s="55" t="s">
        <v>1106</v>
      </c>
      <c r="AG340" s="14" t="s">
        <v>1274</v>
      </c>
      <c r="AH340" s="14" t="s">
        <v>1275</v>
      </c>
    </row>
    <row r="341" spans="1:34" s="1" customFormat="1">
      <c r="A341" s="25"/>
      <c r="B341" s="64"/>
      <c r="C341" s="65"/>
      <c r="D341" s="35"/>
      <c r="E341" s="29" t="s">
        <v>2331</v>
      </c>
      <c r="F341" s="35"/>
      <c r="G341" s="22"/>
      <c r="H341" s="35"/>
      <c r="I341" s="27"/>
      <c r="J341" s="23"/>
      <c r="K341" s="23"/>
      <c r="L341" s="23"/>
      <c r="M341" s="63"/>
      <c r="N341" s="91"/>
      <c r="O341" s="55"/>
      <c r="P341" s="56"/>
      <c r="Q341" s="56"/>
      <c r="R341" s="25" t="s">
        <v>2331</v>
      </c>
      <c r="S341" s="64" t="s">
        <v>2332</v>
      </c>
      <c r="T341" s="65">
        <v>1</v>
      </c>
      <c r="U341" s="35" t="s">
        <v>2314</v>
      </c>
      <c r="V341" s="29" t="s">
        <v>2331</v>
      </c>
      <c r="W341" s="35">
        <v>22.92</v>
      </c>
      <c r="X341" s="22">
        <f>rv_30</f>
        <v>0.3</v>
      </c>
      <c r="Y341" s="35">
        <f t="shared" si="83"/>
        <v>16.044</v>
      </c>
      <c r="Z341" s="27"/>
      <c r="AA341" s="23"/>
      <c r="AB341" s="23"/>
      <c r="AC341" s="28"/>
      <c r="AD341" s="63">
        <v>0</v>
      </c>
      <c r="AE341" s="91" t="s">
        <v>75</v>
      </c>
      <c r="AF341" s="55" t="s">
        <v>1106</v>
      </c>
      <c r="AG341" s="14" t="s">
        <v>1274</v>
      </c>
      <c r="AH341" s="14" t="s">
        <v>1275</v>
      </c>
    </row>
    <row r="342" spans="1:34" s="1" customFormat="1">
      <c r="A342" s="25" t="s">
        <v>2333</v>
      </c>
      <c r="B342" s="64" t="s">
        <v>2334</v>
      </c>
      <c r="C342" s="65">
        <v>1</v>
      </c>
      <c r="D342" s="62" t="s">
        <v>2314</v>
      </c>
      <c r="E342" s="142" t="s">
        <v>2333</v>
      </c>
      <c r="F342" s="63">
        <v>22.92</v>
      </c>
      <c r="G342" s="22">
        <f>rv_30</f>
        <v>0.3</v>
      </c>
      <c r="H342" s="35">
        <f t="shared" ref="H342" si="87">F342-(F342*G342)</f>
        <v>16.044</v>
      </c>
      <c r="I342" s="27"/>
      <c r="J342" s="23"/>
      <c r="K342" s="23"/>
      <c r="L342" s="23"/>
      <c r="M342" s="63">
        <v>0</v>
      </c>
      <c r="N342" s="91" t="s">
        <v>75</v>
      </c>
      <c r="O342" s="55" t="s">
        <v>1106</v>
      </c>
      <c r="P342" s="56" t="s">
        <v>504</v>
      </c>
      <c r="Q342" s="56" t="s">
        <v>1273</v>
      </c>
      <c r="R342" s="25" t="s">
        <v>2333</v>
      </c>
      <c r="S342" s="64" t="s">
        <v>2334</v>
      </c>
      <c r="T342" s="65">
        <v>1</v>
      </c>
      <c r="U342" s="62" t="s">
        <v>2314</v>
      </c>
      <c r="V342" s="142" t="s">
        <v>2333</v>
      </c>
      <c r="W342" s="35">
        <v>22.92</v>
      </c>
      <c r="X342" s="22">
        <f>rv_30</f>
        <v>0.3</v>
      </c>
      <c r="Y342" s="35">
        <f t="shared" si="83"/>
        <v>16.044</v>
      </c>
      <c r="Z342" s="27"/>
      <c r="AA342" s="23"/>
      <c r="AB342" s="23"/>
      <c r="AC342" s="28"/>
      <c r="AD342" s="63">
        <v>0</v>
      </c>
      <c r="AE342" s="91" t="s">
        <v>75</v>
      </c>
      <c r="AF342" s="55"/>
      <c r="AG342" s="14"/>
      <c r="AH342" s="14"/>
    </row>
    <row r="343" spans="1:34" s="1" customFormat="1">
      <c r="A343" s="25" t="s">
        <v>2335</v>
      </c>
      <c r="B343" s="64" t="s">
        <v>2336</v>
      </c>
      <c r="C343" s="65">
        <v>1</v>
      </c>
      <c r="D343" s="62" t="s">
        <v>2314</v>
      </c>
      <c r="E343" s="142" t="s">
        <v>2335</v>
      </c>
      <c r="F343" s="63">
        <v>22.92</v>
      </c>
      <c r="G343" s="22">
        <f>rv_30</f>
        <v>0.3</v>
      </c>
      <c r="H343" s="35">
        <f t="shared" ref="H343" si="88">F343-(F343*G343)</f>
        <v>16.044</v>
      </c>
      <c r="I343" s="27"/>
      <c r="J343" s="23"/>
      <c r="K343" s="23"/>
      <c r="L343" s="23"/>
      <c r="M343" s="63">
        <v>0</v>
      </c>
      <c r="N343" s="91" t="s">
        <v>75</v>
      </c>
      <c r="O343" s="55" t="s">
        <v>1106</v>
      </c>
      <c r="P343" s="14" t="s">
        <v>504</v>
      </c>
      <c r="Q343" s="14" t="s">
        <v>1273</v>
      </c>
      <c r="R343" s="25" t="s">
        <v>2337</v>
      </c>
      <c r="S343" s="64" t="s">
        <v>2338</v>
      </c>
      <c r="T343" s="65">
        <v>1</v>
      </c>
      <c r="U343" s="62" t="s">
        <v>2314</v>
      </c>
      <c r="V343" s="142" t="s">
        <v>2337</v>
      </c>
      <c r="W343" s="35">
        <v>22.92</v>
      </c>
      <c r="X343" s="22">
        <f>rv_30</f>
        <v>0.3</v>
      </c>
      <c r="Y343" s="35">
        <f t="shared" si="83"/>
        <v>16.044</v>
      </c>
      <c r="Z343" s="27"/>
      <c r="AA343" s="23"/>
      <c r="AB343" s="23"/>
      <c r="AC343" s="23"/>
      <c r="AD343" s="63">
        <v>0</v>
      </c>
      <c r="AE343" s="91" t="s">
        <v>75</v>
      </c>
      <c r="AF343" s="55" t="s">
        <v>1106</v>
      </c>
      <c r="AG343" s="14" t="s">
        <v>1274</v>
      </c>
      <c r="AH343" s="14" t="s">
        <v>1275</v>
      </c>
    </row>
    <row r="344" spans="1:34" s="1" customFormat="1">
      <c r="A344" s="25" t="s">
        <v>2339</v>
      </c>
      <c r="B344" s="64" t="s">
        <v>2340</v>
      </c>
      <c r="C344" s="65">
        <v>1</v>
      </c>
      <c r="D344" s="35" t="s">
        <v>2042</v>
      </c>
      <c r="E344" s="29" t="s">
        <v>2339</v>
      </c>
      <c r="F344" s="35">
        <v>147.13999999999999</v>
      </c>
      <c r="G344" s="22">
        <f t="shared" ref="G344:G360" si="89">rv_20</f>
        <v>0.2</v>
      </c>
      <c r="H344" s="35">
        <f t="shared" si="84"/>
        <v>117.71199999999999</v>
      </c>
      <c r="I344" s="27"/>
      <c r="J344" s="23"/>
      <c r="K344" s="23"/>
      <c r="L344" s="23"/>
      <c r="M344" s="63">
        <v>0.92</v>
      </c>
      <c r="N344" s="91" t="s">
        <v>75</v>
      </c>
      <c r="O344" s="55" t="s">
        <v>1106</v>
      </c>
      <c r="P344" s="56" t="s">
        <v>504</v>
      </c>
      <c r="Q344" s="56" t="s">
        <v>1273</v>
      </c>
      <c r="R344" s="25" t="s">
        <v>2339</v>
      </c>
      <c r="S344" s="64" t="s">
        <v>2340</v>
      </c>
      <c r="T344" s="65">
        <v>1</v>
      </c>
      <c r="U344" s="35" t="s">
        <v>2042</v>
      </c>
      <c r="V344" s="29" t="s">
        <v>2339</v>
      </c>
      <c r="W344" s="35">
        <v>147.13999999999999</v>
      </c>
      <c r="X344" s="22">
        <f t="shared" ref="X344:X360" si="90">rv_20</f>
        <v>0.2</v>
      </c>
      <c r="Y344" s="35">
        <f t="shared" si="83"/>
        <v>117.71199999999999</v>
      </c>
      <c r="Z344" s="27"/>
      <c r="AA344" s="23"/>
      <c r="AB344" s="23"/>
      <c r="AC344" s="28"/>
      <c r="AD344" s="63">
        <v>0.92</v>
      </c>
      <c r="AE344" s="91" t="s">
        <v>75</v>
      </c>
      <c r="AF344" s="55" t="s">
        <v>1106</v>
      </c>
      <c r="AG344" s="14" t="s">
        <v>1274</v>
      </c>
      <c r="AH344" s="14" t="s">
        <v>1275</v>
      </c>
    </row>
    <row r="345" spans="1:34" s="1" customFormat="1">
      <c r="A345" s="25" t="s">
        <v>2341</v>
      </c>
      <c r="B345" s="64" t="s">
        <v>2342</v>
      </c>
      <c r="C345" s="65">
        <v>1</v>
      </c>
      <c r="D345" s="35" t="s">
        <v>2042</v>
      </c>
      <c r="E345" s="29" t="s">
        <v>2341</v>
      </c>
      <c r="F345" s="35">
        <v>175.8</v>
      </c>
      <c r="G345" s="22">
        <f t="shared" si="89"/>
        <v>0.2</v>
      </c>
      <c r="H345" s="35">
        <f t="shared" si="84"/>
        <v>140.64000000000001</v>
      </c>
      <c r="I345" s="27"/>
      <c r="J345" s="23"/>
      <c r="K345" s="23"/>
      <c r="L345" s="23"/>
      <c r="M345" s="63">
        <v>0.92</v>
      </c>
      <c r="N345" s="91" t="s">
        <v>75</v>
      </c>
      <c r="O345" s="55" t="s">
        <v>1106</v>
      </c>
      <c r="P345" s="56" t="s">
        <v>504</v>
      </c>
      <c r="Q345" s="56" t="s">
        <v>1273</v>
      </c>
      <c r="R345" s="25" t="s">
        <v>2341</v>
      </c>
      <c r="S345" s="64" t="s">
        <v>2342</v>
      </c>
      <c r="T345" s="65">
        <v>1</v>
      </c>
      <c r="U345" s="35" t="s">
        <v>2042</v>
      </c>
      <c r="V345" s="29" t="s">
        <v>2341</v>
      </c>
      <c r="W345" s="35">
        <v>175.8</v>
      </c>
      <c r="X345" s="22">
        <f t="shared" si="90"/>
        <v>0.2</v>
      </c>
      <c r="Y345" s="35">
        <f t="shared" si="83"/>
        <v>140.64000000000001</v>
      </c>
      <c r="Z345" s="27"/>
      <c r="AA345" s="23"/>
      <c r="AB345" s="23"/>
      <c r="AC345" s="28"/>
      <c r="AD345" s="63">
        <v>0.92</v>
      </c>
      <c r="AE345" s="91" t="s">
        <v>75</v>
      </c>
      <c r="AF345" s="55" t="s">
        <v>1106</v>
      </c>
      <c r="AG345" s="14" t="s">
        <v>1274</v>
      </c>
      <c r="AH345" s="14" t="s">
        <v>1275</v>
      </c>
    </row>
    <row r="346" spans="1:34" s="1" customFormat="1">
      <c r="A346" s="25" t="s">
        <v>2343</v>
      </c>
      <c r="B346" s="64" t="s">
        <v>2344</v>
      </c>
      <c r="C346" s="65">
        <v>1</v>
      </c>
      <c r="D346" s="35" t="s">
        <v>2042</v>
      </c>
      <c r="E346" s="29" t="s">
        <v>2343</v>
      </c>
      <c r="F346" s="35">
        <v>262.25</v>
      </c>
      <c r="G346" s="22">
        <f t="shared" si="89"/>
        <v>0.2</v>
      </c>
      <c r="H346" s="35">
        <f t="shared" si="84"/>
        <v>209.8</v>
      </c>
      <c r="I346" s="27"/>
      <c r="J346" s="23"/>
      <c r="K346" s="23"/>
      <c r="L346" s="23"/>
      <c r="M346" s="63">
        <v>0</v>
      </c>
      <c r="N346" s="91" t="s">
        <v>75</v>
      </c>
      <c r="O346" s="55" t="s">
        <v>1106</v>
      </c>
      <c r="P346" s="56" t="s">
        <v>504</v>
      </c>
      <c r="Q346" s="56" t="s">
        <v>1273</v>
      </c>
      <c r="R346" s="25" t="s">
        <v>2343</v>
      </c>
      <c r="S346" s="64" t="s">
        <v>2344</v>
      </c>
      <c r="T346" s="65">
        <v>1</v>
      </c>
      <c r="U346" s="35" t="s">
        <v>2042</v>
      </c>
      <c r="V346" s="29" t="s">
        <v>2343</v>
      </c>
      <c r="W346" s="35">
        <v>262.25</v>
      </c>
      <c r="X346" s="22">
        <f t="shared" si="90"/>
        <v>0.2</v>
      </c>
      <c r="Y346" s="35">
        <f t="shared" si="83"/>
        <v>209.8</v>
      </c>
      <c r="Z346" s="27"/>
      <c r="AA346" s="23"/>
      <c r="AB346" s="23"/>
      <c r="AC346" s="28"/>
      <c r="AD346" s="63">
        <v>0</v>
      </c>
      <c r="AE346" s="91" t="s">
        <v>75</v>
      </c>
      <c r="AF346" s="55" t="s">
        <v>1106</v>
      </c>
      <c r="AG346" s="14" t="s">
        <v>1274</v>
      </c>
      <c r="AH346" s="14" t="s">
        <v>1275</v>
      </c>
    </row>
    <row r="347" spans="1:34" s="1" customFormat="1">
      <c r="A347" s="25" t="s">
        <v>2345</v>
      </c>
      <c r="B347" s="64" t="s">
        <v>2346</v>
      </c>
      <c r="C347" s="65">
        <v>1</v>
      </c>
      <c r="D347" s="35" t="s">
        <v>2347</v>
      </c>
      <c r="E347" s="29" t="s">
        <v>2345</v>
      </c>
      <c r="F347" s="35">
        <v>22.32</v>
      </c>
      <c r="G347" s="22">
        <f t="shared" si="89"/>
        <v>0.2</v>
      </c>
      <c r="H347" s="35">
        <f t="shared" si="84"/>
        <v>17.856000000000002</v>
      </c>
      <c r="I347" s="27"/>
      <c r="J347" s="23"/>
      <c r="K347" s="23"/>
      <c r="L347" s="23"/>
      <c r="M347" s="63">
        <v>0.05</v>
      </c>
      <c r="N347" s="91" t="s">
        <v>75</v>
      </c>
      <c r="O347" s="55" t="s">
        <v>1106</v>
      </c>
      <c r="P347" s="56" t="s">
        <v>504</v>
      </c>
      <c r="Q347" s="56" t="s">
        <v>1273</v>
      </c>
      <c r="R347" s="25" t="s">
        <v>2345</v>
      </c>
      <c r="S347" s="64" t="s">
        <v>2346</v>
      </c>
      <c r="T347" s="65">
        <v>1</v>
      </c>
      <c r="U347" s="35" t="s">
        <v>2347</v>
      </c>
      <c r="V347" s="29" t="s">
        <v>2345</v>
      </c>
      <c r="W347" s="35">
        <v>22.32</v>
      </c>
      <c r="X347" s="22">
        <f t="shared" si="90"/>
        <v>0.2</v>
      </c>
      <c r="Y347" s="35">
        <f t="shared" si="83"/>
        <v>17.856000000000002</v>
      </c>
      <c r="Z347" s="27"/>
      <c r="AA347" s="23"/>
      <c r="AB347" s="23"/>
      <c r="AC347" s="28"/>
      <c r="AD347" s="63">
        <v>0.05</v>
      </c>
      <c r="AE347" s="91" t="s">
        <v>75</v>
      </c>
      <c r="AF347" s="55" t="s">
        <v>1106</v>
      </c>
      <c r="AG347" s="14" t="s">
        <v>1274</v>
      </c>
      <c r="AH347" s="14" t="s">
        <v>1275</v>
      </c>
    </row>
    <row r="348" spans="1:34" s="1" customFormat="1">
      <c r="A348" s="25" t="s">
        <v>2348</v>
      </c>
      <c r="B348" s="64" t="s">
        <v>2349</v>
      </c>
      <c r="C348" s="65">
        <v>1</v>
      </c>
      <c r="D348" s="35" t="s">
        <v>2347</v>
      </c>
      <c r="E348" s="29" t="s">
        <v>2348</v>
      </c>
      <c r="F348" s="35">
        <v>22.32</v>
      </c>
      <c r="G348" s="22">
        <f t="shared" si="89"/>
        <v>0.2</v>
      </c>
      <c r="H348" s="35">
        <f t="shared" si="84"/>
        <v>17.856000000000002</v>
      </c>
      <c r="I348" s="27"/>
      <c r="J348" s="23"/>
      <c r="K348" s="23"/>
      <c r="L348" s="23"/>
      <c r="M348" s="63">
        <v>0.05</v>
      </c>
      <c r="N348" s="91" t="s">
        <v>75</v>
      </c>
      <c r="O348" s="55" t="s">
        <v>1106</v>
      </c>
      <c r="P348" s="56" t="s">
        <v>504</v>
      </c>
      <c r="Q348" s="56" t="s">
        <v>1273</v>
      </c>
      <c r="R348" s="25" t="s">
        <v>2348</v>
      </c>
      <c r="S348" s="64" t="s">
        <v>2349</v>
      </c>
      <c r="T348" s="65">
        <v>1</v>
      </c>
      <c r="U348" s="35" t="s">
        <v>2347</v>
      </c>
      <c r="V348" s="29" t="s">
        <v>2348</v>
      </c>
      <c r="W348" s="35">
        <v>22.32</v>
      </c>
      <c r="X348" s="22">
        <f t="shared" si="90"/>
        <v>0.2</v>
      </c>
      <c r="Y348" s="35">
        <f t="shared" si="83"/>
        <v>17.856000000000002</v>
      </c>
      <c r="Z348" s="27"/>
      <c r="AA348" s="23"/>
      <c r="AB348" s="23"/>
      <c r="AC348" s="28"/>
      <c r="AD348" s="63">
        <v>0.05</v>
      </c>
      <c r="AE348" s="91" t="s">
        <v>75</v>
      </c>
      <c r="AF348" s="55" t="s">
        <v>1106</v>
      </c>
      <c r="AG348" s="14" t="s">
        <v>1274</v>
      </c>
      <c r="AH348" s="14" t="s">
        <v>1275</v>
      </c>
    </row>
    <row r="349" spans="1:34" s="1" customFormat="1">
      <c r="A349" s="25" t="s">
        <v>2350</v>
      </c>
      <c r="B349" s="64" t="s">
        <v>2351</v>
      </c>
      <c r="C349" s="65">
        <v>1</v>
      </c>
      <c r="D349" s="35" t="s">
        <v>2347</v>
      </c>
      <c r="E349" s="29" t="s">
        <v>2350</v>
      </c>
      <c r="F349" s="35">
        <v>29.75</v>
      </c>
      <c r="G349" s="22">
        <f t="shared" si="89"/>
        <v>0.2</v>
      </c>
      <c r="H349" s="35">
        <f t="shared" si="84"/>
        <v>23.8</v>
      </c>
      <c r="I349" s="27"/>
      <c r="J349" s="23"/>
      <c r="K349" s="23"/>
      <c r="L349" s="23"/>
      <c r="M349" s="63">
        <v>0.05</v>
      </c>
      <c r="N349" s="91" t="s">
        <v>75</v>
      </c>
      <c r="O349" s="55" t="s">
        <v>1106</v>
      </c>
      <c r="P349" s="56" t="s">
        <v>504</v>
      </c>
      <c r="Q349" s="56" t="s">
        <v>1273</v>
      </c>
      <c r="R349" s="25" t="s">
        <v>2350</v>
      </c>
      <c r="S349" s="64" t="s">
        <v>2351</v>
      </c>
      <c r="T349" s="65">
        <v>1</v>
      </c>
      <c r="U349" s="35" t="s">
        <v>2347</v>
      </c>
      <c r="V349" s="29" t="s">
        <v>2350</v>
      </c>
      <c r="W349" s="35">
        <v>29.75</v>
      </c>
      <c r="X349" s="22">
        <f t="shared" si="90"/>
        <v>0.2</v>
      </c>
      <c r="Y349" s="35">
        <f t="shared" si="83"/>
        <v>23.8</v>
      </c>
      <c r="Z349" s="27"/>
      <c r="AA349" s="23"/>
      <c r="AB349" s="23"/>
      <c r="AC349" s="28"/>
      <c r="AD349" s="63">
        <v>0.05</v>
      </c>
      <c r="AE349" s="91" t="s">
        <v>75</v>
      </c>
      <c r="AF349" s="55" t="s">
        <v>1106</v>
      </c>
      <c r="AG349" s="14" t="s">
        <v>1274</v>
      </c>
      <c r="AH349" s="14" t="s">
        <v>1275</v>
      </c>
    </row>
    <row r="350" spans="1:34" s="1" customFormat="1">
      <c r="A350" s="25" t="s">
        <v>2352</v>
      </c>
      <c r="B350" s="64" t="s">
        <v>2353</v>
      </c>
      <c r="C350" s="65">
        <v>1</v>
      </c>
      <c r="D350" s="35" t="s">
        <v>2347</v>
      </c>
      <c r="E350" s="29" t="s">
        <v>2352</v>
      </c>
      <c r="F350" s="35">
        <v>24.9</v>
      </c>
      <c r="G350" s="22">
        <f>rv_20</f>
        <v>0.2</v>
      </c>
      <c r="H350" s="35">
        <f>F350-(F350*G350)</f>
        <v>19.919999999999998</v>
      </c>
      <c r="I350" s="27"/>
      <c r="J350" s="23"/>
      <c r="K350" s="23"/>
      <c r="L350" s="23"/>
      <c r="M350" s="63">
        <v>0.05</v>
      </c>
      <c r="N350" s="91" t="s">
        <v>75</v>
      </c>
      <c r="O350" s="55" t="s">
        <v>1106</v>
      </c>
      <c r="P350" s="56" t="s">
        <v>504</v>
      </c>
      <c r="Q350" s="56" t="s">
        <v>1273</v>
      </c>
      <c r="R350" s="25" t="s">
        <v>2352</v>
      </c>
      <c r="S350" s="64" t="s">
        <v>2353</v>
      </c>
      <c r="T350" s="65">
        <v>1</v>
      </c>
      <c r="U350" s="35" t="s">
        <v>2347</v>
      </c>
      <c r="V350" s="29" t="s">
        <v>2352</v>
      </c>
      <c r="W350" s="35">
        <v>24.9</v>
      </c>
      <c r="X350" s="22">
        <f>rv_20</f>
        <v>0.2</v>
      </c>
      <c r="Y350" s="35">
        <f>W350-(W350*X350)</f>
        <v>19.919999999999998</v>
      </c>
      <c r="Z350" s="27"/>
      <c r="AA350" s="23"/>
      <c r="AB350" s="23"/>
      <c r="AC350" s="28"/>
      <c r="AD350" s="63">
        <v>0.05</v>
      </c>
      <c r="AE350" s="91" t="s">
        <v>75</v>
      </c>
      <c r="AF350" s="55"/>
      <c r="AG350" s="14"/>
      <c r="AH350" s="14"/>
    </row>
    <row r="351" spans="1:34" s="1" customFormat="1">
      <c r="A351" s="25" t="s">
        <v>2354</v>
      </c>
      <c r="B351" s="64" t="s">
        <v>2355</v>
      </c>
      <c r="C351" s="65">
        <v>1</v>
      </c>
      <c r="D351" s="35" t="s">
        <v>2347</v>
      </c>
      <c r="E351" s="29" t="s">
        <v>2354</v>
      </c>
      <c r="F351" s="35">
        <v>22.32</v>
      </c>
      <c r="G351" s="22">
        <f t="shared" si="89"/>
        <v>0.2</v>
      </c>
      <c r="H351" s="35">
        <f t="shared" si="84"/>
        <v>17.856000000000002</v>
      </c>
      <c r="I351" s="27"/>
      <c r="J351" s="23"/>
      <c r="K351" s="23"/>
      <c r="L351" s="23"/>
      <c r="M351" s="63">
        <v>0.02</v>
      </c>
      <c r="N351" s="91" t="s">
        <v>75</v>
      </c>
      <c r="O351" s="55" t="s">
        <v>1106</v>
      </c>
      <c r="P351" s="56" t="s">
        <v>504</v>
      </c>
      <c r="Q351" s="56" t="s">
        <v>1273</v>
      </c>
      <c r="R351" s="25" t="s">
        <v>2354</v>
      </c>
      <c r="S351" s="64" t="s">
        <v>2355</v>
      </c>
      <c r="T351" s="65">
        <v>1</v>
      </c>
      <c r="U351" s="35" t="s">
        <v>2347</v>
      </c>
      <c r="V351" s="29" t="s">
        <v>2354</v>
      </c>
      <c r="W351" s="35">
        <v>22.32</v>
      </c>
      <c r="X351" s="22">
        <f t="shared" si="90"/>
        <v>0.2</v>
      </c>
      <c r="Y351" s="35">
        <f t="shared" ref="Y351:Y420" si="91">W351-(W351*X351)</f>
        <v>17.856000000000002</v>
      </c>
      <c r="Z351" s="27"/>
      <c r="AA351" s="23"/>
      <c r="AB351" s="23"/>
      <c r="AC351" s="28"/>
      <c r="AD351" s="63">
        <v>0.02</v>
      </c>
      <c r="AE351" s="91" t="s">
        <v>75</v>
      </c>
      <c r="AF351" s="55" t="s">
        <v>1106</v>
      </c>
      <c r="AG351" s="14" t="s">
        <v>1274</v>
      </c>
      <c r="AH351" s="14" t="s">
        <v>1275</v>
      </c>
    </row>
    <row r="352" spans="1:34" s="1" customFormat="1">
      <c r="A352" s="25" t="s">
        <v>2356</v>
      </c>
      <c r="B352" s="64" t="s">
        <v>2357</v>
      </c>
      <c r="C352" s="65">
        <v>1</v>
      </c>
      <c r="D352" s="35" t="s">
        <v>2347</v>
      </c>
      <c r="E352" s="29" t="s">
        <v>2356</v>
      </c>
      <c r="F352" s="35">
        <v>29.75</v>
      </c>
      <c r="G352" s="22">
        <f t="shared" si="89"/>
        <v>0.2</v>
      </c>
      <c r="H352" s="35">
        <f t="shared" si="84"/>
        <v>23.8</v>
      </c>
      <c r="I352" s="27"/>
      <c r="J352" s="23"/>
      <c r="K352" s="23"/>
      <c r="L352" s="23"/>
      <c r="M352" s="63">
        <v>0.02</v>
      </c>
      <c r="N352" s="91" t="s">
        <v>75</v>
      </c>
      <c r="O352" s="55" t="s">
        <v>1106</v>
      </c>
      <c r="P352" s="56" t="s">
        <v>504</v>
      </c>
      <c r="Q352" s="56" t="s">
        <v>1273</v>
      </c>
      <c r="R352" s="25" t="s">
        <v>2356</v>
      </c>
      <c r="S352" s="64" t="s">
        <v>2357</v>
      </c>
      <c r="T352" s="65">
        <v>1</v>
      </c>
      <c r="U352" s="35" t="s">
        <v>2347</v>
      </c>
      <c r="V352" s="29" t="s">
        <v>2356</v>
      </c>
      <c r="W352" s="35">
        <v>29.75</v>
      </c>
      <c r="X352" s="22">
        <f t="shared" si="90"/>
        <v>0.2</v>
      </c>
      <c r="Y352" s="35">
        <f t="shared" si="91"/>
        <v>23.8</v>
      </c>
      <c r="Z352" s="27"/>
      <c r="AA352" s="23"/>
      <c r="AB352" s="23"/>
      <c r="AC352" s="28"/>
      <c r="AD352" s="63">
        <v>0.02</v>
      </c>
      <c r="AE352" s="91" t="s">
        <v>75</v>
      </c>
      <c r="AF352" s="55" t="s">
        <v>1106</v>
      </c>
      <c r="AG352" s="14" t="s">
        <v>1274</v>
      </c>
      <c r="AH352" s="14" t="s">
        <v>1275</v>
      </c>
    </row>
    <row r="353" spans="1:34" s="1" customFormat="1">
      <c r="A353" s="25" t="s">
        <v>2358</v>
      </c>
      <c r="B353" s="64" t="s">
        <v>2359</v>
      </c>
      <c r="C353" s="65">
        <v>1</v>
      </c>
      <c r="D353" s="62" t="s">
        <v>2347</v>
      </c>
      <c r="E353" s="233" t="s">
        <v>2358</v>
      </c>
      <c r="F353" s="35">
        <v>29.75</v>
      </c>
      <c r="G353" s="22">
        <f t="shared" si="89"/>
        <v>0.2</v>
      </c>
      <c r="H353" s="35">
        <f t="shared" si="84"/>
        <v>23.8</v>
      </c>
      <c r="I353" s="27"/>
      <c r="J353" s="23"/>
      <c r="K353" s="23"/>
      <c r="L353" s="23"/>
      <c r="M353" s="63">
        <v>0.02</v>
      </c>
      <c r="N353" s="91" t="s">
        <v>75</v>
      </c>
      <c r="O353" s="55" t="s">
        <v>1106</v>
      </c>
      <c r="P353" s="56" t="s">
        <v>504</v>
      </c>
      <c r="Q353" s="56" t="s">
        <v>1273</v>
      </c>
      <c r="R353" s="25" t="s">
        <v>2358</v>
      </c>
      <c r="S353" s="64" t="s">
        <v>2359</v>
      </c>
      <c r="T353" s="65">
        <v>1</v>
      </c>
      <c r="U353" s="62" t="s">
        <v>2347</v>
      </c>
      <c r="V353" s="233" t="s">
        <v>2358</v>
      </c>
      <c r="W353" s="35">
        <v>29.75</v>
      </c>
      <c r="X353" s="22">
        <f t="shared" si="90"/>
        <v>0.2</v>
      </c>
      <c r="Y353" s="35">
        <f t="shared" si="91"/>
        <v>23.8</v>
      </c>
      <c r="Z353" s="27"/>
      <c r="AA353" s="23"/>
      <c r="AB353" s="23"/>
      <c r="AC353" s="28"/>
      <c r="AD353" s="63">
        <v>0.02</v>
      </c>
      <c r="AE353" s="91" t="s">
        <v>75</v>
      </c>
      <c r="AF353" s="55" t="s">
        <v>1106</v>
      </c>
      <c r="AG353" s="14" t="s">
        <v>1274</v>
      </c>
      <c r="AH353" s="14" t="s">
        <v>1275</v>
      </c>
    </row>
    <row r="354" spans="1:34" s="1" customFormat="1">
      <c r="A354" s="25" t="s">
        <v>2360</v>
      </c>
      <c r="B354" s="64" t="s">
        <v>2361</v>
      </c>
      <c r="C354" s="65">
        <v>1</v>
      </c>
      <c r="D354" s="35" t="s">
        <v>2347</v>
      </c>
      <c r="E354" s="29" t="s">
        <v>2360</v>
      </c>
      <c r="F354" s="35">
        <v>28.14</v>
      </c>
      <c r="G354" s="22">
        <f t="shared" si="89"/>
        <v>0.2</v>
      </c>
      <c r="H354" s="35">
        <f t="shared" si="84"/>
        <v>22.512</v>
      </c>
      <c r="I354" s="27"/>
      <c r="J354" s="23"/>
      <c r="K354" s="23"/>
      <c r="L354" s="23"/>
      <c r="M354" s="63">
        <v>0</v>
      </c>
      <c r="N354" s="91" t="s">
        <v>75</v>
      </c>
      <c r="O354" s="55" t="s">
        <v>1106</v>
      </c>
      <c r="P354" s="56" t="s">
        <v>504</v>
      </c>
      <c r="Q354" s="56" t="s">
        <v>1273</v>
      </c>
      <c r="R354" s="25" t="s">
        <v>2360</v>
      </c>
      <c r="S354" s="64" t="s">
        <v>2361</v>
      </c>
      <c r="T354" s="65">
        <v>1</v>
      </c>
      <c r="U354" s="35" t="s">
        <v>2347</v>
      </c>
      <c r="V354" s="29" t="s">
        <v>2360</v>
      </c>
      <c r="W354" s="35">
        <v>28.14</v>
      </c>
      <c r="X354" s="22">
        <f t="shared" si="90"/>
        <v>0.2</v>
      </c>
      <c r="Y354" s="35">
        <f t="shared" si="91"/>
        <v>22.512</v>
      </c>
      <c r="Z354" s="27"/>
      <c r="AA354" s="23"/>
      <c r="AB354" s="23"/>
      <c r="AC354" s="28"/>
      <c r="AD354" s="63">
        <v>0</v>
      </c>
      <c r="AE354" s="91" t="s">
        <v>75</v>
      </c>
      <c r="AF354" s="55" t="s">
        <v>1106</v>
      </c>
      <c r="AG354" s="14" t="s">
        <v>1274</v>
      </c>
      <c r="AH354" s="14" t="s">
        <v>1275</v>
      </c>
    </row>
    <row r="355" spans="1:34" s="1" customFormat="1">
      <c r="A355" s="25" t="s">
        <v>2362</v>
      </c>
      <c r="B355" s="64" t="s">
        <v>2363</v>
      </c>
      <c r="C355" s="65">
        <v>1</v>
      </c>
      <c r="D355" s="35" t="s">
        <v>2347</v>
      </c>
      <c r="E355" s="29" t="s">
        <v>2362</v>
      </c>
      <c r="F355" s="35">
        <v>28.14</v>
      </c>
      <c r="G355" s="22">
        <f t="shared" si="89"/>
        <v>0.2</v>
      </c>
      <c r="H355" s="35">
        <f t="shared" si="84"/>
        <v>22.512</v>
      </c>
      <c r="I355" s="27"/>
      <c r="J355" s="23"/>
      <c r="K355" s="23"/>
      <c r="L355" s="23"/>
      <c r="M355" s="63">
        <v>0</v>
      </c>
      <c r="N355" s="91" t="s">
        <v>75</v>
      </c>
      <c r="O355" s="55" t="s">
        <v>1106</v>
      </c>
      <c r="P355" s="56" t="s">
        <v>504</v>
      </c>
      <c r="Q355" s="56" t="s">
        <v>1273</v>
      </c>
      <c r="R355" s="25" t="s">
        <v>2362</v>
      </c>
      <c r="S355" s="64" t="s">
        <v>2363</v>
      </c>
      <c r="T355" s="65">
        <v>1</v>
      </c>
      <c r="U355" s="35" t="s">
        <v>2347</v>
      </c>
      <c r="V355" s="29" t="s">
        <v>2362</v>
      </c>
      <c r="W355" s="35">
        <v>28.14</v>
      </c>
      <c r="X355" s="22">
        <f t="shared" si="90"/>
        <v>0.2</v>
      </c>
      <c r="Y355" s="35">
        <f t="shared" si="91"/>
        <v>22.512</v>
      </c>
      <c r="Z355" s="27"/>
      <c r="AA355" s="23"/>
      <c r="AB355" s="23"/>
      <c r="AC355" s="28"/>
      <c r="AD355" s="63">
        <v>0</v>
      </c>
      <c r="AE355" s="91" t="s">
        <v>75</v>
      </c>
      <c r="AF355" s="55" t="s">
        <v>1106</v>
      </c>
      <c r="AG355" s="14" t="s">
        <v>1274</v>
      </c>
      <c r="AH355" s="14" t="s">
        <v>1275</v>
      </c>
    </row>
    <row r="356" spans="1:34" s="1" customFormat="1">
      <c r="A356" s="25" t="s">
        <v>2364</v>
      </c>
      <c r="B356" s="64" t="s">
        <v>2365</v>
      </c>
      <c r="C356" s="65">
        <v>1</v>
      </c>
      <c r="D356" s="35" t="s">
        <v>2347</v>
      </c>
      <c r="E356" s="29" t="s">
        <v>2364</v>
      </c>
      <c r="F356" s="35">
        <v>28.88</v>
      </c>
      <c r="G356" s="22">
        <f t="shared" si="89"/>
        <v>0.2</v>
      </c>
      <c r="H356" s="35">
        <f t="shared" si="84"/>
        <v>23.103999999999999</v>
      </c>
      <c r="I356" s="27"/>
      <c r="J356" s="23"/>
      <c r="K356" s="23"/>
      <c r="L356" s="23"/>
      <c r="M356" s="63">
        <v>0</v>
      </c>
      <c r="N356" s="91" t="s">
        <v>75</v>
      </c>
      <c r="O356" s="55" t="s">
        <v>1106</v>
      </c>
      <c r="P356" s="56" t="s">
        <v>504</v>
      </c>
      <c r="Q356" s="56" t="s">
        <v>1273</v>
      </c>
      <c r="R356" s="25" t="s">
        <v>2364</v>
      </c>
      <c r="S356" s="64" t="s">
        <v>2365</v>
      </c>
      <c r="T356" s="65">
        <v>1</v>
      </c>
      <c r="U356" s="35" t="s">
        <v>2347</v>
      </c>
      <c r="V356" s="29" t="s">
        <v>2364</v>
      </c>
      <c r="W356" s="35">
        <v>28.88</v>
      </c>
      <c r="X356" s="22">
        <f t="shared" si="90"/>
        <v>0.2</v>
      </c>
      <c r="Y356" s="35">
        <f t="shared" si="91"/>
        <v>23.103999999999999</v>
      </c>
      <c r="Z356" s="27"/>
      <c r="AA356" s="23"/>
      <c r="AB356" s="23"/>
      <c r="AC356" s="28"/>
      <c r="AD356" s="63">
        <v>0</v>
      </c>
      <c r="AE356" s="91" t="s">
        <v>75</v>
      </c>
      <c r="AF356" s="55" t="s">
        <v>1106</v>
      </c>
      <c r="AG356" s="14" t="s">
        <v>1274</v>
      </c>
      <c r="AH356" s="14" t="s">
        <v>1275</v>
      </c>
    </row>
    <row r="357" spans="1:34" s="1" customFormat="1">
      <c r="A357" s="25" t="s">
        <v>2366</v>
      </c>
      <c r="B357" s="64" t="s">
        <v>2367</v>
      </c>
      <c r="C357" s="65">
        <v>1</v>
      </c>
      <c r="D357" s="35" t="s">
        <v>2347</v>
      </c>
      <c r="E357" s="29" t="s">
        <v>2366</v>
      </c>
      <c r="F357" s="35">
        <v>34.700000000000003</v>
      </c>
      <c r="G357" s="22">
        <f t="shared" si="89"/>
        <v>0.2</v>
      </c>
      <c r="H357" s="35">
        <f t="shared" si="84"/>
        <v>27.76</v>
      </c>
      <c r="I357" s="27"/>
      <c r="J357" s="23"/>
      <c r="K357" s="23"/>
      <c r="L357" s="23"/>
      <c r="M357" s="63">
        <v>0</v>
      </c>
      <c r="N357" s="91" t="s">
        <v>75</v>
      </c>
      <c r="O357" s="55" t="s">
        <v>1106</v>
      </c>
      <c r="P357" s="56" t="s">
        <v>504</v>
      </c>
      <c r="Q357" s="56" t="s">
        <v>1273</v>
      </c>
      <c r="R357" s="25" t="s">
        <v>2366</v>
      </c>
      <c r="S357" s="64" t="s">
        <v>2367</v>
      </c>
      <c r="T357" s="65">
        <v>1</v>
      </c>
      <c r="U357" s="35" t="s">
        <v>2347</v>
      </c>
      <c r="V357" s="29" t="s">
        <v>2366</v>
      </c>
      <c r="W357" s="35">
        <v>34.700000000000003</v>
      </c>
      <c r="X357" s="22">
        <f t="shared" si="90"/>
        <v>0.2</v>
      </c>
      <c r="Y357" s="35">
        <f t="shared" si="91"/>
        <v>27.76</v>
      </c>
      <c r="Z357" s="27"/>
      <c r="AA357" s="23"/>
      <c r="AB357" s="23"/>
      <c r="AC357" s="28"/>
      <c r="AD357" s="63">
        <v>0</v>
      </c>
      <c r="AE357" s="91" t="s">
        <v>75</v>
      </c>
      <c r="AF357" s="55" t="s">
        <v>1106</v>
      </c>
      <c r="AG357" s="14" t="s">
        <v>1274</v>
      </c>
      <c r="AH357" s="14" t="s">
        <v>1275</v>
      </c>
    </row>
    <row r="358" spans="1:34" s="1" customFormat="1">
      <c r="A358" s="25" t="s">
        <v>2368</v>
      </c>
      <c r="B358" s="64" t="s">
        <v>2369</v>
      </c>
      <c r="C358" s="65">
        <v>1</v>
      </c>
      <c r="D358" s="35" t="s">
        <v>2347</v>
      </c>
      <c r="E358" s="29" t="s">
        <v>2368</v>
      </c>
      <c r="F358" s="35">
        <v>42.16</v>
      </c>
      <c r="G358" s="22">
        <f t="shared" si="89"/>
        <v>0.2</v>
      </c>
      <c r="H358" s="35">
        <f t="shared" si="84"/>
        <v>33.727999999999994</v>
      </c>
      <c r="I358" s="27"/>
      <c r="J358" s="23"/>
      <c r="K358" s="23"/>
      <c r="L358" s="23"/>
      <c r="M358" s="63">
        <v>0</v>
      </c>
      <c r="N358" s="91" t="s">
        <v>75</v>
      </c>
      <c r="O358" s="55" t="s">
        <v>1106</v>
      </c>
      <c r="P358" s="56" t="s">
        <v>504</v>
      </c>
      <c r="Q358" s="56" t="s">
        <v>1273</v>
      </c>
      <c r="R358" s="25" t="s">
        <v>2368</v>
      </c>
      <c r="S358" s="64" t="s">
        <v>2369</v>
      </c>
      <c r="T358" s="65">
        <v>1</v>
      </c>
      <c r="U358" s="35" t="s">
        <v>2347</v>
      </c>
      <c r="V358" s="29" t="s">
        <v>2368</v>
      </c>
      <c r="W358" s="35">
        <v>42.16</v>
      </c>
      <c r="X358" s="22">
        <f t="shared" si="90"/>
        <v>0.2</v>
      </c>
      <c r="Y358" s="35">
        <f t="shared" si="91"/>
        <v>33.727999999999994</v>
      </c>
      <c r="Z358" s="27"/>
      <c r="AA358" s="23"/>
      <c r="AB358" s="23"/>
      <c r="AC358" s="28"/>
      <c r="AD358" s="63">
        <v>0</v>
      </c>
      <c r="AE358" s="91" t="s">
        <v>75</v>
      </c>
      <c r="AF358" s="55" t="s">
        <v>1106</v>
      </c>
      <c r="AG358" s="14" t="s">
        <v>1274</v>
      </c>
      <c r="AH358" s="14" t="s">
        <v>1275</v>
      </c>
    </row>
    <row r="359" spans="1:34" s="1" customFormat="1">
      <c r="A359" s="25" t="s">
        <v>2370</v>
      </c>
      <c r="B359" s="64" t="s">
        <v>2371</v>
      </c>
      <c r="C359" s="65">
        <v>1</v>
      </c>
      <c r="D359" s="35" t="s">
        <v>2347</v>
      </c>
      <c r="E359" s="29" t="s">
        <v>2370</v>
      </c>
      <c r="F359" s="35">
        <v>24.91</v>
      </c>
      <c r="G359" s="22">
        <f t="shared" si="89"/>
        <v>0.2</v>
      </c>
      <c r="H359" s="35">
        <f t="shared" si="84"/>
        <v>19.928000000000001</v>
      </c>
      <c r="I359" s="27"/>
      <c r="J359" s="23"/>
      <c r="K359" s="23"/>
      <c r="L359" s="23"/>
      <c r="M359" s="63">
        <v>0</v>
      </c>
      <c r="N359" s="91" t="s">
        <v>75</v>
      </c>
      <c r="O359" s="55" t="s">
        <v>1106</v>
      </c>
      <c r="P359" s="56" t="s">
        <v>504</v>
      </c>
      <c r="Q359" s="56" t="s">
        <v>1273</v>
      </c>
      <c r="R359" s="25" t="s">
        <v>2370</v>
      </c>
      <c r="S359" s="64" t="s">
        <v>2371</v>
      </c>
      <c r="T359" s="65">
        <v>1</v>
      </c>
      <c r="U359" s="35" t="s">
        <v>2347</v>
      </c>
      <c r="V359" s="29" t="s">
        <v>2370</v>
      </c>
      <c r="W359" s="35">
        <v>24.91</v>
      </c>
      <c r="X359" s="22">
        <f t="shared" si="90"/>
        <v>0.2</v>
      </c>
      <c r="Y359" s="35">
        <f t="shared" si="91"/>
        <v>19.928000000000001</v>
      </c>
      <c r="Z359" s="27"/>
      <c r="AA359" s="23"/>
      <c r="AB359" s="23"/>
      <c r="AC359" s="28"/>
      <c r="AD359" s="63">
        <v>0</v>
      </c>
      <c r="AE359" s="91" t="s">
        <v>75</v>
      </c>
      <c r="AF359" s="55" t="s">
        <v>1106</v>
      </c>
      <c r="AG359" s="14" t="s">
        <v>1274</v>
      </c>
      <c r="AH359" s="14" t="s">
        <v>1275</v>
      </c>
    </row>
    <row r="360" spans="1:34" s="1" customFormat="1">
      <c r="A360" s="25" t="s">
        <v>2372</v>
      </c>
      <c r="B360" s="64" t="s">
        <v>2373</v>
      </c>
      <c r="C360" s="65">
        <v>1</v>
      </c>
      <c r="D360" s="35" t="s">
        <v>2347</v>
      </c>
      <c r="E360" s="29" t="s">
        <v>2372</v>
      </c>
      <c r="F360" s="35">
        <v>56.57</v>
      </c>
      <c r="G360" s="22">
        <f t="shared" si="89"/>
        <v>0.2</v>
      </c>
      <c r="H360" s="35">
        <f t="shared" si="84"/>
        <v>45.256</v>
      </c>
      <c r="I360" s="27"/>
      <c r="J360" s="23"/>
      <c r="K360" s="23"/>
      <c r="L360" s="23"/>
      <c r="M360" s="63">
        <v>0</v>
      </c>
      <c r="N360" s="91" t="s">
        <v>75</v>
      </c>
      <c r="O360" s="55" t="s">
        <v>1106</v>
      </c>
      <c r="P360" s="56" t="s">
        <v>504</v>
      </c>
      <c r="Q360" s="56" t="s">
        <v>1273</v>
      </c>
      <c r="R360" s="25" t="s">
        <v>2372</v>
      </c>
      <c r="S360" s="64" t="s">
        <v>2373</v>
      </c>
      <c r="T360" s="65">
        <v>1</v>
      </c>
      <c r="U360" s="35" t="s">
        <v>2347</v>
      </c>
      <c r="V360" s="29" t="s">
        <v>2372</v>
      </c>
      <c r="W360" s="35">
        <v>56.57</v>
      </c>
      <c r="X360" s="22">
        <f t="shared" si="90"/>
        <v>0.2</v>
      </c>
      <c r="Y360" s="35">
        <f t="shared" si="91"/>
        <v>45.256</v>
      </c>
      <c r="Z360" s="27"/>
      <c r="AA360" s="23"/>
      <c r="AB360" s="23"/>
      <c r="AC360" s="28"/>
      <c r="AD360" s="63">
        <v>0</v>
      </c>
      <c r="AE360" s="91" t="s">
        <v>75</v>
      </c>
      <c r="AF360" s="55" t="s">
        <v>1106</v>
      </c>
      <c r="AG360" s="14" t="s">
        <v>1274</v>
      </c>
      <c r="AH360" s="14" t="s">
        <v>1275</v>
      </c>
    </row>
    <row r="361" spans="1:34" s="1" customFormat="1" ht="15" customHeight="1">
      <c r="A361" s="25"/>
      <c r="B361" s="64"/>
      <c r="C361" s="65"/>
      <c r="D361" s="35"/>
      <c r="E361" s="29"/>
      <c r="F361" s="35"/>
      <c r="G361" s="22"/>
      <c r="H361" s="35"/>
      <c r="I361" s="27"/>
      <c r="J361" s="23"/>
      <c r="K361" s="23"/>
      <c r="L361" s="23"/>
      <c r="M361" s="63"/>
      <c r="N361" s="91"/>
      <c r="O361" s="55"/>
      <c r="P361" s="56"/>
      <c r="Q361" s="56"/>
      <c r="R361" s="25" t="s">
        <v>2374</v>
      </c>
      <c r="S361" s="64" t="s">
        <v>2375</v>
      </c>
      <c r="T361" s="65">
        <v>1</v>
      </c>
      <c r="U361" s="35" t="s">
        <v>2376</v>
      </c>
      <c r="V361" s="29" t="s">
        <v>2374</v>
      </c>
      <c r="W361" s="35">
        <v>61.33</v>
      </c>
      <c r="X361" s="22">
        <f>rv_30</f>
        <v>0.3</v>
      </c>
      <c r="Y361" s="35">
        <f t="shared" si="91"/>
        <v>42.930999999999997</v>
      </c>
      <c r="Z361" s="27"/>
      <c r="AA361" s="23"/>
      <c r="AB361" s="23"/>
      <c r="AC361" s="28"/>
      <c r="AD361" s="63">
        <v>0.05</v>
      </c>
      <c r="AE361" s="91" t="s">
        <v>75</v>
      </c>
      <c r="AF361" s="55" t="s">
        <v>1106</v>
      </c>
      <c r="AG361" s="14" t="s">
        <v>1274</v>
      </c>
      <c r="AH361" s="14" t="s">
        <v>1275</v>
      </c>
    </row>
    <row r="362" spans="1:34" s="1" customFormat="1">
      <c r="A362" s="25" t="s">
        <v>2377</v>
      </c>
      <c r="B362" s="64" t="s">
        <v>2378</v>
      </c>
      <c r="C362" s="65">
        <v>1</v>
      </c>
      <c r="D362" s="62" t="s">
        <v>2376</v>
      </c>
      <c r="E362" s="29" t="s">
        <v>2377</v>
      </c>
      <c r="F362" s="35">
        <v>70</v>
      </c>
      <c r="G362" s="22">
        <f>rv_30</f>
        <v>0.3</v>
      </c>
      <c r="H362" s="35">
        <f t="shared" ref="H362" si="92">F362-(F362*G362)</f>
        <v>49</v>
      </c>
      <c r="I362" s="27"/>
      <c r="J362" s="23"/>
      <c r="K362" s="23"/>
      <c r="L362" s="23"/>
      <c r="M362" s="63">
        <v>0.02</v>
      </c>
      <c r="N362" s="91" t="s">
        <v>75</v>
      </c>
      <c r="O362" s="55" t="s">
        <v>1106</v>
      </c>
      <c r="P362" s="14" t="s">
        <v>504</v>
      </c>
      <c r="Q362" s="14" t="s">
        <v>1273</v>
      </c>
      <c r="R362" s="25" t="s">
        <v>2379</v>
      </c>
      <c r="S362" s="64" t="s">
        <v>2380</v>
      </c>
      <c r="T362" s="65">
        <v>1</v>
      </c>
      <c r="U362" s="35" t="s">
        <v>2376</v>
      </c>
      <c r="V362" s="29" t="s">
        <v>2379</v>
      </c>
      <c r="W362" s="35">
        <v>61.33</v>
      </c>
      <c r="X362" s="22">
        <f>rv_30</f>
        <v>0.3</v>
      </c>
      <c r="Y362" s="35">
        <f t="shared" si="91"/>
        <v>42.930999999999997</v>
      </c>
      <c r="Z362" s="27"/>
      <c r="AA362" s="23"/>
      <c r="AB362" s="23"/>
      <c r="AC362" s="28"/>
      <c r="AD362" s="63">
        <v>0.05</v>
      </c>
      <c r="AE362" s="91" t="s">
        <v>75</v>
      </c>
      <c r="AF362" s="55"/>
      <c r="AG362" s="14"/>
      <c r="AH362" s="14"/>
    </row>
    <row r="363" spans="1:34" s="1" customFormat="1">
      <c r="A363" s="25" t="s">
        <v>2381</v>
      </c>
      <c r="B363" s="64" t="s">
        <v>2382</v>
      </c>
      <c r="C363" s="65">
        <v>1</v>
      </c>
      <c r="D363" s="62" t="s">
        <v>2376</v>
      </c>
      <c r="E363" s="233" t="s">
        <v>2381</v>
      </c>
      <c r="F363" s="35">
        <v>8.5</v>
      </c>
      <c r="G363" s="22">
        <f>rv_30</f>
        <v>0.3</v>
      </c>
      <c r="H363" s="35">
        <f t="shared" ref="H363" si="93">F363-(F363*G363)</f>
        <v>5.95</v>
      </c>
      <c r="I363" s="27"/>
      <c r="J363" s="23"/>
      <c r="K363" s="23"/>
      <c r="L363" s="23"/>
      <c r="M363" s="63">
        <v>0.01</v>
      </c>
      <c r="N363" s="91" t="s">
        <v>75</v>
      </c>
      <c r="O363" s="55" t="s">
        <v>1106</v>
      </c>
      <c r="P363" s="14" t="s">
        <v>504</v>
      </c>
      <c r="Q363" s="14" t="s">
        <v>1273</v>
      </c>
      <c r="R363" s="25"/>
      <c r="S363" s="64"/>
      <c r="T363" s="65"/>
      <c r="U363" s="35"/>
      <c r="V363" s="29"/>
      <c r="W363" s="35"/>
      <c r="X363" s="22"/>
      <c r="Y363" s="35"/>
      <c r="Z363" s="27"/>
      <c r="AA363" s="23"/>
      <c r="AB363" s="23"/>
      <c r="AC363" s="28"/>
      <c r="AD363" s="63"/>
      <c r="AE363" s="91"/>
      <c r="AF363" s="55"/>
      <c r="AG363" s="14"/>
      <c r="AH363" s="14"/>
    </row>
    <row r="364" spans="1:34" s="1" customFormat="1">
      <c r="A364" s="25" t="s">
        <v>2383</v>
      </c>
      <c r="B364" s="64" t="s">
        <v>2384</v>
      </c>
      <c r="C364" s="65">
        <v>1</v>
      </c>
      <c r="D364" s="62" t="s">
        <v>2376</v>
      </c>
      <c r="E364" s="29" t="s">
        <v>2383</v>
      </c>
      <c r="F364" s="35">
        <v>20.84</v>
      </c>
      <c r="G364" s="22">
        <f t="shared" ref="G364:G369" si="94">rv_20</f>
        <v>0.2</v>
      </c>
      <c r="H364" s="35">
        <f t="shared" ref="H364" si="95">F364-(F364*G364)</f>
        <v>16.672000000000001</v>
      </c>
      <c r="I364" s="27"/>
      <c r="J364" s="23"/>
      <c r="K364" s="23"/>
      <c r="L364" s="23"/>
      <c r="M364" s="63">
        <v>0.02</v>
      </c>
      <c r="N364" s="91" t="s">
        <v>75</v>
      </c>
      <c r="O364" s="55" t="s">
        <v>1106</v>
      </c>
      <c r="P364" s="14" t="s">
        <v>504</v>
      </c>
      <c r="Q364" s="14" t="s">
        <v>1273</v>
      </c>
      <c r="R364" s="25"/>
      <c r="S364" s="64"/>
      <c r="T364" s="65"/>
      <c r="U364" s="35"/>
      <c r="V364" s="29"/>
      <c r="W364" s="35"/>
      <c r="X364" s="22"/>
      <c r="Y364" s="35"/>
      <c r="Z364" s="27"/>
      <c r="AA364" s="23"/>
      <c r="AB364" s="23"/>
      <c r="AC364" s="28"/>
      <c r="AD364" s="63"/>
      <c r="AE364" s="91"/>
      <c r="AF364" s="55"/>
      <c r="AG364" s="14"/>
      <c r="AH364" s="14"/>
    </row>
    <row r="365" spans="1:34" s="1" customFormat="1">
      <c r="A365" s="25" t="s">
        <v>2385</v>
      </c>
      <c r="B365" s="64" t="s">
        <v>2386</v>
      </c>
      <c r="C365" s="65">
        <v>1</v>
      </c>
      <c r="D365" s="35" t="s">
        <v>2376</v>
      </c>
      <c r="E365" s="29" t="s">
        <v>2385</v>
      </c>
      <c r="F365" s="35">
        <v>28.64</v>
      </c>
      <c r="G365" s="22">
        <f t="shared" si="94"/>
        <v>0.2</v>
      </c>
      <c r="H365" s="35">
        <f t="shared" si="84"/>
        <v>22.911999999999999</v>
      </c>
      <c r="I365" s="27"/>
      <c r="J365" s="23"/>
      <c r="K365" s="23"/>
      <c r="L365" s="23"/>
      <c r="M365" s="63">
        <v>0.02</v>
      </c>
      <c r="N365" s="91" t="s">
        <v>75</v>
      </c>
      <c r="O365" s="55" t="s">
        <v>1106</v>
      </c>
      <c r="P365" s="56" t="s">
        <v>504</v>
      </c>
      <c r="Q365" s="56" t="s">
        <v>1273</v>
      </c>
      <c r="R365" s="25" t="s">
        <v>2385</v>
      </c>
      <c r="S365" s="64" t="s">
        <v>2386</v>
      </c>
      <c r="T365" s="65">
        <v>1</v>
      </c>
      <c r="U365" s="35" t="s">
        <v>2376</v>
      </c>
      <c r="V365" s="29" t="s">
        <v>2385</v>
      </c>
      <c r="W365" s="35">
        <v>28.64</v>
      </c>
      <c r="X365" s="22">
        <f>rv_20</f>
        <v>0.2</v>
      </c>
      <c r="Y365" s="35">
        <f t="shared" si="91"/>
        <v>22.911999999999999</v>
      </c>
      <c r="Z365" s="27"/>
      <c r="AA365" s="23"/>
      <c r="AB365" s="23"/>
      <c r="AC365" s="28"/>
      <c r="AD365" s="63">
        <v>0.02</v>
      </c>
      <c r="AE365" s="91" t="s">
        <v>75</v>
      </c>
      <c r="AF365" s="55" t="s">
        <v>1106</v>
      </c>
      <c r="AG365" s="14" t="s">
        <v>1274</v>
      </c>
      <c r="AH365" s="14" t="s">
        <v>1275</v>
      </c>
    </row>
    <row r="366" spans="1:34" s="1" customFormat="1">
      <c r="A366" s="25" t="s">
        <v>2387</v>
      </c>
      <c r="B366" s="64" t="s">
        <v>2388</v>
      </c>
      <c r="C366" s="65">
        <v>1</v>
      </c>
      <c r="D366" s="35" t="s">
        <v>2376</v>
      </c>
      <c r="E366" s="29" t="s">
        <v>2387</v>
      </c>
      <c r="F366" s="35">
        <v>14.32</v>
      </c>
      <c r="G366" s="22">
        <f t="shared" si="94"/>
        <v>0.2</v>
      </c>
      <c r="H366" s="35">
        <f t="shared" si="84"/>
        <v>11.456</v>
      </c>
      <c r="I366" s="27"/>
      <c r="J366" s="23"/>
      <c r="K366" s="23"/>
      <c r="L366" s="23"/>
      <c r="M366" s="63">
        <v>0</v>
      </c>
      <c r="N366" s="91" t="s">
        <v>75</v>
      </c>
      <c r="O366" s="55" t="s">
        <v>1106</v>
      </c>
      <c r="P366" s="56" t="s">
        <v>504</v>
      </c>
      <c r="Q366" s="56" t="s">
        <v>1273</v>
      </c>
      <c r="R366" s="25" t="s">
        <v>2387</v>
      </c>
      <c r="S366" s="64" t="s">
        <v>2388</v>
      </c>
      <c r="T366" s="65">
        <v>1</v>
      </c>
      <c r="U366" s="35" t="s">
        <v>2376</v>
      </c>
      <c r="V366" s="29" t="s">
        <v>2387</v>
      </c>
      <c r="W366" s="35">
        <v>14.32</v>
      </c>
      <c r="X366" s="22">
        <f>rv_20</f>
        <v>0.2</v>
      </c>
      <c r="Y366" s="35">
        <f t="shared" si="91"/>
        <v>11.456</v>
      </c>
      <c r="Z366" s="27"/>
      <c r="AA366" s="23"/>
      <c r="AB366" s="23"/>
      <c r="AC366" s="28"/>
      <c r="AD366" s="63">
        <v>0</v>
      </c>
      <c r="AE366" s="91" t="s">
        <v>75</v>
      </c>
      <c r="AF366" s="55" t="s">
        <v>1106</v>
      </c>
      <c r="AG366" s="14" t="s">
        <v>1274</v>
      </c>
      <c r="AH366" s="14" t="s">
        <v>1275</v>
      </c>
    </row>
    <row r="367" spans="1:34" s="1" customFormat="1">
      <c r="A367" s="25" t="s">
        <v>2389</v>
      </c>
      <c r="B367" s="64" t="s">
        <v>2390</v>
      </c>
      <c r="C367" s="65">
        <v>1</v>
      </c>
      <c r="D367" s="35" t="s">
        <v>2376</v>
      </c>
      <c r="E367" s="29" t="s">
        <v>2389</v>
      </c>
      <c r="F367" s="35">
        <v>14.32</v>
      </c>
      <c r="G367" s="22">
        <f t="shared" si="94"/>
        <v>0.2</v>
      </c>
      <c r="H367" s="35">
        <f t="shared" si="84"/>
        <v>11.456</v>
      </c>
      <c r="I367" s="27"/>
      <c r="J367" s="23"/>
      <c r="K367" s="23"/>
      <c r="L367" s="23"/>
      <c r="M367" s="63">
        <v>0</v>
      </c>
      <c r="N367" s="91" t="s">
        <v>75</v>
      </c>
      <c r="O367" s="55" t="s">
        <v>1106</v>
      </c>
      <c r="P367" s="56" t="s">
        <v>504</v>
      </c>
      <c r="Q367" s="56" t="s">
        <v>1273</v>
      </c>
      <c r="R367" s="25" t="s">
        <v>2389</v>
      </c>
      <c r="S367" s="64" t="s">
        <v>2390</v>
      </c>
      <c r="T367" s="65">
        <v>1</v>
      </c>
      <c r="U367" s="35" t="s">
        <v>2376</v>
      </c>
      <c r="V367" s="29" t="s">
        <v>2389</v>
      </c>
      <c r="W367" s="35">
        <v>14.32</v>
      </c>
      <c r="X367" s="22">
        <f>rv_20</f>
        <v>0.2</v>
      </c>
      <c r="Y367" s="35">
        <f t="shared" si="91"/>
        <v>11.456</v>
      </c>
      <c r="Z367" s="27"/>
      <c r="AA367" s="23"/>
      <c r="AB367" s="23"/>
      <c r="AC367" s="28"/>
      <c r="AD367" s="63">
        <v>0</v>
      </c>
      <c r="AE367" s="91" t="s">
        <v>75</v>
      </c>
      <c r="AF367" s="55" t="s">
        <v>1106</v>
      </c>
      <c r="AG367" s="14" t="s">
        <v>1274</v>
      </c>
      <c r="AH367" s="14" t="s">
        <v>1275</v>
      </c>
    </row>
    <row r="368" spans="1:34" s="1" customFormat="1">
      <c r="A368" s="25" t="s">
        <v>2391</v>
      </c>
      <c r="B368" s="64" t="s">
        <v>2392</v>
      </c>
      <c r="C368" s="65">
        <v>1</v>
      </c>
      <c r="D368" s="62" t="s">
        <v>2376</v>
      </c>
      <c r="E368" s="142" t="s">
        <v>2391</v>
      </c>
      <c r="F368" s="63">
        <v>49.99</v>
      </c>
      <c r="G368" s="22">
        <f t="shared" si="94"/>
        <v>0.2</v>
      </c>
      <c r="H368" s="35">
        <f t="shared" ref="H368:H369" si="96">F368-(F368*G368)</f>
        <v>39.992000000000004</v>
      </c>
      <c r="I368" s="27"/>
      <c r="J368" s="23"/>
      <c r="K368" s="23"/>
      <c r="L368" s="23"/>
      <c r="M368" s="63">
        <v>0.02</v>
      </c>
      <c r="N368" s="91" t="s">
        <v>75</v>
      </c>
      <c r="O368" s="55" t="s">
        <v>1106</v>
      </c>
      <c r="P368" s="56" t="s">
        <v>504</v>
      </c>
      <c r="Q368" s="56" t="s">
        <v>1273</v>
      </c>
      <c r="R368" s="25" t="s">
        <v>2391</v>
      </c>
      <c r="S368" s="64" t="s">
        <v>2392</v>
      </c>
      <c r="T368" s="65">
        <v>1</v>
      </c>
      <c r="U368" s="62" t="s">
        <v>2376</v>
      </c>
      <c r="V368" s="142" t="s">
        <v>2391</v>
      </c>
      <c r="W368" s="63">
        <v>49.99</v>
      </c>
      <c r="X368" s="22">
        <f>rv_20</f>
        <v>0.2</v>
      </c>
      <c r="Y368" s="35">
        <f t="shared" si="91"/>
        <v>39.992000000000004</v>
      </c>
      <c r="Z368" s="27"/>
      <c r="AA368" s="23"/>
      <c r="AB368" s="23"/>
      <c r="AC368" s="28"/>
      <c r="AD368" s="63">
        <v>0.02</v>
      </c>
      <c r="AE368" s="91" t="s">
        <v>75</v>
      </c>
      <c r="AF368" s="55"/>
      <c r="AG368" s="14"/>
      <c r="AH368" s="14"/>
    </row>
    <row r="369" spans="1:34" s="1" customFormat="1">
      <c r="A369" s="25" t="s">
        <v>2393</v>
      </c>
      <c r="B369" s="64" t="s">
        <v>2394</v>
      </c>
      <c r="C369" s="65">
        <v>1</v>
      </c>
      <c r="D369" s="62" t="s">
        <v>2376</v>
      </c>
      <c r="E369" s="142" t="s">
        <v>2393</v>
      </c>
      <c r="F369" s="63">
        <v>49.99</v>
      </c>
      <c r="G369" s="22">
        <f t="shared" si="94"/>
        <v>0.2</v>
      </c>
      <c r="H369" s="35">
        <f t="shared" si="96"/>
        <v>39.992000000000004</v>
      </c>
      <c r="I369" s="27"/>
      <c r="J369" s="23"/>
      <c r="K369" s="23"/>
      <c r="L369" s="23"/>
      <c r="M369" s="63">
        <v>0.02</v>
      </c>
      <c r="N369" s="91" t="s">
        <v>75</v>
      </c>
      <c r="O369" s="55" t="s">
        <v>1106</v>
      </c>
      <c r="P369" s="56" t="s">
        <v>504</v>
      </c>
      <c r="Q369" s="56" t="s">
        <v>1273</v>
      </c>
      <c r="R369" s="25" t="s">
        <v>2393</v>
      </c>
      <c r="S369" s="64" t="s">
        <v>2394</v>
      </c>
      <c r="T369" s="65">
        <v>1</v>
      </c>
      <c r="U369" s="62" t="s">
        <v>2376</v>
      </c>
      <c r="V369" s="142" t="s">
        <v>2393</v>
      </c>
      <c r="W369" s="63">
        <v>49.99</v>
      </c>
      <c r="X369" s="22">
        <f>rv_20</f>
        <v>0.2</v>
      </c>
      <c r="Y369" s="35">
        <f t="shared" si="91"/>
        <v>39.992000000000004</v>
      </c>
      <c r="Z369" s="27"/>
      <c r="AA369" s="23"/>
      <c r="AB369" s="23"/>
      <c r="AC369" s="28"/>
      <c r="AD369" s="63">
        <v>0.02</v>
      </c>
      <c r="AE369" s="91" t="s">
        <v>75</v>
      </c>
      <c r="AF369" s="55"/>
      <c r="AG369" s="14"/>
      <c r="AH369" s="14"/>
    </row>
    <row r="370" spans="1:34" s="1" customFormat="1">
      <c r="A370" s="25" t="s">
        <v>2395</v>
      </c>
      <c r="B370" s="64" t="s">
        <v>2396</v>
      </c>
      <c r="C370" s="65">
        <v>1</v>
      </c>
      <c r="D370" s="35" t="s">
        <v>2376</v>
      </c>
      <c r="E370" s="29" t="s">
        <v>2395</v>
      </c>
      <c r="F370" s="35">
        <v>34.380000000000003</v>
      </c>
      <c r="G370" s="22">
        <f>rv_10</f>
        <v>0.1</v>
      </c>
      <c r="H370" s="35">
        <f t="shared" si="84"/>
        <v>30.942</v>
      </c>
      <c r="I370" s="27"/>
      <c r="J370" s="23"/>
      <c r="K370" s="23"/>
      <c r="L370" s="23"/>
      <c r="M370" s="63">
        <v>0.02</v>
      </c>
      <c r="N370" s="91" t="s">
        <v>75</v>
      </c>
      <c r="O370" s="55" t="s">
        <v>1106</v>
      </c>
      <c r="P370" s="56" t="s">
        <v>504</v>
      </c>
      <c r="Q370" s="56" t="s">
        <v>1273</v>
      </c>
      <c r="R370" s="25" t="s">
        <v>2395</v>
      </c>
      <c r="S370" s="64" t="s">
        <v>2396</v>
      </c>
      <c r="T370" s="65">
        <v>1</v>
      </c>
      <c r="U370" s="35" t="s">
        <v>2376</v>
      </c>
      <c r="V370" s="29" t="s">
        <v>2395</v>
      </c>
      <c r="W370" s="35">
        <v>34.380000000000003</v>
      </c>
      <c r="X370" s="22">
        <f>rv_10</f>
        <v>0.1</v>
      </c>
      <c r="Y370" s="35">
        <f t="shared" si="91"/>
        <v>30.942</v>
      </c>
      <c r="Z370" s="27"/>
      <c r="AA370" s="23"/>
      <c r="AB370" s="23"/>
      <c r="AC370" s="28"/>
      <c r="AD370" s="63">
        <v>0.02</v>
      </c>
      <c r="AE370" s="91" t="s">
        <v>75</v>
      </c>
      <c r="AF370" s="55" t="s">
        <v>1106</v>
      </c>
      <c r="AG370" s="14" t="s">
        <v>1274</v>
      </c>
      <c r="AH370" s="14" t="s">
        <v>1275</v>
      </c>
    </row>
    <row r="371" spans="1:34" s="1" customFormat="1">
      <c r="A371" s="25" t="s">
        <v>2397</v>
      </c>
      <c r="B371" s="64" t="s">
        <v>2398</v>
      </c>
      <c r="C371" s="65">
        <v>1</v>
      </c>
      <c r="D371" s="35" t="s">
        <v>2376</v>
      </c>
      <c r="E371" s="29" t="s">
        <v>2397</v>
      </c>
      <c r="F371" s="35">
        <v>34.380000000000003</v>
      </c>
      <c r="G371" s="22">
        <f>rv_10</f>
        <v>0.1</v>
      </c>
      <c r="H371" s="35">
        <f t="shared" si="84"/>
        <v>30.942</v>
      </c>
      <c r="I371" s="27"/>
      <c r="J371" s="23"/>
      <c r="K371" s="23"/>
      <c r="L371" s="23"/>
      <c r="M371" s="63">
        <v>0.02</v>
      </c>
      <c r="N371" s="91" t="s">
        <v>75</v>
      </c>
      <c r="O371" s="55" t="s">
        <v>1106</v>
      </c>
      <c r="P371" s="56" t="s">
        <v>504</v>
      </c>
      <c r="Q371" s="56" t="s">
        <v>1273</v>
      </c>
      <c r="R371" s="25" t="s">
        <v>2397</v>
      </c>
      <c r="S371" s="64" t="s">
        <v>2398</v>
      </c>
      <c r="T371" s="65">
        <v>1</v>
      </c>
      <c r="U371" s="35" t="s">
        <v>2376</v>
      </c>
      <c r="V371" s="29" t="s">
        <v>2397</v>
      </c>
      <c r="W371" s="35">
        <v>34.380000000000003</v>
      </c>
      <c r="X371" s="22">
        <f>rv_10</f>
        <v>0.1</v>
      </c>
      <c r="Y371" s="35">
        <f t="shared" si="91"/>
        <v>30.942</v>
      </c>
      <c r="Z371" s="27"/>
      <c r="AA371" s="23"/>
      <c r="AB371" s="23"/>
      <c r="AC371" s="28"/>
      <c r="AD371" s="63">
        <v>0.02</v>
      </c>
      <c r="AE371" s="91" t="s">
        <v>75</v>
      </c>
      <c r="AF371" s="55" t="s">
        <v>1106</v>
      </c>
      <c r="AG371" s="14" t="s">
        <v>1274</v>
      </c>
      <c r="AH371" s="14" t="s">
        <v>1275</v>
      </c>
    </row>
    <row r="372" spans="1:34" s="1" customFormat="1">
      <c r="A372" s="25" t="s">
        <v>2399</v>
      </c>
      <c r="B372" s="64" t="s">
        <v>2400</v>
      </c>
      <c r="C372" s="65">
        <v>1</v>
      </c>
      <c r="D372" s="35" t="s">
        <v>2376</v>
      </c>
      <c r="E372" s="29" t="s">
        <v>2399</v>
      </c>
      <c r="F372" s="35">
        <v>27</v>
      </c>
      <c r="G372" s="22">
        <f t="shared" ref="G372:G399" si="97">rv_20</f>
        <v>0.2</v>
      </c>
      <c r="H372" s="35">
        <f t="shared" si="84"/>
        <v>21.6</v>
      </c>
      <c r="I372" s="27"/>
      <c r="J372" s="23"/>
      <c r="K372" s="23"/>
      <c r="L372" s="23"/>
      <c r="M372" s="63">
        <v>0.01</v>
      </c>
      <c r="N372" s="91" t="s">
        <v>75</v>
      </c>
      <c r="O372" s="55" t="s">
        <v>1106</v>
      </c>
      <c r="P372" s="56" t="s">
        <v>504</v>
      </c>
      <c r="Q372" s="56" t="s">
        <v>1273</v>
      </c>
      <c r="R372" s="25" t="s">
        <v>2399</v>
      </c>
      <c r="S372" s="64" t="s">
        <v>2400</v>
      </c>
      <c r="T372" s="65">
        <v>1</v>
      </c>
      <c r="U372" s="35" t="s">
        <v>2376</v>
      </c>
      <c r="V372" s="29" t="s">
        <v>2399</v>
      </c>
      <c r="W372" s="35">
        <v>27</v>
      </c>
      <c r="X372" s="22">
        <f t="shared" ref="X372:X399" si="98">rv_20</f>
        <v>0.2</v>
      </c>
      <c r="Y372" s="35">
        <f t="shared" si="91"/>
        <v>21.6</v>
      </c>
      <c r="Z372" s="27"/>
      <c r="AA372" s="23"/>
      <c r="AB372" s="23"/>
      <c r="AC372" s="28"/>
      <c r="AD372" s="63">
        <v>0.01</v>
      </c>
      <c r="AE372" s="91" t="s">
        <v>75</v>
      </c>
      <c r="AF372" s="55" t="s">
        <v>1106</v>
      </c>
      <c r="AG372" s="14" t="s">
        <v>1274</v>
      </c>
      <c r="AH372" s="14" t="s">
        <v>1275</v>
      </c>
    </row>
    <row r="373" spans="1:34" s="1" customFormat="1">
      <c r="A373" s="25" t="s">
        <v>2401</v>
      </c>
      <c r="B373" s="64" t="s">
        <v>2402</v>
      </c>
      <c r="C373" s="65">
        <v>1</v>
      </c>
      <c r="D373" s="35" t="s">
        <v>2376</v>
      </c>
      <c r="E373" s="29" t="s">
        <v>2401</v>
      </c>
      <c r="F373" s="35">
        <v>27</v>
      </c>
      <c r="G373" s="22">
        <f t="shared" si="97"/>
        <v>0.2</v>
      </c>
      <c r="H373" s="35">
        <f t="shared" si="84"/>
        <v>21.6</v>
      </c>
      <c r="I373" s="27"/>
      <c r="J373" s="23"/>
      <c r="K373" s="23"/>
      <c r="L373" s="23"/>
      <c r="M373" s="63">
        <v>0.01</v>
      </c>
      <c r="N373" s="91" t="s">
        <v>75</v>
      </c>
      <c r="O373" s="55" t="s">
        <v>1106</v>
      </c>
      <c r="P373" s="56" t="s">
        <v>504</v>
      </c>
      <c r="Q373" s="56" t="s">
        <v>1273</v>
      </c>
      <c r="R373" s="25" t="s">
        <v>2401</v>
      </c>
      <c r="S373" s="64" t="s">
        <v>2402</v>
      </c>
      <c r="T373" s="65">
        <v>1</v>
      </c>
      <c r="U373" s="35" t="s">
        <v>2376</v>
      </c>
      <c r="V373" s="29" t="s">
        <v>2401</v>
      </c>
      <c r="W373" s="35">
        <v>27</v>
      </c>
      <c r="X373" s="22">
        <f t="shared" si="98"/>
        <v>0.2</v>
      </c>
      <c r="Y373" s="35">
        <f t="shared" si="91"/>
        <v>21.6</v>
      </c>
      <c r="Z373" s="27"/>
      <c r="AA373" s="23"/>
      <c r="AB373" s="23"/>
      <c r="AC373" s="28"/>
      <c r="AD373" s="63">
        <v>0.01</v>
      </c>
      <c r="AE373" s="91" t="s">
        <v>75</v>
      </c>
      <c r="AF373" s="55" t="s">
        <v>1106</v>
      </c>
      <c r="AG373" s="14" t="s">
        <v>1274</v>
      </c>
      <c r="AH373" s="14" t="s">
        <v>1275</v>
      </c>
    </row>
    <row r="374" spans="1:34" s="1" customFormat="1">
      <c r="A374" s="25" t="s">
        <v>2403</v>
      </c>
      <c r="B374" s="64" t="s">
        <v>2404</v>
      </c>
      <c r="C374" s="65">
        <v>1</v>
      </c>
      <c r="D374" s="35" t="s">
        <v>2376</v>
      </c>
      <c r="E374" s="29" t="s">
        <v>2403</v>
      </c>
      <c r="F374" s="35">
        <v>28.64</v>
      </c>
      <c r="G374" s="22">
        <f t="shared" si="97"/>
        <v>0.2</v>
      </c>
      <c r="H374" s="35">
        <f t="shared" si="84"/>
        <v>22.911999999999999</v>
      </c>
      <c r="I374" s="27"/>
      <c r="J374" s="23"/>
      <c r="K374" s="23"/>
      <c r="L374" s="23"/>
      <c r="M374" s="63">
        <v>0.01</v>
      </c>
      <c r="N374" s="91" t="s">
        <v>75</v>
      </c>
      <c r="O374" s="55" t="s">
        <v>1106</v>
      </c>
      <c r="P374" s="56" t="s">
        <v>504</v>
      </c>
      <c r="Q374" s="56" t="s">
        <v>1273</v>
      </c>
      <c r="R374" s="25" t="s">
        <v>2403</v>
      </c>
      <c r="S374" s="64" t="s">
        <v>2404</v>
      </c>
      <c r="T374" s="65">
        <v>1</v>
      </c>
      <c r="U374" s="35" t="s">
        <v>2376</v>
      </c>
      <c r="V374" s="29" t="s">
        <v>2403</v>
      </c>
      <c r="W374" s="35">
        <v>28.64</v>
      </c>
      <c r="X374" s="22">
        <f t="shared" si="98"/>
        <v>0.2</v>
      </c>
      <c r="Y374" s="35">
        <f t="shared" si="91"/>
        <v>22.911999999999999</v>
      </c>
      <c r="Z374" s="27"/>
      <c r="AA374" s="23"/>
      <c r="AB374" s="23"/>
      <c r="AC374" s="28"/>
      <c r="AD374" s="63">
        <v>0.01</v>
      </c>
      <c r="AE374" s="91" t="s">
        <v>75</v>
      </c>
      <c r="AF374" s="55" t="s">
        <v>1106</v>
      </c>
      <c r="AG374" s="14" t="s">
        <v>1274</v>
      </c>
      <c r="AH374" s="14" t="s">
        <v>1275</v>
      </c>
    </row>
    <row r="375" spans="1:34" s="1" customFormat="1">
      <c r="A375" s="25" t="s">
        <v>2405</v>
      </c>
      <c r="B375" s="64" t="s">
        <v>2406</v>
      </c>
      <c r="C375" s="65">
        <v>1</v>
      </c>
      <c r="D375" s="35" t="s">
        <v>2376</v>
      </c>
      <c r="E375" s="29" t="s">
        <v>2405</v>
      </c>
      <c r="F375" s="35">
        <v>28.64</v>
      </c>
      <c r="G375" s="22">
        <f t="shared" si="97"/>
        <v>0.2</v>
      </c>
      <c r="H375" s="35">
        <f t="shared" si="84"/>
        <v>22.911999999999999</v>
      </c>
      <c r="I375" s="27"/>
      <c r="J375" s="23"/>
      <c r="K375" s="23"/>
      <c r="L375" s="23"/>
      <c r="M375" s="63">
        <v>0.01</v>
      </c>
      <c r="N375" s="91" t="s">
        <v>75</v>
      </c>
      <c r="O375" s="55" t="s">
        <v>1106</v>
      </c>
      <c r="P375" s="56" t="s">
        <v>504</v>
      </c>
      <c r="Q375" s="56" t="s">
        <v>1273</v>
      </c>
      <c r="R375" s="25" t="s">
        <v>2405</v>
      </c>
      <c r="S375" s="64" t="s">
        <v>2406</v>
      </c>
      <c r="T375" s="65">
        <v>1</v>
      </c>
      <c r="U375" s="35" t="s">
        <v>2376</v>
      </c>
      <c r="V375" s="29" t="s">
        <v>2405</v>
      </c>
      <c r="W375" s="35">
        <v>28.64</v>
      </c>
      <c r="X375" s="22">
        <f t="shared" si="98"/>
        <v>0.2</v>
      </c>
      <c r="Y375" s="35">
        <f t="shared" si="91"/>
        <v>22.911999999999999</v>
      </c>
      <c r="Z375" s="27"/>
      <c r="AA375" s="23"/>
      <c r="AB375" s="23"/>
      <c r="AC375" s="28"/>
      <c r="AD375" s="63">
        <v>0.01</v>
      </c>
      <c r="AE375" s="91" t="s">
        <v>75</v>
      </c>
      <c r="AF375" s="55" t="s">
        <v>1106</v>
      </c>
      <c r="AG375" s="14" t="s">
        <v>1274</v>
      </c>
      <c r="AH375" s="14" t="s">
        <v>1275</v>
      </c>
    </row>
    <row r="376" spans="1:34" s="1" customFormat="1">
      <c r="A376" s="25" t="s">
        <v>2407</v>
      </c>
      <c r="B376" s="64" t="s">
        <v>2408</v>
      </c>
      <c r="C376" s="65">
        <v>1</v>
      </c>
      <c r="D376" s="35" t="s">
        <v>2376</v>
      </c>
      <c r="E376" s="29" t="s">
        <v>2407</v>
      </c>
      <c r="F376" s="35">
        <v>27.84</v>
      </c>
      <c r="G376" s="22">
        <f t="shared" si="97"/>
        <v>0.2</v>
      </c>
      <c r="H376" s="35">
        <f t="shared" si="84"/>
        <v>22.271999999999998</v>
      </c>
      <c r="I376" s="27"/>
      <c r="J376" s="23"/>
      <c r="K376" s="23"/>
      <c r="L376" s="23"/>
      <c r="M376" s="63">
        <v>0.01</v>
      </c>
      <c r="N376" s="91" t="s">
        <v>75</v>
      </c>
      <c r="O376" s="55" t="s">
        <v>1106</v>
      </c>
      <c r="P376" s="56" t="s">
        <v>504</v>
      </c>
      <c r="Q376" s="56" t="s">
        <v>1273</v>
      </c>
      <c r="R376" s="25" t="s">
        <v>2407</v>
      </c>
      <c r="S376" s="64" t="s">
        <v>2408</v>
      </c>
      <c r="T376" s="65">
        <v>1</v>
      </c>
      <c r="U376" s="35" t="s">
        <v>2376</v>
      </c>
      <c r="V376" s="29" t="s">
        <v>2407</v>
      </c>
      <c r="W376" s="35">
        <v>27.84</v>
      </c>
      <c r="X376" s="22">
        <f t="shared" si="98"/>
        <v>0.2</v>
      </c>
      <c r="Y376" s="35">
        <f t="shared" si="91"/>
        <v>22.271999999999998</v>
      </c>
      <c r="Z376" s="27"/>
      <c r="AA376" s="23"/>
      <c r="AB376" s="23"/>
      <c r="AC376" s="28"/>
      <c r="AD376" s="63">
        <v>0.01</v>
      </c>
      <c r="AE376" s="91" t="s">
        <v>75</v>
      </c>
      <c r="AF376" s="55" t="s">
        <v>1106</v>
      </c>
      <c r="AG376" s="14" t="s">
        <v>1274</v>
      </c>
      <c r="AH376" s="14" t="s">
        <v>1275</v>
      </c>
    </row>
    <row r="377" spans="1:34" s="1" customFormat="1">
      <c r="A377" s="25" t="s">
        <v>2409</v>
      </c>
      <c r="B377" s="64" t="s">
        <v>2410</v>
      </c>
      <c r="C377" s="65">
        <v>1</v>
      </c>
      <c r="D377" s="35" t="s">
        <v>2376</v>
      </c>
      <c r="E377" s="29" t="s">
        <v>2409</v>
      </c>
      <c r="F377" s="35">
        <v>27.84</v>
      </c>
      <c r="G377" s="22">
        <f t="shared" si="97"/>
        <v>0.2</v>
      </c>
      <c r="H377" s="35">
        <f t="shared" si="84"/>
        <v>22.271999999999998</v>
      </c>
      <c r="I377" s="27"/>
      <c r="J377" s="23"/>
      <c r="K377" s="23"/>
      <c r="L377" s="23"/>
      <c r="M377" s="63">
        <v>0.01</v>
      </c>
      <c r="N377" s="91" t="s">
        <v>75</v>
      </c>
      <c r="O377" s="55" t="s">
        <v>1106</v>
      </c>
      <c r="P377" s="56" t="s">
        <v>504</v>
      </c>
      <c r="Q377" s="56" t="s">
        <v>1273</v>
      </c>
      <c r="R377" s="25" t="s">
        <v>2409</v>
      </c>
      <c r="S377" s="64" t="s">
        <v>2410</v>
      </c>
      <c r="T377" s="65">
        <v>1</v>
      </c>
      <c r="U377" s="35" t="s">
        <v>2376</v>
      </c>
      <c r="V377" s="29" t="s">
        <v>2409</v>
      </c>
      <c r="W377" s="35">
        <v>27.84</v>
      </c>
      <c r="X377" s="22">
        <f t="shared" si="98"/>
        <v>0.2</v>
      </c>
      <c r="Y377" s="35">
        <f t="shared" si="91"/>
        <v>22.271999999999998</v>
      </c>
      <c r="Z377" s="27"/>
      <c r="AA377" s="23"/>
      <c r="AB377" s="23"/>
      <c r="AC377" s="28"/>
      <c r="AD377" s="63">
        <v>0.01</v>
      </c>
      <c r="AE377" s="91" t="s">
        <v>75</v>
      </c>
      <c r="AF377" s="55" t="s">
        <v>1106</v>
      </c>
      <c r="AG377" s="14" t="s">
        <v>1274</v>
      </c>
      <c r="AH377" s="14" t="s">
        <v>1275</v>
      </c>
    </row>
    <row r="378" spans="1:34" s="1" customFormat="1">
      <c r="A378" s="25" t="s">
        <v>2411</v>
      </c>
      <c r="B378" s="64" t="s">
        <v>2412</v>
      </c>
      <c r="C378" s="65">
        <v>1</v>
      </c>
      <c r="D378" s="35" t="s">
        <v>2376</v>
      </c>
      <c r="E378" s="29" t="s">
        <v>2411</v>
      </c>
      <c r="F378" s="35">
        <v>32.770000000000003</v>
      </c>
      <c r="G378" s="22">
        <f t="shared" si="97"/>
        <v>0.2</v>
      </c>
      <c r="H378" s="35">
        <f t="shared" si="84"/>
        <v>26.216000000000001</v>
      </c>
      <c r="I378" s="27"/>
      <c r="J378" s="23"/>
      <c r="K378" s="23"/>
      <c r="L378" s="23"/>
      <c r="M378" s="63">
        <v>0.02</v>
      </c>
      <c r="N378" s="91" t="s">
        <v>75</v>
      </c>
      <c r="O378" s="55" t="s">
        <v>1106</v>
      </c>
      <c r="P378" s="56" t="s">
        <v>504</v>
      </c>
      <c r="Q378" s="56" t="s">
        <v>1273</v>
      </c>
      <c r="R378" s="25" t="s">
        <v>2411</v>
      </c>
      <c r="S378" s="64" t="s">
        <v>2412</v>
      </c>
      <c r="T378" s="65">
        <v>1</v>
      </c>
      <c r="U378" s="35" t="s">
        <v>2376</v>
      </c>
      <c r="V378" s="29" t="s">
        <v>2411</v>
      </c>
      <c r="W378" s="35">
        <v>32.770000000000003</v>
      </c>
      <c r="X378" s="22">
        <f t="shared" si="98"/>
        <v>0.2</v>
      </c>
      <c r="Y378" s="35">
        <f t="shared" si="91"/>
        <v>26.216000000000001</v>
      </c>
      <c r="Z378" s="27"/>
      <c r="AA378" s="23"/>
      <c r="AB378" s="23"/>
      <c r="AC378" s="28"/>
      <c r="AD378" s="63">
        <v>0.02</v>
      </c>
      <c r="AE378" s="91" t="s">
        <v>75</v>
      </c>
      <c r="AF378" s="55" t="s">
        <v>1106</v>
      </c>
      <c r="AG378" s="14" t="s">
        <v>1274</v>
      </c>
      <c r="AH378" s="14" t="s">
        <v>1275</v>
      </c>
    </row>
    <row r="379" spans="1:34" s="1" customFormat="1">
      <c r="A379" s="25" t="s">
        <v>2413</v>
      </c>
      <c r="B379" s="64" t="s">
        <v>2414</v>
      </c>
      <c r="C379" s="65">
        <v>1</v>
      </c>
      <c r="D379" s="35" t="s">
        <v>2376</v>
      </c>
      <c r="E379" s="29" t="s">
        <v>2413</v>
      </c>
      <c r="F379" s="35">
        <v>65.5</v>
      </c>
      <c r="G379" s="22">
        <f t="shared" si="97"/>
        <v>0.2</v>
      </c>
      <c r="H379" s="35">
        <f t="shared" si="84"/>
        <v>52.4</v>
      </c>
      <c r="I379" s="27"/>
      <c r="J379" s="23"/>
      <c r="K379" s="23"/>
      <c r="L379" s="23"/>
      <c r="M379" s="63">
        <v>0.02</v>
      </c>
      <c r="N379" s="91" t="s">
        <v>75</v>
      </c>
      <c r="O379" s="55" t="s">
        <v>1106</v>
      </c>
      <c r="P379" s="56" t="s">
        <v>504</v>
      </c>
      <c r="Q379" s="56" t="s">
        <v>1273</v>
      </c>
      <c r="R379" s="25" t="s">
        <v>2413</v>
      </c>
      <c r="S379" s="64" t="s">
        <v>2414</v>
      </c>
      <c r="T379" s="65">
        <v>1</v>
      </c>
      <c r="U379" s="35" t="s">
        <v>2376</v>
      </c>
      <c r="V379" s="29" t="s">
        <v>2413</v>
      </c>
      <c r="W379" s="35">
        <v>65.5</v>
      </c>
      <c r="X379" s="22">
        <f t="shared" si="98"/>
        <v>0.2</v>
      </c>
      <c r="Y379" s="35">
        <f t="shared" si="91"/>
        <v>52.4</v>
      </c>
      <c r="Z379" s="27"/>
      <c r="AA379" s="23"/>
      <c r="AB379" s="23"/>
      <c r="AC379" s="28"/>
      <c r="AD379" s="63">
        <v>0.02</v>
      </c>
      <c r="AE379" s="91" t="s">
        <v>75</v>
      </c>
      <c r="AF379" s="55" t="s">
        <v>1106</v>
      </c>
      <c r="AG379" s="14" t="s">
        <v>1274</v>
      </c>
      <c r="AH379" s="14" t="s">
        <v>1275</v>
      </c>
    </row>
    <row r="380" spans="1:34" s="1" customFormat="1">
      <c r="A380" s="25" t="s">
        <v>2415</v>
      </c>
      <c r="B380" s="64" t="s">
        <v>2416</v>
      </c>
      <c r="C380" s="65">
        <v>1</v>
      </c>
      <c r="D380" s="35" t="s">
        <v>2376</v>
      </c>
      <c r="E380" s="29" t="s">
        <v>2415</v>
      </c>
      <c r="F380" s="35">
        <v>81.86</v>
      </c>
      <c r="G380" s="22">
        <f t="shared" si="97"/>
        <v>0.2</v>
      </c>
      <c r="H380" s="35">
        <f t="shared" si="84"/>
        <v>65.488</v>
      </c>
      <c r="I380" s="27"/>
      <c r="J380" s="23"/>
      <c r="K380" s="23"/>
      <c r="L380" s="23"/>
      <c r="M380" s="63">
        <v>0.02</v>
      </c>
      <c r="N380" s="91" t="s">
        <v>75</v>
      </c>
      <c r="O380" s="55" t="s">
        <v>1106</v>
      </c>
      <c r="P380" s="56" t="s">
        <v>504</v>
      </c>
      <c r="Q380" s="56" t="s">
        <v>1273</v>
      </c>
      <c r="R380" s="25" t="s">
        <v>2415</v>
      </c>
      <c r="S380" s="64" t="s">
        <v>2416</v>
      </c>
      <c r="T380" s="65">
        <v>1</v>
      </c>
      <c r="U380" s="35" t="s">
        <v>2376</v>
      </c>
      <c r="V380" s="29" t="s">
        <v>2415</v>
      </c>
      <c r="W380" s="35">
        <v>81.86</v>
      </c>
      <c r="X380" s="22">
        <f t="shared" si="98"/>
        <v>0.2</v>
      </c>
      <c r="Y380" s="35">
        <f t="shared" si="91"/>
        <v>65.488</v>
      </c>
      <c r="Z380" s="27"/>
      <c r="AA380" s="23"/>
      <c r="AB380" s="23"/>
      <c r="AC380" s="28"/>
      <c r="AD380" s="63">
        <v>0.02</v>
      </c>
      <c r="AE380" s="91" t="s">
        <v>75</v>
      </c>
      <c r="AF380" s="55" t="s">
        <v>1106</v>
      </c>
      <c r="AG380" s="14" t="s">
        <v>1274</v>
      </c>
      <c r="AH380" s="14" t="s">
        <v>1275</v>
      </c>
    </row>
    <row r="381" spans="1:34" s="1" customFormat="1">
      <c r="A381" s="25" t="s">
        <v>2417</v>
      </c>
      <c r="B381" s="64" t="s">
        <v>2418</v>
      </c>
      <c r="C381" s="65">
        <v>1</v>
      </c>
      <c r="D381" s="35" t="s">
        <v>2376</v>
      </c>
      <c r="E381" s="29" t="s">
        <v>2417</v>
      </c>
      <c r="F381" s="35">
        <v>87.49</v>
      </c>
      <c r="G381" s="22">
        <f t="shared" si="97"/>
        <v>0.2</v>
      </c>
      <c r="H381" s="35">
        <f t="shared" si="84"/>
        <v>69.99199999999999</v>
      </c>
      <c r="I381" s="27"/>
      <c r="J381" s="23"/>
      <c r="K381" s="23"/>
      <c r="L381" s="23"/>
      <c r="M381" s="63">
        <v>0.05</v>
      </c>
      <c r="N381" s="91" t="s">
        <v>75</v>
      </c>
      <c r="O381" s="55" t="s">
        <v>1106</v>
      </c>
      <c r="P381" s="56" t="s">
        <v>504</v>
      </c>
      <c r="Q381" s="56" t="s">
        <v>1273</v>
      </c>
      <c r="R381" s="25" t="s">
        <v>2417</v>
      </c>
      <c r="S381" s="64" t="s">
        <v>2418</v>
      </c>
      <c r="T381" s="65">
        <v>1</v>
      </c>
      <c r="U381" s="35" t="s">
        <v>2376</v>
      </c>
      <c r="V381" s="29" t="s">
        <v>2417</v>
      </c>
      <c r="W381" s="35">
        <v>87.49</v>
      </c>
      <c r="X381" s="22">
        <f t="shared" si="98"/>
        <v>0.2</v>
      </c>
      <c r="Y381" s="35">
        <f t="shared" si="91"/>
        <v>69.99199999999999</v>
      </c>
      <c r="Z381" s="27"/>
      <c r="AA381" s="23"/>
      <c r="AB381" s="23"/>
      <c r="AC381" s="28"/>
      <c r="AD381" s="63">
        <v>0.05</v>
      </c>
      <c r="AE381" s="91" t="s">
        <v>75</v>
      </c>
      <c r="AF381" s="55" t="s">
        <v>1106</v>
      </c>
      <c r="AG381" s="14" t="s">
        <v>1274</v>
      </c>
      <c r="AH381" s="14" t="s">
        <v>1275</v>
      </c>
    </row>
    <row r="382" spans="1:34" s="121" customFormat="1">
      <c r="A382" s="113" t="s">
        <v>2419</v>
      </c>
      <c r="B382" s="273" t="s">
        <v>2420</v>
      </c>
      <c r="C382" s="292">
        <v>1</v>
      </c>
      <c r="D382" s="293" t="s">
        <v>2376</v>
      </c>
      <c r="E382" s="300" t="s">
        <v>2419</v>
      </c>
      <c r="F382" s="63">
        <v>39</v>
      </c>
      <c r="G382" s="138">
        <f t="shared" si="97"/>
        <v>0.2</v>
      </c>
      <c r="H382" s="116">
        <f t="shared" ref="H382:H384" si="99">F382-(F382*G382)</f>
        <v>31.2</v>
      </c>
      <c r="I382" s="153"/>
      <c r="J382" s="154"/>
      <c r="K382" s="154"/>
      <c r="L382" s="154"/>
      <c r="M382" s="226">
        <v>0</v>
      </c>
      <c r="N382" s="91" t="s">
        <v>75</v>
      </c>
      <c r="O382" s="55" t="s">
        <v>1106</v>
      </c>
      <c r="P382" s="56" t="s">
        <v>504</v>
      </c>
      <c r="Q382" s="56" t="s">
        <v>1273</v>
      </c>
      <c r="R382" s="113" t="s">
        <v>2419</v>
      </c>
      <c r="S382" s="273" t="s">
        <v>2420</v>
      </c>
      <c r="T382" s="292">
        <v>1</v>
      </c>
      <c r="U382" s="293" t="s">
        <v>2376</v>
      </c>
      <c r="V382" s="300" t="s">
        <v>2419</v>
      </c>
      <c r="W382" s="63">
        <v>39</v>
      </c>
      <c r="X382" s="138">
        <f t="shared" si="98"/>
        <v>0.2</v>
      </c>
      <c r="Y382" s="116">
        <f t="shared" si="91"/>
        <v>31.2</v>
      </c>
      <c r="Z382" s="153"/>
      <c r="AA382" s="154"/>
      <c r="AB382" s="154"/>
      <c r="AC382" s="154"/>
      <c r="AD382" s="226">
        <v>0</v>
      </c>
      <c r="AE382" s="91" t="s">
        <v>75</v>
      </c>
      <c r="AF382" s="55" t="s">
        <v>1106</v>
      </c>
      <c r="AG382" s="56" t="s">
        <v>1274</v>
      </c>
      <c r="AH382" s="14" t="s">
        <v>1275</v>
      </c>
    </row>
    <row r="383" spans="1:34" s="121" customFormat="1">
      <c r="A383" s="113" t="s">
        <v>2421</v>
      </c>
      <c r="B383" s="273" t="s">
        <v>2422</v>
      </c>
      <c r="C383" s="292">
        <v>1</v>
      </c>
      <c r="D383" s="293" t="s">
        <v>2376</v>
      </c>
      <c r="E383" s="300" t="s">
        <v>2421</v>
      </c>
      <c r="F383" s="63">
        <v>39</v>
      </c>
      <c r="G383" s="138">
        <f t="shared" si="97"/>
        <v>0.2</v>
      </c>
      <c r="H383" s="116">
        <f t="shared" si="99"/>
        <v>31.2</v>
      </c>
      <c r="I383" s="153"/>
      <c r="J383" s="154"/>
      <c r="K383" s="154"/>
      <c r="L383" s="154"/>
      <c r="M383" s="226">
        <v>0</v>
      </c>
      <c r="N383" s="91" t="s">
        <v>75</v>
      </c>
      <c r="O383" s="55" t="s">
        <v>1106</v>
      </c>
      <c r="P383" s="56" t="s">
        <v>504</v>
      </c>
      <c r="Q383" s="56" t="s">
        <v>1273</v>
      </c>
      <c r="R383" s="113" t="s">
        <v>2421</v>
      </c>
      <c r="S383" s="273" t="s">
        <v>2422</v>
      </c>
      <c r="T383" s="292">
        <v>1</v>
      </c>
      <c r="U383" s="293" t="s">
        <v>2376</v>
      </c>
      <c r="V383" s="300" t="s">
        <v>2421</v>
      </c>
      <c r="W383" s="63">
        <v>39</v>
      </c>
      <c r="X383" s="138">
        <f t="shared" si="98"/>
        <v>0.2</v>
      </c>
      <c r="Y383" s="116">
        <f t="shared" si="91"/>
        <v>31.2</v>
      </c>
      <c r="Z383" s="153"/>
      <c r="AA383" s="154"/>
      <c r="AB383" s="154"/>
      <c r="AC383" s="154"/>
      <c r="AD383" s="226">
        <v>0</v>
      </c>
      <c r="AE383" s="91" t="s">
        <v>75</v>
      </c>
      <c r="AF383" s="55" t="s">
        <v>1106</v>
      </c>
      <c r="AG383" s="56" t="s">
        <v>1274</v>
      </c>
      <c r="AH383" s="14" t="s">
        <v>1275</v>
      </c>
    </row>
    <row r="384" spans="1:34" s="121" customFormat="1">
      <c r="A384" s="113" t="s">
        <v>2423</v>
      </c>
      <c r="B384" s="273" t="s">
        <v>2424</v>
      </c>
      <c r="C384" s="292">
        <v>1</v>
      </c>
      <c r="D384" s="293" t="s">
        <v>2376</v>
      </c>
      <c r="E384" s="300" t="s">
        <v>2423</v>
      </c>
      <c r="F384" s="63">
        <v>66.66</v>
      </c>
      <c r="G384" s="138">
        <f t="shared" si="97"/>
        <v>0.2</v>
      </c>
      <c r="H384" s="116">
        <f t="shared" si="99"/>
        <v>53.327999999999996</v>
      </c>
      <c r="I384" s="153"/>
      <c r="J384" s="154"/>
      <c r="K384" s="154"/>
      <c r="L384" s="154"/>
      <c r="M384" s="63">
        <v>0.05</v>
      </c>
      <c r="N384" s="91" t="s">
        <v>75</v>
      </c>
      <c r="O384" s="55" t="s">
        <v>1106</v>
      </c>
      <c r="P384" s="56" t="s">
        <v>504</v>
      </c>
      <c r="Q384" s="56" t="s">
        <v>1273</v>
      </c>
      <c r="R384" s="113" t="s">
        <v>2423</v>
      </c>
      <c r="S384" s="273" t="s">
        <v>2424</v>
      </c>
      <c r="T384" s="292">
        <v>1</v>
      </c>
      <c r="U384" s="293" t="s">
        <v>2376</v>
      </c>
      <c r="V384" s="300" t="s">
        <v>2423</v>
      </c>
      <c r="W384" s="63">
        <v>66.66</v>
      </c>
      <c r="X384" s="138">
        <f t="shared" si="98"/>
        <v>0.2</v>
      </c>
      <c r="Y384" s="116">
        <f t="shared" si="91"/>
        <v>53.327999999999996</v>
      </c>
      <c r="Z384" s="153"/>
      <c r="AA384" s="154"/>
      <c r="AB384" s="154"/>
      <c r="AC384" s="154"/>
      <c r="AD384" s="226">
        <v>0.05</v>
      </c>
      <c r="AE384" s="91" t="s">
        <v>75</v>
      </c>
      <c r="AF384" s="55" t="s">
        <v>1106</v>
      </c>
      <c r="AG384" s="56" t="s">
        <v>1274</v>
      </c>
      <c r="AH384" s="14" t="s">
        <v>1275</v>
      </c>
    </row>
    <row r="385" spans="1:34" s="121" customFormat="1">
      <c r="A385" s="25" t="s">
        <v>2425</v>
      </c>
      <c r="B385" s="64" t="s">
        <v>2426</v>
      </c>
      <c r="C385" s="292">
        <v>1</v>
      </c>
      <c r="D385" s="293" t="s">
        <v>2376</v>
      </c>
      <c r="E385" s="300" t="s">
        <v>2425</v>
      </c>
      <c r="F385" s="63">
        <v>59.99</v>
      </c>
      <c r="G385" s="138">
        <f t="shared" si="97"/>
        <v>0.2</v>
      </c>
      <c r="H385" s="116">
        <f t="shared" ref="H385:H390" si="100">F385-(F385*G385)</f>
        <v>47.992000000000004</v>
      </c>
      <c r="I385" s="153"/>
      <c r="J385" s="154"/>
      <c r="K385" s="154"/>
      <c r="L385" s="154"/>
      <c r="M385" s="63">
        <v>0.02</v>
      </c>
      <c r="N385" s="91" t="s">
        <v>75</v>
      </c>
      <c r="O385" s="55" t="s">
        <v>1106</v>
      </c>
      <c r="P385" s="56" t="s">
        <v>504</v>
      </c>
      <c r="Q385" s="56" t="s">
        <v>1273</v>
      </c>
      <c r="R385" s="25" t="s">
        <v>2425</v>
      </c>
      <c r="S385" s="64" t="s">
        <v>2426</v>
      </c>
      <c r="T385" s="292">
        <v>1</v>
      </c>
      <c r="U385" s="293" t="s">
        <v>2376</v>
      </c>
      <c r="V385" s="300" t="s">
        <v>2425</v>
      </c>
      <c r="W385" s="63">
        <v>59.99</v>
      </c>
      <c r="X385" s="138">
        <f t="shared" si="98"/>
        <v>0.2</v>
      </c>
      <c r="Y385" s="116">
        <f t="shared" si="91"/>
        <v>47.992000000000004</v>
      </c>
      <c r="Z385" s="424"/>
      <c r="AA385" s="425"/>
      <c r="AB385" s="425"/>
      <c r="AC385" s="425"/>
      <c r="AD385" s="63">
        <v>0.02</v>
      </c>
      <c r="AE385" s="91" t="s">
        <v>75</v>
      </c>
      <c r="AF385" s="55" t="s">
        <v>1106</v>
      </c>
      <c r="AG385" s="14" t="s">
        <v>1274</v>
      </c>
      <c r="AH385" s="14" t="s">
        <v>1275</v>
      </c>
    </row>
    <row r="386" spans="1:34" s="121" customFormat="1">
      <c r="A386" s="25" t="s">
        <v>2427</v>
      </c>
      <c r="B386" s="64" t="s">
        <v>2428</v>
      </c>
      <c r="C386" s="292">
        <v>1</v>
      </c>
      <c r="D386" s="293" t="s">
        <v>2376</v>
      </c>
      <c r="E386" s="300" t="s">
        <v>2427</v>
      </c>
      <c r="F386" s="63">
        <v>79.989999999999995</v>
      </c>
      <c r="G386" s="138">
        <f t="shared" si="97"/>
        <v>0.2</v>
      </c>
      <c r="H386" s="116">
        <f t="shared" si="100"/>
        <v>63.991999999999997</v>
      </c>
      <c r="I386" s="153"/>
      <c r="J386" s="154"/>
      <c r="K386" s="154"/>
      <c r="L386" s="154"/>
      <c r="M386" s="63">
        <v>0.05</v>
      </c>
      <c r="N386" s="91" t="s">
        <v>75</v>
      </c>
      <c r="O386" s="55" t="s">
        <v>1106</v>
      </c>
      <c r="P386" s="56" t="s">
        <v>504</v>
      </c>
      <c r="Q386" s="56" t="s">
        <v>1273</v>
      </c>
      <c r="R386" s="25" t="s">
        <v>2427</v>
      </c>
      <c r="S386" s="64" t="s">
        <v>2428</v>
      </c>
      <c r="T386" s="292">
        <v>1</v>
      </c>
      <c r="U386" s="293" t="s">
        <v>2376</v>
      </c>
      <c r="V386" s="300" t="s">
        <v>2427</v>
      </c>
      <c r="W386" s="63">
        <v>79.989999999999995</v>
      </c>
      <c r="X386" s="138">
        <f t="shared" si="98"/>
        <v>0.2</v>
      </c>
      <c r="Y386" s="116">
        <f t="shared" si="91"/>
        <v>63.991999999999997</v>
      </c>
      <c r="Z386" s="424"/>
      <c r="AA386" s="425"/>
      <c r="AB386" s="425"/>
      <c r="AC386" s="425"/>
      <c r="AD386" s="63">
        <v>0.05</v>
      </c>
      <c r="AE386" s="91" t="s">
        <v>75</v>
      </c>
      <c r="AF386" s="55" t="s">
        <v>1106</v>
      </c>
      <c r="AG386" s="14" t="s">
        <v>1274</v>
      </c>
      <c r="AH386" s="14" t="s">
        <v>1275</v>
      </c>
    </row>
    <row r="387" spans="1:34" s="121" customFormat="1">
      <c r="A387" s="25" t="s">
        <v>2429</v>
      </c>
      <c r="B387" s="64" t="s">
        <v>2430</v>
      </c>
      <c r="C387" s="292">
        <v>1</v>
      </c>
      <c r="D387" s="293" t="s">
        <v>2431</v>
      </c>
      <c r="E387" s="142" t="s">
        <v>2429</v>
      </c>
      <c r="F387" s="63">
        <v>59.99</v>
      </c>
      <c r="G387" s="22">
        <f t="shared" si="97"/>
        <v>0.2</v>
      </c>
      <c r="H387" s="35">
        <f t="shared" si="100"/>
        <v>47.992000000000004</v>
      </c>
      <c r="I387" s="153"/>
      <c r="J387" s="154"/>
      <c r="K387" s="154"/>
      <c r="L387" s="154"/>
      <c r="M387" s="63">
        <v>0</v>
      </c>
      <c r="N387" s="91" t="s">
        <v>75</v>
      </c>
      <c r="O387" s="55" t="s">
        <v>1106</v>
      </c>
      <c r="P387" s="56" t="s">
        <v>504</v>
      </c>
      <c r="Q387" s="56" t="s">
        <v>1273</v>
      </c>
      <c r="R387" s="25" t="s">
        <v>2429</v>
      </c>
      <c r="S387" s="64" t="s">
        <v>2430</v>
      </c>
      <c r="T387" s="292">
        <v>1</v>
      </c>
      <c r="U387" s="293" t="s">
        <v>2431</v>
      </c>
      <c r="V387" s="142" t="s">
        <v>2429</v>
      </c>
      <c r="W387" s="63">
        <v>59.99</v>
      </c>
      <c r="X387" s="22">
        <f t="shared" si="98"/>
        <v>0.2</v>
      </c>
      <c r="Y387" s="35">
        <f t="shared" si="91"/>
        <v>47.992000000000004</v>
      </c>
      <c r="Z387" s="424"/>
      <c r="AA387" s="425"/>
      <c r="AB387" s="425"/>
      <c r="AC387" s="425"/>
      <c r="AD387" s="561"/>
      <c r="AE387" s="91" t="s">
        <v>75</v>
      </c>
      <c r="AF387" s="55" t="s">
        <v>1106</v>
      </c>
      <c r="AG387" s="14" t="s">
        <v>1274</v>
      </c>
      <c r="AH387" s="14" t="s">
        <v>1275</v>
      </c>
    </row>
    <row r="388" spans="1:34" s="1" customFormat="1">
      <c r="A388" s="25" t="s">
        <v>2432</v>
      </c>
      <c r="B388" s="64" t="s">
        <v>2433</v>
      </c>
      <c r="C388" s="65">
        <v>1</v>
      </c>
      <c r="D388" s="62" t="s">
        <v>2431</v>
      </c>
      <c r="E388" s="142" t="s">
        <v>2432</v>
      </c>
      <c r="F388" s="63">
        <v>59.99</v>
      </c>
      <c r="G388" s="22">
        <f t="shared" si="97"/>
        <v>0.2</v>
      </c>
      <c r="H388" s="35">
        <f t="shared" si="100"/>
        <v>47.992000000000004</v>
      </c>
      <c r="I388" s="27"/>
      <c r="J388" s="23"/>
      <c r="K388" s="23"/>
      <c r="L388" s="23"/>
      <c r="M388" s="226">
        <v>0</v>
      </c>
      <c r="N388" s="91" t="s">
        <v>75</v>
      </c>
      <c r="O388" s="55" t="s">
        <v>1106</v>
      </c>
      <c r="P388" s="56" t="s">
        <v>504</v>
      </c>
      <c r="Q388" s="56" t="s">
        <v>1273</v>
      </c>
      <c r="R388" s="25" t="s">
        <v>2432</v>
      </c>
      <c r="S388" s="64" t="s">
        <v>2433</v>
      </c>
      <c r="T388" s="65">
        <v>1</v>
      </c>
      <c r="U388" s="62" t="s">
        <v>2431</v>
      </c>
      <c r="V388" s="142" t="s">
        <v>2432</v>
      </c>
      <c r="W388" s="63">
        <v>59.99</v>
      </c>
      <c r="X388" s="22">
        <f t="shared" si="98"/>
        <v>0.2</v>
      </c>
      <c r="Y388" s="35">
        <f t="shared" si="91"/>
        <v>47.992000000000004</v>
      </c>
      <c r="Z388" s="27"/>
      <c r="AA388" s="23"/>
      <c r="AB388" s="23"/>
      <c r="AC388" s="28"/>
      <c r="AD388" s="561"/>
      <c r="AE388" s="91" t="s">
        <v>75</v>
      </c>
      <c r="AF388" s="55" t="s">
        <v>1106</v>
      </c>
      <c r="AG388" s="14" t="s">
        <v>1274</v>
      </c>
      <c r="AH388" s="14" t="s">
        <v>1275</v>
      </c>
    </row>
    <row r="389" spans="1:34" s="288" customFormat="1">
      <c r="A389" s="25" t="s">
        <v>2434</v>
      </c>
      <c r="B389" s="64" t="s">
        <v>2435</v>
      </c>
      <c r="C389" s="65">
        <v>1</v>
      </c>
      <c r="D389" s="62" t="s">
        <v>2436</v>
      </c>
      <c r="E389" s="142" t="s">
        <v>2434</v>
      </c>
      <c r="F389" s="63">
        <v>34</v>
      </c>
      <c r="G389" s="22">
        <f>rv_30</f>
        <v>0.3</v>
      </c>
      <c r="H389" s="35">
        <f t="shared" si="100"/>
        <v>23.8</v>
      </c>
      <c r="I389" s="27"/>
      <c r="J389" s="23"/>
      <c r="K389" s="23"/>
      <c r="L389" s="23"/>
      <c r="M389" s="63">
        <v>0</v>
      </c>
      <c r="N389" s="91" t="s">
        <v>75</v>
      </c>
      <c r="O389" s="55" t="s">
        <v>1106</v>
      </c>
      <c r="P389" s="56" t="s">
        <v>504</v>
      </c>
      <c r="Q389" s="56" t="s">
        <v>1273</v>
      </c>
      <c r="R389" s="331"/>
      <c r="S389" s="390"/>
      <c r="T389" s="427"/>
      <c r="U389" s="435"/>
      <c r="V389" s="428"/>
      <c r="W389" s="435"/>
      <c r="X389" s="207"/>
      <c r="Y389" s="435"/>
      <c r="Z389" s="429"/>
      <c r="AA389" s="430"/>
      <c r="AB389" s="430"/>
      <c r="AC389" s="430"/>
      <c r="AD389" s="58"/>
      <c r="AE389" s="58"/>
      <c r="AF389" s="336"/>
      <c r="AG389" s="449"/>
      <c r="AH389" s="449"/>
    </row>
    <row r="390" spans="1:34" s="288" customFormat="1">
      <c r="A390" s="25" t="s">
        <v>2437</v>
      </c>
      <c r="B390" s="64" t="s">
        <v>2438</v>
      </c>
      <c r="C390" s="65">
        <v>1</v>
      </c>
      <c r="D390" s="62" t="s">
        <v>2436</v>
      </c>
      <c r="E390" s="142" t="s">
        <v>2437</v>
      </c>
      <c r="F390" s="63">
        <v>34</v>
      </c>
      <c r="G390" s="22">
        <f>rv_30</f>
        <v>0.3</v>
      </c>
      <c r="H390" s="35">
        <f t="shared" si="100"/>
        <v>23.8</v>
      </c>
      <c r="I390" s="27"/>
      <c r="J390" s="23"/>
      <c r="K390" s="23"/>
      <c r="L390" s="23"/>
      <c r="M390" s="63">
        <v>0</v>
      </c>
      <c r="N390" s="91" t="s">
        <v>75</v>
      </c>
      <c r="O390" s="55" t="s">
        <v>1106</v>
      </c>
      <c r="P390" s="56" t="s">
        <v>504</v>
      </c>
      <c r="Q390" s="56" t="s">
        <v>1273</v>
      </c>
      <c r="R390" s="331"/>
      <c r="S390" s="390"/>
      <c r="T390" s="427"/>
      <c r="U390" s="435"/>
      <c r="V390" s="428"/>
      <c r="W390" s="435"/>
      <c r="X390" s="207"/>
      <c r="Y390" s="435"/>
      <c r="Z390" s="429"/>
      <c r="AA390" s="430"/>
      <c r="AB390" s="430"/>
      <c r="AC390" s="430"/>
      <c r="AD390" s="58"/>
      <c r="AE390" s="58"/>
      <c r="AF390" s="336"/>
      <c r="AG390" s="449"/>
      <c r="AH390" s="449"/>
    </row>
    <row r="391" spans="1:34" s="1" customFormat="1">
      <c r="A391" s="25" t="s">
        <v>2439</v>
      </c>
      <c r="B391" s="64" t="s">
        <v>2440</v>
      </c>
      <c r="C391" s="65">
        <v>1</v>
      </c>
      <c r="D391" s="35" t="s">
        <v>2441</v>
      </c>
      <c r="E391" s="29" t="s">
        <v>2439</v>
      </c>
      <c r="F391" s="35">
        <v>34.549999999999997</v>
      </c>
      <c r="G391" s="22">
        <f t="shared" si="97"/>
        <v>0.2</v>
      </c>
      <c r="H391" s="35">
        <f t="shared" si="84"/>
        <v>27.639999999999997</v>
      </c>
      <c r="I391" s="27"/>
      <c r="J391" s="23"/>
      <c r="K391" s="23"/>
      <c r="L391" s="23"/>
      <c r="M391" s="63">
        <v>0</v>
      </c>
      <c r="N391" s="91" t="s">
        <v>75</v>
      </c>
      <c r="O391" s="55" t="s">
        <v>1106</v>
      </c>
      <c r="P391" s="56" t="s">
        <v>504</v>
      </c>
      <c r="Q391" s="56" t="s">
        <v>1273</v>
      </c>
      <c r="R391" s="25" t="s">
        <v>2439</v>
      </c>
      <c r="S391" s="64" t="s">
        <v>2440</v>
      </c>
      <c r="T391" s="65">
        <v>1</v>
      </c>
      <c r="U391" s="35" t="s">
        <v>2441</v>
      </c>
      <c r="V391" s="29" t="s">
        <v>2439</v>
      </c>
      <c r="W391" s="35">
        <v>34.549999999999997</v>
      </c>
      <c r="X391" s="22">
        <f t="shared" si="98"/>
        <v>0.2</v>
      </c>
      <c r="Y391" s="35">
        <f t="shared" si="91"/>
        <v>27.639999999999997</v>
      </c>
      <c r="Z391" s="27"/>
      <c r="AA391" s="23"/>
      <c r="AB391" s="23"/>
      <c r="AC391" s="28"/>
      <c r="AD391" s="63">
        <v>0</v>
      </c>
      <c r="AE391" s="91" t="s">
        <v>75</v>
      </c>
      <c r="AF391" s="55" t="s">
        <v>1106</v>
      </c>
      <c r="AG391" s="14" t="s">
        <v>1274</v>
      </c>
      <c r="AH391" s="14" t="s">
        <v>1275</v>
      </c>
    </row>
    <row r="392" spans="1:34" s="1" customFormat="1">
      <c r="A392" s="25" t="s">
        <v>2442</v>
      </c>
      <c r="B392" s="64" t="s">
        <v>2443</v>
      </c>
      <c r="C392" s="65">
        <v>1</v>
      </c>
      <c r="D392" s="35" t="s">
        <v>2441</v>
      </c>
      <c r="E392" s="29" t="s">
        <v>2442</v>
      </c>
      <c r="F392" s="35">
        <v>34.549999999999997</v>
      </c>
      <c r="G392" s="22">
        <f t="shared" si="97"/>
        <v>0.2</v>
      </c>
      <c r="H392" s="35">
        <f t="shared" si="84"/>
        <v>27.639999999999997</v>
      </c>
      <c r="I392" s="27"/>
      <c r="J392" s="23"/>
      <c r="K392" s="23"/>
      <c r="L392" s="23"/>
      <c r="M392" s="63">
        <v>0</v>
      </c>
      <c r="N392" s="91" t="s">
        <v>75</v>
      </c>
      <c r="O392" s="55" t="s">
        <v>1106</v>
      </c>
      <c r="P392" s="56" t="s">
        <v>504</v>
      </c>
      <c r="Q392" s="56" t="s">
        <v>1273</v>
      </c>
      <c r="R392" s="25" t="s">
        <v>2442</v>
      </c>
      <c r="S392" s="64" t="s">
        <v>2443</v>
      </c>
      <c r="T392" s="65">
        <v>1</v>
      </c>
      <c r="U392" s="35" t="s">
        <v>2441</v>
      </c>
      <c r="V392" s="29" t="s">
        <v>2442</v>
      </c>
      <c r="W392" s="35">
        <v>34.549999999999997</v>
      </c>
      <c r="X392" s="22">
        <f t="shared" si="98"/>
        <v>0.2</v>
      </c>
      <c r="Y392" s="35">
        <f t="shared" si="91"/>
        <v>27.639999999999997</v>
      </c>
      <c r="Z392" s="27"/>
      <c r="AA392" s="23"/>
      <c r="AB392" s="23"/>
      <c r="AC392" s="28"/>
      <c r="AD392" s="63">
        <v>0</v>
      </c>
      <c r="AE392" s="91" t="s">
        <v>75</v>
      </c>
      <c r="AF392" s="55" t="s">
        <v>1106</v>
      </c>
      <c r="AG392" s="14" t="s">
        <v>1274</v>
      </c>
      <c r="AH392" s="14" t="s">
        <v>1275</v>
      </c>
    </row>
    <row r="393" spans="1:34" s="1" customFormat="1">
      <c r="A393" s="25" t="s">
        <v>2444</v>
      </c>
      <c r="B393" s="64" t="s">
        <v>2445</v>
      </c>
      <c r="C393" s="65">
        <v>1</v>
      </c>
      <c r="D393" s="35" t="s">
        <v>2441</v>
      </c>
      <c r="E393" s="29" t="s">
        <v>2444</v>
      </c>
      <c r="F393" s="35">
        <v>34.549999999999997</v>
      </c>
      <c r="G393" s="22">
        <f t="shared" si="97"/>
        <v>0.2</v>
      </c>
      <c r="H393" s="35">
        <f t="shared" si="84"/>
        <v>27.639999999999997</v>
      </c>
      <c r="I393" s="27"/>
      <c r="J393" s="23"/>
      <c r="K393" s="23"/>
      <c r="L393" s="23"/>
      <c r="M393" s="63">
        <v>0</v>
      </c>
      <c r="N393" s="91" t="s">
        <v>75</v>
      </c>
      <c r="O393" s="55" t="s">
        <v>1106</v>
      </c>
      <c r="P393" s="56" t="s">
        <v>504</v>
      </c>
      <c r="Q393" s="56" t="s">
        <v>1273</v>
      </c>
      <c r="R393" s="25" t="s">
        <v>2444</v>
      </c>
      <c r="S393" s="64" t="s">
        <v>2445</v>
      </c>
      <c r="T393" s="65">
        <v>1</v>
      </c>
      <c r="U393" s="35" t="s">
        <v>2441</v>
      </c>
      <c r="V393" s="29" t="s">
        <v>2444</v>
      </c>
      <c r="W393" s="35">
        <v>34.549999999999997</v>
      </c>
      <c r="X393" s="22">
        <f t="shared" si="98"/>
        <v>0.2</v>
      </c>
      <c r="Y393" s="35">
        <f t="shared" si="91"/>
        <v>27.639999999999997</v>
      </c>
      <c r="Z393" s="27"/>
      <c r="AA393" s="23"/>
      <c r="AB393" s="23"/>
      <c r="AC393" s="28"/>
      <c r="AD393" s="63">
        <v>0</v>
      </c>
      <c r="AE393" s="91" t="s">
        <v>75</v>
      </c>
      <c r="AF393" s="55" t="s">
        <v>1106</v>
      </c>
      <c r="AG393" s="14" t="s">
        <v>1274</v>
      </c>
      <c r="AH393" s="14" t="s">
        <v>1275</v>
      </c>
    </row>
    <row r="394" spans="1:34" s="1" customFormat="1">
      <c r="A394" s="25" t="s">
        <v>2446</v>
      </c>
      <c r="B394" s="64" t="s">
        <v>2447</v>
      </c>
      <c r="C394" s="65">
        <v>1</v>
      </c>
      <c r="D394" s="35" t="s">
        <v>2441</v>
      </c>
      <c r="E394" s="29" t="s">
        <v>2446</v>
      </c>
      <c r="F394" s="35">
        <v>34.549999999999997</v>
      </c>
      <c r="G394" s="22">
        <f t="shared" si="97"/>
        <v>0.2</v>
      </c>
      <c r="H394" s="35">
        <f t="shared" si="84"/>
        <v>27.639999999999997</v>
      </c>
      <c r="I394" s="27"/>
      <c r="J394" s="23"/>
      <c r="K394" s="23"/>
      <c r="L394" s="23"/>
      <c r="M394" s="63">
        <v>0</v>
      </c>
      <c r="N394" s="91" t="s">
        <v>75</v>
      </c>
      <c r="O394" s="55" t="s">
        <v>1106</v>
      </c>
      <c r="P394" s="56" t="s">
        <v>504</v>
      </c>
      <c r="Q394" s="56" t="s">
        <v>1273</v>
      </c>
      <c r="R394" s="25" t="s">
        <v>2446</v>
      </c>
      <c r="S394" s="64" t="s">
        <v>2447</v>
      </c>
      <c r="T394" s="65">
        <v>1</v>
      </c>
      <c r="U394" s="35" t="s">
        <v>2441</v>
      </c>
      <c r="V394" s="29" t="s">
        <v>2446</v>
      </c>
      <c r="W394" s="35">
        <v>34.549999999999997</v>
      </c>
      <c r="X394" s="22">
        <f t="shared" si="98"/>
        <v>0.2</v>
      </c>
      <c r="Y394" s="35">
        <f t="shared" si="91"/>
        <v>27.639999999999997</v>
      </c>
      <c r="Z394" s="27"/>
      <c r="AA394" s="23"/>
      <c r="AB394" s="23"/>
      <c r="AC394" s="28"/>
      <c r="AD394" s="63">
        <v>0</v>
      </c>
      <c r="AE394" s="91" t="s">
        <v>75</v>
      </c>
      <c r="AF394" s="55" t="s">
        <v>1106</v>
      </c>
      <c r="AG394" s="14" t="s">
        <v>1274</v>
      </c>
      <c r="AH394" s="14" t="s">
        <v>1275</v>
      </c>
    </row>
    <row r="395" spans="1:34" s="1" customFormat="1">
      <c r="A395" s="25" t="s">
        <v>2448</v>
      </c>
      <c r="B395" s="64" t="s">
        <v>2449</v>
      </c>
      <c r="C395" s="65">
        <v>1</v>
      </c>
      <c r="D395" s="35" t="s">
        <v>2441</v>
      </c>
      <c r="E395" s="29" t="s">
        <v>2448</v>
      </c>
      <c r="F395" s="35">
        <v>34.549999999999997</v>
      </c>
      <c r="G395" s="22">
        <f t="shared" si="97"/>
        <v>0.2</v>
      </c>
      <c r="H395" s="35">
        <f t="shared" si="84"/>
        <v>27.639999999999997</v>
      </c>
      <c r="I395" s="27"/>
      <c r="J395" s="23"/>
      <c r="K395" s="23"/>
      <c r="L395" s="23"/>
      <c r="M395" s="63">
        <v>0</v>
      </c>
      <c r="N395" s="91" t="s">
        <v>75</v>
      </c>
      <c r="O395" s="55" t="s">
        <v>1106</v>
      </c>
      <c r="P395" s="56" t="s">
        <v>504</v>
      </c>
      <c r="Q395" s="56" t="s">
        <v>1273</v>
      </c>
      <c r="R395" s="25" t="s">
        <v>2448</v>
      </c>
      <c r="S395" s="64" t="s">
        <v>2449</v>
      </c>
      <c r="T395" s="65">
        <v>1</v>
      </c>
      <c r="U395" s="35" t="s">
        <v>2441</v>
      </c>
      <c r="V395" s="29" t="s">
        <v>2448</v>
      </c>
      <c r="W395" s="35">
        <v>34.549999999999997</v>
      </c>
      <c r="X395" s="22">
        <f t="shared" si="98"/>
        <v>0.2</v>
      </c>
      <c r="Y395" s="35">
        <f t="shared" si="91"/>
        <v>27.639999999999997</v>
      </c>
      <c r="Z395" s="27"/>
      <c r="AA395" s="23"/>
      <c r="AB395" s="23"/>
      <c r="AC395" s="28"/>
      <c r="AD395" s="63">
        <v>0</v>
      </c>
      <c r="AE395" s="91" t="s">
        <v>75</v>
      </c>
      <c r="AF395" s="55" t="s">
        <v>1106</v>
      </c>
      <c r="AG395" s="14" t="s">
        <v>1274</v>
      </c>
      <c r="AH395" s="14" t="s">
        <v>1275</v>
      </c>
    </row>
    <row r="396" spans="1:34" s="121" customFormat="1">
      <c r="A396" s="113" t="s">
        <v>2450</v>
      </c>
      <c r="B396" s="273" t="s">
        <v>2451</v>
      </c>
      <c r="C396" s="292">
        <v>1</v>
      </c>
      <c r="D396" s="116" t="s">
        <v>2441</v>
      </c>
      <c r="E396" s="115" t="s">
        <v>2450</v>
      </c>
      <c r="F396" s="116">
        <v>34.549999999999997</v>
      </c>
      <c r="G396" s="138">
        <f t="shared" si="97"/>
        <v>0.2</v>
      </c>
      <c r="H396" s="116">
        <f t="shared" ref="H396" si="101">F396-(F396*G396)</f>
        <v>27.639999999999997</v>
      </c>
      <c r="I396" s="153"/>
      <c r="J396" s="154"/>
      <c r="K396" s="154"/>
      <c r="L396" s="154"/>
      <c r="M396" s="226">
        <v>0</v>
      </c>
      <c r="N396" s="91" t="s">
        <v>75</v>
      </c>
      <c r="O396" s="55" t="s">
        <v>1106</v>
      </c>
      <c r="P396" s="56" t="s">
        <v>504</v>
      </c>
      <c r="Q396" s="56" t="s">
        <v>1273</v>
      </c>
      <c r="R396" s="113" t="s">
        <v>2450</v>
      </c>
      <c r="S396" s="273" t="s">
        <v>2451</v>
      </c>
      <c r="T396" s="292">
        <v>1</v>
      </c>
      <c r="U396" s="116" t="s">
        <v>2441</v>
      </c>
      <c r="V396" s="115" t="s">
        <v>2450</v>
      </c>
      <c r="W396" s="116">
        <v>34.549999999999997</v>
      </c>
      <c r="X396" s="138">
        <f t="shared" si="98"/>
        <v>0.2</v>
      </c>
      <c r="Y396" s="116">
        <f t="shared" si="91"/>
        <v>27.639999999999997</v>
      </c>
      <c r="Z396" s="153"/>
      <c r="AA396" s="154"/>
      <c r="AB396" s="154"/>
      <c r="AC396" s="154"/>
      <c r="AD396" s="226">
        <v>0</v>
      </c>
      <c r="AE396" s="91" t="s">
        <v>75</v>
      </c>
      <c r="AF396" s="55" t="s">
        <v>1106</v>
      </c>
      <c r="AG396" s="56" t="s">
        <v>1274</v>
      </c>
      <c r="AH396" s="14" t="s">
        <v>1275</v>
      </c>
    </row>
    <row r="397" spans="1:34" s="1" customFormat="1">
      <c r="A397" s="25" t="s">
        <v>2452</v>
      </c>
      <c r="B397" s="64" t="s">
        <v>2453</v>
      </c>
      <c r="C397" s="65">
        <v>1</v>
      </c>
      <c r="D397" s="35" t="s">
        <v>2441</v>
      </c>
      <c r="E397" s="29" t="s">
        <v>2452</v>
      </c>
      <c r="F397" s="35">
        <v>45.02</v>
      </c>
      <c r="G397" s="22">
        <f t="shared" si="97"/>
        <v>0.2</v>
      </c>
      <c r="H397" s="35">
        <f t="shared" si="84"/>
        <v>36.016000000000005</v>
      </c>
      <c r="I397" s="27"/>
      <c r="J397" s="23"/>
      <c r="K397" s="23"/>
      <c r="L397" s="23"/>
      <c r="M397" s="63">
        <v>0</v>
      </c>
      <c r="N397" s="91" t="s">
        <v>75</v>
      </c>
      <c r="O397" s="55" t="s">
        <v>1106</v>
      </c>
      <c r="P397" s="56" t="s">
        <v>504</v>
      </c>
      <c r="Q397" s="56" t="s">
        <v>1273</v>
      </c>
      <c r="R397" s="25" t="s">
        <v>2452</v>
      </c>
      <c r="S397" s="64" t="s">
        <v>2453</v>
      </c>
      <c r="T397" s="65">
        <v>1</v>
      </c>
      <c r="U397" s="35" t="s">
        <v>2441</v>
      </c>
      <c r="V397" s="29" t="s">
        <v>2452</v>
      </c>
      <c r="W397" s="35">
        <v>45.02</v>
      </c>
      <c r="X397" s="22">
        <f t="shared" si="98"/>
        <v>0.2</v>
      </c>
      <c r="Y397" s="35">
        <f t="shared" si="91"/>
        <v>36.016000000000005</v>
      </c>
      <c r="Z397" s="27"/>
      <c r="AA397" s="23"/>
      <c r="AB397" s="23"/>
      <c r="AC397" s="28"/>
      <c r="AD397" s="63">
        <v>0</v>
      </c>
      <c r="AE397" s="91" t="s">
        <v>75</v>
      </c>
      <c r="AF397" s="55" t="s">
        <v>1106</v>
      </c>
      <c r="AG397" s="14" t="s">
        <v>1274</v>
      </c>
      <c r="AH397" s="14" t="s">
        <v>1275</v>
      </c>
    </row>
    <row r="398" spans="1:34" s="1" customFormat="1">
      <c r="A398" s="25" t="s">
        <v>2454</v>
      </c>
      <c r="B398" s="64" t="s">
        <v>2455</v>
      </c>
      <c r="C398" s="65">
        <v>1</v>
      </c>
      <c r="D398" s="35" t="s">
        <v>2441</v>
      </c>
      <c r="E398" s="29" t="s">
        <v>2454</v>
      </c>
      <c r="F398" s="35">
        <v>27</v>
      </c>
      <c r="G398" s="22">
        <f t="shared" si="97"/>
        <v>0.2</v>
      </c>
      <c r="H398" s="35">
        <f t="shared" si="84"/>
        <v>21.6</v>
      </c>
      <c r="I398" s="27"/>
      <c r="J398" s="23"/>
      <c r="K398" s="23"/>
      <c r="L398" s="23"/>
      <c r="M398" s="63">
        <v>0</v>
      </c>
      <c r="N398" s="91" t="s">
        <v>75</v>
      </c>
      <c r="O398" s="55" t="s">
        <v>1106</v>
      </c>
      <c r="P398" s="56" t="s">
        <v>504</v>
      </c>
      <c r="Q398" s="56" t="s">
        <v>1273</v>
      </c>
      <c r="R398" s="25" t="s">
        <v>2454</v>
      </c>
      <c r="S398" s="64" t="s">
        <v>2455</v>
      </c>
      <c r="T398" s="65">
        <v>1</v>
      </c>
      <c r="U398" s="35" t="s">
        <v>2441</v>
      </c>
      <c r="V398" s="29" t="s">
        <v>2454</v>
      </c>
      <c r="W398" s="35">
        <v>27</v>
      </c>
      <c r="X398" s="22">
        <f t="shared" si="98"/>
        <v>0.2</v>
      </c>
      <c r="Y398" s="35">
        <f t="shared" si="91"/>
        <v>21.6</v>
      </c>
      <c r="Z398" s="27"/>
      <c r="AA398" s="23"/>
      <c r="AB398" s="23"/>
      <c r="AC398" s="28"/>
      <c r="AD398" s="63">
        <v>0</v>
      </c>
      <c r="AE398" s="91" t="s">
        <v>75</v>
      </c>
      <c r="AF398" s="55" t="s">
        <v>1106</v>
      </c>
      <c r="AG398" s="14" t="s">
        <v>1274</v>
      </c>
      <c r="AH398" s="14" t="s">
        <v>1275</v>
      </c>
    </row>
    <row r="399" spans="1:34" s="1" customFormat="1">
      <c r="A399" s="25" t="s">
        <v>2456</v>
      </c>
      <c r="B399" s="64" t="s">
        <v>2457</v>
      </c>
      <c r="C399" s="65">
        <v>1</v>
      </c>
      <c r="D399" s="35" t="s">
        <v>2441</v>
      </c>
      <c r="E399" s="29" t="s">
        <v>2456</v>
      </c>
      <c r="F399" s="35">
        <v>27</v>
      </c>
      <c r="G399" s="22">
        <f t="shared" si="97"/>
        <v>0.2</v>
      </c>
      <c r="H399" s="35">
        <f t="shared" si="84"/>
        <v>21.6</v>
      </c>
      <c r="I399" s="27"/>
      <c r="J399" s="23"/>
      <c r="K399" s="23"/>
      <c r="L399" s="23"/>
      <c r="M399" s="63">
        <v>0</v>
      </c>
      <c r="N399" s="91" t="s">
        <v>75</v>
      </c>
      <c r="O399" s="55" t="s">
        <v>1106</v>
      </c>
      <c r="P399" s="56" t="s">
        <v>504</v>
      </c>
      <c r="Q399" s="56" t="s">
        <v>1273</v>
      </c>
      <c r="R399" s="25" t="s">
        <v>2456</v>
      </c>
      <c r="S399" s="64" t="s">
        <v>2457</v>
      </c>
      <c r="T399" s="65">
        <v>1</v>
      </c>
      <c r="U399" s="35" t="s">
        <v>2441</v>
      </c>
      <c r="V399" s="29" t="s">
        <v>2456</v>
      </c>
      <c r="W399" s="35">
        <v>27</v>
      </c>
      <c r="X399" s="22">
        <f t="shared" si="98"/>
        <v>0.2</v>
      </c>
      <c r="Y399" s="35">
        <f t="shared" si="91"/>
        <v>21.6</v>
      </c>
      <c r="Z399" s="27"/>
      <c r="AA399" s="23"/>
      <c r="AB399" s="23"/>
      <c r="AC399" s="28"/>
      <c r="AD399" s="63">
        <v>0</v>
      </c>
      <c r="AE399" s="91" t="s">
        <v>75</v>
      </c>
      <c r="AF399" s="55" t="s">
        <v>1106</v>
      </c>
      <c r="AG399" s="14" t="s">
        <v>1274</v>
      </c>
      <c r="AH399" s="14" t="s">
        <v>1275</v>
      </c>
    </row>
    <row r="400" spans="1:34" s="1" customFormat="1">
      <c r="A400" s="25" t="s">
        <v>2458</v>
      </c>
      <c r="B400" s="64" t="s">
        <v>2459</v>
      </c>
      <c r="C400" s="65">
        <v>1</v>
      </c>
      <c r="D400" s="35" t="s">
        <v>2460</v>
      </c>
      <c r="E400" s="29" t="s">
        <v>2458</v>
      </c>
      <c r="F400" s="35">
        <v>73.349999999999994</v>
      </c>
      <c r="G400" s="22">
        <f>rv_30</f>
        <v>0.3</v>
      </c>
      <c r="H400" s="35">
        <f t="shared" si="84"/>
        <v>51.344999999999999</v>
      </c>
      <c r="I400" s="27"/>
      <c r="J400" s="23"/>
      <c r="K400" s="23"/>
      <c r="L400" s="23"/>
      <c r="M400" s="63">
        <v>0.1</v>
      </c>
      <c r="N400" s="91" t="s">
        <v>75</v>
      </c>
      <c r="O400" s="55" t="s">
        <v>1106</v>
      </c>
      <c r="P400" s="56" t="s">
        <v>504</v>
      </c>
      <c r="Q400" s="56" t="s">
        <v>1273</v>
      </c>
      <c r="R400" s="25" t="s">
        <v>2458</v>
      </c>
      <c r="S400" s="64" t="s">
        <v>2459</v>
      </c>
      <c r="T400" s="65">
        <v>1</v>
      </c>
      <c r="U400" s="35" t="s">
        <v>2460</v>
      </c>
      <c r="V400" s="29" t="s">
        <v>2458</v>
      </c>
      <c r="W400" s="35">
        <v>73.349999999999994</v>
      </c>
      <c r="X400" s="22">
        <f>rv_30</f>
        <v>0.3</v>
      </c>
      <c r="Y400" s="35">
        <f t="shared" si="91"/>
        <v>51.344999999999999</v>
      </c>
      <c r="Z400" s="27"/>
      <c r="AA400" s="23"/>
      <c r="AB400" s="23"/>
      <c r="AC400" s="28"/>
      <c r="AD400" s="63">
        <v>0.1</v>
      </c>
      <c r="AE400" s="91" t="s">
        <v>75</v>
      </c>
      <c r="AF400" s="55" t="s">
        <v>1106</v>
      </c>
      <c r="AG400" s="14" t="s">
        <v>1274</v>
      </c>
      <c r="AH400" s="14" t="s">
        <v>1275</v>
      </c>
    </row>
    <row r="401" spans="1:34" s="1" customFormat="1">
      <c r="A401" s="25" t="s">
        <v>2461</v>
      </c>
      <c r="B401" s="64" t="s">
        <v>2462</v>
      </c>
      <c r="C401" s="65">
        <v>1</v>
      </c>
      <c r="D401" s="35" t="s">
        <v>2463</v>
      </c>
      <c r="E401" s="29" t="s">
        <v>2461</v>
      </c>
      <c r="F401" s="35">
        <v>6.79</v>
      </c>
      <c r="G401" s="22">
        <f>rv_20</f>
        <v>0.2</v>
      </c>
      <c r="H401" s="35">
        <f t="shared" si="84"/>
        <v>5.4320000000000004</v>
      </c>
      <c r="I401" s="27"/>
      <c r="J401" s="23"/>
      <c r="K401" s="23"/>
      <c r="L401" s="23"/>
      <c r="M401" s="63">
        <v>0.02</v>
      </c>
      <c r="N401" s="91" t="s">
        <v>75</v>
      </c>
      <c r="O401" s="55" t="s">
        <v>1106</v>
      </c>
      <c r="P401" s="56" t="s">
        <v>504</v>
      </c>
      <c r="Q401" s="56" t="s">
        <v>1273</v>
      </c>
      <c r="R401" s="25" t="s">
        <v>2461</v>
      </c>
      <c r="S401" s="64" t="s">
        <v>2462</v>
      </c>
      <c r="T401" s="65">
        <v>1</v>
      </c>
      <c r="U401" s="35" t="s">
        <v>2463</v>
      </c>
      <c r="V401" s="29" t="s">
        <v>2461</v>
      </c>
      <c r="W401" s="35">
        <v>6.79</v>
      </c>
      <c r="X401" s="22">
        <f>rv_20</f>
        <v>0.2</v>
      </c>
      <c r="Y401" s="35">
        <f t="shared" si="91"/>
        <v>5.4320000000000004</v>
      </c>
      <c r="Z401" s="27"/>
      <c r="AA401" s="23"/>
      <c r="AB401" s="23"/>
      <c r="AC401" s="28"/>
      <c r="AD401" s="63">
        <v>0.02</v>
      </c>
      <c r="AE401" s="91" t="s">
        <v>75</v>
      </c>
      <c r="AF401" s="55" t="s">
        <v>1106</v>
      </c>
      <c r="AG401" s="14" t="s">
        <v>1274</v>
      </c>
      <c r="AH401" s="14" t="s">
        <v>1275</v>
      </c>
    </row>
    <row r="402" spans="1:34" s="1" customFormat="1">
      <c r="A402" s="25" t="s">
        <v>2464</v>
      </c>
      <c r="B402" s="64" t="s">
        <v>2465</v>
      </c>
      <c r="C402" s="65">
        <v>1</v>
      </c>
      <c r="D402" s="35" t="s">
        <v>1885</v>
      </c>
      <c r="E402" s="29" t="s">
        <v>2464</v>
      </c>
      <c r="F402" s="35">
        <v>74.430000000000007</v>
      </c>
      <c r="G402" s="22">
        <f>rv_30</f>
        <v>0.3</v>
      </c>
      <c r="H402" s="35">
        <f t="shared" si="84"/>
        <v>52.101000000000006</v>
      </c>
      <c r="I402" s="27"/>
      <c r="J402" s="23"/>
      <c r="K402" s="23"/>
      <c r="L402" s="23"/>
      <c r="M402" s="63">
        <v>0</v>
      </c>
      <c r="N402" s="91" t="s">
        <v>75</v>
      </c>
      <c r="O402" s="55" t="s">
        <v>1106</v>
      </c>
      <c r="P402" s="56" t="s">
        <v>504</v>
      </c>
      <c r="Q402" s="56" t="s">
        <v>1273</v>
      </c>
      <c r="R402" s="25" t="s">
        <v>2464</v>
      </c>
      <c r="S402" s="64" t="s">
        <v>2465</v>
      </c>
      <c r="T402" s="65">
        <v>1</v>
      </c>
      <c r="U402" s="35" t="s">
        <v>1885</v>
      </c>
      <c r="V402" s="29" t="s">
        <v>2464</v>
      </c>
      <c r="W402" s="35">
        <v>74.430000000000007</v>
      </c>
      <c r="X402" s="22">
        <f>rv_30</f>
        <v>0.3</v>
      </c>
      <c r="Y402" s="35">
        <f t="shared" si="91"/>
        <v>52.101000000000006</v>
      </c>
      <c r="Z402" s="27"/>
      <c r="AA402" s="23"/>
      <c r="AB402" s="23"/>
      <c r="AC402" s="28"/>
      <c r="AD402" s="63">
        <v>0</v>
      </c>
      <c r="AE402" s="91" t="s">
        <v>75</v>
      </c>
      <c r="AF402" s="55" t="s">
        <v>1106</v>
      </c>
      <c r="AG402" s="14" t="s">
        <v>1274</v>
      </c>
      <c r="AH402" s="14" t="s">
        <v>1275</v>
      </c>
    </row>
    <row r="403" spans="1:34" s="1" customFormat="1">
      <c r="A403" s="25"/>
      <c r="B403" s="64"/>
      <c r="C403" s="65"/>
      <c r="D403" s="35"/>
      <c r="E403" s="29"/>
      <c r="F403" s="35"/>
      <c r="G403" s="22"/>
      <c r="H403" s="35"/>
      <c r="I403" s="27"/>
      <c r="J403" s="23"/>
      <c r="K403" s="23"/>
      <c r="L403" s="23"/>
      <c r="M403" s="63"/>
      <c r="N403" s="91"/>
      <c r="O403" s="55"/>
      <c r="P403" s="14"/>
      <c r="Q403" s="14"/>
      <c r="R403" s="25" t="s">
        <v>2466</v>
      </c>
      <c r="S403" s="64" t="s">
        <v>2467</v>
      </c>
      <c r="T403" s="65">
        <v>1</v>
      </c>
      <c r="U403" s="35" t="s">
        <v>1885</v>
      </c>
      <c r="V403" s="29" t="s">
        <v>2466</v>
      </c>
      <c r="W403" s="35">
        <v>85.12</v>
      </c>
      <c r="X403" s="22">
        <f>rv_30</f>
        <v>0.3</v>
      </c>
      <c r="Y403" s="35">
        <f t="shared" si="91"/>
        <v>59.584000000000003</v>
      </c>
      <c r="Z403" s="27"/>
      <c r="AA403" s="23"/>
      <c r="AB403" s="23"/>
      <c r="AC403" s="28"/>
      <c r="AD403" s="63">
        <v>0</v>
      </c>
      <c r="AE403" s="91" t="s">
        <v>75</v>
      </c>
      <c r="AF403" s="55" t="s">
        <v>1106</v>
      </c>
      <c r="AG403" s="14" t="s">
        <v>1274</v>
      </c>
      <c r="AH403" s="14" t="s">
        <v>1275</v>
      </c>
    </row>
    <row r="404" spans="1:34" s="1" customFormat="1">
      <c r="A404" s="25" t="s">
        <v>2468</v>
      </c>
      <c r="B404" s="64" t="s">
        <v>2469</v>
      </c>
      <c r="C404" s="65">
        <v>1</v>
      </c>
      <c r="D404" s="35" t="s">
        <v>2470</v>
      </c>
      <c r="E404" s="29" t="s">
        <v>2468</v>
      </c>
      <c r="F404" s="35">
        <v>40.909999999999997</v>
      </c>
      <c r="G404" s="22">
        <f t="shared" ref="G404:G414" si="102">rv_20</f>
        <v>0.2</v>
      </c>
      <c r="H404" s="35">
        <f t="shared" ref="H404:H468" si="103">F404-(F404*G404)</f>
        <v>32.727999999999994</v>
      </c>
      <c r="I404" s="27"/>
      <c r="J404" s="23"/>
      <c r="K404" s="23"/>
      <c r="L404" s="23"/>
      <c r="M404" s="63">
        <v>0</v>
      </c>
      <c r="N404" s="91" t="s">
        <v>75</v>
      </c>
      <c r="O404" s="55" t="s">
        <v>1106</v>
      </c>
      <c r="P404" s="56" t="s">
        <v>504</v>
      </c>
      <c r="Q404" s="56" t="s">
        <v>1273</v>
      </c>
      <c r="R404" s="25" t="s">
        <v>2468</v>
      </c>
      <c r="S404" s="64" t="s">
        <v>2469</v>
      </c>
      <c r="T404" s="65">
        <v>1</v>
      </c>
      <c r="U404" s="35" t="s">
        <v>2470</v>
      </c>
      <c r="V404" s="29" t="s">
        <v>2468</v>
      </c>
      <c r="W404" s="35">
        <v>40.909999999999997</v>
      </c>
      <c r="X404" s="22">
        <f t="shared" ref="X404:X414" si="104">rv_20</f>
        <v>0.2</v>
      </c>
      <c r="Y404" s="35">
        <f t="shared" si="91"/>
        <v>32.727999999999994</v>
      </c>
      <c r="Z404" s="27"/>
      <c r="AA404" s="23"/>
      <c r="AB404" s="23"/>
      <c r="AC404" s="28"/>
      <c r="AD404" s="63">
        <v>0</v>
      </c>
      <c r="AE404" s="91" t="s">
        <v>75</v>
      </c>
      <c r="AF404" s="55" t="s">
        <v>1106</v>
      </c>
      <c r="AG404" s="14" t="s">
        <v>1274</v>
      </c>
      <c r="AH404" s="14" t="s">
        <v>1275</v>
      </c>
    </row>
    <row r="405" spans="1:34" s="1" customFormat="1">
      <c r="A405" s="25" t="s">
        <v>2471</v>
      </c>
      <c r="B405" s="64" t="s">
        <v>2472</v>
      </c>
      <c r="C405" s="65">
        <v>1</v>
      </c>
      <c r="D405" s="35" t="s">
        <v>2470</v>
      </c>
      <c r="E405" s="29" t="s">
        <v>2471</v>
      </c>
      <c r="F405" s="35">
        <v>40.909999999999997</v>
      </c>
      <c r="G405" s="22">
        <f t="shared" si="102"/>
        <v>0.2</v>
      </c>
      <c r="H405" s="35">
        <f t="shared" si="103"/>
        <v>32.727999999999994</v>
      </c>
      <c r="I405" s="27"/>
      <c r="J405" s="23"/>
      <c r="K405" s="23"/>
      <c r="L405" s="23"/>
      <c r="M405" s="63">
        <v>0</v>
      </c>
      <c r="N405" s="91" t="s">
        <v>75</v>
      </c>
      <c r="O405" s="55" t="s">
        <v>1106</v>
      </c>
      <c r="P405" s="56" t="s">
        <v>504</v>
      </c>
      <c r="Q405" s="56" t="s">
        <v>1273</v>
      </c>
      <c r="R405" s="25" t="s">
        <v>2471</v>
      </c>
      <c r="S405" s="64" t="s">
        <v>2472</v>
      </c>
      <c r="T405" s="65">
        <v>1</v>
      </c>
      <c r="U405" s="35" t="s">
        <v>2470</v>
      </c>
      <c r="V405" s="29" t="s">
        <v>2471</v>
      </c>
      <c r="W405" s="35">
        <v>40.909999999999997</v>
      </c>
      <c r="X405" s="22">
        <f t="shared" si="104"/>
        <v>0.2</v>
      </c>
      <c r="Y405" s="35">
        <f t="shared" si="91"/>
        <v>32.727999999999994</v>
      </c>
      <c r="Z405" s="27"/>
      <c r="AA405" s="23"/>
      <c r="AB405" s="23"/>
      <c r="AC405" s="28"/>
      <c r="AD405" s="63">
        <v>0</v>
      </c>
      <c r="AE405" s="91" t="s">
        <v>75</v>
      </c>
      <c r="AF405" s="55" t="s">
        <v>1106</v>
      </c>
      <c r="AG405" s="14" t="s">
        <v>1274</v>
      </c>
      <c r="AH405" s="14" t="s">
        <v>1275</v>
      </c>
    </row>
    <row r="406" spans="1:34" s="1" customFormat="1">
      <c r="A406" s="25" t="s">
        <v>2473</v>
      </c>
      <c r="B406" s="64" t="s">
        <v>2474</v>
      </c>
      <c r="C406" s="65">
        <v>1</v>
      </c>
      <c r="D406" s="35" t="s">
        <v>2470</v>
      </c>
      <c r="E406" s="29" t="s">
        <v>2473</v>
      </c>
      <c r="F406" s="35">
        <v>40.909999999999997</v>
      </c>
      <c r="G406" s="22">
        <f t="shared" si="102"/>
        <v>0.2</v>
      </c>
      <c r="H406" s="35">
        <f t="shared" si="103"/>
        <v>32.727999999999994</v>
      </c>
      <c r="I406" s="27"/>
      <c r="J406" s="23"/>
      <c r="K406" s="23"/>
      <c r="L406" s="23"/>
      <c r="M406" s="63">
        <v>0</v>
      </c>
      <c r="N406" s="91" t="s">
        <v>75</v>
      </c>
      <c r="O406" s="55" t="s">
        <v>1106</v>
      </c>
      <c r="P406" s="56" t="s">
        <v>504</v>
      </c>
      <c r="Q406" s="56" t="s">
        <v>1273</v>
      </c>
      <c r="R406" s="25" t="s">
        <v>2473</v>
      </c>
      <c r="S406" s="64" t="s">
        <v>2474</v>
      </c>
      <c r="T406" s="65">
        <v>1</v>
      </c>
      <c r="U406" s="35" t="s">
        <v>2470</v>
      </c>
      <c r="V406" s="29" t="s">
        <v>2473</v>
      </c>
      <c r="W406" s="35">
        <v>40.909999999999997</v>
      </c>
      <c r="X406" s="22">
        <f t="shared" si="104"/>
        <v>0.2</v>
      </c>
      <c r="Y406" s="35">
        <f t="shared" si="91"/>
        <v>32.727999999999994</v>
      </c>
      <c r="Z406" s="27"/>
      <c r="AA406" s="23"/>
      <c r="AB406" s="23"/>
      <c r="AC406" s="28"/>
      <c r="AD406" s="63">
        <v>0</v>
      </c>
      <c r="AE406" s="91" t="s">
        <v>75</v>
      </c>
      <c r="AF406" s="55" t="s">
        <v>1106</v>
      </c>
      <c r="AG406" s="14" t="s">
        <v>1274</v>
      </c>
      <c r="AH406" s="14" t="s">
        <v>1275</v>
      </c>
    </row>
    <row r="407" spans="1:34" s="1" customFormat="1">
      <c r="A407" s="25" t="s">
        <v>2475</v>
      </c>
      <c r="B407" s="64" t="s">
        <v>2476</v>
      </c>
      <c r="C407" s="65">
        <v>1</v>
      </c>
      <c r="D407" s="35" t="s">
        <v>2470</v>
      </c>
      <c r="E407" s="29" t="s">
        <v>2475</v>
      </c>
      <c r="F407" s="35">
        <v>35.479999999999997</v>
      </c>
      <c r="G407" s="22">
        <f t="shared" si="102"/>
        <v>0.2</v>
      </c>
      <c r="H407" s="35">
        <f t="shared" si="103"/>
        <v>28.383999999999997</v>
      </c>
      <c r="I407" s="27"/>
      <c r="J407" s="23"/>
      <c r="K407" s="23"/>
      <c r="L407" s="23"/>
      <c r="M407" s="63">
        <v>0</v>
      </c>
      <c r="N407" s="91" t="s">
        <v>75</v>
      </c>
      <c r="O407" s="55" t="s">
        <v>1106</v>
      </c>
      <c r="P407" s="56" t="s">
        <v>504</v>
      </c>
      <c r="Q407" s="56" t="s">
        <v>1273</v>
      </c>
      <c r="R407" s="25" t="s">
        <v>2475</v>
      </c>
      <c r="S407" s="64" t="s">
        <v>2476</v>
      </c>
      <c r="T407" s="65">
        <v>1</v>
      </c>
      <c r="U407" s="35" t="s">
        <v>2470</v>
      </c>
      <c r="V407" s="29" t="s">
        <v>2475</v>
      </c>
      <c r="W407" s="35">
        <v>35.479999999999997</v>
      </c>
      <c r="X407" s="22">
        <f t="shared" si="104"/>
        <v>0.2</v>
      </c>
      <c r="Y407" s="35">
        <f t="shared" si="91"/>
        <v>28.383999999999997</v>
      </c>
      <c r="Z407" s="27"/>
      <c r="AA407" s="23"/>
      <c r="AB407" s="23"/>
      <c r="AC407" s="28"/>
      <c r="AD407" s="63">
        <v>0</v>
      </c>
      <c r="AE407" s="91" t="s">
        <v>75</v>
      </c>
      <c r="AF407" s="55" t="s">
        <v>1106</v>
      </c>
      <c r="AG407" s="14" t="s">
        <v>1274</v>
      </c>
      <c r="AH407" s="14" t="s">
        <v>1275</v>
      </c>
    </row>
    <row r="408" spans="1:34" s="1" customFormat="1">
      <c r="A408" s="25" t="s">
        <v>2477</v>
      </c>
      <c r="B408" s="64" t="s">
        <v>2478</v>
      </c>
      <c r="C408" s="65">
        <v>1</v>
      </c>
      <c r="D408" s="35" t="s">
        <v>2470</v>
      </c>
      <c r="E408" s="29" t="s">
        <v>2479</v>
      </c>
      <c r="F408" s="35">
        <v>40.909999999999997</v>
      </c>
      <c r="G408" s="22">
        <f t="shared" si="102"/>
        <v>0.2</v>
      </c>
      <c r="H408" s="35">
        <f t="shared" si="103"/>
        <v>32.727999999999994</v>
      </c>
      <c r="I408" s="27"/>
      <c r="J408" s="23"/>
      <c r="K408" s="23"/>
      <c r="L408" s="23"/>
      <c r="M408" s="63">
        <v>0</v>
      </c>
      <c r="N408" s="91" t="s">
        <v>75</v>
      </c>
      <c r="O408" s="55" t="s">
        <v>1106</v>
      </c>
      <c r="P408" s="56" t="s">
        <v>504</v>
      </c>
      <c r="Q408" s="56" t="s">
        <v>1273</v>
      </c>
      <c r="R408" s="25" t="s">
        <v>2477</v>
      </c>
      <c r="S408" s="64" t="s">
        <v>2478</v>
      </c>
      <c r="T408" s="65">
        <v>1</v>
      </c>
      <c r="U408" s="35" t="s">
        <v>2470</v>
      </c>
      <c r="V408" s="29" t="s">
        <v>2479</v>
      </c>
      <c r="W408" s="35">
        <v>40.909999999999997</v>
      </c>
      <c r="X408" s="22">
        <f t="shared" si="104"/>
        <v>0.2</v>
      </c>
      <c r="Y408" s="35">
        <f t="shared" si="91"/>
        <v>32.727999999999994</v>
      </c>
      <c r="Z408" s="27"/>
      <c r="AA408" s="23"/>
      <c r="AB408" s="23"/>
      <c r="AC408" s="28"/>
      <c r="AD408" s="63">
        <v>0</v>
      </c>
      <c r="AE408" s="91" t="s">
        <v>75</v>
      </c>
      <c r="AF408" s="55" t="s">
        <v>1106</v>
      </c>
      <c r="AG408" s="14" t="s">
        <v>1274</v>
      </c>
      <c r="AH408" s="14" t="s">
        <v>1275</v>
      </c>
    </row>
    <row r="409" spans="1:34" s="1" customFormat="1">
      <c r="A409" s="25" t="s">
        <v>2480</v>
      </c>
      <c r="B409" s="64" t="s">
        <v>2481</v>
      </c>
      <c r="C409" s="65">
        <v>1</v>
      </c>
      <c r="D409" s="35" t="s">
        <v>2470</v>
      </c>
      <c r="E409" s="29" t="s">
        <v>2480</v>
      </c>
      <c r="F409" s="35">
        <v>40.909999999999997</v>
      </c>
      <c r="G409" s="22">
        <f t="shared" si="102"/>
        <v>0.2</v>
      </c>
      <c r="H409" s="35">
        <f t="shared" si="103"/>
        <v>32.727999999999994</v>
      </c>
      <c r="I409" s="27"/>
      <c r="J409" s="23"/>
      <c r="K409" s="23"/>
      <c r="L409" s="23"/>
      <c r="M409" s="63">
        <v>0</v>
      </c>
      <c r="N409" s="91" t="s">
        <v>75</v>
      </c>
      <c r="O409" s="55" t="s">
        <v>1106</v>
      </c>
      <c r="P409" s="56" t="s">
        <v>504</v>
      </c>
      <c r="Q409" s="56" t="s">
        <v>1273</v>
      </c>
      <c r="R409" s="25" t="s">
        <v>2480</v>
      </c>
      <c r="S409" s="64" t="s">
        <v>2481</v>
      </c>
      <c r="T409" s="65">
        <v>1</v>
      </c>
      <c r="U409" s="35" t="s">
        <v>2470</v>
      </c>
      <c r="V409" s="29" t="s">
        <v>2480</v>
      </c>
      <c r="W409" s="35">
        <v>40.909999999999997</v>
      </c>
      <c r="X409" s="22">
        <f t="shared" si="104"/>
        <v>0.2</v>
      </c>
      <c r="Y409" s="35">
        <f t="shared" si="91"/>
        <v>32.727999999999994</v>
      </c>
      <c r="Z409" s="27"/>
      <c r="AA409" s="23"/>
      <c r="AB409" s="23"/>
      <c r="AC409" s="28"/>
      <c r="AD409" s="63">
        <v>0</v>
      </c>
      <c r="AE409" s="91" t="s">
        <v>75</v>
      </c>
      <c r="AF409" s="55" t="s">
        <v>1106</v>
      </c>
      <c r="AG409" s="14" t="s">
        <v>1274</v>
      </c>
      <c r="AH409" s="14" t="s">
        <v>1275</v>
      </c>
    </row>
    <row r="410" spans="1:34" s="1" customFormat="1">
      <c r="A410" s="25" t="s">
        <v>2482</v>
      </c>
      <c r="B410" s="64" t="s">
        <v>2483</v>
      </c>
      <c r="C410" s="65">
        <v>1</v>
      </c>
      <c r="D410" s="35" t="s">
        <v>2470</v>
      </c>
      <c r="E410" s="29" t="s">
        <v>2482</v>
      </c>
      <c r="F410" s="35">
        <v>69.040000000000006</v>
      </c>
      <c r="G410" s="22">
        <f t="shared" si="102"/>
        <v>0.2</v>
      </c>
      <c r="H410" s="35">
        <f t="shared" si="103"/>
        <v>55.232000000000006</v>
      </c>
      <c r="I410" s="27"/>
      <c r="J410" s="23"/>
      <c r="K410" s="23"/>
      <c r="L410" s="23"/>
      <c r="M410" s="63">
        <v>0</v>
      </c>
      <c r="N410" s="91" t="s">
        <v>75</v>
      </c>
      <c r="O410" s="55" t="s">
        <v>1106</v>
      </c>
      <c r="P410" s="56" t="s">
        <v>504</v>
      </c>
      <c r="Q410" s="56" t="s">
        <v>1273</v>
      </c>
      <c r="R410" s="25" t="s">
        <v>2482</v>
      </c>
      <c r="S410" s="64" t="s">
        <v>2483</v>
      </c>
      <c r="T410" s="65">
        <v>1</v>
      </c>
      <c r="U410" s="35" t="s">
        <v>2470</v>
      </c>
      <c r="V410" s="29" t="s">
        <v>2482</v>
      </c>
      <c r="W410" s="35">
        <v>69.040000000000006</v>
      </c>
      <c r="X410" s="22">
        <f t="shared" si="104"/>
        <v>0.2</v>
      </c>
      <c r="Y410" s="35">
        <f t="shared" si="91"/>
        <v>55.232000000000006</v>
      </c>
      <c r="Z410" s="27"/>
      <c r="AA410" s="23"/>
      <c r="AB410" s="23"/>
      <c r="AC410" s="28"/>
      <c r="AD410" s="63">
        <v>0</v>
      </c>
      <c r="AE410" s="91" t="s">
        <v>75</v>
      </c>
      <c r="AF410" s="55" t="s">
        <v>1106</v>
      </c>
      <c r="AG410" s="14" t="s">
        <v>1274</v>
      </c>
      <c r="AH410" s="14" t="s">
        <v>1275</v>
      </c>
    </row>
    <row r="411" spans="1:34" s="1" customFormat="1">
      <c r="A411" s="25" t="s">
        <v>2484</v>
      </c>
      <c r="B411" s="64" t="s">
        <v>2485</v>
      </c>
      <c r="C411" s="65">
        <v>1</v>
      </c>
      <c r="D411" s="35" t="s">
        <v>2470</v>
      </c>
      <c r="E411" s="29" t="s">
        <v>2484</v>
      </c>
      <c r="F411" s="35">
        <v>69.040000000000006</v>
      </c>
      <c r="G411" s="22">
        <f t="shared" si="102"/>
        <v>0.2</v>
      </c>
      <c r="H411" s="35">
        <f t="shared" si="103"/>
        <v>55.232000000000006</v>
      </c>
      <c r="I411" s="27"/>
      <c r="J411" s="23"/>
      <c r="K411" s="23"/>
      <c r="L411" s="23"/>
      <c r="M411" s="63">
        <v>0</v>
      </c>
      <c r="N411" s="91" t="s">
        <v>75</v>
      </c>
      <c r="O411" s="55" t="s">
        <v>1106</v>
      </c>
      <c r="P411" s="56" t="s">
        <v>504</v>
      </c>
      <c r="Q411" s="56" t="s">
        <v>1273</v>
      </c>
      <c r="R411" s="25" t="s">
        <v>2484</v>
      </c>
      <c r="S411" s="64" t="s">
        <v>2485</v>
      </c>
      <c r="T411" s="65">
        <v>1</v>
      </c>
      <c r="U411" s="35" t="s">
        <v>2470</v>
      </c>
      <c r="V411" s="29" t="s">
        <v>2484</v>
      </c>
      <c r="W411" s="35">
        <v>69.040000000000006</v>
      </c>
      <c r="X411" s="22">
        <f t="shared" si="104"/>
        <v>0.2</v>
      </c>
      <c r="Y411" s="35">
        <f t="shared" si="91"/>
        <v>55.232000000000006</v>
      </c>
      <c r="Z411" s="27"/>
      <c r="AA411" s="23"/>
      <c r="AB411" s="23"/>
      <c r="AC411" s="28"/>
      <c r="AD411" s="63">
        <v>0</v>
      </c>
      <c r="AE411" s="91" t="s">
        <v>75</v>
      </c>
      <c r="AF411" s="55" t="s">
        <v>1106</v>
      </c>
      <c r="AG411" s="14" t="s">
        <v>1274</v>
      </c>
      <c r="AH411" s="14" t="s">
        <v>1275</v>
      </c>
    </row>
    <row r="412" spans="1:34" s="1" customFormat="1">
      <c r="A412" s="25" t="s">
        <v>2486</v>
      </c>
      <c r="B412" s="64" t="s">
        <v>2487</v>
      </c>
      <c r="C412" s="29">
        <v>1</v>
      </c>
      <c r="D412" s="35" t="s">
        <v>1925</v>
      </c>
      <c r="E412" s="29" t="s">
        <v>2486</v>
      </c>
      <c r="F412" s="35">
        <v>89.29</v>
      </c>
      <c r="G412" s="22">
        <f t="shared" si="102"/>
        <v>0.2</v>
      </c>
      <c r="H412" s="35">
        <f t="shared" si="103"/>
        <v>71.432000000000002</v>
      </c>
      <c r="I412" s="27"/>
      <c r="J412" s="23"/>
      <c r="K412" s="23"/>
      <c r="L412" s="23"/>
      <c r="M412" s="63">
        <v>0.02</v>
      </c>
      <c r="N412" s="91" t="s">
        <v>75</v>
      </c>
      <c r="O412" s="55" t="s">
        <v>1106</v>
      </c>
      <c r="P412" s="56" t="s">
        <v>504</v>
      </c>
      <c r="Q412" s="56" t="s">
        <v>1273</v>
      </c>
      <c r="R412" s="25" t="s">
        <v>2486</v>
      </c>
      <c r="S412" s="64" t="s">
        <v>2487</v>
      </c>
      <c r="T412" s="29">
        <v>1</v>
      </c>
      <c r="U412" s="35" t="s">
        <v>1925</v>
      </c>
      <c r="V412" s="29" t="s">
        <v>2486</v>
      </c>
      <c r="W412" s="35">
        <v>89.29</v>
      </c>
      <c r="X412" s="22">
        <f t="shared" si="104"/>
        <v>0.2</v>
      </c>
      <c r="Y412" s="35">
        <f t="shared" si="91"/>
        <v>71.432000000000002</v>
      </c>
      <c r="Z412" s="27"/>
      <c r="AA412" s="23"/>
      <c r="AB412" s="23"/>
      <c r="AC412" s="28"/>
      <c r="AD412" s="63">
        <v>0.02</v>
      </c>
      <c r="AE412" s="91" t="s">
        <v>75</v>
      </c>
      <c r="AF412" s="55" t="s">
        <v>1106</v>
      </c>
      <c r="AG412" s="14" t="s">
        <v>1274</v>
      </c>
      <c r="AH412" s="14" t="s">
        <v>1275</v>
      </c>
    </row>
    <row r="413" spans="1:34" s="121" customFormat="1">
      <c r="A413" s="113" t="s">
        <v>2488</v>
      </c>
      <c r="B413" s="273" t="s">
        <v>2489</v>
      </c>
      <c r="C413" s="115">
        <v>1</v>
      </c>
      <c r="D413" s="116" t="s">
        <v>1925</v>
      </c>
      <c r="E413" s="115" t="s">
        <v>2488</v>
      </c>
      <c r="F413" s="116">
        <v>108.28</v>
      </c>
      <c r="G413" s="138">
        <f t="shared" si="102"/>
        <v>0.2</v>
      </c>
      <c r="H413" s="116">
        <f t="shared" ref="H413" si="105">F413-(F413*G413)</f>
        <v>86.623999999999995</v>
      </c>
      <c r="I413" s="153"/>
      <c r="J413" s="154"/>
      <c r="K413" s="154"/>
      <c r="L413" s="154"/>
      <c r="M413" s="226">
        <v>0.02</v>
      </c>
      <c r="N413" s="91" t="s">
        <v>75</v>
      </c>
      <c r="O413" s="55" t="s">
        <v>1106</v>
      </c>
      <c r="P413" s="56" t="s">
        <v>504</v>
      </c>
      <c r="Q413" s="56" t="s">
        <v>1273</v>
      </c>
      <c r="R413" s="113" t="s">
        <v>2488</v>
      </c>
      <c r="S413" s="273" t="s">
        <v>2489</v>
      </c>
      <c r="T413" s="115">
        <v>1</v>
      </c>
      <c r="U413" s="116" t="s">
        <v>1925</v>
      </c>
      <c r="V413" s="115" t="s">
        <v>2488</v>
      </c>
      <c r="W413" s="116">
        <v>108.28</v>
      </c>
      <c r="X413" s="138">
        <f t="shared" si="104"/>
        <v>0.2</v>
      </c>
      <c r="Y413" s="116">
        <f t="shared" si="91"/>
        <v>86.623999999999995</v>
      </c>
      <c r="Z413" s="153"/>
      <c r="AA413" s="154"/>
      <c r="AB413" s="154"/>
      <c r="AC413" s="154"/>
      <c r="AD413" s="226">
        <v>0.02</v>
      </c>
      <c r="AE413" s="91" t="s">
        <v>75</v>
      </c>
      <c r="AF413" s="55" t="s">
        <v>1106</v>
      </c>
      <c r="AG413" s="56" t="s">
        <v>1274</v>
      </c>
      <c r="AH413" s="56" t="s">
        <v>1275</v>
      </c>
    </row>
    <row r="414" spans="1:34" s="1" customFormat="1">
      <c r="A414" s="25" t="s">
        <v>2490</v>
      </c>
      <c r="B414" s="64" t="s">
        <v>2491</v>
      </c>
      <c r="C414" s="29">
        <v>1</v>
      </c>
      <c r="D414" s="35" t="s">
        <v>1925</v>
      </c>
      <c r="E414" s="29" t="s">
        <v>2490</v>
      </c>
      <c r="F414" s="35">
        <v>47</v>
      </c>
      <c r="G414" s="22">
        <f t="shared" si="102"/>
        <v>0.2</v>
      </c>
      <c r="H414" s="35">
        <f t="shared" si="103"/>
        <v>37.6</v>
      </c>
      <c r="I414" s="27"/>
      <c r="J414" s="23"/>
      <c r="K414" s="23"/>
      <c r="L414" s="23"/>
      <c r="M414" s="63">
        <v>0.02</v>
      </c>
      <c r="N414" s="91" t="s">
        <v>75</v>
      </c>
      <c r="O414" s="55" t="s">
        <v>1106</v>
      </c>
      <c r="P414" s="56" t="s">
        <v>504</v>
      </c>
      <c r="Q414" s="56" t="s">
        <v>1273</v>
      </c>
      <c r="R414" s="25" t="s">
        <v>2490</v>
      </c>
      <c r="S414" s="64" t="s">
        <v>2491</v>
      </c>
      <c r="T414" s="29">
        <v>1</v>
      </c>
      <c r="U414" s="35" t="s">
        <v>1925</v>
      </c>
      <c r="V414" s="29" t="s">
        <v>2490</v>
      </c>
      <c r="W414" s="35">
        <v>47</v>
      </c>
      <c r="X414" s="22">
        <f t="shared" si="104"/>
        <v>0.2</v>
      </c>
      <c r="Y414" s="35">
        <f t="shared" si="91"/>
        <v>37.6</v>
      </c>
      <c r="Z414" s="27"/>
      <c r="AA414" s="23"/>
      <c r="AB414" s="23"/>
      <c r="AC414" s="28"/>
      <c r="AD414" s="63">
        <v>0.02</v>
      </c>
      <c r="AE414" s="91" t="s">
        <v>75</v>
      </c>
      <c r="AF414" s="55" t="s">
        <v>1106</v>
      </c>
      <c r="AG414" s="14" t="s">
        <v>1274</v>
      </c>
      <c r="AH414" s="14" t="s">
        <v>1275</v>
      </c>
    </row>
    <row r="415" spans="1:34" s="1" customFormat="1">
      <c r="A415" s="25" t="s">
        <v>2492</v>
      </c>
      <c r="B415" s="64" t="s">
        <v>2493</v>
      </c>
      <c r="C415" s="65">
        <v>1</v>
      </c>
      <c r="D415" s="35" t="s">
        <v>1925</v>
      </c>
      <c r="E415" s="29" t="s">
        <v>2492</v>
      </c>
      <c r="F415" s="35">
        <v>53.06</v>
      </c>
      <c r="G415" s="22">
        <f>rv_30</f>
        <v>0.3</v>
      </c>
      <c r="H415" s="35">
        <f t="shared" si="103"/>
        <v>37.142000000000003</v>
      </c>
      <c r="I415" s="27"/>
      <c r="J415" s="23"/>
      <c r="K415" s="23"/>
      <c r="L415" s="23"/>
      <c r="M415" s="63">
        <v>0.05</v>
      </c>
      <c r="N415" s="91" t="s">
        <v>75</v>
      </c>
      <c r="O415" s="55" t="s">
        <v>1106</v>
      </c>
      <c r="P415" s="56" t="s">
        <v>504</v>
      </c>
      <c r="Q415" s="56" t="s">
        <v>1273</v>
      </c>
      <c r="R415" s="25" t="s">
        <v>2492</v>
      </c>
      <c r="S415" s="64" t="s">
        <v>2493</v>
      </c>
      <c r="T415" s="65">
        <v>1</v>
      </c>
      <c r="U415" s="35" t="s">
        <v>1925</v>
      </c>
      <c r="V415" s="29" t="s">
        <v>2492</v>
      </c>
      <c r="W415" s="35">
        <v>53.06</v>
      </c>
      <c r="X415" s="22">
        <f>rv_30</f>
        <v>0.3</v>
      </c>
      <c r="Y415" s="35">
        <f t="shared" si="91"/>
        <v>37.142000000000003</v>
      </c>
      <c r="Z415" s="27"/>
      <c r="AA415" s="23"/>
      <c r="AB415" s="23"/>
      <c r="AC415" s="28"/>
      <c r="AD415" s="63">
        <v>0.05</v>
      </c>
      <c r="AE415" s="91" t="s">
        <v>75</v>
      </c>
      <c r="AF415" s="55" t="s">
        <v>1106</v>
      </c>
      <c r="AG415" s="14" t="s">
        <v>1274</v>
      </c>
      <c r="AH415" s="14" t="s">
        <v>1275</v>
      </c>
    </row>
    <row r="416" spans="1:34" s="1" customFormat="1">
      <c r="A416" s="25"/>
      <c r="B416" s="64"/>
      <c r="C416" s="65"/>
      <c r="D416" s="35"/>
      <c r="E416" s="148"/>
      <c r="F416" s="35"/>
      <c r="G416" s="22"/>
      <c r="H416" s="35"/>
      <c r="I416" s="27"/>
      <c r="J416" s="23"/>
      <c r="K416" s="23"/>
      <c r="L416" s="23"/>
      <c r="M416" s="63"/>
      <c r="N416" s="91"/>
      <c r="O416" s="55"/>
      <c r="P416" s="56"/>
      <c r="Q416" s="56"/>
      <c r="R416" s="25" t="s">
        <v>2494</v>
      </c>
      <c r="S416" s="64" t="s">
        <v>2495</v>
      </c>
      <c r="T416" s="65">
        <v>1</v>
      </c>
      <c r="U416" s="35" t="s">
        <v>2496</v>
      </c>
      <c r="V416" s="148" t="s">
        <v>2494</v>
      </c>
      <c r="W416" s="35">
        <v>52.07</v>
      </c>
      <c r="X416" s="22">
        <f t="shared" ref="X416:X421" si="106">rv_20</f>
        <v>0.2</v>
      </c>
      <c r="Y416" s="35">
        <f t="shared" si="91"/>
        <v>41.655999999999999</v>
      </c>
      <c r="Z416" s="27"/>
      <c r="AA416" s="23"/>
      <c r="AB416" s="23"/>
      <c r="AC416" s="28"/>
      <c r="AD416" s="63">
        <v>0</v>
      </c>
      <c r="AE416" s="91" t="s">
        <v>75</v>
      </c>
      <c r="AF416" s="55" t="s">
        <v>1106</v>
      </c>
      <c r="AG416" s="14" t="s">
        <v>1274</v>
      </c>
      <c r="AH416" s="14" t="s">
        <v>1275</v>
      </c>
    </row>
    <row r="417" spans="1:34" s="1" customFormat="1">
      <c r="A417" s="25" t="s">
        <v>2497</v>
      </c>
      <c r="B417" s="64" t="s">
        <v>2498</v>
      </c>
      <c r="C417" s="65">
        <v>1</v>
      </c>
      <c r="D417" s="35" t="s">
        <v>2496</v>
      </c>
      <c r="E417" s="148" t="s">
        <v>2497</v>
      </c>
      <c r="F417" s="35">
        <v>35.380000000000003</v>
      </c>
      <c r="G417" s="22">
        <f t="shared" ref="G417:G423" si="107">rv_20</f>
        <v>0.2</v>
      </c>
      <c r="H417" s="35">
        <f t="shared" si="103"/>
        <v>28.304000000000002</v>
      </c>
      <c r="I417" s="27"/>
      <c r="J417" s="23"/>
      <c r="K417" s="23"/>
      <c r="L417" s="23"/>
      <c r="M417" s="63">
        <v>0</v>
      </c>
      <c r="N417" s="91" t="s">
        <v>75</v>
      </c>
      <c r="O417" s="55" t="s">
        <v>1106</v>
      </c>
      <c r="P417" s="56" t="s">
        <v>504</v>
      </c>
      <c r="Q417" s="56" t="s">
        <v>1273</v>
      </c>
      <c r="R417" s="25" t="s">
        <v>2497</v>
      </c>
      <c r="S417" s="64" t="s">
        <v>2498</v>
      </c>
      <c r="T417" s="65">
        <v>1</v>
      </c>
      <c r="U417" s="35" t="s">
        <v>2496</v>
      </c>
      <c r="V417" s="148" t="s">
        <v>2497</v>
      </c>
      <c r="W417" s="35">
        <v>35.380000000000003</v>
      </c>
      <c r="X417" s="22">
        <f t="shared" si="106"/>
        <v>0.2</v>
      </c>
      <c r="Y417" s="35">
        <f t="shared" si="91"/>
        <v>28.304000000000002</v>
      </c>
      <c r="Z417" s="27"/>
      <c r="AA417" s="23"/>
      <c r="AB417" s="23"/>
      <c r="AC417" s="28"/>
      <c r="AD417" s="63">
        <v>0</v>
      </c>
      <c r="AE417" s="91" t="s">
        <v>75</v>
      </c>
      <c r="AF417" s="55" t="s">
        <v>1106</v>
      </c>
      <c r="AG417" s="14" t="s">
        <v>1274</v>
      </c>
      <c r="AH417" s="14" t="s">
        <v>1275</v>
      </c>
    </row>
    <row r="418" spans="1:34" s="1" customFormat="1">
      <c r="A418" s="25" t="s">
        <v>2499</v>
      </c>
      <c r="B418" s="64" t="s">
        <v>2500</v>
      </c>
      <c r="C418" s="65">
        <v>1</v>
      </c>
      <c r="D418" s="35" t="s">
        <v>2496</v>
      </c>
      <c r="E418" s="148" t="s">
        <v>2499</v>
      </c>
      <c r="F418" s="35">
        <v>52.4</v>
      </c>
      <c r="G418" s="22">
        <f t="shared" si="107"/>
        <v>0.2</v>
      </c>
      <c r="H418" s="35">
        <f t="shared" si="103"/>
        <v>41.92</v>
      </c>
      <c r="I418" s="27"/>
      <c r="J418" s="23"/>
      <c r="K418" s="23"/>
      <c r="L418" s="23"/>
      <c r="M418" s="63">
        <v>0</v>
      </c>
      <c r="N418" s="91" t="s">
        <v>75</v>
      </c>
      <c r="O418" s="55" t="s">
        <v>1106</v>
      </c>
      <c r="P418" s="56" t="s">
        <v>504</v>
      </c>
      <c r="Q418" s="56" t="s">
        <v>1273</v>
      </c>
      <c r="R418" s="25" t="s">
        <v>2499</v>
      </c>
      <c r="S418" s="64" t="s">
        <v>2501</v>
      </c>
      <c r="T418" s="65">
        <v>1</v>
      </c>
      <c r="U418" s="35" t="s">
        <v>2496</v>
      </c>
      <c r="V418" s="148" t="s">
        <v>2499</v>
      </c>
      <c r="W418" s="35">
        <v>45.48</v>
      </c>
      <c r="X418" s="22">
        <f t="shared" si="106"/>
        <v>0.2</v>
      </c>
      <c r="Y418" s="35">
        <f t="shared" si="91"/>
        <v>36.384</v>
      </c>
      <c r="Z418" s="27"/>
      <c r="AA418" s="23"/>
      <c r="AB418" s="23"/>
      <c r="AC418" s="28"/>
      <c r="AD418" s="63">
        <v>0</v>
      </c>
      <c r="AE418" s="91" t="s">
        <v>75</v>
      </c>
      <c r="AF418" s="55" t="s">
        <v>1106</v>
      </c>
      <c r="AG418" s="14" t="s">
        <v>1274</v>
      </c>
      <c r="AH418" s="14" t="s">
        <v>1275</v>
      </c>
    </row>
    <row r="419" spans="1:34" s="1" customFormat="1">
      <c r="A419" s="25"/>
      <c r="B419" s="64"/>
      <c r="C419" s="65"/>
      <c r="D419" s="35"/>
      <c r="E419" s="148"/>
      <c r="F419" s="35"/>
      <c r="G419" s="22"/>
      <c r="H419" s="35"/>
      <c r="I419" s="27"/>
      <c r="J419" s="23"/>
      <c r="K419" s="23"/>
      <c r="L419" s="23"/>
      <c r="M419" s="63"/>
      <c r="N419" s="91"/>
      <c r="O419" s="55"/>
      <c r="P419" s="56"/>
      <c r="Q419" s="56"/>
      <c r="R419" s="25" t="s">
        <v>2494</v>
      </c>
      <c r="S419" s="64" t="s">
        <v>2502</v>
      </c>
      <c r="T419" s="65">
        <v>1</v>
      </c>
      <c r="U419" s="35" t="s">
        <v>2496</v>
      </c>
      <c r="V419" s="148" t="s">
        <v>2494</v>
      </c>
      <c r="W419" s="35">
        <v>52.07</v>
      </c>
      <c r="X419" s="22">
        <f t="shared" si="106"/>
        <v>0.2</v>
      </c>
      <c r="Y419" s="35">
        <f t="shared" si="91"/>
        <v>41.655999999999999</v>
      </c>
      <c r="Z419" s="27"/>
      <c r="AA419" s="23"/>
      <c r="AB419" s="23"/>
      <c r="AC419" s="28"/>
      <c r="AD419" s="63">
        <v>0</v>
      </c>
      <c r="AE419" s="91" t="s">
        <v>75</v>
      </c>
      <c r="AF419" s="55" t="s">
        <v>1106</v>
      </c>
      <c r="AG419" s="14" t="s">
        <v>1274</v>
      </c>
      <c r="AH419" s="14" t="s">
        <v>1275</v>
      </c>
    </row>
    <row r="420" spans="1:34" s="1" customFormat="1">
      <c r="A420" s="25"/>
      <c r="B420" s="64"/>
      <c r="C420" s="65"/>
      <c r="D420" s="35"/>
      <c r="E420" s="148"/>
      <c r="F420" s="35"/>
      <c r="G420" s="22"/>
      <c r="H420" s="35"/>
      <c r="I420" s="27"/>
      <c r="J420" s="23"/>
      <c r="K420" s="23"/>
      <c r="L420" s="23"/>
      <c r="M420" s="63"/>
      <c r="N420" s="91"/>
      <c r="O420" s="55"/>
      <c r="P420" s="56"/>
      <c r="Q420" s="56"/>
      <c r="R420" s="25" t="s">
        <v>2503</v>
      </c>
      <c r="S420" s="64" t="s">
        <v>2504</v>
      </c>
      <c r="T420" s="65">
        <v>1</v>
      </c>
      <c r="U420" s="35" t="s">
        <v>2496</v>
      </c>
      <c r="V420" s="148" t="s">
        <v>2503</v>
      </c>
      <c r="W420" s="35">
        <v>125.04</v>
      </c>
      <c r="X420" s="22">
        <f t="shared" si="106"/>
        <v>0.2</v>
      </c>
      <c r="Y420" s="35">
        <f t="shared" si="91"/>
        <v>100.03200000000001</v>
      </c>
      <c r="Z420" s="27"/>
      <c r="AA420" s="23"/>
      <c r="AB420" s="23"/>
      <c r="AC420" s="28"/>
      <c r="AD420" s="63">
        <v>0.05</v>
      </c>
      <c r="AE420" s="91" t="s">
        <v>75</v>
      </c>
      <c r="AF420" s="55" t="s">
        <v>1106</v>
      </c>
      <c r="AG420" s="14" t="s">
        <v>1274</v>
      </c>
      <c r="AH420" s="14" t="s">
        <v>1275</v>
      </c>
    </row>
    <row r="421" spans="1:34" s="1" customFormat="1">
      <c r="A421" s="25"/>
      <c r="B421" s="64"/>
      <c r="C421" s="65"/>
      <c r="D421" s="35"/>
      <c r="E421" s="148"/>
      <c r="F421" s="35"/>
      <c r="G421" s="22"/>
      <c r="H421" s="35"/>
      <c r="I421" s="27"/>
      <c r="J421" s="23"/>
      <c r="K421" s="23"/>
      <c r="L421" s="23"/>
      <c r="M421" s="63"/>
      <c r="N421" s="91"/>
      <c r="O421" s="55"/>
      <c r="P421" s="56"/>
      <c r="Q421" s="56"/>
      <c r="R421" s="25" t="s">
        <v>2505</v>
      </c>
      <c r="S421" s="64" t="s">
        <v>2506</v>
      </c>
      <c r="T421" s="65">
        <v>1</v>
      </c>
      <c r="U421" s="35" t="s">
        <v>2496</v>
      </c>
      <c r="V421" s="148" t="s">
        <v>2505</v>
      </c>
      <c r="W421" s="35">
        <v>416.3</v>
      </c>
      <c r="X421" s="22">
        <f t="shared" si="106"/>
        <v>0.2</v>
      </c>
      <c r="Y421" s="35">
        <f t="shared" ref="Y421:Y486" si="108">W421-(W421*X421)</f>
        <v>333.04</v>
      </c>
      <c r="Z421" s="27"/>
      <c r="AA421" s="23"/>
      <c r="AB421" s="23"/>
      <c r="AC421" s="28"/>
      <c r="AD421" s="63">
        <v>0.2</v>
      </c>
      <c r="AE421" s="91" t="s">
        <v>75</v>
      </c>
      <c r="AF421" s="55" t="s">
        <v>1106</v>
      </c>
      <c r="AG421" s="14" t="s">
        <v>1274</v>
      </c>
      <c r="AH421" s="14" t="s">
        <v>1275</v>
      </c>
    </row>
    <row r="422" spans="1:34" s="1" customFormat="1">
      <c r="A422" s="602"/>
      <c r="B422" s="603"/>
      <c r="C422" s="292"/>
      <c r="D422" s="293"/>
      <c r="E422" s="233"/>
      <c r="F422" s="116"/>
      <c r="G422" s="138"/>
      <c r="H422" s="116"/>
      <c r="I422" s="27"/>
      <c r="J422" s="23"/>
      <c r="K422" s="23"/>
      <c r="L422" s="23"/>
      <c r="M422" s="63"/>
      <c r="N422" s="58"/>
      <c r="O422" s="336"/>
      <c r="P422" s="330"/>
      <c r="Q422" s="330"/>
      <c r="R422" s="25" t="s">
        <v>2507</v>
      </c>
      <c r="S422" s="64" t="s">
        <v>2508</v>
      </c>
      <c r="T422" s="65">
        <v>1</v>
      </c>
      <c r="U422" s="35" t="s">
        <v>2496</v>
      </c>
      <c r="V422" s="148" t="s">
        <v>2507</v>
      </c>
      <c r="W422" s="35">
        <v>130.5</v>
      </c>
      <c r="X422" s="22">
        <f t="shared" ref="X422" si="109">rv_20</f>
        <v>0.2</v>
      </c>
      <c r="Y422" s="35">
        <f t="shared" si="108"/>
        <v>104.4</v>
      </c>
      <c r="Z422" s="27"/>
      <c r="AA422" s="23"/>
      <c r="AB422" s="23"/>
      <c r="AC422" s="28"/>
      <c r="AD422" s="63">
        <v>0.05</v>
      </c>
      <c r="AE422" s="91" t="s">
        <v>75</v>
      </c>
      <c r="AF422" s="55" t="s">
        <v>1106</v>
      </c>
      <c r="AG422" s="14" t="s">
        <v>1274</v>
      </c>
      <c r="AH422" s="14" t="s">
        <v>1275</v>
      </c>
    </row>
    <row r="423" spans="1:34" s="1" customFormat="1">
      <c r="A423" s="602" t="s">
        <v>2509</v>
      </c>
      <c r="B423" s="603" t="s">
        <v>2510</v>
      </c>
      <c r="C423" s="292">
        <v>1</v>
      </c>
      <c r="D423" s="116" t="s">
        <v>2376</v>
      </c>
      <c r="E423" s="115" t="s">
        <v>2509</v>
      </c>
      <c r="F423" s="116">
        <v>13.39</v>
      </c>
      <c r="G423" s="138">
        <f t="shared" si="107"/>
        <v>0.2</v>
      </c>
      <c r="H423" s="116">
        <f t="shared" si="103"/>
        <v>10.712</v>
      </c>
      <c r="I423" s="27"/>
      <c r="J423" s="23"/>
      <c r="K423" s="23"/>
      <c r="L423" s="23"/>
      <c r="M423" s="63">
        <v>0.02</v>
      </c>
      <c r="N423" s="91" t="s">
        <v>75</v>
      </c>
      <c r="O423" s="55" t="s">
        <v>1106</v>
      </c>
      <c r="P423" s="56" t="s">
        <v>504</v>
      </c>
      <c r="Q423" s="56" t="s">
        <v>1273</v>
      </c>
      <c r="R423" s="25"/>
      <c r="S423" s="64"/>
      <c r="T423" s="65"/>
      <c r="U423" s="35"/>
      <c r="V423" s="148"/>
      <c r="W423" s="35"/>
      <c r="X423" s="22"/>
      <c r="Y423" s="35"/>
      <c r="Z423" s="27"/>
      <c r="AA423" s="23"/>
      <c r="AB423" s="23"/>
      <c r="AC423" s="28"/>
      <c r="AD423" s="63"/>
      <c r="AE423" s="91"/>
      <c r="AF423" s="55"/>
      <c r="AG423" s="14"/>
      <c r="AH423" s="14"/>
    </row>
    <row r="424" spans="1:34" s="1" customFormat="1">
      <c r="A424" s="25" t="s">
        <v>2511</v>
      </c>
      <c r="B424" s="64" t="s">
        <v>2512</v>
      </c>
      <c r="C424" s="65">
        <v>1</v>
      </c>
      <c r="D424" s="35" t="s">
        <v>2513</v>
      </c>
      <c r="E424" s="29" t="s">
        <v>2511</v>
      </c>
      <c r="F424" s="35">
        <v>119.04</v>
      </c>
      <c r="G424" s="22">
        <f>rv_30</f>
        <v>0.3</v>
      </c>
      <c r="H424" s="35">
        <f t="shared" si="103"/>
        <v>83.328000000000003</v>
      </c>
      <c r="I424" s="27"/>
      <c r="J424" s="23"/>
      <c r="K424" s="23"/>
      <c r="L424" s="23"/>
      <c r="M424" s="63">
        <v>0.1</v>
      </c>
      <c r="N424" s="91" t="s">
        <v>75</v>
      </c>
      <c r="O424" s="55" t="s">
        <v>1106</v>
      </c>
      <c r="P424" s="56" t="s">
        <v>504</v>
      </c>
      <c r="Q424" s="56" t="s">
        <v>1273</v>
      </c>
      <c r="R424" s="25" t="s">
        <v>2511</v>
      </c>
      <c r="S424" s="64" t="s">
        <v>2512</v>
      </c>
      <c r="T424" s="65">
        <v>1</v>
      </c>
      <c r="U424" s="35" t="s">
        <v>2513</v>
      </c>
      <c r="V424" s="29" t="s">
        <v>2511</v>
      </c>
      <c r="W424" s="35">
        <v>119.04</v>
      </c>
      <c r="X424" s="22">
        <f>rv_30</f>
        <v>0.3</v>
      </c>
      <c r="Y424" s="35">
        <f t="shared" si="108"/>
        <v>83.328000000000003</v>
      </c>
      <c r="Z424" s="27"/>
      <c r="AA424" s="23"/>
      <c r="AB424" s="23"/>
      <c r="AC424" s="28"/>
      <c r="AD424" s="63">
        <v>0.1</v>
      </c>
      <c r="AE424" s="91" t="s">
        <v>75</v>
      </c>
      <c r="AF424" s="55" t="s">
        <v>1106</v>
      </c>
      <c r="AG424" s="14" t="s">
        <v>1274</v>
      </c>
      <c r="AH424" s="14" t="s">
        <v>1275</v>
      </c>
    </row>
    <row r="425" spans="1:34" s="1" customFormat="1">
      <c r="A425" s="25">
        <v>103201323</v>
      </c>
      <c r="B425" s="64" t="s">
        <v>2514</v>
      </c>
      <c r="C425" s="65">
        <v>1</v>
      </c>
      <c r="D425" s="35" t="s">
        <v>2513</v>
      </c>
      <c r="E425" s="29">
        <v>103201323</v>
      </c>
      <c r="F425" s="35">
        <v>56.22</v>
      </c>
      <c r="G425" s="22">
        <f>rv_30</f>
        <v>0.3</v>
      </c>
      <c r="H425" s="35">
        <f t="shared" si="103"/>
        <v>39.353999999999999</v>
      </c>
      <c r="I425" s="27"/>
      <c r="J425" s="23"/>
      <c r="K425" s="23"/>
      <c r="L425" s="23"/>
      <c r="M425" s="63">
        <v>0.1</v>
      </c>
      <c r="N425" s="91" t="s">
        <v>75</v>
      </c>
      <c r="O425" s="55" t="s">
        <v>1106</v>
      </c>
      <c r="P425" s="56" t="s">
        <v>504</v>
      </c>
      <c r="Q425" s="56" t="s">
        <v>1273</v>
      </c>
      <c r="R425" s="25">
        <v>103201323</v>
      </c>
      <c r="S425" s="64" t="s">
        <v>2514</v>
      </c>
      <c r="T425" s="65">
        <v>1</v>
      </c>
      <c r="U425" s="35" t="s">
        <v>2513</v>
      </c>
      <c r="V425" s="29">
        <v>103201323</v>
      </c>
      <c r="W425" s="35">
        <v>56.22</v>
      </c>
      <c r="X425" s="22">
        <f>rv_30</f>
        <v>0.3</v>
      </c>
      <c r="Y425" s="35">
        <f t="shared" si="108"/>
        <v>39.353999999999999</v>
      </c>
      <c r="Z425" s="27"/>
      <c r="AA425" s="23"/>
      <c r="AB425" s="23"/>
      <c r="AC425" s="28"/>
      <c r="AD425" s="63">
        <v>0.1</v>
      </c>
      <c r="AE425" s="91" t="s">
        <v>75</v>
      </c>
      <c r="AF425" s="55" t="s">
        <v>1106</v>
      </c>
      <c r="AG425" s="14" t="s">
        <v>1274</v>
      </c>
      <c r="AH425" s="14" t="s">
        <v>1275</v>
      </c>
    </row>
    <row r="426" spans="1:34" s="1" customFormat="1">
      <c r="A426" s="25" t="s">
        <v>2515</v>
      </c>
      <c r="B426" s="327" t="s">
        <v>2516</v>
      </c>
      <c r="C426" s="181">
        <v>1</v>
      </c>
      <c r="D426" s="108" t="s">
        <v>2517</v>
      </c>
      <c r="E426" s="105" t="s">
        <v>2515</v>
      </c>
      <c r="F426" s="108">
        <v>4455.87</v>
      </c>
      <c r="G426" s="109">
        <f t="shared" ref="G426:G457" si="110">rv_10</f>
        <v>0.1</v>
      </c>
      <c r="H426" s="108">
        <f t="shared" si="103"/>
        <v>4010.2829999999999</v>
      </c>
      <c r="I426" s="27"/>
      <c r="J426" s="23"/>
      <c r="K426" s="23"/>
      <c r="L426" s="23"/>
      <c r="M426" s="63"/>
      <c r="N426" s="91" t="s">
        <v>75</v>
      </c>
      <c r="O426" s="55" t="s">
        <v>1106</v>
      </c>
      <c r="P426" s="56" t="s">
        <v>504</v>
      </c>
      <c r="Q426" s="56" t="s">
        <v>1273</v>
      </c>
      <c r="R426" s="25" t="s">
        <v>2515</v>
      </c>
      <c r="S426" s="149" t="s">
        <v>2516</v>
      </c>
      <c r="T426" s="150">
        <v>1</v>
      </c>
      <c r="U426" s="128" t="s">
        <v>2517</v>
      </c>
      <c r="V426" s="127" t="s">
        <v>2515</v>
      </c>
      <c r="W426" s="128">
        <v>4455.87</v>
      </c>
      <c r="X426" s="151">
        <f t="shared" ref="X426:X478" si="111">rv_10</f>
        <v>0.1</v>
      </c>
      <c r="Y426" s="128">
        <f t="shared" si="108"/>
        <v>4010.2829999999999</v>
      </c>
      <c r="Z426" s="27"/>
      <c r="AA426" s="23"/>
      <c r="AB426" s="23"/>
      <c r="AC426" s="28"/>
      <c r="AD426" s="63"/>
      <c r="AE426" s="91" t="s">
        <v>75</v>
      </c>
      <c r="AF426" s="55" t="s">
        <v>1106</v>
      </c>
      <c r="AG426" s="14" t="s">
        <v>2010</v>
      </c>
      <c r="AH426" s="14" t="s">
        <v>2011</v>
      </c>
    </row>
    <row r="427" spans="1:34" s="1" customFormat="1">
      <c r="A427" s="25" t="s">
        <v>2518</v>
      </c>
      <c r="B427" s="64" t="s">
        <v>2519</v>
      </c>
      <c r="C427" s="65">
        <v>1</v>
      </c>
      <c r="D427" s="35" t="s">
        <v>2517</v>
      </c>
      <c r="E427" s="29" t="s">
        <v>2518</v>
      </c>
      <c r="F427" s="35">
        <v>357.59</v>
      </c>
      <c r="G427" s="22">
        <f t="shared" si="110"/>
        <v>0.1</v>
      </c>
      <c r="H427" s="35">
        <f t="shared" si="103"/>
        <v>321.83099999999996</v>
      </c>
      <c r="I427" s="27"/>
      <c r="J427" s="23"/>
      <c r="K427" s="23"/>
      <c r="L427" s="23"/>
      <c r="M427" s="63"/>
      <c r="N427" s="91" t="s">
        <v>75</v>
      </c>
      <c r="O427" s="55" t="s">
        <v>1106</v>
      </c>
      <c r="P427" s="56" t="s">
        <v>504</v>
      </c>
      <c r="Q427" s="56" t="s">
        <v>1273</v>
      </c>
      <c r="R427" s="25" t="s">
        <v>2518</v>
      </c>
      <c r="S427" s="64" t="s">
        <v>2519</v>
      </c>
      <c r="T427" s="65">
        <v>1</v>
      </c>
      <c r="U427" s="35" t="s">
        <v>2517</v>
      </c>
      <c r="V427" s="29" t="s">
        <v>2518</v>
      </c>
      <c r="W427" s="35">
        <v>357.59</v>
      </c>
      <c r="X427" s="22">
        <f t="shared" si="111"/>
        <v>0.1</v>
      </c>
      <c r="Y427" s="35">
        <f t="shared" si="108"/>
        <v>321.83099999999996</v>
      </c>
      <c r="Z427" s="27"/>
      <c r="AA427" s="23"/>
      <c r="AB427" s="23"/>
      <c r="AC427" s="28"/>
      <c r="AD427" s="63"/>
      <c r="AE427" s="91" t="s">
        <v>75</v>
      </c>
      <c r="AF427" s="55" t="s">
        <v>1106</v>
      </c>
      <c r="AG427" s="14" t="s">
        <v>1770</v>
      </c>
      <c r="AH427" s="14" t="s">
        <v>1771</v>
      </c>
    </row>
    <row r="428" spans="1:34" s="1" customFormat="1">
      <c r="A428" s="25" t="s">
        <v>2520</v>
      </c>
      <c r="B428" s="64" t="s">
        <v>2521</v>
      </c>
      <c r="C428" s="65">
        <v>1</v>
      </c>
      <c r="D428" s="35" t="s">
        <v>2517</v>
      </c>
      <c r="E428" s="29" t="s">
        <v>2520</v>
      </c>
      <c r="F428" s="35">
        <v>391.11</v>
      </c>
      <c r="G428" s="22">
        <f t="shared" si="110"/>
        <v>0.1</v>
      </c>
      <c r="H428" s="35">
        <f t="shared" si="103"/>
        <v>351.99900000000002</v>
      </c>
      <c r="I428" s="27"/>
      <c r="J428" s="23"/>
      <c r="K428" s="23"/>
      <c r="L428" s="23"/>
      <c r="M428" s="63"/>
      <c r="N428" s="91" t="s">
        <v>75</v>
      </c>
      <c r="O428" s="55" t="s">
        <v>1106</v>
      </c>
      <c r="P428" s="56" t="s">
        <v>504</v>
      </c>
      <c r="Q428" s="56" t="s">
        <v>1273</v>
      </c>
      <c r="R428" s="25" t="s">
        <v>2520</v>
      </c>
      <c r="S428" s="64" t="s">
        <v>2521</v>
      </c>
      <c r="T428" s="65">
        <v>1</v>
      </c>
      <c r="U428" s="35" t="s">
        <v>2517</v>
      </c>
      <c r="V428" s="29" t="s">
        <v>2520</v>
      </c>
      <c r="W428" s="35">
        <v>391.11</v>
      </c>
      <c r="X428" s="22">
        <f t="shared" si="111"/>
        <v>0.1</v>
      </c>
      <c r="Y428" s="35">
        <f t="shared" si="108"/>
        <v>351.99900000000002</v>
      </c>
      <c r="Z428" s="27"/>
      <c r="AA428" s="23"/>
      <c r="AB428" s="23"/>
      <c r="AC428" s="28"/>
      <c r="AD428" s="63"/>
      <c r="AE428" s="91" t="s">
        <v>75</v>
      </c>
      <c r="AF428" s="55" t="s">
        <v>1106</v>
      </c>
      <c r="AG428" s="14" t="s">
        <v>1774</v>
      </c>
      <c r="AH428" s="14" t="s">
        <v>1775</v>
      </c>
    </row>
    <row r="429" spans="1:34" s="1" customFormat="1">
      <c r="A429" s="25" t="s">
        <v>2522</v>
      </c>
      <c r="B429" s="64" t="s">
        <v>2523</v>
      </c>
      <c r="C429" s="65">
        <v>1</v>
      </c>
      <c r="D429" s="35" t="s">
        <v>2517</v>
      </c>
      <c r="E429" s="29" t="s">
        <v>2522</v>
      </c>
      <c r="F429" s="35">
        <v>111.75</v>
      </c>
      <c r="G429" s="22">
        <f t="shared" si="110"/>
        <v>0.1</v>
      </c>
      <c r="H429" s="35">
        <f t="shared" si="103"/>
        <v>100.575</v>
      </c>
      <c r="I429" s="27"/>
      <c r="J429" s="23"/>
      <c r="K429" s="23"/>
      <c r="L429" s="23"/>
      <c r="M429" s="63"/>
      <c r="N429" s="91" t="s">
        <v>75</v>
      </c>
      <c r="O429" s="55" t="s">
        <v>1106</v>
      </c>
      <c r="P429" s="56" t="s">
        <v>504</v>
      </c>
      <c r="Q429" s="56" t="s">
        <v>1273</v>
      </c>
      <c r="R429" s="25" t="s">
        <v>2522</v>
      </c>
      <c r="S429" s="64" t="s">
        <v>2523</v>
      </c>
      <c r="T429" s="65">
        <v>1</v>
      </c>
      <c r="U429" s="35" t="s">
        <v>2517</v>
      </c>
      <c r="V429" s="29" t="s">
        <v>2522</v>
      </c>
      <c r="W429" s="35">
        <v>111.75</v>
      </c>
      <c r="X429" s="22">
        <f t="shared" si="111"/>
        <v>0.1</v>
      </c>
      <c r="Y429" s="35">
        <f t="shared" si="108"/>
        <v>100.575</v>
      </c>
      <c r="Z429" s="27"/>
      <c r="AA429" s="23"/>
      <c r="AB429" s="23"/>
      <c r="AC429" s="28"/>
      <c r="AD429" s="63"/>
      <c r="AE429" s="91" t="s">
        <v>75</v>
      </c>
      <c r="AF429" s="55" t="s">
        <v>1106</v>
      </c>
      <c r="AG429" s="14" t="s">
        <v>1778</v>
      </c>
      <c r="AH429" s="14" t="s">
        <v>1779</v>
      </c>
    </row>
    <row r="430" spans="1:34" s="1" customFormat="1">
      <c r="A430" s="25" t="s">
        <v>2524</v>
      </c>
      <c r="B430" s="64" t="s">
        <v>2525</v>
      </c>
      <c r="C430" s="65">
        <v>1</v>
      </c>
      <c r="D430" s="35" t="s">
        <v>2517</v>
      </c>
      <c r="E430" s="29" t="s">
        <v>2524</v>
      </c>
      <c r="F430" s="35">
        <v>251.43</v>
      </c>
      <c r="G430" s="22">
        <f t="shared" si="110"/>
        <v>0.1</v>
      </c>
      <c r="H430" s="35">
        <f t="shared" si="103"/>
        <v>226.28700000000001</v>
      </c>
      <c r="I430" s="27"/>
      <c r="J430" s="23"/>
      <c r="K430" s="23"/>
      <c r="L430" s="23"/>
      <c r="M430" s="63"/>
      <c r="N430" s="91" t="s">
        <v>75</v>
      </c>
      <c r="O430" s="55" t="s">
        <v>1106</v>
      </c>
      <c r="P430" s="56" t="s">
        <v>504</v>
      </c>
      <c r="Q430" s="56" t="s">
        <v>1273</v>
      </c>
      <c r="R430" s="25" t="s">
        <v>2524</v>
      </c>
      <c r="S430" s="64" t="s">
        <v>2525</v>
      </c>
      <c r="T430" s="65">
        <v>1</v>
      </c>
      <c r="U430" s="35" t="s">
        <v>2517</v>
      </c>
      <c r="V430" s="29" t="s">
        <v>2524</v>
      </c>
      <c r="W430" s="35">
        <v>251.43</v>
      </c>
      <c r="X430" s="22">
        <f t="shared" si="111"/>
        <v>0.1</v>
      </c>
      <c r="Y430" s="35">
        <f t="shared" si="108"/>
        <v>226.28700000000001</v>
      </c>
      <c r="Z430" s="27"/>
      <c r="AA430" s="23"/>
      <c r="AB430" s="23"/>
      <c r="AC430" s="28"/>
      <c r="AD430" s="63"/>
      <c r="AE430" s="91" t="s">
        <v>75</v>
      </c>
      <c r="AF430" s="55" t="s">
        <v>1106</v>
      </c>
      <c r="AG430" s="14" t="s">
        <v>2084</v>
      </c>
      <c r="AH430" s="14" t="s">
        <v>2526</v>
      </c>
    </row>
    <row r="431" spans="1:34" s="1" customFormat="1">
      <c r="A431" s="25" t="s">
        <v>2527</v>
      </c>
      <c r="B431" s="64" t="s">
        <v>2528</v>
      </c>
      <c r="C431" s="65">
        <v>1</v>
      </c>
      <c r="D431" s="35" t="s">
        <v>2517</v>
      </c>
      <c r="E431" s="29" t="s">
        <v>2527</v>
      </c>
      <c r="F431" s="35">
        <v>749.21</v>
      </c>
      <c r="G431" s="22">
        <f t="shared" si="110"/>
        <v>0.1</v>
      </c>
      <c r="H431" s="35">
        <f t="shared" si="103"/>
        <v>674.28899999999999</v>
      </c>
      <c r="I431" s="27"/>
      <c r="J431" s="23"/>
      <c r="K431" s="23"/>
      <c r="L431" s="23"/>
      <c r="M431" s="63"/>
      <c r="N431" s="91" t="s">
        <v>75</v>
      </c>
      <c r="O431" s="55" t="s">
        <v>1106</v>
      </c>
      <c r="P431" s="56" t="s">
        <v>504</v>
      </c>
      <c r="Q431" s="56" t="s">
        <v>1273</v>
      </c>
      <c r="R431" s="25" t="s">
        <v>2527</v>
      </c>
      <c r="S431" s="64" t="s">
        <v>2528</v>
      </c>
      <c r="T431" s="65">
        <v>1</v>
      </c>
      <c r="U431" s="35" t="s">
        <v>2517</v>
      </c>
      <c r="V431" s="29" t="s">
        <v>2527</v>
      </c>
      <c r="W431" s="35">
        <v>749.21</v>
      </c>
      <c r="X431" s="22">
        <f t="shared" si="111"/>
        <v>0.1</v>
      </c>
      <c r="Y431" s="35">
        <f t="shared" si="108"/>
        <v>674.28899999999999</v>
      </c>
      <c r="Z431" s="27"/>
      <c r="AA431" s="23"/>
      <c r="AB431" s="23"/>
      <c r="AC431" s="28"/>
      <c r="AD431" s="63"/>
      <c r="AE431" s="91" t="s">
        <v>75</v>
      </c>
      <c r="AF431" s="55" t="s">
        <v>1106</v>
      </c>
      <c r="AG431" s="14" t="s">
        <v>2086</v>
      </c>
      <c r="AH431" s="14" t="s">
        <v>2529</v>
      </c>
    </row>
    <row r="432" spans="1:34" s="1" customFormat="1">
      <c r="A432" s="25" t="s">
        <v>2530</v>
      </c>
      <c r="B432" s="64" t="s">
        <v>2531</v>
      </c>
      <c r="C432" s="65">
        <v>1</v>
      </c>
      <c r="D432" s="35" t="s">
        <v>2517</v>
      </c>
      <c r="E432" s="29" t="s">
        <v>2530</v>
      </c>
      <c r="F432" s="35">
        <v>304.76</v>
      </c>
      <c r="G432" s="22">
        <f t="shared" si="110"/>
        <v>0.1</v>
      </c>
      <c r="H432" s="35">
        <f t="shared" si="103"/>
        <v>274.28399999999999</v>
      </c>
      <c r="I432" s="27"/>
      <c r="J432" s="23"/>
      <c r="K432" s="23"/>
      <c r="L432" s="23"/>
      <c r="M432" s="63"/>
      <c r="N432" s="91" t="s">
        <v>75</v>
      </c>
      <c r="O432" s="55" t="s">
        <v>1106</v>
      </c>
      <c r="P432" s="56" t="s">
        <v>504</v>
      </c>
      <c r="Q432" s="56" t="s">
        <v>1273</v>
      </c>
      <c r="R432" s="25" t="s">
        <v>2530</v>
      </c>
      <c r="S432" s="64" t="s">
        <v>2531</v>
      </c>
      <c r="T432" s="65">
        <v>1</v>
      </c>
      <c r="U432" s="35" t="s">
        <v>2517</v>
      </c>
      <c r="V432" s="29" t="s">
        <v>2530</v>
      </c>
      <c r="W432" s="35">
        <v>304.76</v>
      </c>
      <c r="X432" s="22">
        <f t="shared" si="111"/>
        <v>0.1</v>
      </c>
      <c r="Y432" s="35">
        <f t="shared" si="108"/>
        <v>274.28399999999999</v>
      </c>
      <c r="Z432" s="27"/>
      <c r="AA432" s="23"/>
      <c r="AB432" s="23"/>
      <c r="AC432" s="28"/>
      <c r="AD432" s="63"/>
      <c r="AE432" s="91" t="s">
        <v>75</v>
      </c>
      <c r="AF432" s="55" t="s">
        <v>1106</v>
      </c>
      <c r="AG432" s="14" t="s">
        <v>2532</v>
      </c>
      <c r="AH432" s="14" t="s">
        <v>2533</v>
      </c>
    </row>
    <row r="433" spans="1:34" s="1" customFormat="1">
      <c r="A433" s="25" t="s">
        <v>2534</v>
      </c>
      <c r="B433" s="64" t="s">
        <v>2535</v>
      </c>
      <c r="C433" s="65">
        <v>1</v>
      </c>
      <c r="D433" s="35" t="s">
        <v>2517</v>
      </c>
      <c r="E433" s="29" t="s">
        <v>2534</v>
      </c>
      <c r="F433" s="35">
        <v>251.43</v>
      </c>
      <c r="G433" s="22">
        <f t="shared" si="110"/>
        <v>0.1</v>
      </c>
      <c r="H433" s="35">
        <f t="shared" si="103"/>
        <v>226.28700000000001</v>
      </c>
      <c r="I433" s="27"/>
      <c r="J433" s="23"/>
      <c r="K433" s="23"/>
      <c r="L433" s="23"/>
      <c r="M433" s="63"/>
      <c r="N433" s="91" t="s">
        <v>75</v>
      </c>
      <c r="O433" s="55" t="s">
        <v>1106</v>
      </c>
      <c r="P433" s="56" t="s">
        <v>504</v>
      </c>
      <c r="Q433" s="56" t="s">
        <v>1273</v>
      </c>
      <c r="R433" s="25" t="s">
        <v>2534</v>
      </c>
      <c r="S433" s="64" t="s">
        <v>2535</v>
      </c>
      <c r="T433" s="65">
        <v>1</v>
      </c>
      <c r="U433" s="35" t="s">
        <v>2517</v>
      </c>
      <c r="V433" s="29" t="s">
        <v>2534</v>
      </c>
      <c r="W433" s="35">
        <v>251.43</v>
      </c>
      <c r="X433" s="22">
        <f t="shared" si="111"/>
        <v>0.1</v>
      </c>
      <c r="Y433" s="35">
        <f t="shared" si="108"/>
        <v>226.28700000000001</v>
      </c>
      <c r="Z433" s="27"/>
      <c r="AA433" s="23"/>
      <c r="AB433" s="23"/>
      <c r="AC433" s="28"/>
      <c r="AD433" s="63"/>
      <c r="AE433" s="91" t="s">
        <v>75</v>
      </c>
      <c r="AF433" s="55" t="s">
        <v>1106</v>
      </c>
      <c r="AG433" s="14" t="s">
        <v>2536</v>
      </c>
      <c r="AH433" s="14" t="s">
        <v>2537</v>
      </c>
    </row>
    <row r="434" spans="1:34" s="1" customFormat="1">
      <c r="A434" s="25" t="s">
        <v>2538</v>
      </c>
      <c r="B434" s="64" t="s">
        <v>2539</v>
      </c>
      <c r="C434" s="65">
        <v>1</v>
      </c>
      <c r="D434" s="35" t="s">
        <v>2517</v>
      </c>
      <c r="E434" s="29" t="s">
        <v>2538</v>
      </c>
      <c r="F434" s="35">
        <v>524.76</v>
      </c>
      <c r="G434" s="22">
        <f t="shared" si="110"/>
        <v>0.1</v>
      </c>
      <c r="H434" s="35">
        <f t="shared" si="103"/>
        <v>472.28399999999999</v>
      </c>
      <c r="I434" s="27"/>
      <c r="J434" s="23"/>
      <c r="K434" s="23"/>
      <c r="L434" s="23"/>
      <c r="M434" s="63"/>
      <c r="N434" s="91" t="s">
        <v>75</v>
      </c>
      <c r="O434" s="55" t="s">
        <v>1106</v>
      </c>
      <c r="P434" s="56" t="s">
        <v>504</v>
      </c>
      <c r="Q434" s="56" t="s">
        <v>1273</v>
      </c>
      <c r="R434" s="25" t="s">
        <v>2538</v>
      </c>
      <c r="S434" s="64" t="s">
        <v>2539</v>
      </c>
      <c r="T434" s="65">
        <v>1</v>
      </c>
      <c r="U434" s="35" t="s">
        <v>2517</v>
      </c>
      <c r="V434" s="29" t="s">
        <v>2538</v>
      </c>
      <c r="W434" s="35">
        <v>524.76</v>
      </c>
      <c r="X434" s="22">
        <f t="shared" si="111"/>
        <v>0.1</v>
      </c>
      <c r="Y434" s="35">
        <f t="shared" si="108"/>
        <v>472.28399999999999</v>
      </c>
      <c r="Z434" s="27"/>
      <c r="AA434" s="23"/>
      <c r="AB434" s="23"/>
      <c r="AC434" s="28"/>
      <c r="AD434" s="63"/>
      <c r="AE434" s="91" t="s">
        <v>75</v>
      </c>
      <c r="AF434" s="55" t="s">
        <v>1106</v>
      </c>
      <c r="AG434" s="14" t="s">
        <v>2540</v>
      </c>
      <c r="AH434" s="14" t="s">
        <v>2541</v>
      </c>
    </row>
    <row r="435" spans="1:34" s="1" customFormat="1">
      <c r="A435" s="25" t="s">
        <v>2542</v>
      </c>
      <c r="B435" s="64" t="s">
        <v>2543</v>
      </c>
      <c r="C435" s="65">
        <v>1</v>
      </c>
      <c r="D435" s="35" t="s">
        <v>2517</v>
      </c>
      <c r="E435" s="29" t="s">
        <v>2542</v>
      </c>
      <c r="F435" s="35">
        <v>129.68</v>
      </c>
      <c r="G435" s="22">
        <f t="shared" si="110"/>
        <v>0.1</v>
      </c>
      <c r="H435" s="35">
        <f t="shared" si="103"/>
        <v>116.712</v>
      </c>
      <c r="I435" s="27"/>
      <c r="J435" s="23"/>
      <c r="K435" s="23"/>
      <c r="L435" s="23"/>
      <c r="M435" s="63"/>
      <c r="N435" s="91" t="s">
        <v>75</v>
      </c>
      <c r="O435" s="55" t="s">
        <v>1106</v>
      </c>
      <c r="P435" s="56" t="s">
        <v>504</v>
      </c>
      <c r="Q435" s="56" t="s">
        <v>1273</v>
      </c>
      <c r="R435" s="25" t="s">
        <v>2542</v>
      </c>
      <c r="S435" s="64" t="s">
        <v>2543</v>
      </c>
      <c r="T435" s="65">
        <v>1</v>
      </c>
      <c r="U435" s="35" t="s">
        <v>2517</v>
      </c>
      <c r="V435" s="29" t="s">
        <v>2542</v>
      </c>
      <c r="W435" s="35">
        <v>129.68</v>
      </c>
      <c r="X435" s="22">
        <f t="shared" si="111"/>
        <v>0.1</v>
      </c>
      <c r="Y435" s="35">
        <f t="shared" si="108"/>
        <v>116.712</v>
      </c>
      <c r="Z435" s="27"/>
      <c r="AA435" s="23"/>
      <c r="AB435" s="23"/>
      <c r="AC435" s="28"/>
      <c r="AD435" s="63"/>
      <c r="AE435" s="91" t="s">
        <v>75</v>
      </c>
      <c r="AF435" s="55" t="s">
        <v>1106</v>
      </c>
      <c r="AG435" s="14" t="s">
        <v>2544</v>
      </c>
      <c r="AH435" s="14" t="s">
        <v>2545</v>
      </c>
    </row>
    <row r="436" spans="1:34" s="1" customFormat="1">
      <c r="A436" s="103" t="s">
        <v>2546</v>
      </c>
      <c r="B436" s="327" t="s">
        <v>2547</v>
      </c>
      <c r="C436" s="181">
        <v>1</v>
      </c>
      <c r="D436" s="108" t="s">
        <v>2517</v>
      </c>
      <c r="E436" s="105" t="s">
        <v>2546</v>
      </c>
      <c r="F436" s="108">
        <v>6132.06</v>
      </c>
      <c r="G436" s="109">
        <f t="shared" si="110"/>
        <v>0.1</v>
      </c>
      <c r="H436" s="108">
        <f t="shared" si="103"/>
        <v>5518.8540000000003</v>
      </c>
      <c r="I436" s="27"/>
      <c r="J436" s="23"/>
      <c r="K436" s="23"/>
      <c r="L436" s="23"/>
      <c r="M436" s="63"/>
      <c r="N436" s="91" t="s">
        <v>75</v>
      </c>
      <c r="O436" s="55" t="s">
        <v>1106</v>
      </c>
      <c r="P436" s="56" t="s">
        <v>504</v>
      </c>
      <c r="Q436" s="56" t="s">
        <v>1273</v>
      </c>
      <c r="R436" s="93" t="s">
        <v>2546</v>
      </c>
      <c r="S436" s="149" t="s">
        <v>2547</v>
      </c>
      <c r="T436" s="150">
        <v>1</v>
      </c>
      <c r="U436" s="128" t="s">
        <v>2517</v>
      </c>
      <c r="V436" s="127" t="s">
        <v>2546</v>
      </c>
      <c r="W436" s="128">
        <v>6132.06</v>
      </c>
      <c r="X436" s="151">
        <f t="shared" si="111"/>
        <v>0.1</v>
      </c>
      <c r="Y436" s="128">
        <f t="shared" si="108"/>
        <v>5518.8540000000003</v>
      </c>
      <c r="Z436" s="27"/>
      <c r="AA436" s="23"/>
      <c r="AB436" s="23"/>
      <c r="AC436" s="28"/>
      <c r="AD436" s="63"/>
      <c r="AE436" s="91" t="s">
        <v>75</v>
      </c>
      <c r="AF436" s="55" t="s">
        <v>1106</v>
      </c>
      <c r="AG436" s="14" t="s">
        <v>2548</v>
      </c>
      <c r="AH436" s="14" t="s">
        <v>2549</v>
      </c>
    </row>
    <row r="437" spans="1:34" s="1" customFormat="1">
      <c r="A437" s="25" t="s">
        <v>2550</v>
      </c>
      <c r="B437" s="64" t="s">
        <v>2551</v>
      </c>
      <c r="C437" s="65">
        <v>1</v>
      </c>
      <c r="D437" s="35" t="s">
        <v>2517</v>
      </c>
      <c r="E437" s="29" t="s">
        <v>2550</v>
      </c>
      <c r="F437" s="35">
        <v>536.38</v>
      </c>
      <c r="G437" s="22">
        <f t="shared" si="110"/>
        <v>0.1</v>
      </c>
      <c r="H437" s="35">
        <f t="shared" si="103"/>
        <v>482.74199999999996</v>
      </c>
      <c r="I437" s="27"/>
      <c r="J437" s="23"/>
      <c r="K437" s="23"/>
      <c r="L437" s="23"/>
      <c r="M437" s="63"/>
      <c r="N437" s="91" t="s">
        <v>75</v>
      </c>
      <c r="O437" s="55" t="s">
        <v>1106</v>
      </c>
      <c r="P437" s="56" t="s">
        <v>504</v>
      </c>
      <c r="Q437" s="56" t="s">
        <v>1273</v>
      </c>
      <c r="R437" s="25" t="s">
        <v>2550</v>
      </c>
      <c r="S437" s="64" t="s">
        <v>2551</v>
      </c>
      <c r="T437" s="65">
        <v>1</v>
      </c>
      <c r="U437" s="35" t="s">
        <v>2517</v>
      </c>
      <c r="V437" s="29" t="s">
        <v>2550</v>
      </c>
      <c r="W437" s="35">
        <v>536.38</v>
      </c>
      <c r="X437" s="22">
        <f t="shared" si="111"/>
        <v>0.1</v>
      </c>
      <c r="Y437" s="35">
        <f t="shared" si="108"/>
        <v>482.74199999999996</v>
      </c>
      <c r="Z437" s="27"/>
      <c r="AA437" s="23"/>
      <c r="AB437" s="23"/>
      <c r="AC437" s="28"/>
      <c r="AD437" s="63"/>
      <c r="AE437" s="91" t="s">
        <v>75</v>
      </c>
      <c r="AF437" s="55" t="s">
        <v>1106</v>
      </c>
      <c r="AG437" s="14" t="s">
        <v>2552</v>
      </c>
      <c r="AH437" s="14" t="s">
        <v>2553</v>
      </c>
    </row>
    <row r="438" spans="1:34" s="1" customFormat="1">
      <c r="A438" s="25" t="s">
        <v>2554</v>
      </c>
      <c r="B438" s="64" t="s">
        <v>2555</v>
      </c>
      <c r="C438" s="65">
        <v>1</v>
      </c>
      <c r="D438" s="35" t="s">
        <v>2517</v>
      </c>
      <c r="E438" s="29" t="s">
        <v>2554</v>
      </c>
      <c r="F438" s="35">
        <v>446.98</v>
      </c>
      <c r="G438" s="22">
        <f t="shared" si="110"/>
        <v>0.1</v>
      </c>
      <c r="H438" s="35">
        <f t="shared" si="103"/>
        <v>402.28200000000004</v>
      </c>
      <c r="I438" s="27"/>
      <c r="J438" s="23"/>
      <c r="K438" s="23"/>
      <c r="L438" s="23"/>
      <c r="M438" s="63"/>
      <c r="N438" s="91" t="s">
        <v>75</v>
      </c>
      <c r="O438" s="55" t="s">
        <v>1106</v>
      </c>
      <c r="P438" s="56" t="s">
        <v>504</v>
      </c>
      <c r="Q438" s="56" t="s">
        <v>1273</v>
      </c>
      <c r="R438" s="25" t="s">
        <v>2554</v>
      </c>
      <c r="S438" s="64" t="s">
        <v>2555</v>
      </c>
      <c r="T438" s="65">
        <v>1</v>
      </c>
      <c r="U438" s="35" t="s">
        <v>2517</v>
      </c>
      <c r="V438" s="29" t="s">
        <v>2554</v>
      </c>
      <c r="W438" s="35">
        <v>446.98</v>
      </c>
      <c r="X438" s="22">
        <f t="shared" si="111"/>
        <v>0.1</v>
      </c>
      <c r="Y438" s="35">
        <f t="shared" si="108"/>
        <v>402.28200000000004</v>
      </c>
      <c r="Z438" s="27"/>
      <c r="AA438" s="23"/>
      <c r="AB438" s="23"/>
      <c r="AC438" s="28"/>
      <c r="AD438" s="63"/>
      <c r="AE438" s="91" t="s">
        <v>75</v>
      </c>
      <c r="AF438" s="55" t="s">
        <v>1106</v>
      </c>
      <c r="AG438" s="14" t="s">
        <v>2556</v>
      </c>
      <c r="AH438" s="14" t="s">
        <v>2557</v>
      </c>
    </row>
    <row r="439" spans="1:34" s="1" customFormat="1">
      <c r="A439" s="25" t="s">
        <v>2558</v>
      </c>
      <c r="B439" s="64" t="s">
        <v>2559</v>
      </c>
      <c r="C439" s="65">
        <v>1</v>
      </c>
      <c r="D439" s="35" t="s">
        <v>2517</v>
      </c>
      <c r="E439" s="29" t="s">
        <v>2558</v>
      </c>
      <c r="F439" s="35">
        <v>167.62</v>
      </c>
      <c r="G439" s="22">
        <f t="shared" si="110"/>
        <v>0.1</v>
      </c>
      <c r="H439" s="35">
        <f t="shared" si="103"/>
        <v>150.858</v>
      </c>
      <c r="I439" s="27"/>
      <c r="J439" s="23"/>
      <c r="K439" s="23"/>
      <c r="L439" s="23"/>
      <c r="M439" s="63"/>
      <c r="N439" s="91" t="s">
        <v>75</v>
      </c>
      <c r="O439" s="55" t="s">
        <v>1106</v>
      </c>
      <c r="P439" s="56" t="s">
        <v>504</v>
      </c>
      <c r="Q439" s="56" t="s">
        <v>1273</v>
      </c>
      <c r="R439" s="25" t="s">
        <v>2558</v>
      </c>
      <c r="S439" s="64" t="s">
        <v>2559</v>
      </c>
      <c r="T439" s="65">
        <v>1</v>
      </c>
      <c r="U439" s="35" t="s">
        <v>2517</v>
      </c>
      <c r="V439" s="29" t="s">
        <v>2558</v>
      </c>
      <c r="W439" s="35">
        <v>167.62</v>
      </c>
      <c r="X439" s="22">
        <f t="shared" si="111"/>
        <v>0.1</v>
      </c>
      <c r="Y439" s="35">
        <f t="shared" si="108"/>
        <v>150.858</v>
      </c>
      <c r="Z439" s="27"/>
      <c r="AA439" s="23"/>
      <c r="AB439" s="23"/>
      <c r="AC439" s="28"/>
      <c r="AD439" s="63"/>
      <c r="AE439" s="91" t="s">
        <v>75</v>
      </c>
      <c r="AF439" s="55" t="s">
        <v>1106</v>
      </c>
      <c r="AG439" s="14" t="s">
        <v>2560</v>
      </c>
      <c r="AH439" s="14" t="s">
        <v>2561</v>
      </c>
    </row>
    <row r="440" spans="1:34" s="1" customFormat="1">
      <c r="A440" s="25" t="s">
        <v>2524</v>
      </c>
      <c r="B440" s="64" t="s">
        <v>2525</v>
      </c>
      <c r="C440" s="65">
        <v>1</v>
      </c>
      <c r="D440" s="35" t="s">
        <v>2517</v>
      </c>
      <c r="E440" s="29" t="s">
        <v>2524</v>
      </c>
      <c r="F440" s="35">
        <v>251.43</v>
      </c>
      <c r="G440" s="22">
        <f t="shared" si="110"/>
        <v>0.1</v>
      </c>
      <c r="H440" s="35">
        <f t="shared" si="103"/>
        <v>226.28700000000001</v>
      </c>
      <c r="I440" s="27"/>
      <c r="J440" s="23"/>
      <c r="K440" s="23"/>
      <c r="L440" s="23"/>
      <c r="M440" s="63"/>
      <c r="N440" s="91" t="s">
        <v>75</v>
      </c>
      <c r="O440" s="55" t="s">
        <v>1106</v>
      </c>
      <c r="P440" s="56" t="s">
        <v>504</v>
      </c>
      <c r="Q440" s="56" t="s">
        <v>1273</v>
      </c>
      <c r="R440" s="25" t="s">
        <v>2524</v>
      </c>
      <c r="S440" s="64" t="s">
        <v>2525</v>
      </c>
      <c r="T440" s="65">
        <v>1</v>
      </c>
      <c r="U440" s="35" t="s">
        <v>2517</v>
      </c>
      <c r="V440" s="29" t="s">
        <v>2524</v>
      </c>
      <c r="W440" s="35">
        <v>251.43</v>
      </c>
      <c r="X440" s="22">
        <f t="shared" si="111"/>
        <v>0.1</v>
      </c>
      <c r="Y440" s="35">
        <f t="shared" si="108"/>
        <v>226.28700000000001</v>
      </c>
      <c r="Z440" s="27"/>
      <c r="AA440" s="23"/>
      <c r="AB440" s="23"/>
      <c r="AC440" s="28"/>
      <c r="AD440" s="63"/>
      <c r="AE440" s="91" t="s">
        <v>75</v>
      </c>
      <c r="AF440" s="55" t="s">
        <v>1106</v>
      </c>
      <c r="AG440" s="14" t="s">
        <v>2562</v>
      </c>
      <c r="AH440" s="14" t="s">
        <v>2563</v>
      </c>
    </row>
    <row r="441" spans="1:34" s="1" customFormat="1">
      <c r="A441" s="25" t="s">
        <v>2564</v>
      </c>
      <c r="B441" s="64" t="s">
        <v>2565</v>
      </c>
      <c r="C441" s="65">
        <v>1</v>
      </c>
      <c r="D441" s="35" t="s">
        <v>2517</v>
      </c>
      <c r="E441" s="29" t="s">
        <v>2564</v>
      </c>
      <c r="F441" s="35">
        <v>850.79</v>
      </c>
      <c r="G441" s="22">
        <f t="shared" si="110"/>
        <v>0.1</v>
      </c>
      <c r="H441" s="35">
        <f t="shared" si="103"/>
        <v>765.71100000000001</v>
      </c>
      <c r="I441" s="27"/>
      <c r="J441" s="23"/>
      <c r="K441" s="23"/>
      <c r="L441" s="23"/>
      <c r="M441" s="63"/>
      <c r="N441" s="91" t="s">
        <v>75</v>
      </c>
      <c r="O441" s="55" t="s">
        <v>1106</v>
      </c>
      <c r="P441" s="56" t="s">
        <v>504</v>
      </c>
      <c r="Q441" s="56" t="s">
        <v>1273</v>
      </c>
      <c r="R441" s="25" t="s">
        <v>2564</v>
      </c>
      <c r="S441" s="64" t="s">
        <v>2565</v>
      </c>
      <c r="T441" s="65">
        <v>1</v>
      </c>
      <c r="U441" s="35" t="s">
        <v>2517</v>
      </c>
      <c r="V441" s="29" t="s">
        <v>2564</v>
      </c>
      <c r="W441" s="35">
        <v>850.79</v>
      </c>
      <c r="X441" s="22">
        <f t="shared" si="111"/>
        <v>0.1</v>
      </c>
      <c r="Y441" s="35">
        <f t="shared" si="108"/>
        <v>765.71100000000001</v>
      </c>
      <c r="Z441" s="27"/>
      <c r="AA441" s="23"/>
      <c r="AB441" s="23"/>
      <c r="AC441" s="28"/>
      <c r="AD441" s="63"/>
      <c r="AE441" s="91" t="s">
        <v>75</v>
      </c>
      <c r="AF441" s="55" t="s">
        <v>1106</v>
      </c>
      <c r="AG441" s="14" t="s">
        <v>2566</v>
      </c>
      <c r="AH441" s="14" t="s">
        <v>2567</v>
      </c>
    </row>
    <row r="442" spans="1:34" s="1" customFormat="1">
      <c r="A442" s="25" t="s">
        <v>2568</v>
      </c>
      <c r="B442" s="64" t="s">
        <v>2569</v>
      </c>
      <c r="C442" s="65">
        <v>1</v>
      </c>
      <c r="D442" s="35" t="s">
        <v>2517</v>
      </c>
      <c r="E442" s="29" t="s">
        <v>2568</v>
      </c>
      <c r="F442" s="35">
        <v>426.67</v>
      </c>
      <c r="G442" s="22">
        <f t="shared" si="110"/>
        <v>0.1</v>
      </c>
      <c r="H442" s="35">
        <f t="shared" si="103"/>
        <v>384.00300000000004</v>
      </c>
      <c r="I442" s="27"/>
      <c r="J442" s="23"/>
      <c r="K442" s="23"/>
      <c r="L442" s="23"/>
      <c r="M442" s="63"/>
      <c r="N442" s="91" t="s">
        <v>75</v>
      </c>
      <c r="O442" s="55" t="s">
        <v>1106</v>
      </c>
      <c r="P442" s="56" t="s">
        <v>504</v>
      </c>
      <c r="Q442" s="56" t="s">
        <v>1273</v>
      </c>
      <c r="R442" s="25" t="s">
        <v>2568</v>
      </c>
      <c r="S442" s="64" t="s">
        <v>2569</v>
      </c>
      <c r="T442" s="65">
        <v>1</v>
      </c>
      <c r="U442" s="35" t="s">
        <v>2517</v>
      </c>
      <c r="V442" s="29" t="s">
        <v>2568</v>
      </c>
      <c r="W442" s="35">
        <v>426.67</v>
      </c>
      <c r="X442" s="22">
        <f t="shared" si="111"/>
        <v>0.1</v>
      </c>
      <c r="Y442" s="35">
        <f t="shared" si="108"/>
        <v>384.00300000000004</v>
      </c>
      <c r="Z442" s="27"/>
      <c r="AA442" s="23"/>
      <c r="AB442" s="23"/>
      <c r="AC442" s="28"/>
      <c r="AD442" s="63"/>
      <c r="AE442" s="91" t="s">
        <v>75</v>
      </c>
      <c r="AF442" s="55" t="s">
        <v>1106</v>
      </c>
      <c r="AG442" s="14" t="s">
        <v>2570</v>
      </c>
      <c r="AH442" s="14" t="s">
        <v>2571</v>
      </c>
    </row>
    <row r="443" spans="1:34" s="1" customFormat="1">
      <c r="A443" s="25" t="s">
        <v>2534</v>
      </c>
      <c r="B443" s="64" t="s">
        <v>2535</v>
      </c>
      <c r="C443" s="65">
        <v>1</v>
      </c>
      <c r="D443" s="35" t="s">
        <v>2517</v>
      </c>
      <c r="E443" s="29" t="s">
        <v>2534</v>
      </c>
      <c r="F443" s="35">
        <v>251.43</v>
      </c>
      <c r="G443" s="22">
        <f t="shared" si="110"/>
        <v>0.1</v>
      </c>
      <c r="H443" s="35">
        <f t="shared" si="103"/>
        <v>226.28700000000001</v>
      </c>
      <c r="I443" s="27"/>
      <c r="J443" s="23"/>
      <c r="K443" s="23"/>
      <c r="L443" s="23"/>
      <c r="M443" s="63"/>
      <c r="N443" s="91" t="s">
        <v>75</v>
      </c>
      <c r="O443" s="55" t="s">
        <v>1106</v>
      </c>
      <c r="P443" s="56" t="s">
        <v>504</v>
      </c>
      <c r="Q443" s="56" t="s">
        <v>1273</v>
      </c>
      <c r="R443" s="25" t="s">
        <v>2534</v>
      </c>
      <c r="S443" s="64" t="s">
        <v>2535</v>
      </c>
      <c r="T443" s="65">
        <v>1</v>
      </c>
      <c r="U443" s="35" t="s">
        <v>2517</v>
      </c>
      <c r="V443" s="29" t="s">
        <v>2534</v>
      </c>
      <c r="W443" s="35">
        <v>251.43</v>
      </c>
      <c r="X443" s="22">
        <f t="shared" si="111"/>
        <v>0.1</v>
      </c>
      <c r="Y443" s="35">
        <f t="shared" si="108"/>
        <v>226.28700000000001</v>
      </c>
      <c r="Z443" s="27"/>
      <c r="AA443" s="23"/>
      <c r="AB443" s="23"/>
      <c r="AC443" s="28"/>
      <c r="AD443" s="63"/>
      <c r="AE443" s="91" t="s">
        <v>75</v>
      </c>
      <c r="AF443" s="55" t="s">
        <v>1106</v>
      </c>
      <c r="AG443" s="14" t="s">
        <v>2572</v>
      </c>
      <c r="AH443" s="14" t="s">
        <v>2573</v>
      </c>
    </row>
    <row r="444" spans="1:34" s="1" customFormat="1">
      <c r="A444" s="25" t="s">
        <v>2538</v>
      </c>
      <c r="B444" s="64" t="s">
        <v>2539</v>
      </c>
      <c r="C444" s="65">
        <v>1</v>
      </c>
      <c r="D444" s="35" t="s">
        <v>2517</v>
      </c>
      <c r="E444" s="29" t="s">
        <v>2538</v>
      </c>
      <c r="F444" s="35">
        <v>524.76</v>
      </c>
      <c r="G444" s="22">
        <f t="shared" si="110"/>
        <v>0.1</v>
      </c>
      <c r="H444" s="35">
        <f t="shared" si="103"/>
        <v>472.28399999999999</v>
      </c>
      <c r="I444" s="27"/>
      <c r="J444" s="23"/>
      <c r="K444" s="23"/>
      <c r="L444" s="23"/>
      <c r="M444" s="63"/>
      <c r="N444" s="91" t="s">
        <v>75</v>
      </c>
      <c r="O444" s="55" t="s">
        <v>1106</v>
      </c>
      <c r="P444" s="56" t="s">
        <v>504</v>
      </c>
      <c r="Q444" s="56" t="s">
        <v>1273</v>
      </c>
      <c r="R444" s="25" t="s">
        <v>2538</v>
      </c>
      <c r="S444" s="64" t="s">
        <v>2539</v>
      </c>
      <c r="T444" s="65">
        <v>1</v>
      </c>
      <c r="U444" s="35" t="s">
        <v>2517</v>
      </c>
      <c r="V444" s="29" t="s">
        <v>2538</v>
      </c>
      <c r="W444" s="35">
        <v>524.76</v>
      </c>
      <c r="X444" s="22">
        <f t="shared" si="111"/>
        <v>0.1</v>
      </c>
      <c r="Y444" s="35">
        <f t="shared" si="108"/>
        <v>472.28399999999999</v>
      </c>
      <c r="Z444" s="27"/>
      <c r="AA444" s="23"/>
      <c r="AB444" s="23"/>
      <c r="AC444" s="28"/>
      <c r="AD444" s="63"/>
      <c r="AE444" s="91" t="s">
        <v>75</v>
      </c>
      <c r="AF444" s="55" t="s">
        <v>1106</v>
      </c>
      <c r="AG444" s="14" t="s">
        <v>2574</v>
      </c>
      <c r="AH444" s="14" t="s">
        <v>2575</v>
      </c>
    </row>
    <row r="445" spans="1:34" s="1" customFormat="1">
      <c r="A445" s="25" t="s">
        <v>2542</v>
      </c>
      <c r="B445" s="64" t="s">
        <v>2543</v>
      </c>
      <c r="C445" s="65">
        <v>1</v>
      </c>
      <c r="D445" s="35" t="s">
        <v>2517</v>
      </c>
      <c r="E445" s="29" t="s">
        <v>2542</v>
      </c>
      <c r="F445" s="35">
        <v>129.68</v>
      </c>
      <c r="G445" s="22">
        <f t="shared" si="110"/>
        <v>0.1</v>
      </c>
      <c r="H445" s="35">
        <f t="shared" si="103"/>
        <v>116.712</v>
      </c>
      <c r="I445" s="27"/>
      <c r="J445" s="23"/>
      <c r="K445" s="23"/>
      <c r="L445" s="23"/>
      <c r="M445" s="63"/>
      <c r="N445" s="91" t="s">
        <v>75</v>
      </c>
      <c r="O445" s="55" t="s">
        <v>1106</v>
      </c>
      <c r="P445" s="56" t="s">
        <v>504</v>
      </c>
      <c r="Q445" s="56" t="s">
        <v>1273</v>
      </c>
      <c r="R445" s="25" t="s">
        <v>2542</v>
      </c>
      <c r="S445" s="64" t="s">
        <v>2543</v>
      </c>
      <c r="T445" s="65">
        <v>1</v>
      </c>
      <c r="U445" s="35" t="s">
        <v>2517</v>
      </c>
      <c r="V445" s="29" t="s">
        <v>2542</v>
      </c>
      <c r="W445" s="35">
        <v>129.68</v>
      </c>
      <c r="X445" s="22">
        <f t="shared" si="111"/>
        <v>0.1</v>
      </c>
      <c r="Y445" s="35">
        <f t="shared" si="108"/>
        <v>116.712</v>
      </c>
      <c r="Z445" s="27"/>
      <c r="AA445" s="23"/>
      <c r="AB445" s="23"/>
      <c r="AC445" s="28"/>
      <c r="AD445" s="63"/>
      <c r="AE445" s="91" t="s">
        <v>75</v>
      </c>
      <c r="AF445" s="55" t="s">
        <v>1106</v>
      </c>
      <c r="AG445" s="14" t="s">
        <v>2576</v>
      </c>
      <c r="AH445" s="14" t="s">
        <v>2577</v>
      </c>
    </row>
    <row r="446" spans="1:34" s="1" customFormat="1">
      <c r="A446" s="103" t="s">
        <v>2578</v>
      </c>
      <c r="B446" s="327" t="s">
        <v>2579</v>
      </c>
      <c r="C446" s="181">
        <v>1</v>
      </c>
      <c r="D446" s="108" t="s">
        <v>2517</v>
      </c>
      <c r="E446" s="105" t="s">
        <v>2578</v>
      </c>
      <c r="F446" s="108">
        <v>6816.51</v>
      </c>
      <c r="G446" s="109">
        <f t="shared" si="110"/>
        <v>0.1</v>
      </c>
      <c r="H446" s="108">
        <f t="shared" si="103"/>
        <v>6134.8590000000004</v>
      </c>
      <c r="I446" s="27"/>
      <c r="J446" s="23"/>
      <c r="K446" s="23"/>
      <c r="L446" s="23"/>
      <c r="M446" s="63"/>
      <c r="N446" s="91" t="s">
        <v>75</v>
      </c>
      <c r="O446" s="55" t="s">
        <v>1106</v>
      </c>
      <c r="P446" s="56" t="s">
        <v>504</v>
      </c>
      <c r="Q446" s="56" t="s">
        <v>1273</v>
      </c>
      <c r="R446" s="93" t="s">
        <v>2578</v>
      </c>
      <c r="S446" s="149" t="s">
        <v>2579</v>
      </c>
      <c r="T446" s="150">
        <v>1</v>
      </c>
      <c r="U446" s="128" t="s">
        <v>2517</v>
      </c>
      <c r="V446" s="95" t="s">
        <v>2578</v>
      </c>
      <c r="W446" s="128">
        <v>6816.51</v>
      </c>
      <c r="X446" s="151">
        <f t="shared" si="111"/>
        <v>0.1</v>
      </c>
      <c r="Y446" s="128">
        <f t="shared" si="108"/>
        <v>6134.8590000000004</v>
      </c>
      <c r="Z446" s="27"/>
      <c r="AA446" s="23"/>
      <c r="AB446" s="23"/>
      <c r="AC446" s="28"/>
      <c r="AD446" s="63"/>
      <c r="AE446" s="91" t="s">
        <v>75</v>
      </c>
      <c r="AF446" s="55" t="s">
        <v>1106</v>
      </c>
      <c r="AG446" s="14" t="s">
        <v>2580</v>
      </c>
      <c r="AH446" s="14" t="s">
        <v>2581</v>
      </c>
    </row>
    <row r="447" spans="1:34" s="1" customFormat="1">
      <c r="A447" s="25" t="s">
        <v>2582</v>
      </c>
      <c r="B447" s="64" t="s">
        <v>2583</v>
      </c>
      <c r="C447" s="65">
        <v>1</v>
      </c>
      <c r="D447" s="35" t="s">
        <v>2517</v>
      </c>
      <c r="E447" s="29" t="s">
        <v>2582</v>
      </c>
      <c r="F447" s="35">
        <v>715.17</v>
      </c>
      <c r="G447" s="22">
        <f t="shared" si="110"/>
        <v>0.1</v>
      </c>
      <c r="H447" s="35">
        <f t="shared" si="103"/>
        <v>643.65300000000002</v>
      </c>
      <c r="I447" s="27"/>
      <c r="J447" s="23"/>
      <c r="K447" s="23"/>
      <c r="L447" s="23"/>
      <c r="M447" s="63"/>
      <c r="N447" s="91" t="s">
        <v>75</v>
      </c>
      <c r="O447" s="55" t="s">
        <v>1106</v>
      </c>
      <c r="P447" s="56" t="s">
        <v>504</v>
      </c>
      <c r="Q447" s="56" t="s">
        <v>1273</v>
      </c>
      <c r="R447" s="25" t="s">
        <v>2582</v>
      </c>
      <c r="S447" s="64" t="s">
        <v>2583</v>
      </c>
      <c r="T447" s="65">
        <v>1</v>
      </c>
      <c r="U447" s="35" t="s">
        <v>2517</v>
      </c>
      <c r="V447" s="29" t="s">
        <v>2582</v>
      </c>
      <c r="W447" s="35">
        <v>715.17</v>
      </c>
      <c r="X447" s="22">
        <f t="shared" si="111"/>
        <v>0.1</v>
      </c>
      <c r="Y447" s="35">
        <f t="shared" si="108"/>
        <v>643.65300000000002</v>
      </c>
      <c r="Z447" s="27"/>
      <c r="AA447" s="23"/>
      <c r="AB447" s="23"/>
      <c r="AC447" s="28"/>
      <c r="AD447" s="63"/>
      <c r="AE447" s="91" t="s">
        <v>75</v>
      </c>
      <c r="AF447" s="55" t="s">
        <v>1106</v>
      </c>
      <c r="AG447" s="14" t="s">
        <v>2584</v>
      </c>
      <c r="AH447" s="14" t="s">
        <v>2585</v>
      </c>
    </row>
    <row r="448" spans="1:34" s="1" customFormat="1">
      <c r="A448" s="25" t="s">
        <v>2586</v>
      </c>
      <c r="B448" s="64" t="s">
        <v>2587</v>
      </c>
      <c r="C448" s="65">
        <v>1</v>
      </c>
      <c r="D448" s="35" t="s">
        <v>2517</v>
      </c>
      <c r="E448" s="29" t="s">
        <v>2586</v>
      </c>
      <c r="F448" s="35">
        <v>516.83000000000004</v>
      </c>
      <c r="G448" s="22">
        <f t="shared" si="110"/>
        <v>0.1</v>
      </c>
      <c r="H448" s="35">
        <f t="shared" si="103"/>
        <v>465.14700000000005</v>
      </c>
      <c r="I448" s="27"/>
      <c r="J448" s="23"/>
      <c r="K448" s="23"/>
      <c r="L448" s="23"/>
      <c r="M448" s="63"/>
      <c r="N448" s="91" t="s">
        <v>75</v>
      </c>
      <c r="O448" s="55" t="s">
        <v>1106</v>
      </c>
      <c r="P448" s="56" t="s">
        <v>504</v>
      </c>
      <c r="Q448" s="56" t="s">
        <v>1273</v>
      </c>
      <c r="R448" s="25" t="s">
        <v>2586</v>
      </c>
      <c r="S448" s="64" t="s">
        <v>2587</v>
      </c>
      <c r="T448" s="65">
        <v>1</v>
      </c>
      <c r="U448" s="35" t="s">
        <v>2517</v>
      </c>
      <c r="V448" s="29" t="s">
        <v>2586</v>
      </c>
      <c r="W448" s="35">
        <v>516.83000000000004</v>
      </c>
      <c r="X448" s="22">
        <f t="shared" si="111"/>
        <v>0.1</v>
      </c>
      <c r="Y448" s="35">
        <f t="shared" si="108"/>
        <v>465.14700000000005</v>
      </c>
      <c r="Z448" s="27"/>
      <c r="AA448" s="23"/>
      <c r="AB448" s="23"/>
      <c r="AC448" s="28"/>
      <c r="AD448" s="63"/>
      <c r="AE448" s="91" t="s">
        <v>75</v>
      </c>
      <c r="AF448" s="55" t="s">
        <v>1106</v>
      </c>
      <c r="AG448" s="14" t="s">
        <v>2588</v>
      </c>
      <c r="AH448" s="14" t="s">
        <v>2589</v>
      </c>
    </row>
    <row r="449" spans="1:34" s="1" customFormat="1">
      <c r="A449" s="25" t="s">
        <v>2590</v>
      </c>
      <c r="B449" s="64" t="s">
        <v>2591</v>
      </c>
      <c r="C449" s="65">
        <v>1</v>
      </c>
      <c r="D449" s="35" t="s">
        <v>2517</v>
      </c>
      <c r="E449" s="29" t="s">
        <v>2590</v>
      </c>
      <c r="F449" s="35">
        <v>223.49</v>
      </c>
      <c r="G449" s="22">
        <f t="shared" si="110"/>
        <v>0.1</v>
      </c>
      <c r="H449" s="35">
        <f t="shared" si="103"/>
        <v>201.14100000000002</v>
      </c>
      <c r="I449" s="27"/>
      <c r="J449" s="23"/>
      <c r="K449" s="23"/>
      <c r="L449" s="23"/>
      <c r="M449" s="63"/>
      <c r="N449" s="91" t="s">
        <v>75</v>
      </c>
      <c r="O449" s="55" t="s">
        <v>1106</v>
      </c>
      <c r="P449" s="56" t="s">
        <v>504</v>
      </c>
      <c r="Q449" s="56" t="s">
        <v>1273</v>
      </c>
      <c r="R449" s="25" t="s">
        <v>2590</v>
      </c>
      <c r="S449" s="64" t="s">
        <v>2591</v>
      </c>
      <c r="T449" s="65">
        <v>1</v>
      </c>
      <c r="U449" s="35" t="s">
        <v>2517</v>
      </c>
      <c r="V449" s="29" t="s">
        <v>2590</v>
      </c>
      <c r="W449" s="35">
        <v>223.49</v>
      </c>
      <c r="X449" s="22">
        <f t="shared" si="111"/>
        <v>0.1</v>
      </c>
      <c r="Y449" s="35">
        <f t="shared" si="108"/>
        <v>201.14100000000002</v>
      </c>
      <c r="Z449" s="27"/>
      <c r="AA449" s="23"/>
      <c r="AB449" s="23"/>
      <c r="AC449" s="28"/>
      <c r="AD449" s="63"/>
      <c r="AE449" s="91" t="s">
        <v>75</v>
      </c>
      <c r="AF449" s="55" t="s">
        <v>1106</v>
      </c>
      <c r="AG449" s="14" t="s">
        <v>2592</v>
      </c>
      <c r="AH449" s="14" t="s">
        <v>2593</v>
      </c>
    </row>
    <row r="450" spans="1:34" s="1" customFormat="1">
      <c r="A450" s="25" t="s">
        <v>2524</v>
      </c>
      <c r="B450" s="64" t="s">
        <v>2525</v>
      </c>
      <c r="C450" s="65">
        <v>1</v>
      </c>
      <c r="D450" s="35" t="s">
        <v>2517</v>
      </c>
      <c r="E450" s="29" t="s">
        <v>2524</v>
      </c>
      <c r="F450" s="35">
        <v>251.43</v>
      </c>
      <c r="G450" s="22">
        <f t="shared" si="110"/>
        <v>0.1</v>
      </c>
      <c r="H450" s="35">
        <f t="shared" si="103"/>
        <v>226.28700000000001</v>
      </c>
      <c r="I450" s="27"/>
      <c r="J450" s="23"/>
      <c r="K450" s="23"/>
      <c r="L450" s="23"/>
      <c r="M450" s="63"/>
      <c r="N450" s="91" t="s">
        <v>75</v>
      </c>
      <c r="O450" s="55" t="s">
        <v>1106</v>
      </c>
      <c r="P450" s="56" t="s">
        <v>504</v>
      </c>
      <c r="Q450" s="56" t="s">
        <v>1273</v>
      </c>
      <c r="R450" s="25" t="s">
        <v>2524</v>
      </c>
      <c r="S450" s="64" t="s">
        <v>2525</v>
      </c>
      <c r="T450" s="65">
        <v>1</v>
      </c>
      <c r="U450" s="35" t="s">
        <v>2517</v>
      </c>
      <c r="V450" s="29" t="s">
        <v>2524</v>
      </c>
      <c r="W450" s="35">
        <v>251.43</v>
      </c>
      <c r="X450" s="22">
        <f t="shared" si="111"/>
        <v>0.1</v>
      </c>
      <c r="Y450" s="35">
        <f t="shared" si="108"/>
        <v>226.28700000000001</v>
      </c>
      <c r="Z450" s="27"/>
      <c r="AA450" s="23"/>
      <c r="AB450" s="23"/>
      <c r="AC450" s="28"/>
      <c r="AD450" s="63"/>
      <c r="AE450" s="91" t="s">
        <v>75</v>
      </c>
      <c r="AF450" s="55" t="s">
        <v>1106</v>
      </c>
      <c r="AG450" s="14" t="s">
        <v>2594</v>
      </c>
      <c r="AH450" s="14" t="s">
        <v>2595</v>
      </c>
    </row>
    <row r="451" spans="1:34" s="1" customFormat="1">
      <c r="A451" s="25" t="s">
        <v>2564</v>
      </c>
      <c r="B451" s="64" t="s">
        <v>2565</v>
      </c>
      <c r="C451" s="65">
        <v>1</v>
      </c>
      <c r="D451" s="35" t="s">
        <v>2517</v>
      </c>
      <c r="E451" s="29" t="s">
        <v>2564</v>
      </c>
      <c r="F451" s="35">
        <v>850.79</v>
      </c>
      <c r="G451" s="22">
        <f t="shared" si="110"/>
        <v>0.1</v>
      </c>
      <c r="H451" s="35">
        <f t="shared" si="103"/>
        <v>765.71100000000001</v>
      </c>
      <c r="I451" s="27"/>
      <c r="J451" s="23"/>
      <c r="K451" s="23"/>
      <c r="L451" s="23"/>
      <c r="M451" s="63"/>
      <c r="N451" s="91" t="s">
        <v>75</v>
      </c>
      <c r="O451" s="55" t="s">
        <v>1106</v>
      </c>
      <c r="P451" s="56" t="s">
        <v>504</v>
      </c>
      <c r="Q451" s="56" t="s">
        <v>1273</v>
      </c>
      <c r="R451" s="25" t="s">
        <v>2564</v>
      </c>
      <c r="S451" s="64" t="s">
        <v>2565</v>
      </c>
      <c r="T451" s="65">
        <v>1</v>
      </c>
      <c r="U451" s="35" t="s">
        <v>2517</v>
      </c>
      <c r="V451" s="29" t="s">
        <v>2564</v>
      </c>
      <c r="W451" s="35">
        <v>850.79</v>
      </c>
      <c r="X451" s="22">
        <f t="shared" si="111"/>
        <v>0.1</v>
      </c>
      <c r="Y451" s="35">
        <f t="shared" si="108"/>
        <v>765.71100000000001</v>
      </c>
      <c r="Z451" s="27"/>
      <c r="AA451" s="23"/>
      <c r="AB451" s="23"/>
      <c r="AC451" s="28"/>
      <c r="AD451" s="63"/>
      <c r="AE451" s="91" t="s">
        <v>75</v>
      </c>
      <c r="AF451" s="55" t="s">
        <v>1106</v>
      </c>
      <c r="AG451" s="14" t="s">
        <v>2596</v>
      </c>
      <c r="AH451" s="14" t="s">
        <v>2597</v>
      </c>
    </row>
    <row r="452" spans="1:34" s="1" customFormat="1">
      <c r="A452" s="25" t="s">
        <v>2598</v>
      </c>
      <c r="B452" s="64" t="s">
        <v>2569</v>
      </c>
      <c r="C452" s="65">
        <v>1</v>
      </c>
      <c r="D452" s="35" t="s">
        <v>2517</v>
      </c>
      <c r="E452" s="29" t="s">
        <v>2598</v>
      </c>
      <c r="F452" s="35">
        <v>502.86</v>
      </c>
      <c r="G452" s="22">
        <f t="shared" si="110"/>
        <v>0.1</v>
      </c>
      <c r="H452" s="35">
        <f t="shared" si="103"/>
        <v>452.57400000000001</v>
      </c>
      <c r="I452" s="27"/>
      <c r="J452" s="23"/>
      <c r="K452" s="23"/>
      <c r="L452" s="23"/>
      <c r="M452" s="63"/>
      <c r="N452" s="91" t="s">
        <v>75</v>
      </c>
      <c r="O452" s="55" t="s">
        <v>1106</v>
      </c>
      <c r="P452" s="56" t="s">
        <v>504</v>
      </c>
      <c r="Q452" s="56" t="s">
        <v>1273</v>
      </c>
      <c r="R452" s="25" t="s">
        <v>2598</v>
      </c>
      <c r="S452" s="64" t="s">
        <v>2569</v>
      </c>
      <c r="T452" s="65">
        <v>1</v>
      </c>
      <c r="U452" s="35" t="s">
        <v>2517</v>
      </c>
      <c r="V452" s="29" t="s">
        <v>2598</v>
      </c>
      <c r="W452" s="35">
        <v>502.86</v>
      </c>
      <c r="X452" s="22">
        <f t="shared" si="111"/>
        <v>0.1</v>
      </c>
      <c r="Y452" s="35">
        <f t="shared" si="108"/>
        <v>452.57400000000001</v>
      </c>
      <c r="Z452" s="27"/>
      <c r="AA452" s="23"/>
      <c r="AB452" s="23"/>
      <c r="AC452" s="28"/>
      <c r="AD452" s="63"/>
      <c r="AE452" s="91" t="s">
        <v>75</v>
      </c>
      <c r="AF452" s="55" t="s">
        <v>1106</v>
      </c>
      <c r="AG452" s="14" t="s">
        <v>2599</v>
      </c>
      <c r="AH452" s="14" t="s">
        <v>2600</v>
      </c>
    </row>
    <row r="453" spans="1:34" s="1" customFormat="1">
      <c r="A453" s="25" t="s">
        <v>2534</v>
      </c>
      <c r="B453" s="64" t="s">
        <v>2535</v>
      </c>
      <c r="C453" s="65">
        <v>1</v>
      </c>
      <c r="D453" s="35" t="s">
        <v>2517</v>
      </c>
      <c r="E453" s="29" t="s">
        <v>2534</v>
      </c>
      <c r="F453" s="35">
        <v>251.43</v>
      </c>
      <c r="G453" s="22">
        <f t="shared" si="110"/>
        <v>0.1</v>
      </c>
      <c r="H453" s="35">
        <f t="shared" si="103"/>
        <v>226.28700000000001</v>
      </c>
      <c r="I453" s="27"/>
      <c r="J453" s="23"/>
      <c r="K453" s="23"/>
      <c r="L453" s="23"/>
      <c r="M453" s="63"/>
      <c r="N453" s="91" t="s">
        <v>75</v>
      </c>
      <c r="O453" s="55" t="s">
        <v>1106</v>
      </c>
      <c r="P453" s="56" t="s">
        <v>504</v>
      </c>
      <c r="Q453" s="56" t="s">
        <v>1273</v>
      </c>
      <c r="R453" s="25" t="s">
        <v>2534</v>
      </c>
      <c r="S453" s="64" t="s">
        <v>2535</v>
      </c>
      <c r="T453" s="65">
        <v>1</v>
      </c>
      <c r="U453" s="35" t="s">
        <v>2517</v>
      </c>
      <c r="V453" s="29" t="s">
        <v>2534</v>
      </c>
      <c r="W453" s="35">
        <v>251.43</v>
      </c>
      <c r="X453" s="22">
        <f t="shared" si="111"/>
        <v>0.1</v>
      </c>
      <c r="Y453" s="35">
        <f t="shared" si="108"/>
        <v>226.28700000000001</v>
      </c>
      <c r="Z453" s="27"/>
      <c r="AA453" s="23"/>
      <c r="AB453" s="23"/>
      <c r="AC453" s="28"/>
      <c r="AD453" s="63"/>
      <c r="AE453" s="91" t="s">
        <v>75</v>
      </c>
      <c r="AF453" s="55" t="s">
        <v>1106</v>
      </c>
      <c r="AG453" s="14" t="s">
        <v>2601</v>
      </c>
      <c r="AH453" s="14" t="s">
        <v>2602</v>
      </c>
    </row>
    <row r="454" spans="1:34" s="1" customFormat="1">
      <c r="A454" s="25" t="s">
        <v>2538</v>
      </c>
      <c r="B454" s="64" t="s">
        <v>2539</v>
      </c>
      <c r="C454" s="65">
        <v>1</v>
      </c>
      <c r="D454" s="35" t="s">
        <v>2517</v>
      </c>
      <c r="E454" s="29" t="s">
        <v>2538</v>
      </c>
      <c r="F454" s="35">
        <v>524.76</v>
      </c>
      <c r="G454" s="22">
        <f t="shared" si="110"/>
        <v>0.1</v>
      </c>
      <c r="H454" s="35">
        <f t="shared" si="103"/>
        <v>472.28399999999999</v>
      </c>
      <c r="I454" s="27"/>
      <c r="J454" s="23"/>
      <c r="K454" s="23"/>
      <c r="L454" s="23"/>
      <c r="M454" s="63"/>
      <c r="N454" s="91" t="s">
        <v>75</v>
      </c>
      <c r="O454" s="55" t="s">
        <v>1106</v>
      </c>
      <c r="P454" s="56" t="s">
        <v>504</v>
      </c>
      <c r="Q454" s="56" t="s">
        <v>1273</v>
      </c>
      <c r="R454" s="25" t="s">
        <v>2538</v>
      </c>
      <c r="S454" s="64" t="s">
        <v>2539</v>
      </c>
      <c r="T454" s="65">
        <v>1</v>
      </c>
      <c r="U454" s="35" t="s">
        <v>2517</v>
      </c>
      <c r="V454" s="29" t="s">
        <v>2538</v>
      </c>
      <c r="W454" s="35">
        <v>524.76</v>
      </c>
      <c r="X454" s="22">
        <f t="shared" si="111"/>
        <v>0.1</v>
      </c>
      <c r="Y454" s="35">
        <f t="shared" si="108"/>
        <v>472.28399999999999</v>
      </c>
      <c r="Z454" s="27"/>
      <c r="AA454" s="23"/>
      <c r="AB454" s="23"/>
      <c r="AC454" s="28"/>
      <c r="AD454" s="63"/>
      <c r="AE454" s="91" t="s">
        <v>75</v>
      </c>
      <c r="AF454" s="55" t="s">
        <v>1106</v>
      </c>
      <c r="AG454" s="14" t="s">
        <v>2603</v>
      </c>
      <c r="AH454" s="14" t="s">
        <v>2604</v>
      </c>
    </row>
    <row r="455" spans="1:34" s="1" customFormat="1">
      <c r="A455" s="25" t="s">
        <v>2542</v>
      </c>
      <c r="B455" s="64" t="s">
        <v>2543</v>
      </c>
      <c r="C455" s="65">
        <v>1</v>
      </c>
      <c r="D455" s="35" t="s">
        <v>2517</v>
      </c>
      <c r="E455" s="29" t="s">
        <v>2542</v>
      </c>
      <c r="F455" s="35">
        <v>129.68</v>
      </c>
      <c r="G455" s="22">
        <f t="shared" si="110"/>
        <v>0.1</v>
      </c>
      <c r="H455" s="35">
        <f t="shared" si="103"/>
        <v>116.712</v>
      </c>
      <c r="I455" s="27"/>
      <c r="J455" s="23"/>
      <c r="K455" s="23"/>
      <c r="L455" s="23"/>
      <c r="M455" s="63"/>
      <c r="N455" s="91" t="s">
        <v>75</v>
      </c>
      <c r="O455" s="55" t="s">
        <v>1106</v>
      </c>
      <c r="P455" s="56" t="s">
        <v>504</v>
      </c>
      <c r="Q455" s="56" t="s">
        <v>1273</v>
      </c>
      <c r="R455" s="25" t="s">
        <v>2542</v>
      </c>
      <c r="S455" s="64" t="s">
        <v>2543</v>
      </c>
      <c r="T455" s="65">
        <v>1</v>
      </c>
      <c r="U455" s="35" t="s">
        <v>2517</v>
      </c>
      <c r="V455" s="29" t="s">
        <v>2542</v>
      </c>
      <c r="W455" s="35">
        <v>129.68</v>
      </c>
      <c r="X455" s="22">
        <f t="shared" si="111"/>
        <v>0.1</v>
      </c>
      <c r="Y455" s="35">
        <f t="shared" si="108"/>
        <v>116.712</v>
      </c>
      <c r="Z455" s="27"/>
      <c r="AA455" s="23"/>
      <c r="AB455" s="23"/>
      <c r="AC455" s="28"/>
      <c r="AD455" s="63"/>
      <c r="AE455" s="91" t="s">
        <v>75</v>
      </c>
      <c r="AF455" s="55" t="s">
        <v>1106</v>
      </c>
      <c r="AG455" s="14" t="s">
        <v>2605</v>
      </c>
      <c r="AH455" s="14" t="s">
        <v>2606</v>
      </c>
    </row>
    <row r="456" spans="1:34" s="1" customFormat="1">
      <c r="A456" s="103" t="s">
        <v>2607</v>
      </c>
      <c r="B456" s="327" t="s">
        <v>2608</v>
      </c>
      <c r="C456" s="181">
        <v>1</v>
      </c>
      <c r="D456" s="108" t="s">
        <v>2517</v>
      </c>
      <c r="E456" s="105" t="s">
        <v>2607</v>
      </c>
      <c r="F456" s="108">
        <v>8911.75</v>
      </c>
      <c r="G456" s="109">
        <f t="shared" si="110"/>
        <v>0.1</v>
      </c>
      <c r="H456" s="108">
        <f t="shared" si="103"/>
        <v>8020.5749999999998</v>
      </c>
      <c r="I456" s="27"/>
      <c r="J456" s="23"/>
      <c r="K456" s="23"/>
      <c r="L456" s="23"/>
      <c r="M456" s="63"/>
      <c r="N456" s="91" t="s">
        <v>75</v>
      </c>
      <c r="O456" s="55" t="s">
        <v>1106</v>
      </c>
      <c r="P456" s="56" t="s">
        <v>504</v>
      </c>
      <c r="Q456" s="56" t="s">
        <v>1273</v>
      </c>
      <c r="R456" s="93" t="s">
        <v>2607</v>
      </c>
      <c r="S456" s="149" t="s">
        <v>2608</v>
      </c>
      <c r="T456" s="150">
        <v>1</v>
      </c>
      <c r="U456" s="128" t="s">
        <v>2517</v>
      </c>
      <c r="V456" s="95" t="s">
        <v>2607</v>
      </c>
      <c r="W456" s="128">
        <v>8911.75</v>
      </c>
      <c r="X456" s="151">
        <f t="shared" si="111"/>
        <v>0.1</v>
      </c>
      <c r="Y456" s="128">
        <f t="shared" si="108"/>
        <v>8020.5749999999998</v>
      </c>
      <c r="Z456" s="27"/>
      <c r="AA456" s="23"/>
      <c r="AB456" s="23"/>
      <c r="AC456" s="28"/>
      <c r="AD456" s="63"/>
      <c r="AE456" s="91" t="s">
        <v>75</v>
      </c>
      <c r="AF456" s="55" t="s">
        <v>1106</v>
      </c>
      <c r="AG456" s="14" t="s">
        <v>2609</v>
      </c>
      <c r="AH456" s="14" t="s">
        <v>2610</v>
      </c>
    </row>
    <row r="457" spans="1:34" s="1" customFormat="1">
      <c r="A457" s="25" t="s">
        <v>2611</v>
      </c>
      <c r="B457" s="64" t="s">
        <v>2612</v>
      </c>
      <c r="C457" s="65">
        <v>1</v>
      </c>
      <c r="D457" s="35" t="s">
        <v>2517</v>
      </c>
      <c r="E457" s="29" t="s">
        <v>2611</v>
      </c>
      <c r="F457" s="35">
        <v>1005.71</v>
      </c>
      <c r="G457" s="22">
        <f t="shared" si="110"/>
        <v>0.1</v>
      </c>
      <c r="H457" s="35">
        <f t="shared" si="103"/>
        <v>905.13900000000001</v>
      </c>
      <c r="I457" s="27"/>
      <c r="J457" s="23"/>
      <c r="K457" s="23"/>
      <c r="L457" s="23"/>
      <c r="M457" s="63"/>
      <c r="N457" s="91" t="s">
        <v>75</v>
      </c>
      <c r="O457" s="55" t="s">
        <v>1106</v>
      </c>
      <c r="P457" s="56" t="s">
        <v>504</v>
      </c>
      <c r="Q457" s="56" t="s">
        <v>1273</v>
      </c>
      <c r="R457" s="25" t="s">
        <v>2611</v>
      </c>
      <c r="S457" s="64" t="s">
        <v>2612</v>
      </c>
      <c r="T457" s="65">
        <v>1</v>
      </c>
      <c r="U457" s="35" t="s">
        <v>2517</v>
      </c>
      <c r="V457" s="29" t="s">
        <v>2611</v>
      </c>
      <c r="W457" s="35">
        <v>1005.71</v>
      </c>
      <c r="X457" s="22">
        <f t="shared" si="111"/>
        <v>0.1</v>
      </c>
      <c r="Y457" s="35">
        <f t="shared" si="108"/>
        <v>905.13900000000001</v>
      </c>
      <c r="Z457" s="27"/>
      <c r="AA457" s="23"/>
      <c r="AB457" s="23"/>
      <c r="AC457" s="28"/>
      <c r="AD457" s="63"/>
      <c r="AE457" s="91" t="s">
        <v>75</v>
      </c>
      <c r="AF457" s="55" t="s">
        <v>1106</v>
      </c>
      <c r="AG457" s="14" t="s">
        <v>2613</v>
      </c>
      <c r="AH457" s="14" t="s">
        <v>2614</v>
      </c>
    </row>
    <row r="458" spans="1:34" s="1" customFormat="1">
      <c r="A458" s="25" t="s">
        <v>2615</v>
      </c>
      <c r="B458" s="64" t="s">
        <v>2616</v>
      </c>
      <c r="C458" s="65">
        <v>1</v>
      </c>
      <c r="D458" s="35" t="s">
        <v>2517</v>
      </c>
      <c r="E458" s="29" t="s">
        <v>2615</v>
      </c>
      <c r="F458" s="35">
        <v>586.66999999999996</v>
      </c>
      <c r="G458" s="22">
        <f t="shared" ref="G458:G478" si="112">rv_10</f>
        <v>0.1</v>
      </c>
      <c r="H458" s="35">
        <f t="shared" si="103"/>
        <v>528.00299999999993</v>
      </c>
      <c r="I458" s="27"/>
      <c r="J458" s="23"/>
      <c r="K458" s="23"/>
      <c r="L458" s="23"/>
      <c r="M458" s="63"/>
      <c r="N458" s="91" t="s">
        <v>75</v>
      </c>
      <c r="O458" s="55" t="s">
        <v>1106</v>
      </c>
      <c r="P458" s="56" t="s">
        <v>504</v>
      </c>
      <c r="Q458" s="56" t="s">
        <v>1273</v>
      </c>
      <c r="R458" s="25" t="s">
        <v>2615</v>
      </c>
      <c r="S458" s="64" t="s">
        <v>2616</v>
      </c>
      <c r="T458" s="65">
        <v>1</v>
      </c>
      <c r="U458" s="35" t="s">
        <v>2517</v>
      </c>
      <c r="V458" s="29" t="s">
        <v>2615</v>
      </c>
      <c r="W458" s="35">
        <v>586.66999999999996</v>
      </c>
      <c r="X458" s="22">
        <f t="shared" si="111"/>
        <v>0.1</v>
      </c>
      <c r="Y458" s="35">
        <f t="shared" si="108"/>
        <v>528.00299999999993</v>
      </c>
      <c r="Z458" s="27"/>
      <c r="AA458" s="23"/>
      <c r="AB458" s="23"/>
      <c r="AC458" s="28"/>
      <c r="AD458" s="63"/>
      <c r="AE458" s="91" t="s">
        <v>75</v>
      </c>
      <c r="AF458" s="55" t="s">
        <v>1106</v>
      </c>
      <c r="AG458" s="14" t="s">
        <v>2617</v>
      </c>
      <c r="AH458" s="14" t="s">
        <v>2618</v>
      </c>
    </row>
    <row r="459" spans="1:34" s="1" customFormat="1">
      <c r="A459" s="25" t="s">
        <v>2619</v>
      </c>
      <c r="B459" s="64" t="s">
        <v>2620</v>
      </c>
      <c r="C459" s="65">
        <v>1</v>
      </c>
      <c r="D459" s="35" t="s">
        <v>2517</v>
      </c>
      <c r="E459" s="29" t="s">
        <v>2619</v>
      </c>
      <c r="F459" s="35">
        <v>335.24</v>
      </c>
      <c r="G459" s="22">
        <f t="shared" si="112"/>
        <v>0.1</v>
      </c>
      <c r="H459" s="35">
        <f t="shared" si="103"/>
        <v>301.71600000000001</v>
      </c>
      <c r="I459" s="27"/>
      <c r="J459" s="23"/>
      <c r="K459" s="23"/>
      <c r="L459" s="23"/>
      <c r="M459" s="63"/>
      <c r="N459" s="91" t="s">
        <v>75</v>
      </c>
      <c r="O459" s="55" t="s">
        <v>1106</v>
      </c>
      <c r="P459" s="56" t="s">
        <v>504</v>
      </c>
      <c r="Q459" s="56" t="s">
        <v>1273</v>
      </c>
      <c r="R459" s="25" t="s">
        <v>2619</v>
      </c>
      <c r="S459" s="64" t="s">
        <v>2620</v>
      </c>
      <c r="T459" s="65">
        <v>1</v>
      </c>
      <c r="U459" s="35" t="s">
        <v>2517</v>
      </c>
      <c r="V459" s="29" t="s">
        <v>2619</v>
      </c>
      <c r="W459" s="35">
        <v>335.24</v>
      </c>
      <c r="X459" s="22">
        <f t="shared" si="111"/>
        <v>0.1</v>
      </c>
      <c r="Y459" s="35">
        <f t="shared" si="108"/>
        <v>301.71600000000001</v>
      </c>
      <c r="Z459" s="27"/>
      <c r="AA459" s="23"/>
      <c r="AB459" s="23"/>
      <c r="AC459" s="28"/>
      <c r="AD459" s="63"/>
      <c r="AE459" s="91" t="s">
        <v>75</v>
      </c>
      <c r="AF459" s="55" t="s">
        <v>1106</v>
      </c>
      <c r="AG459" s="14" t="s">
        <v>2621</v>
      </c>
      <c r="AH459" s="14" t="s">
        <v>2622</v>
      </c>
    </row>
    <row r="460" spans="1:34" s="1" customFormat="1">
      <c r="A460" s="25" t="s">
        <v>2524</v>
      </c>
      <c r="B460" s="64" t="s">
        <v>2525</v>
      </c>
      <c r="C460" s="65">
        <v>1</v>
      </c>
      <c r="D460" s="35" t="s">
        <v>2517</v>
      </c>
      <c r="E460" s="29" t="s">
        <v>2524</v>
      </c>
      <c r="F460" s="35">
        <v>251.43</v>
      </c>
      <c r="G460" s="22">
        <f t="shared" si="112"/>
        <v>0.1</v>
      </c>
      <c r="H460" s="35">
        <f t="shared" si="103"/>
        <v>226.28700000000001</v>
      </c>
      <c r="I460" s="27"/>
      <c r="J460" s="23"/>
      <c r="K460" s="23"/>
      <c r="L460" s="23"/>
      <c r="M460" s="63"/>
      <c r="N460" s="91" t="s">
        <v>75</v>
      </c>
      <c r="O460" s="55" t="s">
        <v>1106</v>
      </c>
      <c r="P460" s="56" t="s">
        <v>504</v>
      </c>
      <c r="Q460" s="56" t="s">
        <v>1273</v>
      </c>
      <c r="R460" s="25" t="s">
        <v>2524</v>
      </c>
      <c r="S460" s="64" t="s">
        <v>2525</v>
      </c>
      <c r="T460" s="65">
        <v>1</v>
      </c>
      <c r="U460" s="35" t="s">
        <v>2517</v>
      </c>
      <c r="V460" s="29" t="s">
        <v>2524</v>
      </c>
      <c r="W460" s="35">
        <v>251.43</v>
      </c>
      <c r="X460" s="22">
        <f t="shared" si="111"/>
        <v>0.1</v>
      </c>
      <c r="Y460" s="35">
        <f t="shared" si="108"/>
        <v>226.28700000000001</v>
      </c>
      <c r="Z460" s="27"/>
      <c r="AA460" s="23"/>
      <c r="AB460" s="23"/>
      <c r="AC460" s="28"/>
      <c r="AD460" s="63"/>
      <c r="AE460" s="91" t="s">
        <v>75</v>
      </c>
      <c r="AF460" s="55" t="s">
        <v>1106</v>
      </c>
      <c r="AG460" s="14" t="s">
        <v>2623</v>
      </c>
      <c r="AH460" s="14" t="s">
        <v>2624</v>
      </c>
    </row>
    <row r="461" spans="1:34" s="1" customFormat="1">
      <c r="A461" s="25" t="s">
        <v>2625</v>
      </c>
      <c r="B461" s="64" t="s">
        <v>2626</v>
      </c>
      <c r="C461" s="65">
        <v>1</v>
      </c>
      <c r="D461" s="35" t="s">
        <v>2517</v>
      </c>
      <c r="E461" s="29" t="s">
        <v>2625</v>
      </c>
      <c r="F461" s="35">
        <v>914.29</v>
      </c>
      <c r="G461" s="22">
        <f t="shared" si="112"/>
        <v>0.1</v>
      </c>
      <c r="H461" s="35">
        <f t="shared" si="103"/>
        <v>822.86099999999999</v>
      </c>
      <c r="I461" s="27"/>
      <c r="J461" s="23"/>
      <c r="K461" s="23"/>
      <c r="L461" s="23"/>
      <c r="M461" s="63"/>
      <c r="N461" s="91" t="s">
        <v>75</v>
      </c>
      <c r="O461" s="55" t="s">
        <v>1106</v>
      </c>
      <c r="P461" s="56" t="s">
        <v>504</v>
      </c>
      <c r="Q461" s="56" t="s">
        <v>1273</v>
      </c>
      <c r="R461" s="25" t="s">
        <v>2625</v>
      </c>
      <c r="S461" s="64" t="s">
        <v>2626</v>
      </c>
      <c r="T461" s="65">
        <v>1</v>
      </c>
      <c r="U461" s="35" t="s">
        <v>2517</v>
      </c>
      <c r="V461" s="29" t="s">
        <v>2625</v>
      </c>
      <c r="W461" s="35">
        <v>914.29</v>
      </c>
      <c r="X461" s="22">
        <f t="shared" si="111"/>
        <v>0.1</v>
      </c>
      <c r="Y461" s="35">
        <f t="shared" si="108"/>
        <v>822.86099999999999</v>
      </c>
      <c r="Z461" s="27"/>
      <c r="AA461" s="23"/>
      <c r="AB461" s="23"/>
      <c r="AC461" s="28"/>
      <c r="AD461" s="63"/>
      <c r="AE461" s="91" t="s">
        <v>75</v>
      </c>
      <c r="AF461" s="55" t="s">
        <v>1106</v>
      </c>
      <c r="AG461" s="14" t="s">
        <v>2627</v>
      </c>
      <c r="AH461" s="14" t="s">
        <v>2628</v>
      </c>
    </row>
    <row r="462" spans="1:34" s="1" customFormat="1">
      <c r="A462" s="25" t="s">
        <v>2629</v>
      </c>
      <c r="B462" s="64" t="s">
        <v>2630</v>
      </c>
      <c r="C462" s="65">
        <v>1</v>
      </c>
      <c r="D462" s="35" t="s">
        <v>2517</v>
      </c>
      <c r="E462" s="29" t="s">
        <v>2629</v>
      </c>
      <c r="F462" s="35">
        <v>640</v>
      </c>
      <c r="G462" s="22">
        <f t="shared" si="112"/>
        <v>0.1</v>
      </c>
      <c r="H462" s="35">
        <f t="shared" si="103"/>
        <v>576</v>
      </c>
      <c r="I462" s="27"/>
      <c r="J462" s="23"/>
      <c r="K462" s="23"/>
      <c r="L462" s="23"/>
      <c r="M462" s="63"/>
      <c r="N462" s="91" t="s">
        <v>75</v>
      </c>
      <c r="O462" s="55" t="s">
        <v>1106</v>
      </c>
      <c r="P462" s="56" t="s">
        <v>504</v>
      </c>
      <c r="Q462" s="56" t="s">
        <v>1273</v>
      </c>
      <c r="R462" s="25" t="s">
        <v>2629</v>
      </c>
      <c r="S462" s="64" t="s">
        <v>2630</v>
      </c>
      <c r="T462" s="65">
        <v>1</v>
      </c>
      <c r="U462" s="35" t="s">
        <v>2517</v>
      </c>
      <c r="V462" s="29" t="s">
        <v>2629</v>
      </c>
      <c r="W462" s="35">
        <v>640</v>
      </c>
      <c r="X462" s="22">
        <f t="shared" si="111"/>
        <v>0.1</v>
      </c>
      <c r="Y462" s="35">
        <f t="shared" si="108"/>
        <v>576</v>
      </c>
      <c r="Z462" s="27"/>
      <c r="AA462" s="23"/>
      <c r="AB462" s="23"/>
      <c r="AC462" s="28"/>
      <c r="AD462" s="63"/>
      <c r="AE462" s="91" t="s">
        <v>75</v>
      </c>
      <c r="AF462" s="55" t="s">
        <v>1106</v>
      </c>
      <c r="AG462" s="14" t="s">
        <v>2631</v>
      </c>
      <c r="AH462" s="14" t="s">
        <v>2632</v>
      </c>
    </row>
    <row r="463" spans="1:34" s="1" customFormat="1">
      <c r="A463" s="25" t="s">
        <v>2534</v>
      </c>
      <c r="B463" s="64" t="s">
        <v>2535</v>
      </c>
      <c r="C463" s="65">
        <v>1</v>
      </c>
      <c r="D463" s="35" t="s">
        <v>2517</v>
      </c>
      <c r="E463" s="29" t="s">
        <v>2534</v>
      </c>
      <c r="F463" s="35">
        <v>251.43</v>
      </c>
      <c r="G463" s="22">
        <f t="shared" si="112"/>
        <v>0.1</v>
      </c>
      <c r="H463" s="35">
        <f t="shared" si="103"/>
        <v>226.28700000000001</v>
      </c>
      <c r="I463" s="27"/>
      <c r="J463" s="23"/>
      <c r="K463" s="23"/>
      <c r="L463" s="23"/>
      <c r="M463" s="63"/>
      <c r="N463" s="91" t="s">
        <v>75</v>
      </c>
      <c r="O463" s="55" t="s">
        <v>1106</v>
      </c>
      <c r="P463" s="56" t="s">
        <v>504</v>
      </c>
      <c r="Q463" s="56" t="s">
        <v>1273</v>
      </c>
      <c r="R463" s="25" t="s">
        <v>2534</v>
      </c>
      <c r="S463" s="64" t="s">
        <v>2535</v>
      </c>
      <c r="T463" s="65">
        <v>1</v>
      </c>
      <c r="U463" s="35" t="s">
        <v>2517</v>
      </c>
      <c r="V463" s="29" t="s">
        <v>2534</v>
      </c>
      <c r="W463" s="35">
        <v>251.43</v>
      </c>
      <c r="X463" s="22">
        <f t="shared" si="111"/>
        <v>0.1</v>
      </c>
      <c r="Y463" s="35">
        <f t="shared" si="108"/>
        <v>226.28700000000001</v>
      </c>
      <c r="Z463" s="27"/>
      <c r="AA463" s="23"/>
      <c r="AB463" s="23"/>
      <c r="AC463" s="28"/>
      <c r="AD463" s="63"/>
      <c r="AE463" s="91" t="s">
        <v>75</v>
      </c>
      <c r="AF463" s="55" t="s">
        <v>1106</v>
      </c>
      <c r="AG463" s="14" t="s">
        <v>2633</v>
      </c>
      <c r="AH463" s="14" t="s">
        <v>2634</v>
      </c>
    </row>
    <row r="464" spans="1:34" s="1" customFormat="1">
      <c r="A464" s="25" t="s">
        <v>2635</v>
      </c>
      <c r="B464" s="64" t="s">
        <v>2636</v>
      </c>
      <c r="C464" s="65">
        <v>1</v>
      </c>
      <c r="D464" s="35" t="s">
        <v>2517</v>
      </c>
      <c r="E464" s="29" t="s">
        <v>2635</v>
      </c>
      <c r="F464" s="35">
        <v>279.37</v>
      </c>
      <c r="G464" s="22">
        <f t="shared" si="112"/>
        <v>0.1</v>
      </c>
      <c r="H464" s="35">
        <f t="shared" si="103"/>
        <v>251.43299999999999</v>
      </c>
      <c r="I464" s="27"/>
      <c r="J464" s="23"/>
      <c r="K464" s="23"/>
      <c r="L464" s="23"/>
      <c r="M464" s="63"/>
      <c r="N464" s="91" t="s">
        <v>75</v>
      </c>
      <c r="O464" s="55" t="s">
        <v>1106</v>
      </c>
      <c r="P464" s="56" t="s">
        <v>504</v>
      </c>
      <c r="Q464" s="56" t="s">
        <v>1273</v>
      </c>
      <c r="R464" s="25" t="s">
        <v>2635</v>
      </c>
      <c r="S464" s="64" t="s">
        <v>2636</v>
      </c>
      <c r="T464" s="65">
        <v>1</v>
      </c>
      <c r="U464" s="35" t="s">
        <v>2517</v>
      </c>
      <c r="V464" s="29" t="s">
        <v>2635</v>
      </c>
      <c r="W464" s="35">
        <v>279.37</v>
      </c>
      <c r="X464" s="22">
        <f t="shared" si="111"/>
        <v>0.1</v>
      </c>
      <c r="Y464" s="35">
        <f t="shared" si="108"/>
        <v>251.43299999999999</v>
      </c>
      <c r="Z464" s="27"/>
      <c r="AA464" s="23"/>
      <c r="AB464" s="23"/>
      <c r="AC464" s="28"/>
      <c r="AD464" s="63"/>
      <c r="AE464" s="91" t="s">
        <v>75</v>
      </c>
      <c r="AF464" s="55" t="s">
        <v>1106</v>
      </c>
      <c r="AG464" s="14" t="s">
        <v>2637</v>
      </c>
      <c r="AH464" s="14" t="s">
        <v>2638</v>
      </c>
    </row>
    <row r="465" spans="1:34" s="1" customFormat="1">
      <c r="A465" s="25" t="s">
        <v>2538</v>
      </c>
      <c r="B465" s="64" t="s">
        <v>2539</v>
      </c>
      <c r="C465" s="65">
        <v>1</v>
      </c>
      <c r="D465" s="35" t="s">
        <v>2517</v>
      </c>
      <c r="E465" s="29" t="s">
        <v>2538</v>
      </c>
      <c r="F465" s="35">
        <v>524.76</v>
      </c>
      <c r="G465" s="22">
        <f t="shared" si="112"/>
        <v>0.1</v>
      </c>
      <c r="H465" s="35">
        <f t="shared" si="103"/>
        <v>472.28399999999999</v>
      </c>
      <c r="I465" s="27"/>
      <c r="J465" s="23"/>
      <c r="K465" s="23"/>
      <c r="L465" s="23"/>
      <c r="M465" s="63"/>
      <c r="N465" s="91" t="s">
        <v>75</v>
      </c>
      <c r="O465" s="55" t="s">
        <v>1106</v>
      </c>
      <c r="P465" s="56" t="s">
        <v>504</v>
      </c>
      <c r="Q465" s="56" t="s">
        <v>1273</v>
      </c>
      <c r="R465" s="25" t="s">
        <v>2538</v>
      </c>
      <c r="S465" s="64" t="s">
        <v>2539</v>
      </c>
      <c r="T465" s="65">
        <v>1</v>
      </c>
      <c r="U465" s="35" t="s">
        <v>2517</v>
      </c>
      <c r="V465" s="29" t="s">
        <v>2538</v>
      </c>
      <c r="W465" s="35">
        <v>524.76</v>
      </c>
      <c r="X465" s="22">
        <f t="shared" si="111"/>
        <v>0.1</v>
      </c>
      <c r="Y465" s="35">
        <f t="shared" si="108"/>
        <v>472.28399999999999</v>
      </c>
      <c r="Z465" s="27"/>
      <c r="AA465" s="23"/>
      <c r="AB465" s="23"/>
      <c r="AC465" s="28"/>
      <c r="AD465" s="63"/>
      <c r="AE465" s="91" t="s">
        <v>75</v>
      </c>
      <c r="AF465" s="55" t="s">
        <v>1106</v>
      </c>
      <c r="AG465" s="14" t="s">
        <v>2639</v>
      </c>
      <c r="AH465" s="14" t="s">
        <v>2640</v>
      </c>
    </row>
    <row r="466" spans="1:34" s="1" customFormat="1">
      <c r="A466" s="25" t="s">
        <v>2542</v>
      </c>
      <c r="B466" s="64" t="s">
        <v>2543</v>
      </c>
      <c r="C466" s="65">
        <v>1</v>
      </c>
      <c r="D466" s="35" t="s">
        <v>2517</v>
      </c>
      <c r="E466" s="29" t="s">
        <v>2542</v>
      </c>
      <c r="F466" s="35">
        <v>129.68</v>
      </c>
      <c r="G466" s="22">
        <f t="shared" si="112"/>
        <v>0.1</v>
      </c>
      <c r="H466" s="35">
        <f t="shared" si="103"/>
        <v>116.712</v>
      </c>
      <c r="I466" s="27"/>
      <c r="J466" s="23"/>
      <c r="K466" s="23"/>
      <c r="L466" s="23"/>
      <c r="M466" s="63"/>
      <c r="N466" s="91" t="s">
        <v>75</v>
      </c>
      <c r="O466" s="55" t="s">
        <v>1106</v>
      </c>
      <c r="P466" s="56" t="s">
        <v>504</v>
      </c>
      <c r="Q466" s="56" t="s">
        <v>1273</v>
      </c>
      <c r="R466" s="25" t="s">
        <v>2542</v>
      </c>
      <c r="S466" s="64" t="s">
        <v>2543</v>
      </c>
      <c r="T466" s="65">
        <v>1</v>
      </c>
      <c r="U466" s="35" t="s">
        <v>2517</v>
      </c>
      <c r="V466" s="29" t="s">
        <v>2542</v>
      </c>
      <c r="W466" s="35">
        <v>129.68</v>
      </c>
      <c r="X466" s="22">
        <f t="shared" si="111"/>
        <v>0.1</v>
      </c>
      <c r="Y466" s="35">
        <f t="shared" si="108"/>
        <v>116.712</v>
      </c>
      <c r="Z466" s="27"/>
      <c r="AA466" s="23"/>
      <c r="AB466" s="23"/>
      <c r="AC466" s="28"/>
      <c r="AD466" s="63"/>
      <c r="AE466" s="91" t="s">
        <v>75</v>
      </c>
      <c r="AF466" s="55" t="s">
        <v>1106</v>
      </c>
      <c r="AG466" s="14" t="s">
        <v>2641</v>
      </c>
      <c r="AH466" s="14" t="s">
        <v>2642</v>
      </c>
    </row>
    <row r="467" spans="1:34" s="1" customFormat="1">
      <c r="A467" s="103" t="s">
        <v>2643</v>
      </c>
      <c r="B467" s="327" t="s">
        <v>2644</v>
      </c>
      <c r="C467" s="181">
        <v>1</v>
      </c>
      <c r="D467" s="108" t="s">
        <v>2517</v>
      </c>
      <c r="E467" s="105" t="s">
        <v>2643</v>
      </c>
      <c r="F467" s="108">
        <v>10741.59</v>
      </c>
      <c r="G467" s="109">
        <f t="shared" si="112"/>
        <v>0.1</v>
      </c>
      <c r="H467" s="108">
        <f t="shared" si="103"/>
        <v>9667.4310000000005</v>
      </c>
      <c r="I467" s="27"/>
      <c r="J467" s="23"/>
      <c r="K467" s="23"/>
      <c r="L467" s="23"/>
      <c r="M467" s="63"/>
      <c r="N467" s="91" t="s">
        <v>75</v>
      </c>
      <c r="O467" s="55" t="s">
        <v>1106</v>
      </c>
      <c r="P467" s="56" t="s">
        <v>504</v>
      </c>
      <c r="Q467" s="56" t="s">
        <v>1273</v>
      </c>
      <c r="R467" s="93" t="s">
        <v>2643</v>
      </c>
      <c r="S467" s="149" t="s">
        <v>2644</v>
      </c>
      <c r="T467" s="150">
        <v>1</v>
      </c>
      <c r="U467" s="128" t="s">
        <v>2517</v>
      </c>
      <c r="V467" s="95" t="s">
        <v>2643</v>
      </c>
      <c r="W467" s="128">
        <v>10741.59</v>
      </c>
      <c r="X467" s="151">
        <f t="shared" si="111"/>
        <v>0.1</v>
      </c>
      <c r="Y467" s="128">
        <f t="shared" si="108"/>
        <v>9667.4310000000005</v>
      </c>
      <c r="Z467" s="27"/>
      <c r="AA467" s="23"/>
      <c r="AB467" s="23"/>
      <c r="AC467" s="28"/>
      <c r="AD467" s="63"/>
      <c r="AE467" s="91" t="s">
        <v>75</v>
      </c>
      <c r="AF467" s="55" t="s">
        <v>1106</v>
      </c>
      <c r="AG467" s="14" t="s">
        <v>2645</v>
      </c>
      <c r="AH467" s="14" t="s">
        <v>2646</v>
      </c>
    </row>
    <row r="468" spans="1:34" s="1" customFormat="1">
      <c r="A468" s="25" t="s">
        <v>2647</v>
      </c>
      <c r="B468" s="64" t="s">
        <v>2648</v>
      </c>
      <c r="C468" s="65">
        <v>1</v>
      </c>
      <c r="D468" s="35" t="s">
        <v>2517</v>
      </c>
      <c r="E468" s="29" t="s">
        <v>2647</v>
      </c>
      <c r="F468" s="35">
        <v>1340.95</v>
      </c>
      <c r="G468" s="22">
        <f t="shared" si="112"/>
        <v>0.1</v>
      </c>
      <c r="H468" s="35">
        <f t="shared" si="103"/>
        <v>1206.855</v>
      </c>
      <c r="I468" s="27"/>
      <c r="J468" s="23"/>
      <c r="K468" s="23"/>
      <c r="L468" s="23"/>
      <c r="M468" s="63"/>
      <c r="N468" s="91" t="s">
        <v>75</v>
      </c>
      <c r="O468" s="55" t="s">
        <v>1106</v>
      </c>
      <c r="P468" s="56" t="s">
        <v>504</v>
      </c>
      <c r="Q468" s="56" t="s">
        <v>1273</v>
      </c>
      <c r="R468" s="25" t="s">
        <v>2647</v>
      </c>
      <c r="S468" s="64" t="s">
        <v>2648</v>
      </c>
      <c r="T468" s="65">
        <v>1</v>
      </c>
      <c r="U468" s="35" t="s">
        <v>2517</v>
      </c>
      <c r="V468" s="29" t="s">
        <v>2647</v>
      </c>
      <c r="W468" s="35">
        <v>1340.95</v>
      </c>
      <c r="X468" s="22">
        <f t="shared" si="111"/>
        <v>0.1</v>
      </c>
      <c r="Y468" s="35">
        <f t="shared" si="108"/>
        <v>1206.855</v>
      </c>
      <c r="Z468" s="27"/>
      <c r="AA468" s="23"/>
      <c r="AB468" s="23"/>
      <c r="AC468" s="28"/>
      <c r="AD468" s="63"/>
      <c r="AE468" s="91" t="s">
        <v>75</v>
      </c>
      <c r="AF468" s="55" t="s">
        <v>1106</v>
      </c>
      <c r="AG468" s="14" t="s">
        <v>2649</v>
      </c>
      <c r="AH468" s="14" t="s">
        <v>2650</v>
      </c>
    </row>
    <row r="469" spans="1:34" s="1" customFormat="1">
      <c r="A469" s="25" t="s">
        <v>2651</v>
      </c>
      <c r="B469" s="64" t="s">
        <v>2652</v>
      </c>
      <c r="C469" s="65">
        <v>1</v>
      </c>
      <c r="D469" s="35" t="s">
        <v>2517</v>
      </c>
      <c r="E469" s="29" t="s">
        <v>2651</v>
      </c>
      <c r="F469" s="35">
        <v>656.51</v>
      </c>
      <c r="G469" s="22">
        <f t="shared" si="112"/>
        <v>0.1</v>
      </c>
      <c r="H469" s="35">
        <f t="shared" ref="H469:H533" si="113">F469-(F469*G469)</f>
        <v>590.85900000000004</v>
      </c>
      <c r="I469" s="27"/>
      <c r="J469" s="23"/>
      <c r="K469" s="23"/>
      <c r="L469" s="23"/>
      <c r="M469" s="63"/>
      <c r="N469" s="91" t="s">
        <v>75</v>
      </c>
      <c r="O469" s="55" t="s">
        <v>1106</v>
      </c>
      <c r="P469" s="56" t="s">
        <v>504</v>
      </c>
      <c r="Q469" s="56" t="s">
        <v>1273</v>
      </c>
      <c r="R469" s="25" t="s">
        <v>2651</v>
      </c>
      <c r="S469" s="64" t="s">
        <v>2652</v>
      </c>
      <c r="T469" s="65">
        <v>1</v>
      </c>
      <c r="U469" s="35" t="s">
        <v>2517</v>
      </c>
      <c r="V469" s="29" t="s">
        <v>2651</v>
      </c>
      <c r="W469" s="35">
        <v>656.51</v>
      </c>
      <c r="X469" s="22">
        <f t="shared" si="111"/>
        <v>0.1</v>
      </c>
      <c r="Y469" s="35">
        <f t="shared" si="108"/>
        <v>590.85900000000004</v>
      </c>
      <c r="Z469" s="27"/>
      <c r="AA469" s="23"/>
      <c r="AB469" s="23"/>
      <c r="AC469" s="28"/>
      <c r="AD469" s="63"/>
      <c r="AE469" s="91" t="s">
        <v>75</v>
      </c>
      <c r="AF469" s="55" t="s">
        <v>1106</v>
      </c>
      <c r="AG469" s="14" t="s">
        <v>2653</v>
      </c>
      <c r="AH469" s="14" t="s">
        <v>2654</v>
      </c>
    </row>
    <row r="470" spans="1:34" s="1" customFormat="1">
      <c r="A470" s="25" t="s">
        <v>2655</v>
      </c>
      <c r="B470" s="64" t="s">
        <v>2656</v>
      </c>
      <c r="C470" s="65">
        <v>1</v>
      </c>
      <c r="D470" s="35" t="s">
        <v>2517</v>
      </c>
      <c r="E470" s="29" t="s">
        <v>2655</v>
      </c>
      <c r="F470" s="35">
        <v>446.98</v>
      </c>
      <c r="G470" s="22">
        <f t="shared" si="112"/>
        <v>0.1</v>
      </c>
      <c r="H470" s="35">
        <f t="shared" si="113"/>
        <v>402.28200000000004</v>
      </c>
      <c r="I470" s="27"/>
      <c r="J470" s="23"/>
      <c r="K470" s="23"/>
      <c r="L470" s="23"/>
      <c r="M470" s="63"/>
      <c r="N470" s="91" t="s">
        <v>75</v>
      </c>
      <c r="O470" s="55" t="s">
        <v>1106</v>
      </c>
      <c r="P470" s="56" t="s">
        <v>504</v>
      </c>
      <c r="Q470" s="56" t="s">
        <v>1273</v>
      </c>
      <c r="R470" s="25" t="s">
        <v>2655</v>
      </c>
      <c r="S470" s="64" t="s">
        <v>2656</v>
      </c>
      <c r="T470" s="65">
        <v>1</v>
      </c>
      <c r="U470" s="35" t="s">
        <v>2517</v>
      </c>
      <c r="V470" s="29" t="s">
        <v>2655</v>
      </c>
      <c r="W470" s="35">
        <v>446.98</v>
      </c>
      <c r="X470" s="22">
        <f t="shared" si="111"/>
        <v>0.1</v>
      </c>
      <c r="Y470" s="35">
        <f t="shared" si="108"/>
        <v>402.28200000000004</v>
      </c>
      <c r="Z470" s="27"/>
      <c r="AA470" s="23"/>
      <c r="AB470" s="23"/>
      <c r="AC470" s="28"/>
      <c r="AD470" s="63"/>
      <c r="AE470" s="91" t="s">
        <v>75</v>
      </c>
      <c r="AF470" s="55" t="s">
        <v>1106</v>
      </c>
      <c r="AG470" s="14" t="s">
        <v>2657</v>
      </c>
      <c r="AH470" s="14" t="s">
        <v>2658</v>
      </c>
    </row>
    <row r="471" spans="1:34" s="1" customFormat="1">
      <c r="A471" s="25" t="s">
        <v>2524</v>
      </c>
      <c r="B471" s="64" t="s">
        <v>2525</v>
      </c>
      <c r="C471" s="65">
        <v>1</v>
      </c>
      <c r="D471" s="35" t="s">
        <v>2517</v>
      </c>
      <c r="E471" s="29" t="s">
        <v>2524</v>
      </c>
      <c r="F471" s="35">
        <v>251.43</v>
      </c>
      <c r="G471" s="22">
        <f t="shared" si="112"/>
        <v>0.1</v>
      </c>
      <c r="H471" s="35">
        <f t="shared" si="113"/>
        <v>226.28700000000001</v>
      </c>
      <c r="I471" s="27"/>
      <c r="J471" s="23"/>
      <c r="K471" s="23"/>
      <c r="L471" s="23"/>
      <c r="M471" s="63"/>
      <c r="N471" s="91" t="s">
        <v>75</v>
      </c>
      <c r="O471" s="55" t="s">
        <v>1106</v>
      </c>
      <c r="P471" s="56" t="s">
        <v>504</v>
      </c>
      <c r="Q471" s="56" t="s">
        <v>1273</v>
      </c>
      <c r="R471" s="25" t="s">
        <v>2524</v>
      </c>
      <c r="S471" s="64" t="s">
        <v>2525</v>
      </c>
      <c r="T471" s="65">
        <v>1</v>
      </c>
      <c r="U471" s="35" t="s">
        <v>2517</v>
      </c>
      <c r="V471" s="29" t="s">
        <v>2524</v>
      </c>
      <c r="W471" s="35">
        <v>251.43</v>
      </c>
      <c r="X471" s="22">
        <f t="shared" si="111"/>
        <v>0.1</v>
      </c>
      <c r="Y471" s="35">
        <f t="shared" si="108"/>
        <v>226.28700000000001</v>
      </c>
      <c r="Z471" s="27"/>
      <c r="AA471" s="23"/>
      <c r="AB471" s="23"/>
      <c r="AC471" s="28"/>
      <c r="AD471" s="63"/>
      <c r="AE471" s="91" t="s">
        <v>75</v>
      </c>
      <c r="AF471" s="55" t="s">
        <v>1106</v>
      </c>
      <c r="AG471" s="14" t="s">
        <v>2659</v>
      </c>
      <c r="AH471" s="14" t="s">
        <v>2660</v>
      </c>
    </row>
    <row r="472" spans="1:34" s="1" customFormat="1">
      <c r="A472" s="25" t="s">
        <v>2625</v>
      </c>
      <c r="B472" s="64" t="s">
        <v>2626</v>
      </c>
      <c r="C472" s="65">
        <v>1</v>
      </c>
      <c r="D472" s="35" t="s">
        <v>2517</v>
      </c>
      <c r="E472" s="29" t="s">
        <v>2625</v>
      </c>
      <c r="F472" s="35">
        <v>914.29</v>
      </c>
      <c r="G472" s="22">
        <f t="shared" si="112"/>
        <v>0.1</v>
      </c>
      <c r="H472" s="35">
        <f t="shared" si="113"/>
        <v>822.86099999999999</v>
      </c>
      <c r="I472" s="27"/>
      <c r="J472" s="23"/>
      <c r="K472" s="23"/>
      <c r="L472" s="23"/>
      <c r="M472" s="63"/>
      <c r="N472" s="91" t="s">
        <v>75</v>
      </c>
      <c r="O472" s="55" t="s">
        <v>1106</v>
      </c>
      <c r="P472" s="56" t="s">
        <v>504</v>
      </c>
      <c r="Q472" s="56" t="s">
        <v>1273</v>
      </c>
      <c r="R472" s="25" t="s">
        <v>2625</v>
      </c>
      <c r="S472" s="64" t="s">
        <v>2626</v>
      </c>
      <c r="T472" s="65">
        <v>1</v>
      </c>
      <c r="U472" s="35" t="s">
        <v>2517</v>
      </c>
      <c r="V472" s="29" t="s">
        <v>2625</v>
      </c>
      <c r="W472" s="35">
        <v>914.29</v>
      </c>
      <c r="X472" s="22">
        <f t="shared" si="111"/>
        <v>0.1</v>
      </c>
      <c r="Y472" s="35">
        <f t="shared" si="108"/>
        <v>822.86099999999999</v>
      </c>
      <c r="Z472" s="27"/>
      <c r="AA472" s="23"/>
      <c r="AB472" s="23"/>
      <c r="AC472" s="28"/>
      <c r="AD472" s="63"/>
      <c r="AE472" s="91" t="s">
        <v>75</v>
      </c>
      <c r="AF472" s="55" t="s">
        <v>1106</v>
      </c>
      <c r="AG472" s="14" t="s">
        <v>2661</v>
      </c>
      <c r="AH472" s="14" t="s">
        <v>2662</v>
      </c>
    </row>
    <row r="473" spans="1:34" s="1" customFormat="1">
      <c r="A473" s="25" t="s">
        <v>2663</v>
      </c>
      <c r="B473" s="64" t="s">
        <v>2630</v>
      </c>
      <c r="C473" s="65">
        <v>1</v>
      </c>
      <c r="D473" s="35" t="s">
        <v>2517</v>
      </c>
      <c r="E473" s="29" t="s">
        <v>2663</v>
      </c>
      <c r="F473" s="35">
        <v>761.9</v>
      </c>
      <c r="G473" s="22">
        <f t="shared" si="112"/>
        <v>0.1</v>
      </c>
      <c r="H473" s="35">
        <f t="shared" si="113"/>
        <v>685.71</v>
      </c>
      <c r="I473" s="27"/>
      <c r="J473" s="23"/>
      <c r="K473" s="23"/>
      <c r="L473" s="23"/>
      <c r="M473" s="63"/>
      <c r="N473" s="91" t="s">
        <v>75</v>
      </c>
      <c r="O473" s="55" t="s">
        <v>1106</v>
      </c>
      <c r="P473" s="56" t="s">
        <v>504</v>
      </c>
      <c r="Q473" s="56" t="s">
        <v>1273</v>
      </c>
      <c r="R473" s="25" t="s">
        <v>2663</v>
      </c>
      <c r="S473" s="64" t="s">
        <v>2630</v>
      </c>
      <c r="T473" s="65">
        <v>1</v>
      </c>
      <c r="U473" s="35" t="s">
        <v>2517</v>
      </c>
      <c r="V473" s="29" t="s">
        <v>2663</v>
      </c>
      <c r="W473" s="35">
        <v>761.9</v>
      </c>
      <c r="X473" s="22">
        <f t="shared" si="111"/>
        <v>0.1</v>
      </c>
      <c r="Y473" s="35">
        <f t="shared" si="108"/>
        <v>685.71</v>
      </c>
      <c r="Z473" s="27"/>
      <c r="AA473" s="23"/>
      <c r="AB473" s="23"/>
      <c r="AC473" s="28"/>
      <c r="AD473" s="63"/>
      <c r="AE473" s="91" t="s">
        <v>75</v>
      </c>
      <c r="AF473" s="55" t="s">
        <v>1106</v>
      </c>
      <c r="AG473" s="14" t="s">
        <v>2664</v>
      </c>
      <c r="AH473" s="14" t="s">
        <v>2665</v>
      </c>
    </row>
    <row r="474" spans="1:34" s="1" customFormat="1">
      <c r="A474" s="25" t="s">
        <v>2534</v>
      </c>
      <c r="B474" s="64" t="s">
        <v>2535</v>
      </c>
      <c r="C474" s="65">
        <v>1</v>
      </c>
      <c r="D474" s="35" t="s">
        <v>2517</v>
      </c>
      <c r="E474" s="29" t="s">
        <v>2534</v>
      </c>
      <c r="F474" s="35">
        <v>251.43</v>
      </c>
      <c r="G474" s="22">
        <f t="shared" si="112"/>
        <v>0.1</v>
      </c>
      <c r="H474" s="35">
        <f t="shared" si="113"/>
        <v>226.28700000000001</v>
      </c>
      <c r="I474" s="27"/>
      <c r="J474" s="23"/>
      <c r="K474" s="23"/>
      <c r="L474" s="23"/>
      <c r="M474" s="63"/>
      <c r="N474" s="91" t="s">
        <v>75</v>
      </c>
      <c r="O474" s="55" t="s">
        <v>1106</v>
      </c>
      <c r="P474" s="56" t="s">
        <v>504</v>
      </c>
      <c r="Q474" s="56" t="s">
        <v>1273</v>
      </c>
      <c r="R474" s="25" t="s">
        <v>2534</v>
      </c>
      <c r="S474" s="64" t="s">
        <v>2535</v>
      </c>
      <c r="T474" s="65">
        <v>1</v>
      </c>
      <c r="U474" s="35" t="s">
        <v>2517</v>
      </c>
      <c r="V474" s="29" t="s">
        <v>2534</v>
      </c>
      <c r="W474" s="35">
        <v>251.43</v>
      </c>
      <c r="X474" s="22">
        <f t="shared" si="111"/>
        <v>0.1</v>
      </c>
      <c r="Y474" s="35">
        <f t="shared" si="108"/>
        <v>226.28700000000001</v>
      </c>
      <c r="Z474" s="27"/>
      <c r="AA474" s="23"/>
      <c r="AB474" s="23"/>
      <c r="AC474" s="28"/>
      <c r="AD474" s="63"/>
      <c r="AE474" s="91" t="s">
        <v>75</v>
      </c>
      <c r="AF474" s="55" t="s">
        <v>1106</v>
      </c>
      <c r="AG474" s="14" t="s">
        <v>2666</v>
      </c>
      <c r="AH474" s="14" t="s">
        <v>2667</v>
      </c>
    </row>
    <row r="475" spans="1:34" s="1" customFormat="1">
      <c r="A475" s="25" t="s">
        <v>2635</v>
      </c>
      <c r="B475" s="64" t="s">
        <v>2636</v>
      </c>
      <c r="C475" s="65">
        <v>1</v>
      </c>
      <c r="D475" s="35" t="s">
        <v>2517</v>
      </c>
      <c r="E475" s="29" t="s">
        <v>2635</v>
      </c>
      <c r="F475" s="35">
        <v>279.37</v>
      </c>
      <c r="G475" s="22">
        <f t="shared" si="112"/>
        <v>0.1</v>
      </c>
      <c r="H475" s="35">
        <f t="shared" si="113"/>
        <v>251.43299999999999</v>
      </c>
      <c r="I475" s="27"/>
      <c r="J475" s="23"/>
      <c r="K475" s="23"/>
      <c r="L475" s="23"/>
      <c r="M475" s="63"/>
      <c r="N475" s="91" t="s">
        <v>75</v>
      </c>
      <c r="O475" s="55" t="s">
        <v>1106</v>
      </c>
      <c r="P475" s="56" t="s">
        <v>504</v>
      </c>
      <c r="Q475" s="56" t="s">
        <v>1273</v>
      </c>
      <c r="R475" s="25" t="s">
        <v>2635</v>
      </c>
      <c r="S475" s="64" t="s">
        <v>2636</v>
      </c>
      <c r="T475" s="65">
        <v>1</v>
      </c>
      <c r="U475" s="35" t="s">
        <v>2517</v>
      </c>
      <c r="V475" s="29" t="s">
        <v>2635</v>
      </c>
      <c r="W475" s="35">
        <v>279.37</v>
      </c>
      <c r="X475" s="22">
        <f t="shared" si="111"/>
        <v>0.1</v>
      </c>
      <c r="Y475" s="35">
        <f t="shared" si="108"/>
        <v>251.43299999999999</v>
      </c>
      <c r="Z475" s="27"/>
      <c r="AA475" s="23"/>
      <c r="AB475" s="23"/>
      <c r="AC475" s="28"/>
      <c r="AD475" s="63"/>
      <c r="AE475" s="91" t="s">
        <v>75</v>
      </c>
      <c r="AF475" s="55" t="s">
        <v>1106</v>
      </c>
      <c r="AG475" s="14" t="s">
        <v>2668</v>
      </c>
      <c r="AH475" s="14" t="s">
        <v>2669</v>
      </c>
    </row>
    <row r="476" spans="1:34" s="1" customFormat="1">
      <c r="A476" s="25" t="s">
        <v>2538</v>
      </c>
      <c r="B476" s="64" t="s">
        <v>2539</v>
      </c>
      <c r="C476" s="65">
        <v>1</v>
      </c>
      <c r="D476" s="35" t="s">
        <v>2517</v>
      </c>
      <c r="E476" s="29" t="s">
        <v>2538</v>
      </c>
      <c r="F476" s="35">
        <v>524.76</v>
      </c>
      <c r="G476" s="22">
        <f t="shared" si="112"/>
        <v>0.1</v>
      </c>
      <c r="H476" s="35">
        <f t="shared" si="113"/>
        <v>472.28399999999999</v>
      </c>
      <c r="I476" s="27"/>
      <c r="J476" s="23"/>
      <c r="K476" s="23"/>
      <c r="L476" s="23"/>
      <c r="M476" s="63"/>
      <c r="N476" s="91" t="s">
        <v>75</v>
      </c>
      <c r="O476" s="55" t="s">
        <v>1106</v>
      </c>
      <c r="P476" s="56" t="s">
        <v>504</v>
      </c>
      <c r="Q476" s="56" t="s">
        <v>1273</v>
      </c>
      <c r="R476" s="25" t="s">
        <v>2538</v>
      </c>
      <c r="S476" s="64" t="s">
        <v>2539</v>
      </c>
      <c r="T476" s="65">
        <v>1</v>
      </c>
      <c r="U476" s="35" t="s">
        <v>2517</v>
      </c>
      <c r="V476" s="29" t="s">
        <v>2538</v>
      </c>
      <c r="W476" s="35">
        <v>524.76</v>
      </c>
      <c r="X476" s="22">
        <f t="shared" si="111"/>
        <v>0.1</v>
      </c>
      <c r="Y476" s="35">
        <f t="shared" si="108"/>
        <v>472.28399999999999</v>
      </c>
      <c r="Z476" s="27"/>
      <c r="AA476" s="23"/>
      <c r="AB476" s="23"/>
      <c r="AC476" s="28"/>
      <c r="AD476" s="63"/>
      <c r="AE476" s="91" t="s">
        <v>75</v>
      </c>
      <c r="AF476" s="55" t="s">
        <v>1106</v>
      </c>
      <c r="AG476" s="14" t="s">
        <v>2670</v>
      </c>
      <c r="AH476" s="14" t="s">
        <v>2671</v>
      </c>
    </row>
    <row r="477" spans="1:34" s="1" customFormat="1">
      <c r="A477" s="25" t="s">
        <v>2542</v>
      </c>
      <c r="B477" s="64" t="s">
        <v>2543</v>
      </c>
      <c r="C477" s="65">
        <v>1</v>
      </c>
      <c r="D477" s="35" t="s">
        <v>2517</v>
      </c>
      <c r="E477" s="29" t="s">
        <v>2542</v>
      </c>
      <c r="F477" s="35">
        <v>129.68</v>
      </c>
      <c r="G477" s="22">
        <f t="shared" si="112"/>
        <v>0.1</v>
      </c>
      <c r="H477" s="35">
        <f t="shared" si="113"/>
        <v>116.712</v>
      </c>
      <c r="I477" s="27"/>
      <c r="J477" s="23"/>
      <c r="K477" s="23"/>
      <c r="L477" s="23"/>
      <c r="M477" s="63"/>
      <c r="N477" s="91" t="s">
        <v>75</v>
      </c>
      <c r="O477" s="55" t="s">
        <v>1106</v>
      </c>
      <c r="P477" s="56" t="s">
        <v>504</v>
      </c>
      <c r="Q477" s="56" t="s">
        <v>1273</v>
      </c>
      <c r="R477" s="25" t="s">
        <v>2542</v>
      </c>
      <c r="S477" s="64" t="s">
        <v>2543</v>
      </c>
      <c r="T477" s="65">
        <v>1</v>
      </c>
      <c r="U477" s="35" t="s">
        <v>2517</v>
      </c>
      <c r="V477" s="29" t="s">
        <v>2542</v>
      </c>
      <c r="W477" s="35">
        <v>129.68</v>
      </c>
      <c r="X477" s="22">
        <f t="shared" si="111"/>
        <v>0.1</v>
      </c>
      <c r="Y477" s="35">
        <f t="shared" si="108"/>
        <v>116.712</v>
      </c>
      <c r="Z477" s="27"/>
      <c r="AA477" s="23"/>
      <c r="AB477" s="23"/>
      <c r="AC477" s="28"/>
      <c r="AD477" s="63"/>
      <c r="AE477" s="91" t="s">
        <v>75</v>
      </c>
      <c r="AF477" s="55" t="s">
        <v>1106</v>
      </c>
      <c r="AG477" s="14" t="s">
        <v>2672</v>
      </c>
      <c r="AH477" s="14" t="s">
        <v>2673</v>
      </c>
    </row>
    <row r="478" spans="1:34" s="1" customFormat="1">
      <c r="A478" s="25" t="s">
        <v>2674</v>
      </c>
      <c r="B478" s="327" t="s">
        <v>2675</v>
      </c>
      <c r="C478" s="181">
        <v>1</v>
      </c>
      <c r="D478" s="108" t="s">
        <v>2517</v>
      </c>
      <c r="E478" s="105" t="s">
        <v>2674</v>
      </c>
      <c r="F478" s="108">
        <v>3174.6</v>
      </c>
      <c r="G478" s="109">
        <f t="shared" si="112"/>
        <v>0.1</v>
      </c>
      <c r="H478" s="108">
        <f t="shared" si="113"/>
        <v>2857.14</v>
      </c>
      <c r="I478" s="27"/>
      <c r="J478" s="23"/>
      <c r="K478" s="23"/>
      <c r="L478" s="23"/>
      <c r="M478" s="63"/>
      <c r="N478" s="91" t="s">
        <v>75</v>
      </c>
      <c r="O478" s="55" t="s">
        <v>1106</v>
      </c>
      <c r="P478" s="56" t="s">
        <v>504</v>
      </c>
      <c r="Q478" s="56" t="s">
        <v>1273</v>
      </c>
      <c r="R478" s="25" t="s">
        <v>2674</v>
      </c>
      <c r="S478" s="149" t="s">
        <v>2675</v>
      </c>
      <c r="T478" s="150">
        <v>1</v>
      </c>
      <c r="U478" s="128" t="s">
        <v>2517</v>
      </c>
      <c r="V478" s="127" t="s">
        <v>2674</v>
      </c>
      <c r="W478" s="128">
        <v>3174.6</v>
      </c>
      <c r="X478" s="151">
        <f t="shared" si="111"/>
        <v>0.1</v>
      </c>
      <c r="Y478" s="128">
        <f t="shared" si="108"/>
        <v>2857.14</v>
      </c>
      <c r="Z478" s="27"/>
      <c r="AA478" s="23"/>
      <c r="AB478" s="23"/>
      <c r="AC478" s="28"/>
      <c r="AD478" s="63"/>
      <c r="AE478" s="91" t="s">
        <v>75</v>
      </c>
      <c r="AF478" s="55" t="s">
        <v>1106</v>
      </c>
      <c r="AG478" s="14" t="s">
        <v>2676</v>
      </c>
      <c r="AH478" s="14" t="s">
        <v>2677</v>
      </c>
    </row>
    <row r="479" spans="1:34" s="1" customFormat="1">
      <c r="A479" s="25" t="s">
        <v>2678</v>
      </c>
      <c r="B479" s="64" t="s">
        <v>2679</v>
      </c>
      <c r="C479" s="65">
        <v>1</v>
      </c>
      <c r="D479" s="35" t="s">
        <v>2517</v>
      </c>
      <c r="E479" s="29" t="s">
        <v>2678</v>
      </c>
      <c r="F479" s="35">
        <v>0</v>
      </c>
      <c r="G479" s="22"/>
      <c r="H479" s="35">
        <f t="shared" si="113"/>
        <v>0</v>
      </c>
      <c r="I479" s="27"/>
      <c r="J479" s="23"/>
      <c r="K479" s="23"/>
      <c r="L479" s="23"/>
      <c r="M479" s="63"/>
      <c r="N479" s="91" t="s">
        <v>75</v>
      </c>
      <c r="O479" s="55" t="s">
        <v>1106</v>
      </c>
      <c r="P479" s="56" t="s">
        <v>504</v>
      </c>
      <c r="Q479" s="56" t="s">
        <v>1273</v>
      </c>
      <c r="R479" s="25" t="s">
        <v>2678</v>
      </c>
      <c r="S479" s="64" t="s">
        <v>2679</v>
      </c>
      <c r="T479" s="65">
        <v>1</v>
      </c>
      <c r="U479" s="35" t="s">
        <v>2517</v>
      </c>
      <c r="V479" s="29" t="s">
        <v>2678</v>
      </c>
      <c r="W479" s="35">
        <v>0</v>
      </c>
      <c r="X479" s="22"/>
      <c r="Y479" s="35">
        <f t="shared" si="108"/>
        <v>0</v>
      </c>
      <c r="Z479" s="27"/>
      <c r="AA479" s="23"/>
      <c r="AB479" s="23"/>
      <c r="AC479" s="28"/>
      <c r="AD479" s="63"/>
      <c r="AE479" s="91" t="s">
        <v>75</v>
      </c>
      <c r="AF479" s="55" t="s">
        <v>1106</v>
      </c>
      <c r="AG479" s="14" t="s">
        <v>2680</v>
      </c>
      <c r="AH479" s="14" t="s">
        <v>2681</v>
      </c>
    </row>
    <row r="480" spans="1:34" s="1" customFormat="1">
      <c r="A480" s="25" t="s">
        <v>2682</v>
      </c>
      <c r="B480" s="64" t="s">
        <v>2683</v>
      </c>
      <c r="C480" s="65">
        <v>1</v>
      </c>
      <c r="D480" s="35" t="s">
        <v>2517</v>
      </c>
      <c r="E480" s="29" t="s">
        <v>2682</v>
      </c>
      <c r="F480" s="35">
        <v>431.75</v>
      </c>
      <c r="G480" s="22">
        <f t="shared" ref="G480:G486" si="114">rv_10</f>
        <v>0.1</v>
      </c>
      <c r="H480" s="35">
        <f t="shared" si="113"/>
        <v>388.57499999999999</v>
      </c>
      <c r="I480" s="27"/>
      <c r="J480" s="23"/>
      <c r="K480" s="23"/>
      <c r="L480" s="23"/>
      <c r="M480" s="63"/>
      <c r="N480" s="91" t="s">
        <v>75</v>
      </c>
      <c r="O480" s="55" t="s">
        <v>1106</v>
      </c>
      <c r="P480" s="56" t="s">
        <v>504</v>
      </c>
      <c r="Q480" s="56" t="s">
        <v>1273</v>
      </c>
      <c r="R480" s="25" t="s">
        <v>2682</v>
      </c>
      <c r="S480" s="64" t="s">
        <v>2683</v>
      </c>
      <c r="T480" s="65">
        <v>1</v>
      </c>
      <c r="U480" s="35" t="s">
        <v>2517</v>
      </c>
      <c r="V480" s="29" t="s">
        <v>2682</v>
      </c>
      <c r="W480" s="35">
        <v>431.75</v>
      </c>
      <c r="X480" s="22">
        <f t="shared" ref="X480:X486" si="115">rv_10</f>
        <v>0.1</v>
      </c>
      <c r="Y480" s="35">
        <f t="shared" si="108"/>
        <v>388.57499999999999</v>
      </c>
      <c r="Z480" s="27"/>
      <c r="AA480" s="23"/>
      <c r="AB480" s="23"/>
      <c r="AC480" s="28"/>
      <c r="AD480" s="63"/>
      <c r="AE480" s="91" t="s">
        <v>75</v>
      </c>
      <c r="AF480" s="55" t="s">
        <v>1106</v>
      </c>
      <c r="AG480" s="14" t="s">
        <v>2684</v>
      </c>
      <c r="AH480" s="14" t="s">
        <v>2685</v>
      </c>
    </row>
    <row r="481" spans="1:34" s="1" customFormat="1">
      <c r="A481" s="25" t="s">
        <v>2686</v>
      </c>
      <c r="B481" s="64" t="s">
        <v>2687</v>
      </c>
      <c r="C481" s="65">
        <v>1</v>
      </c>
      <c r="D481" s="35" t="s">
        <v>2517</v>
      </c>
      <c r="E481" s="29" t="s">
        <v>2686</v>
      </c>
      <c r="F481" s="35">
        <v>1015.87</v>
      </c>
      <c r="G481" s="22">
        <f t="shared" si="114"/>
        <v>0.1</v>
      </c>
      <c r="H481" s="35">
        <f t="shared" si="113"/>
        <v>914.28300000000002</v>
      </c>
      <c r="I481" s="27"/>
      <c r="J481" s="23"/>
      <c r="K481" s="23"/>
      <c r="L481" s="23"/>
      <c r="M481" s="63"/>
      <c r="N481" s="91" t="s">
        <v>75</v>
      </c>
      <c r="O481" s="55" t="s">
        <v>1106</v>
      </c>
      <c r="P481" s="56" t="s">
        <v>504</v>
      </c>
      <c r="Q481" s="56" t="s">
        <v>1273</v>
      </c>
      <c r="R481" s="25" t="s">
        <v>2686</v>
      </c>
      <c r="S481" s="64" t="s">
        <v>2687</v>
      </c>
      <c r="T481" s="65">
        <v>1</v>
      </c>
      <c r="U481" s="35" t="s">
        <v>2517</v>
      </c>
      <c r="V481" s="29" t="s">
        <v>2686</v>
      </c>
      <c r="W481" s="35">
        <v>1015.87</v>
      </c>
      <c r="X481" s="22">
        <f t="shared" si="115"/>
        <v>0.1</v>
      </c>
      <c r="Y481" s="35">
        <f t="shared" si="108"/>
        <v>914.28300000000002</v>
      </c>
      <c r="Z481" s="27"/>
      <c r="AA481" s="23"/>
      <c r="AB481" s="23"/>
      <c r="AC481" s="28"/>
      <c r="AD481" s="63"/>
      <c r="AE481" s="91" t="s">
        <v>75</v>
      </c>
      <c r="AF481" s="55" t="s">
        <v>1106</v>
      </c>
      <c r="AG481" s="14" t="s">
        <v>2688</v>
      </c>
      <c r="AH481" s="14" t="s">
        <v>2689</v>
      </c>
    </row>
    <row r="482" spans="1:34" s="1" customFormat="1">
      <c r="A482" s="25" t="s">
        <v>2690</v>
      </c>
      <c r="B482" s="64" t="s">
        <v>2691</v>
      </c>
      <c r="C482" s="65">
        <v>1</v>
      </c>
      <c r="D482" s="35" t="s">
        <v>2517</v>
      </c>
      <c r="E482" s="29" t="s">
        <v>2690</v>
      </c>
      <c r="F482" s="35">
        <v>1600</v>
      </c>
      <c r="G482" s="22">
        <f t="shared" si="114"/>
        <v>0.1</v>
      </c>
      <c r="H482" s="35">
        <f t="shared" si="113"/>
        <v>1440</v>
      </c>
      <c r="I482" s="27"/>
      <c r="J482" s="23"/>
      <c r="K482" s="23"/>
      <c r="L482" s="23"/>
      <c r="M482" s="63"/>
      <c r="N482" s="91" t="s">
        <v>75</v>
      </c>
      <c r="O482" s="55" t="s">
        <v>1106</v>
      </c>
      <c r="P482" s="56" t="s">
        <v>504</v>
      </c>
      <c r="Q482" s="56" t="s">
        <v>1273</v>
      </c>
      <c r="R482" s="25" t="s">
        <v>2690</v>
      </c>
      <c r="S482" s="64" t="s">
        <v>2691</v>
      </c>
      <c r="T482" s="65">
        <v>1</v>
      </c>
      <c r="U482" s="35" t="s">
        <v>2517</v>
      </c>
      <c r="V482" s="29" t="s">
        <v>2690</v>
      </c>
      <c r="W482" s="35">
        <v>1600</v>
      </c>
      <c r="X482" s="22">
        <f t="shared" si="115"/>
        <v>0.1</v>
      </c>
      <c r="Y482" s="35">
        <f t="shared" si="108"/>
        <v>1440</v>
      </c>
      <c r="Z482" s="27"/>
      <c r="AA482" s="23"/>
      <c r="AB482" s="23"/>
      <c r="AC482" s="28"/>
      <c r="AD482" s="63"/>
      <c r="AE482" s="91" t="s">
        <v>75</v>
      </c>
      <c r="AF482" s="55" t="s">
        <v>1106</v>
      </c>
      <c r="AG482" s="14" t="s">
        <v>2692</v>
      </c>
      <c r="AH482" s="14" t="s">
        <v>2693</v>
      </c>
    </row>
    <row r="483" spans="1:34" s="1" customFormat="1">
      <c r="A483" s="25" t="s">
        <v>2694</v>
      </c>
      <c r="B483" s="64" t="s">
        <v>2695</v>
      </c>
      <c r="C483" s="65">
        <v>1</v>
      </c>
      <c r="D483" s="35" t="s">
        <v>2517</v>
      </c>
      <c r="E483" s="29" t="s">
        <v>2694</v>
      </c>
      <c r="F483" s="35">
        <v>2679.37</v>
      </c>
      <c r="G483" s="22">
        <f t="shared" si="114"/>
        <v>0.1</v>
      </c>
      <c r="H483" s="35">
        <f t="shared" si="113"/>
        <v>2411.433</v>
      </c>
      <c r="I483" s="27"/>
      <c r="J483" s="23"/>
      <c r="K483" s="23"/>
      <c r="L483" s="23"/>
      <c r="M483" s="63"/>
      <c r="N483" s="91" t="s">
        <v>75</v>
      </c>
      <c r="O483" s="55" t="s">
        <v>1106</v>
      </c>
      <c r="P483" s="56" t="s">
        <v>504</v>
      </c>
      <c r="Q483" s="56" t="s">
        <v>1273</v>
      </c>
      <c r="R483" s="25" t="s">
        <v>2694</v>
      </c>
      <c r="S483" s="64" t="s">
        <v>2695</v>
      </c>
      <c r="T483" s="65">
        <v>1</v>
      </c>
      <c r="U483" s="35" t="s">
        <v>2517</v>
      </c>
      <c r="V483" s="29" t="s">
        <v>2694</v>
      </c>
      <c r="W483" s="35">
        <v>2679.37</v>
      </c>
      <c r="X483" s="22">
        <f t="shared" si="115"/>
        <v>0.1</v>
      </c>
      <c r="Y483" s="35">
        <f t="shared" si="108"/>
        <v>2411.433</v>
      </c>
      <c r="Z483" s="27"/>
      <c r="AA483" s="23"/>
      <c r="AB483" s="23"/>
      <c r="AC483" s="28"/>
      <c r="AD483" s="63"/>
      <c r="AE483" s="91" t="s">
        <v>75</v>
      </c>
      <c r="AF483" s="55" t="s">
        <v>1106</v>
      </c>
      <c r="AG483" s="14" t="s">
        <v>2696</v>
      </c>
      <c r="AH483" s="14" t="s">
        <v>2697</v>
      </c>
    </row>
    <row r="484" spans="1:34" s="1" customFormat="1">
      <c r="A484" s="25" t="s">
        <v>2698</v>
      </c>
      <c r="B484" s="64" t="s">
        <v>2699</v>
      </c>
      <c r="C484" s="65">
        <v>1</v>
      </c>
      <c r="D484" s="35" t="s">
        <v>2517</v>
      </c>
      <c r="E484" s="29" t="s">
        <v>2698</v>
      </c>
      <c r="F484" s="35">
        <v>609.52</v>
      </c>
      <c r="G484" s="22">
        <f t="shared" si="114"/>
        <v>0.1</v>
      </c>
      <c r="H484" s="35">
        <f t="shared" si="113"/>
        <v>548.56799999999998</v>
      </c>
      <c r="I484" s="27"/>
      <c r="J484" s="23"/>
      <c r="K484" s="23"/>
      <c r="L484" s="23"/>
      <c r="M484" s="63"/>
      <c r="N484" s="91" t="s">
        <v>75</v>
      </c>
      <c r="O484" s="55" t="s">
        <v>1106</v>
      </c>
      <c r="P484" s="56" t="s">
        <v>504</v>
      </c>
      <c r="Q484" s="56" t="s">
        <v>1273</v>
      </c>
      <c r="R484" s="25" t="s">
        <v>2698</v>
      </c>
      <c r="S484" s="64" t="s">
        <v>2699</v>
      </c>
      <c r="T484" s="65">
        <v>1</v>
      </c>
      <c r="U484" s="35" t="s">
        <v>2517</v>
      </c>
      <c r="V484" s="29" t="s">
        <v>2698</v>
      </c>
      <c r="W484" s="35">
        <v>609.52</v>
      </c>
      <c r="X484" s="22">
        <f t="shared" si="115"/>
        <v>0.1</v>
      </c>
      <c r="Y484" s="35">
        <f t="shared" si="108"/>
        <v>548.56799999999998</v>
      </c>
      <c r="Z484" s="27"/>
      <c r="AA484" s="23"/>
      <c r="AB484" s="23"/>
      <c r="AC484" s="28"/>
      <c r="AD484" s="63"/>
      <c r="AE484" s="91" t="s">
        <v>75</v>
      </c>
      <c r="AF484" s="55" t="s">
        <v>1106</v>
      </c>
      <c r="AG484" s="14" t="s">
        <v>2700</v>
      </c>
      <c r="AH484" s="14" t="s">
        <v>2701</v>
      </c>
    </row>
    <row r="485" spans="1:34" s="1" customFormat="1">
      <c r="A485" s="25" t="s">
        <v>2702</v>
      </c>
      <c r="B485" s="64" t="s">
        <v>2703</v>
      </c>
      <c r="C485" s="65">
        <v>1</v>
      </c>
      <c r="D485" s="35" t="s">
        <v>2517</v>
      </c>
      <c r="E485" s="29" t="s">
        <v>2702</v>
      </c>
      <c r="F485" s="35">
        <v>26.98</v>
      </c>
      <c r="G485" s="22">
        <f t="shared" si="114"/>
        <v>0.1</v>
      </c>
      <c r="H485" s="35">
        <f t="shared" si="113"/>
        <v>24.282</v>
      </c>
      <c r="I485" s="27"/>
      <c r="J485" s="23"/>
      <c r="K485" s="23"/>
      <c r="L485" s="23"/>
      <c r="M485" s="63"/>
      <c r="N485" s="91" t="s">
        <v>75</v>
      </c>
      <c r="O485" s="55" t="s">
        <v>1106</v>
      </c>
      <c r="P485" s="56" t="s">
        <v>504</v>
      </c>
      <c r="Q485" s="56" t="s">
        <v>1273</v>
      </c>
      <c r="R485" s="25" t="s">
        <v>2702</v>
      </c>
      <c r="S485" s="64" t="s">
        <v>2703</v>
      </c>
      <c r="T485" s="65">
        <v>1</v>
      </c>
      <c r="U485" s="35" t="s">
        <v>2517</v>
      </c>
      <c r="V485" s="29" t="s">
        <v>2702</v>
      </c>
      <c r="W485" s="35">
        <v>26.98</v>
      </c>
      <c r="X485" s="22">
        <f t="shared" si="115"/>
        <v>0.1</v>
      </c>
      <c r="Y485" s="35">
        <f t="shared" si="108"/>
        <v>24.282</v>
      </c>
      <c r="Z485" s="27"/>
      <c r="AA485" s="23"/>
      <c r="AB485" s="23"/>
      <c r="AC485" s="28"/>
      <c r="AD485" s="63"/>
      <c r="AE485" s="91" t="s">
        <v>75</v>
      </c>
      <c r="AF485" s="55" t="s">
        <v>1106</v>
      </c>
      <c r="AG485" s="14" t="s">
        <v>2704</v>
      </c>
      <c r="AH485" s="14" t="s">
        <v>2705</v>
      </c>
    </row>
    <row r="486" spans="1:34" s="1" customFormat="1">
      <c r="A486" s="25" t="s">
        <v>2706</v>
      </c>
      <c r="B486" s="327" t="s">
        <v>2707</v>
      </c>
      <c r="C486" s="181">
        <v>1</v>
      </c>
      <c r="D486" s="108" t="s">
        <v>2517</v>
      </c>
      <c r="E486" s="105" t="s">
        <v>2706</v>
      </c>
      <c r="F486" s="108">
        <v>3530.16</v>
      </c>
      <c r="G486" s="109">
        <f t="shared" si="114"/>
        <v>0.1</v>
      </c>
      <c r="H486" s="108">
        <f t="shared" si="113"/>
        <v>3177.1439999999998</v>
      </c>
      <c r="I486" s="27"/>
      <c r="J486" s="23"/>
      <c r="K486" s="23"/>
      <c r="L486" s="23"/>
      <c r="M486" s="63"/>
      <c r="N486" s="91" t="s">
        <v>75</v>
      </c>
      <c r="O486" s="55" t="s">
        <v>1106</v>
      </c>
      <c r="P486" s="56" t="s">
        <v>504</v>
      </c>
      <c r="Q486" s="56" t="s">
        <v>1273</v>
      </c>
      <c r="R486" s="25" t="s">
        <v>2706</v>
      </c>
      <c r="S486" s="149" t="s">
        <v>2707</v>
      </c>
      <c r="T486" s="150">
        <v>1</v>
      </c>
      <c r="U486" s="128" t="s">
        <v>2517</v>
      </c>
      <c r="V486" s="127" t="s">
        <v>2706</v>
      </c>
      <c r="W486" s="128">
        <v>3530.16</v>
      </c>
      <c r="X486" s="151">
        <f t="shared" si="115"/>
        <v>0.1</v>
      </c>
      <c r="Y486" s="128">
        <f t="shared" si="108"/>
        <v>3177.1439999999998</v>
      </c>
      <c r="Z486" s="27"/>
      <c r="AA486" s="23"/>
      <c r="AB486" s="23"/>
      <c r="AC486" s="28"/>
      <c r="AD486" s="63"/>
      <c r="AE486" s="91" t="s">
        <v>75</v>
      </c>
      <c r="AF486" s="55" t="s">
        <v>1106</v>
      </c>
      <c r="AG486" s="14" t="s">
        <v>2708</v>
      </c>
      <c r="AH486" s="14" t="s">
        <v>2709</v>
      </c>
    </row>
    <row r="487" spans="1:34" s="1" customFormat="1">
      <c r="A487" s="25" t="s">
        <v>2678</v>
      </c>
      <c r="B487" s="64" t="s">
        <v>2679</v>
      </c>
      <c r="C487" s="65">
        <v>1</v>
      </c>
      <c r="D487" s="35" t="s">
        <v>2517</v>
      </c>
      <c r="E487" s="29" t="s">
        <v>2678</v>
      </c>
      <c r="F487" s="35">
        <v>0</v>
      </c>
      <c r="G487" s="22"/>
      <c r="H487" s="35">
        <f t="shared" si="113"/>
        <v>0</v>
      </c>
      <c r="I487" s="27"/>
      <c r="J487" s="23"/>
      <c r="K487" s="23"/>
      <c r="L487" s="23"/>
      <c r="M487" s="63"/>
      <c r="N487" s="91" t="s">
        <v>75</v>
      </c>
      <c r="O487" s="55" t="s">
        <v>1106</v>
      </c>
      <c r="P487" s="56" t="s">
        <v>504</v>
      </c>
      <c r="Q487" s="56" t="s">
        <v>1273</v>
      </c>
      <c r="R487" s="25" t="s">
        <v>2678</v>
      </c>
      <c r="S487" s="64" t="s">
        <v>2679</v>
      </c>
      <c r="T487" s="65">
        <v>1</v>
      </c>
      <c r="U487" s="35" t="s">
        <v>2517</v>
      </c>
      <c r="V487" s="29" t="s">
        <v>2678</v>
      </c>
      <c r="W487" s="35">
        <v>0</v>
      </c>
      <c r="X487" s="22"/>
      <c r="Y487" s="35">
        <f t="shared" ref="Y487:Y551" si="116">W487-(W487*X487)</f>
        <v>0</v>
      </c>
      <c r="Z487" s="27"/>
      <c r="AA487" s="23"/>
      <c r="AB487" s="23"/>
      <c r="AC487" s="28"/>
      <c r="AD487" s="63"/>
      <c r="AE487" s="91" t="s">
        <v>75</v>
      </c>
      <c r="AF487" s="55" t="s">
        <v>1106</v>
      </c>
      <c r="AG487" s="14" t="s">
        <v>2710</v>
      </c>
      <c r="AH487" s="14" t="s">
        <v>2711</v>
      </c>
    </row>
    <row r="488" spans="1:34" s="1" customFormat="1">
      <c r="A488" s="25" t="s">
        <v>2682</v>
      </c>
      <c r="B488" s="64" t="s">
        <v>2683</v>
      </c>
      <c r="C488" s="65">
        <v>1</v>
      </c>
      <c r="D488" s="35" t="s">
        <v>2517</v>
      </c>
      <c r="E488" s="29" t="s">
        <v>2682</v>
      </c>
      <c r="F488" s="35">
        <v>431.75</v>
      </c>
      <c r="G488" s="22">
        <f t="shared" ref="G488:G494" si="117">rv_10</f>
        <v>0.1</v>
      </c>
      <c r="H488" s="35">
        <f t="shared" si="113"/>
        <v>388.57499999999999</v>
      </c>
      <c r="I488" s="27"/>
      <c r="J488" s="23"/>
      <c r="K488" s="23"/>
      <c r="L488" s="23"/>
      <c r="M488" s="63"/>
      <c r="N488" s="91" t="s">
        <v>75</v>
      </c>
      <c r="O488" s="55" t="s">
        <v>1106</v>
      </c>
      <c r="P488" s="56" t="s">
        <v>504</v>
      </c>
      <c r="Q488" s="56" t="s">
        <v>1273</v>
      </c>
      <c r="R488" s="25" t="s">
        <v>2682</v>
      </c>
      <c r="S488" s="64" t="s">
        <v>2683</v>
      </c>
      <c r="T488" s="65">
        <v>1</v>
      </c>
      <c r="U488" s="35" t="s">
        <v>2517</v>
      </c>
      <c r="V488" s="29" t="s">
        <v>2682</v>
      </c>
      <c r="W488" s="35">
        <v>431.75</v>
      </c>
      <c r="X488" s="22">
        <f t="shared" ref="X488:X494" si="118">rv_10</f>
        <v>0.1</v>
      </c>
      <c r="Y488" s="35">
        <f t="shared" si="116"/>
        <v>388.57499999999999</v>
      </c>
      <c r="Z488" s="27"/>
      <c r="AA488" s="23"/>
      <c r="AB488" s="23"/>
      <c r="AC488" s="28"/>
      <c r="AD488" s="63"/>
      <c r="AE488" s="91" t="s">
        <v>75</v>
      </c>
      <c r="AF488" s="55" t="s">
        <v>1106</v>
      </c>
      <c r="AG488" s="14" t="s">
        <v>2712</v>
      </c>
      <c r="AH488" s="14" t="s">
        <v>2713</v>
      </c>
    </row>
    <row r="489" spans="1:34" s="1" customFormat="1">
      <c r="A489" s="25" t="s">
        <v>2686</v>
      </c>
      <c r="B489" s="64" t="s">
        <v>2687</v>
      </c>
      <c r="C489" s="65">
        <v>1</v>
      </c>
      <c r="D489" s="35" t="s">
        <v>2517</v>
      </c>
      <c r="E489" s="29" t="s">
        <v>2686</v>
      </c>
      <c r="F489" s="35">
        <v>1015.87</v>
      </c>
      <c r="G489" s="22">
        <f t="shared" si="117"/>
        <v>0.1</v>
      </c>
      <c r="H489" s="35">
        <f t="shared" si="113"/>
        <v>914.28300000000002</v>
      </c>
      <c r="I489" s="27"/>
      <c r="J489" s="23"/>
      <c r="K489" s="23"/>
      <c r="L489" s="23"/>
      <c r="M489" s="63"/>
      <c r="N489" s="91" t="s">
        <v>75</v>
      </c>
      <c r="O489" s="55" t="s">
        <v>1106</v>
      </c>
      <c r="P489" s="56" t="s">
        <v>504</v>
      </c>
      <c r="Q489" s="56" t="s">
        <v>1273</v>
      </c>
      <c r="R489" s="25" t="s">
        <v>2686</v>
      </c>
      <c r="S489" s="64" t="s">
        <v>2687</v>
      </c>
      <c r="T489" s="65">
        <v>1</v>
      </c>
      <c r="U489" s="35" t="s">
        <v>2517</v>
      </c>
      <c r="V489" s="29" t="s">
        <v>2686</v>
      </c>
      <c r="W489" s="35">
        <v>1015.87</v>
      </c>
      <c r="X489" s="22">
        <f t="shared" si="118"/>
        <v>0.1</v>
      </c>
      <c r="Y489" s="35">
        <f t="shared" si="116"/>
        <v>914.28300000000002</v>
      </c>
      <c r="Z489" s="27"/>
      <c r="AA489" s="23"/>
      <c r="AB489" s="23"/>
      <c r="AC489" s="28"/>
      <c r="AD489" s="63"/>
      <c r="AE489" s="91" t="s">
        <v>75</v>
      </c>
      <c r="AF489" s="55" t="s">
        <v>1106</v>
      </c>
      <c r="AG489" s="14" t="s">
        <v>2714</v>
      </c>
      <c r="AH489" s="14" t="s">
        <v>2715</v>
      </c>
    </row>
    <row r="490" spans="1:34" s="1" customFormat="1">
      <c r="A490" s="25" t="s">
        <v>2690</v>
      </c>
      <c r="B490" s="64" t="s">
        <v>2691</v>
      </c>
      <c r="C490" s="65">
        <v>1</v>
      </c>
      <c r="D490" s="35" t="s">
        <v>2517</v>
      </c>
      <c r="E490" s="29" t="s">
        <v>2690</v>
      </c>
      <c r="F490" s="35">
        <v>1600</v>
      </c>
      <c r="G490" s="22">
        <f t="shared" si="117"/>
        <v>0.1</v>
      </c>
      <c r="H490" s="35">
        <f t="shared" si="113"/>
        <v>1440</v>
      </c>
      <c r="I490" s="27"/>
      <c r="J490" s="23"/>
      <c r="K490" s="23"/>
      <c r="L490" s="23"/>
      <c r="M490" s="63"/>
      <c r="N490" s="91" t="s">
        <v>75</v>
      </c>
      <c r="O490" s="55" t="s">
        <v>1106</v>
      </c>
      <c r="P490" s="56" t="s">
        <v>504</v>
      </c>
      <c r="Q490" s="56" t="s">
        <v>1273</v>
      </c>
      <c r="R490" s="25" t="s">
        <v>2690</v>
      </c>
      <c r="S490" s="64" t="s">
        <v>2691</v>
      </c>
      <c r="T490" s="65">
        <v>1</v>
      </c>
      <c r="U490" s="35" t="s">
        <v>2517</v>
      </c>
      <c r="V490" s="29" t="s">
        <v>2690</v>
      </c>
      <c r="W490" s="35">
        <v>1600</v>
      </c>
      <c r="X490" s="22">
        <f t="shared" si="118"/>
        <v>0.1</v>
      </c>
      <c r="Y490" s="35">
        <f t="shared" si="116"/>
        <v>1440</v>
      </c>
      <c r="Z490" s="27"/>
      <c r="AA490" s="23"/>
      <c r="AB490" s="23"/>
      <c r="AC490" s="28"/>
      <c r="AD490" s="63"/>
      <c r="AE490" s="91" t="s">
        <v>75</v>
      </c>
      <c r="AF490" s="55" t="s">
        <v>1106</v>
      </c>
      <c r="AG490" s="14" t="s">
        <v>2716</v>
      </c>
      <c r="AH490" s="14" t="s">
        <v>2717</v>
      </c>
    </row>
    <row r="491" spans="1:34" s="1" customFormat="1">
      <c r="A491" s="25" t="s">
        <v>2694</v>
      </c>
      <c r="B491" s="64" t="s">
        <v>2695</v>
      </c>
      <c r="C491" s="65">
        <v>1</v>
      </c>
      <c r="D491" s="35" t="s">
        <v>2517</v>
      </c>
      <c r="E491" s="29" t="s">
        <v>2694</v>
      </c>
      <c r="F491" s="35">
        <v>2679.37</v>
      </c>
      <c r="G491" s="22">
        <f t="shared" si="117"/>
        <v>0.1</v>
      </c>
      <c r="H491" s="35">
        <f t="shared" si="113"/>
        <v>2411.433</v>
      </c>
      <c r="I491" s="27"/>
      <c r="J491" s="23"/>
      <c r="K491" s="23"/>
      <c r="L491" s="23"/>
      <c r="M491" s="63"/>
      <c r="N491" s="91" t="s">
        <v>75</v>
      </c>
      <c r="O491" s="55" t="s">
        <v>1106</v>
      </c>
      <c r="P491" s="56" t="s">
        <v>504</v>
      </c>
      <c r="Q491" s="56" t="s">
        <v>1273</v>
      </c>
      <c r="R491" s="25" t="s">
        <v>2694</v>
      </c>
      <c r="S491" s="64" t="s">
        <v>2695</v>
      </c>
      <c r="T491" s="65">
        <v>1</v>
      </c>
      <c r="U491" s="35" t="s">
        <v>2517</v>
      </c>
      <c r="V491" s="29" t="s">
        <v>2694</v>
      </c>
      <c r="W491" s="35">
        <v>2679.37</v>
      </c>
      <c r="X491" s="22">
        <f t="shared" si="118"/>
        <v>0.1</v>
      </c>
      <c r="Y491" s="35">
        <f t="shared" si="116"/>
        <v>2411.433</v>
      </c>
      <c r="Z491" s="27"/>
      <c r="AA491" s="23"/>
      <c r="AB491" s="23"/>
      <c r="AC491" s="28"/>
      <c r="AD491" s="63"/>
      <c r="AE491" s="91" t="s">
        <v>75</v>
      </c>
      <c r="AF491" s="55" t="s">
        <v>1106</v>
      </c>
      <c r="AG491" s="14" t="s">
        <v>2718</v>
      </c>
      <c r="AH491" s="14" t="s">
        <v>2719</v>
      </c>
    </row>
    <row r="492" spans="1:34" s="1" customFormat="1">
      <c r="A492" s="25" t="s">
        <v>2698</v>
      </c>
      <c r="B492" s="64" t="s">
        <v>2699</v>
      </c>
      <c r="C492" s="65">
        <v>1</v>
      </c>
      <c r="D492" s="35" t="s">
        <v>2517</v>
      </c>
      <c r="E492" s="29" t="s">
        <v>2698</v>
      </c>
      <c r="F492" s="35">
        <v>609.52</v>
      </c>
      <c r="G492" s="22">
        <f t="shared" si="117"/>
        <v>0.1</v>
      </c>
      <c r="H492" s="35">
        <f t="shared" si="113"/>
        <v>548.56799999999998</v>
      </c>
      <c r="I492" s="27"/>
      <c r="J492" s="23"/>
      <c r="K492" s="23"/>
      <c r="L492" s="23"/>
      <c r="M492" s="63"/>
      <c r="N492" s="91" t="s">
        <v>75</v>
      </c>
      <c r="O492" s="55" t="s">
        <v>1106</v>
      </c>
      <c r="P492" s="56" t="s">
        <v>504</v>
      </c>
      <c r="Q492" s="56" t="s">
        <v>1273</v>
      </c>
      <c r="R492" s="25" t="s">
        <v>2698</v>
      </c>
      <c r="S492" s="64" t="s">
        <v>2699</v>
      </c>
      <c r="T492" s="65">
        <v>1</v>
      </c>
      <c r="U492" s="35" t="s">
        <v>2517</v>
      </c>
      <c r="V492" s="29" t="s">
        <v>2698</v>
      </c>
      <c r="W492" s="35">
        <v>609.52</v>
      </c>
      <c r="X492" s="22">
        <f t="shared" si="118"/>
        <v>0.1</v>
      </c>
      <c r="Y492" s="35">
        <f t="shared" si="116"/>
        <v>548.56799999999998</v>
      </c>
      <c r="Z492" s="27"/>
      <c r="AA492" s="23"/>
      <c r="AB492" s="23"/>
      <c r="AC492" s="28"/>
      <c r="AD492" s="63"/>
      <c r="AE492" s="91" t="s">
        <v>75</v>
      </c>
      <c r="AF492" s="55" t="s">
        <v>1106</v>
      </c>
      <c r="AG492" s="14" t="s">
        <v>2720</v>
      </c>
      <c r="AH492" s="14" t="s">
        <v>2721</v>
      </c>
    </row>
    <row r="493" spans="1:34" s="1" customFormat="1">
      <c r="A493" s="25" t="s">
        <v>2702</v>
      </c>
      <c r="B493" s="64" t="s">
        <v>2703</v>
      </c>
      <c r="C493" s="65">
        <v>1</v>
      </c>
      <c r="D493" s="35" t="s">
        <v>2517</v>
      </c>
      <c r="E493" s="29" t="s">
        <v>2702</v>
      </c>
      <c r="F493" s="35">
        <v>26.98</v>
      </c>
      <c r="G493" s="22">
        <f t="shared" si="117"/>
        <v>0.1</v>
      </c>
      <c r="H493" s="35">
        <f t="shared" si="113"/>
        <v>24.282</v>
      </c>
      <c r="I493" s="27"/>
      <c r="J493" s="23"/>
      <c r="K493" s="23"/>
      <c r="L493" s="23"/>
      <c r="M493" s="63"/>
      <c r="N493" s="91" t="s">
        <v>75</v>
      </c>
      <c r="O493" s="55" t="s">
        <v>1106</v>
      </c>
      <c r="P493" s="56" t="s">
        <v>504</v>
      </c>
      <c r="Q493" s="56" t="s">
        <v>1273</v>
      </c>
      <c r="R493" s="25" t="s">
        <v>2702</v>
      </c>
      <c r="S493" s="64" t="s">
        <v>2703</v>
      </c>
      <c r="T493" s="65">
        <v>1</v>
      </c>
      <c r="U493" s="35" t="s">
        <v>2517</v>
      </c>
      <c r="V493" s="29" t="s">
        <v>2702</v>
      </c>
      <c r="W493" s="35">
        <v>26.98</v>
      </c>
      <c r="X493" s="22">
        <f t="shared" si="118"/>
        <v>0.1</v>
      </c>
      <c r="Y493" s="35">
        <f t="shared" si="116"/>
        <v>24.282</v>
      </c>
      <c r="Z493" s="27"/>
      <c r="AA493" s="23"/>
      <c r="AB493" s="23"/>
      <c r="AC493" s="28"/>
      <c r="AD493" s="63"/>
      <c r="AE493" s="91" t="s">
        <v>75</v>
      </c>
      <c r="AF493" s="55" t="s">
        <v>1106</v>
      </c>
      <c r="AG493" s="14" t="s">
        <v>2722</v>
      </c>
      <c r="AH493" s="14" t="s">
        <v>2723</v>
      </c>
    </row>
    <row r="494" spans="1:34" s="1" customFormat="1">
      <c r="A494" s="25" t="s">
        <v>2724</v>
      </c>
      <c r="B494" s="327" t="s">
        <v>2725</v>
      </c>
      <c r="C494" s="181">
        <v>1</v>
      </c>
      <c r="D494" s="108" t="s">
        <v>2517</v>
      </c>
      <c r="E494" s="105" t="s">
        <v>2724</v>
      </c>
      <c r="F494" s="108">
        <v>4431.75</v>
      </c>
      <c r="G494" s="109">
        <f t="shared" si="117"/>
        <v>0.1</v>
      </c>
      <c r="H494" s="108">
        <f t="shared" si="113"/>
        <v>3988.5749999999998</v>
      </c>
      <c r="I494" s="27"/>
      <c r="J494" s="23"/>
      <c r="K494" s="23"/>
      <c r="L494" s="23"/>
      <c r="M494" s="63"/>
      <c r="N494" s="91" t="s">
        <v>75</v>
      </c>
      <c r="O494" s="55" t="s">
        <v>1106</v>
      </c>
      <c r="P494" s="56" t="s">
        <v>504</v>
      </c>
      <c r="Q494" s="56" t="s">
        <v>1273</v>
      </c>
      <c r="R494" s="25" t="s">
        <v>2724</v>
      </c>
      <c r="S494" s="149" t="s">
        <v>2725</v>
      </c>
      <c r="T494" s="150">
        <v>1</v>
      </c>
      <c r="U494" s="128" t="s">
        <v>2517</v>
      </c>
      <c r="V494" s="127" t="s">
        <v>2724</v>
      </c>
      <c r="W494" s="128">
        <v>4431.75</v>
      </c>
      <c r="X494" s="151">
        <f t="shared" si="118"/>
        <v>0.1</v>
      </c>
      <c r="Y494" s="128">
        <f t="shared" si="116"/>
        <v>3988.5749999999998</v>
      </c>
      <c r="Z494" s="27"/>
      <c r="AA494" s="23"/>
      <c r="AB494" s="23"/>
      <c r="AC494" s="28"/>
      <c r="AD494" s="63"/>
      <c r="AE494" s="91" t="s">
        <v>75</v>
      </c>
      <c r="AF494" s="55" t="s">
        <v>1106</v>
      </c>
      <c r="AG494" s="14" t="s">
        <v>2726</v>
      </c>
      <c r="AH494" s="14" t="s">
        <v>2727</v>
      </c>
    </row>
    <row r="495" spans="1:34" s="1" customFormat="1">
      <c r="A495" s="25" t="s">
        <v>2678</v>
      </c>
      <c r="B495" s="64" t="s">
        <v>2679</v>
      </c>
      <c r="C495" s="65">
        <v>1</v>
      </c>
      <c r="D495" s="35" t="s">
        <v>2517</v>
      </c>
      <c r="E495" s="29" t="s">
        <v>2678</v>
      </c>
      <c r="F495" s="35">
        <v>0</v>
      </c>
      <c r="G495" s="22"/>
      <c r="H495" s="35">
        <f t="shared" si="113"/>
        <v>0</v>
      </c>
      <c r="I495" s="27"/>
      <c r="J495" s="23"/>
      <c r="K495" s="23"/>
      <c r="L495" s="23"/>
      <c r="M495" s="63"/>
      <c r="N495" s="91" t="s">
        <v>75</v>
      </c>
      <c r="O495" s="55" t="s">
        <v>1106</v>
      </c>
      <c r="P495" s="56" t="s">
        <v>504</v>
      </c>
      <c r="Q495" s="56" t="s">
        <v>1273</v>
      </c>
      <c r="R495" s="25" t="s">
        <v>2678</v>
      </c>
      <c r="S495" s="64" t="s">
        <v>2679</v>
      </c>
      <c r="T495" s="65">
        <v>1</v>
      </c>
      <c r="U495" s="35" t="s">
        <v>2517</v>
      </c>
      <c r="V495" s="29" t="s">
        <v>2678</v>
      </c>
      <c r="W495" s="35">
        <v>0</v>
      </c>
      <c r="X495" s="22"/>
      <c r="Y495" s="35">
        <f t="shared" si="116"/>
        <v>0</v>
      </c>
      <c r="Z495" s="27"/>
      <c r="AA495" s="23"/>
      <c r="AB495" s="23"/>
      <c r="AC495" s="28"/>
      <c r="AD495" s="63"/>
      <c r="AE495" s="91" t="s">
        <v>75</v>
      </c>
      <c r="AF495" s="55" t="s">
        <v>1106</v>
      </c>
      <c r="AG495" s="14" t="s">
        <v>2728</v>
      </c>
      <c r="AH495" s="14" t="s">
        <v>2729</v>
      </c>
    </row>
    <row r="496" spans="1:34" s="1" customFormat="1">
      <c r="A496" s="25" t="s">
        <v>2682</v>
      </c>
      <c r="B496" s="64" t="s">
        <v>2683</v>
      </c>
      <c r="C496" s="65">
        <v>1</v>
      </c>
      <c r="D496" s="35" t="s">
        <v>2517</v>
      </c>
      <c r="E496" s="29" t="s">
        <v>2682</v>
      </c>
      <c r="F496" s="35">
        <v>431.75</v>
      </c>
      <c r="G496" s="22">
        <f t="shared" ref="G496:G511" si="119">rv_10</f>
        <v>0.1</v>
      </c>
      <c r="H496" s="35">
        <f t="shared" si="113"/>
        <v>388.57499999999999</v>
      </c>
      <c r="I496" s="27"/>
      <c r="J496" s="23"/>
      <c r="K496" s="23"/>
      <c r="L496" s="23"/>
      <c r="M496" s="63"/>
      <c r="N496" s="91" t="s">
        <v>75</v>
      </c>
      <c r="O496" s="55" t="s">
        <v>1106</v>
      </c>
      <c r="P496" s="56" t="s">
        <v>504</v>
      </c>
      <c r="Q496" s="56" t="s">
        <v>1273</v>
      </c>
      <c r="R496" s="25" t="s">
        <v>2682</v>
      </c>
      <c r="S496" s="64" t="s">
        <v>2683</v>
      </c>
      <c r="T496" s="65">
        <v>1</v>
      </c>
      <c r="U496" s="35" t="s">
        <v>2517</v>
      </c>
      <c r="V496" s="29" t="s">
        <v>2682</v>
      </c>
      <c r="W496" s="35">
        <v>431.75</v>
      </c>
      <c r="X496" s="22">
        <f t="shared" ref="X496:X511" si="120">rv_10</f>
        <v>0.1</v>
      </c>
      <c r="Y496" s="35">
        <f t="shared" si="116"/>
        <v>388.57499999999999</v>
      </c>
      <c r="Z496" s="27"/>
      <c r="AA496" s="23"/>
      <c r="AB496" s="23"/>
      <c r="AC496" s="28"/>
      <c r="AD496" s="63"/>
      <c r="AE496" s="91" t="s">
        <v>75</v>
      </c>
      <c r="AF496" s="55" t="s">
        <v>1106</v>
      </c>
      <c r="AG496" s="14" t="s">
        <v>2730</v>
      </c>
      <c r="AH496" s="14" t="s">
        <v>2731</v>
      </c>
    </row>
    <row r="497" spans="1:34" s="1" customFormat="1">
      <c r="A497" s="25" t="s">
        <v>2686</v>
      </c>
      <c r="B497" s="64" t="s">
        <v>2687</v>
      </c>
      <c r="C497" s="65">
        <v>1</v>
      </c>
      <c r="D497" s="35" t="s">
        <v>2517</v>
      </c>
      <c r="E497" s="29" t="s">
        <v>2686</v>
      </c>
      <c r="F497" s="35">
        <v>1015.87</v>
      </c>
      <c r="G497" s="22">
        <f t="shared" si="119"/>
        <v>0.1</v>
      </c>
      <c r="H497" s="35">
        <f t="shared" si="113"/>
        <v>914.28300000000002</v>
      </c>
      <c r="I497" s="27"/>
      <c r="J497" s="23"/>
      <c r="K497" s="23"/>
      <c r="L497" s="23"/>
      <c r="M497" s="63"/>
      <c r="N497" s="91" t="s">
        <v>75</v>
      </c>
      <c r="O497" s="55" t="s">
        <v>1106</v>
      </c>
      <c r="P497" s="56" t="s">
        <v>504</v>
      </c>
      <c r="Q497" s="56" t="s">
        <v>1273</v>
      </c>
      <c r="R497" s="25" t="s">
        <v>2686</v>
      </c>
      <c r="S497" s="64" t="s">
        <v>2687</v>
      </c>
      <c r="T497" s="65">
        <v>1</v>
      </c>
      <c r="U497" s="35" t="s">
        <v>2517</v>
      </c>
      <c r="V497" s="29" t="s">
        <v>2686</v>
      </c>
      <c r="W497" s="35">
        <v>1015.87</v>
      </c>
      <c r="X497" s="22">
        <f t="shared" si="120"/>
        <v>0.1</v>
      </c>
      <c r="Y497" s="35">
        <f t="shared" si="116"/>
        <v>914.28300000000002</v>
      </c>
      <c r="Z497" s="27"/>
      <c r="AA497" s="23"/>
      <c r="AB497" s="23"/>
      <c r="AC497" s="28"/>
      <c r="AD497" s="63"/>
      <c r="AE497" s="91" t="s">
        <v>75</v>
      </c>
      <c r="AF497" s="55" t="s">
        <v>1106</v>
      </c>
      <c r="AG497" s="14" t="s">
        <v>2732</v>
      </c>
      <c r="AH497" s="14" t="s">
        <v>2733</v>
      </c>
    </row>
    <row r="498" spans="1:34" s="1" customFormat="1">
      <c r="A498" s="25" t="s">
        <v>2690</v>
      </c>
      <c r="B498" s="64" t="s">
        <v>2691</v>
      </c>
      <c r="C498" s="65">
        <v>1</v>
      </c>
      <c r="D498" s="35" t="s">
        <v>2517</v>
      </c>
      <c r="E498" s="29" t="s">
        <v>2690</v>
      </c>
      <c r="F498" s="35">
        <v>1600</v>
      </c>
      <c r="G498" s="22">
        <f t="shared" si="119"/>
        <v>0.1</v>
      </c>
      <c r="H498" s="35">
        <f t="shared" si="113"/>
        <v>1440</v>
      </c>
      <c r="I498" s="27"/>
      <c r="J498" s="23"/>
      <c r="K498" s="23"/>
      <c r="L498" s="23"/>
      <c r="M498" s="63"/>
      <c r="N498" s="91" t="s">
        <v>75</v>
      </c>
      <c r="O498" s="55" t="s">
        <v>1106</v>
      </c>
      <c r="P498" s="56" t="s">
        <v>504</v>
      </c>
      <c r="Q498" s="56" t="s">
        <v>1273</v>
      </c>
      <c r="R498" s="25" t="s">
        <v>2690</v>
      </c>
      <c r="S498" s="64" t="s">
        <v>2691</v>
      </c>
      <c r="T498" s="65">
        <v>1</v>
      </c>
      <c r="U498" s="35" t="s">
        <v>2517</v>
      </c>
      <c r="V498" s="29" t="s">
        <v>2690</v>
      </c>
      <c r="W498" s="35">
        <v>1600</v>
      </c>
      <c r="X498" s="22">
        <f t="shared" si="120"/>
        <v>0.1</v>
      </c>
      <c r="Y498" s="35">
        <f t="shared" si="116"/>
        <v>1440</v>
      </c>
      <c r="Z498" s="27"/>
      <c r="AA498" s="23"/>
      <c r="AB498" s="23"/>
      <c r="AC498" s="28"/>
      <c r="AD498" s="63"/>
      <c r="AE498" s="91" t="s">
        <v>75</v>
      </c>
      <c r="AF498" s="55" t="s">
        <v>1106</v>
      </c>
      <c r="AG498" s="14" t="s">
        <v>2734</v>
      </c>
      <c r="AH498" s="14" t="s">
        <v>2735</v>
      </c>
    </row>
    <row r="499" spans="1:34" s="1" customFormat="1">
      <c r="A499" s="25" t="s">
        <v>2694</v>
      </c>
      <c r="B499" s="64" t="s">
        <v>2695</v>
      </c>
      <c r="C499" s="65">
        <v>1</v>
      </c>
      <c r="D499" s="35" t="s">
        <v>2517</v>
      </c>
      <c r="E499" s="29" t="s">
        <v>2694</v>
      </c>
      <c r="F499" s="35">
        <v>2679.37</v>
      </c>
      <c r="G499" s="22">
        <f t="shared" si="119"/>
        <v>0.1</v>
      </c>
      <c r="H499" s="35">
        <f t="shared" si="113"/>
        <v>2411.433</v>
      </c>
      <c r="I499" s="27"/>
      <c r="J499" s="23"/>
      <c r="K499" s="23"/>
      <c r="L499" s="23"/>
      <c r="M499" s="63"/>
      <c r="N499" s="91" t="s">
        <v>75</v>
      </c>
      <c r="O499" s="55" t="s">
        <v>1106</v>
      </c>
      <c r="P499" s="56" t="s">
        <v>504</v>
      </c>
      <c r="Q499" s="56" t="s">
        <v>1273</v>
      </c>
      <c r="R499" s="25" t="s">
        <v>2694</v>
      </c>
      <c r="S499" s="64" t="s">
        <v>2695</v>
      </c>
      <c r="T499" s="65">
        <v>1</v>
      </c>
      <c r="U499" s="35" t="s">
        <v>2517</v>
      </c>
      <c r="V499" s="29" t="s">
        <v>2694</v>
      </c>
      <c r="W499" s="35">
        <v>2679.37</v>
      </c>
      <c r="X499" s="22">
        <f t="shared" si="120"/>
        <v>0.1</v>
      </c>
      <c r="Y499" s="35">
        <f t="shared" si="116"/>
        <v>2411.433</v>
      </c>
      <c r="Z499" s="27"/>
      <c r="AA499" s="23"/>
      <c r="AB499" s="23"/>
      <c r="AC499" s="28"/>
      <c r="AD499" s="63"/>
      <c r="AE499" s="91" t="s">
        <v>75</v>
      </c>
      <c r="AF499" s="55" t="s">
        <v>1106</v>
      </c>
      <c r="AG499" s="14" t="s">
        <v>2736</v>
      </c>
      <c r="AH499" s="14" t="s">
        <v>2737</v>
      </c>
    </row>
    <row r="500" spans="1:34" s="1" customFormat="1">
      <c r="A500" s="25" t="s">
        <v>2698</v>
      </c>
      <c r="B500" s="64" t="s">
        <v>2699</v>
      </c>
      <c r="C500" s="65">
        <v>1</v>
      </c>
      <c r="D500" s="35" t="s">
        <v>2517</v>
      </c>
      <c r="E500" s="29" t="s">
        <v>2698</v>
      </c>
      <c r="F500" s="35">
        <v>609.52</v>
      </c>
      <c r="G500" s="22">
        <f t="shared" si="119"/>
        <v>0.1</v>
      </c>
      <c r="H500" s="35">
        <f t="shared" si="113"/>
        <v>548.56799999999998</v>
      </c>
      <c r="I500" s="27"/>
      <c r="J500" s="23"/>
      <c r="K500" s="23"/>
      <c r="L500" s="23"/>
      <c r="M500" s="63"/>
      <c r="N500" s="91" t="s">
        <v>75</v>
      </c>
      <c r="O500" s="55" t="s">
        <v>1106</v>
      </c>
      <c r="P500" s="56" t="s">
        <v>504</v>
      </c>
      <c r="Q500" s="56" t="s">
        <v>1273</v>
      </c>
      <c r="R500" s="25" t="s">
        <v>2698</v>
      </c>
      <c r="S500" s="64" t="s">
        <v>2699</v>
      </c>
      <c r="T500" s="65">
        <v>1</v>
      </c>
      <c r="U500" s="35" t="s">
        <v>2517</v>
      </c>
      <c r="V500" s="29" t="s">
        <v>2698</v>
      </c>
      <c r="W500" s="35">
        <v>609.52</v>
      </c>
      <c r="X500" s="22">
        <f t="shared" si="120"/>
        <v>0.1</v>
      </c>
      <c r="Y500" s="35">
        <f t="shared" si="116"/>
        <v>548.56799999999998</v>
      </c>
      <c r="Z500" s="27"/>
      <c r="AA500" s="23"/>
      <c r="AB500" s="23"/>
      <c r="AC500" s="28"/>
      <c r="AD500" s="63"/>
      <c r="AE500" s="91" t="s">
        <v>75</v>
      </c>
      <c r="AF500" s="55" t="s">
        <v>1106</v>
      </c>
      <c r="AG500" s="14" t="s">
        <v>2738</v>
      </c>
      <c r="AH500" s="14" t="s">
        <v>2739</v>
      </c>
    </row>
    <row r="501" spans="1:34" s="1" customFormat="1">
      <c r="A501" s="25" t="s">
        <v>2702</v>
      </c>
      <c r="B501" s="64" t="s">
        <v>2703</v>
      </c>
      <c r="C501" s="65">
        <v>1</v>
      </c>
      <c r="D501" s="35" t="s">
        <v>2517</v>
      </c>
      <c r="E501" s="29" t="s">
        <v>2702</v>
      </c>
      <c r="F501" s="35">
        <v>26.98</v>
      </c>
      <c r="G501" s="22">
        <f t="shared" si="119"/>
        <v>0.1</v>
      </c>
      <c r="H501" s="35">
        <f t="shared" si="113"/>
        <v>24.282</v>
      </c>
      <c r="I501" s="27"/>
      <c r="J501" s="23"/>
      <c r="K501" s="23"/>
      <c r="L501" s="23"/>
      <c r="M501" s="63"/>
      <c r="N501" s="91" t="s">
        <v>75</v>
      </c>
      <c r="O501" s="55" t="s">
        <v>1106</v>
      </c>
      <c r="P501" s="56" t="s">
        <v>504</v>
      </c>
      <c r="Q501" s="56" t="s">
        <v>1273</v>
      </c>
      <c r="R501" s="25" t="s">
        <v>2702</v>
      </c>
      <c r="S501" s="64" t="s">
        <v>2703</v>
      </c>
      <c r="T501" s="65">
        <v>1</v>
      </c>
      <c r="U501" s="35" t="s">
        <v>2517</v>
      </c>
      <c r="V501" s="29" t="s">
        <v>2702</v>
      </c>
      <c r="W501" s="35">
        <v>26.98</v>
      </c>
      <c r="X501" s="22">
        <f t="shared" si="120"/>
        <v>0.1</v>
      </c>
      <c r="Y501" s="35">
        <f t="shared" si="116"/>
        <v>24.282</v>
      </c>
      <c r="Z501" s="27"/>
      <c r="AA501" s="23"/>
      <c r="AB501" s="23"/>
      <c r="AC501" s="28"/>
      <c r="AD501" s="63"/>
      <c r="AE501" s="91" t="s">
        <v>75</v>
      </c>
      <c r="AF501" s="55" t="s">
        <v>1106</v>
      </c>
      <c r="AG501" s="14" t="s">
        <v>2740</v>
      </c>
      <c r="AH501" s="14" t="s">
        <v>2741</v>
      </c>
    </row>
    <row r="502" spans="1:34" s="1" customFormat="1">
      <c r="A502" s="25" t="s">
        <v>2742</v>
      </c>
      <c r="B502" s="327" t="s">
        <v>2743</v>
      </c>
      <c r="C502" s="181">
        <v>1</v>
      </c>
      <c r="D502" s="108" t="s">
        <v>2517</v>
      </c>
      <c r="E502" s="105" t="s">
        <v>2742</v>
      </c>
      <c r="F502" s="108">
        <v>1996.83</v>
      </c>
      <c r="G502" s="109">
        <f t="shared" si="119"/>
        <v>0.1</v>
      </c>
      <c r="H502" s="108">
        <f t="shared" si="113"/>
        <v>1797.1469999999999</v>
      </c>
      <c r="I502" s="27"/>
      <c r="J502" s="23"/>
      <c r="K502" s="23"/>
      <c r="L502" s="23"/>
      <c r="M502" s="63"/>
      <c r="N502" s="91" t="s">
        <v>75</v>
      </c>
      <c r="O502" s="55" t="s">
        <v>1106</v>
      </c>
      <c r="P502" s="56" t="s">
        <v>504</v>
      </c>
      <c r="Q502" s="56" t="s">
        <v>1273</v>
      </c>
      <c r="R502" s="25" t="s">
        <v>2742</v>
      </c>
      <c r="S502" s="149" t="s">
        <v>2743</v>
      </c>
      <c r="T502" s="150">
        <v>1</v>
      </c>
      <c r="U502" s="128" t="s">
        <v>2517</v>
      </c>
      <c r="V502" s="127" t="s">
        <v>2742</v>
      </c>
      <c r="W502" s="128">
        <v>1996.83</v>
      </c>
      <c r="X502" s="151">
        <f t="shared" si="120"/>
        <v>0.1</v>
      </c>
      <c r="Y502" s="128">
        <f t="shared" si="116"/>
        <v>1797.1469999999999</v>
      </c>
      <c r="Z502" s="27"/>
      <c r="AA502" s="23"/>
      <c r="AB502" s="23"/>
      <c r="AC502" s="28"/>
      <c r="AD502" s="63"/>
      <c r="AE502" s="91" t="s">
        <v>75</v>
      </c>
      <c r="AF502" s="55" t="s">
        <v>1106</v>
      </c>
      <c r="AG502" s="14" t="s">
        <v>2744</v>
      </c>
      <c r="AH502" s="14" t="s">
        <v>2745</v>
      </c>
    </row>
    <row r="503" spans="1:34" s="1" customFormat="1">
      <c r="A503" s="25" t="s">
        <v>2746</v>
      </c>
      <c r="B503" s="64" t="s">
        <v>2747</v>
      </c>
      <c r="C503" s="65">
        <v>1</v>
      </c>
      <c r="D503" s="35" t="s">
        <v>2517</v>
      </c>
      <c r="E503" s="29" t="s">
        <v>2746</v>
      </c>
      <c r="F503" s="35">
        <v>43.17</v>
      </c>
      <c r="G503" s="22">
        <f t="shared" si="119"/>
        <v>0.1</v>
      </c>
      <c r="H503" s="35">
        <f t="shared" si="113"/>
        <v>38.853000000000002</v>
      </c>
      <c r="I503" s="27"/>
      <c r="J503" s="23"/>
      <c r="K503" s="23"/>
      <c r="L503" s="23"/>
      <c r="M503" s="63"/>
      <c r="N503" s="91" t="s">
        <v>75</v>
      </c>
      <c r="O503" s="55" t="s">
        <v>1106</v>
      </c>
      <c r="P503" s="56" t="s">
        <v>504</v>
      </c>
      <c r="Q503" s="56" t="s">
        <v>1273</v>
      </c>
      <c r="R503" s="25" t="s">
        <v>2746</v>
      </c>
      <c r="S503" s="64" t="s">
        <v>2747</v>
      </c>
      <c r="T503" s="65">
        <v>1</v>
      </c>
      <c r="U503" s="35" t="s">
        <v>2517</v>
      </c>
      <c r="V503" s="29" t="s">
        <v>2746</v>
      </c>
      <c r="W503" s="35">
        <v>43.17</v>
      </c>
      <c r="X503" s="22">
        <f t="shared" si="120"/>
        <v>0.1</v>
      </c>
      <c r="Y503" s="35">
        <f t="shared" si="116"/>
        <v>38.853000000000002</v>
      </c>
      <c r="Z503" s="27"/>
      <c r="AA503" s="23"/>
      <c r="AB503" s="23"/>
      <c r="AC503" s="28"/>
      <c r="AD503" s="63"/>
      <c r="AE503" s="91" t="s">
        <v>75</v>
      </c>
      <c r="AF503" s="55" t="s">
        <v>1106</v>
      </c>
      <c r="AG503" s="14" t="s">
        <v>2748</v>
      </c>
      <c r="AH503" s="14" t="s">
        <v>2749</v>
      </c>
    </row>
    <row r="504" spans="1:34" s="1" customFormat="1">
      <c r="A504" s="25" t="s">
        <v>2750</v>
      </c>
      <c r="B504" s="64" t="s">
        <v>2751</v>
      </c>
      <c r="C504" s="65">
        <v>1</v>
      </c>
      <c r="D504" s="35" t="s">
        <v>2517</v>
      </c>
      <c r="E504" s="29" t="s">
        <v>2750</v>
      </c>
      <c r="F504" s="35">
        <v>1003.81</v>
      </c>
      <c r="G504" s="22">
        <f t="shared" si="119"/>
        <v>0.1</v>
      </c>
      <c r="H504" s="35">
        <f t="shared" si="113"/>
        <v>903.42899999999997</v>
      </c>
      <c r="I504" s="27"/>
      <c r="J504" s="23"/>
      <c r="K504" s="23"/>
      <c r="L504" s="23"/>
      <c r="M504" s="63"/>
      <c r="N504" s="91" t="s">
        <v>75</v>
      </c>
      <c r="O504" s="55" t="s">
        <v>1106</v>
      </c>
      <c r="P504" s="56" t="s">
        <v>504</v>
      </c>
      <c r="Q504" s="56" t="s">
        <v>1273</v>
      </c>
      <c r="R504" s="25" t="s">
        <v>2750</v>
      </c>
      <c r="S504" s="64" t="s">
        <v>2751</v>
      </c>
      <c r="T504" s="65">
        <v>1</v>
      </c>
      <c r="U504" s="35" t="s">
        <v>2517</v>
      </c>
      <c r="V504" s="29" t="s">
        <v>2750</v>
      </c>
      <c r="W504" s="35">
        <v>1003.81</v>
      </c>
      <c r="X504" s="22">
        <f t="shared" si="120"/>
        <v>0.1</v>
      </c>
      <c r="Y504" s="35">
        <f t="shared" si="116"/>
        <v>903.42899999999997</v>
      </c>
      <c r="Z504" s="27"/>
      <c r="AA504" s="23"/>
      <c r="AB504" s="23"/>
      <c r="AC504" s="28"/>
      <c r="AD504" s="63"/>
      <c r="AE504" s="91" t="s">
        <v>75</v>
      </c>
      <c r="AF504" s="55" t="s">
        <v>1106</v>
      </c>
      <c r="AG504" s="14" t="s">
        <v>2752</v>
      </c>
      <c r="AH504" s="14" t="s">
        <v>2753</v>
      </c>
    </row>
    <row r="505" spans="1:34" s="1" customFormat="1">
      <c r="A505" s="113" t="s">
        <v>2754</v>
      </c>
      <c r="B505" s="273" t="s">
        <v>2755</v>
      </c>
      <c r="C505" s="292">
        <v>1</v>
      </c>
      <c r="D505" s="116" t="s">
        <v>2517</v>
      </c>
      <c r="E505" s="115" t="s">
        <v>2754</v>
      </c>
      <c r="F505" s="116">
        <v>180</v>
      </c>
      <c r="G505" s="138">
        <f t="shared" si="119"/>
        <v>0.1</v>
      </c>
      <c r="H505" s="116">
        <f t="shared" ref="H505" si="121">F505-(F505*G505)</f>
        <v>162</v>
      </c>
      <c r="I505" s="153"/>
      <c r="J505" s="154"/>
      <c r="K505" s="154"/>
      <c r="L505" s="154"/>
      <c r="M505" s="226"/>
      <c r="N505" s="91" t="s">
        <v>75</v>
      </c>
      <c r="O505" s="55" t="s">
        <v>1106</v>
      </c>
      <c r="P505" s="56" t="s">
        <v>504</v>
      </c>
      <c r="Q505" s="56" t="s">
        <v>1273</v>
      </c>
      <c r="R505" s="113" t="s">
        <v>2754</v>
      </c>
      <c r="S505" s="273" t="s">
        <v>2755</v>
      </c>
      <c r="T505" s="292">
        <v>1</v>
      </c>
      <c r="U505" s="116" t="s">
        <v>2517</v>
      </c>
      <c r="V505" s="115" t="s">
        <v>2754</v>
      </c>
      <c r="W505" s="116">
        <v>180</v>
      </c>
      <c r="X505" s="138">
        <f t="shared" si="120"/>
        <v>0.1</v>
      </c>
      <c r="Y505" s="116">
        <f t="shared" si="116"/>
        <v>162</v>
      </c>
      <c r="Z505" s="153"/>
      <c r="AA505" s="154"/>
      <c r="AB505" s="154"/>
      <c r="AC505" s="154"/>
      <c r="AD505" s="226"/>
      <c r="AE505" s="91" t="s">
        <v>75</v>
      </c>
      <c r="AF505" s="55" t="s">
        <v>1106</v>
      </c>
      <c r="AG505" s="56" t="s">
        <v>2756</v>
      </c>
      <c r="AH505" s="56" t="s">
        <v>2757</v>
      </c>
    </row>
    <row r="506" spans="1:34" s="1" customFormat="1">
      <c r="A506" s="25" t="s">
        <v>2758</v>
      </c>
      <c r="B506" s="64" t="s">
        <v>2759</v>
      </c>
      <c r="C506" s="65">
        <v>1</v>
      </c>
      <c r="D506" s="35" t="s">
        <v>2517</v>
      </c>
      <c r="E506" s="29" t="s">
        <v>2758</v>
      </c>
      <c r="F506" s="35">
        <v>268.19</v>
      </c>
      <c r="G506" s="22">
        <f t="shared" si="119"/>
        <v>0.1</v>
      </c>
      <c r="H506" s="35">
        <f t="shared" si="113"/>
        <v>241.37099999999998</v>
      </c>
      <c r="I506" s="27"/>
      <c r="J506" s="23"/>
      <c r="K506" s="23"/>
      <c r="L506" s="23"/>
      <c r="M506" s="63"/>
      <c r="N506" s="91" t="s">
        <v>75</v>
      </c>
      <c r="O506" s="55" t="s">
        <v>1106</v>
      </c>
      <c r="P506" s="56" t="s">
        <v>504</v>
      </c>
      <c r="Q506" s="56" t="s">
        <v>1273</v>
      </c>
      <c r="R506" s="25" t="s">
        <v>2758</v>
      </c>
      <c r="S506" s="64" t="s">
        <v>2759</v>
      </c>
      <c r="T506" s="65">
        <v>1</v>
      </c>
      <c r="U506" s="35" t="s">
        <v>2517</v>
      </c>
      <c r="V506" s="29" t="s">
        <v>2758</v>
      </c>
      <c r="W506" s="35">
        <v>268.19</v>
      </c>
      <c r="X506" s="22">
        <f t="shared" si="120"/>
        <v>0.1</v>
      </c>
      <c r="Y506" s="35">
        <f t="shared" si="116"/>
        <v>241.37099999999998</v>
      </c>
      <c r="Z506" s="27"/>
      <c r="AA506" s="23"/>
      <c r="AB506" s="23"/>
      <c r="AC506" s="28"/>
      <c r="AD506" s="63"/>
      <c r="AE506" s="91" t="s">
        <v>75</v>
      </c>
      <c r="AF506" s="55" t="s">
        <v>1106</v>
      </c>
      <c r="AG506" s="14" t="s">
        <v>2756</v>
      </c>
      <c r="AH506" s="14" t="s">
        <v>2757</v>
      </c>
    </row>
    <row r="507" spans="1:34" s="1" customFormat="1">
      <c r="A507" s="25" t="s">
        <v>2760</v>
      </c>
      <c r="B507" s="64" t="s">
        <v>2761</v>
      </c>
      <c r="C507" s="65">
        <v>1</v>
      </c>
      <c r="D507" s="35" t="s">
        <v>2517</v>
      </c>
      <c r="E507" s="29" t="s">
        <v>2760</v>
      </c>
      <c r="F507" s="35">
        <v>312.89</v>
      </c>
      <c r="G507" s="22">
        <f t="shared" si="119"/>
        <v>0.1</v>
      </c>
      <c r="H507" s="35">
        <f t="shared" si="113"/>
        <v>281.601</v>
      </c>
      <c r="I507" s="27"/>
      <c r="J507" s="23"/>
      <c r="K507" s="23"/>
      <c r="L507" s="23"/>
      <c r="M507" s="63"/>
      <c r="N507" s="91" t="s">
        <v>75</v>
      </c>
      <c r="O507" s="55" t="s">
        <v>1106</v>
      </c>
      <c r="P507" s="56" t="s">
        <v>504</v>
      </c>
      <c r="Q507" s="56" t="s">
        <v>1273</v>
      </c>
      <c r="R507" s="25" t="s">
        <v>2760</v>
      </c>
      <c r="S507" s="64" t="s">
        <v>2761</v>
      </c>
      <c r="T507" s="65">
        <v>1</v>
      </c>
      <c r="U507" s="35" t="s">
        <v>2517</v>
      </c>
      <c r="V507" s="29" t="s">
        <v>2760</v>
      </c>
      <c r="W507" s="35">
        <v>312.89</v>
      </c>
      <c r="X507" s="22">
        <f t="shared" si="120"/>
        <v>0.1</v>
      </c>
      <c r="Y507" s="35">
        <f t="shared" si="116"/>
        <v>281.601</v>
      </c>
      <c r="Z507" s="27"/>
      <c r="AA507" s="23"/>
      <c r="AB507" s="23"/>
      <c r="AC507" s="28"/>
      <c r="AD507" s="63"/>
      <c r="AE507" s="91" t="s">
        <v>75</v>
      </c>
      <c r="AF507" s="55" t="s">
        <v>1106</v>
      </c>
      <c r="AG507" s="14" t="s">
        <v>2762</v>
      </c>
      <c r="AH507" s="14" t="s">
        <v>2763</v>
      </c>
    </row>
    <row r="508" spans="1:34" s="1" customFormat="1">
      <c r="A508" s="25" t="s">
        <v>2764</v>
      </c>
      <c r="B508" s="64" t="s">
        <v>2765</v>
      </c>
      <c r="C508" s="65">
        <v>1</v>
      </c>
      <c r="D508" s="35" t="s">
        <v>2517</v>
      </c>
      <c r="E508" s="29" t="s">
        <v>2764</v>
      </c>
      <c r="F508" s="35">
        <v>357.59</v>
      </c>
      <c r="G508" s="22">
        <f t="shared" si="119"/>
        <v>0.1</v>
      </c>
      <c r="H508" s="35">
        <f t="shared" si="113"/>
        <v>321.83099999999996</v>
      </c>
      <c r="I508" s="27"/>
      <c r="J508" s="23"/>
      <c r="K508" s="23"/>
      <c r="L508" s="23"/>
      <c r="M508" s="63"/>
      <c r="N508" s="91" t="s">
        <v>75</v>
      </c>
      <c r="O508" s="55" t="s">
        <v>1106</v>
      </c>
      <c r="P508" s="56" t="s">
        <v>504</v>
      </c>
      <c r="Q508" s="56" t="s">
        <v>1273</v>
      </c>
      <c r="R508" s="25" t="s">
        <v>2764</v>
      </c>
      <c r="S508" s="64" t="s">
        <v>2765</v>
      </c>
      <c r="T508" s="65">
        <v>1</v>
      </c>
      <c r="U508" s="35" t="s">
        <v>2517</v>
      </c>
      <c r="V508" s="29" t="s">
        <v>2764</v>
      </c>
      <c r="W508" s="35">
        <v>357.59</v>
      </c>
      <c r="X508" s="22">
        <f t="shared" si="120"/>
        <v>0.1</v>
      </c>
      <c r="Y508" s="35">
        <f t="shared" si="116"/>
        <v>321.83099999999996</v>
      </c>
      <c r="Z508" s="27"/>
      <c r="AA508" s="23"/>
      <c r="AB508" s="23"/>
      <c r="AC508" s="28"/>
      <c r="AD508" s="63"/>
      <c r="AE508" s="91" t="s">
        <v>75</v>
      </c>
      <c r="AF508" s="55" t="s">
        <v>1106</v>
      </c>
      <c r="AG508" s="14" t="s">
        <v>2766</v>
      </c>
      <c r="AH508" s="14" t="s">
        <v>2767</v>
      </c>
    </row>
    <row r="509" spans="1:34" s="1" customFormat="1">
      <c r="A509" s="25" t="s">
        <v>2768</v>
      </c>
      <c r="B509" s="64" t="s">
        <v>2769</v>
      </c>
      <c r="C509" s="65">
        <v>1</v>
      </c>
      <c r="D509" s="35" t="s">
        <v>2517</v>
      </c>
      <c r="E509" s="29" t="s">
        <v>2768</v>
      </c>
      <c r="F509" s="35">
        <v>335.95</v>
      </c>
      <c r="G509" s="22">
        <f t="shared" si="119"/>
        <v>0.1</v>
      </c>
      <c r="H509" s="35">
        <f t="shared" si="113"/>
        <v>302.35500000000002</v>
      </c>
      <c r="I509" s="27"/>
      <c r="J509" s="23"/>
      <c r="K509" s="23"/>
      <c r="L509" s="23"/>
      <c r="M509" s="63"/>
      <c r="N509" s="91" t="s">
        <v>75</v>
      </c>
      <c r="O509" s="55" t="s">
        <v>1106</v>
      </c>
      <c r="P509" s="56" t="s">
        <v>504</v>
      </c>
      <c r="Q509" s="56" t="s">
        <v>1273</v>
      </c>
      <c r="R509" s="25" t="s">
        <v>2768</v>
      </c>
      <c r="S509" s="64" t="s">
        <v>2769</v>
      </c>
      <c r="T509" s="65">
        <v>1</v>
      </c>
      <c r="U509" s="35" t="s">
        <v>2517</v>
      </c>
      <c r="V509" s="29" t="s">
        <v>2768</v>
      </c>
      <c r="W509" s="35">
        <v>335.95</v>
      </c>
      <c r="X509" s="22">
        <f t="shared" si="120"/>
        <v>0.1</v>
      </c>
      <c r="Y509" s="35">
        <f t="shared" si="116"/>
        <v>302.35500000000002</v>
      </c>
      <c r="Z509" s="27"/>
      <c r="AA509" s="23"/>
      <c r="AB509" s="23"/>
      <c r="AC509" s="28"/>
      <c r="AD509" s="63"/>
      <c r="AE509" s="91" t="s">
        <v>75</v>
      </c>
      <c r="AF509" s="55" t="s">
        <v>1106</v>
      </c>
      <c r="AG509" s="14" t="s">
        <v>2770</v>
      </c>
      <c r="AH509" s="14" t="s">
        <v>2771</v>
      </c>
    </row>
    <row r="510" spans="1:34" s="1" customFormat="1">
      <c r="A510" s="25" t="s">
        <v>2772</v>
      </c>
      <c r="B510" s="64" t="s">
        <v>2773</v>
      </c>
      <c r="C510" s="65">
        <v>1</v>
      </c>
      <c r="D510" s="35" t="s">
        <v>2517</v>
      </c>
      <c r="E510" s="29" t="s">
        <v>2772</v>
      </c>
      <c r="F510" s="35">
        <v>202.38</v>
      </c>
      <c r="G510" s="22">
        <f t="shared" si="119"/>
        <v>0.1</v>
      </c>
      <c r="H510" s="35">
        <f t="shared" si="113"/>
        <v>182.142</v>
      </c>
      <c r="I510" s="27"/>
      <c r="J510" s="23"/>
      <c r="K510" s="23"/>
      <c r="L510" s="23"/>
      <c r="M510" s="63"/>
      <c r="N510" s="91" t="s">
        <v>75</v>
      </c>
      <c r="O510" s="55" t="s">
        <v>1106</v>
      </c>
      <c r="P510" s="56" t="s">
        <v>504</v>
      </c>
      <c r="Q510" s="56" t="s">
        <v>1273</v>
      </c>
      <c r="R510" s="25" t="s">
        <v>2772</v>
      </c>
      <c r="S510" s="64" t="s">
        <v>2773</v>
      </c>
      <c r="T510" s="65">
        <v>1</v>
      </c>
      <c r="U510" s="35" t="s">
        <v>2517</v>
      </c>
      <c r="V510" s="29" t="s">
        <v>2772</v>
      </c>
      <c r="W510" s="35">
        <v>202.38</v>
      </c>
      <c r="X510" s="22">
        <f t="shared" si="120"/>
        <v>0.1</v>
      </c>
      <c r="Y510" s="35">
        <f t="shared" si="116"/>
        <v>182.142</v>
      </c>
      <c r="Z510" s="27"/>
      <c r="AA510" s="23"/>
      <c r="AB510" s="23"/>
      <c r="AC510" s="28"/>
      <c r="AD510" s="63"/>
      <c r="AE510" s="91" t="s">
        <v>75</v>
      </c>
      <c r="AF510" s="55" t="s">
        <v>1106</v>
      </c>
      <c r="AG510" s="14" t="s">
        <v>2774</v>
      </c>
      <c r="AH510" s="14" t="s">
        <v>2775</v>
      </c>
    </row>
    <row r="511" spans="1:34" s="1" customFormat="1">
      <c r="A511" s="25" t="s">
        <v>2702</v>
      </c>
      <c r="B511" s="64" t="s">
        <v>2703</v>
      </c>
      <c r="C511" s="65">
        <v>1</v>
      </c>
      <c r="D511" s="35" t="s">
        <v>2517</v>
      </c>
      <c r="E511" s="29" t="s">
        <v>2702</v>
      </c>
      <c r="F511" s="35">
        <v>26.98</v>
      </c>
      <c r="G511" s="22">
        <f t="shared" si="119"/>
        <v>0.1</v>
      </c>
      <c r="H511" s="35">
        <f t="shared" si="113"/>
        <v>24.282</v>
      </c>
      <c r="I511" s="27"/>
      <c r="J511" s="23"/>
      <c r="K511" s="23"/>
      <c r="L511" s="23"/>
      <c r="M511" s="63"/>
      <c r="N511" s="91" t="s">
        <v>75</v>
      </c>
      <c r="O511" s="55" t="s">
        <v>1106</v>
      </c>
      <c r="P511" s="56" t="s">
        <v>504</v>
      </c>
      <c r="Q511" s="56" t="s">
        <v>1273</v>
      </c>
      <c r="R511" s="25" t="s">
        <v>2702</v>
      </c>
      <c r="S511" s="64" t="s">
        <v>2703</v>
      </c>
      <c r="T511" s="65">
        <v>1</v>
      </c>
      <c r="U511" s="35" t="s">
        <v>2517</v>
      </c>
      <c r="V511" s="29" t="s">
        <v>2702</v>
      </c>
      <c r="W511" s="35">
        <v>26.98</v>
      </c>
      <c r="X511" s="22">
        <f t="shared" si="120"/>
        <v>0.1</v>
      </c>
      <c r="Y511" s="35">
        <f t="shared" si="116"/>
        <v>24.282</v>
      </c>
      <c r="Z511" s="27"/>
      <c r="AA511" s="23"/>
      <c r="AB511" s="23"/>
      <c r="AC511" s="28"/>
      <c r="AD511" s="63"/>
      <c r="AE511" s="91" t="s">
        <v>75</v>
      </c>
      <c r="AF511" s="55" t="s">
        <v>1106</v>
      </c>
      <c r="AG511" s="14" t="s">
        <v>2776</v>
      </c>
      <c r="AH511" s="14" t="s">
        <v>2777</v>
      </c>
    </row>
    <row r="512" spans="1:34" s="1" customFormat="1">
      <c r="A512" s="25" t="s">
        <v>2678</v>
      </c>
      <c r="B512" s="64" t="s">
        <v>2679</v>
      </c>
      <c r="C512" s="65">
        <v>1</v>
      </c>
      <c r="D512" s="35" t="s">
        <v>2517</v>
      </c>
      <c r="E512" s="29" t="s">
        <v>2678</v>
      </c>
      <c r="F512" s="35">
        <v>0</v>
      </c>
      <c r="G512" s="22"/>
      <c r="H512" s="35">
        <f t="shared" si="113"/>
        <v>0</v>
      </c>
      <c r="I512" s="27"/>
      <c r="J512" s="23"/>
      <c r="K512" s="23"/>
      <c r="L512" s="23"/>
      <c r="M512" s="63"/>
      <c r="N512" s="91" t="s">
        <v>75</v>
      </c>
      <c r="O512" s="55" t="s">
        <v>1106</v>
      </c>
      <c r="P512" s="56" t="s">
        <v>504</v>
      </c>
      <c r="Q512" s="56" t="s">
        <v>1273</v>
      </c>
      <c r="R512" s="25" t="s">
        <v>2678</v>
      </c>
      <c r="S512" s="64" t="s">
        <v>2679</v>
      </c>
      <c r="T512" s="65">
        <v>1</v>
      </c>
      <c r="U512" s="35" t="s">
        <v>2517</v>
      </c>
      <c r="V512" s="29" t="s">
        <v>2678</v>
      </c>
      <c r="W512" s="35">
        <v>0</v>
      </c>
      <c r="X512" s="22"/>
      <c r="Y512" s="35">
        <f t="shared" si="116"/>
        <v>0</v>
      </c>
      <c r="Z512" s="27"/>
      <c r="AA512" s="23"/>
      <c r="AB512" s="23"/>
      <c r="AC512" s="28"/>
      <c r="AD512" s="63"/>
      <c r="AE512" s="91" t="s">
        <v>75</v>
      </c>
      <c r="AF512" s="55" t="s">
        <v>1106</v>
      </c>
      <c r="AG512" s="14" t="s">
        <v>2778</v>
      </c>
      <c r="AH512" s="14" t="s">
        <v>2779</v>
      </c>
    </row>
    <row r="513" spans="1:34" s="1" customFormat="1">
      <c r="A513" s="25" t="s">
        <v>2682</v>
      </c>
      <c r="B513" s="64" t="s">
        <v>2683</v>
      </c>
      <c r="C513" s="65">
        <v>1</v>
      </c>
      <c r="D513" s="35" t="s">
        <v>2517</v>
      </c>
      <c r="E513" s="29" t="s">
        <v>2682</v>
      </c>
      <c r="F513" s="35">
        <v>431.75</v>
      </c>
      <c r="G513" s="22">
        <f t="shared" ref="G513:G566" si="122">rv_10</f>
        <v>0.1</v>
      </c>
      <c r="H513" s="35">
        <f t="shared" si="113"/>
        <v>388.57499999999999</v>
      </c>
      <c r="I513" s="27"/>
      <c r="J513" s="23"/>
      <c r="K513" s="23"/>
      <c r="L513" s="23"/>
      <c r="M513" s="63"/>
      <c r="N513" s="91" t="s">
        <v>75</v>
      </c>
      <c r="O513" s="55" t="s">
        <v>1106</v>
      </c>
      <c r="P513" s="56" t="s">
        <v>504</v>
      </c>
      <c r="Q513" s="56" t="s">
        <v>1273</v>
      </c>
      <c r="R513" s="25" t="s">
        <v>2682</v>
      </c>
      <c r="S513" s="64" t="s">
        <v>2683</v>
      </c>
      <c r="T513" s="65">
        <v>1</v>
      </c>
      <c r="U513" s="35" t="s">
        <v>2517</v>
      </c>
      <c r="V513" s="29" t="s">
        <v>2682</v>
      </c>
      <c r="W513" s="35">
        <v>431.75</v>
      </c>
      <c r="X513" s="22">
        <f t="shared" ref="X513:X566" si="123">rv_10</f>
        <v>0.1</v>
      </c>
      <c r="Y513" s="35">
        <f t="shared" si="116"/>
        <v>388.57499999999999</v>
      </c>
      <c r="Z513" s="27"/>
      <c r="AA513" s="23"/>
      <c r="AB513" s="23"/>
      <c r="AC513" s="28"/>
      <c r="AD513" s="63"/>
      <c r="AE513" s="91" t="s">
        <v>75</v>
      </c>
      <c r="AF513" s="55" t="s">
        <v>1106</v>
      </c>
      <c r="AG513" s="14" t="s">
        <v>2780</v>
      </c>
      <c r="AH513" s="14" t="s">
        <v>2781</v>
      </c>
    </row>
    <row r="514" spans="1:34" s="1" customFormat="1">
      <c r="A514" s="25" t="s">
        <v>2686</v>
      </c>
      <c r="B514" s="64" t="s">
        <v>2687</v>
      </c>
      <c r="C514" s="65">
        <v>1</v>
      </c>
      <c r="D514" s="35" t="s">
        <v>2517</v>
      </c>
      <c r="E514" s="29" t="s">
        <v>2686</v>
      </c>
      <c r="F514" s="35">
        <v>1015.87</v>
      </c>
      <c r="G514" s="22">
        <f t="shared" si="122"/>
        <v>0.1</v>
      </c>
      <c r="H514" s="35">
        <f t="shared" si="113"/>
        <v>914.28300000000002</v>
      </c>
      <c r="I514" s="27"/>
      <c r="J514" s="23"/>
      <c r="K514" s="23"/>
      <c r="L514" s="23"/>
      <c r="M514" s="63"/>
      <c r="N514" s="91" t="s">
        <v>75</v>
      </c>
      <c r="O514" s="55" t="s">
        <v>1106</v>
      </c>
      <c r="P514" s="56" t="s">
        <v>504</v>
      </c>
      <c r="Q514" s="56" t="s">
        <v>1273</v>
      </c>
      <c r="R514" s="25" t="s">
        <v>2686</v>
      </c>
      <c r="S514" s="64" t="s">
        <v>2687</v>
      </c>
      <c r="T514" s="65">
        <v>1</v>
      </c>
      <c r="U514" s="35" t="s">
        <v>2517</v>
      </c>
      <c r="V514" s="29" t="s">
        <v>2686</v>
      </c>
      <c r="W514" s="35">
        <v>1015.87</v>
      </c>
      <c r="X514" s="22">
        <f t="shared" si="123"/>
        <v>0.1</v>
      </c>
      <c r="Y514" s="35">
        <f t="shared" si="116"/>
        <v>914.28300000000002</v>
      </c>
      <c r="Z514" s="27"/>
      <c r="AA514" s="23"/>
      <c r="AB514" s="23"/>
      <c r="AC514" s="28"/>
      <c r="AD514" s="63"/>
      <c r="AE514" s="91" t="s">
        <v>75</v>
      </c>
      <c r="AF514" s="55" t="s">
        <v>1106</v>
      </c>
      <c r="AG514" s="14" t="s">
        <v>2782</v>
      </c>
      <c r="AH514" s="14" t="s">
        <v>2783</v>
      </c>
    </row>
    <row r="515" spans="1:34" s="1" customFormat="1">
      <c r="A515" s="25" t="s">
        <v>2690</v>
      </c>
      <c r="B515" s="64" t="s">
        <v>2691</v>
      </c>
      <c r="C515" s="65">
        <v>1</v>
      </c>
      <c r="D515" s="35" t="s">
        <v>2517</v>
      </c>
      <c r="E515" s="29" t="s">
        <v>2690</v>
      </c>
      <c r="F515" s="35">
        <v>1600</v>
      </c>
      <c r="G515" s="22">
        <f t="shared" si="122"/>
        <v>0.1</v>
      </c>
      <c r="H515" s="35">
        <f t="shared" si="113"/>
        <v>1440</v>
      </c>
      <c r="I515" s="27"/>
      <c r="J515" s="23"/>
      <c r="K515" s="23"/>
      <c r="L515" s="23"/>
      <c r="M515" s="63"/>
      <c r="N515" s="91" t="s">
        <v>75</v>
      </c>
      <c r="O515" s="55" t="s">
        <v>1106</v>
      </c>
      <c r="P515" s="56" t="s">
        <v>504</v>
      </c>
      <c r="Q515" s="56" t="s">
        <v>1273</v>
      </c>
      <c r="R515" s="25" t="s">
        <v>2690</v>
      </c>
      <c r="S515" s="64" t="s">
        <v>2691</v>
      </c>
      <c r="T515" s="65">
        <v>1</v>
      </c>
      <c r="U515" s="35" t="s">
        <v>2517</v>
      </c>
      <c r="V515" s="29" t="s">
        <v>2690</v>
      </c>
      <c r="W515" s="35">
        <v>1600</v>
      </c>
      <c r="X515" s="22">
        <f t="shared" si="123"/>
        <v>0.1</v>
      </c>
      <c r="Y515" s="35">
        <f t="shared" si="116"/>
        <v>1440</v>
      </c>
      <c r="Z515" s="27"/>
      <c r="AA515" s="23"/>
      <c r="AB515" s="23"/>
      <c r="AC515" s="28"/>
      <c r="AD515" s="63"/>
      <c r="AE515" s="91" t="s">
        <v>75</v>
      </c>
      <c r="AF515" s="55" t="s">
        <v>1106</v>
      </c>
      <c r="AG515" s="14" t="s">
        <v>2784</v>
      </c>
      <c r="AH515" s="14" t="s">
        <v>2785</v>
      </c>
    </row>
    <row r="516" spans="1:34" s="1" customFormat="1">
      <c r="A516" s="25" t="s">
        <v>2694</v>
      </c>
      <c r="B516" s="64" t="s">
        <v>2695</v>
      </c>
      <c r="C516" s="65">
        <v>1</v>
      </c>
      <c r="D516" s="35" t="s">
        <v>2517</v>
      </c>
      <c r="E516" s="29" t="s">
        <v>2694</v>
      </c>
      <c r="F516" s="35">
        <v>2679.37</v>
      </c>
      <c r="G516" s="22">
        <f t="shared" si="122"/>
        <v>0.1</v>
      </c>
      <c r="H516" s="35">
        <f t="shared" si="113"/>
        <v>2411.433</v>
      </c>
      <c r="I516" s="27"/>
      <c r="J516" s="23"/>
      <c r="K516" s="23"/>
      <c r="L516" s="23"/>
      <c r="M516" s="63"/>
      <c r="N516" s="91" t="s">
        <v>75</v>
      </c>
      <c r="O516" s="55" t="s">
        <v>1106</v>
      </c>
      <c r="P516" s="56" t="s">
        <v>504</v>
      </c>
      <c r="Q516" s="56" t="s">
        <v>1273</v>
      </c>
      <c r="R516" s="25" t="s">
        <v>2694</v>
      </c>
      <c r="S516" s="64" t="s">
        <v>2695</v>
      </c>
      <c r="T516" s="65">
        <v>1</v>
      </c>
      <c r="U516" s="35" t="s">
        <v>2517</v>
      </c>
      <c r="V516" s="29" t="s">
        <v>2694</v>
      </c>
      <c r="W516" s="35">
        <v>2679.37</v>
      </c>
      <c r="X516" s="22">
        <f t="shared" si="123"/>
        <v>0.1</v>
      </c>
      <c r="Y516" s="35">
        <f t="shared" si="116"/>
        <v>2411.433</v>
      </c>
      <c r="Z516" s="27"/>
      <c r="AA516" s="23"/>
      <c r="AB516" s="23"/>
      <c r="AC516" s="28"/>
      <c r="AD516" s="63"/>
      <c r="AE516" s="91" t="s">
        <v>75</v>
      </c>
      <c r="AF516" s="55" t="s">
        <v>1106</v>
      </c>
      <c r="AG516" s="14" t="s">
        <v>2786</v>
      </c>
      <c r="AH516" s="14" t="s">
        <v>2787</v>
      </c>
    </row>
    <row r="517" spans="1:34" s="1" customFormat="1">
      <c r="A517" s="25" t="s">
        <v>2698</v>
      </c>
      <c r="B517" s="64" t="s">
        <v>2699</v>
      </c>
      <c r="C517" s="65">
        <v>1</v>
      </c>
      <c r="D517" s="35" t="s">
        <v>2517</v>
      </c>
      <c r="E517" s="29" t="s">
        <v>2698</v>
      </c>
      <c r="F517" s="35">
        <v>609.52</v>
      </c>
      <c r="G517" s="22">
        <f t="shared" si="122"/>
        <v>0.1</v>
      </c>
      <c r="H517" s="35">
        <f t="shared" si="113"/>
        <v>548.56799999999998</v>
      </c>
      <c r="I517" s="27"/>
      <c r="J517" s="23"/>
      <c r="K517" s="23"/>
      <c r="L517" s="23"/>
      <c r="M517" s="63"/>
      <c r="N517" s="91" t="s">
        <v>75</v>
      </c>
      <c r="O517" s="55" t="s">
        <v>1106</v>
      </c>
      <c r="P517" s="56" t="s">
        <v>504</v>
      </c>
      <c r="Q517" s="56" t="s">
        <v>1273</v>
      </c>
      <c r="R517" s="25" t="s">
        <v>2698</v>
      </c>
      <c r="S517" s="64" t="s">
        <v>2699</v>
      </c>
      <c r="T517" s="65">
        <v>1</v>
      </c>
      <c r="U517" s="35" t="s">
        <v>2517</v>
      </c>
      <c r="V517" s="29" t="s">
        <v>2698</v>
      </c>
      <c r="W517" s="35">
        <v>609.52</v>
      </c>
      <c r="X517" s="22">
        <f t="shared" si="123"/>
        <v>0.1</v>
      </c>
      <c r="Y517" s="35">
        <f t="shared" si="116"/>
        <v>548.56799999999998</v>
      </c>
      <c r="Z517" s="27"/>
      <c r="AA517" s="23"/>
      <c r="AB517" s="23"/>
      <c r="AC517" s="28"/>
      <c r="AD517" s="63"/>
      <c r="AE517" s="91" t="s">
        <v>75</v>
      </c>
      <c r="AF517" s="55" t="s">
        <v>1106</v>
      </c>
      <c r="AG517" s="14" t="s">
        <v>2788</v>
      </c>
      <c r="AH517" s="14" t="s">
        <v>2789</v>
      </c>
    </row>
    <row r="518" spans="1:34" s="1" customFormat="1">
      <c r="A518" s="25" t="s">
        <v>2790</v>
      </c>
      <c r="B518" s="327" t="s">
        <v>2791</v>
      </c>
      <c r="C518" s="181">
        <v>1</v>
      </c>
      <c r="D518" s="108" t="s">
        <v>2517</v>
      </c>
      <c r="E518" s="105" t="s">
        <v>2790</v>
      </c>
      <c r="F518" s="108">
        <v>1257.1400000000001</v>
      </c>
      <c r="G518" s="109">
        <f t="shared" si="122"/>
        <v>0.1</v>
      </c>
      <c r="H518" s="108">
        <f t="shared" si="113"/>
        <v>1131.4260000000002</v>
      </c>
      <c r="I518" s="27"/>
      <c r="J518" s="23"/>
      <c r="K518" s="23"/>
      <c r="L518" s="23"/>
      <c r="M518" s="63"/>
      <c r="N518" s="91" t="s">
        <v>75</v>
      </c>
      <c r="O518" s="55" t="s">
        <v>1106</v>
      </c>
      <c r="P518" s="56" t="s">
        <v>504</v>
      </c>
      <c r="Q518" s="56" t="s">
        <v>1273</v>
      </c>
      <c r="R518" s="25" t="s">
        <v>2790</v>
      </c>
      <c r="S518" s="149" t="s">
        <v>2791</v>
      </c>
      <c r="T518" s="150">
        <v>1</v>
      </c>
      <c r="U518" s="128" t="s">
        <v>2517</v>
      </c>
      <c r="V518" s="127" t="s">
        <v>2790</v>
      </c>
      <c r="W518" s="128">
        <v>1257.1400000000001</v>
      </c>
      <c r="X518" s="151">
        <f t="shared" si="123"/>
        <v>0.1</v>
      </c>
      <c r="Y518" s="128">
        <f t="shared" si="116"/>
        <v>1131.4260000000002</v>
      </c>
      <c r="Z518" s="27"/>
      <c r="AA518" s="23"/>
      <c r="AB518" s="23"/>
      <c r="AC518" s="28"/>
      <c r="AD518" s="63"/>
      <c r="AE518" s="91" t="s">
        <v>75</v>
      </c>
      <c r="AF518" s="55" t="s">
        <v>1106</v>
      </c>
      <c r="AG518" s="14" t="s">
        <v>2792</v>
      </c>
      <c r="AH518" s="14" t="s">
        <v>2793</v>
      </c>
    </row>
    <row r="519" spans="1:34" s="1" customFormat="1">
      <c r="A519" s="25" t="s">
        <v>2794</v>
      </c>
      <c r="B519" s="64" t="s">
        <v>2795</v>
      </c>
      <c r="C519" s="65">
        <v>1</v>
      </c>
      <c r="D519" s="35" t="s">
        <v>2517</v>
      </c>
      <c r="E519" s="29" t="s">
        <v>2794</v>
      </c>
      <c r="F519" s="35">
        <v>825.4</v>
      </c>
      <c r="G519" s="22">
        <f t="shared" si="122"/>
        <v>0.1</v>
      </c>
      <c r="H519" s="35">
        <f t="shared" si="113"/>
        <v>742.86</v>
      </c>
      <c r="I519" s="27"/>
      <c r="J519" s="23"/>
      <c r="K519" s="23"/>
      <c r="L519" s="23"/>
      <c r="M519" s="63"/>
      <c r="N519" s="91" t="s">
        <v>75</v>
      </c>
      <c r="O519" s="55" t="s">
        <v>1106</v>
      </c>
      <c r="P519" s="56" t="s">
        <v>504</v>
      </c>
      <c r="Q519" s="56" t="s">
        <v>1273</v>
      </c>
      <c r="R519" s="25" t="s">
        <v>2794</v>
      </c>
      <c r="S519" s="64" t="s">
        <v>2795</v>
      </c>
      <c r="T519" s="65">
        <v>1</v>
      </c>
      <c r="U519" s="35" t="s">
        <v>2517</v>
      </c>
      <c r="V519" s="29" t="s">
        <v>2794</v>
      </c>
      <c r="W519" s="35">
        <v>825.4</v>
      </c>
      <c r="X519" s="22">
        <f t="shared" si="123"/>
        <v>0.1</v>
      </c>
      <c r="Y519" s="35">
        <f t="shared" si="116"/>
        <v>742.86</v>
      </c>
      <c r="Z519" s="27"/>
      <c r="AA519" s="23"/>
      <c r="AB519" s="23"/>
      <c r="AC519" s="28"/>
      <c r="AD519" s="63"/>
      <c r="AE519" s="91" t="s">
        <v>75</v>
      </c>
      <c r="AF519" s="55" t="s">
        <v>1106</v>
      </c>
      <c r="AG519" s="14" t="s">
        <v>2796</v>
      </c>
      <c r="AH519" s="14" t="s">
        <v>2797</v>
      </c>
    </row>
    <row r="520" spans="1:34" s="1" customFormat="1">
      <c r="A520" s="25" t="s">
        <v>2798</v>
      </c>
      <c r="B520" s="64" t="s">
        <v>2799</v>
      </c>
      <c r="C520" s="65">
        <v>1</v>
      </c>
      <c r="D520" s="35" t="s">
        <v>2517</v>
      </c>
      <c r="E520" s="29" t="s">
        <v>2798</v>
      </c>
      <c r="F520" s="35">
        <v>152.38</v>
      </c>
      <c r="G520" s="22">
        <f t="shared" si="122"/>
        <v>0.1</v>
      </c>
      <c r="H520" s="35">
        <f t="shared" si="113"/>
        <v>137.142</v>
      </c>
      <c r="I520" s="27"/>
      <c r="J520" s="23"/>
      <c r="K520" s="23"/>
      <c r="L520" s="23"/>
      <c r="M520" s="63"/>
      <c r="N520" s="91" t="s">
        <v>75</v>
      </c>
      <c r="O520" s="55" t="s">
        <v>1106</v>
      </c>
      <c r="P520" s="56" t="s">
        <v>504</v>
      </c>
      <c r="Q520" s="56" t="s">
        <v>1273</v>
      </c>
      <c r="R520" s="25" t="s">
        <v>2798</v>
      </c>
      <c r="S520" s="64" t="s">
        <v>2799</v>
      </c>
      <c r="T520" s="65">
        <v>1</v>
      </c>
      <c r="U520" s="35" t="s">
        <v>2517</v>
      </c>
      <c r="V520" s="29" t="s">
        <v>2798</v>
      </c>
      <c r="W520" s="35">
        <v>152.38</v>
      </c>
      <c r="X520" s="22">
        <f t="shared" si="123"/>
        <v>0.1</v>
      </c>
      <c r="Y520" s="35">
        <f t="shared" si="116"/>
        <v>137.142</v>
      </c>
      <c r="Z520" s="27"/>
      <c r="AA520" s="23"/>
      <c r="AB520" s="23"/>
      <c r="AC520" s="28"/>
      <c r="AD520" s="63"/>
      <c r="AE520" s="91" t="s">
        <v>75</v>
      </c>
      <c r="AF520" s="55" t="s">
        <v>1106</v>
      </c>
      <c r="AG520" s="14" t="s">
        <v>2800</v>
      </c>
      <c r="AH520" s="14" t="s">
        <v>2801</v>
      </c>
    </row>
    <row r="521" spans="1:34" s="1" customFormat="1">
      <c r="A521" s="25" t="s">
        <v>2534</v>
      </c>
      <c r="B521" s="64" t="s">
        <v>2802</v>
      </c>
      <c r="C521" s="65">
        <v>1</v>
      </c>
      <c r="D521" s="35" t="s">
        <v>2517</v>
      </c>
      <c r="E521" s="29" t="s">
        <v>2534</v>
      </c>
      <c r="F521" s="35">
        <v>251.43</v>
      </c>
      <c r="G521" s="22">
        <f t="shared" si="122"/>
        <v>0.1</v>
      </c>
      <c r="H521" s="35">
        <f t="shared" si="113"/>
        <v>226.28700000000001</v>
      </c>
      <c r="I521" s="27"/>
      <c r="J521" s="23"/>
      <c r="K521" s="23"/>
      <c r="L521" s="23"/>
      <c r="M521" s="63"/>
      <c r="N521" s="91" t="s">
        <v>75</v>
      </c>
      <c r="O521" s="55" t="s">
        <v>1106</v>
      </c>
      <c r="P521" s="56" t="s">
        <v>504</v>
      </c>
      <c r="Q521" s="56" t="s">
        <v>1273</v>
      </c>
      <c r="R521" s="25" t="s">
        <v>2534</v>
      </c>
      <c r="S521" s="64" t="s">
        <v>2802</v>
      </c>
      <c r="T521" s="65">
        <v>1</v>
      </c>
      <c r="U521" s="35" t="s">
        <v>2517</v>
      </c>
      <c r="V521" s="29" t="s">
        <v>2534</v>
      </c>
      <c r="W521" s="35">
        <v>251.43</v>
      </c>
      <c r="X521" s="22">
        <f t="shared" si="123"/>
        <v>0.1</v>
      </c>
      <c r="Y521" s="35">
        <f t="shared" si="116"/>
        <v>226.28700000000001</v>
      </c>
      <c r="Z521" s="27"/>
      <c r="AA521" s="23"/>
      <c r="AB521" s="23"/>
      <c r="AC521" s="28"/>
      <c r="AD521" s="63"/>
      <c r="AE521" s="91" t="s">
        <v>75</v>
      </c>
      <c r="AF521" s="55" t="s">
        <v>1106</v>
      </c>
      <c r="AG521" s="14" t="s">
        <v>2803</v>
      </c>
      <c r="AH521" s="14" t="s">
        <v>2804</v>
      </c>
    </row>
    <row r="522" spans="1:34" s="1" customFormat="1">
      <c r="A522" s="25" t="s">
        <v>2805</v>
      </c>
      <c r="B522" s="64" t="s">
        <v>2806</v>
      </c>
      <c r="C522" s="65">
        <v>1</v>
      </c>
      <c r="D522" s="35" t="s">
        <v>2517</v>
      </c>
      <c r="E522" s="29" t="s">
        <v>2805</v>
      </c>
      <c r="F522" s="35">
        <v>1253.4100000000001</v>
      </c>
      <c r="G522" s="22">
        <f t="shared" si="122"/>
        <v>0.1</v>
      </c>
      <c r="H522" s="35">
        <f t="shared" si="113"/>
        <v>1128.069</v>
      </c>
      <c r="I522" s="27"/>
      <c r="J522" s="23"/>
      <c r="K522" s="23"/>
      <c r="L522" s="23"/>
      <c r="M522" s="63"/>
      <c r="N522" s="91" t="s">
        <v>75</v>
      </c>
      <c r="O522" s="55" t="s">
        <v>1106</v>
      </c>
      <c r="P522" s="56" t="s">
        <v>504</v>
      </c>
      <c r="Q522" s="56" t="s">
        <v>1273</v>
      </c>
      <c r="R522" s="25" t="s">
        <v>2805</v>
      </c>
      <c r="S522" s="64" t="s">
        <v>2806</v>
      </c>
      <c r="T522" s="65">
        <v>1</v>
      </c>
      <c r="U522" s="35" t="s">
        <v>2517</v>
      </c>
      <c r="V522" s="29" t="s">
        <v>2805</v>
      </c>
      <c r="W522" s="35">
        <v>1253.4100000000001</v>
      </c>
      <c r="X522" s="22">
        <f t="shared" si="123"/>
        <v>0.1</v>
      </c>
      <c r="Y522" s="35">
        <f t="shared" si="116"/>
        <v>1128.069</v>
      </c>
      <c r="Z522" s="27"/>
      <c r="AA522" s="23"/>
      <c r="AB522" s="23"/>
      <c r="AC522" s="28"/>
      <c r="AD522" s="63"/>
      <c r="AE522" s="91" t="s">
        <v>75</v>
      </c>
      <c r="AF522" s="55" t="s">
        <v>1106</v>
      </c>
      <c r="AG522" s="14" t="s">
        <v>2807</v>
      </c>
      <c r="AH522" s="14" t="s">
        <v>2808</v>
      </c>
    </row>
    <row r="523" spans="1:34" s="1" customFormat="1">
      <c r="A523" s="25" t="s">
        <v>2809</v>
      </c>
      <c r="B523" s="327" t="s">
        <v>2810</v>
      </c>
      <c r="C523" s="181">
        <v>1</v>
      </c>
      <c r="D523" s="108" t="s">
        <v>2517</v>
      </c>
      <c r="E523" s="105" t="s">
        <v>2809</v>
      </c>
      <c r="F523" s="108">
        <v>1511.11</v>
      </c>
      <c r="G523" s="109">
        <f t="shared" si="122"/>
        <v>0.1</v>
      </c>
      <c r="H523" s="108">
        <f t="shared" si="113"/>
        <v>1359.9989999999998</v>
      </c>
      <c r="I523" s="27"/>
      <c r="J523" s="23"/>
      <c r="K523" s="23"/>
      <c r="L523" s="23"/>
      <c r="M523" s="63"/>
      <c r="N523" s="91" t="s">
        <v>75</v>
      </c>
      <c r="O523" s="55" t="s">
        <v>1106</v>
      </c>
      <c r="P523" s="56" t="s">
        <v>504</v>
      </c>
      <c r="Q523" s="56" t="s">
        <v>1273</v>
      </c>
      <c r="R523" s="25" t="s">
        <v>2809</v>
      </c>
      <c r="S523" s="149" t="s">
        <v>2810</v>
      </c>
      <c r="T523" s="150">
        <v>1</v>
      </c>
      <c r="U523" s="128" t="s">
        <v>2517</v>
      </c>
      <c r="V523" s="127" t="s">
        <v>2809</v>
      </c>
      <c r="W523" s="128">
        <v>1511.11</v>
      </c>
      <c r="X523" s="151">
        <f t="shared" si="123"/>
        <v>0.1</v>
      </c>
      <c r="Y523" s="128">
        <f t="shared" si="116"/>
        <v>1359.9989999999998</v>
      </c>
      <c r="Z523" s="27"/>
      <c r="AA523" s="23"/>
      <c r="AB523" s="23"/>
      <c r="AC523" s="28"/>
      <c r="AD523" s="63"/>
      <c r="AE523" s="91" t="s">
        <v>75</v>
      </c>
      <c r="AF523" s="55" t="s">
        <v>1106</v>
      </c>
      <c r="AG523" s="14" t="s">
        <v>2811</v>
      </c>
      <c r="AH523" s="14" t="s">
        <v>2812</v>
      </c>
    </row>
    <row r="524" spans="1:34" s="1" customFormat="1">
      <c r="A524" s="25" t="s">
        <v>2813</v>
      </c>
      <c r="B524" s="64" t="s">
        <v>2814</v>
      </c>
      <c r="C524" s="65">
        <v>1</v>
      </c>
      <c r="D524" s="35" t="s">
        <v>2517</v>
      </c>
      <c r="E524" s="29" t="s">
        <v>2813</v>
      </c>
      <c r="F524" s="35">
        <v>863.49</v>
      </c>
      <c r="G524" s="22">
        <f t="shared" si="122"/>
        <v>0.1</v>
      </c>
      <c r="H524" s="35">
        <f t="shared" si="113"/>
        <v>777.14099999999996</v>
      </c>
      <c r="I524" s="27"/>
      <c r="J524" s="23"/>
      <c r="K524" s="23"/>
      <c r="L524" s="23"/>
      <c r="M524" s="63"/>
      <c r="N524" s="91" t="s">
        <v>75</v>
      </c>
      <c r="O524" s="55" t="s">
        <v>1106</v>
      </c>
      <c r="P524" s="56" t="s">
        <v>504</v>
      </c>
      <c r="Q524" s="56" t="s">
        <v>1273</v>
      </c>
      <c r="R524" s="25" t="s">
        <v>2813</v>
      </c>
      <c r="S524" s="64" t="s">
        <v>2814</v>
      </c>
      <c r="T524" s="65">
        <v>1</v>
      </c>
      <c r="U524" s="35" t="s">
        <v>2517</v>
      </c>
      <c r="V524" s="29" t="s">
        <v>2813</v>
      </c>
      <c r="W524" s="35">
        <v>863.49</v>
      </c>
      <c r="X524" s="22">
        <f t="shared" si="123"/>
        <v>0.1</v>
      </c>
      <c r="Y524" s="35">
        <f t="shared" si="116"/>
        <v>777.14099999999996</v>
      </c>
      <c r="Z524" s="27"/>
      <c r="AA524" s="23"/>
      <c r="AB524" s="23"/>
      <c r="AC524" s="28"/>
      <c r="AD524" s="63"/>
      <c r="AE524" s="91" t="s">
        <v>75</v>
      </c>
      <c r="AF524" s="55" t="s">
        <v>1106</v>
      </c>
      <c r="AG524" s="14" t="s">
        <v>2815</v>
      </c>
      <c r="AH524" s="14" t="s">
        <v>2816</v>
      </c>
    </row>
    <row r="525" spans="1:34" s="1" customFormat="1">
      <c r="A525" s="25" t="s">
        <v>2817</v>
      </c>
      <c r="B525" s="64" t="s">
        <v>2818</v>
      </c>
      <c r="C525" s="65">
        <v>1</v>
      </c>
      <c r="D525" s="35" t="s">
        <v>2517</v>
      </c>
      <c r="E525" s="29" t="s">
        <v>2817</v>
      </c>
      <c r="F525" s="35">
        <v>152.38</v>
      </c>
      <c r="G525" s="22">
        <f t="shared" si="122"/>
        <v>0.1</v>
      </c>
      <c r="H525" s="35">
        <f t="shared" si="113"/>
        <v>137.142</v>
      </c>
      <c r="I525" s="27"/>
      <c r="J525" s="23"/>
      <c r="K525" s="23"/>
      <c r="L525" s="23"/>
      <c r="M525" s="63"/>
      <c r="N525" s="91" t="s">
        <v>75</v>
      </c>
      <c r="O525" s="55" t="s">
        <v>1106</v>
      </c>
      <c r="P525" s="56" t="s">
        <v>504</v>
      </c>
      <c r="Q525" s="56" t="s">
        <v>1273</v>
      </c>
      <c r="R525" s="25" t="s">
        <v>2817</v>
      </c>
      <c r="S525" s="64" t="s">
        <v>2818</v>
      </c>
      <c r="T525" s="65">
        <v>1</v>
      </c>
      <c r="U525" s="35" t="s">
        <v>2517</v>
      </c>
      <c r="V525" s="29" t="s">
        <v>2817</v>
      </c>
      <c r="W525" s="35">
        <v>152.38</v>
      </c>
      <c r="X525" s="22">
        <f t="shared" si="123"/>
        <v>0.1</v>
      </c>
      <c r="Y525" s="35">
        <f t="shared" si="116"/>
        <v>137.142</v>
      </c>
      <c r="Z525" s="27"/>
      <c r="AA525" s="23"/>
      <c r="AB525" s="23"/>
      <c r="AC525" s="28"/>
      <c r="AD525" s="63"/>
      <c r="AE525" s="91" t="s">
        <v>75</v>
      </c>
      <c r="AF525" s="55" t="s">
        <v>1106</v>
      </c>
      <c r="AG525" s="14" t="s">
        <v>2819</v>
      </c>
      <c r="AH525" s="14" t="s">
        <v>2820</v>
      </c>
    </row>
    <row r="526" spans="1:34" s="1" customFormat="1">
      <c r="A526" s="25" t="s">
        <v>2534</v>
      </c>
      <c r="B526" s="64" t="s">
        <v>2802</v>
      </c>
      <c r="C526" s="65">
        <v>1</v>
      </c>
      <c r="D526" s="35" t="s">
        <v>2517</v>
      </c>
      <c r="E526" s="29" t="s">
        <v>2534</v>
      </c>
      <c r="F526" s="35">
        <v>251.43</v>
      </c>
      <c r="G526" s="22">
        <f t="shared" si="122"/>
        <v>0.1</v>
      </c>
      <c r="H526" s="35">
        <f t="shared" si="113"/>
        <v>226.28700000000001</v>
      </c>
      <c r="I526" s="27"/>
      <c r="J526" s="23"/>
      <c r="K526" s="23"/>
      <c r="L526" s="23"/>
      <c r="M526" s="63"/>
      <c r="N526" s="91" t="s">
        <v>75</v>
      </c>
      <c r="O526" s="55" t="s">
        <v>1106</v>
      </c>
      <c r="P526" s="56" t="s">
        <v>504</v>
      </c>
      <c r="Q526" s="56" t="s">
        <v>1273</v>
      </c>
      <c r="R526" s="25" t="s">
        <v>2534</v>
      </c>
      <c r="S526" s="64" t="s">
        <v>2802</v>
      </c>
      <c r="T526" s="65">
        <v>1</v>
      </c>
      <c r="U526" s="35" t="s">
        <v>2517</v>
      </c>
      <c r="V526" s="29" t="s">
        <v>2534</v>
      </c>
      <c r="W526" s="35">
        <v>251.43</v>
      </c>
      <c r="X526" s="22">
        <f t="shared" si="123"/>
        <v>0.1</v>
      </c>
      <c r="Y526" s="35">
        <f t="shared" si="116"/>
        <v>226.28700000000001</v>
      </c>
      <c r="Z526" s="27"/>
      <c r="AA526" s="23"/>
      <c r="AB526" s="23"/>
      <c r="AC526" s="28"/>
      <c r="AD526" s="63"/>
      <c r="AE526" s="91" t="s">
        <v>75</v>
      </c>
      <c r="AF526" s="55" t="s">
        <v>1106</v>
      </c>
      <c r="AG526" s="14" t="s">
        <v>2821</v>
      </c>
      <c r="AH526" s="14" t="s">
        <v>2822</v>
      </c>
    </row>
    <row r="527" spans="1:34" s="1" customFormat="1">
      <c r="A527" s="25" t="s">
        <v>2823</v>
      </c>
      <c r="B527" s="64" t="s">
        <v>2824</v>
      </c>
      <c r="C527" s="65">
        <v>1</v>
      </c>
      <c r="D527" s="35" t="s">
        <v>2517</v>
      </c>
      <c r="E527" s="29" t="s">
        <v>2823</v>
      </c>
      <c r="F527" s="35">
        <v>2506.83</v>
      </c>
      <c r="G527" s="22">
        <f t="shared" si="122"/>
        <v>0.1</v>
      </c>
      <c r="H527" s="35">
        <f t="shared" si="113"/>
        <v>2256.1469999999999</v>
      </c>
      <c r="I527" s="27"/>
      <c r="J527" s="23"/>
      <c r="K527" s="23"/>
      <c r="L527" s="23"/>
      <c r="M527" s="63"/>
      <c r="N527" s="91" t="s">
        <v>75</v>
      </c>
      <c r="O527" s="55" t="s">
        <v>1106</v>
      </c>
      <c r="P527" s="56" t="s">
        <v>504</v>
      </c>
      <c r="Q527" s="56" t="s">
        <v>1273</v>
      </c>
      <c r="R527" s="25" t="s">
        <v>2823</v>
      </c>
      <c r="S527" s="64" t="s">
        <v>2824</v>
      </c>
      <c r="T527" s="65">
        <v>1</v>
      </c>
      <c r="U527" s="35" t="s">
        <v>2517</v>
      </c>
      <c r="V527" s="29" t="s">
        <v>2823</v>
      </c>
      <c r="W527" s="35">
        <v>2506.83</v>
      </c>
      <c r="X527" s="22">
        <f t="shared" si="123"/>
        <v>0.1</v>
      </c>
      <c r="Y527" s="35">
        <f t="shared" si="116"/>
        <v>2256.1469999999999</v>
      </c>
      <c r="Z527" s="27"/>
      <c r="AA527" s="23"/>
      <c r="AB527" s="23"/>
      <c r="AC527" s="28"/>
      <c r="AD527" s="63"/>
      <c r="AE527" s="91" t="s">
        <v>75</v>
      </c>
      <c r="AF527" s="55" t="s">
        <v>1106</v>
      </c>
      <c r="AG527" s="14" t="s">
        <v>2825</v>
      </c>
      <c r="AH527" s="14" t="s">
        <v>2826</v>
      </c>
    </row>
    <row r="528" spans="1:34" s="1" customFormat="1">
      <c r="A528" s="25" t="s">
        <v>2827</v>
      </c>
      <c r="B528" s="327" t="s">
        <v>2828</v>
      </c>
      <c r="C528" s="181">
        <v>1</v>
      </c>
      <c r="D528" s="108" t="s">
        <v>2517</v>
      </c>
      <c r="E528" s="105" t="s">
        <v>2827</v>
      </c>
      <c r="F528" s="108">
        <v>1140.32</v>
      </c>
      <c r="G528" s="109">
        <f t="shared" si="122"/>
        <v>0.1</v>
      </c>
      <c r="H528" s="108">
        <f t="shared" si="113"/>
        <v>1026.288</v>
      </c>
      <c r="I528" s="27"/>
      <c r="J528" s="23"/>
      <c r="K528" s="23"/>
      <c r="L528" s="23"/>
      <c r="M528" s="63"/>
      <c r="N528" s="91" t="s">
        <v>75</v>
      </c>
      <c r="O528" s="55" t="s">
        <v>1106</v>
      </c>
      <c r="P528" s="56" t="s">
        <v>504</v>
      </c>
      <c r="Q528" s="56" t="s">
        <v>1273</v>
      </c>
      <c r="R528" s="25" t="s">
        <v>2827</v>
      </c>
      <c r="S528" s="149" t="s">
        <v>2828</v>
      </c>
      <c r="T528" s="150">
        <v>1</v>
      </c>
      <c r="U528" s="128" t="s">
        <v>2517</v>
      </c>
      <c r="V528" s="127" t="s">
        <v>2827</v>
      </c>
      <c r="W528" s="128">
        <v>1140.32</v>
      </c>
      <c r="X528" s="151">
        <f t="shared" si="123"/>
        <v>0.1</v>
      </c>
      <c r="Y528" s="128">
        <f t="shared" si="116"/>
        <v>1026.288</v>
      </c>
      <c r="Z528" s="27"/>
      <c r="AA528" s="23"/>
      <c r="AB528" s="23"/>
      <c r="AC528" s="28"/>
      <c r="AD528" s="63"/>
      <c r="AE528" s="91" t="s">
        <v>75</v>
      </c>
      <c r="AF528" s="55" t="s">
        <v>1106</v>
      </c>
      <c r="AG528" s="14" t="s">
        <v>2829</v>
      </c>
      <c r="AH528" s="14" t="s">
        <v>2830</v>
      </c>
    </row>
    <row r="529" spans="1:34" s="1" customFormat="1">
      <c r="A529" s="25" t="s">
        <v>2831</v>
      </c>
      <c r="B529" s="64" t="s">
        <v>2832</v>
      </c>
      <c r="C529" s="65">
        <v>1</v>
      </c>
      <c r="D529" s="35" t="s">
        <v>2517</v>
      </c>
      <c r="E529" s="29" t="s">
        <v>2831</v>
      </c>
      <c r="F529" s="35">
        <v>323.81</v>
      </c>
      <c r="G529" s="22">
        <f t="shared" si="122"/>
        <v>0.1</v>
      </c>
      <c r="H529" s="35">
        <f t="shared" si="113"/>
        <v>291.42899999999997</v>
      </c>
      <c r="I529" s="27"/>
      <c r="J529" s="23"/>
      <c r="K529" s="23"/>
      <c r="L529" s="23"/>
      <c r="M529" s="63"/>
      <c r="N529" s="91" t="s">
        <v>75</v>
      </c>
      <c r="O529" s="55" t="s">
        <v>1106</v>
      </c>
      <c r="P529" s="56" t="s">
        <v>504</v>
      </c>
      <c r="Q529" s="56" t="s">
        <v>1273</v>
      </c>
      <c r="R529" s="25" t="s">
        <v>2831</v>
      </c>
      <c r="S529" s="64" t="s">
        <v>2832</v>
      </c>
      <c r="T529" s="65">
        <v>1</v>
      </c>
      <c r="U529" s="35" t="s">
        <v>2517</v>
      </c>
      <c r="V529" s="29" t="s">
        <v>2831</v>
      </c>
      <c r="W529" s="35">
        <v>323.81</v>
      </c>
      <c r="X529" s="22">
        <f t="shared" si="123"/>
        <v>0.1</v>
      </c>
      <c r="Y529" s="35">
        <f t="shared" si="116"/>
        <v>291.42899999999997</v>
      </c>
      <c r="Z529" s="27"/>
      <c r="AA529" s="23"/>
      <c r="AB529" s="23"/>
      <c r="AC529" s="28"/>
      <c r="AD529" s="63"/>
      <c r="AE529" s="91" t="s">
        <v>75</v>
      </c>
      <c r="AF529" s="55" t="s">
        <v>1106</v>
      </c>
      <c r="AG529" s="14" t="s">
        <v>2833</v>
      </c>
      <c r="AH529" s="14" t="s">
        <v>2834</v>
      </c>
    </row>
    <row r="530" spans="1:34" s="1" customFormat="1">
      <c r="A530" s="25" t="s">
        <v>2835</v>
      </c>
      <c r="B530" s="64" t="s">
        <v>2836</v>
      </c>
      <c r="C530" s="65">
        <v>1</v>
      </c>
      <c r="D530" s="35" t="s">
        <v>2517</v>
      </c>
      <c r="E530" s="29" t="s">
        <v>2835</v>
      </c>
      <c r="F530" s="35">
        <v>1079.3699999999999</v>
      </c>
      <c r="G530" s="22">
        <f t="shared" si="122"/>
        <v>0.1</v>
      </c>
      <c r="H530" s="35">
        <f t="shared" si="113"/>
        <v>971.43299999999988</v>
      </c>
      <c r="I530" s="27"/>
      <c r="J530" s="23"/>
      <c r="K530" s="23"/>
      <c r="L530" s="23"/>
      <c r="M530" s="63"/>
      <c r="N530" s="91" t="s">
        <v>75</v>
      </c>
      <c r="O530" s="55" t="s">
        <v>1106</v>
      </c>
      <c r="P530" s="56" t="s">
        <v>504</v>
      </c>
      <c r="Q530" s="56" t="s">
        <v>1273</v>
      </c>
      <c r="R530" s="25" t="s">
        <v>2835</v>
      </c>
      <c r="S530" s="64" t="s">
        <v>2836</v>
      </c>
      <c r="T530" s="65">
        <v>1</v>
      </c>
      <c r="U530" s="35" t="s">
        <v>2517</v>
      </c>
      <c r="V530" s="29" t="s">
        <v>2835</v>
      </c>
      <c r="W530" s="35">
        <v>1079.3699999999999</v>
      </c>
      <c r="X530" s="22">
        <f t="shared" si="123"/>
        <v>0.1</v>
      </c>
      <c r="Y530" s="35">
        <f t="shared" si="116"/>
        <v>971.43299999999988</v>
      </c>
      <c r="Z530" s="27"/>
      <c r="AA530" s="23"/>
      <c r="AB530" s="23"/>
      <c r="AC530" s="28"/>
      <c r="AD530" s="63"/>
      <c r="AE530" s="91" t="s">
        <v>75</v>
      </c>
      <c r="AF530" s="55" t="s">
        <v>1106</v>
      </c>
      <c r="AG530" s="14" t="s">
        <v>2837</v>
      </c>
      <c r="AH530" s="14" t="s">
        <v>2838</v>
      </c>
    </row>
    <row r="531" spans="1:34" s="1" customFormat="1">
      <c r="A531" s="25" t="s">
        <v>2839</v>
      </c>
      <c r="B531" s="64" t="s">
        <v>2840</v>
      </c>
      <c r="C531" s="65">
        <v>1</v>
      </c>
      <c r="D531" s="35" t="s">
        <v>2517</v>
      </c>
      <c r="E531" s="29" t="s">
        <v>2839</v>
      </c>
      <c r="F531" s="35">
        <v>914.29</v>
      </c>
      <c r="G531" s="22">
        <f t="shared" si="122"/>
        <v>0.1</v>
      </c>
      <c r="H531" s="35">
        <f t="shared" si="113"/>
        <v>822.86099999999999</v>
      </c>
      <c r="I531" s="27"/>
      <c r="J531" s="23"/>
      <c r="K531" s="23"/>
      <c r="L531" s="23"/>
      <c r="M531" s="63"/>
      <c r="N531" s="91" t="s">
        <v>75</v>
      </c>
      <c r="O531" s="55" t="s">
        <v>1106</v>
      </c>
      <c r="P531" s="56" t="s">
        <v>504</v>
      </c>
      <c r="Q531" s="56" t="s">
        <v>1273</v>
      </c>
      <c r="R531" s="25" t="s">
        <v>2839</v>
      </c>
      <c r="S531" s="64" t="s">
        <v>2840</v>
      </c>
      <c r="T531" s="65">
        <v>1</v>
      </c>
      <c r="U531" s="35" t="s">
        <v>2517</v>
      </c>
      <c r="V531" s="29" t="s">
        <v>2839</v>
      </c>
      <c r="W531" s="35">
        <v>914.29</v>
      </c>
      <c r="X531" s="22">
        <f t="shared" si="123"/>
        <v>0.1</v>
      </c>
      <c r="Y531" s="35">
        <f t="shared" si="116"/>
        <v>822.86099999999999</v>
      </c>
      <c r="Z531" s="27"/>
      <c r="AA531" s="23"/>
      <c r="AB531" s="23"/>
      <c r="AC531" s="28"/>
      <c r="AD531" s="63"/>
      <c r="AE531" s="91" t="s">
        <v>75</v>
      </c>
      <c r="AF531" s="55" t="s">
        <v>1106</v>
      </c>
      <c r="AG531" s="14" t="s">
        <v>2841</v>
      </c>
      <c r="AH531" s="14" t="s">
        <v>2842</v>
      </c>
    </row>
    <row r="532" spans="1:34" s="1" customFormat="1">
      <c r="A532" s="25" t="s">
        <v>2843</v>
      </c>
      <c r="B532" s="64" t="s">
        <v>2844</v>
      </c>
      <c r="C532" s="65">
        <v>1</v>
      </c>
      <c r="D532" s="35" t="s">
        <v>2517</v>
      </c>
      <c r="E532" s="29" t="s">
        <v>2843</v>
      </c>
      <c r="F532" s="35">
        <v>39.68</v>
      </c>
      <c r="G532" s="22">
        <f t="shared" si="122"/>
        <v>0.1</v>
      </c>
      <c r="H532" s="35">
        <f t="shared" si="113"/>
        <v>35.712000000000003</v>
      </c>
      <c r="I532" s="27"/>
      <c r="J532" s="23"/>
      <c r="K532" s="23"/>
      <c r="L532" s="23"/>
      <c r="M532" s="63"/>
      <c r="N532" s="91" t="s">
        <v>75</v>
      </c>
      <c r="O532" s="55" t="s">
        <v>1106</v>
      </c>
      <c r="P532" s="56" t="s">
        <v>504</v>
      </c>
      <c r="Q532" s="56" t="s">
        <v>1273</v>
      </c>
      <c r="R532" s="25" t="s">
        <v>2843</v>
      </c>
      <c r="S532" s="64" t="s">
        <v>2844</v>
      </c>
      <c r="T532" s="65">
        <v>1</v>
      </c>
      <c r="U532" s="35" t="s">
        <v>2517</v>
      </c>
      <c r="V532" s="29" t="s">
        <v>2843</v>
      </c>
      <c r="W532" s="35">
        <v>39.68</v>
      </c>
      <c r="X532" s="22">
        <f t="shared" si="123"/>
        <v>0.1</v>
      </c>
      <c r="Y532" s="35">
        <f t="shared" si="116"/>
        <v>35.712000000000003</v>
      </c>
      <c r="Z532" s="27"/>
      <c r="AA532" s="23"/>
      <c r="AB532" s="23"/>
      <c r="AC532" s="28"/>
      <c r="AD532" s="63"/>
      <c r="AE532" s="91" t="s">
        <v>75</v>
      </c>
      <c r="AF532" s="55" t="s">
        <v>1106</v>
      </c>
      <c r="AG532" s="14" t="s">
        <v>2845</v>
      </c>
      <c r="AH532" s="14" t="s">
        <v>2846</v>
      </c>
    </row>
    <row r="533" spans="1:34" s="1" customFormat="1">
      <c r="A533" s="25" t="s">
        <v>2847</v>
      </c>
      <c r="B533" s="64" t="s">
        <v>2848</v>
      </c>
      <c r="C533" s="65">
        <v>1</v>
      </c>
      <c r="D533" s="35" t="s">
        <v>2517</v>
      </c>
      <c r="E533" s="29" t="s">
        <v>2847</v>
      </c>
      <c r="F533" s="35">
        <v>79.37</v>
      </c>
      <c r="G533" s="22">
        <f t="shared" si="122"/>
        <v>0.1</v>
      </c>
      <c r="H533" s="35">
        <f t="shared" si="113"/>
        <v>71.433000000000007</v>
      </c>
      <c r="I533" s="27"/>
      <c r="J533" s="23"/>
      <c r="K533" s="23"/>
      <c r="L533" s="23"/>
      <c r="M533" s="63"/>
      <c r="N533" s="91" t="s">
        <v>75</v>
      </c>
      <c r="O533" s="55" t="s">
        <v>1106</v>
      </c>
      <c r="P533" s="56" t="s">
        <v>504</v>
      </c>
      <c r="Q533" s="56" t="s">
        <v>1273</v>
      </c>
      <c r="R533" s="25" t="s">
        <v>2847</v>
      </c>
      <c r="S533" s="64" t="s">
        <v>2848</v>
      </c>
      <c r="T533" s="65">
        <v>1</v>
      </c>
      <c r="U533" s="35" t="s">
        <v>2517</v>
      </c>
      <c r="V533" s="29" t="s">
        <v>2847</v>
      </c>
      <c r="W533" s="35">
        <v>79.37</v>
      </c>
      <c r="X533" s="22">
        <f t="shared" si="123"/>
        <v>0.1</v>
      </c>
      <c r="Y533" s="35">
        <f t="shared" si="116"/>
        <v>71.433000000000007</v>
      </c>
      <c r="Z533" s="27"/>
      <c r="AA533" s="23"/>
      <c r="AB533" s="23"/>
      <c r="AC533" s="28"/>
      <c r="AD533" s="63"/>
      <c r="AE533" s="91" t="s">
        <v>75</v>
      </c>
      <c r="AF533" s="55" t="s">
        <v>1106</v>
      </c>
      <c r="AG533" s="14" t="s">
        <v>2849</v>
      </c>
      <c r="AH533" s="14" t="s">
        <v>2850</v>
      </c>
    </row>
    <row r="534" spans="1:34" s="1" customFormat="1">
      <c r="A534" s="25" t="s">
        <v>2851</v>
      </c>
      <c r="B534" s="64" t="s">
        <v>2852</v>
      </c>
      <c r="C534" s="65">
        <v>1</v>
      </c>
      <c r="D534" s="35" t="s">
        <v>2853</v>
      </c>
      <c r="E534" s="29" t="s">
        <v>2851</v>
      </c>
      <c r="F534" s="35">
        <v>1441</v>
      </c>
      <c r="G534" s="22">
        <f t="shared" si="122"/>
        <v>0.1</v>
      </c>
      <c r="H534" s="35">
        <f t="shared" ref="H534:H566" si="124">F534-(F534*G534)</f>
        <v>1296.9000000000001</v>
      </c>
      <c r="I534" s="27"/>
      <c r="J534" s="23"/>
      <c r="K534" s="23"/>
      <c r="L534" s="23"/>
      <c r="M534" s="63">
        <v>4.17</v>
      </c>
      <c r="N534" s="91" t="s">
        <v>75</v>
      </c>
      <c r="O534" s="55" t="s">
        <v>1106</v>
      </c>
      <c r="P534" s="56" t="s">
        <v>504</v>
      </c>
      <c r="Q534" s="56" t="s">
        <v>1273</v>
      </c>
      <c r="R534" s="25" t="s">
        <v>2851</v>
      </c>
      <c r="S534" s="64" t="s">
        <v>2852</v>
      </c>
      <c r="T534" s="65">
        <v>1</v>
      </c>
      <c r="U534" s="35" t="s">
        <v>2853</v>
      </c>
      <c r="V534" s="29" t="s">
        <v>2851</v>
      </c>
      <c r="W534" s="35">
        <v>1441</v>
      </c>
      <c r="X534" s="22">
        <f t="shared" si="123"/>
        <v>0.1</v>
      </c>
      <c r="Y534" s="35">
        <f t="shared" si="116"/>
        <v>1296.9000000000001</v>
      </c>
      <c r="Z534" s="27"/>
      <c r="AA534" s="23"/>
      <c r="AB534" s="23"/>
      <c r="AC534" s="28"/>
      <c r="AD534" s="63">
        <v>4.17</v>
      </c>
      <c r="AE534" s="91" t="s">
        <v>75</v>
      </c>
      <c r="AF534" s="55" t="s">
        <v>1106</v>
      </c>
      <c r="AG534" s="14" t="s">
        <v>2854</v>
      </c>
      <c r="AH534" s="14" t="s">
        <v>2855</v>
      </c>
    </row>
    <row r="535" spans="1:34" s="1" customFormat="1">
      <c r="A535" s="25" t="s">
        <v>2856</v>
      </c>
      <c r="B535" s="64" t="s">
        <v>2857</v>
      </c>
      <c r="C535" s="65">
        <v>1</v>
      </c>
      <c r="D535" s="35" t="s">
        <v>2853</v>
      </c>
      <c r="E535" s="29" t="s">
        <v>2856</v>
      </c>
      <c r="F535" s="35">
        <v>609.89</v>
      </c>
      <c r="G535" s="22">
        <f t="shared" si="122"/>
        <v>0.1</v>
      </c>
      <c r="H535" s="35">
        <f t="shared" si="124"/>
        <v>548.90099999999995</v>
      </c>
      <c r="I535" s="27"/>
      <c r="J535" s="23"/>
      <c r="K535" s="23"/>
      <c r="L535" s="23"/>
      <c r="M535" s="63">
        <v>2.5</v>
      </c>
      <c r="N535" s="91" t="s">
        <v>75</v>
      </c>
      <c r="O535" s="55" t="s">
        <v>1106</v>
      </c>
      <c r="P535" s="56" t="s">
        <v>504</v>
      </c>
      <c r="Q535" s="56" t="s">
        <v>1273</v>
      </c>
      <c r="R535" s="25" t="s">
        <v>2856</v>
      </c>
      <c r="S535" s="64" t="s">
        <v>2857</v>
      </c>
      <c r="T535" s="65">
        <v>1</v>
      </c>
      <c r="U535" s="35" t="s">
        <v>2853</v>
      </c>
      <c r="V535" s="29" t="s">
        <v>2856</v>
      </c>
      <c r="W535" s="35">
        <v>609.89</v>
      </c>
      <c r="X535" s="22">
        <f t="shared" si="123"/>
        <v>0.1</v>
      </c>
      <c r="Y535" s="35">
        <f t="shared" si="116"/>
        <v>548.90099999999995</v>
      </c>
      <c r="Z535" s="27"/>
      <c r="AA535" s="23"/>
      <c r="AB535" s="23"/>
      <c r="AC535" s="28"/>
      <c r="AD535" s="63">
        <v>2.5</v>
      </c>
      <c r="AE535" s="91" t="s">
        <v>75</v>
      </c>
      <c r="AF535" s="55" t="s">
        <v>1106</v>
      </c>
      <c r="AG535" s="14" t="s">
        <v>2858</v>
      </c>
      <c r="AH535" s="14" t="s">
        <v>2859</v>
      </c>
    </row>
    <row r="536" spans="1:34" s="1" customFormat="1">
      <c r="A536" s="25" t="s">
        <v>2860</v>
      </c>
      <c r="B536" s="64" t="s">
        <v>2861</v>
      </c>
      <c r="C536" s="65">
        <v>1</v>
      </c>
      <c r="D536" s="35" t="s">
        <v>2853</v>
      </c>
      <c r="E536" s="29" t="s">
        <v>2860</v>
      </c>
      <c r="F536" s="35">
        <v>1159.8900000000001</v>
      </c>
      <c r="G536" s="22">
        <f t="shared" si="122"/>
        <v>0.1</v>
      </c>
      <c r="H536" s="35">
        <f t="shared" ref="H536" si="125">F536-(F536*G536)</f>
        <v>1043.9010000000001</v>
      </c>
      <c r="I536" s="27"/>
      <c r="J536" s="23"/>
      <c r="K536" s="23"/>
      <c r="L536" s="23"/>
      <c r="M536" s="63">
        <v>0</v>
      </c>
      <c r="N536" s="91" t="s">
        <v>75</v>
      </c>
      <c r="O536" s="55" t="s">
        <v>1106</v>
      </c>
      <c r="P536" s="56" t="s">
        <v>504</v>
      </c>
      <c r="Q536" s="56" t="s">
        <v>1273</v>
      </c>
      <c r="R536" s="25" t="s">
        <v>2860</v>
      </c>
      <c r="S536" s="64" t="s">
        <v>2861</v>
      </c>
      <c r="T536" s="65">
        <v>1</v>
      </c>
      <c r="U536" s="35" t="s">
        <v>2853</v>
      </c>
      <c r="V536" s="29" t="s">
        <v>2860</v>
      </c>
      <c r="W536" s="35">
        <v>1159.8900000000001</v>
      </c>
      <c r="X536" s="22">
        <f t="shared" si="123"/>
        <v>0.1</v>
      </c>
      <c r="Y536" s="35">
        <f t="shared" si="116"/>
        <v>1043.9010000000001</v>
      </c>
      <c r="Z536" s="27"/>
      <c r="AA536" s="23"/>
      <c r="AB536" s="23"/>
      <c r="AC536" s="28"/>
      <c r="AD536" s="63">
        <v>0</v>
      </c>
      <c r="AE536" s="91" t="s">
        <v>75</v>
      </c>
      <c r="AF536" s="55" t="s">
        <v>1106</v>
      </c>
      <c r="AG536" s="14" t="s">
        <v>2862</v>
      </c>
      <c r="AH536" s="14" t="s">
        <v>2863</v>
      </c>
    </row>
    <row r="537" spans="1:34" s="1" customFormat="1">
      <c r="A537" s="25" t="s">
        <v>2864</v>
      </c>
      <c r="B537" s="64" t="s">
        <v>2865</v>
      </c>
      <c r="C537" s="65">
        <v>1</v>
      </c>
      <c r="D537" s="35" t="s">
        <v>2853</v>
      </c>
      <c r="E537" s="29" t="s">
        <v>2864</v>
      </c>
      <c r="F537" s="35">
        <v>7332.11</v>
      </c>
      <c r="G537" s="22">
        <f t="shared" si="122"/>
        <v>0.1</v>
      </c>
      <c r="H537" s="35">
        <f t="shared" si="124"/>
        <v>6598.8989999999994</v>
      </c>
      <c r="I537" s="27"/>
      <c r="J537" s="23"/>
      <c r="K537" s="23"/>
      <c r="L537" s="23"/>
      <c r="M537" s="63">
        <v>4.17</v>
      </c>
      <c r="N537" s="91" t="s">
        <v>75</v>
      </c>
      <c r="O537" s="55" t="s">
        <v>1106</v>
      </c>
      <c r="P537" s="56" t="s">
        <v>504</v>
      </c>
      <c r="Q537" s="56" t="s">
        <v>1273</v>
      </c>
      <c r="R537" s="25" t="s">
        <v>2864</v>
      </c>
      <c r="S537" s="64" t="s">
        <v>2865</v>
      </c>
      <c r="T537" s="65">
        <v>1</v>
      </c>
      <c r="U537" s="35" t="s">
        <v>2853</v>
      </c>
      <c r="V537" s="29" t="s">
        <v>2864</v>
      </c>
      <c r="W537" s="35">
        <v>7332.11</v>
      </c>
      <c r="X537" s="22">
        <f t="shared" si="123"/>
        <v>0.1</v>
      </c>
      <c r="Y537" s="35">
        <f t="shared" si="116"/>
        <v>6598.8989999999994</v>
      </c>
      <c r="Z537" s="27"/>
      <c r="AA537" s="23"/>
      <c r="AB537" s="23"/>
      <c r="AC537" s="28"/>
      <c r="AD537" s="63">
        <v>4.17</v>
      </c>
      <c r="AE537" s="91" t="s">
        <v>75</v>
      </c>
      <c r="AF537" s="55" t="s">
        <v>1106</v>
      </c>
      <c r="AG537" s="14" t="s">
        <v>2866</v>
      </c>
      <c r="AH537" s="14" t="s">
        <v>2867</v>
      </c>
    </row>
    <row r="538" spans="1:34" s="1" customFormat="1">
      <c r="A538" s="25" t="s">
        <v>2868</v>
      </c>
      <c r="B538" s="64" t="s">
        <v>2869</v>
      </c>
      <c r="C538" s="65">
        <v>1</v>
      </c>
      <c r="D538" s="35" t="s">
        <v>2853</v>
      </c>
      <c r="E538" s="29" t="s">
        <v>2868</v>
      </c>
      <c r="F538" s="35">
        <v>4887.67</v>
      </c>
      <c r="G538" s="22">
        <f t="shared" si="122"/>
        <v>0.1</v>
      </c>
      <c r="H538" s="35">
        <f t="shared" si="124"/>
        <v>4398.9030000000002</v>
      </c>
      <c r="I538" s="27"/>
      <c r="J538" s="23"/>
      <c r="K538" s="23"/>
      <c r="L538" s="23"/>
      <c r="M538" s="63">
        <v>4.17</v>
      </c>
      <c r="N538" s="91" t="s">
        <v>75</v>
      </c>
      <c r="O538" s="55" t="s">
        <v>1106</v>
      </c>
      <c r="P538" s="56" t="s">
        <v>504</v>
      </c>
      <c r="Q538" s="56" t="s">
        <v>1273</v>
      </c>
      <c r="R538" s="25" t="s">
        <v>2868</v>
      </c>
      <c r="S538" s="64" t="s">
        <v>2869</v>
      </c>
      <c r="T538" s="65">
        <v>1</v>
      </c>
      <c r="U538" s="35" t="s">
        <v>2853</v>
      </c>
      <c r="V538" s="29" t="s">
        <v>2868</v>
      </c>
      <c r="W538" s="35">
        <v>4887.67</v>
      </c>
      <c r="X538" s="22">
        <f t="shared" si="123"/>
        <v>0.1</v>
      </c>
      <c r="Y538" s="35">
        <f t="shared" si="116"/>
        <v>4398.9030000000002</v>
      </c>
      <c r="Z538" s="27"/>
      <c r="AA538" s="23"/>
      <c r="AB538" s="23"/>
      <c r="AC538" s="28"/>
      <c r="AD538" s="63">
        <v>4.17</v>
      </c>
      <c r="AE538" s="91" t="s">
        <v>75</v>
      </c>
      <c r="AF538" s="55" t="s">
        <v>1106</v>
      </c>
      <c r="AG538" s="14" t="s">
        <v>2870</v>
      </c>
      <c r="AH538" s="14" t="s">
        <v>2871</v>
      </c>
    </row>
    <row r="539" spans="1:34" s="1" customFormat="1">
      <c r="A539" s="25" t="s">
        <v>2872</v>
      </c>
      <c r="B539" s="64" t="s">
        <v>2873</v>
      </c>
      <c r="C539" s="65">
        <v>1</v>
      </c>
      <c r="D539" s="35" t="s">
        <v>2853</v>
      </c>
      <c r="E539" s="29" t="s">
        <v>2872</v>
      </c>
      <c r="F539" s="35">
        <v>426.56</v>
      </c>
      <c r="G539" s="22">
        <f t="shared" si="122"/>
        <v>0.1</v>
      </c>
      <c r="H539" s="35">
        <f t="shared" si="124"/>
        <v>383.904</v>
      </c>
      <c r="I539" s="27"/>
      <c r="J539" s="23"/>
      <c r="K539" s="23"/>
      <c r="L539" s="23"/>
      <c r="M539" s="63">
        <v>0.38</v>
      </c>
      <c r="N539" s="91" t="s">
        <v>75</v>
      </c>
      <c r="O539" s="55" t="s">
        <v>1106</v>
      </c>
      <c r="P539" s="56" t="s">
        <v>504</v>
      </c>
      <c r="Q539" s="56" t="s">
        <v>1273</v>
      </c>
      <c r="R539" s="25" t="s">
        <v>2872</v>
      </c>
      <c r="S539" s="64" t="s">
        <v>2873</v>
      </c>
      <c r="T539" s="65">
        <v>1</v>
      </c>
      <c r="U539" s="35" t="s">
        <v>2853</v>
      </c>
      <c r="V539" s="29" t="s">
        <v>2872</v>
      </c>
      <c r="W539" s="35">
        <v>426.56</v>
      </c>
      <c r="X539" s="22">
        <f t="shared" si="123"/>
        <v>0.1</v>
      </c>
      <c r="Y539" s="35">
        <f t="shared" si="116"/>
        <v>383.904</v>
      </c>
      <c r="Z539" s="27"/>
      <c r="AA539" s="23"/>
      <c r="AB539" s="23"/>
      <c r="AC539" s="28"/>
      <c r="AD539" s="63">
        <v>0.38</v>
      </c>
      <c r="AE539" s="91" t="s">
        <v>75</v>
      </c>
      <c r="AF539" s="55" t="s">
        <v>1106</v>
      </c>
      <c r="AG539" s="14" t="s">
        <v>2874</v>
      </c>
      <c r="AH539" s="14" t="s">
        <v>2875</v>
      </c>
    </row>
    <row r="540" spans="1:34" s="1" customFormat="1">
      <c r="A540" s="25" t="s">
        <v>2876</v>
      </c>
      <c r="B540" s="64" t="s">
        <v>2877</v>
      </c>
      <c r="C540" s="65">
        <v>1</v>
      </c>
      <c r="D540" s="35" t="s">
        <v>2853</v>
      </c>
      <c r="E540" s="29" t="s">
        <v>2876</v>
      </c>
      <c r="F540" s="35">
        <v>3298.78</v>
      </c>
      <c r="G540" s="22">
        <f t="shared" si="122"/>
        <v>0.1</v>
      </c>
      <c r="H540" s="35">
        <f t="shared" si="124"/>
        <v>2968.902</v>
      </c>
      <c r="I540" s="27"/>
      <c r="J540" s="23"/>
      <c r="K540" s="23"/>
      <c r="L540" s="23"/>
      <c r="M540" s="63">
        <v>0</v>
      </c>
      <c r="N540" s="91" t="s">
        <v>75</v>
      </c>
      <c r="O540" s="55" t="s">
        <v>1106</v>
      </c>
      <c r="P540" s="56" t="s">
        <v>504</v>
      </c>
      <c r="Q540" s="56" t="s">
        <v>1273</v>
      </c>
      <c r="R540" s="25" t="s">
        <v>2876</v>
      </c>
      <c r="S540" s="64" t="s">
        <v>2877</v>
      </c>
      <c r="T540" s="65">
        <v>1</v>
      </c>
      <c r="U540" s="35" t="s">
        <v>2853</v>
      </c>
      <c r="V540" s="29" t="s">
        <v>2876</v>
      </c>
      <c r="W540" s="35">
        <v>3298.78</v>
      </c>
      <c r="X540" s="22">
        <f t="shared" si="123"/>
        <v>0.1</v>
      </c>
      <c r="Y540" s="35">
        <f t="shared" si="116"/>
        <v>2968.902</v>
      </c>
      <c r="Z540" s="27"/>
      <c r="AA540" s="23"/>
      <c r="AB540" s="23"/>
      <c r="AC540" s="28"/>
      <c r="AD540" s="63">
        <v>0</v>
      </c>
      <c r="AE540" s="91" t="s">
        <v>75</v>
      </c>
      <c r="AF540" s="55" t="s">
        <v>1106</v>
      </c>
      <c r="AG540" s="14" t="s">
        <v>2878</v>
      </c>
      <c r="AH540" s="14" t="s">
        <v>2879</v>
      </c>
    </row>
    <row r="541" spans="1:34" s="1" customFormat="1">
      <c r="A541" s="25" t="s">
        <v>2880</v>
      </c>
      <c r="B541" s="64" t="s">
        <v>2881</v>
      </c>
      <c r="C541" s="65">
        <v>1</v>
      </c>
      <c r="D541" s="35" t="s">
        <v>2853</v>
      </c>
      <c r="E541" s="29" t="s">
        <v>2880</v>
      </c>
      <c r="F541" s="35">
        <v>1404.33</v>
      </c>
      <c r="G541" s="22">
        <f t="shared" si="122"/>
        <v>0.1</v>
      </c>
      <c r="H541" s="35">
        <f t="shared" si="124"/>
        <v>1263.8969999999999</v>
      </c>
      <c r="I541" s="27"/>
      <c r="J541" s="23"/>
      <c r="K541" s="23"/>
      <c r="L541" s="23"/>
      <c r="M541" s="63">
        <v>4.17</v>
      </c>
      <c r="N541" s="91" t="s">
        <v>75</v>
      </c>
      <c r="O541" s="55" t="s">
        <v>1106</v>
      </c>
      <c r="P541" s="56" t="s">
        <v>504</v>
      </c>
      <c r="Q541" s="56" t="s">
        <v>1273</v>
      </c>
      <c r="R541" s="25" t="s">
        <v>2880</v>
      </c>
      <c r="S541" s="64" t="s">
        <v>2881</v>
      </c>
      <c r="T541" s="65">
        <v>1</v>
      </c>
      <c r="U541" s="35" t="s">
        <v>2853</v>
      </c>
      <c r="V541" s="29" t="s">
        <v>2880</v>
      </c>
      <c r="W541" s="35">
        <v>1404.33</v>
      </c>
      <c r="X541" s="22">
        <f t="shared" si="123"/>
        <v>0.1</v>
      </c>
      <c r="Y541" s="35">
        <f t="shared" si="116"/>
        <v>1263.8969999999999</v>
      </c>
      <c r="Z541" s="27"/>
      <c r="AA541" s="23"/>
      <c r="AB541" s="23"/>
      <c r="AC541" s="28"/>
      <c r="AD541" s="63">
        <v>4.17</v>
      </c>
      <c r="AE541" s="91" t="s">
        <v>75</v>
      </c>
      <c r="AF541" s="55" t="s">
        <v>1106</v>
      </c>
      <c r="AG541" s="14" t="s">
        <v>2882</v>
      </c>
      <c r="AH541" s="14" t="s">
        <v>2883</v>
      </c>
    </row>
    <row r="542" spans="1:34" s="1" customFormat="1">
      <c r="A542" s="25" t="s">
        <v>2884</v>
      </c>
      <c r="B542" s="64" t="s">
        <v>2885</v>
      </c>
      <c r="C542" s="65">
        <v>1</v>
      </c>
      <c r="D542" s="35" t="s">
        <v>2853</v>
      </c>
      <c r="E542" s="29" t="s">
        <v>2884</v>
      </c>
      <c r="F542" s="35">
        <v>1001.92</v>
      </c>
      <c r="G542" s="22">
        <f t="shared" si="122"/>
        <v>0.1</v>
      </c>
      <c r="H542" s="35">
        <f t="shared" si="124"/>
        <v>901.72799999999995</v>
      </c>
      <c r="I542" s="27"/>
      <c r="J542" s="23"/>
      <c r="K542" s="23"/>
      <c r="L542" s="23"/>
      <c r="M542" s="63">
        <v>1.67</v>
      </c>
      <c r="N542" s="91" t="s">
        <v>75</v>
      </c>
      <c r="O542" s="55" t="s">
        <v>1106</v>
      </c>
      <c r="P542" s="56" t="s">
        <v>504</v>
      </c>
      <c r="Q542" s="56" t="s">
        <v>1273</v>
      </c>
      <c r="R542" s="25" t="s">
        <v>2884</v>
      </c>
      <c r="S542" s="64" t="s">
        <v>2885</v>
      </c>
      <c r="T542" s="65">
        <v>1</v>
      </c>
      <c r="U542" s="35" t="s">
        <v>2853</v>
      </c>
      <c r="V542" s="29" t="s">
        <v>2884</v>
      </c>
      <c r="W542" s="35">
        <v>1001.92</v>
      </c>
      <c r="X542" s="22">
        <f t="shared" si="123"/>
        <v>0.1</v>
      </c>
      <c r="Y542" s="35">
        <f t="shared" si="116"/>
        <v>901.72799999999995</v>
      </c>
      <c r="Z542" s="27"/>
      <c r="AA542" s="23"/>
      <c r="AB542" s="23"/>
      <c r="AC542" s="28"/>
      <c r="AD542" s="63">
        <v>1.67</v>
      </c>
      <c r="AE542" s="91" t="s">
        <v>75</v>
      </c>
      <c r="AF542" s="55" t="s">
        <v>1106</v>
      </c>
      <c r="AG542" s="14" t="s">
        <v>2886</v>
      </c>
      <c r="AH542" s="14" t="s">
        <v>2887</v>
      </c>
    </row>
    <row r="543" spans="1:34" s="121" customFormat="1">
      <c r="A543" s="25" t="s">
        <v>2888</v>
      </c>
      <c r="B543" s="273" t="s">
        <v>2889</v>
      </c>
      <c r="C543" s="292">
        <v>1</v>
      </c>
      <c r="D543" s="116" t="s">
        <v>2853</v>
      </c>
      <c r="E543" s="115" t="s">
        <v>2888</v>
      </c>
      <c r="F543" s="116">
        <v>779</v>
      </c>
      <c r="G543" s="138">
        <f t="shared" si="122"/>
        <v>0.1</v>
      </c>
      <c r="H543" s="116">
        <f t="shared" si="124"/>
        <v>701.1</v>
      </c>
      <c r="I543" s="153"/>
      <c r="J543" s="154"/>
      <c r="K543" s="154"/>
      <c r="L543" s="154"/>
      <c r="M543" s="226">
        <v>4.17</v>
      </c>
      <c r="N543" s="91" t="s">
        <v>75</v>
      </c>
      <c r="O543" s="55" t="s">
        <v>1106</v>
      </c>
      <c r="P543" s="56" t="s">
        <v>504</v>
      </c>
      <c r="Q543" s="56" t="s">
        <v>1273</v>
      </c>
      <c r="R543" s="25" t="s">
        <v>2888</v>
      </c>
      <c r="S543" s="273" t="s">
        <v>2889</v>
      </c>
      <c r="T543" s="292">
        <v>1</v>
      </c>
      <c r="U543" s="116" t="s">
        <v>2853</v>
      </c>
      <c r="V543" s="115" t="s">
        <v>2888</v>
      </c>
      <c r="W543" s="116">
        <v>779</v>
      </c>
      <c r="X543" s="138">
        <f t="shared" si="123"/>
        <v>0.1</v>
      </c>
      <c r="Y543" s="116">
        <f t="shared" si="116"/>
        <v>701.1</v>
      </c>
      <c r="Z543" s="153"/>
      <c r="AA543" s="154"/>
      <c r="AB543" s="154"/>
      <c r="AC543" s="154"/>
      <c r="AD543" s="226">
        <v>4.17</v>
      </c>
      <c r="AE543" s="91" t="s">
        <v>75</v>
      </c>
      <c r="AF543" s="55" t="s">
        <v>1106</v>
      </c>
      <c r="AG543" s="14" t="s">
        <v>2890</v>
      </c>
      <c r="AH543" s="14" t="s">
        <v>2891</v>
      </c>
    </row>
    <row r="544" spans="1:34" s="121" customFormat="1">
      <c r="A544" s="25" t="s">
        <v>2892</v>
      </c>
      <c r="B544" s="273" t="s">
        <v>2893</v>
      </c>
      <c r="C544" s="292">
        <v>1</v>
      </c>
      <c r="D544" s="116" t="s">
        <v>2853</v>
      </c>
      <c r="E544" s="115" t="s">
        <v>2892</v>
      </c>
      <c r="F544" s="116">
        <v>1449</v>
      </c>
      <c r="G544" s="138">
        <f t="shared" si="122"/>
        <v>0.1</v>
      </c>
      <c r="H544" s="116">
        <f t="shared" si="124"/>
        <v>1304.0999999999999</v>
      </c>
      <c r="I544" s="153"/>
      <c r="J544" s="154"/>
      <c r="K544" s="154"/>
      <c r="L544" s="154"/>
      <c r="M544" s="226">
        <v>4.17</v>
      </c>
      <c r="N544" s="91" t="s">
        <v>75</v>
      </c>
      <c r="O544" s="55" t="s">
        <v>1106</v>
      </c>
      <c r="P544" s="56" t="s">
        <v>504</v>
      </c>
      <c r="Q544" s="56" t="s">
        <v>1273</v>
      </c>
      <c r="R544" s="25" t="s">
        <v>2892</v>
      </c>
      <c r="S544" s="273" t="s">
        <v>2893</v>
      </c>
      <c r="T544" s="292">
        <v>1</v>
      </c>
      <c r="U544" s="116" t="s">
        <v>2853</v>
      </c>
      <c r="V544" s="115" t="s">
        <v>2892</v>
      </c>
      <c r="W544" s="116">
        <v>1449</v>
      </c>
      <c r="X544" s="138">
        <f t="shared" si="123"/>
        <v>0.1</v>
      </c>
      <c r="Y544" s="116">
        <f t="shared" si="116"/>
        <v>1304.0999999999999</v>
      </c>
      <c r="Z544" s="153"/>
      <c r="AA544" s="154"/>
      <c r="AB544" s="154"/>
      <c r="AC544" s="154"/>
      <c r="AD544" s="226">
        <v>4.17</v>
      </c>
      <c r="AE544" s="91" t="s">
        <v>75</v>
      </c>
      <c r="AF544" s="55" t="s">
        <v>1106</v>
      </c>
      <c r="AG544" s="14" t="s">
        <v>2894</v>
      </c>
      <c r="AH544" s="14" t="s">
        <v>2895</v>
      </c>
    </row>
    <row r="545" spans="1:34" s="121" customFormat="1">
      <c r="A545" s="25" t="s">
        <v>2896</v>
      </c>
      <c r="B545" s="273" t="s">
        <v>2897</v>
      </c>
      <c r="C545" s="292">
        <v>1</v>
      </c>
      <c r="D545" s="116" t="s">
        <v>2853</v>
      </c>
      <c r="E545" s="115" t="s">
        <v>2896</v>
      </c>
      <c r="F545" s="116">
        <v>1699</v>
      </c>
      <c r="G545" s="138">
        <f t="shared" si="122"/>
        <v>0.1</v>
      </c>
      <c r="H545" s="116">
        <f t="shared" si="124"/>
        <v>1529.1</v>
      </c>
      <c r="I545" s="153"/>
      <c r="J545" s="154"/>
      <c r="K545" s="154"/>
      <c r="L545" s="154"/>
      <c r="M545" s="226">
        <v>4.17</v>
      </c>
      <c r="N545" s="91" t="s">
        <v>75</v>
      </c>
      <c r="O545" s="55" t="s">
        <v>1106</v>
      </c>
      <c r="P545" s="56" t="s">
        <v>504</v>
      </c>
      <c r="Q545" s="56" t="s">
        <v>1273</v>
      </c>
      <c r="R545" s="25" t="s">
        <v>2896</v>
      </c>
      <c r="S545" s="273" t="s">
        <v>2897</v>
      </c>
      <c r="T545" s="292">
        <v>1</v>
      </c>
      <c r="U545" s="116" t="s">
        <v>2853</v>
      </c>
      <c r="V545" s="115" t="s">
        <v>2896</v>
      </c>
      <c r="W545" s="116">
        <v>1699</v>
      </c>
      <c r="X545" s="138">
        <f t="shared" si="123"/>
        <v>0.1</v>
      </c>
      <c r="Y545" s="116">
        <f t="shared" si="116"/>
        <v>1529.1</v>
      </c>
      <c r="Z545" s="153"/>
      <c r="AA545" s="154"/>
      <c r="AB545" s="154"/>
      <c r="AC545" s="154"/>
      <c r="AD545" s="226">
        <v>4.17</v>
      </c>
      <c r="AE545" s="91" t="s">
        <v>75</v>
      </c>
      <c r="AF545" s="55" t="s">
        <v>1106</v>
      </c>
      <c r="AG545" s="14" t="s">
        <v>2898</v>
      </c>
      <c r="AH545" s="14" t="s">
        <v>2899</v>
      </c>
    </row>
    <row r="546" spans="1:34" s="121" customFormat="1">
      <c r="A546" s="25" t="s">
        <v>2900</v>
      </c>
      <c r="B546" s="273" t="s">
        <v>2901</v>
      </c>
      <c r="C546" s="292">
        <v>1</v>
      </c>
      <c r="D546" s="116" t="s">
        <v>2853</v>
      </c>
      <c r="E546" s="115" t="s">
        <v>2900</v>
      </c>
      <c r="F546" s="116">
        <v>1999</v>
      </c>
      <c r="G546" s="138">
        <f t="shared" si="122"/>
        <v>0.1</v>
      </c>
      <c r="H546" s="116">
        <f t="shared" si="124"/>
        <v>1799.1</v>
      </c>
      <c r="I546" s="153"/>
      <c r="J546" s="154"/>
      <c r="K546" s="154"/>
      <c r="L546" s="154"/>
      <c r="M546" s="226">
        <v>4.17</v>
      </c>
      <c r="N546" s="91" t="s">
        <v>75</v>
      </c>
      <c r="O546" s="55" t="s">
        <v>1106</v>
      </c>
      <c r="P546" s="56" t="s">
        <v>504</v>
      </c>
      <c r="Q546" s="56" t="s">
        <v>1273</v>
      </c>
      <c r="R546" s="25" t="s">
        <v>2900</v>
      </c>
      <c r="S546" s="273" t="s">
        <v>2901</v>
      </c>
      <c r="T546" s="292">
        <v>1</v>
      </c>
      <c r="U546" s="116" t="s">
        <v>2853</v>
      </c>
      <c r="V546" s="115" t="s">
        <v>2900</v>
      </c>
      <c r="W546" s="116">
        <v>1999</v>
      </c>
      <c r="X546" s="138">
        <f t="shared" si="123"/>
        <v>0.1</v>
      </c>
      <c r="Y546" s="116">
        <f t="shared" si="116"/>
        <v>1799.1</v>
      </c>
      <c r="Z546" s="153"/>
      <c r="AA546" s="154"/>
      <c r="AB546" s="154"/>
      <c r="AC546" s="154"/>
      <c r="AD546" s="226">
        <v>4.17</v>
      </c>
      <c r="AE546" s="91" t="s">
        <v>75</v>
      </c>
      <c r="AF546" s="55" t="s">
        <v>1106</v>
      </c>
      <c r="AG546" s="14" t="s">
        <v>2902</v>
      </c>
      <c r="AH546" s="14" t="s">
        <v>2903</v>
      </c>
    </row>
    <row r="547" spans="1:34" s="121" customFormat="1">
      <c r="A547" s="25" t="s">
        <v>2904</v>
      </c>
      <c r="B547" s="273" t="s">
        <v>2905</v>
      </c>
      <c r="C547" s="292">
        <v>1</v>
      </c>
      <c r="D547" s="116" t="s">
        <v>2853</v>
      </c>
      <c r="E547" s="115" t="s">
        <v>2904</v>
      </c>
      <c r="F547" s="116">
        <v>29</v>
      </c>
      <c r="G547" s="138">
        <f t="shared" si="122"/>
        <v>0.1</v>
      </c>
      <c r="H547" s="116">
        <f t="shared" si="124"/>
        <v>26.1</v>
      </c>
      <c r="I547" s="153"/>
      <c r="J547" s="154"/>
      <c r="K547" s="154"/>
      <c r="L547" s="154"/>
      <c r="M547" s="226">
        <v>0</v>
      </c>
      <c r="N547" s="91" t="s">
        <v>75</v>
      </c>
      <c r="O547" s="55" t="s">
        <v>1106</v>
      </c>
      <c r="P547" s="56" t="s">
        <v>504</v>
      </c>
      <c r="Q547" s="56" t="s">
        <v>1273</v>
      </c>
      <c r="R547" s="25" t="s">
        <v>2904</v>
      </c>
      <c r="S547" s="273" t="s">
        <v>2905</v>
      </c>
      <c r="T547" s="292">
        <v>1</v>
      </c>
      <c r="U547" s="116" t="s">
        <v>2853</v>
      </c>
      <c r="V547" s="115" t="s">
        <v>2904</v>
      </c>
      <c r="W547" s="116">
        <v>29</v>
      </c>
      <c r="X547" s="138">
        <f t="shared" si="123"/>
        <v>0.1</v>
      </c>
      <c r="Y547" s="116">
        <f t="shared" si="116"/>
        <v>26.1</v>
      </c>
      <c r="Z547" s="153"/>
      <c r="AA547" s="154"/>
      <c r="AB547" s="154"/>
      <c r="AC547" s="154"/>
      <c r="AD547" s="226">
        <v>0</v>
      </c>
      <c r="AE547" s="91" t="s">
        <v>75</v>
      </c>
      <c r="AF547" s="55" t="s">
        <v>1106</v>
      </c>
      <c r="AG547" s="14" t="s">
        <v>2906</v>
      </c>
      <c r="AH547" s="14" t="s">
        <v>2907</v>
      </c>
    </row>
    <row r="548" spans="1:34" s="121" customFormat="1">
      <c r="A548" s="25" t="s">
        <v>2908</v>
      </c>
      <c r="B548" s="273" t="s">
        <v>2909</v>
      </c>
      <c r="C548" s="292">
        <v>1</v>
      </c>
      <c r="D548" s="116" t="s">
        <v>2853</v>
      </c>
      <c r="E548" s="115" t="s">
        <v>2908</v>
      </c>
      <c r="F548" s="116">
        <v>39.99</v>
      </c>
      <c r="G548" s="138">
        <f t="shared" si="122"/>
        <v>0.1</v>
      </c>
      <c r="H548" s="116">
        <f t="shared" si="124"/>
        <v>35.991</v>
      </c>
      <c r="I548" s="153"/>
      <c r="J548" s="154"/>
      <c r="K548" s="154"/>
      <c r="L548" s="154"/>
      <c r="M548" s="226">
        <v>0</v>
      </c>
      <c r="N548" s="91" t="s">
        <v>75</v>
      </c>
      <c r="O548" s="55" t="s">
        <v>1106</v>
      </c>
      <c r="P548" s="56" t="s">
        <v>504</v>
      </c>
      <c r="Q548" s="56" t="s">
        <v>1273</v>
      </c>
      <c r="R548" s="25" t="s">
        <v>2908</v>
      </c>
      <c r="S548" s="273" t="s">
        <v>2909</v>
      </c>
      <c r="T548" s="292">
        <v>1</v>
      </c>
      <c r="U548" s="116" t="s">
        <v>2853</v>
      </c>
      <c r="V548" s="115" t="s">
        <v>2908</v>
      </c>
      <c r="W548" s="116">
        <v>39.99</v>
      </c>
      <c r="X548" s="138">
        <f t="shared" si="123"/>
        <v>0.1</v>
      </c>
      <c r="Y548" s="116">
        <f t="shared" si="116"/>
        <v>35.991</v>
      </c>
      <c r="Z548" s="153"/>
      <c r="AA548" s="154"/>
      <c r="AB548" s="154"/>
      <c r="AC548" s="154"/>
      <c r="AD548" s="226">
        <v>0</v>
      </c>
      <c r="AE548" s="91" t="s">
        <v>75</v>
      </c>
      <c r="AF548" s="55" t="s">
        <v>1106</v>
      </c>
      <c r="AG548" s="14" t="s">
        <v>2910</v>
      </c>
      <c r="AH548" s="14" t="s">
        <v>2911</v>
      </c>
    </row>
    <row r="549" spans="1:34" s="121" customFormat="1">
      <c r="A549" s="25" t="s">
        <v>2912</v>
      </c>
      <c r="B549" s="273" t="s">
        <v>2913</v>
      </c>
      <c r="C549" s="292">
        <v>1</v>
      </c>
      <c r="D549" s="116" t="s">
        <v>2853</v>
      </c>
      <c r="E549" s="115" t="s">
        <v>2912</v>
      </c>
      <c r="F549" s="116">
        <v>52.79</v>
      </c>
      <c r="G549" s="138">
        <f t="shared" si="122"/>
        <v>0.1</v>
      </c>
      <c r="H549" s="116">
        <f t="shared" si="124"/>
        <v>47.510999999999996</v>
      </c>
      <c r="I549" s="153"/>
      <c r="J549" s="154"/>
      <c r="K549" s="154"/>
      <c r="L549" s="154"/>
      <c r="M549" s="226">
        <v>0</v>
      </c>
      <c r="N549" s="91" t="s">
        <v>75</v>
      </c>
      <c r="O549" s="55" t="s">
        <v>1106</v>
      </c>
      <c r="P549" s="56" t="s">
        <v>504</v>
      </c>
      <c r="Q549" s="56" t="s">
        <v>1273</v>
      </c>
      <c r="R549" s="25" t="s">
        <v>2912</v>
      </c>
      <c r="S549" s="273" t="s">
        <v>2913</v>
      </c>
      <c r="T549" s="292">
        <v>1</v>
      </c>
      <c r="U549" s="116" t="s">
        <v>2853</v>
      </c>
      <c r="V549" s="115" t="s">
        <v>2912</v>
      </c>
      <c r="W549" s="116">
        <v>52.79</v>
      </c>
      <c r="X549" s="138">
        <f t="shared" si="123"/>
        <v>0.1</v>
      </c>
      <c r="Y549" s="116">
        <f t="shared" si="116"/>
        <v>47.510999999999996</v>
      </c>
      <c r="Z549" s="153"/>
      <c r="AA549" s="154"/>
      <c r="AB549" s="154"/>
      <c r="AC549" s="154"/>
      <c r="AD549" s="226">
        <v>0</v>
      </c>
      <c r="AE549" s="91" t="s">
        <v>75</v>
      </c>
      <c r="AF549" s="55" t="s">
        <v>1106</v>
      </c>
      <c r="AG549" s="14" t="s">
        <v>2914</v>
      </c>
      <c r="AH549" s="14" t="s">
        <v>2915</v>
      </c>
    </row>
    <row r="550" spans="1:34" s="168" customFormat="1" ht="38.25">
      <c r="A550" s="231" t="s">
        <v>2916</v>
      </c>
      <c r="B550" s="232" t="s">
        <v>2917</v>
      </c>
      <c r="C550" s="163">
        <v>1</v>
      </c>
      <c r="D550" s="69" t="s">
        <v>2853</v>
      </c>
      <c r="E550" s="233" t="s">
        <v>2916</v>
      </c>
      <c r="F550" s="69">
        <v>79.37</v>
      </c>
      <c r="G550" s="77">
        <f t="shared" si="122"/>
        <v>0.1</v>
      </c>
      <c r="H550" s="69">
        <f t="shared" si="124"/>
        <v>71.433000000000007</v>
      </c>
      <c r="I550" s="166"/>
      <c r="J550" s="167"/>
      <c r="K550" s="167"/>
      <c r="L550" s="167"/>
      <c r="M550" s="71">
        <v>0</v>
      </c>
      <c r="N550" s="91" t="s">
        <v>75</v>
      </c>
      <c r="O550" s="55" t="s">
        <v>1106</v>
      </c>
      <c r="P550" s="56" t="s">
        <v>504</v>
      </c>
      <c r="Q550" s="56" t="s">
        <v>1273</v>
      </c>
      <c r="R550" s="231" t="s">
        <v>2916</v>
      </c>
      <c r="S550" s="232" t="s">
        <v>2917</v>
      </c>
      <c r="T550" s="163">
        <v>1</v>
      </c>
      <c r="U550" s="69" t="s">
        <v>2853</v>
      </c>
      <c r="V550" s="233" t="s">
        <v>2916</v>
      </c>
      <c r="W550" s="69">
        <v>79.37</v>
      </c>
      <c r="X550" s="77">
        <f t="shared" si="123"/>
        <v>0.1</v>
      </c>
      <c r="Y550" s="69">
        <f t="shared" si="116"/>
        <v>71.433000000000007</v>
      </c>
      <c r="Z550" s="166"/>
      <c r="AA550" s="167"/>
      <c r="AB550" s="167"/>
      <c r="AC550" s="614"/>
      <c r="AD550" s="71">
        <v>0</v>
      </c>
      <c r="AE550" s="91" t="s">
        <v>75</v>
      </c>
      <c r="AF550" s="55" t="s">
        <v>1106</v>
      </c>
      <c r="AG550" s="234" t="s">
        <v>2890</v>
      </c>
      <c r="AH550" s="234" t="s">
        <v>2891</v>
      </c>
    </row>
    <row r="551" spans="1:34" s="1" customFormat="1">
      <c r="A551" s="25" t="s">
        <v>2918</v>
      </c>
      <c r="B551" s="64" t="s">
        <v>2919</v>
      </c>
      <c r="C551" s="65">
        <v>1</v>
      </c>
      <c r="D551" s="62" t="s">
        <v>2920</v>
      </c>
      <c r="E551" s="417" t="s">
        <v>2918</v>
      </c>
      <c r="F551" s="63">
        <v>841.27</v>
      </c>
      <c r="G551" s="22">
        <f t="shared" si="122"/>
        <v>0.1</v>
      </c>
      <c r="H551" s="35">
        <f t="shared" si="124"/>
        <v>757.14300000000003</v>
      </c>
      <c r="I551" s="27"/>
      <c r="J551" s="23"/>
      <c r="K551" s="23"/>
      <c r="L551" s="23"/>
      <c r="M551" s="63">
        <v>0</v>
      </c>
      <c r="N551" s="91" t="s">
        <v>75</v>
      </c>
      <c r="O551" s="55" t="s">
        <v>1106</v>
      </c>
      <c r="P551" s="56" t="s">
        <v>504</v>
      </c>
      <c r="Q551" s="56" t="s">
        <v>1273</v>
      </c>
      <c r="R551" s="25" t="s">
        <v>2921</v>
      </c>
      <c r="S551" s="64" t="s">
        <v>2919</v>
      </c>
      <c r="T551" s="65">
        <v>1</v>
      </c>
      <c r="U551" s="35" t="s">
        <v>2920</v>
      </c>
      <c r="V551" s="29" t="s">
        <v>2921</v>
      </c>
      <c r="W551" s="35">
        <v>841.27</v>
      </c>
      <c r="X551" s="22">
        <f t="shared" si="123"/>
        <v>0.1</v>
      </c>
      <c r="Y551" s="35">
        <f t="shared" si="116"/>
        <v>757.14300000000003</v>
      </c>
      <c r="Z551" s="27"/>
      <c r="AA551" s="23"/>
      <c r="AB551" s="23"/>
      <c r="AC551" s="28"/>
      <c r="AD551" s="63">
        <v>0</v>
      </c>
      <c r="AE551" s="91" t="s">
        <v>75</v>
      </c>
      <c r="AF551" s="55" t="s">
        <v>1106</v>
      </c>
      <c r="AG551" s="14" t="s">
        <v>2894</v>
      </c>
      <c r="AH551" s="14" t="s">
        <v>1275</v>
      </c>
    </row>
    <row r="552" spans="1:34" s="1" customFormat="1">
      <c r="A552" s="25" t="s">
        <v>2922</v>
      </c>
      <c r="B552" s="64" t="s">
        <v>2923</v>
      </c>
      <c r="C552" s="65">
        <v>1</v>
      </c>
      <c r="D552" s="62" t="s">
        <v>2920</v>
      </c>
      <c r="E552" s="417" t="s">
        <v>2922</v>
      </c>
      <c r="F552" s="63">
        <v>1252.3800000000001</v>
      </c>
      <c r="G552" s="22">
        <f t="shared" si="122"/>
        <v>0.1</v>
      </c>
      <c r="H552" s="35">
        <f t="shared" si="124"/>
        <v>1127.1420000000001</v>
      </c>
      <c r="I552" s="27"/>
      <c r="J552" s="23"/>
      <c r="K552" s="23"/>
      <c r="L552" s="23"/>
      <c r="M552" s="63">
        <v>0</v>
      </c>
      <c r="N552" s="91" t="s">
        <v>75</v>
      </c>
      <c r="O552" s="55" t="s">
        <v>1106</v>
      </c>
      <c r="P552" s="56" t="s">
        <v>504</v>
      </c>
      <c r="Q552" s="56" t="s">
        <v>1273</v>
      </c>
      <c r="R552" s="25" t="s">
        <v>2924</v>
      </c>
      <c r="S552" s="64" t="s">
        <v>2923</v>
      </c>
      <c r="T552" s="65">
        <v>1</v>
      </c>
      <c r="U552" s="35" t="s">
        <v>2920</v>
      </c>
      <c r="V552" s="29" t="s">
        <v>2924</v>
      </c>
      <c r="W552" s="35">
        <v>1252.3800000000001</v>
      </c>
      <c r="X552" s="22">
        <f t="shared" si="123"/>
        <v>0.1</v>
      </c>
      <c r="Y552" s="35">
        <f t="shared" ref="Y552:Y566" si="126">W552-(W552*X552)</f>
        <v>1127.1420000000001</v>
      </c>
      <c r="Z552" s="27"/>
      <c r="AA552" s="23"/>
      <c r="AB552" s="23"/>
      <c r="AC552" s="28"/>
      <c r="AD552" s="63">
        <v>0</v>
      </c>
      <c r="AE552" s="91" t="s">
        <v>75</v>
      </c>
      <c r="AF552" s="55" t="s">
        <v>1106</v>
      </c>
      <c r="AG552" s="14" t="s">
        <v>2898</v>
      </c>
      <c r="AH552" s="14" t="s">
        <v>1275</v>
      </c>
    </row>
    <row r="553" spans="1:34" s="1" customFormat="1">
      <c r="A553" s="25" t="s">
        <v>2925</v>
      </c>
      <c r="B553" s="64" t="s">
        <v>2926</v>
      </c>
      <c r="C553" s="65">
        <v>1</v>
      </c>
      <c r="D553" s="35" t="s">
        <v>2920</v>
      </c>
      <c r="E553" s="29" t="s">
        <v>2925</v>
      </c>
      <c r="F553" s="35">
        <v>1649.21</v>
      </c>
      <c r="G553" s="22">
        <f t="shared" si="122"/>
        <v>0.1</v>
      </c>
      <c r="H553" s="35">
        <f t="shared" si="124"/>
        <v>1484.289</v>
      </c>
      <c r="I553" s="27"/>
      <c r="J553" s="23"/>
      <c r="K553" s="23"/>
      <c r="L553" s="23"/>
      <c r="M553" s="63">
        <v>0</v>
      </c>
      <c r="N553" s="91" t="s">
        <v>75</v>
      </c>
      <c r="O553" s="55" t="s">
        <v>1106</v>
      </c>
      <c r="P553" s="56" t="s">
        <v>504</v>
      </c>
      <c r="Q553" s="56" t="s">
        <v>1273</v>
      </c>
      <c r="R553" s="25" t="s">
        <v>2925</v>
      </c>
      <c r="S553" s="64" t="s">
        <v>2926</v>
      </c>
      <c r="T553" s="65">
        <v>1</v>
      </c>
      <c r="U553" s="35" t="s">
        <v>2920</v>
      </c>
      <c r="V553" s="29" t="s">
        <v>2925</v>
      </c>
      <c r="W553" s="35">
        <v>1649.21</v>
      </c>
      <c r="X553" s="22">
        <f t="shared" si="123"/>
        <v>0.1</v>
      </c>
      <c r="Y553" s="35">
        <f t="shared" si="126"/>
        <v>1484.289</v>
      </c>
      <c r="Z553" s="27"/>
      <c r="AA553" s="23"/>
      <c r="AB553" s="23"/>
      <c r="AC553" s="28"/>
      <c r="AD553" s="63">
        <v>0</v>
      </c>
      <c r="AE553" s="91" t="s">
        <v>75</v>
      </c>
      <c r="AF553" s="55" t="s">
        <v>1106</v>
      </c>
      <c r="AG553" s="14" t="s">
        <v>2902</v>
      </c>
      <c r="AH553" s="14" t="s">
        <v>1275</v>
      </c>
    </row>
    <row r="554" spans="1:34" s="1" customFormat="1">
      <c r="A554" s="25" t="s">
        <v>2927</v>
      </c>
      <c r="B554" s="64" t="s">
        <v>2928</v>
      </c>
      <c r="C554" s="65">
        <v>1</v>
      </c>
      <c r="D554" s="35" t="s">
        <v>2920</v>
      </c>
      <c r="E554" s="29" t="s">
        <v>2927</v>
      </c>
      <c r="F554" s="35">
        <v>1903.17</v>
      </c>
      <c r="G554" s="22">
        <f t="shared" si="122"/>
        <v>0.1</v>
      </c>
      <c r="H554" s="35">
        <f t="shared" si="124"/>
        <v>1712.8530000000001</v>
      </c>
      <c r="I554" s="27"/>
      <c r="J554" s="23"/>
      <c r="K554" s="23"/>
      <c r="L554" s="23"/>
      <c r="M554" s="63">
        <v>0</v>
      </c>
      <c r="N554" s="91" t="s">
        <v>75</v>
      </c>
      <c r="O554" s="55" t="s">
        <v>1106</v>
      </c>
      <c r="P554" s="56" t="s">
        <v>504</v>
      </c>
      <c r="Q554" s="56" t="s">
        <v>1273</v>
      </c>
      <c r="R554" s="25" t="s">
        <v>2927</v>
      </c>
      <c r="S554" s="64" t="s">
        <v>2928</v>
      </c>
      <c r="T554" s="65">
        <v>1</v>
      </c>
      <c r="U554" s="35" t="s">
        <v>2920</v>
      </c>
      <c r="V554" s="29" t="s">
        <v>2927</v>
      </c>
      <c r="W554" s="35">
        <v>1903.17</v>
      </c>
      <c r="X554" s="22">
        <f t="shared" si="123"/>
        <v>0.1</v>
      </c>
      <c r="Y554" s="35">
        <f t="shared" si="126"/>
        <v>1712.8530000000001</v>
      </c>
      <c r="Z554" s="27"/>
      <c r="AA554" s="23"/>
      <c r="AB554" s="23"/>
      <c r="AC554" s="28"/>
      <c r="AD554" s="63">
        <v>0</v>
      </c>
      <c r="AE554" s="91" t="s">
        <v>75</v>
      </c>
      <c r="AF554" s="55" t="s">
        <v>1106</v>
      </c>
      <c r="AG554" s="14" t="s">
        <v>2906</v>
      </c>
      <c r="AH554" s="14" t="s">
        <v>1275</v>
      </c>
    </row>
    <row r="555" spans="1:34" s="1" customFormat="1">
      <c r="A555" s="25" t="s">
        <v>2929</v>
      </c>
      <c r="B555" s="64" t="s">
        <v>2930</v>
      </c>
      <c r="C555" s="65">
        <v>1</v>
      </c>
      <c r="D555" s="35" t="s">
        <v>2931</v>
      </c>
      <c r="E555" s="29" t="s">
        <v>2929</v>
      </c>
      <c r="F555" s="35">
        <v>933.25</v>
      </c>
      <c r="G555" s="22">
        <f t="shared" si="122"/>
        <v>0.1</v>
      </c>
      <c r="H555" s="35">
        <f t="shared" si="124"/>
        <v>839.92499999999995</v>
      </c>
      <c r="I555" s="27"/>
      <c r="J555" s="23"/>
      <c r="K555" s="23"/>
      <c r="L555" s="23"/>
      <c r="M555" s="63">
        <v>0</v>
      </c>
      <c r="N555" s="91" t="s">
        <v>75</v>
      </c>
      <c r="O555" s="55" t="s">
        <v>1106</v>
      </c>
      <c r="P555" s="56" t="s">
        <v>504</v>
      </c>
      <c r="Q555" s="56" t="s">
        <v>1273</v>
      </c>
      <c r="R555" s="25" t="s">
        <v>2929</v>
      </c>
      <c r="S555" s="64" t="s">
        <v>2930</v>
      </c>
      <c r="T555" s="65">
        <v>1</v>
      </c>
      <c r="U555" s="35" t="s">
        <v>2931</v>
      </c>
      <c r="V555" s="29" t="s">
        <v>2929</v>
      </c>
      <c r="W555" s="35">
        <v>933.25</v>
      </c>
      <c r="X555" s="22">
        <f t="shared" si="123"/>
        <v>0.1</v>
      </c>
      <c r="Y555" s="35">
        <f t="shared" si="126"/>
        <v>839.92499999999995</v>
      </c>
      <c r="Z555" s="27"/>
      <c r="AA555" s="23"/>
      <c r="AB555" s="23"/>
      <c r="AC555" s="28"/>
      <c r="AD555" s="63">
        <v>0</v>
      </c>
      <c r="AE555" s="91" t="s">
        <v>75</v>
      </c>
      <c r="AF555" s="55" t="s">
        <v>1106</v>
      </c>
      <c r="AG555" s="14" t="s">
        <v>2910</v>
      </c>
      <c r="AH555" s="14" t="s">
        <v>2911</v>
      </c>
    </row>
    <row r="556" spans="1:34" s="1" customFormat="1">
      <c r="A556" s="25" t="s">
        <v>2932</v>
      </c>
      <c r="B556" s="64" t="s">
        <v>2933</v>
      </c>
      <c r="C556" s="65">
        <v>1</v>
      </c>
      <c r="D556" s="35" t="s">
        <v>2931</v>
      </c>
      <c r="E556" s="29" t="s">
        <v>2932</v>
      </c>
      <c r="F556" s="35">
        <v>57.14</v>
      </c>
      <c r="G556" s="22">
        <f t="shared" si="122"/>
        <v>0.1</v>
      </c>
      <c r="H556" s="35">
        <f t="shared" si="124"/>
        <v>51.426000000000002</v>
      </c>
      <c r="I556" s="27"/>
      <c r="J556" s="23"/>
      <c r="K556" s="23"/>
      <c r="L556" s="23"/>
      <c r="M556" s="63">
        <v>0</v>
      </c>
      <c r="N556" s="91" t="s">
        <v>75</v>
      </c>
      <c r="O556" s="55" t="s">
        <v>1106</v>
      </c>
      <c r="P556" s="56" t="s">
        <v>504</v>
      </c>
      <c r="Q556" s="56" t="s">
        <v>1273</v>
      </c>
      <c r="R556" s="25" t="s">
        <v>2932</v>
      </c>
      <c r="S556" s="64" t="s">
        <v>2933</v>
      </c>
      <c r="T556" s="65">
        <v>1</v>
      </c>
      <c r="U556" s="35" t="s">
        <v>2931</v>
      </c>
      <c r="V556" s="29" t="s">
        <v>2932</v>
      </c>
      <c r="W556" s="35">
        <v>57.14</v>
      </c>
      <c r="X556" s="22">
        <f t="shared" si="123"/>
        <v>0.1</v>
      </c>
      <c r="Y556" s="35">
        <f t="shared" si="126"/>
        <v>51.426000000000002</v>
      </c>
      <c r="Z556" s="27"/>
      <c r="AA556" s="23"/>
      <c r="AB556" s="23"/>
      <c r="AC556" s="28"/>
      <c r="AD556" s="63">
        <v>0</v>
      </c>
      <c r="AE556" s="91" t="s">
        <v>75</v>
      </c>
      <c r="AF556" s="55" t="s">
        <v>1106</v>
      </c>
      <c r="AG556" s="14" t="s">
        <v>2914</v>
      </c>
      <c r="AH556" s="14" t="s">
        <v>2915</v>
      </c>
    </row>
    <row r="557" spans="1:34" s="1" customFormat="1">
      <c r="A557" s="25" t="s">
        <v>2934</v>
      </c>
      <c r="B557" s="64" t="s">
        <v>2935</v>
      </c>
      <c r="C557" s="65">
        <v>1</v>
      </c>
      <c r="D557" s="35" t="s">
        <v>2931</v>
      </c>
      <c r="E557" s="29" t="s">
        <v>2934</v>
      </c>
      <c r="F557" s="35">
        <v>46.19</v>
      </c>
      <c r="G557" s="22">
        <f t="shared" si="122"/>
        <v>0.1</v>
      </c>
      <c r="H557" s="35">
        <f t="shared" si="124"/>
        <v>41.570999999999998</v>
      </c>
      <c r="I557" s="27"/>
      <c r="J557" s="23"/>
      <c r="K557" s="23"/>
      <c r="L557" s="23"/>
      <c r="M557" s="63">
        <v>0</v>
      </c>
      <c r="N557" s="91" t="s">
        <v>75</v>
      </c>
      <c r="O557" s="55" t="s">
        <v>1106</v>
      </c>
      <c r="P557" s="56" t="s">
        <v>504</v>
      </c>
      <c r="Q557" s="56" t="s">
        <v>1273</v>
      </c>
      <c r="R557" s="25" t="s">
        <v>2934</v>
      </c>
      <c r="S557" s="64" t="s">
        <v>2935</v>
      </c>
      <c r="T557" s="65">
        <v>1</v>
      </c>
      <c r="U557" s="35" t="s">
        <v>2931</v>
      </c>
      <c r="V557" s="29" t="s">
        <v>2934</v>
      </c>
      <c r="W557" s="35">
        <v>46.19</v>
      </c>
      <c r="X557" s="22">
        <f t="shared" si="123"/>
        <v>0.1</v>
      </c>
      <c r="Y557" s="35">
        <f t="shared" si="126"/>
        <v>41.570999999999998</v>
      </c>
      <c r="Z557" s="27"/>
      <c r="AA557" s="23"/>
      <c r="AB557" s="23"/>
      <c r="AC557" s="28"/>
      <c r="AD557" s="63">
        <v>0</v>
      </c>
      <c r="AE557" s="91" t="s">
        <v>75</v>
      </c>
      <c r="AF557" s="55" t="s">
        <v>1106</v>
      </c>
      <c r="AG557" s="14" t="s">
        <v>2936</v>
      </c>
      <c r="AH557" s="14" t="s">
        <v>2937</v>
      </c>
    </row>
    <row r="558" spans="1:34" s="1" customFormat="1">
      <c r="A558" s="25" t="s">
        <v>2938</v>
      </c>
      <c r="B558" s="64" t="s">
        <v>2939</v>
      </c>
      <c r="C558" s="65">
        <v>1</v>
      </c>
      <c r="D558" s="35" t="s">
        <v>2931</v>
      </c>
      <c r="E558" s="29" t="s">
        <v>2938</v>
      </c>
      <c r="F558" s="35">
        <v>30.16</v>
      </c>
      <c r="G558" s="22">
        <f t="shared" si="122"/>
        <v>0.1</v>
      </c>
      <c r="H558" s="35">
        <f t="shared" si="124"/>
        <v>27.143999999999998</v>
      </c>
      <c r="I558" s="27"/>
      <c r="J558" s="23"/>
      <c r="K558" s="23"/>
      <c r="L558" s="23"/>
      <c r="M558" s="63">
        <v>0</v>
      </c>
      <c r="N558" s="91" t="s">
        <v>75</v>
      </c>
      <c r="O558" s="55" t="s">
        <v>1106</v>
      </c>
      <c r="P558" s="56" t="s">
        <v>504</v>
      </c>
      <c r="Q558" s="56" t="s">
        <v>1273</v>
      </c>
      <c r="R558" s="25" t="s">
        <v>2938</v>
      </c>
      <c r="S558" s="64" t="s">
        <v>2939</v>
      </c>
      <c r="T558" s="65">
        <v>1</v>
      </c>
      <c r="U558" s="35" t="s">
        <v>2931</v>
      </c>
      <c r="V558" s="29" t="s">
        <v>2938</v>
      </c>
      <c r="W558" s="35">
        <v>30.16</v>
      </c>
      <c r="X558" s="22">
        <f t="shared" si="123"/>
        <v>0.1</v>
      </c>
      <c r="Y558" s="35">
        <f t="shared" si="126"/>
        <v>27.143999999999998</v>
      </c>
      <c r="Z558" s="27"/>
      <c r="AA558" s="23"/>
      <c r="AB558" s="23"/>
      <c r="AC558" s="28"/>
      <c r="AD558" s="63">
        <v>0</v>
      </c>
      <c r="AE558" s="91" t="s">
        <v>75</v>
      </c>
      <c r="AF558" s="55" t="s">
        <v>1106</v>
      </c>
      <c r="AG558" s="14" t="s">
        <v>2940</v>
      </c>
      <c r="AH558" s="14" t="s">
        <v>2941</v>
      </c>
    </row>
    <row r="559" spans="1:34" s="1" customFormat="1">
      <c r="A559" s="25" t="s">
        <v>2942</v>
      </c>
      <c r="B559" s="64" t="s">
        <v>2943</v>
      </c>
      <c r="C559" s="65">
        <v>1</v>
      </c>
      <c r="D559" s="35" t="s">
        <v>2931</v>
      </c>
      <c r="E559" s="29" t="s">
        <v>2942</v>
      </c>
      <c r="F559" s="35">
        <v>626.19000000000005</v>
      </c>
      <c r="G559" s="22">
        <f t="shared" si="122"/>
        <v>0.1</v>
      </c>
      <c r="H559" s="35">
        <f t="shared" si="124"/>
        <v>563.57100000000003</v>
      </c>
      <c r="I559" s="27"/>
      <c r="J559" s="23"/>
      <c r="K559" s="23"/>
      <c r="L559" s="23"/>
      <c r="M559" s="63">
        <v>3.62</v>
      </c>
      <c r="N559" s="91" t="s">
        <v>75</v>
      </c>
      <c r="O559" s="55" t="s">
        <v>1106</v>
      </c>
      <c r="P559" s="56" t="s">
        <v>504</v>
      </c>
      <c r="Q559" s="56" t="s">
        <v>1273</v>
      </c>
      <c r="R559" s="25" t="s">
        <v>2942</v>
      </c>
      <c r="S559" s="64" t="s">
        <v>2943</v>
      </c>
      <c r="T559" s="65">
        <v>1</v>
      </c>
      <c r="U559" s="35" t="s">
        <v>2931</v>
      </c>
      <c r="V559" s="29" t="s">
        <v>2942</v>
      </c>
      <c r="W559" s="35">
        <v>626.19000000000005</v>
      </c>
      <c r="X559" s="22">
        <f t="shared" si="123"/>
        <v>0.1</v>
      </c>
      <c r="Y559" s="35">
        <f t="shared" si="126"/>
        <v>563.57100000000003</v>
      </c>
      <c r="Z559" s="27"/>
      <c r="AA559" s="23"/>
      <c r="AB559" s="23"/>
      <c r="AC559" s="28"/>
      <c r="AD559" s="63">
        <v>3.62</v>
      </c>
      <c r="AE559" s="91" t="s">
        <v>75</v>
      </c>
      <c r="AF559" s="55" t="s">
        <v>1106</v>
      </c>
      <c r="AG559" s="14" t="s">
        <v>2944</v>
      </c>
      <c r="AH559" s="14" t="s">
        <v>2945</v>
      </c>
    </row>
    <row r="560" spans="1:34" s="1" customFormat="1">
      <c r="A560" s="25" t="s">
        <v>2946</v>
      </c>
      <c r="B560" s="64" t="s">
        <v>2947</v>
      </c>
      <c r="C560" s="65">
        <v>1</v>
      </c>
      <c r="D560" s="35" t="s">
        <v>2931</v>
      </c>
      <c r="E560" s="29" t="s">
        <v>2946</v>
      </c>
      <c r="F560" s="35">
        <v>72.22</v>
      </c>
      <c r="G560" s="22">
        <f t="shared" si="122"/>
        <v>0.1</v>
      </c>
      <c r="H560" s="35">
        <f t="shared" si="124"/>
        <v>64.998000000000005</v>
      </c>
      <c r="I560" s="27"/>
      <c r="J560" s="23"/>
      <c r="K560" s="23"/>
      <c r="L560" s="23"/>
      <c r="M560" s="63">
        <v>0</v>
      </c>
      <c r="N560" s="91" t="s">
        <v>75</v>
      </c>
      <c r="O560" s="55" t="s">
        <v>1106</v>
      </c>
      <c r="P560" s="56" t="s">
        <v>504</v>
      </c>
      <c r="Q560" s="56" t="s">
        <v>1273</v>
      </c>
      <c r="R560" s="25" t="s">
        <v>2946</v>
      </c>
      <c r="S560" s="64" t="s">
        <v>2947</v>
      </c>
      <c r="T560" s="65">
        <v>1</v>
      </c>
      <c r="U560" s="35" t="s">
        <v>2931</v>
      </c>
      <c r="V560" s="29" t="s">
        <v>2946</v>
      </c>
      <c r="W560" s="35">
        <v>72.22</v>
      </c>
      <c r="X560" s="22">
        <f t="shared" si="123"/>
        <v>0.1</v>
      </c>
      <c r="Y560" s="35">
        <f t="shared" si="126"/>
        <v>64.998000000000005</v>
      </c>
      <c r="Z560" s="27"/>
      <c r="AA560" s="23"/>
      <c r="AB560" s="23"/>
      <c r="AC560" s="28"/>
      <c r="AD560" s="63">
        <v>0</v>
      </c>
      <c r="AE560" s="91" t="s">
        <v>75</v>
      </c>
      <c r="AF560" s="55" t="s">
        <v>1106</v>
      </c>
      <c r="AG560" s="14" t="s">
        <v>2948</v>
      </c>
      <c r="AH560" s="14" t="s">
        <v>2949</v>
      </c>
    </row>
    <row r="561" spans="1:34" s="1" customFormat="1">
      <c r="A561" s="25" t="s">
        <v>2950</v>
      </c>
      <c r="B561" s="64" t="s">
        <v>2951</v>
      </c>
      <c r="C561" s="65">
        <v>1</v>
      </c>
      <c r="D561" s="35" t="s">
        <v>2931</v>
      </c>
      <c r="E561" s="29" t="s">
        <v>2950</v>
      </c>
      <c r="F561" s="35">
        <v>3.17</v>
      </c>
      <c r="G561" s="22">
        <f t="shared" si="122"/>
        <v>0.1</v>
      </c>
      <c r="H561" s="35">
        <f t="shared" si="124"/>
        <v>2.8529999999999998</v>
      </c>
      <c r="I561" s="27"/>
      <c r="J561" s="23"/>
      <c r="K561" s="23"/>
      <c r="L561" s="23"/>
      <c r="M561" s="63">
        <v>0</v>
      </c>
      <c r="N561" s="91" t="s">
        <v>75</v>
      </c>
      <c r="O561" s="55" t="s">
        <v>1106</v>
      </c>
      <c r="P561" s="56" t="s">
        <v>504</v>
      </c>
      <c r="Q561" s="56" t="s">
        <v>1273</v>
      </c>
      <c r="R561" s="25" t="s">
        <v>2950</v>
      </c>
      <c r="S561" s="64" t="s">
        <v>2951</v>
      </c>
      <c r="T561" s="65">
        <v>1</v>
      </c>
      <c r="U561" s="35" t="s">
        <v>2931</v>
      </c>
      <c r="V561" s="29" t="s">
        <v>2950</v>
      </c>
      <c r="W561" s="35">
        <v>3.17</v>
      </c>
      <c r="X561" s="22">
        <f t="shared" si="123"/>
        <v>0.1</v>
      </c>
      <c r="Y561" s="35">
        <f t="shared" si="126"/>
        <v>2.8529999999999998</v>
      </c>
      <c r="Z561" s="27"/>
      <c r="AA561" s="23"/>
      <c r="AB561" s="23"/>
      <c r="AC561" s="28"/>
      <c r="AD561" s="63">
        <v>0</v>
      </c>
      <c r="AE561" s="91" t="s">
        <v>75</v>
      </c>
      <c r="AF561" s="55" t="s">
        <v>1106</v>
      </c>
      <c r="AG561" s="14" t="s">
        <v>2952</v>
      </c>
      <c r="AH561" s="14" t="s">
        <v>2953</v>
      </c>
    </row>
    <row r="562" spans="1:34" s="1" customFormat="1">
      <c r="A562" s="25" t="s">
        <v>2954</v>
      </c>
      <c r="B562" s="64" t="s">
        <v>2955</v>
      </c>
      <c r="C562" s="65">
        <v>1</v>
      </c>
      <c r="D562" s="35" t="s">
        <v>2931</v>
      </c>
      <c r="E562" s="29" t="s">
        <v>2954</v>
      </c>
      <c r="F562" s="35">
        <v>857.94</v>
      </c>
      <c r="G562" s="22">
        <f t="shared" si="122"/>
        <v>0.1</v>
      </c>
      <c r="H562" s="35">
        <f t="shared" si="124"/>
        <v>772.14600000000007</v>
      </c>
      <c r="I562" s="27"/>
      <c r="J562" s="23"/>
      <c r="K562" s="23"/>
      <c r="L562" s="23"/>
      <c r="M562" s="63">
        <v>0</v>
      </c>
      <c r="N562" s="91" t="s">
        <v>75</v>
      </c>
      <c r="O562" s="55" t="s">
        <v>1106</v>
      </c>
      <c r="P562" s="56" t="s">
        <v>504</v>
      </c>
      <c r="Q562" s="56" t="s">
        <v>1273</v>
      </c>
      <c r="R562" s="25" t="s">
        <v>2954</v>
      </c>
      <c r="S562" s="64" t="s">
        <v>2955</v>
      </c>
      <c r="T562" s="65">
        <v>1</v>
      </c>
      <c r="U562" s="35" t="s">
        <v>2931</v>
      </c>
      <c r="V562" s="29" t="s">
        <v>2954</v>
      </c>
      <c r="W562" s="35">
        <v>857.94</v>
      </c>
      <c r="X562" s="22">
        <f t="shared" si="123"/>
        <v>0.1</v>
      </c>
      <c r="Y562" s="35">
        <f t="shared" si="126"/>
        <v>772.14600000000007</v>
      </c>
      <c r="Z562" s="27"/>
      <c r="AA562" s="23"/>
      <c r="AB562" s="23"/>
      <c r="AC562" s="28"/>
      <c r="AD562" s="63">
        <v>0</v>
      </c>
      <c r="AE562" s="91" t="s">
        <v>75</v>
      </c>
      <c r="AF562" s="55" t="s">
        <v>1106</v>
      </c>
      <c r="AG562" s="14" t="s">
        <v>2956</v>
      </c>
      <c r="AH562" s="14" t="s">
        <v>2957</v>
      </c>
    </row>
    <row r="563" spans="1:34" s="1" customFormat="1">
      <c r="A563" s="25" t="s">
        <v>2958</v>
      </c>
      <c r="B563" s="64" t="s">
        <v>2959</v>
      </c>
      <c r="C563" s="65">
        <v>1</v>
      </c>
      <c r="D563" s="35" t="s">
        <v>2931</v>
      </c>
      <c r="E563" s="29" t="s">
        <v>2958</v>
      </c>
      <c r="F563" s="35">
        <v>36.11</v>
      </c>
      <c r="G563" s="22">
        <f t="shared" si="122"/>
        <v>0.1</v>
      </c>
      <c r="H563" s="35">
        <f t="shared" si="124"/>
        <v>32.499000000000002</v>
      </c>
      <c r="I563" s="27"/>
      <c r="J563" s="23"/>
      <c r="K563" s="23"/>
      <c r="L563" s="23"/>
      <c r="M563" s="63">
        <v>0</v>
      </c>
      <c r="N563" s="91" t="s">
        <v>75</v>
      </c>
      <c r="O563" s="55" t="s">
        <v>1106</v>
      </c>
      <c r="P563" s="56" t="s">
        <v>504</v>
      </c>
      <c r="Q563" s="56" t="s">
        <v>1273</v>
      </c>
      <c r="R563" s="25" t="s">
        <v>2958</v>
      </c>
      <c r="S563" s="64" t="s">
        <v>2959</v>
      </c>
      <c r="T563" s="65">
        <v>1</v>
      </c>
      <c r="U563" s="35" t="s">
        <v>2931</v>
      </c>
      <c r="V563" s="29" t="s">
        <v>2958</v>
      </c>
      <c r="W563" s="35">
        <v>36.11</v>
      </c>
      <c r="X563" s="22">
        <f t="shared" si="123"/>
        <v>0.1</v>
      </c>
      <c r="Y563" s="35">
        <f t="shared" si="126"/>
        <v>32.499000000000002</v>
      </c>
      <c r="Z563" s="27"/>
      <c r="AA563" s="23"/>
      <c r="AB563" s="23"/>
      <c r="AC563" s="28"/>
      <c r="AD563" s="63">
        <v>0</v>
      </c>
      <c r="AE563" s="91" t="s">
        <v>75</v>
      </c>
      <c r="AF563" s="55" t="s">
        <v>1106</v>
      </c>
      <c r="AG563" s="14" t="s">
        <v>2960</v>
      </c>
      <c r="AH563" s="14" t="s">
        <v>2961</v>
      </c>
    </row>
    <row r="564" spans="1:34" s="1" customFormat="1">
      <c r="A564" s="25" t="s">
        <v>2962</v>
      </c>
      <c r="B564" s="64" t="s">
        <v>2963</v>
      </c>
      <c r="C564" s="65">
        <v>1</v>
      </c>
      <c r="D564" s="35" t="s">
        <v>2931</v>
      </c>
      <c r="E564" s="29" t="s">
        <v>2962</v>
      </c>
      <c r="F564" s="35">
        <v>600</v>
      </c>
      <c r="G564" s="22">
        <f t="shared" si="122"/>
        <v>0.1</v>
      </c>
      <c r="H564" s="35">
        <f t="shared" si="124"/>
        <v>540</v>
      </c>
      <c r="I564" s="27"/>
      <c r="J564" s="23"/>
      <c r="K564" s="23"/>
      <c r="L564" s="23"/>
      <c r="M564" s="63">
        <v>0</v>
      </c>
      <c r="N564" s="91" t="s">
        <v>75</v>
      </c>
      <c r="O564" s="55" t="s">
        <v>1106</v>
      </c>
      <c r="P564" s="56" t="s">
        <v>504</v>
      </c>
      <c r="Q564" s="56" t="s">
        <v>1273</v>
      </c>
      <c r="R564" s="25" t="s">
        <v>2962</v>
      </c>
      <c r="S564" s="64" t="s">
        <v>2963</v>
      </c>
      <c r="T564" s="65">
        <v>1</v>
      </c>
      <c r="U564" s="35" t="s">
        <v>2931</v>
      </c>
      <c r="V564" s="29" t="s">
        <v>2962</v>
      </c>
      <c r="W564" s="35">
        <v>600</v>
      </c>
      <c r="X564" s="22">
        <f t="shared" si="123"/>
        <v>0.1</v>
      </c>
      <c r="Y564" s="35">
        <f t="shared" si="126"/>
        <v>540</v>
      </c>
      <c r="Z564" s="27"/>
      <c r="AA564" s="23"/>
      <c r="AB564" s="23"/>
      <c r="AC564" s="28"/>
      <c r="AD564" s="63">
        <v>0</v>
      </c>
      <c r="AE564" s="91" t="s">
        <v>75</v>
      </c>
      <c r="AF564" s="55" t="s">
        <v>1106</v>
      </c>
      <c r="AG564" s="14" t="s">
        <v>2964</v>
      </c>
      <c r="AH564" s="14" t="s">
        <v>2965</v>
      </c>
    </row>
    <row r="565" spans="1:34" s="1" customFormat="1">
      <c r="A565" s="25" t="s">
        <v>2966</v>
      </c>
      <c r="B565" s="64" t="s">
        <v>2967</v>
      </c>
      <c r="C565" s="65">
        <v>1</v>
      </c>
      <c r="D565" s="35" t="s">
        <v>2931</v>
      </c>
      <c r="E565" s="29" t="s">
        <v>2966</v>
      </c>
      <c r="F565" s="35">
        <v>1533.89</v>
      </c>
      <c r="G565" s="22">
        <f t="shared" si="122"/>
        <v>0.1</v>
      </c>
      <c r="H565" s="35">
        <f t="shared" si="124"/>
        <v>1380.5010000000002</v>
      </c>
      <c r="I565" s="27"/>
      <c r="J565" s="23"/>
      <c r="K565" s="23"/>
      <c r="L565" s="23"/>
      <c r="M565" s="63">
        <v>7.8</v>
      </c>
      <c r="N565" s="91" t="s">
        <v>75</v>
      </c>
      <c r="O565" s="55" t="s">
        <v>1106</v>
      </c>
      <c r="P565" s="56" t="s">
        <v>504</v>
      </c>
      <c r="Q565" s="56" t="s">
        <v>1273</v>
      </c>
      <c r="R565" s="25" t="s">
        <v>2966</v>
      </c>
      <c r="S565" s="64" t="s">
        <v>2967</v>
      </c>
      <c r="T565" s="65">
        <v>1</v>
      </c>
      <c r="U565" s="35" t="s">
        <v>2931</v>
      </c>
      <c r="V565" s="29" t="s">
        <v>2966</v>
      </c>
      <c r="W565" s="35">
        <v>1533.89</v>
      </c>
      <c r="X565" s="22">
        <f t="shared" si="123"/>
        <v>0.1</v>
      </c>
      <c r="Y565" s="35">
        <f t="shared" si="126"/>
        <v>1380.5010000000002</v>
      </c>
      <c r="Z565" s="27"/>
      <c r="AA565" s="23"/>
      <c r="AB565" s="23"/>
      <c r="AC565" s="28"/>
      <c r="AD565" s="63">
        <v>7.8</v>
      </c>
      <c r="AE565" s="91" t="s">
        <v>75</v>
      </c>
      <c r="AF565" s="55" t="s">
        <v>1106</v>
      </c>
      <c r="AG565" s="14" t="s">
        <v>2968</v>
      </c>
      <c r="AH565" s="14" t="s">
        <v>2969</v>
      </c>
    </row>
    <row r="566" spans="1:34" s="1" customFormat="1">
      <c r="A566" s="25" t="s">
        <v>2970</v>
      </c>
      <c r="B566" s="64" t="s">
        <v>2971</v>
      </c>
      <c r="C566" s="65">
        <v>1</v>
      </c>
      <c r="D566" s="35" t="s">
        <v>2931</v>
      </c>
      <c r="E566" s="29" t="s">
        <v>2970</v>
      </c>
      <c r="F566" s="35">
        <v>33.020000000000003</v>
      </c>
      <c r="G566" s="22">
        <f t="shared" si="122"/>
        <v>0.1</v>
      </c>
      <c r="H566" s="35">
        <f t="shared" si="124"/>
        <v>29.718000000000004</v>
      </c>
      <c r="I566" s="27"/>
      <c r="J566" s="23"/>
      <c r="K566" s="23"/>
      <c r="L566" s="23"/>
      <c r="M566" s="63">
        <v>0</v>
      </c>
      <c r="N566" s="91" t="s">
        <v>75</v>
      </c>
      <c r="O566" s="55" t="s">
        <v>1106</v>
      </c>
      <c r="P566" s="56" t="s">
        <v>504</v>
      </c>
      <c r="Q566" s="56" t="s">
        <v>1273</v>
      </c>
      <c r="R566" s="25" t="s">
        <v>2970</v>
      </c>
      <c r="S566" s="64" t="s">
        <v>2971</v>
      </c>
      <c r="T566" s="65">
        <v>1</v>
      </c>
      <c r="U566" s="35" t="s">
        <v>2931</v>
      </c>
      <c r="V566" s="29" t="s">
        <v>2970</v>
      </c>
      <c r="W566" s="35">
        <v>33.020000000000003</v>
      </c>
      <c r="X566" s="22">
        <f t="shared" si="123"/>
        <v>0.1</v>
      </c>
      <c r="Y566" s="35">
        <f t="shared" si="126"/>
        <v>29.718000000000004</v>
      </c>
      <c r="Z566" s="27"/>
      <c r="AA566" s="23"/>
      <c r="AB566" s="23"/>
      <c r="AC566" s="28"/>
      <c r="AD566" s="63">
        <v>0</v>
      </c>
      <c r="AE566" s="91" t="s">
        <v>75</v>
      </c>
      <c r="AF566" s="55" t="s">
        <v>1106</v>
      </c>
      <c r="AG566" s="14" t="s">
        <v>2972</v>
      </c>
      <c r="AH566" s="14" t="s">
        <v>2973</v>
      </c>
    </row>
    <row r="567" spans="1:34" s="1" customFormat="1" ht="24.95" customHeight="1">
      <c r="A567" s="599" t="s">
        <v>1942</v>
      </c>
      <c r="C567" s="65">
        <v>1</v>
      </c>
      <c r="D567" s="35"/>
      <c r="E567" s="27"/>
      <c r="F567" s="27"/>
      <c r="G567" s="40"/>
      <c r="H567" s="35"/>
      <c r="I567" s="27"/>
      <c r="J567" s="23"/>
      <c r="K567" s="23"/>
      <c r="L567" s="23"/>
      <c r="M567" s="63"/>
      <c r="N567" s="91"/>
      <c r="O567" s="55"/>
      <c r="P567" s="14"/>
      <c r="Q567" s="14"/>
      <c r="R567" s="161" t="s">
        <v>1942</v>
      </c>
      <c r="T567" s="65">
        <v>1</v>
      </c>
      <c r="U567" s="35"/>
      <c r="V567" s="27"/>
      <c r="W567" s="27"/>
      <c r="X567" s="40"/>
      <c r="Y567" s="35"/>
      <c r="Z567" s="27"/>
      <c r="AA567" s="23"/>
      <c r="AB567" s="23"/>
      <c r="AC567" s="28"/>
      <c r="AD567" s="63"/>
      <c r="AE567" s="91"/>
      <c r="AF567" s="55"/>
      <c r="AG567" s="14"/>
      <c r="AH567" s="14"/>
    </row>
    <row r="568" spans="1:34" s="1" customFormat="1">
      <c r="A568" s="25" t="s">
        <v>2974</v>
      </c>
      <c r="B568" s="64" t="s">
        <v>2975</v>
      </c>
      <c r="C568" s="65">
        <v>1</v>
      </c>
      <c r="D568" s="35" t="s">
        <v>2976</v>
      </c>
      <c r="E568" s="29" t="s">
        <v>2974</v>
      </c>
      <c r="F568" s="35">
        <v>47.39</v>
      </c>
      <c r="G568" s="40"/>
      <c r="H568" s="35">
        <f t="shared" ref="H568:H599" si="127">F568-(F568*G568)</f>
        <v>47.39</v>
      </c>
      <c r="I568" s="27"/>
      <c r="J568" s="23"/>
      <c r="K568" s="23"/>
      <c r="L568" s="23"/>
      <c r="M568" s="63">
        <v>0</v>
      </c>
      <c r="N568" s="91" t="s">
        <v>75</v>
      </c>
      <c r="O568" s="55" t="s">
        <v>1942</v>
      </c>
      <c r="P568" s="14" t="s">
        <v>2977</v>
      </c>
      <c r="Q568" s="14" t="s">
        <v>2978</v>
      </c>
      <c r="R568" s="25" t="s">
        <v>2974</v>
      </c>
      <c r="S568" s="64" t="s">
        <v>2975</v>
      </c>
      <c r="T568" s="65">
        <v>1</v>
      </c>
      <c r="U568" s="35" t="s">
        <v>2976</v>
      </c>
      <c r="V568" s="29" t="s">
        <v>2974</v>
      </c>
      <c r="W568" s="35">
        <v>47.39</v>
      </c>
      <c r="X568" s="40"/>
      <c r="Y568" s="35">
        <f t="shared" ref="Y568:Y623" si="128">W568-(W568*X568)</f>
        <v>47.39</v>
      </c>
      <c r="Z568" s="27"/>
      <c r="AA568" s="23"/>
      <c r="AB568" s="23"/>
      <c r="AC568" s="28"/>
      <c r="AD568" s="63">
        <v>0</v>
      </c>
      <c r="AE568" s="91" t="s">
        <v>75</v>
      </c>
      <c r="AF568" s="55" t="s">
        <v>1942</v>
      </c>
      <c r="AG568" s="14" t="s">
        <v>1274</v>
      </c>
      <c r="AH568" s="14" t="s">
        <v>1275</v>
      </c>
    </row>
    <row r="569" spans="1:34" s="1" customFormat="1">
      <c r="A569" s="25" t="s">
        <v>2979</v>
      </c>
      <c r="B569" s="64" t="s">
        <v>2980</v>
      </c>
      <c r="C569" s="65">
        <v>1</v>
      </c>
      <c r="D569" s="35" t="s">
        <v>2976</v>
      </c>
      <c r="E569" s="29" t="s">
        <v>2979</v>
      </c>
      <c r="F569" s="35">
        <v>85.31</v>
      </c>
      <c r="G569" s="40"/>
      <c r="H569" s="35">
        <f t="shared" si="127"/>
        <v>85.31</v>
      </c>
      <c r="I569" s="27"/>
      <c r="J569" s="23"/>
      <c r="K569" s="23"/>
      <c r="L569" s="23"/>
      <c r="M569" s="63">
        <v>0</v>
      </c>
      <c r="N569" s="91" t="s">
        <v>75</v>
      </c>
      <c r="O569" s="55" t="s">
        <v>1942</v>
      </c>
      <c r="P569" s="14" t="s">
        <v>2977</v>
      </c>
      <c r="Q569" s="14" t="s">
        <v>2978</v>
      </c>
      <c r="R569" s="25" t="s">
        <v>2979</v>
      </c>
      <c r="S569" s="64" t="s">
        <v>2980</v>
      </c>
      <c r="T569" s="65">
        <v>1</v>
      </c>
      <c r="U569" s="35" t="s">
        <v>2976</v>
      </c>
      <c r="V569" s="29" t="s">
        <v>2979</v>
      </c>
      <c r="W569" s="35">
        <v>85.31</v>
      </c>
      <c r="X569" s="40"/>
      <c r="Y569" s="35">
        <f t="shared" si="128"/>
        <v>85.31</v>
      </c>
      <c r="Z569" s="27"/>
      <c r="AA569" s="23"/>
      <c r="AB569" s="23"/>
      <c r="AC569" s="28"/>
      <c r="AD569" s="63">
        <v>0</v>
      </c>
      <c r="AE569" s="91" t="s">
        <v>75</v>
      </c>
      <c r="AF569" s="55" t="s">
        <v>1942</v>
      </c>
      <c r="AG569" s="14" t="s">
        <v>1274</v>
      </c>
      <c r="AH569" s="14" t="s">
        <v>1275</v>
      </c>
    </row>
    <row r="570" spans="1:34" s="1" customFormat="1">
      <c r="A570" s="25" t="s">
        <v>2981</v>
      </c>
      <c r="B570" s="64" t="s">
        <v>2982</v>
      </c>
      <c r="C570" s="65">
        <v>1</v>
      </c>
      <c r="D570" s="35" t="s">
        <v>2976</v>
      </c>
      <c r="E570" s="29" t="s">
        <v>2981</v>
      </c>
      <c r="F570" s="35">
        <v>113.74</v>
      </c>
      <c r="G570" s="40"/>
      <c r="H570" s="35">
        <f t="shared" si="127"/>
        <v>113.74</v>
      </c>
      <c r="I570" s="27"/>
      <c r="J570" s="23"/>
      <c r="K570" s="23"/>
      <c r="L570" s="23"/>
      <c r="M570" s="63">
        <v>0</v>
      </c>
      <c r="N570" s="91" t="s">
        <v>75</v>
      </c>
      <c r="O570" s="55" t="s">
        <v>1942</v>
      </c>
      <c r="P570" s="14" t="s">
        <v>2977</v>
      </c>
      <c r="Q570" s="14" t="s">
        <v>2978</v>
      </c>
      <c r="R570" s="25" t="s">
        <v>2981</v>
      </c>
      <c r="S570" s="64" t="s">
        <v>2982</v>
      </c>
      <c r="T570" s="65">
        <v>1</v>
      </c>
      <c r="U570" s="35" t="s">
        <v>2976</v>
      </c>
      <c r="V570" s="29" t="s">
        <v>2981</v>
      </c>
      <c r="W570" s="35">
        <v>113.74</v>
      </c>
      <c r="X570" s="40"/>
      <c r="Y570" s="35">
        <f t="shared" si="128"/>
        <v>113.74</v>
      </c>
      <c r="Z570" s="27"/>
      <c r="AA570" s="23"/>
      <c r="AB570" s="23"/>
      <c r="AC570" s="28"/>
      <c r="AD570" s="63">
        <v>0</v>
      </c>
      <c r="AE570" s="91" t="s">
        <v>75</v>
      </c>
      <c r="AF570" s="55" t="s">
        <v>1942</v>
      </c>
      <c r="AG570" s="14" t="s">
        <v>1274</v>
      </c>
      <c r="AH570" s="14" t="s">
        <v>1275</v>
      </c>
    </row>
    <row r="571" spans="1:34" s="1" customFormat="1">
      <c r="A571" s="25" t="s">
        <v>2983</v>
      </c>
      <c r="B571" s="64" t="s">
        <v>2984</v>
      </c>
      <c r="C571" s="65">
        <v>1</v>
      </c>
      <c r="D571" s="35" t="s">
        <v>2976</v>
      </c>
      <c r="E571" s="29" t="s">
        <v>2983</v>
      </c>
      <c r="F571" s="35">
        <v>66.66</v>
      </c>
      <c r="G571" s="40"/>
      <c r="H571" s="35">
        <f t="shared" si="127"/>
        <v>66.66</v>
      </c>
      <c r="I571" s="27"/>
      <c r="J571" s="23"/>
      <c r="K571" s="23"/>
      <c r="L571" s="23"/>
      <c r="M571" s="63">
        <v>0</v>
      </c>
      <c r="N571" s="91" t="s">
        <v>75</v>
      </c>
      <c r="O571" s="55" t="s">
        <v>1942</v>
      </c>
      <c r="P571" s="14" t="s">
        <v>2977</v>
      </c>
      <c r="Q571" s="14" t="s">
        <v>2978</v>
      </c>
      <c r="R571" s="25" t="s">
        <v>2983</v>
      </c>
      <c r="S571" s="64" t="s">
        <v>2984</v>
      </c>
      <c r="T571" s="65">
        <v>1</v>
      </c>
      <c r="U571" s="35" t="s">
        <v>2976</v>
      </c>
      <c r="V571" s="29" t="s">
        <v>2983</v>
      </c>
      <c r="W571" s="35">
        <v>66.66</v>
      </c>
      <c r="X571" s="40"/>
      <c r="Y571" s="35">
        <f t="shared" si="128"/>
        <v>66.66</v>
      </c>
      <c r="Z571" s="27"/>
      <c r="AA571" s="23"/>
      <c r="AB571" s="23"/>
      <c r="AC571" s="28"/>
      <c r="AD571" s="63">
        <v>0</v>
      </c>
      <c r="AE571" s="91" t="s">
        <v>75</v>
      </c>
      <c r="AF571" s="55" t="s">
        <v>1942</v>
      </c>
      <c r="AG571" s="14" t="s">
        <v>1274</v>
      </c>
      <c r="AH571" s="14" t="s">
        <v>1275</v>
      </c>
    </row>
    <row r="572" spans="1:34" s="1" customFormat="1">
      <c r="A572" s="25" t="s">
        <v>2985</v>
      </c>
      <c r="B572" s="64" t="s">
        <v>2986</v>
      </c>
      <c r="C572" s="65">
        <v>1</v>
      </c>
      <c r="D572" s="35" t="s">
        <v>2976</v>
      </c>
      <c r="E572" s="29" t="s">
        <v>2985</v>
      </c>
      <c r="F572" s="35">
        <v>47.39</v>
      </c>
      <c r="G572" s="40"/>
      <c r="H572" s="35">
        <f t="shared" si="127"/>
        <v>47.39</v>
      </c>
      <c r="I572" s="27"/>
      <c r="J572" s="23"/>
      <c r="K572" s="23"/>
      <c r="L572" s="23"/>
      <c r="M572" s="63">
        <v>0</v>
      </c>
      <c r="N572" s="91" t="s">
        <v>75</v>
      </c>
      <c r="O572" s="55" t="s">
        <v>1942</v>
      </c>
      <c r="P572" s="14" t="s">
        <v>2977</v>
      </c>
      <c r="Q572" s="14" t="s">
        <v>2978</v>
      </c>
      <c r="R572" s="25" t="s">
        <v>2985</v>
      </c>
      <c r="S572" s="64" t="s">
        <v>2986</v>
      </c>
      <c r="T572" s="65">
        <v>1</v>
      </c>
      <c r="U572" s="35" t="s">
        <v>2976</v>
      </c>
      <c r="V572" s="29" t="s">
        <v>2985</v>
      </c>
      <c r="W572" s="35">
        <v>47.39</v>
      </c>
      <c r="X572" s="40"/>
      <c r="Y572" s="35">
        <f t="shared" si="128"/>
        <v>47.39</v>
      </c>
      <c r="Z572" s="27"/>
      <c r="AA572" s="23"/>
      <c r="AB572" s="23"/>
      <c r="AC572" s="28"/>
      <c r="AD572" s="63">
        <v>0</v>
      </c>
      <c r="AE572" s="91" t="s">
        <v>75</v>
      </c>
      <c r="AF572" s="55" t="s">
        <v>1942</v>
      </c>
      <c r="AG572" s="14" t="s">
        <v>1274</v>
      </c>
      <c r="AH572" s="14" t="s">
        <v>1275</v>
      </c>
    </row>
    <row r="573" spans="1:34" s="1" customFormat="1">
      <c r="A573" s="25" t="s">
        <v>2987</v>
      </c>
      <c r="B573" s="64" t="s">
        <v>2988</v>
      </c>
      <c r="C573" s="65">
        <v>1</v>
      </c>
      <c r="D573" s="35" t="s">
        <v>2976</v>
      </c>
      <c r="E573" s="29" t="s">
        <v>2987</v>
      </c>
      <c r="F573" s="35">
        <v>85.31</v>
      </c>
      <c r="G573" s="40"/>
      <c r="H573" s="35">
        <f t="shared" si="127"/>
        <v>85.31</v>
      </c>
      <c r="I573" s="27"/>
      <c r="J573" s="23"/>
      <c r="K573" s="23"/>
      <c r="L573" s="23"/>
      <c r="M573" s="63">
        <v>0</v>
      </c>
      <c r="N573" s="91" t="s">
        <v>75</v>
      </c>
      <c r="O573" s="55" t="s">
        <v>1942</v>
      </c>
      <c r="P573" s="14" t="s">
        <v>2977</v>
      </c>
      <c r="Q573" s="14" t="s">
        <v>2978</v>
      </c>
      <c r="R573" s="25" t="s">
        <v>2987</v>
      </c>
      <c r="S573" s="64" t="s">
        <v>2988</v>
      </c>
      <c r="T573" s="65">
        <v>1</v>
      </c>
      <c r="U573" s="35" t="s">
        <v>2976</v>
      </c>
      <c r="V573" s="29" t="s">
        <v>2987</v>
      </c>
      <c r="W573" s="35">
        <v>85.31</v>
      </c>
      <c r="X573" s="40"/>
      <c r="Y573" s="35">
        <f t="shared" si="128"/>
        <v>85.31</v>
      </c>
      <c r="Z573" s="27"/>
      <c r="AA573" s="23"/>
      <c r="AB573" s="23"/>
      <c r="AC573" s="28"/>
      <c r="AD573" s="63">
        <v>0</v>
      </c>
      <c r="AE573" s="91" t="s">
        <v>75</v>
      </c>
      <c r="AF573" s="55" t="s">
        <v>1942</v>
      </c>
      <c r="AG573" s="14" t="s">
        <v>1274</v>
      </c>
      <c r="AH573" s="14" t="s">
        <v>1275</v>
      </c>
    </row>
    <row r="574" spans="1:34" s="1" customFormat="1">
      <c r="A574" s="25" t="s">
        <v>2989</v>
      </c>
      <c r="B574" s="64" t="s">
        <v>2990</v>
      </c>
      <c r="C574" s="65">
        <v>1</v>
      </c>
      <c r="D574" s="35" t="s">
        <v>2976</v>
      </c>
      <c r="E574" s="29" t="s">
        <v>2989</v>
      </c>
      <c r="F574" s="35">
        <v>113.74</v>
      </c>
      <c r="G574" s="40"/>
      <c r="H574" s="35">
        <f t="shared" si="127"/>
        <v>113.74</v>
      </c>
      <c r="I574" s="27"/>
      <c r="J574" s="23"/>
      <c r="K574" s="23"/>
      <c r="L574" s="23"/>
      <c r="M574" s="63">
        <v>0</v>
      </c>
      <c r="N574" s="91" t="s">
        <v>75</v>
      </c>
      <c r="O574" s="55" t="s">
        <v>1942</v>
      </c>
      <c r="P574" s="14" t="s">
        <v>2977</v>
      </c>
      <c r="Q574" s="14" t="s">
        <v>2978</v>
      </c>
      <c r="R574" s="25" t="s">
        <v>2989</v>
      </c>
      <c r="S574" s="64" t="s">
        <v>2990</v>
      </c>
      <c r="T574" s="65">
        <v>1</v>
      </c>
      <c r="U574" s="35" t="s">
        <v>2976</v>
      </c>
      <c r="V574" s="29" t="s">
        <v>2989</v>
      </c>
      <c r="W574" s="35">
        <v>113.74</v>
      </c>
      <c r="X574" s="40"/>
      <c r="Y574" s="35">
        <f t="shared" si="128"/>
        <v>113.74</v>
      </c>
      <c r="Z574" s="27"/>
      <c r="AA574" s="23"/>
      <c r="AB574" s="23"/>
      <c r="AC574" s="28"/>
      <c r="AD574" s="63">
        <v>0</v>
      </c>
      <c r="AE574" s="91" t="s">
        <v>75</v>
      </c>
      <c r="AF574" s="55" t="s">
        <v>1942</v>
      </c>
      <c r="AG574" s="14" t="s">
        <v>1274</v>
      </c>
      <c r="AH574" s="14" t="s">
        <v>1275</v>
      </c>
    </row>
    <row r="575" spans="1:34" s="1" customFormat="1">
      <c r="A575" s="25">
        <v>1912001502</v>
      </c>
      <c r="B575" s="64" t="s">
        <v>2991</v>
      </c>
      <c r="C575" s="65">
        <v>1</v>
      </c>
      <c r="D575" s="35" t="s">
        <v>2992</v>
      </c>
      <c r="E575" s="29">
        <v>1912001502</v>
      </c>
      <c r="F575" s="35">
        <v>2057</v>
      </c>
      <c r="G575" s="40"/>
      <c r="H575" s="35">
        <f t="shared" si="127"/>
        <v>2057</v>
      </c>
      <c r="I575" s="27"/>
      <c r="J575" s="23"/>
      <c r="K575" s="23"/>
      <c r="L575" s="23"/>
      <c r="M575" s="63"/>
      <c r="N575" s="91" t="s">
        <v>75</v>
      </c>
      <c r="O575" s="55" t="s">
        <v>1942</v>
      </c>
      <c r="P575" s="14" t="s">
        <v>2993</v>
      </c>
      <c r="Q575" s="14" t="s">
        <v>2978</v>
      </c>
      <c r="R575" s="25">
        <v>1912001502</v>
      </c>
      <c r="S575" s="64" t="s">
        <v>2991</v>
      </c>
      <c r="T575" s="65">
        <v>1</v>
      </c>
      <c r="U575" s="35" t="s">
        <v>2992</v>
      </c>
      <c r="V575" s="29">
        <v>1912001502</v>
      </c>
      <c r="W575" s="35">
        <v>2057</v>
      </c>
      <c r="X575" s="40"/>
      <c r="Y575" s="35">
        <f t="shared" si="128"/>
        <v>2057</v>
      </c>
      <c r="Z575" s="27"/>
      <c r="AA575" s="23"/>
      <c r="AB575" s="23"/>
      <c r="AC575" s="28"/>
      <c r="AD575" s="63"/>
      <c r="AE575" s="91" t="s">
        <v>75</v>
      </c>
      <c r="AF575" s="55" t="s">
        <v>1942</v>
      </c>
      <c r="AG575" s="14" t="s">
        <v>1274</v>
      </c>
      <c r="AH575" s="14" t="s">
        <v>1275</v>
      </c>
    </row>
    <row r="576" spans="1:34" s="1" customFormat="1">
      <c r="A576" s="25" t="s">
        <v>2994</v>
      </c>
      <c r="B576" s="64" t="s">
        <v>2995</v>
      </c>
      <c r="C576" s="65">
        <v>1</v>
      </c>
      <c r="D576" s="35" t="s">
        <v>82</v>
      </c>
      <c r="E576" s="29" t="s">
        <v>2994</v>
      </c>
      <c r="F576" s="35">
        <v>1250</v>
      </c>
      <c r="G576" s="40"/>
      <c r="H576" s="35">
        <f t="shared" si="127"/>
        <v>1250</v>
      </c>
      <c r="I576" s="27"/>
      <c r="J576" s="23"/>
      <c r="K576" s="23"/>
      <c r="L576" s="23"/>
      <c r="M576" s="63"/>
      <c r="N576" s="91" t="s">
        <v>75</v>
      </c>
      <c r="O576" s="55" t="s">
        <v>1942</v>
      </c>
      <c r="P576" s="14" t="s">
        <v>2993</v>
      </c>
      <c r="Q576" s="14" t="s">
        <v>2978</v>
      </c>
      <c r="R576" s="25" t="s">
        <v>2994</v>
      </c>
      <c r="S576" s="64" t="s">
        <v>2995</v>
      </c>
      <c r="T576" s="65">
        <v>1</v>
      </c>
      <c r="U576" s="35" t="s">
        <v>82</v>
      </c>
      <c r="V576" s="29" t="s">
        <v>2994</v>
      </c>
      <c r="W576" s="35">
        <v>1250</v>
      </c>
      <c r="X576" s="40"/>
      <c r="Y576" s="35">
        <f t="shared" si="128"/>
        <v>1250</v>
      </c>
      <c r="Z576" s="27"/>
      <c r="AA576" s="23"/>
      <c r="AB576" s="23"/>
      <c r="AC576" s="23"/>
      <c r="AD576" s="63"/>
      <c r="AE576" s="91" t="s">
        <v>75</v>
      </c>
      <c r="AF576" s="55" t="s">
        <v>1942</v>
      </c>
      <c r="AG576" s="14" t="s">
        <v>1274</v>
      </c>
      <c r="AH576" s="14" t="s">
        <v>1275</v>
      </c>
    </row>
    <row r="577" spans="1:34" s="1" customFormat="1">
      <c r="A577" s="25">
        <v>1912001200</v>
      </c>
      <c r="B577" s="64" t="s">
        <v>2996</v>
      </c>
      <c r="C577" s="65">
        <v>1</v>
      </c>
      <c r="D577" s="35" t="s">
        <v>2992</v>
      </c>
      <c r="E577" s="29">
        <v>1912001200</v>
      </c>
      <c r="F577" s="35">
        <v>1234.2</v>
      </c>
      <c r="G577" s="40"/>
      <c r="H577" s="35">
        <f t="shared" si="127"/>
        <v>1234.2</v>
      </c>
      <c r="I577" s="27"/>
      <c r="J577" s="23"/>
      <c r="K577" s="23"/>
      <c r="L577" s="23"/>
      <c r="M577" s="63"/>
      <c r="N577" s="91" t="s">
        <v>75</v>
      </c>
      <c r="O577" s="55" t="s">
        <v>1942</v>
      </c>
      <c r="P577" s="14" t="s">
        <v>2993</v>
      </c>
      <c r="Q577" s="14" t="s">
        <v>2978</v>
      </c>
      <c r="R577" s="25">
        <v>1912001200</v>
      </c>
      <c r="S577" s="64" t="s">
        <v>2996</v>
      </c>
      <c r="T577" s="65">
        <v>1</v>
      </c>
      <c r="U577" s="35" t="s">
        <v>2992</v>
      </c>
      <c r="V577" s="29">
        <v>1912001200</v>
      </c>
      <c r="W577" s="35">
        <v>1234.2</v>
      </c>
      <c r="X577" s="40"/>
      <c r="Y577" s="35">
        <f t="shared" si="128"/>
        <v>1234.2</v>
      </c>
      <c r="Z577" s="27"/>
      <c r="AA577" s="23"/>
      <c r="AB577" s="23"/>
      <c r="AC577" s="23"/>
      <c r="AD577" s="63"/>
      <c r="AE577" s="91" t="s">
        <v>75</v>
      </c>
      <c r="AF577" s="55" t="s">
        <v>1942</v>
      </c>
      <c r="AG577" s="14" t="s">
        <v>1274</v>
      </c>
      <c r="AH577" s="14" t="s">
        <v>1275</v>
      </c>
    </row>
    <row r="578" spans="1:34" s="1" customFormat="1">
      <c r="A578" s="25" t="s">
        <v>2997</v>
      </c>
      <c r="B578" s="64" t="s">
        <v>2998</v>
      </c>
      <c r="C578" s="65">
        <v>1</v>
      </c>
      <c r="D578" s="35" t="s">
        <v>82</v>
      </c>
      <c r="E578" s="29" t="s">
        <v>2997</v>
      </c>
      <c r="F578" s="35">
        <v>650</v>
      </c>
      <c r="G578" s="40"/>
      <c r="H578" s="35">
        <f t="shared" si="127"/>
        <v>650</v>
      </c>
      <c r="I578" s="27"/>
      <c r="J578" s="23"/>
      <c r="K578" s="23"/>
      <c r="L578" s="23"/>
      <c r="M578" s="63"/>
      <c r="N578" s="91" t="s">
        <v>75</v>
      </c>
      <c r="O578" s="55" t="s">
        <v>1942</v>
      </c>
      <c r="P578" s="14" t="s">
        <v>2993</v>
      </c>
      <c r="Q578" s="14" t="s">
        <v>2978</v>
      </c>
      <c r="R578" s="25" t="s">
        <v>2997</v>
      </c>
      <c r="S578" s="64" t="s">
        <v>2998</v>
      </c>
      <c r="T578" s="65">
        <v>1</v>
      </c>
      <c r="U578" s="35" t="s">
        <v>82</v>
      </c>
      <c r="V578" s="29" t="s">
        <v>2997</v>
      </c>
      <c r="W578" s="35">
        <v>650</v>
      </c>
      <c r="X578" s="40"/>
      <c r="Y578" s="35">
        <f t="shared" si="128"/>
        <v>650</v>
      </c>
      <c r="Z578" s="27"/>
      <c r="AA578" s="23"/>
      <c r="AB578" s="23"/>
      <c r="AC578" s="23"/>
      <c r="AD578" s="63"/>
      <c r="AE578" s="91" t="s">
        <v>75</v>
      </c>
      <c r="AF578" s="55" t="s">
        <v>1942</v>
      </c>
      <c r="AG578" s="14" t="s">
        <v>1274</v>
      </c>
      <c r="AH578" s="14" t="s">
        <v>1275</v>
      </c>
    </row>
    <row r="579" spans="1:34" s="1" customFormat="1">
      <c r="A579" s="25">
        <v>1912031200</v>
      </c>
      <c r="B579" s="64" t="s">
        <v>2999</v>
      </c>
      <c r="C579" s="65">
        <v>1</v>
      </c>
      <c r="D579" s="35" t="s">
        <v>2992</v>
      </c>
      <c r="E579" s="29">
        <v>1912031200</v>
      </c>
      <c r="F579" s="35">
        <v>4936.8</v>
      </c>
      <c r="G579" s="40"/>
      <c r="H579" s="35">
        <f t="shared" si="127"/>
        <v>4936.8</v>
      </c>
      <c r="I579" s="27"/>
      <c r="J579" s="23"/>
      <c r="K579" s="23"/>
      <c r="L579" s="23"/>
      <c r="M579" s="63"/>
      <c r="N579" s="91" t="s">
        <v>75</v>
      </c>
      <c r="O579" s="55" t="s">
        <v>1942</v>
      </c>
      <c r="P579" s="14" t="s">
        <v>2993</v>
      </c>
      <c r="Q579" s="14" t="s">
        <v>2978</v>
      </c>
      <c r="R579" s="25">
        <v>1912031200</v>
      </c>
      <c r="S579" s="64" t="s">
        <v>2999</v>
      </c>
      <c r="T579" s="65">
        <v>1</v>
      </c>
      <c r="U579" s="35" t="s">
        <v>2992</v>
      </c>
      <c r="V579" s="29">
        <v>1912031200</v>
      </c>
      <c r="W579" s="35">
        <v>4936.8</v>
      </c>
      <c r="X579" s="40"/>
      <c r="Y579" s="35">
        <f t="shared" si="128"/>
        <v>4936.8</v>
      </c>
      <c r="Z579" s="27"/>
      <c r="AA579" s="23"/>
      <c r="AB579" s="23"/>
      <c r="AC579" s="23"/>
      <c r="AD579" s="63"/>
      <c r="AE579" s="91" t="s">
        <v>75</v>
      </c>
      <c r="AF579" s="55" t="s">
        <v>1942</v>
      </c>
      <c r="AG579" s="14" t="s">
        <v>1274</v>
      </c>
      <c r="AH579" s="14" t="s">
        <v>1275</v>
      </c>
    </row>
    <row r="580" spans="1:34" s="1" customFormat="1">
      <c r="A580" s="25" t="s">
        <v>3000</v>
      </c>
      <c r="B580" s="64" t="s">
        <v>3001</v>
      </c>
      <c r="C580" s="65">
        <v>1</v>
      </c>
      <c r="D580" s="35" t="s">
        <v>2992</v>
      </c>
      <c r="E580" s="29" t="s">
        <v>3000</v>
      </c>
      <c r="F580" s="35">
        <v>2200</v>
      </c>
      <c r="G580" s="40"/>
      <c r="H580" s="35">
        <f t="shared" si="127"/>
        <v>2200</v>
      </c>
      <c r="I580" s="27"/>
      <c r="J580" s="23"/>
      <c r="K580" s="23"/>
      <c r="L580" s="23"/>
      <c r="M580" s="63"/>
      <c r="N580" s="91" t="s">
        <v>75</v>
      </c>
      <c r="O580" s="55" t="s">
        <v>1942</v>
      </c>
      <c r="P580" s="14" t="s">
        <v>2993</v>
      </c>
      <c r="Q580" s="14" t="s">
        <v>2978</v>
      </c>
      <c r="R580" s="25" t="s">
        <v>3000</v>
      </c>
      <c r="S580" s="64" t="s">
        <v>3001</v>
      </c>
      <c r="T580" s="65">
        <v>1</v>
      </c>
      <c r="U580" s="35" t="s">
        <v>2992</v>
      </c>
      <c r="V580" s="29" t="s">
        <v>3000</v>
      </c>
      <c r="W580" s="35">
        <v>2200</v>
      </c>
      <c r="X580" s="40"/>
      <c r="Y580" s="35">
        <f t="shared" si="128"/>
        <v>2200</v>
      </c>
      <c r="Z580" s="27"/>
      <c r="AA580" s="23"/>
      <c r="AB580" s="23"/>
      <c r="AC580" s="23"/>
      <c r="AD580" s="63"/>
      <c r="AE580" s="91" t="s">
        <v>75</v>
      </c>
      <c r="AF580" s="55" t="s">
        <v>1942</v>
      </c>
      <c r="AG580" s="14" t="s">
        <v>1274</v>
      </c>
      <c r="AH580" s="14" t="s">
        <v>1275</v>
      </c>
    </row>
    <row r="581" spans="1:34" s="1" customFormat="1">
      <c r="A581" s="25">
        <v>1912051200</v>
      </c>
      <c r="B581" s="64" t="s">
        <v>3002</v>
      </c>
      <c r="C581" s="65">
        <v>1</v>
      </c>
      <c r="D581" s="35" t="s">
        <v>2992</v>
      </c>
      <c r="E581" s="29">
        <v>1912051200</v>
      </c>
      <c r="F581" s="35">
        <v>6171</v>
      </c>
      <c r="G581" s="40"/>
      <c r="H581" s="35">
        <f t="shared" si="127"/>
        <v>6171</v>
      </c>
      <c r="I581" s="27"/>
      <c r="J581" s="23"/>
      <c r="K581" s="23"/>
      <c r="L581" s="23"/>
      <c r="M581" s="63"/>
      <c r="N581" s="91" t="s">
        <v>75</v>
      </c>
      <c r="O581" s="55" t="s">
        <v>1942</v>
      </c>
      <c r="P581" s="14" t="s">
        <v>2993</v>
      </c>
      <c r="Q581" s="14" t="s">
        <v>2978</v>
      </c>
      <c r="R581" s="25">
        <v>1912051200</v>
      </c>
      <c r="S581" s="64" t="s">
        <v>3002</v>
      </c>
      <c r="T581" s="65">
        <v>1</v>
      </c>
      <c r="U581" s="35" t="s">
        <v>2992</v>
      </c>
      <c r="V581" s="29">
        <v>1912051200</v>
      </c>
      <c r="W581" s="35">
        <v>6171</v>
      </c>
      <c r="X581" s="40"/>
      <c r="Y581" s="35">
        <f t="shared" si="128"/>
        <v>6171</v>
      </c>
      <c r="Z581" s="27"/>
      <c r="AA581" s="23"/>
      <c r="AB581" s="23"/>
      <c r="AC581" s="23"/>
      <c r="AD581" s="63"/>
      <c r="AE581" s="91" t="s">
        <v>75</v>
      </c>
      <c r="AF581" s="55" t="s">
        <v>1942</v>
      </c>
      <c r="AG581" s="14" t="s">
        <v>1274</v>
      </c>
      <c r="AH581" s="14" t="s">
        <v>1275</v>
      </c>
    </row>
    <row r="582" spans="1:34" s="1" customFormat="1">
      <c r="A582" s="25" t="s">
        <v>3003</v>
      </c>
      <c r="B582" s="64" t="s">
        <v>3004</v>
      </c>
      <c r="C582" s="65">
        <v>1</v>
      </c>
      <c r="D582" s="35" t="s">
        <v>82</v>
      </c>
      <c r="E582" s="29" t="s">
        <v>3003</v>
      </c>
      <c r="F582" s="35">
        <v>3200</v>
      </c>
      <c r="G582" s="40"/>
      <c r="H582" s="35">
        <f t="shared" si="127"/>
        <v>3200</v>
      </c>
      <c r="I582" s="27"/>
      <c r="J582" s="23"/>
      <c r="K582" s="23"/>
      <c r="L582" s="23"/>
      <c r="M582" s="63"/>
      <c r="N582" s="91" t="s">
        <v>75</v>
      </c>
      <c r="O582" s="55" t="s">
        <v>1942</v>
      </c>
      <c r="P582" s="14" t="s">
        <v>2993</v>
      </c>
      <c r="Q582" s="14" t="s">
        <v>2978</v>
      </c>
      <c r="R582" s="25" t="s">
        <v>3003</v>
      </c>
      <c r="S582" s="64" t="s">
        <v>3004</v>
      </c>
      <c r="T582" s="65">
        <v>1</v>
      </c>
      <c r="U582" s="35" t="s">
        <v>82</v>
      </c>
      <c r="V582" s="29" t="s">
        <v>3003</v>
      </c>
      <c r="W582" s="35">
        <v>3200</v>
      </c>
      <c r="X582" s="40"/>
      <c r="Y582" s="35">
        <f t="shared" si="128"/>
        <v>3200</v>
      </c>
      <c r="Z582" s="27"/>
      <c r="AA582" s="23"/>
      <c r="AB582" s="23"/>
      <c r="AC582" s="23"/>
      <c r="AD582" s="63"/>
      <c r="AE582" s="91" t="s">
        <v>75</v>
      </c>
      <c r="AF582" s="55" t="s">
        <v>1942</v>
      </c>
      <c r="AG582" s="14" t="s">
        <v>1274</v>
      </c>
      <c r="AH582" s="14" t="s">
        <v>1275</v>
      </c>
    </row>
    <row r="583" spans="1:34" s="1" customFormat="1">
      <c r="A583" s="25">
        <v>1912031201</v>
      </c>
      <c r="B583" s="64" t="s">
        <v>3005</v>
      </c>
      <c r="C583" s="65">
        <v>1</v>
      </c>
      <c r="D583" s="35" t="s">
        <v>2992</v>
      </c>
      <c r="E583" s="29">
        <v>1912031201</v>
      </c>
      <c r="F583" s="35">
        <v>2879.8</v>
      </c>
      <c r="G583" s="40"/>
      <c r="H583" s="35">
        <f t="shared" si="127"/>
        <v>2879.8</v>
      </c>
      <c r="I583" s="27"/>
      <c r="J583" s="23"/>
      <c r="K583" s="23"/>
      <c r="L583" s="23"/>
      <c r="M583" s="63"/>
      <c r="N583" s="91" t="s">
        <v>75</v>
      </c>
      <c r="O583" s="55" t="s">
        <v>1942</v>
      </c>
      <c r="P583" s="14" t="s">
        <v>2993</v>
      </c>
      <c r="Q583" s="14" t="s">
        <v>2978</v>
      </c>
      <c r="R583" s="25">
        <v>1912031201</v>
      </c>
      <c r="S583" s="64" t="s">
        <v>3005</v>
      </c>
      <c r="T583" s="65">
        <v>1</v>
      </c>
      <c r="U583" s="35" t="s">
        <v>2992</v>
      </c>
      <c r="V583" s="29">
        <v>1912031201</v>
      </c>
      <c r="W583" s="35">
        <v>2879.8</v>
      </c>
      <c r="X583" s="40"/>
      <c r="Y583" s="35">
        <f t="shared" si="128"/>
        <v>2879.8</v>
      </c>
      <c r="Z583" s="27"/>
      <c r="AA583" s="23"/>
      <c r="AB583" s="23"/>
      <c r="AC583" s="23"/>
      <c r="AD583" s="63"/>
      <c r="AE583" s="91" t="s">
        <v>75</v>
      </c>
      <c r="AF583" s="55" t="s">
        <v>1942</v>
      </c>
      <c r="AG583" s="14" t="s">
        <v>1274</v>
      </c>
      <c r="AH583" s="14" t="s">
        <v>1275</v>
      </c>
    </row>
    <row r="584" spans="1:34" s="1" customFormat="1">
      <c r="A584" s="25" t="s">
        <v>3006</v>
      </c>
      <c r="B584" s="64" t="s">
        <v>3007</v>
      </c>
      <c r="C584" s="65">
        <v>1</v>
      </c>
      <c r="D584" s="35" t="s">
        <v>82</v>
      </c>
      <c r="E584" s="29" t="s">
        <v>3006</v>
      </c>
      <c r="F584" s="35">
        <v>1250</v>
      </c>
      <c r="G584" s="40"/>
      <c r="H584" s="35">
        <f t="shared" si="127"/>
        <v>1250</v>
      </c>
      <c r="I584" s="27"/>
      <c r="J584" s="23"/>
      <c r="K584" s="23"/>
      <c r="L584" s="23"/>
      <c r="M584" s="63"/>
      <c r="N584" s="91" t="s">
        <v>75</v>
      </c>
      <c r="O584" s="55" t="s">
        <v>1942</v>
      </c>
      <c r="P584" s="14" t="s">
        <v>2993</v>
      </c>
      <c r="Q584" s="14" t="s">
        <v>2978</v>
      </c>
      <c r="R584" s="25" t="s">
        <v>3006</v>
      </c>
      <c r="S584" s="64" t="s">
        <v>3007</v>
      </c>
      <c r="T584" s="65">
        <v>1</v>
      </c>
      <c r="U584" s="35" t="s">
        <v>82</v>
      </c>
      <c r="V584" s="29" t="s">
        <v>3006</v>
      </c>
      <c r="W584" s="35">
        <v>1250</v>
      </c>
      <c r="X584" s="40"/>
      <c r="Y584" s="35">
        <f t="shared" si="128"/>
        <v>1250</v>
      </c>
      <c r="Z584" s="27"/>
      <c r="AA584" s="23"/>
      <c r="AB584" s="23"/>
      <c r="AC584" s="23"/>
      <c r="AD584" s="63"/>
      <c r="AE584" s="91" t="s">
        <v>75</v>
      </c>
      <c r="AF584" s="55" t="s">
        <v>1942</v>
      </c>
      <c r="AG584" s="14" t="s">
        <v>1274</v>
      </c>
      <c r="AH584" s="14" t="s">
        <v>1275</v>
      </c>
    </row>
    <row r="585" spans="1:34" s="1" customFormat="1">
      <c r="A585" s="25">
        <v>2001010100</v>
      </c>
      <c r="B585" s="64" t="s">
        <v>3008</v>
      </c>
      <c r="C585" s="65">
        <v>1</v>
      </c>
      <c r="D585" s="35" t="s">
        <v>2992</v>
      </c>
      <c r="E585" s="29">
        <v>2001010100</v>
      </c>
      <c r="F585" s="35">
        <v>17.7</v>
      </c>
      <c r="G585" s="22">
        <f t="shared" ref="G585:G608" si="129">rv_20</f>
        <v>0.2</v>
      </c>
      <c r="H585" s="35">
        <f t="shared" si="127"/>
        <v>14.16</v>
      </c>
      <c r="I585" s="27"/>
      <c r="J585" s="23"/>
      <c r="K585" s="23"/>
      <c r="L585" s="23"/>
      <c r="M585" s="63"/>
      <c r="N585" s="91" t="s">
        <v>75</v>
      </c>
      <c r="O585" s="55" t="s">
        <v>1942</v>
      </c>
      <c r="P585" s="14" t="s">
        <v>2993</v>
      </c>
      <c r="Q585" s="14" t="s">
        <v>2978</v>
      </c>
      <c r="R585" s="25">
        <v>2001010100</v>
      </c>
      <c r="S585" s="64" t="s">
        <v>3008</v>
      </c>
      <c r="T585" s="65">
        <v>1</v>
      </c>
      <c r="U585" s="35" t="s">
        <v>2992</v>
      </c>
      <c r="V585" s="29">
        <v>2001010100</v>
      </c>
      <c r="W585" s="35">
        <v>17.7</v>
      </c>
      <c r="X585" s="22">
        <f t="shared" ref="X585:X608" si="130">rv_20</f>
        <v>0.2</v>
      </c>
      <c r="Y585" s="35">
        <f t="shared" si="128"/>
        <v>14.16</v>
      </c>
      <c r="Z585" s="27"/>
      <c r="AA585" s="23"/>
      <c r="AB585" s="23"/>
      <c r="AC585" s="23"/>
      <c r="AD585" s="63"/>
      <c r="AE585" s="91" t="s">
        <v>75</v>
      </c>
      <c r="AF585" s="55" t="s">
        <v>1942</v>
      </c>
      <c r="AG585" s="14" t="s">
        <v>1274</v>
      </c>
      <c r="AH585" s="14" t="s">
        <v>1275</v>
      </c>
    </row>
    <row r="586" spans="1:34" s="1" customFormat="1">
      <c r="A586" s="25">
        <v>2001010106</v>
      </c>
      <c r="B586" s="64" t="s">
        <v>3009</v>
      </c>
      <c r="C586" s="65">
        <v>1</v>
      </c>
      <c r="D586" s="35" t="s">
        <v>2992</v>
      </c>
      <c r="E586" s="29">
        <v>2001010106</v>
      </c>
      <c r="F586" s="35">
        <v>11.8</v>
      </c>
      <c r="G586" s="22">
        <f t="shared" si="129"/>
        <v>0.2</v>
      </c>
      <c r="H586" s="35">
        <f t="shared" si="127"/>
        <v>9.4400000000000013</v>
      </c>
      <c r="I586" s="27"/>
      <c r="J586" s="23"/>
      <c r="K586" s="23"/>
      <c r="L586" s="23"/>
      <c r="M586" s="63"/>
      <c r="N586" s="91" t="s">
        <v>75</v>
      </c>
      <c r="O586" s="55" t="s">
        <v>1942</v>
      </c>
      <c r="P586" s="14" t="s">
        <v>2993</v>
      </c>
      <c r="Q586" s="14" t="s">
        <v>2978</v>
      </c>
      <c r="R586" s="25">
        <v>2001010106</v>
      </c>
      <c r="S586" s="64" t="s">
        <v>3009</v>
      </c>
      <c r="T586" s="65">
        <v>1</v>
      </c>
      <c r="U586" s="35" t="s">
        <v>2992</v>
      </c>
      <c r="V586" s="29">
        <v>2001010106</v>
      </c>
      <c r="W586" s="35">
        <v>11.8</v>
      </c>
      <c r="X586" s="22">
        <f t="shared" si="130"/>
        <v>0.2</v>
      </c>
      <c r="Y586" s="35">
        <f t="shared" si="128"/>
        <v>9.4400000000000013</v>
      </c>
      <c r="Z586" s="27"/>
      <c r="AA586" s="23"/>
      <c r="AB586" s="23"/>
      <c r="AC586" s="23"/>
      <c r="AD586" s="63"/>
      <c r="AE586" s="91" t="s">
        <v>75</v>
      </c>
      <c r="AF586" s="55" t="s">
        <v>1942</v>
      </c>
      <c r="AG586" s="14" t="s">
        <v>1274</v>
      </c>
      <c r="AH586" s="14" t="s">
        <v>1275</v>
      </c>
    </row>
    <row r="587" spans="1:34" s="1" customFormat="1">
      <c r="A587" s="25">
        <v>2001010200</v>
      </c>
      <c r="B587" s="64" t="s">
        <v>3010</v>
      </c>
      <c r="C587" s="65">
        <v>1</v>
      </c>
      <c r="D587" s="35" t="s">
        <v>2992</v>
      </c>
      <c r="E587" s="29">
        <v>2001010200</v>
      </c>
      <c r="F587" s="35">
        <v>8.85</v>
      </c>
      <c r="G587" s="22">
        <f t="shared" si="129"/>
        <v>0.2</v>
      </c>
      <c r="H587" s="35">
        <f t="shared" si="127"/>
        <v>7.08</v>
      </c>
      <c r="I587" s="27"/>
      <c r="J587" s="23"/>
      <c r="K587" s="23"/>
      <c r="L587" s="23"/>
      <c r="M587" s="63"/>
      <c r="N587" s="91" t="s">
        <v>75</v>
      </c>
      <c r="O587" s="55" t="s">
        <v>1942</v>
      </c>
      <c r="P587" s="14" t="s">
        <v>2993</v>
      </c>
      <c r="Q587" s="14" t="s">
        <v>2978</v>
      </c>
      <c r="R587" s="25">
        <v>2001010200</v>
      </c>
      <c r="S587" s="64" t="s">
        <v>3010</v>
      </c>
      <c r="T587" s="65">
        <v>1</v>
      </c>
      <c r="U587" s="35" t="s">
        <v>2992</v>
      </c>
      <c r="V587" s="29">
        <v>2001010200</v>
      </c>
      <c r="W587" s="35">
        <v>8.85</v>
      </c>
      <c r="X587" s="22">
        <f t="shared" si="130"/>
        <v>0.2</v>
      </c>
      <c r="Y587" s="35">
        <f t="shared" si="128"/>
        <v>7.08</v>
      </c>
      <c r="Z587" s="27"/>
      <c r="AA587" s="23"/>
      <c r="AB587" s="23"/>
      <c r="AC587" s="23"/>
      <c r="AD587" s="63"/>
      <c r="AE587" s="91" t="s">
        <v>75</v>
      </c>
      <c r="AF587" s="55" t="s">
        <v>1942</v>
      </c>
      <c r="AG587" s="14" t="s">
        <v>1274</v>
      </c>
      <c r="AH587" s="14" t="s">
        <v>1275</v>
      </c>
    </row>
    <row r="588" spans="1:34" s="1" customFormat="1">
      <c r="A588" s="25">
        <v>2001010206</v>
      </c>
      <c r="B588" s="64" t="s">
        <v>3011</v>
      </c>
      <c r="C588" s="65">
        <v>1</v>
      </c>
      <c r="D588" s="35" t="s">
        <v>2992</v>
      </c>
      <c r="E588" s="29">
        <v>2001010206</v>
      </c>
      <c r="F588" s="35">
        <v>5.9</v>
      </c>
      <c r="G588" s="22">
        <f t="shared" si="129"/>
        <v>0.2</v>
      </c>
      <c r="H588" s="35">
        <f t="shared" si="127"/>
        <v>4.7200000000000006</v>
      </c>
      <c r="I588" s="27"/>
      <c r="J588" s="23"/>
      <c r="K588" s="23"/>
      <c r="L588" s="23"/>
      <c r="M588" s="63"/>
      <c r="N588" s="91" t="s">
        <v>75</v>
      </c>
      <c r="O588" s="55" t="s">
        <v>1942</v>
      </c>
      <c r="P588" s="14" t="s">
        <v>2993</v>
      </c>
      <c r="Q588" s="14" t="s">
        <v>2978</v>
      </c>
      <c r="R588" s="25">
        <v>2001010206</v>
      </c>
      <c r="S588" s="64" t="s">
        <v>3011</v>
      </c>
      <c r="T588" s="65">
        <v>1</v>
      </c>
      <c r="U588" s="35" t="s">
        <v>2992</v>
      </c>
      <c r="V588" s="29">
        <v>2001010206</v>
      </c>
      <c r="W588" s="35">
        <v>5.9</v>
      </c>
      <c r="X588" s="22">
        <f t="shared" si="130"/>
        <v>0.2</v>
      </c>
      <c r="Y588" s="35">
        <f t="shared" si="128"/>
        <v>4.7200000000000006</v>
      </c>
      <c r="Z588" s="27"/>
      <c r="AA588" s="23"/>
      <c r="AB588" s="23"/>
      <c r="AC588" s="23"/>
      <c r="AD588" s="63"/>
      <c r="AE588" s="91" t="s">
        <v>75</v>
      </c>
      <c r="AF588" s="55" t="s">
        <v>1942</v>
      </c>
      <c r="AG588" s="14" t="s">
        <v>1274</v>
      </c>
      <c r="AH588" s="14" t="s">
        <v>1275</v>
      </c>
    </row>
    <row r="589" spans="1:34" s="1" customFormat="1">
      <c r="A589" s="25">
        <v>2001010300</v>
      </c>
      <c r="B589" s="64" t="s">
        <v>3012</v>
      </c>
      <c r="C589" s="65">
        <v>1</v>
      </c>
      <c r="D589" s="35" t="s">
        <v>2992</v>
      </c>
      <c r="E589" s="29">
        <v>2001010300</v>
      </c>
      <c r="F589" s="35">
        <v>8.85</v>
      </c>
      <c r="G589" s="22">
        <f t="shared" si="129"/>
        <v>0.2</v>
      </c>
      <c r="H589" s="35">
        <f t="shared" si="127"/>
        <v>7.08</v>
      </c>
      <c r="I589" s="27"/>
      <c r="J589" s="23"/>
      <c r="K589" s="23"/>
      <c r="L589" s="23"/>
      <c r="M589" s="63"/>
      <c r="N589" s="91" t="s">
        <v>75</v>
      </c>
      <c r="O589" s="55" t="s">
        <v>1942</v>
      </c>
      <c r="P589" s="14" t="s">
        <v>2993</v>
      </c>
      <c r="Q589" s="14" t="s">
        <v>2978</v>
      </c>
      <c r="R589" s="25">
        <v>2001010300</v>
      </c>
      <c r="S589" s="64" t="s">
        <v>3012</v>
      </c>
      <c r="T589" s="65">
        <v>1</v>
      </c>
      <c r="U589" s="35" t="s">
        <v>2992</v>
      </c>
      <c r="V589" s="29">
        <v>2001010300</v>
      </c>
      <c r="W589" s="35">
        <v>8.85</v>
      </c>
      <c r="X589" s="22">
        <f t="shared" si="130"/>
        <v>0.2</v>
      </c>
      <c r="Y589" s="35">
        <f t="shared" si="128"/>
        <v>7.08</v>
      </c>
      <c r="Z589" s="27"/>
      <c r="AA589" s="23"/>
      <c r="AB589" s="23"/>
      <c r="AC589" s="23"/>
      <c r="AD589" s="63"/>
      <c r="AE589" s="91" t="s">
        <v>75</v>
      </c>
      <c r="AF589" s="55" t="s">
        <v>1942</v>
      </c>
      <c r="AG589" s="14" t="s">
        <v>1274</v>
      </c>
      <c r="AH589" s="14" t="s">
        <v>1275</v>
      </c>
    </row>
    <row r="590" spans="1:34" s="1" customFormat="1">
      <c r="A590" s="25">
        <v>2001010306</v>
      </c>
      <c r="B590" s="64" t="s">
        <v>3013</v>
      </c>
      <c r="C590" s="65">
        <v>1</v>
      </c>
      <c r="D590" s="35" t="s">
        <v>2992</v>
      </c>
      <c r="E590" s="29">
        <v>2001010306</v>
      </c>
      <c r="F590" s="35">
        <v>5.9</v>
      </c>
      <c r="G590" s="22">
        <f t="shared" si="129"/>
        <v>0.2</v>
      </c>
      <c r="H590" s="35">
        <f t="shared" si="127"/>
        <v>4.7200000000000006</v>
      </c>
      <c r="I590" s="27"/>
      <c r="J590" s="23"/>
      <c r="K590" s="23"/>
      <c r="L590" s="23"/>
      <c r="M590" s="63"/>
      <c r="N590" s="91" t="s">
        <v>75</v>
      </c>
      <c r="O590" s="55" t="s">
        <v>1942</v>
      </c>
      <c r="P590" s="14" t="s">
        <v>2993</v>
      </c>
      <c r="Q590" s="14" t="s">
        <v>2978</v>
      </c>
      <c r="R590" s="25">
        <v>2001010306</v>
      </c>
      <c r="S590" s="64" t="s">
        <v>3013</v>
      </c>
      <c r="T590" s="65">
        <v>1</v>
      </c>
      <c r="U590" s="35" t="s">
        <v>2992</v>
      </c>
      <c r="V590" s="29">
        <v>2001010306</v>
      </c>
      <c r="W590" s="35">
        <v>5.9</v>
      </c>
      <c r="X590" s="22">
        <f t="shared" si="130"/>
        <v>0.2</v>
      </c>
      <c r="Y590" s="35">
        <f t="shared" si="128"/>
        <v>4.7200000000000006</v>
      </c>
      <c r="Z590" s="27"/>
      <c r="AA590" s="23"/>
      <c r="AB590" s="23"/>
      <c r="AC590" s="23"/>
      <c r="AD590" s="63"/>
      <c r="AE590" s="91" t="s">
        <v>75</v>
      </c>
      <c r="AF590" s="55" t="s">
        <v>1942</v>
      </c>
      <c r="AG590" s="14" t="s">
        <v>1274</v>
      </c>
      <c r="AH590" s="14" t="s">
        <v>1275</v>
      </c>
    </row>
    <row r="591" spans="1:34" s="1" customFormat="1">
      <c r="A591" s="25">
        <v>2001020100</v>
      </c>
      <c r="B591" s="64" t="s">
        <v>3014</v>
      </c>
      <c r="C591" s="65">
        <v>1</v>
      </c>
      <c r="D591" s="35" t="s">
        <v>2992</v>
      </c>
      <c r="E591" s="29">
        <v>2001020100</v>
      </c>
      <c r="F591" s="35">
        <v>17.7</v>
      </c>
      <c r="G591" s="22">
        <f t="shared" si="129"/>
        <v>0.2</v>
      </c>
      <c r="H591" s="35">
        <f t="shared" si="127"/>
        <v>14.16</v>
      </c>
      <c r="I591" s="27"/>
      <c r="J591" s="23"/>
      <c r="K591" s="23"/>
      <c r="L591" s="23"/>
      <c r="M591" s="63"/>
      <c r="N591" s="91" t="s">
        <v>75</v>
      </c>
      <c r="O591" s="55" t="s">
        <v>1942</v>
      </c>
      <c r="P591" s="14" t="s">
        <v>2993</v>
      </c>
      <c r="Q591" s="14" t="s">
        <v>2978</v>
      </c>
      <c r="R591" s="25">
        <v>2001020100</v>
      </c>
      <c r="S591" s="64" t="s">
        <v>3014</v>
      </c>
      <c r="T591" s="65">
        <v>1</v>
      </c>
      <c r="U591" s="35" t="s">
        <v>2992</v>
      </c>
      <c r="V591" s="29">
        <v>2001020100</v>
      </c>
      <c r="W591" s="35">
        <v>17.7</v>
      </c>
      <c r="X591" s="22">
        <f t="shared" si="130"/>
        <v>0.2</v>
      </c>
      <c r="Y591" s="35">
        <f t="shared" si="128"/>
        <v>14.16</v>
      </c>
      <c r="Z591" s="27"/>
      <c r="AA591" s="23"/>
      <c r="AB591" s="23"/>
      <c r="AC591" s="23"/>
      <c r="AD591" s="63"/>
      <c r="AE591" s="91" t="s">
        <v>75</v>
      </c>
      <c r="AF591" s="55" t="s">
        <v>1942</v>
      </c>
      <c r="AG591" s="14" t="s">
        <v>1274</v>
      </c>
      <c r="AH591" s="14" t="s">
        <v>1275</v>
      </c>
    </row>
    <row r="592" spans="1:34" s="1" customFormat="1">
      <c r="A592" s="25">
        <v>2001020106</v>
      </c>
      <c r="B592" s="64" t="s">
        <v>3015</v>
      </c>
      <c r="C592" s="65">
        <v>1</v>
      </c>
      <c r="D592" s="35" t="s">
        <v>2992</v>
      </c>
      <c r="E592" s="29">
        <v>2001020106</v>
      </c>
      <c r="F592" s="35">
        <v>11.8</v>
      </c>
      <c r="G592" s="22">
        <f t="shared" si="129"/>
        <v>0.2</v>
      </c>
      <c r="H592" s="35">
        <f t="shared" si="127"/>
        <v>9.4400000000000013</v>
      </c>
      <c r="I592" s="27"/>
      <c r="J592" s="23"/>
      <c r="K592" s="23"/>
      <c r="L592" s="23"/>
      <c r="M592" s="63"/>
      <c r="N592" s="91" t="s">
        <v>75</v>
      </c>
      <c r="O592" s="55" t="s">
        <v>1942</v>
      </c>
      <c r="P592" s="14" t="s">
        <v>2993</v>
      </c>
      <c r="Q592" s="14" t="s">
        <v>2978</v>
      </c>
      <c r="R592" s="25">
        <v>2001020106</v>
      </c>
      <c r="S592" s="64" t="s">
        <v>3015</v>
      </c>
      <c r="T592" s="65">
        <v>1</v>
      </c>
      <c r="U592" s="35" t="s">
        <v>2992</v>
      </c>
      <c r="V592" s="29">
        <v>2001020106</v>
      </c>
      <c r="W592" s="35">
        <v>11.8</v>
      </c>
      <c r="X592" s="22">
        <f t="shared" si="130"/>
        <v>0.2</v>
      </c>
      <c r="Y592" s="35">
        <f t="shared" si="128"/>
        <v>9.4400000000000013</v>
      </c>
      <c r="Z592" s="27"/>
      <c r="AA592" s="23"/>
      <c r="AB592" s="23"/>
      <c r="AC592" s="23"/>
      <c r="AD592" s="63"/>
      <c r="AE592" s="91" t="s">
        <v>75</v>
      </c>
      <c r="AF592" s="55" t="s">
        <v>1942</v>
      </c>
      <c r="AG592" s="14" t="s">
        <v>1274</v>
      </c>
      <c r="AH592" s="14" t="s">
        <v>1275</v>
      </c>
    </row>
    <row r="593" spans="1:34" s="1" customFormat="1">
      <c r="A593" s="25">
        <v>2001020200</v>
      </c>
      <c r="B593" s="64" t="s">
        <v>3016</v>
      </c>
      <c r="C593" s="65">
        <v>1</v>
      </c>
      <c r="D593" s="35" t="s">
        <v>2992</v>
      </c>
      <c r="E593" s="29">
        <v>2001020200</v>
      </c>
      <c r="F593" s="35">
        <v>8.85</v>
      </c>
      <c r="G593" s="22">
        <f t="shared" si="129"/>
        <v>0.2</v>
      </c>
      <c r="H593" s="35">
        <f t="shared" si="127"/>
        <v>7.08</v>
      </c>
      <c r="I593" s="27"/>
      <c r="J593" s="23"/>
      <c r="K593" s="23"/>
      <c r="L593" s="23"/>
      <c r="M593" s="63"/>
      <c r="N593" s="91" t="s">
        <v>75</v>
      </c>
      <c r="O593" s="55" t="s">
        <v>1942</v>
      </c>
      <c r="P593" s="14" t="s">
        <v>2993</v>
      </c>
      <c r="Q593" s="14" t="s">
        <v>2978</v>
      </c>
      <c r="R593" s="25">
        <v>2001020200</v>
      </c>
      <c r="S593" s="64" t="s">
        <v>3016</v>
      </c>
      <c r="T593" s="65">
        <v>1</v>
      </c>
      <c r="U593" s="35" t="s">
        <v>2992</v>
      </c>
      <c r="V593" s="29">
        <v>2001020200</v>
      </c>
      <c r="W593" s="35">
        <v>8.85</v>
      </c>
      <c r="X593" s="22">
        <f t="shared" si="130"/>
        <v>0.2</v>
      </c>
      <c r="Y593" s="35">
        <f t="shared" si="128"/>
        <v>7.08</v>
      </c>
      <c r="Z593" s="27"/>
      <c r="AA593" s="23"/>
      <c r="AB593" s="23"/>
      <c r="AC593" s="23"/>
      <c r="AD593" s="63"/>
      <c r="AE593" s="91" t="s">
        <v>75</v>
      </c>
      <c r="AF593" s="55" t="s">
        <v>1942</v>
      </c>
      <c r="AG593" s="14" t="s">
        <v>1274</v>
      </c>
      <c r="AH593" s="14" t="s">
        <v>1275</v>
      </c>
    </row>
    <row r="594" spans="1:34" s="1" customFormat="1">
      <c r="A594" s="25">
        <v>2001020206</v>
      </c>
      <c r="B594" s="64" t="s">
        <v>3017</v>
      </c>
      <c r="C594" s="65">
        <v>1</v>
      </c>
      <c r="D594" s="35" t="s">
        <v>2992</v>
      </c>
      <c r="E594" s="29">
        <v>2001020206</v>
      </c>
      <c r="F594" s="35">
        <v>5.9</v>
      </c>
      <c r="G594" s="22">
        <f t="shared" si="129"/>
        <v>0.2</v>
      </c>
      <c r="H594" s="35">
        <f t="shared" si="127"/>
        <v>4.7200000000000006</v>
      </c>
      <c r="I594" s="27"/>
      <c r="J594" s="23"/>
      <c r="K594" s="23"/>
      <c r="L594" s="23"/>
      <c r="M594" s="63"/>
      <c r="N594" s="91" t="s">
        <v>75</v>
      </c>
      <c r="O594" s="55" t="s">
        <v>1942</v>
      </c>
      <c r="P594" s="14" t="s">
        <v>2993</v>
      </c>
      <c r="Q594" s="14" t="s">
        <v>2978</v>
      </c>
      <c r="R594" s="25">
        <v>2001020206</v>
      </c>
      <c r="S594" s="64" t="s">
        <v>3017</v>
      </c>
      <c r="T594" s="65">
        <v>1</v>
      </c>
      <c r="U594" s="35" t="s">
        <v>2992</v>
      </c>
      <c r="V594" s="29">
        <v>2001020206</v>
      </c>
      <c r="W594" s="35">
        <v>5.9</v>
      </c>
      <c r="X594" s="22">
        <f t="shared" si="130"/>
        <v>0.2</v>
      </c>
      <c r="Y594" s="35">
        <f t="shared" si="128"/>
        <v>4.7200000000000006</v>
      </c>
      <c r="Z594" s="27"/>
      <c r="AA594" s="23"/>
      <c r="AB594" s="23"/>
      <c r="AC594" s="23"/>
      <c r="AD594" s="63"/>
      <c r="AE594" s="91" t="s">
        <v>75</v>
      </c>
      <c r="AF594" s="55" t="s">
        <v>1942</v>
      </c>
      <c r="AG594" s="14" t="s">
        <v>1274</v>
      </c>
      <c r="AH594" s="14" t="s">
        <v>1275</v>
      </c>
    </row>
    <row r="595" spans="1:34" s="1" customFormat="1">
      <c r="A595" s="25">
        <v>2001020300</v>
      </c>
      <c r="B595" s="64" t="s">
        <v>3018</v>
      </c>
      <c r="C595" s="65">
        <v>1</v>
      </c>
      <c r="D595" s="35" t="s">
        <v>2992</v>
      </c>
      <c r="E595" s="29">
        <v>2001020300</v>
      </c>
      <c r="F595" s="35">
        <v>8.85</v>
      </c>
      <c r="G595" s="22">
        <f t="shared" si="129"/>
        <v>0.2</v>
      </c>
      <c r="H595" s="35">
        <f t="shared" si="127"/>
        <v>7.08</v>
      </c>
      <c r="I595" s="27"/>
      <c r="J595" s="23"/>
      <c r="K595" s="23"/>
      <c r="L595" s="23"/>
      <c r="M595" s="63"/>
      <c r="N595" s="91" t="s">
        <v>75</v>
      </c>
      <c r="O595" s="55" t="s">
        <v>1942</v>
      </c>
      <c r="P595" s="14" t="s">
        <v>2993</v>
      </c>
      <c r="Q595" s="14" t="s">
        <v>2978</v>
      </c>
      <c r="R595" s="25">
        <v>2001020300</v>
      </c>
      <c r="S595" s="64" t="s">
        <v>3018</v>
      </c>
      <c r="T595" s="65">
        <v>1</v>
      </c>
      <c r="U595" s="35" t="s">
        <v>2992</v>
      </c>
      <c r="V595" s="29">
        <v>2001020300</v>
      </c>
      <c r="W595" s="35">
        <v>8.85</v>
      </c>
      <c r="X595" s="22">
        <f t="shared" si="130"/>
        <v>0.2</v>
      </c>
      <c r="Y595" s="35">
        <f t="shared" si="128"/>
        <v>7.08</v>
      </c>
      <c r="Z595" s="27"/>
      <c r="AA595" s="23"/>
      <c r="AB595" s="23"/>
      <c r="AC595" s="23"/>
      <c r="AD595" s="63"/>
      <c r="AE595" s="91" t="s">
        <v>75</v>
      </c>
      <c r="AF595" s="55" t="s">
        <v>1942</v>
      </c>
      <c r="AG595" s="14" t="s">
        <v>1274</v>
      </c>
      <c r="AH595" s="14" t="s">
        <v>1275</v>
      </c>
    </row>
    <row r="596" spans="1:34" s="1" customFormat="1">
      <c r="A596" s="25">
        <v>2001020306</v>
      </c>
      <c r="B596" s="64" t="s">
        <v>3019</v>
      </c>
      <c r="C596" s="65">
        <v>1</v>
      </c>
      <c r="D596" s="35" t="s">
        <v>2992</v>
      </c>
      <c r="E596" s="29">
        <v>2001020306</v>
      </c>
      <c r="F596" s="35">
        <v>5.9</v>
      </c>
      <c r="G596" s="22">
        <f t="shared" si="129"/>
        <v>0.2</v>
      </c>
      <c r="H596" s="35">
        <f t="shared" si="127"/>
        <v>4.7200000000000006</v>
      </c>
      <c r="I596" s="27"/>
      <c r="J596" s="23"/>
      <c r="K596" s="23"/>
      <c r="L596" s="23"/>
      <c r="M596" s="63"/>
      <c r="N596" s="91" t="s">
        <v>75</v>
      </c>
      <c r="O596" s="55" t="s">
        <v>1942</v>
      </c>
      <c r="P596" s="14" t="s">
        <v>2993</v>
      </c>
      <c r="Q596" s="14" t="s">
        <v>2978</v>
      </c>
      <c r="R596" s="25">
        <v>2001020306</v>
      </c>
      <c r="S596" s="64" t="s">
        <v>3019</v>
      </c>
      <c r="T596" s="65">
        <v>1</v>
      </c>
      <c r="U596" s="35" t="s">
        <v>2992</v>
      </c>
      <c r="V596" s="29">
        <v>2001020306</v>
      </c>
      <c r="W596" s="35">
        <v>5.9</v>
      </c>
      <c r="X596" s="22">
        <f t="shared" si="130"/>
        <v>0.2</v>
      </c>
      <c r="Y596" s="35">
        <f t="shared" si="128"/>
        <v>4.7200000000000006</v>
      </c>
      <c r="Z596" s="27"/>
      <c r="AA596" s="23"/>
      <c r="AB596" s="23"/>
      <c r="AC596" s="23"/>
      <c r="AD596" s="63"/>
      <c r="AE596" s="91" t="s">
        <v>75</v>
      </c>
      <c r="AF596" s="55" t="s">
        <v>1942</v>
      </c>
      <c r="AG596" s="14" t="s">
        <v>1274</v>
      </c>
      <c r="AH596" s="14" t="s">
        <v>1275</v>
      </c>
    </row>
    <row r="597" spans="1:34" s="1" customFormat="1">
      <c r="A597" s="25">
        <v>2002010100</v>
      </c>
      <c r="B597" s="64" t="s">
        <v>3020</v>
      </c>
      <c r="C597" s="65">
        <v>1</v>
      </c>
      <c r="D597" s="35" t="s">
        <v>2992</v>
      </c>
      <c r="E597" s="29">
        <v>2002010100</v>
      </c>
      <c r="F597" s="35">
        <v>17.7</v>
      </c>
      <c r="G597" s="22">
        <f t="shared" si="129"/>
        <v>0.2</v>
      </c>
      <c r="H597" s="35">
        <f t="shared" si="127"/>
        <v>14.16</v>
      </c>
      <c r="I597" s="27"/>
      <c r="J597" s="23"/>
      <c r="K597" s="23"/>
      <c r="L597" s="23"/>
      <c r="M597" s="63"/>
      <c r="N597" s="91" t="s">
        <v>75</v>
      </c>
      <c r="O597" s="55" t="s">
        <v>1942</v>
      </c>
      <c r="P597" s="14" t="s">
        <v>2993</v>
      </c>
      <c r="Q597" s="14" t="s">
        <v>2978</v>
      </c>
      <c r="R597" s="25">
        <v>2002010100</v>
      </c>
      <c r="S597" s="64" t="s">
        <v>3020</v>
      </c>
      <c r="T597" s="65">
        <v>1</v>
      </c>
      <c r="U597" s="35" t="s">
        <v>2992</v>
      </c>
      <c r="V597" s="29">
        <v>2002010100</v>
      </c>
      <c r="W597" s="35">
        <v>17.7</v>
      </c>
      <c r="X597" s="22">
        <f t="shared" si="130"/>
        <v>0.2</v>
      </c>
      <c r="Y597" s="35">
        <f t="shared" si="128"/>
        <v>14.16</v>
      </c>
      <c r="Z597" s="27"/>
      <c r="AA597" s="23"/>
      <c r="AB597" s="23"/>
      <c r="AC597" s="23"/>
      <c r="AD597" s="63"/>
      <c r="AE597" s="91" t="s">
        <v>75</v>
      </c>
      <c r="AF597" s="55" t="s">
        <v>1942</v>
      </c>
      <c r="AG597" s="14" t="s">
        <v>1274</v>
      </c>
      <c r="AH597" s="14" t="s">
        <v>1275</v>
      </c>
    </row>
    <row r="598" spans="1:34" s="1" customFormat="1">
      <c r="A598" s="25">
        <v>2002010106</v>
      </c>
      <c r="B598" s="64" t="s">
        <v>3021</v>
      </c>
      <c r="C598" s="65">
        <v>1</v>
      </c>
      <c r="D598" s="35" t="s">
        <v>2992</v>
      </c>
      <c r="E598" s="29">
        <v>2002010106</v>
      </c>
      <c r="F598" s="35">
        <v>11.8</v>
      </c>
      <c r="G598" s="22">
        <f t="shared" si="129"/>
        <v>0.2</v>
      </c>
      <c r="H598" s="35">
        <f t="shared" si="127"/>
        <v>9.4400000000000013</v>
      </c>
      <c r="I598" s="27"/>
      <c r="J598" s="23"/>
      <c r="K598" s="23"/>
      <c r="L598" s="23"/>
      <c r="M598" s="63"/>
      <c r="N598" s="91" t="s">
        <v>75</v>
      </c>
      <c r="O598" s="55" t="s">
        <v>1942</v>
      </c>
      <c r="P598" s="14" t="s">
        <v>2993</v>
      </c>
      <c r="Q598" s="14" t="s">
        <v>2978</v>
      </c>
      <c r="R598" s="25">
        <v>2002010106</v>
      </c>
      <c r="S598" s="64" t="s">
        <v>3021</v>
      </c>
      <c r="T598" s="65">
        <v>1</v>
      </c>
      <c r="U598" s="35" t="s">
        <v>2992</v>
      </c>
      <c r="V598" s="29">
        <v>2002010106</v>
      </c>
      <c r="W598" s="35">
        <v>11.8</v>
      </c>
      <c r="X598" s="22">
        <f t="shared" si="130"/>
        <v>0.2</v>
      </c>
      <c r="Y598" s="35">
        <f t="shared" si="128"/>
        <v>9.4400000000000013</v>
      </c>
      <c r="Z598" s="27"/>
      <c r="AA598" s="23"/>
      <c r="AB598" s="23"/>
      <c r="AC598" s="23"/>
      <c r="AD598" s="63"/>
      <c r="AE598" s="91" t="s">
        <v>75</v>
      </c>
      <c r="AF598" s="55" t="s">
        <v>1942</v>
      </c>
      <c r="AG598" s="14" t="s">
        <v>1274</v>
      </c>
      <c r="AH598" s="14" t="s">
        <v>1275</v>
      </c>
    </row>
    <row r="599" spans="1:34" s="1" customFormat="1">
      <c r="A599" s="25">
        <v>2002010200</v>
      </c>
      <c r="B599" s="64" t="s">
        <v>3022</v>
      </c>
      <c r="C599" s="65">
        <v>1</v>
      </c>
      <c r="D599" s="35" t="s">
        <v>2992</v>
      </c>
      <c r="E599" s="29">
        <v>2002010200</v>
      </c>
      <c r="F599" s="35">
        <v>8.85</v>
      </c>
      <c r="G599" s="22">
        <f t="shared" si="129"/>
        <v>0.2</v>
      </c>
      <c r="H599" s="35">
        <f t="shared" si="127"/>
        <v>7.08</v>
      </c>
      <c r="I599" s="27"/>
      <c r="J599" s="23"/>
      <c r="K599" s="23"/>
      <c r="L599" s="23"/>
      <c r="M599" s="63"/>
      <c r="N599" s="91" t="s">
        <v>75</v>
      </c>
      <c r="O599" s="55" t="s">
        <v>1942</v>
      </c>
      <c r="P599" s="14" t="s">
        <v>2993</v>
      </c>
      <c r="Q599" s="14" t="s">
        <v>2978</v>
      </c>
      <c r="R599" s="25">
        <v>2002010200</v>
      </c>
      <c r="S599" s="64" t="s">
        <v>3022</v>
      </c>
      <c r="T599" s="65">
        <v>1</v>
      </c>
      <c r="U599" s="35" t="s">
        <v>2992</v>
      </c>
      <c r="V599" s="29">
        <v>2002010200</v>
      </c>
      <c r="W599" s="35">
        <v>8.85</v>
      </c>
      <c r="X599" s="22">
        <f t="shared" si="130"/>
        <v>0.2</v>
      </c>
      <c r="Y599" s="35">
        <f t="shared" si="128"/>
        <v>7.08</v>
      </c>
      <c r="Z599" s="27"/>
      <c r="AA599" s="23"/>
      <c r="AB599" s="23"/>
      <c r="AC599" s="23"/>
      <c r="AD599" s="63"/>
      <c r="AE599" s="91" t="s">
        <v>75</v>
      </c>
      <c r="AF599" s="55" t="s">
        <v>1942</v>
      </c>
      <c r="AG599" s="14" t="s">
        <v>1274</v>
      </c>
      <c r="AH599" s="14" t="s">
        <v>1275</v>
      </c>
    </row>
    <row r="600" spans="1:34" s="1" customFormat="1">
      <c r="A600" s="25">
        <v>2002010206</v>
      </c>
      <c r="B600" s="64" t="s">
        <v>3023</v>
      </c>
      <c r="C600" s="65">
        <v>1</v>
      </c>
      <c r="D600" s="35" t="s">
        <v>2992</v>
      </c>
      <c r="E600" s="29">
        <v>2002010206</v>
      </c>
      <c r="F600" s="35">
        <v>5.9</v>
      </c>
      <c r="G600" s="22">
        <f t="shared" si="129"/>
        <v>0.2</v>
      </c>
      <c r="H600" s="35">
        <f t="shared" ref="H600:H623" si="131">F600-(F600*G600)</f>
        <v>4.7200000000000006</v>
      </c>
      <c r="I600" s="27"/>
      <c r="J600" s="23"/>
      <c r="K600" s="23"/>
      <c r="L600" s="23"/>
      <c r="M600" s="63"/>
      <c r="N600" s="91" t="s">
        <v>75</v>
      </c>
      <c r="O600" s="55" t="s">
        <v>1942</v>
      </c>
      <c r="P600" s="14" t="s">
        <v>2993</v>
      </c>
      <c r="Q600" s="14" t="s">
        <v>2978</v>
      </c>
      <c r="R600" s="25">
        <v>2002010206</v>
      </c>
      <c r="S600" s="64" t="s">
        <v>3023</v>
      </c>
      <c r="T600" s="65">
        <v>1</v>
      </c>
      <c r="U600" s="35" t="s">
        <v>2992</v>
      </c>
      <c r="V600" s="29">
        <v>2002010206</v>
      </c>
      <c r="W600" s="35">
        <v>5.9</v>
      </c>
      <c r="X600" s="22">
        <f t="shared" si="130"/>
        <v>0.2</v>
      </c>
      <c r="Y600" s="35">
        <f t="shared" si="128"/>
        <v>4.7200000000000006</v>
      </c>
      <c r="Z600" s="27"/>
      <c r="AA600" s="23"/>
      <c r="AB600" s="23"/>
      <c r="AC600" s="23"/>
      <c r="AD600" s="63"/>
      <c r="AE600" s="91" t="s">
        <v>75</v>
      </c>
      <c r="AF600" s="55" t="s">
        <v>1942</v>
      </c>
      <c r="AG600" s="14" t="s">
        <v>1274</v>
      </c>
      <c r="AH600" s="14" t="s">
        <v>1275</v>
      </c>
    </row>
    <row r="601" spans="1:34" s="1" customFormat="1">
      <c r="A601" s="25">
        <v>2002010300</v>
      </c>
      <c r="B601" s="64" t="s">
        <v>3024</v>
      </c>
      <c r="C601" s="65">
        <v>1</v>
      </c>
      <c r="D601" s="35" t="s">
        <v>2992</v>
      </c>
      <c r="E601" s="29">
        <v>2002010300</v>
      </c>
      <c r="F601" s="35">
        <v>8.85</v>
      </c>
      <c r="G601" s="22">
        <f t="shared" si="129"/>
        <v>0.2</v>
      </c>
      <c r="H601" s="35">
        <f t="shared" si="131"/>
        <v>7.08</v>
      </c>
      <c r="I601" s="27"/>
      <c r="J601" s="23"/>
      <c r="K601" s="23"/>
      <c r="L601" s="23"/>
      <c r="M601" s="63"/>
      <c r="N601" s="91" t="s">
        <v>75</v>
      </c>
      <c r="O601" s="55" t="s">
        <v>1942</v>
      </c>
      <c r="P601" s="14" t="s">
        <v>2993</v>
      </c>
      <c r="Q601" s="14" t="s">
        <v>2978</v>
      </c>
      <c r="R601" s="25">
        <v>2002010300</v>
      </c>
      <c r="S601" s="64" t="s">
        <v>3024</v>
      </c>
      <c r="T601" s="65">
        <v>1</v>
      </c>
      <c r="U601" s="35" t="s">
        <v>2992</v>
      </c>
      <c r="V601" s="29">
        <v>2002010300</v>
      </c>
      <c r="W601" s="35">
        <v>8.85</v>
      </c>
      <c r="X601" s="22">
        <f t="shared" si="130"/>
        <v>0.2</v>
      </c>
      <c r="Y601" s="35">
        <f t="shared" si="128"/>
        <v>7.08</v>
      </c>
      <c r="Z601" s="27"/>
      <c r="AA601" s="23"/>
      <c r="AB601" s="23"/>
      <c r="AC601" s="23"/>
      <c r="AD601" s="63"/>
      <c r="AE601" s="91" t="s">
        <v>75</v>
      </c>
      <c r="AF601" s="55" t="s">
        <v>1942</v>
      </c>
      <c r="AG601" s="14" t="s">
        <v>1274</v>
      </c>
      <c r="AH601" s="14" t="s">
        <v>1275</v>
      </c>
    </row>
    <row r="602" spans="1:34" s="1" customFormat="1">
      <c r="A602" s="25">
        <v>2002010306</v>
      </c>
      <c r="B602" s="64" t="s">
        <v>3025</v>
      </c>
      <c r="C602" s="65">
        <v>1</v>
      </c>
      <c r="D602" s="35" t="s">
        <v>2992</v>
      </c>
      <c r="E602" s="29">
        <v>2002010306</v>
      </c>
      <c r="F602" s="35">
        <v>5.9</v>
      </c>
      <c r="G602" s="22">
        <f t="shared" si="129"/>
        <v>0.2</v>
      </c>
      <c r="H602" s="35">
        <f t="shared" si="131"/>
        <v>4.7200000000000006</v>
      </c>
      <c r="I602" s="27"/>
      <c r="J602" s="23"/>
      <c r="K602" s="23"/>
      <c r="L602" s="23"/>
      <c r="M602" s="63"/>
      <c r="N602" s="91" t="s">
        <v>75</v>
      </c>
      <c r="O602" s="55" t="s">
        <v>1942</v>
      </c>
      <c r="P602" s="14" t="s">
        <v>2993</v>
      </c>
      <c r="Q602" s="14" t="s">
        <v>2978</v>
      </c>
      <c r="R602" s="25">
        <v>2002010306</v>
      </c>
      <c r="S602" s="64" t="s">
        <v>3025</v>
      </c>
      <c r="T602" s="65">
        <v>1</v>
      </c>
      <c r="U602" s="35" t="s">
        <v>2992</v>
      </c>
      <c r="V602" s="29">
        <v>2002010306</v>
      </c>
      <c r="W602" s="35">
        <v>5.9</v>
      </c>
      <c r="X602" s="22">
        <f t="shared" si="130"/>
        <v>0.2</v>
      </c>
      <c r="Y602" s="35">
        <f t="shared" si="128"/>
        <v>4.7200000000000006</v>
      </c>
      <c r="Z602" s="27"/>
      <c r="AA602" s="23"/>
      <c r="AB602" s="23"/>
      <c r="AC602" s="23"/>
      <c r="AD602" s="63"/>
      <c r="AE602" s="91" t="s">
        <v>75</v>
      </c>
      <c r="AF602" s="55" t="s">
        <v>1942</v>
      </c>
      <c r="AG602" s="14" t="s">
        <v>1274</v>
      </c>
      <c r="AH602" s="14" t="s">
        <v>1275</v>
      </c>
    </row>
    <row r="603" spans="1:34" s="1" customFormat="1">
      <c r="A603" s="25">
        <v>2002020100</v>
      </c>
      <c r="B603" s="64" t="s">
        <v>3026</v>
      </c>
      <c r="C603" s="65">
        <v>1</v>
      </c>
      <c r="D603" s="35" t="s">
        <v>2992</v>
      </c>
      <c r="E603" s="29">
        <v>2002020100</v>
      </c>
      <c r="F603" s="35">
        <v>17.7</v>
      </c>
      <c r="G603" s="22">
        <f t="shared" si="129"/>
        <v>0.2</v>
      </c>
      <c r="H603" s="35">
        <f t="shared" si="131"/>
        <v>14.16</v>
      </c>
      <c r="I603" s="27"/>
      <c r="J603" s="23"/>
      <c r="K603" s="23"/>
      <c r="L603" s="23"/>
      <c r="M603" s="63"/>
      <c r="N603" s="91" t="s">
        <v>75</v>
      </c>
      <c r="O603" s="55" t="s">
        <v>1942</v>
      </c>
      <c r="P603" s="14" t="s">
        <v>2993</v>
      </c>
      <c r="Q603" s="14" t="s">
        <v>2978</v>
      </c>
      <c r="R603" s="25">
        <v>2002020100</v>
      </c>
      <c r="S603" s="64" t="s">
        <v>3026</v>
      </c>
      <c r="T603" s="65">
        <v>1</v>
      </c>
      <c r="U603" s="35" t="s">
        <v>2992</v>
      </c>
      <c r="V603" s="29">
        <v>2002020100</v>
      </c>
      <c r="W603" s="35">
        <v>17.7</v>
      </c>
      <c r="X603" s="22">
        <f t="shared" si="130"/>
        <v>0.2</v>
      </c>
      <c r="Y603" s="35">
        <f t="shared" si="128"/>
        <v>14.16</v>
      </c>
      <c r="Z603" s="27"/>
      <c r="AA603" s="23"/>
      <c r="AB603" s="23"/>
      <c r="AC603" s="23"/>
      <c r="AD603" s="63"/>
      <c r="AE603" s="91" t="s">
        <v>75</v>
      </c>
      <c r="AF603" s="55" t="s">
        <v>1942</v>
      </c>
      <c r="AG603" s="14" t="s">
        <v>1274</v>
      </c>
      <c r="AH603" s="14" t="s">
        <v>1275</v>
      </c>
    </row>
    <row r="604" spans="1:34" s="1" customFormat="1">
      <c r="A604" s="25">
        <v>2002020106</v>
      </c>
      <c r="B604" s="64" t="s">
        <v>3027</v>
      </c>
      <c r="C604" s="65">
        <v>1</v>
      </c>
      <c r="D604" s="35" t="s">
        <v>2992</v>
      </c>
      <c r="E604" s="29">
        <v>2002020106</v>
      </c>
      <c r="F604" s="35">
        <v>11.8</v>
      </c>
      <c r="G604" s="22">
        <f t="shared" si="129"/>
        <v>0.2</v>
      </c>
      <c r="H604" s="35">
        <f t="shared" si="131"/>
        <v>9.4400000000000013</v>
      </c>
      <c r="I604" s="27"/>
      <c r="J604" s="23"/>
      <c r="K604" s="23"/>
      <c r="L604" s="23"/>
      <c r="M604" s="63"/>
      <c r="N604" s="91" t="s">
        <v>75</v>
      </c>
      <c r="O604" s="55" t="s">
        <v>1942</v>
      </c>
      <c r="P604" s="14" t="s">
        <v>2993</v>
      </c>
      <c r="Q604" s="14" t="s">
        <v>2978</v>
      </c>
      <c r="R604" s="25">
        <v>2002020106</v>
      </c>
      <c r="S604" s="64" t="s">
        <v>3027</v>
      </c>
      <c r="T604" s="65">
        <v>1</v>
      </c>
      <c r="U604" s="35" t="s">
        <v>2992</v>
      </c>
      <c r="V604" s="29">
        <v>2002020106</v>
      </c>
      <c r="W604" s="35">
        <v>11.8</v>
      </c>
      <c r="X604" s="22">
        <f t="shared" si="130"/>
        <v>0.2</v>
      </c>
      <c r="Y604" s="35">
        <f t="shared" si="128"/>
        <v>9.4400000000000013</v>
      </c>
      <c r="Z604" s="27"/>
      <c r="AA604" s="23"/>
      <c r="AB604" s="23"/>
      <c r="AC604" s="23"/>
      <c r="AD604" s="63"/>
      <c r="AE604" s="91" t="s">
        <v>75</v>
      </c>
      <c r="AF604" s="55" t="s">
        <v>1942</v>
      </c>
      <c r="AG604" s="14" t="s">
        <v>1274</v>
      </c>
      <c r="AH604" s="14" t="s">
        <v>1275</v>
      </c>
    </row>
    <row r="605" spans="1:34" s="1" customFormat="1">
      <c r="A605" s="25">
        <v>2002020200</v>
      </c>
      <c r="B605" s="64" t="s">
        <v>3028</v>
      </c>
      <c r="C605" s="65">
        <v>1</v>
      </c>
      <c r="D605" s="35" t="s">
        <v>2992</v>
      </c>
      <c r="E605" s="29">
        <v>2002020200</v>
      </c>
      <c r="F605" s="35">
        <v>8.85</v>
      </c>
      <c r="G605" s="22">
        <f t="shared" si="129"/>
        <v>0.2</v>
      </c>
      <c r="H605" s="35">
        <f t="shared" si="131"/>
        <v>7.08</v>
      </c>
      <c r="I605" s="27"/>
      <c r="J605" s="23"/>
      <c r="K605" s="23"/>
      <c r="L605" s="23"/>
      <c r="M605" s="63"/>
      <c r="N605" s="91" t="s">
        <v>75</v>
      </c>
      <c r="O605" s="55" t="s">
        <v>1942</v>
      </c>
      <c r="P605" s="14" t="s">
        <v>2993</v>
      </c>
      <c r="Q605" s="14" t="s">
        <v>2978</v>
      </c>
      <c r="R605" s="25">
        <v>2002020200</v>
      </c>
      <c r="S605" s="64" t="s">
        <v>3028</v>
      </c>
      <c r="T605" s="65">
        <v>1</v>
      </c>
      <c r="U605" s="35" t="s">
        <v>2992</v>
      </c>
      <c r="V605" s="29">
        <v>2002020200</v>
      </c>
      <c r="W605" s="35">
        <v>8.85</v>
      </c>
      <c r="X605" s="22">
        <f t="shared" si="130"/>
        <v>0.2</v>
      </c>
      <c r="Y605" s="35">
        <f t="shared" si="128"/>
        <v>7.08</v>
      </c>
      <c r="Z605" s="27"/>
      <c r="AA605" s="23"/>
      <c r="AB605" s="23"/>
      <c r="AC605" s="23"/>
      <c r="AD605" s="63"/>
      <c r="AE605" s="91" t="s">
        <v>75</v>
      </c>
      <c r="AF605" s="55" t="s">
        <v>1942</v>
      </c>
      <c r="AG605" s="14" t="s">
        <v>1274</v>
      </c>
      <c r="AH605" s="14" t="s">
        <v>1275</v>
      </c>
    </row>
    <row r="606" spans="1:34" s="1" customFormat="1">
      <c r="A606" s="25">
        <v>2002020206</v>
      </c>
      <c r="B606" s="64" t="s">
        <v>3029</v>
      </c>
      <c r="C606" s="65">
        <v>1</v>
      </c>
      <c r="D606" s="35" t="s">
        <v>2992</v>
      </c>
      <c r="E606" s="29">
        <v>2002020206</v>
      </c>
      <c r="F606" s="35">
        <v>5.9</v>
      </c>
      <c r="G606" s="22">
        <f t="shared" si="129"/>
        <v>0.2</v>
      </c>
      <c r="H606" s="35">
        <f t="shared" si="131"/>
        <v>4.7200000000000006</v>
      </c>
      <c r="I606" s="27"/>
      <c r="J606" s="23"/>
      <c r="K606" s="23"/>
      <c r="L606" s="23"/>
      <c r="M606" s="63"/>
      <c r="N606" s="91" t="s">
        <v>75</v>
      </c>
      <c r="O606" s="55" t="s">
        <v>1942</v>
      </c>
      <c r="P606" s="14" t="s">
        <v>2993</v>
      </c>
      <c r="Q606" s="14" t="s">
        <v>2978</v>
      </c>
      <c r="R606" s="25">
        <v>2002020206</v>
      </c>
      <c r="S606" s="64" t="s">
        <v>3029</v>
      </c>
      <c r="T606" s="65">
        <v>1</v>
      </c>
      <c r="U606" s="35" t="s">
        <v>2992</v>
      </c>
      <c r="V606" s="29">
        <v>2002020206</v>
      </c>
      <c r="W606" s="35">
        <v>5.9</v>
      </c>
      <c r="X606" s="22">
        <f t="shared" si="130"/>
        <v>0.2</v>
      </c>
      <c r="Y606" s="35">
        <f t="shared" si="128"/>
        <v>4.7200000000000006</v>
      </c>
      <c r="Z606" s="27"/>
      <c r="AA606" s="23"/>
      <c r="AB606" s="23"/>
      <c r="AC606" s="23"/>
      <c r="AD606" s="63"/>
      <c r="AE606" s="91" t="s">
        <v>75</v>
      </c>
      <c r="AF606" s="55" t="s">
        <v>1942</v>
      </c>
      <c r="AG606" s="14" t="s">
        <v>1274</v>
      </c>
      <c r="AH606" s="14" t="s">
        <v>1275</v>
      </c>
    </row>
    <row r="607" spans="1:34" s="1" customFormat="1">
      <c r="A607" s="25">
        <v>2002020300</v>
      </c>
      <c r="B607" s="64" t="s">
        <v>3030</v>
      </c>
      <c r="C607" s="65">
        <v>1</v>
      </c>
      <c r="D607" s="35" t="s">
        <v>2992</v>
      </c>
      <c r="E607" s="29">
        <v>2002020300</v>
      </c>
      <c r="F607" s="35">
        <v>8.85</v>
      </c>
      <c r="G607" s="22">
        <f t="shared" si="129"/>
        <v>0.2</v>
      </c>
      <c r="H607" s="35">
        <f t="shared" si="131"/>
        <v>7.08</v>
      </c>
      <c r="I607" s="27"/>
      <c r="J607" s="23"/>
      <c r="K607" s="23"/>
      <c r="L607" s="23"/>
      <c r="M607" s="63"/>
      <c r="N607" s="91" t="s">
        <v>75</v>
      </c>
      <c r="O607" s="55" t="s">
        <v>1942</v>
      </c>
      <c r="P607" s="14" t="s">
        <v>2993</v>
      </c>
      <c r="Q607" s="14" t="s">
        <v>2978</v>
      </c>
      <c r="R607" s="25">
        <v>2002020300</v>
      </c>
      <c r="S607" s="64" t="s">
        <v>3030</v>
      </c>
      <c r="T607" s="65">
        <v>1</v>
      </c>
      <c r="U607" s="35" t="s">
        <v>2992</v>
      </c>
      <c r="V607" s="29">
        <v>2002020300</v>
      </c>
      <c r="W607" s="35">
        <v>8.85</v>
      </c>
      <c r="X607" s="22">
        <f t="shared" si="130"/>
        <v>0.2</v>
      </c>
      <c r="Y607" s="35">
        <f t="shared" si="128"/>
        <v>7.08</v>
      </c>
      <c r="Z607" s="27"/>
      <c r="AA607" s="23"/>
      <c r="AB607" s="23"/>
      <c r="AC607" s="23"/>
      <c r="AD607" s="63"/>
      <c r="AE607" s="91" t="s">
        <v>75</v>
      </c>
      <c r="AF607" s="55" t="s">
        <v>1942</v>
      </c>
      <c r="AG607" s="14" t="s">
        <v>1274</v>
      </c>
      <c r="AH607" s="14" t="s">
        <v>1275</v>
      </c>
    </row>
    <row r="608" spans="1:34" s="1" customFormat="1">
      <c r="A608" s="25">
        <v>2002020306</v>
      </c>
      <c r="B608" s="64" t="s">
        <v>3031</v>
      </c>
      <c r="C608" s="65">
        <v>1</v>
      </c>
      <c r="D608" s="35" t="s">
        <v>2992</v>
      </c>
      <c r="E608" s="29">
        <v>2002020306</v>
      </c>
      <c r="F608" s="35">
        <v>5.9</v>
      </c>
      <c r="G608" s="22">
        <f t="shared" si="129"/>
        <v>0.2</v>
      </c>
      <c r="H608" s="35">
        <f t="shared" si="131"/>
        <v>4.7200000000000006</v>
      </c>
      <c r="I608" s="27"/>
      <c r="J608" s="23"/>
      <c r="K608" s="23"/>
      <c r="L608" s="23"/>
      <c r="M608" s="63"/>
      <c r="N608" s="91" t="s">
        <v>75</v>
      </c>
      <c r="O608" s="55" t="s">
        <v>1942</v>
      </c>
      <c r="P608" s="14" t="s">
        <v>2993</v>
      </c>
      <c r="Q608" s="14" t="s">
        <v>2978</v>
      </c>
      <c r="R608" s="25">
        <v>2002020306</v>
      </c>
      <c r="S608" s="64" t="s">
        <v>3031</v>
      </c>
      <c r="T608" s="65">
        <v>1</v>
      </c>
      <c r="U608" s="35" t="s">
        <v>2992</v>
      </c>
      <c r="V608" s="29">
        <v>2002020306</v>
      </c>
      <c r="W608" s="35">
        <v>5.9</v>
      </c>
      <c r="X608" s="22">
        <f t="shared" si="130"/>
        <v>0.2</v>
      </c>
      <c r="Y608" s="35">
        <f t="shared" si="128"/>
        <v>4.7200000000000006</v>
      </c>
      <c r="Z608" s="27"/>
      <c r="AA608" s="23"/>
      <c r="AB608" s="23"/>
      <c r="AC608" s="23"/>
      <c r="AD608" s="63"/>
      <c r="AE608" s="91" t="s">
        <v>75</v>
      </c>
      <c r="AF608" s="55" t="s">
        <v>1942</v>
      </c>
      <c r="AG608" s="14" t="s">
        <v>1274</v>
      </c>
      <c r="AH608" s="14" t="s">
        <v>1275</v>
      </c>
    </row>
    <row r="609" spans="1:34" s="1" customFormat="1">
      <c r="A609" s="25" t="s">
        <v>3032</v>
      </c>
      <c r="B609" s="64" t="s">
        <v>3033</v>
      </c>
      <c r="C609" s="65">
        <v>1</v>
      </c>
      <c r="D609" s="35" t="s">
        <v>2992</v>
      </c>
      <c r="E609" s="29" t="s">
        <v>3032</v>
      </c>
      <c r="F609" s="35">
        <v>5</v>
      </c>
      <c r="G609" s="22"/>
      <c r="H609" s="35">
        <f t="shared" si="131"/>
        <v>5</v>
      </c>
      <c r="I609" s="27"/>
      <c r="J609" s="23"/>
      <c r="K609" s="23"/>
      <c r="L609" s="23"/>
      <c r="M609" s="63"/>
      <c r="N609" s="91" t="s">
        <v>75</v>
      </c>
      <c r="O609" s="55" t="s">
        <v>1942</v>
      </c>
      <c r="P609" s="14" t="s">
        <v>2993</v>
      </c>
      <c r="Q609" s="14" t="s">
        <v>2978</v>
      </c>
      <c r="R609" s="25" t="s">
        <v>3032</v>
      </c>
      <c r="S609" s="64" t="s">
        <v>3033</v>
      </c>
      <c r="T609" s="65">
        <v>1</v>
      </c>
      <c r="U609" s="35" t="s">
        <v>2992</v>
      </c>
      <c r="V609" s="29" t="s">
        <v>3032</v>
      </c>
      <c r="W609" s="35">
        <v>5</v>
      </c>
      <c r="X609" s="22"/>
      <c r="Y609" s="35">
        <f t="shared" si="128"/>
        <v>5</v>
      </c>
      <c r="Z609" s="27"/>
      <c r="AA609" s="23"/>
      <c r="AB609" s="23"/>
      <c r="AC609" s="23"/>
      <c r="AD609" s="63"/>
      <c r="AE609" s="91" t="s">
        <v>75</v>
      </c>
      <c r="AF609" s="55" t="s">
        <v>1942</v>
      </c>
      <c r="AG609" s="14" t="s">
        <v>1274</v>
      </c>
      <c r="AH609" s="14" t="s">
        <v>1275</v>
      </c>
    </row>
    <row r="610" spans="1:34" s="1" customFormat="1">
      <c r="A610" s="25" t="s">
        <v>3034</v>
      </c>
      <c r="B610" s="64" t="s">
        <v>3035</v>
      </c>
      <c r="C610" s="65">
        <v>1</v>
      </c>
      <c r="D610" s="35" t="s">
        <v>2992</v>
      </c>
      <c r="E610" s="29" t="s">
        <v>3034</v>
      </c>
      <c r="F610" s="35">
        <v>5</v>
      </c>
      <c r="G610" s="22"/>
      <c r="H610" s="35">
        <f t="shared" si="131"/>
        <v>5</v>
      </c>
      <c r="I610" s="27"/>
      <c r="J610" s="23"/>
      <c r="K610" s="23"/>
      <c r="L610" s="23"/>
      <c r="M610" s="63"/>
      <c r="N610" s="91" t="s">
        <v>75</v>
      </c>
      <c r="O610" s="55" t="s">
        <v>1942</v>
      </c>
      <c r="P610" s="14" t="s">
        <v>2993</v>
      </c>
      <c r="Q610" s="14" t="s">
        <v>2978</v>
      </c>
      <c r="R610" s="25" t="s">
        <v>3034</v>
      </c>
      <c r="S610" s="64" t="s">
        <v>3035</v>
      </c>
      <c r="T610" s="65">
        <v>1</v>
      </c>
      <c r="U610" s="35" t="s">
        <v>2992</v>
      </c>
      <c r="V610" s="29" t="s">
        <v>3034</v>
      </c>
      <c r="W610" s="35">
        <v>5</v>
      </c>
      <c r="X610" s="22"/>
      <c r="Y610" s="35">
        <f t="shared" si="128"/>
        <v>5</v>
      </c>
      <c r="Z610" s="27"/>
      <c r="AA610" s="23"/>
      <c r="AB610" s="23"/>
      <c r="AC610" s="23"/>
      <c r="AD610" s="63"/>
      <c r="AE610" s="91" t="s">
        <v>75</v>
      </c>
      <c r="AF610" s="55" t="s">
        <v>1942</v>
      </c>
      <c r="AG610" s="14" t="s">
        <v>1274</v>
      </c>
      <c r="AH610" s="14" t="s">
        <v>1275</v>
      </c>
    </row>
    <row r="611" spans="1:34" s="1" customFormat="1">
      <c r="A611" s="25" t="s">
        <v>3036</v>
      </c>
      <c r="B611" s="64" t="s">
        <v>3037</v>
      </c>
      <c r="C611" s="65">
        <v>1</v>
      </c>
      <c r="D611" s="35" t="s">
        <v>2992</v>
      </c>
      <c r="E611" s="29" t="s">
        <v>3036</v>
      </c>
      <c r="F611" s="35">
        <v>5</v>
      </c>
      <c r="G611" s="22"/>
      <c r="H611" s="35">
        <f t="shared" si="131"/>
        <v>5</v>
      </c>
      <c r="I611" s="27"/>
      <c r="J611" s="23"/>
      <c r="K611" s="23"/>
      <c r="L611" s="23"/>
      <c r="M611" s="63"/>
      <c r="N611" s="91" t="s">
        <v>75</v>
      </c>
      <c r="O611" s="55" t="s">
        <v>1942</v>
      </c>
      <c r="P611" s="14" t="s">
        <v>2993</v>
      </c>
      <c r="Q611" s="14" t="s">
        <v>2978</v>
      </c>
      <c r="R611" s="25" t="s">
        <v>3036</v>
      </c>
      <c r="S611" s="64" t="s">
        <v>3037</v>
      </c>
      <c r="T611" s="65">
        <v>1</v>
      </c>
      <c r="U611" s="35" t="s">
        <v>2992</v>
      </c>
      <c r="V611" s="29" t="s">
        <v>3036</v>
      </c>
      <c r="W611" s="35">
        <v>5</v>
      </c>
      <c r="X611" s="22"/>
      <c r="Y611" s="35">
        <f t="shared" si="128"/>
        <v>5</v>
      </c>
      <c r="Z611" s="27"/>
      <c r="AA611" s="23"/>
      <c r="AB611" s="23"/>
      <c r="AC611" s="23"/>
      <c r="AD611" s="63"/>
      <c r="AE611" s="91" t="s">
        <v>75</v>
      </c>
      <c r="AF611" s="55" t="s">
        <v>1942</v>
      </c>
      <c r="AG611" s="14" t="s">
        <v>1274</v>
      </c>
      <c r="AH611" s="14" t="s">
        <v>1275</v>
      </c>
    </row>
    <row r="612" spans="1:34" s="1" customFormat="1">
      <c r="A612" s="25" t="s">
        <v>3038</v>
      </c>
      <c r="B612" s="64" t="s">
        <v>3039</v>
      </c>
      <c r="C612" s="65">
        <v>1</v>
      </c>
      <c r="D612" s="35" t="s">
        <v>2992</v>
      </c>
      <c r="E612" s="29" t="s">
        <v>3038</v>
      </c>
      <c r="F612" s="35">
        <v>20</v>
      </c>
      <c r="G612" s="22"/>
      <c r="H612" s="35">
        <f t="shared" si="131"/>
        <v>20</v>
      </c>
      <c r="I612" s="27"/>
      <c r="J612" s="23"/>
      <c r="K612" s="23"/>
      <c r="L612" s="23"/>
      <c r="M612" s="63"/>
      <c r="N612" s="91" t="s">
        <v>75</v>
      </c>
      <c r="O612" s="55" t="s">
        <v>1942</v>
      </c>
      <c r="P612" s="14" t="s">
        <v>2993</v>
      </c>
      <c r="Q612" s="14" t="s">
        <v>2978</v>
      </c>
      <c r="R612" s="25" t="s">
        <v>3038</v>
      </c>
      <c r="S612" s="64" t="s">
        <v>3039</v>
      </c>
      <c r="T612" s="65">
        <v>1</v>
      </c>
      <c r="U612" s="35" t="s">
        <v>2992</v>
      </c>
      <c r="V612" s="29" t="s">
        <v>3038</v>
      </c>
      <c r="W612" s="35">
        <v>20</v>
      </c>
      <c r="X612" s="22"/>
      <c r="Y612" s="35">
        <f t="shared" si="128"/>
        <v>20</v>
      </c>
      <c r="Z612" s="27"/>
      <c r="AA612" s="23"/>
      <c r="AB612" s="23"/>
      <c r="AC612" s="23"/>
      <c r="AD612" s="63"/>
      <c r="AE612" s="91" t="s">
        <v>75</v>
      </c>
      <c r="AF612" s="55" t="s">
        <v>1942</v>
      </c>
      <c r="AG612" s="14" t="s">
        <v>1274</v>
      </c>
      <c r="AH612" s="14" t="s">
        <v>1275</v>
      </c>
    </row>
    <row r="613" spans="1:34" s="1" customFormat="1">
      <c r="A613" s="25" t="s">
        <v>3040</v>
      </c>
      <c r="B613" s="64" t="s">
        <v>3041</v>
      </c>
      <c r="C613" s="65">
        <v>1</v>
      </c>
      <c r="D613" s="35" t="s">
        <v>82</v>
      </c>
      <c r="E613" s="29" t="s">
        <v>3040</v>
      </c>
      <c r="F613" s="35">
        <v>1948</v>
      </c>
      <c r="G613" s="22"/>
      <c r="H613" s="35">
        <f t="shared" si="131"/>
        <v>1948</v>
      </c>
      <c r="I613" s="27"/>
      <c r="J613" s="23"/>
      <c r="K613" s="23"/>
      <c r="L613" s="23"/>
      <c r="M613" s="63"/>
      <c r="N613" s="91" t="s">
        <v>75</v>
      </c>
      <c r="O613" s="55" t="s">
        <v>1942</v>
      </c>
      <c r="P613" s="14" t="s">
        <v>2993</v>
      </c>
      <c r="Q613" s="14" t="s">
        <v>2978</v>
      </c>
      <c r="R613" s="25" t="s">
        <v>3040</v>
      </c>
      <c r="S613" s="64" t="s">
        <v>3041</v>
      </c>
      <c r="T613" s="65">
        <v>1</v>
      </c>
      <c r="U613" s="35" t="s">
        <v>82</v>
      </c>
      <c r="V613" s="29" t="s">
        <v>3040</v>
      </c>
      <c r="W613" s="35">
        <v>1948</v>
      </c>
      <c r="X613" s="22"/>
      <c r="Y613" s="35">
        <f t="shared" si="128"/>
        <v>1948</v>
      </c>
      <c r="Z613" s="27"/>
      <c r="AA613" s="23"/>
      <c r="AB613" s="23"/>
      <c r="AC613" s="23"/>
      <c r="AD613" s="63"/>
      <c r="AE613" s="91" t="s">
        <v>75</v>
      </c>
      <c r="AF613" s="55" t="s">
        <v>1942</v>
      </c>
      <c r="AG613" s="14" t="s">
        <v>1274</v>
      </c>
      <c r="AH613" s="14" t="s">
        <v>1275</v>
      </c>
    </row>
    <row r="614" spans="1:34" s="1" customFormat="1">
      <c r="A614" s="25">
        <v>9101000007</v>
      </c>
      <c r="B614" s="64" t="s">
        <v>3042</v>
      </c>
      <c r="C614" s="65">
        <v>1</v>
      </c>
      <c r="D614" s="35" t="s">
        <v>2992</v>
      </c>
      <c r="E614" s="29">
        <v>9101000007</v>
      </c>
      <c r="F614" s="35">
        <v>4.5</v>
      </c>
      <c r="G614" s="22">
        <f t="shared" ref="G614:G623" si="132">rv_20</f>
        <v>0.2</v>
      </c>
      <c r="H614" s="35">
        <f t="shared" si="131"/>
        <v>3.6</v>
      </c>
      <c r="I614" s="27"/>
      <c r="J614" s="23"/>
      <c r="K614" s="23"/>
      <c r="L614" s="23"/>
      <c r="M614" s="63"/>
      <c r="N614" s="91" t="s">
        <v>75</v>
      </c>
      <c r="O614" s="55" t="s">
        <v>1942</v>
      </c>
      <c r="P614" s="14" t="s">
        <v>2993</v>
      </c>
      <c r="Q614" s="14" t="s">
        <v>2978</v>
      </c>
      <c r="R614" s="25">
        <v>9101000007</v>
      </c>
      <c r="S614" s="64" t="s">
        <v>3042</v>
      </c>
      <c r="T614" s="65">
        <v>1</v>
      </c>
      <c r="U614" s="35" t="s">
        <v>2992</v>
      </c>
      <c r="V614" s="29">
        <v>9101000007</v>
      </c>
      <c r="W614" s="35">
        <v>4.5</v>
      </c>
      <c r="X614" s="22">
        <f t="shared" ref="X614:X623" si="133">rv_20</f>
        <v>0.2</v>
      </c>
      <c r="Y614" s="35">
        <f t="shared" si="128"/>
        <v>3.6</v>
      </c>
      <c r="Z614" s="27"/>
      <c r="AA614" s="23"/>
      <c r="AB614" s="23"/>
      <c r="AC614" s="23"/>
      <c r="AD614" s="63"/>
      <c r="AE614" s="91" t="s">
        <v>75</v>
      </c>
      <c r="AF614" s="55" t="s">
        <v>1942</v>
      </c>
      <c r="AG614" s="14" t="s">
        <v>1274</v>
      </c>
      <c r="AH614" s="14" t="s">
        <v>1275</v>
      </c>
    </row>
    <row r="615" spans="1:34" s="1" customFormat="1">
      <c r="A615" s="25">
        <v>9101000006</v>
      </c>
      <c r="B615" s="64" t="s">
        <v>3043</v>
      </c>
      <c r="C615" s="65">
        <v>1</v>
      </c>
      <c r="D615" s="35" t="s">
        <v>2992</v>
      </c>
      <c r="E615" s="29">
        <v>9101000006</v>
      </c>
      <c r="F615" s="35">
        <v>3.1</v>
      </c>
      <c r="G615" s="22">
        <f t="shared" si="132"/>
        <v>0.2</v>
      </c>
      <c r="H615" s="35">
        <f t="shared" si="131"/>
        <v>2.48</v>
      </c>
      <c r="I615" s="27"/>
      <c r="J615" s="23"/>
      <c r="K615" s="23"/>
      <c r="L615" s="23"/>
      <c r="M615" s="63"/>
      <c r="N615" s="91" t="s">
        <v>75</v>
      </c>
      <c r="O615" s="55" t="s">
        <v>1942</v>
      </c>
      <c r="P615" s="14" t="s">
        <v>2993</v>
      </c>
      <c r="Q615" s="14" t="s">
        <v>2978</v>
      </c>
      <c r="R615" s="25">
        <v>9101000006</v>
      </c>
      <c r="S615" s="64" t="s">
        <v>3043</v>
      </c>
      <c r="T615" s="65">
        <v>1</v>
      </c>
      <c r="U615" s="35" t="s">
        <v>2992</v>
      </c>
      <c r="V615" s="29">
        <v>9101000006</v>
      </c>
      <c r="W615" s="35">
        <v>3.1</v>
      </c>
      <c r="X615" s="22">
        <f t="shared" si="133"/>
        <v>0.2</v>
      </c>
      <c r="Y615" s="35">
        <f t="shared" si="128"/>
        <v>2.48</v>
      </c>
      <c r="Z615" s="27"/>
      <c r="AA615" s="23"/>
      <c r="AB615" s="23"/>
      <c r="AC615" s="23"/>
      <c r="AD615" s="63"/>
      <c r="AE615" s="91" t="s">
        <v>75</v>
      </c>
      <c r="AF615" s="55" t="s">
        <v>1942</v>
      </c>
      <c r="AG615" s="14" t="s">
        <v>1274</v>
      </c>
      <c r="AH615" s="14" t="s">
        <v>1275</v>
      </c>
    </row>
    <row r="616" spans="1:34" s="1" customFormat="1">
      <c r="A616" s="25">
        <v>9102000007</v>
      </c>
      <c r="B616" s="64" t="s">
        <v>3044</v>
      </c>
      <c r="C616" s="65">
        <v>1</v>
      </c>
      <c r="D616" s="35" t="s">
        <v>2992</v>
      </c>
      <c r="E616" s="29">
        <v>9102000007</v>
      </c>
      <c r="F616" s="35">
        <v>4.5</v>
      </c>
      <c r="G616" s="22">
        <f t="shared" si="132"/>
        <v>0.2</v>
      </c>
      <c r="H616" s="35">
        <f t="shared" si="131"/>
        <v>3.6</v>
      </c>
      <c r="I616" s="27"/>
      <c r="J616" s="23"/>
      <c r="K616" s="23"/>
      <c r="L616" s="23"/>
      <c r="M616" s="63"/>
      <c r="N616" s="91" t="s">
        <v>75</v>
      </c>
      <c r="O616" s="55" t="s">
        <v>1942</v>
      </c>
      <c r="P616" s="14" t="s">
        <v>2993</v>
      </c>
      <c r="Q616" s="14" t="s">
        <v>2978</v>
      </c>
      <c r="R616" s="25">
        <v>9102000007</v>
      </c>
      <c r="S616" s="64" t="s">
        <v>3044</v>
      </c>
      <c r="T616" s="65">
        <v>1</v>
      </c>
      <c r="U616" s="35" t="s">
        <v>2992</v>
      </c>
      <c r="V616" s="29">
        <v>9102000007</v>
      </c>
      <c r="W616" s="35">
        <v>4.5</v>
      </c>
      <c r="X616" s="22">
        <f t="shared" si="133"/>
        <v>0.2</v>
      </c>
      <c r="Y616" s="35">
        <f t="shared" si="128"/>
        <v>3.6</v>
      </c>
      <c r="Z616" s="27"/>
      <c r="AA616" s="23"/>
      <c r="AB616" s="23"/>
      <c r="AC616" s="23"/>
      <c r="AD616" s="63"/>
      <c r="AE616" s="91" t="s">
        <v>75</v>
      </c>
      <c r="AF616" s="55" t="s">
        <v>1942</v>
      </c>
      <c r="AG616" s="14" t="s">
        <v>1274</v>
      </c>
      <c r="AH616" s="14" t="s">
        <v>1275</v>
      </c>
    </row>
    <row r="617" spans="1:34" s="1" customFormat="1">
      <c r="A617" s="25">
        <v>9102000006</v>
      </c>
      <c r="B617" s="64" t="s">
        <v>3045</v>
      </c>
      <c r="C617" s="65">
        <v>1</v>
      </c>
      <c r="D617" s="35" t="s">
        <v>2992</v>
      </c>
      <c r="E617" s="29">
        <v>9102000006</v>
      </c>
      <c r="F617" s="35">
        <v>4.5</v>
      </c>
      <c r="G617" s="22">
        <f t="shared" si="132"/>
        <v>0.2</v>
      </c>
      <c r="H617" s="35">
        <f t="shared" si="131"/>
        <v>3.6</v>
      </c>
      <c r="I617" s="27"/>
      <c r="J617" s="23"/>
      <c r="K617" s="23"/>
      <c r="L617" s="23"/>
      <c r="M617" s="63"/>
      <c r="N617" s="91" t="s">
        <v>75</v>
      </c>
      <c r="O617" s="55" t="s">
        <v>1942</v>
      </c>
      <c r="P617" s="14" t="s">
        <v>2993</v>
      </c>
      <c r="Q617" s="14" t="s">
        <v>2978</v>
      </c>
      <c r="R617" s="25">
        <v>9102000006</v>
      </c>
      <c r="S617" s="64" t="s">
        <v>3045</v>
      </c>
      <c r="T617" s="65">
        <v>1</v>
      </c>
      <c r="U617" s="35" t="s">
        <v>2992</v>
      </c>
      <c r="V617" s="29">
        <v>9102000006</v>
      </c>
      <c r="W617" s="35">
        <v>4.5</v>
      </c>
      <c r="X617" s="22">
        <f t="shared" si="133"/>
        <v>0.2</v>
      </c>
      <c r="Y617" s="35">
        <f t="shared" si="128"/>
        <v>3.6</v>
      </c>
      <c r="Z617" s="27"/>
      <c r="AA617" s="23"/>
      <c r="AB617" s="23"/>
      <c r="AC617" s="28"/>
      <c r="AD617" s="63"/>
      <c r="AE617" s="91" t="s">
        <v>75</v>
      </c>
      <c r="AF617" s="55" t="s">
        <v>1942</v>
      </c>
      <c r="AG617" s="14" t="s">
        <v>1274</v>
      </c>
      <c r="AH617" s="14" t="s">
        <v>1275</v>
      </c>
    </row>
    <row r="618" spans="1:34" s="1" customFormat="1">
      <c r="A618" s="25">
        <v>1912101220</v>
      </c>
      <c r="B618" s="64" t="s">
        <v>3046</v>
      </c>
      <c r="C618" s="65">
        <v>1</v>
      </c>
      <c r="D618" s="35" t="s">
        <v>2992</v>
      </c>
      <c r="E618" s="29">
        <v>1912101220</v>
      </c>
      <c r="F618" s="35">
        <v>1600</v>
      </c>
      <c r="G618" s="22">
        <f t="shared" si="132"/>
        <v>0.2</v>
      </c>
      <c r="H618" s="35">
        <f t="shared" si="131"/>
        <v>1280</v>
      </c>
      <c r="I618" s="27"/>
      <c r="J618" s="23"/>
      <c r="K618" s="23"/>
      <c r="L618" s="23"/>
      <c r="M618" s="63"/>
      <c r="N618" s="91" t="s">
        <v>75</v>
      </c>
      <c r="O618" s="55" t="s">
        <v>1942</v>
      </c>
      <c r="P618" s="14" t="s">
        <v>2993</v>
      </c>
      <c r="Q618" s="14" t="s">
        <v>2978</v>
      </c>
      <c r="R618" s="25">
        <v>1912101220</v>
      </c>
      <c r="S618" s="64" t="s">
        <v>3046</v>
      </c>
      <c r="T618" s="65">
        <v>1</v>
      </c>
      <c r="U618" s="35" t="s">
        <v>2992</v>
      </c>
      <c r="V618" s="29">
        <v>1912101220</v>
      </c>
      <c r="W618" s="35">
        <v>1600</v>
      </c>
      <c r="X618" s="22">
        <f t="shared" si="133"/>
        <v>0.2</v>
      </c>
      <c r="Y618" s="35">
        <f t="shared" si="128"/>
        <v>1280</v>
      </c>
      <c r="Z618" s="27"/>
      <c r="AA618" s="23"/>
      <c r="AB618" s="23"/>
      <c r="AC618" s="28"/>
      <c r="AD618" s="63"/>
      <c r="AE618" s="91" t="s">
        <v>75</v>
      </c>
      <c r="AF618" s="55" t="s">
        <v>1942</v>
      </c>
      <c r="AG618" s="14" t="s">
        <v>1274</v>
      </c>
      <c r="AH618" s="14" t="s">
        <v>1275</v>
      </c>
    </row>
    <row r="619" spans="1:34" s="1" customFormat="1">
      <c r="A619" s="25" t="s">
        <v>3047</v>
      </c>
      <c r="B619" s="64" t="s">
        <v>3048</v>
      </c>
      <c r="C619" s="65">
        <v>1</v>
      </c>
      <c r="D619" s="35" t="s">
        <v>82</v>
      </c>
      <c r="E619" s="29" t="s">
        <v>3047</v>
      </c>
      <c r="F619" s="35">
        <v>650</v>
      </c>
      <c r="G619" s="22"/>
      <c r="H619" s="35">
        <f t="shared" si="131"/>
        <v>650</v>
      </c>
      <c r="I619" s="27"/>
      <c r="J619" s="23"/>
      <c r="K619" s="23"/>
      <c r="L619" s="23"/>
      <c r="M619" s="63"/>
      <c r="N619" s="91" t="s">
        <v>75</v>
      </c>
      <c r="O619" s="55" t="s">
        <v>1942</v>
      </c>
      <c r="P619" s="14" t="s">
        <v>2993</v>
      </c>
      <c r="Q619" s="14" t="s">
        <v>2978</v>
      </c>
      <c r="R619" s="25" t="s">
        <v>3047</v>
      </c>
      <c r="S619" s="64" t="s">
        <v>3048</v>
      </c>
      <c r="T619" s="65">
        <v>1</v>
      </c>
      <c r="U619" s="35" t="s">
        <v>82</v>
      </c>
      <c r="V619" s="29" t="s">
        <v>3047</v>
      </c>
      <c r="W619" s="35">
        <v>650</v>
      </c>
      <c r="X619" s="22"/>
      <c r="Y619" s="35">
        <f t="shared" si="128"/>
        <v>650</v>
      </c>
      <c r="Z619" s="27"/>
      <c r="AA619" s="23"/>
      <c r="AB619" s="23"/>
      <c r="AC619" s="23"/>
      <c r="AD619" s="63"/>
      <c r="AE619" s="91" t="s">
        <v>75</v>
      </c>
      <c r="AF619" s="55" t="s">
        <v>1942</v>
      </c>
      <c r="AG619" s="14" t="s">
        <v>1274</v>
      </c>
      <c r="AH619" s="14" t="s">
        <v>1275</v>
      </c>
    </row>
    <row r="620" spans="1:34" s="1" customFormat="1">
      <c r="A620" s="25" t="s">
        <v>3049</v>
      </c>
      <c r="B620" s="64" t="s">
        <v>3050</v>
      </c>
      <c r="C620" s="65">
        <v>1</v>
      </c>
      <c r="D620" s="35" t="s">
        <v>2992</v>
      </c>
      <c r="E620" s="29" t="s">
        <v>3049</v>
      </c>
      <c r="F620" s="35">
        <v>15</v>
      </c>
      <c r="G620" s="22">
        <f t="shared" si="132"/>
        <v>0.2</v>
      </c>
      <c r="H620" s="35">
        <f t="shared" si="131"/>
        <v>12</v>
      </c>
      <c r="I620" s="27"/>
      <c r="J620" s="23"/>
      <c r="K620" s="23"/>
      <c r="L620" s="23"/>
      <c r="M620" s="63"/>
      <c r="N620" s="91" t="s">
        <v>75</v>
      </c>
      <c r="O620" s="55" t="s">
        <v>1942</v>
      </c>
      <c r="P620" s="14" t="s">
        <v>2993</v>
      </c>
      <c r="Q620" s="14" t="s">
        <v>2978</v>
      </c>
      <c r="R620" s="25" t="s">
        <v>3049</v>
      </c>
      <c r="S620" s="64" t="s">
        <v>3050</v>
      </c>
      <c r="T620" s="65">
        <v>1</v>
      </c>
      <c r="U620" s="35" t="s">
        <v>2992</v>
      </c>
      <c r="V620" s="29" t="s">
        <v>3049</v>
      </c>
      <c r="W620" s="35">
        <v>15</v>
      </c>
      <c r="X620" s="22">
        <f t="shared" si="133"/>
        <v>0.2</v>
      </c>
      <c r="Y620" s="35">
        <f t="shared" si="128"/>
        <v>12</v>
      </c>
      <c r="Z620" s="27"/>
      <c r="AA620" s="23"/>
      <c r="AB620" s="23"/>
      <c r="AC620" s="23"/>
      <c r="AD620" s="63"/>
      <c r="AE620" s="91" t="s">
        <v>75</v>
      </c>
      <c r="AF620" s="55" t="s">
        <v>1942</v>
      </c>
      <c r="AG620" s="14" t="s">
        <v>1274</v>
      </c>
      <c r="AH620" s="14" t="s">
        <v>1275</v>
      </c>
    </row>
    <row r="621" spans="1:34" s="1" customFormat="1">
      <c r="A621" s="25" t="s">
        <v>3051</v>
      </c>
      <c r="B621" s="64" t="s">
        <v>3052</v>
      </c>
      <c r="C621" s="65">
        <v>1</v>
      </c>
      <c r="D621" s="35" t="s">
        <v>2992</v>
      </c>
      <c r="E621" s="29" t="s">
        <v>3051</v>
      </c>
      <c r="F621" s="35">
        <v>15</v>
      </c>
      <c r="G621" s="22">
        <f t="shared" si="132"/>
        <v>0.2</v>
      </c>
      <c r="H621" s="35">
        <f t="shared" si="131"/>
        <v>12</v>
      </c>
      <c r="I621" s="27"/>
      <c r="J621" s="23"/>
      <c r="K621" s="23"/>
      <c r="L621" s="23"/>
      <c r="M621" s="63"/>
      <c r="N621" s="91" t="s">
        <v>75</v>
      </c>
      <c r="O621" s="55" t="s">
        <v>1942</v>
      </c>
      <c r="P621" s="14" t="s">
        <v>2993</v>
      </c>
      <c r="Q621" s="14" t="s">
        <v>2978</v>
      </c>
      <c r="R621" s="25" t="s">
        <v>3051</v>
      </c>
      <c r="S621" s="64" t="s">
        <v>3052</v>
      </c>
      <c r="T621" s="65">
        <v>1</v>
      </c>
      <c r="U621" s="35" t="s">
        <v>2992</v>
      </c>
      <c r="V621" s="29" t="s">
        <v>3051</v>
      </c>
      <c r="W621" s="35">
        <v>15</v>
      </c>
      <c r="X621" s="22">
        <f t="shared" si="133"/>
        <v>0.2</v>
      </c>
      <c r="Y621" s="35">
        <f t="shared" si="128"/>
        <v>12</v>
      </c>
      <c r="Z621" s="27"/>
      <c r="AA621" s="23"/>
      <c r="AB621" s="23"/>
      <c r="AC621" s="23"/>
      <c r="AD621" s="63"/>
      <c r="AE621" s="91" t="s">
        <v>75</v>
      </c>
      <c r="AF621" s="55" t="s">
        <v>1942</v>
      </c>
      <c r="AG621" s="14" t="s">
        <v>1274</v>
      </c>
      <c r="AH621" s="14" t="s">
        <v>1275</v>
      </c>
    </row>
    <row r="622" spans="1:34" s="1" customFormat="1">
      <c r="A622" s="25" t="s">
        <v>3053</v>
      </c>
      <c r="B622" s="64" t="s">
        <v>3054</v>
      </c>
      <c r="C622" s="65">
        <v>1</v>
      </c>
      <c r="D622" s="35" t="s">
        <v>82</v>
      </c>
      <c r="E622" s="29" t="s">
        <v>3053</v>
      </c>
      <c r="F622" s="35">
        <v>325</v>
      </c>
      <c r="G622" s="22"/>
      <c r="H622" s="35">
        <f t="shared" si="131"/>
        <v>325</v>
      </c>
      <c r="I622" s="27"/>
      <c r="J622" s="23"/>
      <c r="K622" s="23"/>
      <c r="L622" s="23"/>
      <c r="M622" s="63"/>
      <c r="N622" s="91" t="s">
        <v>75</v>
      </c>
      <c r="O622" s="55" t="s">
        <v>1942</v>
      </c>
      <c r="P622" s="14" t="s">
        <v>2993</v>
      </c>
      <c r="Q622" s="14" t="s">
        <v>2978</v>
      </c>
      <c r="R622" s="25" t="s">
        <v>3053</v>
      </c>
      <c r="S622" s="64" t="s">
        <v>3054</v>
      </c>
      <c r="T622" s="65">
        <v>1</v>
      </c>
      <c r="U622" s="35" t="s">
        <v>82</v>
      </c>
      <c r="V622" s="29" t="s">
        <v>3053</v>
      </c>
      <c r="W622" s="35">
        <v>325</v>
      </c>
      <c r="X622" s="22"/>
      <c r="Y622" s="35">
        <f t="shared" si="128"/>
        <v>325</v>
      </c>
      <c r="Z622" s="27"/>
      <c r="AA622" s="23"/>
      <c r="AB622" s="23"/>
      <c r="AC622" s="23"/>
      <c r="AD622" s="63"/>
      <c r="AE622" s="91" t="s">
        <v>75</v>
      </c>
      <c r="AF622" s="55" t="s">
        <v>1942</v>
      </c>
      <c r="AG622" s="14" t="s">
        <v>1274</v>
      </c>
      <c r="AH622" s="14" t="s">
        <v>1275</v>
      </c>
    </row>
    <row r="623" spans="1:34" s="1" customFormat="1">
      <c r="A623" s="25">
        <v>2821202120</v>
      </c>
      <c r="B623" s="64" t="s">
        <v>3055</v>
      </c>
      <c r="C623" s="65">
        <v>1</v>
      </c>
      <c r="D623" s="35" t="s">
        <v>2992</v>
      </c>
      <c r="E623" s="29">
        <v>2821202120</v>
      </c>
      <c r="F623" s="35">
        <v>1600</v>
      </c>
      <c r="G623" s="22">
        <f t="shared" si="132"/>
        <v>0.2</v>
      </c>
      <c r="H623" s="35">
        <f t="shared" si="131"/>
        <v>1280</v>
      </c>
      <c r="I623" s="27"/>
      <c r="J623" s="23"/>
      <c r="K623" s="23"/>
      <c r="L623" s="23"/>
      <c r="M623" s="63"/>
      <c r="N623" s="91" t="s">
        <v>75</v>
      </c>
      <c r="O623" s="55" t="s">
        <v>1942</v>
      </c>
      <c r="P623" s="14" t="s">
        <v>2993</v>
      </c>
      <c r="Q623" s="14" t="s">
        <v>2978</v>
      </c>
      <c r="R623" s="25">
        <v>2821202120</v>
      </c>
      <c r="S623" s="64" t="s">
        <v>3055</v>
      </c>
      <c r="T623" s="65">
        <v>1</v>
      </c>
      <c r="U623" s="35" t="s">
        <v>2992</v>
      </c>
      <c r="V623" s="29">
        <v>2821202120</v>
      </c>
      <c r="W623" s="35">
        <v>1600</v>
      </c>
      <c r="X623" s="22">
        <f t="shared" si="133"/>
        <v>0.2</v>
      </c>
      <c r="Y623" s="35">
        <f t="shared" si="128"/>
        <v>1280</v>
      </c>
      <c r="Z623" s="27"/>
      <c r="AA623" s="23"/>
      <c r="AB623" s="23"/>
      <c r="AC623" s="23"/>
      <c r="AD623" s="63"/>
      <c r="AE623" s="91" t="s">
        <v>75</v>
      </c>
      <c r="AF623" s="55" t="s">
        <v>1942</v>
      </c>
      <c r="AG623" s="14" t="s">
        <v>1274</v>
      </c>
      <c r="AH623" s="14" t="s">
        <v>1275</v>
      </c>
    </row>
  </sheetData>
  <autoFilter ref="A1:Q623"/>
  <mergeCells count="8">
    <mergeCell ref="AE3:AE4"/>
    <mergeCell ref="AG3:AG4"/>
    <mergeCell ref="AH3:AH4"/>
    <mergeCell ref="A3:H3"/>
    <mergeCell ref="N3:N4"/>
    <mergeCell ref="P3:P4"/>
    <mergeCell ref="Q3:Q4"/>
    <mergeCell ref="R3:Y3"/>
  </mergeCells>
  <phoneticPr fontId="65" type="noConversion"/>
  <dataValidations count="1">
    <dataValidation type="list" allowBlank="1" showInputMessage="1" showErrorMessage="1" sqref="N141:N152 N65:N87 AE141:AE152 AE65:AE87 AE154:AE196 N154:N196 AE6:AE63 N89:N139 AE89:AE139 N6:N63 N198:N623 AE198:AE623">
      <formula1>"APPLE,AUDIOVISUEL,END USER COMPUTING,GOOGLE,INFRA,MICROSOFT,MOBIL'IT,PRINTING &amp; SCANNING"</formula1>
    </dataValidation>
  </dataValidations>
  <pageMargins left="0.7" right="0.7" top="0.75" bottom="0.75" header="0.3" footer="0.3"/>
  <pageSetup paperSize="9"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H97"/>
  <sheetViews>
    <sheetView zoomScale="110" zoomScaleNormal="110" workbookViewId="0">
      <selection activeCell="A2" sqref="A2"/>
    </sheetView>
  </sheetViews>
  <sheetFormatPr baseColWidth="10" defaultColWidth="11.42578125" defaultRowHeight="12.75"/>
  <cols>
    <col min="1" max="1" width="29" customWidth="1"/>
    <col min="2" max="2" width="74.7109375" customWidth="1"/>
    <col min="4" max="4" width="13.5703125" customWidth="1"/>
    <col min="5" max="5" width="24.140625" customWidth="1"/>
    <col min="15" max="15" width="35" customWidth="1"/>
    <col min="18" max="18" width="29" customWidth="1"/>
    <col min="19" max="19" width="97.5703125" customWidth="1"/>
    <col min="21" max="21" width="13.5703125" customWidth="1"/>
    <col min="22" max="22" width="24.140625" customWidth="1"/>
    <col min="32" max="32" width="35" customWidth="1"/>
  </cols>
  <sheetData>
    <row r="1" spans="1:34" s="1" customFormat="1" ht="24" customHeight="1">
      <c r="A1" s="10" t="s">
        <v>47</v>
      </c>
      <c r="B1" s="11"/>
      <c r="C1" s="73"/>
      <c r="D1" s="75"/>
      <c r="E1" s="38"/>
      <c r="F1" s="27"/>
      <c r="G1" s="40"/>
      <c r="H1" s="27"/>
      <c r="I1" s="187"/>
      <c r="J1" s="23"/>
      <c r="K1" s="23"/>
      <c r="L1" s="23"/>
      <c r="M1" s="63"/>
      <c r="N1" s="51"/>
      <c r="O1" s="23"/>
      <c r="P1" s="212"/>
      <c r="Q1" s="212"/>
      <c r="R1" s="10" t="s">
        <v>47</v>
      </c>
      <c r="S1" s="11"/>
      <c r="T1" s="73"/>
      <c r="U1" s="75"/>
      <c r="V1" s="38"/>
      <c r="W1" s="27"/>
      <c r="X1" s="40"/>
      <c r="Y1" s="27"/>
      <c r="Z1" s="187"/>
      <c r="AA1" s="23"/>
      <c r="AB1" s="23"/>
      <c r="AC1" s="23"/>
      <c r="AD1" s="63"/>
      <c r="AE1" s="51"/>
      <c r="AF1" s="23"/>
      <c r="AG1" s="212"/>
      <c r="AH1" s="212"/>
    </row>
    <row r="2" spans="1:34" s="1" customFormat="1" ht="18.75">
      <c r="A2" s="12"/>
      <c r="B2" s="237" t="s">
        <v>1612</v>
      </c>
      <c r="C2" s="74"/>
      <c r="D2" s="76"/>
      <c r="E2" s="39"/>
      <c r="F2" s="36"/>
      <c r="G2" s="41"/>
      <c r="H2" s="36"/>
      <c r="I2" s="36"/>
      <c r="J2" s="24"/>
      <c r="K2" s="24"/>
      <c r="L2" s="182"/>
      <c r="M2" s="183"/>
      <c r="N2" s="51"/>
      <c r="O2" s="23"/>
      <c r="P2" s="23"/>
      <c r="Q2" s="23"/>
      <c r="R2" s="12"/>
      <c r="S2" s="237" t="s">
        <v>1612</v>
      </c>
      <c r="T2" s="74"/>
      <c r="U2" s="76"/>
      <c r="V2" s="39"/>
      <c r="W2" s="36"/>
      <c r="X2" s="41"/>
      <c r="Y2" s="36"/>
      <c r="Z2" s="36"/>
      <c r="AA2" s="24"/>
      <c r="AB2" s="24"/>
      <c r="AC2" s="182"/>
      <c r="AD2" s="183"/>
      <c r="AE2" s="51"/>
      <c r="AF2" s="23"/>
      <c r="AG2" s="23"/>
      <c r="AH2" s="23"/>
    </row>
    <row r="3" spans="1:34" s="1" customFormat="1" ht="30" customHeight="1">
      <c r="A3" s="681" t="s">
        <v>3417</v>
      </c>
      <c r="B3" s="682"/>
      <c r="C3" s="682"/>
      <c r="D3" s="682"/>
      <c r="E3" s="682"/>
      <c r="F3" s="682"/>
      <c r="G3" s="682"/>
      <c r="H3" s="682"/>
      <c r="I3" s="44"/>
      <c r="J3" s="45"/>
      <c r="K3" s="45"/>
      <c r="L3" s="47"/>
      <c r="M3" s="49"/>
      <c r="N3" s="677" t="s">
        <v>53</v>
      </c>
      <c r="O3" s="53" t="s">
        <v>54</v>
      </c>
      <c r="P3" s="685" t="s">
        <v>55</v>
      </c>
      <c r="Q3" s="685" t="s">
        <v>56</v>
      </c>
      <c r="R3" s="681" t="s">
        <v>58</v>
      </c>
      <c r="S3" s="682"/>
      <c r="T3" s="682"/>
      <c r="U3" s="682"/>
      <c r="V3" s="682"/>
      <c r="W3" s="682"/>
      <c r="X3" s="682"/>
      <c r="Y3" s="682"/>
      <c r="Z3" s="44"/>
      <c r="AA3" s="45"/>
      <c r="AB3" s="45"/>
      <c r="AC3" s="47"/>
      <c r="AD3" s="49"/>
      <c r="AE3" s="677" t="s">
        <v>53</v>
      </c>
      <c r="AF3" s="53" t="s">
        <v>54</v>
      </c>
      <c r="AG3" s="685" t="s">
        <v>55</v>
      </c>
      <c r="AH3" s="685" t="s">
        <v>56</v>
      </c>
    </row>
    <row r="4" spans="1:34" s="1" customFormat="1" ht="63.75">
      <c r="A4" s="13" t="s">
        <v>59</v>
      </c>
      <c r="B4" s="30" t="s">
        <v>60</v>
      </c>
      <c r="C4" s="32" t="s">
        <v>61</v>
      </c>
      <c r="D4" s="34" t="s">
        <v>62</v>
      </c>
      <c r="E4" s="34" t="s">
        <v>63</v>
      </c>
      <c r="F4" s="37" t="s">
        <v>64</v>
      </c>
      <c r="G4" s="42" t="s">
        <v>65</v>
      </c>
      <c r="H4" s="37" t="s">
        <v>66</v>
      </c>
      <c r="I4" s="43" t="s">
        <v>67</v>
      </c>
      <c r="J4" s="16" t="s">
        <v>68</v>
      </c>
      <c r="K4" s="16" t="s">
        <v>69</v>
      </c>
      <c r="L4" s="48" t="s">
        <v>70</v>
      </c>
      <c r="M4" s="50" t="s">
        <v>71</v>
      </c>
      <c r="N4" s="678"/>
      <c r="O4" s="54" t="s">
        <v>72</v>
      </c>
      <c r="P4" s="686"/>
      <c r="Q4" s="686"/>
      <c r="R4" s="13" t="s">
        <v>59</v>
      </c>
      <c r="S4" s="30" t="s">
        <v>60</v>
      </c>
      <c r="T4" s="32" t="s">
        <v>61</v>
      </c>
      <c r="U4" s="34" t="s">
        <v>62</v>
      </c>
      <c r="V4" s="34" t="s">
        <v>63</v>
      </c>
      <c r="W4" s="37" t="s">
        <v>64</v>
      </c>
      <c r="X4" s="42" t="s">
        <v>65</v>
      </c>
      <c r="Y4" s="37" t="s">
        <v>66</v>
      </c>
      <c r="Z4" s="43" t="s">
        <v>67</v>
      </c>
      <c r="AA4" s="16" t="s">
        <v>68</v>
      </c>
      <c r="AB4" s="16" t="s">
        <v>69</v>
      </c>
      <c r="AC4" s="48" t="s">
        <v>70</v>
      </c>
      <c r="AD4" s="50" t="s">
        <v>71</v>
      </c>
      <c r="AE4" s="678"/>
      <c r="AF4" s="54" t="s">
        <v>72</v>
      </c>
      <c r="AG4" s="686"/>
      <c r="AH4" s="686"/>
    </row>
    <row r="6" spans="1:34" s="1" customFormat="1" ht="60.95" customHeight="1">
      <c r="A6" s="161" t="s">
        <v>3056</v>
      </c>
      <c r="C6" s="65"/>
      <c r="D6" s="35"/>
      <c r="E6" s="27"/>
      <c r="F6" s="27"/>
      <c r="G6" s="40"/>
      <c r="H6" s="35"/>
      <c r="I6" s="27"/>
      <c r="J6" s="23"/>
      <c r="K6" s="23"/>
      <c r="L6" s="28"/>
      <c r="M6" s="58"/>
      <c r="N6" s="52"/>
      <c r="O6" s="55"/>
      <c r="P6" s="14" t="s">
        <v>1274</v>
      </c>
      <c r="Q6" s="14" t="s">
        <v>1275</v>
      </c>
      <c r="R6" s="161" t="s">
        <v>3056</v>
      </c>
      <c r="T6" s="65"/>
      <c r="U6" s="35"/>
      <c r="V6" s="27"/>
      <c r="W6" s="27"/>
      <c r="X6" s="40"/>
      <c r="Y6" s="35"/>
      <c r="Z6" s="27"/>
      <c r="AA6" s="23"/>
      <c r="AB6" s="23"/>
      <c r="AC6" s="28"/>
      <c r="AD6" s="58"/>
      <c r="AE6" s="52"/>
      <c r="AF6" s="55"/>
      <c r="AG6" s="14" t="s">
        <v>1274</v>
      </c>
      <c r="AH6" s="14" t="s">
        <v>1275</v>
      </c>
    </row>
    <row r="7" spans="1:34" s="1" customFormat="1">
      <c r="A7" s="25"/>
      <c r="B7" s="64"/>
      <c r="C7" s="65"/>
      <c r="D7" s="62"/>
      <c r="E7" s="233"/>
      <c r="F7" s="35"/>
      <c r="G7" s="40"/>
      <c r="H7" s="35"/>
      <c r="I7" s="27"/>
      <c r="J7" s="23"/>
      <c r="K7" s="23"/>
      <c r="L7" s="28"/>
      <c r="M7" s="58"/>
      <c r="N7" s="52"/>
      <c r="O7" s="55"/>
      <c r="P7" s="14"/>
      <c r="Q7" s="14"/>
      <c r="R7" s="25" t="s">
        <v>3057</v>
      </c>
      <c r="S7" s="64" t="s">
        <v>3058</v>
      </c>
      <c r="T7" s="65">
        <v>1</v>
      </c>
      <c r="U7" s="62" t="s">
        <v>82</v>
      </c>
      <c r="V7" s="233" t="s">
        <v>3057</v>
      </c>
      <c r="W7" s="35">
        <v>3</v>
      </c>
      <c r="X7" s="40"/>
      <c r="Y7" s="35">
        <f t="shared" ref="Y7:Y70" si="0">W7-(W7*X7)</f>
        <v>3</v>
      </c>
      <c r="Z7" s="27"/>
      <c r="AA7" s="23"/>
      <c r="AB7" s="23"/>
      <c r="AC7" s="28"/>
      <c r="AD7" s="58"/>
      <c r="AE7" s="52" t="s">
        <v>75</v>
      </c>
      <c r="AF7" s="55" t="s">
        <v>3059</v>
      </c>
      <c r="AG7" s="14" t="s">
        <v>1274</v>
      </c>
      <c r="AH7" s="14" t="s">
        <v>1275</v>
      </c>
    </row>
    <row r="8" spans="1:34" s="1" customFormat="1">
      <c r="A8" s="25" t="s">
        <v>3060</v>
      </c>
      <c r="B8" s="64" t="s">
        <v>3061</v>
      </c>
      <c r="C8" s="65">
        <v>1</v>
      </c>
      <c r="D8" s="62" t="s">
        <v>82</v>
      </c>
      <c r="E8" s="233" t="s">
        <v>3060</v>
      </c>
      <c r="F8" s="35">
        <v>5</v>
      </c>
      <c r="G8" s="40"/>
      <c r="H8" s="35">
        <f t="shared" ref="H8:H34" si="1">F8-(F8*G8)</f>
        <v>5</v>
      </c>
      <c r="I8" s="27"/>
      <c r="J8" s="23"/>
      <c r="K8" s="23"/>
      <c r="L8" s="28"/>
      <c r="M8" s="58"/>
      <c r="N8" s="52" t="s">
        <v>75</v>
      </c>
      <c r="O8" s="55" t="s">
        <v>3059</v>
      </c>
      <c r="P8" s="14" t="s">
        <v>1274</v>
      </c>
      <c r="Q8" s="14" t="s">
        <v>1275</v>
      </c>
      <c r="R8" s="25" t="s">
        <v>3062</v>
      </c>
      <c r="S8" s="64" t="s">
        <v>3061</v>
      </c>
      <c r="T8" s="65">
        <v>1</v>
      </c>
      <c r="U8" s="62" t="s">
        <v>82</v>
      </c>
      <c r="V8" s="233" t="s">
        <v>3062</v>
      </c>
      <c r="W8" s="35">
        <v>5</v>
      </c>
      <c r="X8" s="40"/>
      <c r="Y8" s="35">
        <f t="shared" si="0"/>
        <v>5</v>
      </c>
      <c r="Z8" s="27"/>
      <c r="AA8" s="23"/>
      <c r="AB8" s="23"/>
      <c r="AC8" s="28"/>
      <c r="AD8" s="58"/>
      <c r="AE8" s="52" t="s">
        <v>75</v>
      </c>
      <c r="AF8" s="55" t="s">
        <v>3059</v>
      </c>
      <c r="AG8" s="14" t="s">
        <v>1274</v>
      </c>
      <c r="AH8" s="14" t="s">
        <v>1275</v>
      </c>
    </row>
    <row r="9" spans="1:34" s="1" customFormat="1">
      <c r="A9" s="25" t="s">
        <v>3063</v>
      </c>
      <c r="B9" s="64" t="s">
        <v>3064</v>
      </c>
      <c r="C9" s="65">
        <v>1</v>
      </c>
      <c r="D9" s="62" t="s">
        <v>82</v>
      </c>
      <c r="E9" s="233" t="s">
        <v>3063</v>
      </c>
      <c r="F9" s="35">
        <v>8</v>
      </c>
      <c r="G9" s="40"/>
      <c r="H9" s="35">
        <f t="shared" si="1"/>
        <v>8</v>
      </c>
      <c r="I9" s="27"/>
      <c r="J9" s="23"/>
      <c r="K9" s="23"/>
      <c r="L9" s="28"/>
      <c r="M9" s="58"/>
      <c r="N9" s="52" t="s">
        <v>75</v>
      </c>
      <c r="O9" s="55" t="s">
        <v>3059</v>
      </c>
      <c r="P9" s="14" t="s">
        <v>1274</v>
      </c>
      <c r="Q9" s="14" t="s">
        <v>1275</v>
      </c>
      <c r="R9" s="25" t="s">
        <v>3065</v>
      </c>
      <c r="S9" s="64" t="s">
        <v>3064</v>
      </c>
      <c r="T9" s="65">
        <v>1</v>
      </c>
      <c r="U9" s="62" t="s">
        <v>82</v>
      </c>
      <c r="V9" s="233" t="s">
        <v>3065</v>
      </c>
      <c r="W9" s="35">
        <v>8</v>
      </c>
      <c r="X9" s="40"/>
      <c r="Y9" s="35">
        <f t="shared" si="0"/>
        <v>8</v>
      </c>
      <c r="Z9" s="27"/>
      <c r="AA9" s="23"/>
      <c r="AB9" s="23"/>
      <c r="AC9" s="28"/>
      <c r="AD9" s="58"/>
      <c r="AE9" s="52" t="s">
        <v>75</v>
      </c>
      <c r="AF9" s="55" t="s">
        <v>3059</v>
      </c>
      <c r="AG9" s="14" t="s">
        <v>1274</v>
      </c>
      <c r="AH9" s="14" t="s">
        <v>1275</v>
      </c>
    </row>
    <row r="10" spans="1:34" s="1" customFormat="1">
      <c r="A10" s="25" t="s">
        <v>3066</v>
      </c>
      <c r="B10" s="64" t="s">
        <v>3067</v>
      </c>
      <c r="C10" s="65">
        <v>1</v>
      </c>
      <c r="D10" s="35" t="s">
        <v>82</v>
      </c>
      <c r="E10" s="29" t="s">
        <v>3066</v>
      </c>
      <c r="F10" s="35">
        <v>8</v>
      </c>
      <c r="G10" s="40"/>
      <c r="H10" s="35">
        <f t="shared" si="1"/>
        <v>8</v>
      </c>
      <c r="I10" s="27"/>
      <c r="J10" s="23"/>
      <c r="K10" s="23"/>
      <c r="L10" s="28"/>
      <c r="M10" s="58"/>
      <c r="N10" s="52" t="s">
        <v>75</v>
      </c>
      <c r="O10" s="55" t="s">
        <v>3059</v>
      </c>
      <c r="P10" s="14" t="s">
        <v>1274</v>
      </c>
      <c r="Q10" s="14" t="s">
        <v>1275</v>
      </c>
      <c r="R10" s="25" t="s">
        <v>3066</v>
      </c>
      <c r="S10" s="64" t="s">
        <v>3067</v>
      </c>
      <c r="T10" s="65">
        <v>1</v>
      </c>
      <c r="U10" s="35" t="s">
        <v>82</v>
      </c>
      <c r="V10" s="29" t="s">
        <v>3066</v>
      </c>
      <c r="W10" s="35">
        <v>8</v>
      </c>
      <c r="X10" s="40"/>
      <c r="Y10" s="35">
        <f t="shared" si="0"/>
        <v>8</v>
      </c>
      <c r="Z10" s="27"/>
      <c r="AA10" s="23"/>
      <c r="AB10" s="23"/>
      <c r="AC10" s="28"/>
      <c r="AD10" s="58"/>
      <c r="AE10" s="52" t="s">
        <v>75</v>
      </c>
      <c r="AF10" s="55" t="s">
        <v>3059</v>
      </c>
      <c r="AG10" s="14" t="s">
        <v>1274</v>
      </c>
      <c r="AH10" s="14" t="s">
        <v>1275</v>
      </c>
    </row>
    <row r="11" spans="1:34" s="1" customFormat="1">
      <c r="A11" s="25" t="s">
        <v>3068</v>
      </c>
      <c r="B11" s="64" t="s">
        <v>3069</v>
      </c>
      <c r="C11" s="65">
        <v>1</v>
      </c>
      <c r="D11" s="35" t="s">
        <v>82</v>
      </c>
      <c r="E11" s="29" t="s">
        <v>3068</v>
      </c>
      <c r="F11" s="35">
        <v>8</v>
      </c>
      <c r="G11" s="40"/>
      <c r="H11" s="35">
        <f t="shared" si="1"/>
        <v>8</v>
      </c>
      <c r="I11" s="27"/>
      <c r="J11" s="23"/>
      <c r="K11" s="23"/>
      <c r="L11" s="28"/>
      <c r="M11" s="58"/>
      <c r="N11" s="52" t="s">
        <v>75</v>
      </c>
      <c r="O11" s="55" t="s">
        <v>3059</v>
      </c>
      <c r="P11" s="14" t="s">
        <v>1274</v>
      </c>
      <c r="Q11" s="14" t="s">
        <v>1275</v>
      </c>
      <c r="R11" s="25" t="s">
        <v>3068</v>
      </c>
      <c r="S11" s="64" t="s">
        <v>3069</v>
      </c>
      <c r="T11" s="65">
        <v>1</v>
      </c>
      <c r="U11" s="35" t="s">
        <v>82</v>
      </c>
      <c r="V11" s="29" t="s">
        <v>3068</v>
      </c>
      <c r="W11" s="35">
        <v>8</v>
      </c>
      <c r="X11" s="40"/>
      <c r="Y11" s="35">
        <f t="shared" si="0"/>
        <v>8</v>
      </c>
      <c r="Z11" s="27"/>
      <c r="AA11" s="23"/>
      <c r="AB11" s="23"/>
      <c r="AC11" s="28"/>
      <c r="AD11" s="58"/>
      <c r="AE11" s="52" t="s">
        <v>75</v>
      </c>
      <c r="AF11" s="55" t="s">
        <v>3059</v>
      </c>
      <c r="AG11" s="14" t="s">
        <v>1274</v>
      </c>
      <c r="AH11" s="14" t="s">
        <v>1275</v>
      </c>
    </row>
    <row r="12" spans="1:34" s="1" customFormat="1">
      <c r="A12" s="25" t="s">
        <v>3070</v>
      </c>
      <c r="B12" s="64" t="s">
        <v>3071</v>
      </c>
      <c r="C12" s="65">
        <v>1</v>
      </c>
      <c r="D12" s="35" t="s">
        <v>82</v>
      </c>
      <c r="E12" s="29" t="s">
        <v>3070</v>
      </c>
      <c r="F12" s="35">
        <v>15</v>
      </c>
      <c r="G12" s="40"/>
      <c r="H12" s="35">
        <f t="shared" si="1"/>
        <v>15</v>
      </c>
      <c r="I12" s="27"/>
      <c r="J12" s="23"/>
      <c r="K12" s="23"/>
      <c r="L12" s="28"/>
      <c r="M12" s="58"/>
      <c r="N12" s="52" t="s">
        <v>75</v>
      </c>
      <c r="O12" s="55" t="s">
        <v>3059</v>
      </c>
      <c r="P12" s="14" t="s">
        <v>1274</v>
      </c>
      <c r="Q12" s="14" t="s">
        <v>1275</v>
      </c>
      <c r="R12" s="25" t="s">
        <v>3070</v>
      </c>
      <c r="S12" s="64" t="s">
        <v>3071</v>
      </c>
      <c r="T12" s="65">
        <v>1</v>
      </c>
      <c r="U12" s="35" t="s">
        <v>82</v>
      </c>
      <c r="V12" s="29" t="s">
        <v>3070</v>
      </c>
      <c r="W12" s="35">
        <v>15</v>
      </c>
      <c r="X12" s="40"/>
      <c r="Y12" s="35">
        <f t="shared" si="0"/>
        <v>15</v>
      </c>
      <c r="Z12" s="27"/>
      <c r="AA12" s="23"/>
      <c r="AB12" s="23"/>
      <c r="AC12" s="28"/>
      <c r="AD12" s="58"/>
      <c r="AE12" s="52" t="s">
        <v>75</v>
      </c>
      <c r="AF12" s="55" t="s">
        <v>3059</v>
      </c>
      <c r="AG12" s="14" t="s">
        <v>1274</v>
      </c>
      <c r="AH12" s="14" t="s">
        <v>1275</v>
      </c>
    </row>
    <row r="13" spans="1:34" s="1" customFormat="1">
      <c r="A13" s="25" t="s">
        <v>3072</v>
      </c>
      <c r="B13" s="64" t="s">
        <v>3073</v>
      </c>
      <c r="C13" s="65">
        <v>1</v>
      </c>
      <c r="D13" s="35" t="s">
        <v>82</v>
      </c>
      <c r="E13" s="29" t="s">
        <v>3072</v>
      </c>
      <c r="F13" s="35">
        <v>5</v>
      </c>
      <c r="G13" s="40"/>
      <c r="H13" s="35">
        <f t="shared" si="1"/>
        <v>5</v>
      </c>
      <c r="I13" s="27"/>
      <c r="J13" s="23"/>
      <c r="K13" s="23"/>
      <c r="L13" s="28"/>
      <c r="M13" s="58"/>
      <c r="N13" s="52" t="s">
        <v>75</v>
      </c>
      <c r="O13" s="55" t="s">
        <v>3059</v>
      </c>
      <c r="P13" s="14" t="s">
        <v>1274</v>
      </c>
      <c r="Q13" s="14" t="s">
        <v>1275</v>
      </c>
      <c r="R13" s="25" t="s">
        <v>3074</v>
      </c>
      <c r="S13" s="64" t="s">
        <v>3073</v>
      </c>
      <c r="T13" s="65">
        <v>1</v>
      </c>
      <c r="U13" s="35" t="s">
        <v>82</v>
      </c>
      <c r="V13" s="29" t="s">
        <v>3074</v>
      </c>
      <c r="W13" s="35">
        <v>5</v>
      </c>
      <c r="X13" s="40"/>
      <c r="Y13" s="35">
        <f t="shared" si="0"/>
        <v>5</v>
      </c>
      <c r="Z13" s="27"/>
      <c r="AA13" s="23"/>
      <c r="AB13" s="23"/>
      <c r="AC13" s="28"/>
      <c r="AD13" s="58"/>
      <c r="AE13" s="52" t="s">
        <v>75</v>
      </c>
      <c r="AF13" s="55" t="s">
        <v>3059</v>
      </c>
      <c r="AG13" s="14" t="s">
        <v>1274</v>
      </c>
      <c r="AH13" s="14" t="s">
        <v>1275</v>
      </c>
    </row>
    <row r="14" spans="1:34" s="1" customFormat="1">
      <c r="A14" s="235" t="s">
        <v>3075</v>
      </c>
      <c r="B14" s="64" t="s">
        <v>3076</v>
      </c>
      <c r="C14" s="65">
        <v>1</v>
      </c>
      <c r="D14" s="35" t="s">
        <v>3077</v>
      </c>
      <c r="E14" s="29" t="s">
        <v>3075</v>
      </c>
      <c r="F14" s="35">
        <v>16</v>
      </c>
      <c r="G14" s="40"/>
      <c r="H14" s="35">
        <f t="shared" si="1"/>
        <v>16</v>
      </c>
      <c r="I14" s="27"/>
      <c r="J14" s="23"/>
      <c r="K14" s="23"/>
      <c r="L14" s="28"/>
      <c r="M14" s="58"/>
      <c r="N14" s="52" t="s">
        <v>75</v>
      </c>
      <c r="O14" s="55" t="s">
        <v>3059</v>
      </c>
      <c r="P14" s="14" t="s">
        <v>1274</v>
      </c>
      <c r="Q14" s="14" t="s">
        <v>1275</v>
      </c>
      <c r="R14" s="235" t="s">
        <v>3075</v>
      </c>
      <c r="S14" s="64" t="s">
        <v>3076</v>
      </c>
      <c r="T14" s="65">
        <v>1</v>
      </c>
      <c r="U14" s="35" t="s">
        <v>3077</v>
      </c>
      <c r="V14" s="29" t="s">
        <v>3075</v>
      </c>
      <c r="W14" s="35">
        <v>16</v>
      </c>
      <c r="X14" s="40"/>
      <c r="Y14" s="35">
        <f t="shared" si="0"/>
        <v>16</v>
      </c>
      <c r="Z14" s="27"/>
      <c r="AA14" s="23"/>
      <c r="AB14" s="23"/>
      <c r="AC14" s="28"/>
      <c r="AD14" s="58"/>
      <c r="AE14" s="52" t="s">
        <v>75</v>
      </c>
      <c r="AF14" s="55" t="s">
        <v>3059</v>
      </c>
      <c r="AG14" s="14" t="s">
        <v>1274</v>
      </c>
      <c r="AH14" s="14" t="s">
        <v>1275</v>
      </c>
    </row>
    <row r="15" spans="1:34" s="1" customFormat="1">
      <c r="A15" s="25" t="s">
        <v>3078</v>
      </c>
      <c r="B15" s="64" t="s">
        <v>3079</v>
      </c>
      <c r="C15" s="65">
        <v>1</v>
      </c>
      <c r="D15" s="35" t="s">
        <v>3080</v>
      </c>
      <c r="E15" s="29" t="s">
        <v>3078</v>
      </c>
      <c r="F15" s="35">
        <v>133.33000000000001</v>
      </c>
      <c r="G15" s="40"/>
      <c r="H15" s="35">
        <f t="shared" si="1"/>
        <v>133.33000000000001</v>
      </c>
      <c r="I15" s="27"/>
      <c r="J15" s="23"/>
      <c r="K15" s="23"/>
      <c r="L15" s="28"/>
      <c r="M15" s="58"/>
      <c r="N15" s="52" t="s">
        <v>75</v>
      </c>
      <c r="O15" s="55" t="s">
        <v>3059</v>
      </c>
      <c r="P15" s="14" t="s">
        <v>1274</v>
      </c>
      <c r="Q15" s="14" t="s">
        <v>1275</v>
      </c>
      <c r="R15" s="25" t="s">
        <v>3078</v>
      </c>
      <c r="S15" s="64" t="s">
        <v>3079</v>
      </c>
      <c r="T15" s="65">
        <v>1</v>
      </c>
      <c r="U15" s="35" t="s">
        <v>3080</v>
      </c>
      <c r="V15" s="29" t="s">
        <v>3078</v>
      </c>
      <c r="W15" s="35">
        <v>133.33000000000001</v>
      </c>
      <c r="X15" s="40"/>
      <c r="Y15" s="35">
        <f t="shared" si="0"/>
        <v>133.33000000000001</v>
      </c>
      <c r="Z15" s="27"/>
      <c r="AA15" s="23"/>
      <c r="AB15" s="23"/>
      <c r="AC15" s="28"/>
      <c r="AD15" s="58"/>
      <c r="AE15" s="52" t="s">
        <v>75</v>
      </c>
      <c r="AF15" s="55" t="s">
        <v>3059</v>
      </c>
      <c r="AG15" s="14" t="s">
        <v>1274</v>
      </c>
      <c r="AH15" s="14" t="s">
        <v>1275</v>
      </c>
    </row>
    <row r="16" spans="1:34" s="1" customFormat="1">
      <c r="A16" s="25" t="s">
        <v>3081</v>
      </c>
      <c r="B16" s="64" t="s">
        <v>3082</v>
      </c>
      <c r="C16" s="65">
        <v>1</v>
      </c>
      <c r="D16" s="35" t="s">
        <v>3080</v>
      </c>
      <c r="E16" s="29" t="s">
        <v>3081</v>
      </c>
      <c r="F16" s="35">
        <v>106.67</v>
      </c>
      <c r="G16" s="40"/>
      <c r="H16" s="35">
        <f t="shared" si="1"/>
        <v>106.67</v>
      </c>
      <c r="I16" s="27"/>
      <c r="J16" s="23"/>
      <c r="K16" s="23"/>
      <c r="L16" s="28"/>
      <c r="M16" s="58"/>
      <c r="N16" s="52" t="s">
        <v>75</v>
      </c>
      <c r="O16" s="55" t="s">
        <v>3059</v>
      </c>
      <c r="P16" s="14" t="s">
        <v>1274</v>
      </c>
      <c r="Q16" s="14" t="s">
        <v>1275</v>
      </c>
      <c r="R16" s="25" t="s">
        <v>3081</v>
      </c>
      <c r="S16" s="64" t="s">
        <v>3082</v>
      </c>
      <c r="T16" s="65">
        <v>1</v>
      </c>
      <c r="U16" s="35" t="s">
        <v>3080</v>
      </c>
      <c r="V16" s="29" t="s">
        <v>3081</v>
      </c>
      <c r="W16" s="35">
        <v>106.67</v>
      </c>
      <c r="X16" s="40"/>
      <c r="Y16" s="35">
        <f t="shared" si="0"/>
        <v>106.67</v>
      </c>
      <c r="Z16" s="27"/>
      <c r="AA16" s="23"/>
      <c r="AB16" s="23"/>
      <c r="AC16" s="28"/>
      <c r="AD16" s="58"/>
      <c r="AE16" s="52" t="s">
        <v>75</v>
      </c>
      <c r="AF16" s="55" t="s">
        <v>3059</v>
      </c>
      <c r="AG16" s="14" t="s">
        <v>1274</v>
      </c>
      <c r="AH16" s="14" t="s">
        <v>1275</v>
      </c>
    </row>
    <row r="17" spans="1:34" s="1" customFormat="1">
      <c r="A17" s="25" t="s">
        <v>3083</v>
      </c>
      <c r="B17" s="64" t="s">
        <v>3084</v>
      </c>
      <c r="C17" s="65">
        <v>1</v>
      </c>
      <c r="D17" s="35" t="s">
        <v>3080</v>
      </c>
      <c r="E17" s="29" t="s">
        <v>3083</v>
      </c>
      <c r="F17" s="35">
        <v>86.67</v>
      </c>
      <c r="G17" s="40"/>
      <c r="H17" s="35">
        <f t="shared" si="1"/>
        <v>86.67</v>
      </c>
      <c r="I17" s="27"/>
      <c r="J17" s="23"/>
      <c r="K17" s="23"/>
      <c r="L17" s="28"/>
      <c r="M17" s="58"/>
      <c r="N17" s="52" t="s">
        <v>75</v>
      </c>
      <c r="O17" s="55" t="s">
        <v>3059</v>
      </c>
      <c r="P17" s="14" t="s">
        <v>1274</v>
      </c>
      <c r="Q17" s="14" t="s">
        <v>1275</v>
      </c>
      <c r="R17" s="25" t="s">
        <v>3083</v>
      </c>
      <c r="S17" s="64" t="s">
        <v>3084</v>
      </c>
      <c r="T17" s="65">
        <v>1</v>
      </c>
      <c r="U17" s="35" t="s">
        <v>3080</v>
      </c>
      <c r="V17" s="29" t="s">
        <v>3083</v>
      </c>
      <c r="W17" s="35">
        <v>86.67</v>
      </c>
      <c r="X17" s="40"/>
      <c r="Y17" s="35">
        <f t="shared" si="0"/>
        <v>86.67</v>
      </c>
      <c r="Z17" s="27"/>
      <c r="AA17" s="23"/>
      <c r="AB17" s="23"/>
      <c r="AC17" s="28"/>
      <c r="AD17" s="58"/>
      <c r="AE17" s="52" t="s">
        <v>75</v>
      </c>
      <c r="AF17" s="55" t="s">
        <v>3059</v>
      </c>
      <c r="AG17" s="14" t="s">
        <v>1274</v>
      </c>
      <c r="AH17" s="14" t="s">
        <v>1275</v>
      </c>
    </row>
    <row r="18" spans="1:34" s="1" customFormat="1">
      <c r="A18" s="25" t="s">
        <v>3085</v>
      </c>
      <c r="B18" s="64" t="s">
        <v>3086</v>
      </c>
      <c r="C18" s="65">
        <v>1</v>
      </c>
      <c r="D18" s="35" t="s">
        <v>3080</v>
      </c>
      <c r="E18" s="29" t="s">
        <v>3085</v>
      </c>
      <c r="F18" s="35">
        <v>72</v>
      </c>
      <c r="G18" s="40"/>
      <c r="H18" s="35">
        <f t="shared" si="1"/>
        <v>72</v>
      </c>
      <c r="I18" s="27"/>
      <c r="J18" s="23"/>
      <c r="K18" s="23"/>
      <c r="L18" s="28"/>
      <c r="M18" s="58"/>
      <c r="N18" s="52" t="s">
        <v>75</v>
      </c>
      <c r="O18" s="55" t="s">
        <v>3059</v>
      </c>
      <c r="P18" s="14" t="s">
        <v>1274</v>
      </c>
      <c r="Q18" s="14" t="s">
        <v>1275</v>
      </c>
      <c r="R18" s="25" t="s">
        <v>3085</v>
      </c>
      <c r="S18" s="64" t="s">
        <v>3086</v>
      </c>
      <c r="T18" s="65">
        <v>1</v>
      </c>
      <c r="U18" s="35" t="s">
        <v>3080</v>
      </c>
      <c r="V18" s="29" t="s">
        <v>3085</v>
      </c>
      <c r="W18" s="35">
        <v>72</v>
      </c>
      <c r="X18" s="40"/>
      <c r="Y18" s="35">
        <f t="shared" si="0"/>
        <v>72</v>
      </c>
      <c r="Z18" s="27"/>
      <c r="AA18" s="23"/>
      <c r="AB18" s="23"/>
      <c r="AC18" s="28"/>
      <c r="AD18" s="58"/>
      <c r="AE18" s="52" t="s">
        <v>75</v>
      </c>
      <c r="AF18" s="55" t="s">
        <v>3059</v>
      </c>
      <c r="AG18" s="14" t="s">
        <v>1274</v>
      </c>
      <c r="AH18" s="14" t="s">
        <v>1275</v>
      </c>
    </row>
    <row r="19" spans="1:34" s="1" customFormat="1">
      <c r="A19" s="25" t="s">
        <v>3087</v>
      </c>
      <c r="B19" s="64" t="s">
        <v>3088</v>
      </c>
      <c r="C19" s="65">
        <v>1</v>
      </c>
      <c r="D19" s="35" t="s">
        <v>3080</v>
      </c>
      <c r="E19" s="29" t="s">
        <v>3087</v>
      </c>
      <c r="F19" s="35">
        <v>146.66999999999999</v>
      </c>
      <c r="G19" s="40"/>
      <c r="H19" s="35">
        <f t="shared" si="1"/>
        <v>146.66999999999999</v>
      </c>
      <c r="I19" s="27"/>
      <c r="J19" s="23"/>
      <c r="K19" s="23"/>
      <c r="L19" s="28"/>
      <c r="M19" s="58"/>
      <c r="N19" s="52" t="s">
        <v>75</v>
      </c>
      <c r="O19" s="55" t="s">
        <v>3059</v>
      </c>
      <c r="P19" s="14" t="s">
        <v>1274</v>
      </c>
      <c r="Q19" s="14" t="s">
        <v>1275</v>
      </c>
      <c r="R19" s="25" t="s">
        <v>3087</v>
      </c>
      <c r="S19" s="64" t="s">
        <v>3088</v>
      </c>
      <c r="T19" s="65">
        <v>1</v>
      </c>
      <c r="U19" s="35" t="s">
        <v>3080</v>
      </c>
      <c r="V19" s="29" t="s">
        <v>3087</v>
      </c>
      <c r="W19" s="35">
        <v>146.66999999999999</v>
      </c>
      <c r="X19" s="40"/>
      <c r="Y19" s="35">
        <f t="shared" si="0"/>
        <v>146.66999999999999</v>
      </c>
      <c r="Z19" s="27"/>
      <c r="AA19" s="23"/>
      <c r="AB19" s="23"/>
      <c r="AC19" s="28"/>
      <c r="AD19" s="58"/>
      <c r="AE19" s="52" t="s">
        <v>75</v>
      </c>
      <c r="AF19" s="55" t="s">
        <v>3059</v>
      </c>
      <c r="AG19" s="14" t="s">
        <v>1274</v>
      </c>
      <c r="AH19" s="14" t="s">
        <v>1275</v>
      </c>
    </row>
    <row r="20" spans="1:34" s="1" customFormat="1">
      <c r="A20" s="25" t="s">
        <v>3089</v>
      </c>
      <c r="B20" s="64" t="s">
        <v>3090</v>
      </c>
      <c r="C20" s="65">
        <v>1</v>
      </c>
      <c r="D20" s="35" t="s">
        <v>3080</v>
      </c>
      <c r="E20" s="29" t="s">
        <v>3089</v>
      </c>
      <c r="F20" s="35">
        <v>120</v>
      </c>
      <c r="G20" s="40"/>
      <c r="H20" s="35">
        <f t="shared" si="1"/>
        <v>120</v>
      </c>
      <c r="I20" s="27"/>
      <c r="J20" s="23"/>
      <c r="K20" s="23"/>
      <c r="L20" s="28"/>
      <c r="M20" s="58"/>
      <c r="N20" s="52" t="s">
        <v>75</v>
      </c>
      <c r="O20" s="55" t="s">
        <v>3059</v>
      </c>
      <c r="P20" s="14" t="s">
        <v>1274</v>
      </c>
      <c r="Q20" s="14" t="s">
        <v>1275</v>
      </c>
      <c r="R20" s="25" t="s">
        <v>3089</v>
      </c>
      <c r="S20" s="64" t="s">
        <v>3090</v>
      </c>
      <c r="T20" s="65">
        <v>1</v>
      </c>
      <c r="U20" s="35" t="s">
        <v>3080</v>
      </c>
      <c r="V20" s="29" t="s">
        <v>3089</v>
      </c>
      <c r="W20" s="35">
        <v>120</v>
      </c>
      <c r="X20" s="40"/>
      <c r="Y20" s="35">
        <f t="shared" si="0"/>
        <v>120</v>
      </c>
      <c r="Z20" s="27"/>
      <c r="AA20" s="23"/>
      <c r="AB20" s="23"/>
      <c r="AC20" s="28"/>
      <c r="AD20" s="58"/>
      <c r="AE20" s="52" t="s">
        <v>75</v>
      </c>
      <c r="AF20" s="55" t="s">
        <v>3059</v>
      </c>
      <c r="AG20" s="14" t="s">
        <v>1274</v>
      </c>
      <c r="AH20" s="14" t="s">
        <v>1275</v>
      </c>
    </row>
    <row r="21" spans="1:34" s="1" customFormat="1">
      <c r="A21" s="25" t="s">
        <v>3091</v>
      </c>
      <c r="B21" s="64" t="s">
        <v>3092</v>
      </c>
      <c r="C21" s="65">
        <v>1</v>
      </c>
      <c r="D21" s="35" t="s">
        <v>3080</v>
      </c>
      <c r="E21" s="29" t="s">
        <v>3091</v>
      </c>
      <c r="F21" s="35">
        <v>106.67</v>
      </c>
      <c r="G21" s="40"/>
      <c r="H21" s="35">
        <f t="shared" si="1"/>
        <v>106.67</v>
      </c>
      <c r="I21" s="27"/>
      <c r="J21" s="23"/>
      <c r="K21" s="23"/>
      <c r="L21" s="28"/>
      <c r="M21" s="58"/>
      <c r="N21" s="52" t="s">
        <v>75</v>
      </c>
      <c r="O21" s="55" t="s">
        <v>3059</v>
      </c>
      <c r="P21" s="14" t="s">
        <v>1274</v>
      </c>
      <c r="Q21" s="14" t="s">
        <v>1275</v>
      </c>
      <c r="R21" s="25" t="s">
        <v>3091</v>
      </c>
      <c r="S21" s="64" t="s">
        <v>3092</v>
      </c>
      <c r="T21" s="65">
        <v>1</v>
      </c>
      <c r="U21" s="35" t="s">
        <v>3080</v>
      </c>
      <c r="V21" s="29" t="s">
        <v>3091</v>
      </c>
      <c r="W21" s="35">
        <v>106.67</v>
      </c>
      <c r="X21" s="40"/>
      <c r="Y21" s="35">
        <f t="shared" si="0"/>
        <v>106.67</v>
      </c>
      <c r="Z21" s="27"/>
      <c r="AA21" s="23"/>
      <c r="AB21" s="23"/>
      <c r="AC21" s="28"/>
      <c r="AD21" s="58"/>
      <c r="AE21" s="52" t="s">
        <v>75</v>
      </c>
      <c r="AF21" s="55" t="s">
        <v>3059</v>
      </c>
      <c r="AG21" s="14" t="s">
        <v>1274</v>
      </c>
      <c r="AH21" s="14" t="s">
        <v>1275</v>
      </c>
    </row>
    <row r="22" spans="1:34" s="1" customFormat="1">
      <c r="A22" s="25" t="s">
        <v>3093</v>
      </c>
      <c r="B22" s="64" t="s">
        <v>3094</v>
      </c>
      <c r="C22" s="65">
        <v>1</v>
      </c>
      <c r="D22" s="35" t="s">
        <v>3080</v>
      </c>
      <c r="E22" s="29" t="s">
        <v>3093</v>
      </c>
      <c r="F22" s="35">
        <v>100</v>
      </c>
      <c r="G22" s="40"/>
      <c r="H22" s="35">
        <f t="shared" si="1"/>
        <v>100</v>
      </c>
      <c r="I22" s="27"/>
      <c r="J22" s="23"/>
      <c r="K22" s="23"/>
      <c r="L22" s="28"/>
      <c r="M22" s="58"/>
      <c r="N22" s="52" t="s">
        <v>75</v>
      </c>
      <c r="O22" s="55" t="s">
        <v>3059</v>
      </c>
      <c r="P22" s="14" t="s">
        <v>1274</v>
      </c>
      <c r="Q22" s="14" t="s">
        <v>1275</v>
      </c>
      <c r="R22" s="25" t="s">
        <v>3093</v>
      </c>
      <c r="S22" s="64" t="s">
        <v>3094</v>
      </c>
      <c r="T22" s="65">
        <v>1</v>
      </c>
      <c r="U22" s="35" t="s">
        <v>3080</v>
      </c>
      <c r="V22" s="29" t="s">
        <v>3093</v>
      </c>
      <c r="W22" s="35">
        <v>100</v>
      </c>
      <c r="X22" s="40"/>
      <c r="Y22" s="35">
        <f t="shared" si="0"/>
        <v>100</v>
      </c>
      <c r="Z22" s="27"/>
      <c r="AA22" s="23"/>
      <c r="AB22" s="23"/>
      <c r="AC22" s="28"/>
      <c r="AD22" s="58"/>
      <c r="AE22" s="52" t="s">
        <v>75</v>
      </c>
      <c r="AF22" s="55" t="s">
        <v>3059</v>
      </c>
      <c r="AG22" s="14" t="s">
        <v>1274</v>
      </c>
      <c r="AH22" s="14" t="s">
        <v>1275</v>
      </c>
    </row>
    <row r="23" spans="1:34" s="1" customFormat="1">
      <c r="A23" s="25" t="s">
        <v>3095</v>
      </c>
      <c r="B23" s="64" t="s">
        <v>3096</v>
      </c>
      <c r="C23" s="65">
        <v>1</v>
      </c>
      <c r="D23" s="35" t="s">
        <v>3080</v>
      </c>
      <c r="E23" s="29" t="s">
        <v>3095</v>
      </c>
      <c r="F23" s="35">
        <v>246.67</v>
      </c>
      <c r="G23" s="40"/>
      <c r="H23" s="35">
        <f t="shared" si="1"/>
        <v>246.67</v>
      </c>
      <c r="I23" s="27"/>
      <c r="J23" s="23"/>
      <c r="K23" s="23"/>
      <c r="L23" s="28"/>
      <c r="M23" s="58"/>
      <c r="N23" s="52" t="s">
        <v>75</v>
      </c>
      <c r="O23" s="55" t="s">
        <v>3059</v>
      </c>
      <c r="P23" s="14" t="s">
        <v>1274</v>
      </c>
      <c r="Q23" s="14" t="s">
        <v>1275</v>
      </c>
      <c r="R23" s="25" t="s">
        <v>3095</v>
      </c>
      <c r="S23" s="64" t="s">
        <v>3096</v>
      </c>
      <c r="T23" s="65">
        <v>1</v>
      </c>
      <c r="U23" s="35" t="s">
        <v>3080</v>
      </c>
      <c r="V23" s="29" t="s">
        <v>3095</v>
      </c>
      <c r="W23" s="35">
        <v>246.67</v>
      </c>
      <c r="X23" s="40"/>
      <c r="Y23" s="35">
        <f t="shared" si="0"/>
        <v>246.67</v>
      </c>
      <c r="Z23" s="27"/>
      <c r="AA23" s="23"/>
      <c r="AB23" s="23"/>
      <c r="AC23" s="28"/>
      <c r="AD23" s="58"/>
      <c r="AE23" s="52" t="s">
        <v>75</v>
      </c>
      <c r="AF23" s="55" t="s">
        <v>3059</v>
      </c>
      <c r="AG23" s="14" t="s">
        <v>1274</v>
      </c>
      <c r="AH23" s="14" t="s">
        <v>1275</v>
      </c>
    </row>
    <row r="24" spans="1:34" s="1" customFormat="1">
      <c r="A24" s="25" t="s">
        <v>3097</v>
      </c>
      <c r="B24" s="64" t="s">
        <v>3098</v>
      </c>
      <c r="C24" s="65">
        <v>1</v>
      </c>
      <c r="D24" s="35" t="s">
        <v>3080</v>
      </c>
      <c r="E24" s="29" t="s">
        <v>3097</v>
      </c>
      <c r="F24" s="35">
        <v>153.33000000000001</v>
      </c>
      <c r="G24" s="40"/>
      <c r="H24" s="35">
        <f t="shared" si="1"/>
        <v>153.33000000000001</v>
      </c>
      <c r="I24" s="27"/>
      <c r="J24" s="23"/>
      <c r="K24" s="23"/>
      <c r="L24" s="28"/>
      <c r="M24" s="58"/>
      <c r="N24" s="52" t="s">
        <v>75</v>
      </c>
      <c r="O24" s="55" t="s">
        <v>3059</v>
      </c>
      <c r="P24" s="14" t="s">
        <v>1274</v>
      </c>
      <c r="Q24" s="14" t="s">
        <v>1275</v>
      </c>
      <c r="R24" s="25" t="s">
        <v>3097</v>
      </c>
      <c r="S24" s="64" t="s">
        <v>3098</v>
      </c>
      <c r="T24" s="65">
        <v>1</v>
      </c>
      <c r="U24" s="35" t="s">
        <v>3080</v>
      </c>
      <c r="V24" s="29" t="s">
        <v>3097</v>
      </c>
      <c r="W24" s="35">
        <v>153.33000000000001</v>
      </c>
      <c r="X24" s="40"/>
      <c r="Y24" s="35">
        <f t="shared" si="0"/>
        <v>153.33000000000001</v>
      </c>
      <c r="Z24" s="27"/>
      <c r="AA24" s="23"/>
      <c r="AB24" s="23"/>
      <c r="AC24" s="28"/>
      <c r="AD24" s="58"/>
      <c r="AE24" s="52" t="s">
        <v>75</v>
      </c>
      <c r="AF24" s="55" t="s">
        <v>3059</v>
      </c>
      <c r="AG24" s="14" t="s">
        <v>1274</v>
      </c>
      <c r="AH24" s="14" t="s">
        <v>1275</v>
      </c>
    </row>
    <row r="25" spans="1:34" s="1" customFormat="1">
      <c r="A25" s="25" t="s">
        <v>3099</v>
      </c>
      <c r="B25" s="64" t="s">
        <v>3100</v>
      </c>
      <c r="C25" s="65">
        <v>1</v>
      </c>
      <c r="D25" s="35" t="s">
        <v>3080</v>
      </c>
      <c r="E25" s="29" t="s">
        <v>3099</v>
      </c>
      <c r="F25" s="35">
        <v>133.33000000000001</v>
      </c>
      <c r="G25" s="40"/>
      <c r="H25" s="35">
        <f t="shared" si="1"/>
        <v>133.33000000000001</v>
      </c>
      <c r="I25" s="27"/>
      <c r="J25" s="23"/>
      <c r="K25" s="23"/>
      <c r="L25" s="28"/>
      <c r="M25" s="58"/>
      <c r="N25" s="52" t="s">
        <v>75</v>
      </c>
      <c r="O25" s="55" t="s">
        <v>3059</v>
      </c>
      <c r="P25" s="14" t="s">
        <v>1274</v>
      </c>
      <c r="Q25" s="14" t="s">
        <v>1275</v>
      </c>
      <c r="R25" s="25" t="s">
        <v>3099</v>
      </c>
      <c r="S25" s="64" t="s">
        <v>3100</v>
      </c>
      <c r="T25" s="65">
        <v>1</v>
      </c>
      <c r="U25" s="35" t="s">
        <v>3080</v>
      </c>
      <c r="V25" s="29" t="s">
        <v>3099</v>
      </c>
      <c r="W25" s="35">
        <v>133.33000000000001</v>
      </c>
      <c r="X25" s="40"/>
      <c r="Y25" s="35">
        <f t="shared" si="0"/>
        <v>133.33000000000001</v>
      </c>
      <c r="Z25" s="27"/>
      <c r="AA25" s="23"/>
      <c r="AB25" s="23"/>
      <c r="AC25" s="28"/>
      <c r="AD25" s="58"/>
      <c r="AE25" s="52" t="s">
        <v>75</v>
      </c>
      <c r="AF25" s="55" t="s">
        <v>3059</v>
      </c>
      <c r="AG25" s="14" t="s">
        <v>1274</v>
      </c>
      <c r="AH25" s="14" t="s">
        <v>1275</v>
      </c>
    </row>
    <row r="26" spans="1:34" s="1" customFormat="1">
      <c r="A26" s="25" t="s">
        <v>3101</v>
      </c>
      <c r="B26" s="64" t="s">
        <v>3102</v>
      </c>
      <c r="C26" s="65">
        <v>1</v>
      </c>
      <c r="D26" s="35" t="s">
        <v>3080</v>
      </c>
      <c r="E26" s="29" t="s">
        <v>3101</v>
      </c>
      <c r="F26" s="35">
        <v>112</v>
      </c>
      <c r="G26" s="40"/>
      <c r="H26" s="35">
        <f t="shared" si="1"/>
        <v>112</v>
      </c>
      <c r="I26" s="27"/>
      <c r="J26" s="23"/>
      <c r="K26" s="23"/>
      <c r="L26" s="28"/>
      <c r="M26" s="58"/>
      <c r="N26" s="52" t="s">
        <v>75</v>
      </c>
      <c r="O26" s="55" t="s">
        <v>3059</v>
      </c>
      <c r="P26" s="14" t="s">
        <v>1274</v>
      </c>
      <c r="Q26" s="14" t="s">
        <v>1275</v>
      </c>
      <c r="R26" s="25" t="s">
        <v>3101</v>
      </c>
      <c r="S26" s="64" t="s">
        <v>3102</v>
      </c>
      <c r="T26" s="65">
        <v>1</v>
      </c>
      <c r="U26" s="35" t="s">
        <v>3080</v>
      </c>
      <c r="V26" s="29" t="s">
        <v>3101</v>
      </c>
      <c r="W26" s="35">
        <v>112</v>
      </c>
      <c r="X26" s="40"/>
      <c r="Y26" s="35">
        <f t="shared" si="0"/>
        <v>112</v>
      </c>
      <c r="Z26" s="27"/>
      <c r="AA26" s="23"/>
      <c r="AB26" s="23"/>
      <c r="AC26" s="28"/>
      <c r="AD26" s="58"/>
      <c r="AE26" s="52" t="s">
        <v>75</v>
      </c>
      <c r="AF26" s="55" t="s">
        <v>3059</v>
      </c>
      <c r="AG26" s="14" t="s">
        <v>1274</v>
      </c>
      <c r="AH26" s="14" t="s">
        <v>1275</v>
      </c>
    </row>
    <row r="27" spans="1:34" s="1" customFormat="1">
      <c r="A27" s="25" t="s">
        <v>3103</v>
      </c>
      <c r="B27" s="64" t="s">
        <v>3104</v>
      </c>
      <c r="C27" s="65">
        <v>1</v>
      </c>
      <c r="D27" s="35" t="s">
        <v>3080</v>
      </c>
      <c r="E27" s="29" t="s">
        <v>3103</v>
      </c>
      <c r="F27" s="35">
        <v>93.33</v>
      </c>
      <c r="G27" s="40"/>
      <c r="H27" s="35">
        <f t="shared" si="1"/>
        <v>93.33</v>
      </c>
      <c r="I27" s="27"/>
      <c r="J27" s="23"/>
      <c r="K27" s="23"/>
      <c r="L27" s="28"/>
      <c r="M27" s="58"/>
      <c r="N27" s="52" t="s">
        <v>75</v>
      </c>
      <c r="O27" s="55" t="s">
        <v>3059</v>
      </c>
      <c r="P27" s="14" t="s">
        <v>1274</v>
      </c>
      <c r="Q27" s="14" t="s">
        <v>1275</v>
      </c>
      <c r="R27" s="25" t="s">
        <v>3103</v>
      </c>
      <c r="S27" s="64" t="s">
        <v>3104</v>
      </c>
      <c r="T27" s="65">
        <v>1</v>
      </c>
      <c r="U27" s="35" t="s">
        <v>3080</v>
      </c>
      <c r="V27" s="29" t="s">
        <v>3103</v>
      </c>
      <c r="W27" s="35">
        <v>93.33</v>
      </c>
      <c r="X27" s="40"/>
      <c r="Y27" s="35">
        <f t="shared" si="0"/>
        <v>93.33</v>
      </c>
      <c r="Z27" s="27"/>
      <c r="AA27" s="23"/>
      <c r="AB27" s="23"/>
      <c r="AC27" s="28"/>
      <c r="AD27" s="58"/>
      <c r="AE27" s="52" t="s">
        <v>75</v>
      </c>
      <c r="AF27" s="55" t="s">
        <v>3059</v>
      </c>
      <c r="AG27" s="14" t="s">
        <v>1274</v>
      </c>
      <c r="AH27" s="14" t="s">
        <v>1275</v>
      </c>
    </row>
    <row r="28" spans="1:34" s="1" customFormat="1">
      <c r="A28" s="25" t="s">
        <v>3105</v>
      </c>
      <c r="B28" s="64" t="s">
        <v>3106</v>
      </c>
      <c r="C28" s="65">
        <v>1</v>
      </c>
      <c r="D28" s="35" t="s">
        <v>3080</v>
      </c>
      <c r="E28" s="29" t="s">
        <v>3105</v>
      </c>
      <c r="F28" s="35">
        <v>86.67</v>
      </c>
      <c r="G28" s="40"/>
      <c r="H28" s="35">
        <f t="shared" si="1"/>
        <v>86.67</v>
      </c>
      <c r="I28" s="27"/>
      <c r="J28" s="23"/>
      <c r="K28" s="23"/>
      <c r="L28" s="28"/>
      <c r="M28" s="58"/>
      <c r="N28" s="52" t="s">
        <v>75</v>
      </c>
      <c r="O28" s="55" t="s">
        <v>3059</v>
      </c>
      <c r="P28" s="14" t="s">
        <v>1274</v>
      </c>
      <c r="Q28" s="14" t="s">
        <v>1275</v>
      </c>
      <c r="R28" s="25" t="s">
        <v>3105</v>
      </c>
      <c r="S28" s="64" t="s">
        <v>3106</v>
      </c>
      <c r="T28" s="65">
        <v>1</v>
      </c>
      <c r="U28" s="35" t="s">
        <v>3080</v>
      </c>
      <c r="V28" s="29" t="s">
        <v>3105</v>
      </c>
      <c r="W28" s="35">
        <v>86.67</v>
      </c>
      <c r="X28" s="40"/>
      <c r="Y28" s="35">
        <f t="shared" si="0"/>
        <v>86.67</v>
      </c>
      <c r="Z28" s="27"/>
      <c r="AA28" s="23"/>
      <c r="AB28" s="23"/>
      <c r="AC28" s="28"/>
      <c r="AD28" s="58"/>
      <c r="AE28" s="52" t="s">
        <v>75</v>
      </c>
      <c r="AF28" s="55" t="s">
        <v>3059</v>
      </c>
      <c r="AG28" s="14" t="s">
        <v>1274</v>
      </c>
      <c r="AH28" s="14" t="s">
        <v>1275</v>
      </c>
    </row>
    <row r="29" spans="1:34" s="1" customFormat="1">
      <c r="A29" s="25" t="s">
        <v>3107</v>
      </c>
      <c r="B29" s="64" t="s">
        <v>3108</v>
      </c>
      <c r="C29" s="65">
        <v>1</v>
      </c>
      <c r="D29" s="35" t="s">
        <v>3080</v>
      </c>
      <c r="E29" s="29" t="s">
        <v>3107</v>
      </c>
      <c r="F29" s="35">
        <v>73.33</v>
      </c>
      <c r="G29" s="40"/>
      <c r="H29" s="35">
        <f t="shared" si="1"/>
        <v>73.33</v>
      </c>
      <c r="I29" s="27"/>
      <c r="J29" s="23"/>
      <c r="K29" s="23"/>
      <c r="L29" s="28"/>
      <c r="M29" s="58"/>
      <c r="N29" s="52" t="s">
        <v>75</v>
      </c>
      <c r="O29" s="55" t="s">
        <v>3059</v>
      </c>
      <c r="P29" s="14" t="s">
        <v>1274</v>
      </c>
      <c r="Q29" s="14" t="s">
        <v>1275</v>
      </c>
      <c r="R29" s="25" t="s">
        <v>3107</v>
      </c>
      <c r="S29" s="64" t="s">
        <v>3108</v>
      </c>
      <c r="T29" s="65">
        <v>1</v>
      </c>
      <c r="U29" s="35" t="s">
        <v>3080</v>
      </c>
      <c r="V29" s="29" t="s">
        <v>3107</v>
      </c>
      <c r="W29" s="35">
        <v>73.33</v>
      </c>
      <c r="X29" s="40"/>
      <c r="Y29" s="35">
        <f t="shared" si="0"/>
        <v>73.33</v>
      </c>
      <c r="Z29" s="27"/>
      <c r="AA29" s="23"/>
      <c r="AB29" s="23"/>
      <c r="AC29" s="28"/>
      <c r="AD29" s="58"/>
      <c r="AE29" s="52" t="s">
        <v>75</v>
      </c>
      <c r="AF29" s="55" t="s">
        <v>3059</v>
      </c>
      <c r="AG29" s="14" t="s">
        <v>1274</v>
      </c>
      <c r="AH29" s="14" t="s">
        <v>1275</v>
      </c>
    </row>
    <row r="30" spans="1:34" s="1" customFormat="1">
      <c r="A30" s="25" t="s">
        <v>3109</v>
      </c>
      <c r="B30" s="64" t="s">
        <v>3110</v>
      </c>
      <c r="C30" s="65">
        <v>1</v>
      </c>
      <c r="D30" s="35" t="s">
        <v>3080</v>
      </c>
      <c r="E30" s="29" t="s">
        <v>3109</v>
      </c>
      <c r="F30" s="35">
        <v>60</v>
      </c>
      <c r="G30" s="40"/>
      <c r="H30" s="35">
        <f t="shared" si="1"/>
        <v>60</v>
      </c>
      <c r="I30" s="27"/>
      <c r="J30" s="23"/>
      <c r="K30" s="23"/>
      <c r="L30" s="28"/>
      <c r="M30" s="58"/>
      <c r="N30" s="52" t="s">
        <v>75</v>
      </c>
      <c r="O30" s="55" t="s">
        <v>3059</v>
      </c>
      <c r="P30" s="14" t="s">
        <v>1274</v>
      </c>
      <c r="Q30" s="14" t="s">
        <v>1275</v>
      </c>
      <c r="R30" s="25" t="s">
        <v>3109</v>
      </c>
      <c r="S30" s="64" t="s">
        <v>3110</v>
      </c>
      <c r="T30" s="65">
        <v>1</v>
      </c>
      <c r="U30" s="35" t="s">
        <v>3080</v>
      </c>
      <c r="V30" s="29" t="s">
        <v>3109</v>
      </c>
      <c r="W30" s="35">
        <v>60</v>
      </c>
      <c r="X30" s="40"/>
      <c r="Y30" s="35">
        <f t="shared" si="0"/>
        <v>60</v>
      </c>
      <c r="Z30" s="27"/>
      <c r="AA30" s="23"/>
      <c r="AB30" s="23"/>
      <c r="AC30" s="28"/>
      <c r="AD30" s="58"/>
      <c r="AE30" s="52" t="s">
        <v>75</v>
      </c>
      <c r="AF30" s="55" t="s">
        <v>3059</v>
      </c>
      <c r="AG30" s="14" t="s">
        <v>1274</v>
      </c>
      <c r="AH30" s="14" t="s">
        <v>1275</v>
      </c>
    </row>
    <row r="31" spans="1:34" s="1" customFormat="1">
      <c r="A31" s="25" t="s">
        <v>3111</v>
      </c>
      <c r="B31" s="64" t="s">
        <v>3112</v>
      </c>
      <c r="C31" s="65">
        <v>1</v>
      </c>
      <c r="D31" s="35" t="s">
        <v>3080</v>
      </c>
      <c r="E31" s="29" t="s">
        <v>3111</v>
      </c>
      <c r="F31" s="35">
        <v>13.33</v>
      </c>
      <c r="G31" s="40"/>
      <c r="H31" s="35">
        <f t="shared" si="1"/>
        <v>13.33</v>
      </c>
      <c r="I31" s="27"/>
      <c r="J31" s="23"/>
      <c r="K31" s="23"/>
      <c r="L31" s="28"/>
      <c r="M31" s="58"/>
      <c r="N31" s="52" t="s">
        <v>75</v>
      </c>
      <c r="O31" s="55" t="s">
        <v>3059</v>
      </c>
      <c r="P31" s="14" t="s">
        <v>1274</v>
      </c>
      <c r="Q31" s="14" t="s">
        <v>1275</v>
      </c>
      <c r="R31" s="25" t="s">
        <v>3111</v>
      </c>
      <c r="S31" s="64" t="s">
        <v>3112</v>
      </c>
      <c r="T31" s="65">
        <v>1</v>
      </c>
      <c r="U31" s="35" t="s">
        <v>3080</v>
      </c>
      <c r="V31" s="29" t="s">
        <v>3111</v>
      </c>
      <c r="W31" s="35">
        <v>13.33</v>
      </c>
      <c r="X31" s="40"/>
      <c r="Y31" s="35">
        <f t="shared" si="0"/>
        <v>13.33</v>
      </c>
      <c r="Z31" s="27"/>
      <c r="AA31" s="23"/>
      <c r="AB31" s="23"/>
      <c r="AC31" s="28"/>
      <c r="AD31" s="58"/>
      <c r="AE31" s="52" t="s">
        <v>75</v>
      </c>
      <c r="AF31" s="55" t="s">
        <v>3059</v>
      </c>
      <c r="AG31" s="14" t="s">
        <v>1274</v>
      </c>
      <c r="AH31" s="14" t="s">
        <v>1275</v>
      </c>
    </row>
    <row r="32" spans="1:34" s="1" customFormat="1">
      <c r="A32" s="25" t="s">
        <v>3113</v>
      </c>
      <c r="B32" s="64" t="s">
        <v>3114</v>
      </c>
      <c r="C32" s="65">
        <v>1</v>
      </c>
      <c r="D32" s="35" t="s">
        <v>3080</v>
      </c>
      <c r="E32" s="29" t="s">
        <v>3113</v>
      </c>
      <c r="F32" s="35">
        <v>25.03</v>
      </c>
      <c r="G32" s="40"/>
      <c r="H32" s="35">
        <f t="shared" si="1"/>
        <v>25.03</v>
      </c>
      <c r="I32" s="27"/>
      <c r="J32" s="23"/>
      <c r="K32" s="23"/>
      <c r="L32" s="28"/>
      <c r="M32" s="58"/>
      <c r="N32" s="52" t="s">
        <v>75</v>
      </c>
      <c r="O32" s="55" t="s">
        <v>3059</v>
      </c>
      <c r="P32" s="14" t="s">
        <v>1274</v>
      </c>
      <c r="Q32" s="14" t="s">
        <v>1275</v>
      </c>
      <c r="R32" s="25" t="s">
        <v>3113</v>
      </c>
      <c r="S32" s="64" t="s">
        <v>3114</v>
      </c>
      <c r="T32" s="65">
        <v>1</v>
      </c>
      <c r="U32" s="35" t="s">
        <v>3080</v>
      </c>
      <c r="V32" s="29" t="s">
        <v>3113</v>
      </c>
      <c r="W32" s="35">
        <v>25.03</v>
      </c>
      <c r="X32" s="40"/>
      <c r="Y32" s="35">
        <f t="shared" si="0"/>
        <v>25.03</v>
      </c>
      <c r="Z32" s="27"/>
      <c r="AA32" s="23"/>
      <c r="AB32" s="23"/>
      <c r="AC32" s="28"/>
      <c r="AD32" s="58"/>
      <c r="AE32" s="52" t="s">
        <v>75</v>
      </c>
      <c r="AF32" s="55" t="s">
        <v>3059</v>
      </c>
      <c r="AG32" s="14" t="s">
        <v>1274</v>
      </c>
      <c r="AH32" s="14" t="s">
        <v>1275</v>
      </c>
    </row>
    <row r="33" spans="1:34" s="1" customFormat="1">
      <c r="A33" s="25" t="s">
        <v>3115</v>
      </c>
      <c r="B33" s="64" t="s">
        <v>3116</v>
      </c>
      <c r="C33" s="65">
        <v>1</v>
      </c>
      <c r="D33" s="35" t="s">
        <v>3080</v>
      </c>
      <c r="E33" s="29" t="s">
        <v>3115</v>
      </c>
      <c r="F33" s="35">
        <v>420</v>
      </c>
      <c r="G33" s="40"/>
      <c r="H33" s="35">
        <f t="shared" si="1"/>
        <v>420</v>
      </c>
      <c r="I33" s="27"/>
      <c r="J33" s="23"/>
      <c r="K33" s="23"/>
      <c r="L33" s="28"/>
      <c r="M33" s="58"/>
      <c r="N33" s="52" t="s">
        <v>75</v>
      </c>
      <c r="O33" s="55" t="s">
        <v>3059</v>
      </c>
      <c r="P33" s="14" t="s">
        <v>1274</v>
      </c>
      <c r="Q33" s="14" t="s">
        <v>1275</v>
      </c>
      <c r="R33" s="25" t="s">
        <v>3115</v>
      </c>
      <c r="S33" s="64" t="s">
        <v>3116</v>
      </c>
      <c r="T33" s="65">
        <v>1</v>
      </c>
      <c r="U33" s="35" t="s">
        <v>3080</v>
      </c>
      <c r="V33" s="29" t="s">
        <v>3115</v>
      </c>
      <c r="W33" s="35">
        <v>420</v>
      </c>
      <c r="X33" s="40"/>
      <c r="Y33" s="35">
        <f t="shared" si="0"/>
        <v>420</v>
      </c>
      <c r="Z33" s="27"/>
      <c r="AA33" s="23"/>
      <c r="AB33" s="23"/>
      <c r="AC33" s="28"/>
      <c r="AD33" s="58"/>
      <c r="AE33" s="52" t="s">
        <v>75</v>
      </c>
      <c r="AF33" s="55" t="s">
        <v>3059</v>
      </c>
      <c r="AG33" s="14" t="s">
        <v>1274</v>
      </c>
      <c r="AH33" s="14" t="s">
        <v>1275</v>
      </c>
    </row>
    <row r="34" spans="1:34" s="1" customFormat="1">
      <c r="A34" s="25" t="s">
        <v>3117</v>
      </c>
      <c r="B34" s="64" t="s">
        <v>3118</v>
      </c>
      <c r="C34" s="65">
        <v>1</v>
      </c>
      <c r="D34" s="35" t="s">
        <v>3080</v>
      </c>
      <c r="E34" s="29" t="s">
        <v>3117</v>
      </c>
      <c r="F34" s="35">
        <v>13.33</v>
      </c>
      <c r="G34" s="40"/>
      <c r="H34" s="35">
        <f t="shared" si="1"/>
        <v>13.33</v>
      </c>
      <c r="I34" s="27"/>
      <c r="J34" s="23"/>
      <c r="K34" s="23"/>
      <c r="L34" s="28"/>
      <c r="M34" s="58"/>
      <c r="N34" s="52" t="s">
        <v>75</v>
      </c>
      <c r="O34" s="55" t="s">
        <v>3059</v>
      </c>
      <c r="P34" s="14" t="s">
        <v>1274</v>
      </c>
      <c r="Q34" s="14" t="s">
        <v>1275</v>
      </c>
      <c r="R34" s="25" t="s">
        <v>3117</v>
      </c>
      <c r="S34" s="64" t="s">
        <v>3118</v>
      </c>
      <c r="T34" s="65">
        <v>1</v>
      </c>
      <c r="U34" s="35" t="s">
        <v>3080</v>
      </c>
      <c r="V34" s="29" t="s">
        <v>3117</v>
      </c>
      <c r="W34" s="35">
        <v>13.33</v>
      </c>
      <c r="X34" s="40"/>
      <c r="Y34" s="35">
        <f t="shared" si="0"/>
        <v>13.33</v>
      </c>
      <c r="Z34" s="27"/>
      <c r="AA34" s="23"/>
      <c r="AB34" s="23"/>
      <c r="AC34" s="28"/>
      <c r="AD34" s="58"/>
      <c r="AE34" s="52" t="s">
        <v>75</v>
      </c>
      <c r="AF34" s="55" t="s">
        <v>3059</v>
      </c>
      <c r="AG34" s="14" t="s">
        <v>1274</v>
      </c>
      <c r="AH34" s="14" t="s">
        <v>1275</v>
      </c>
    </row>
    <row r="35" spans="1:34" s="1" customFormat="1">
      <c r="A35" s="25" t="s">
        <v>3119</v>
      </c>
      <c r="B35" s="64" t="s">
        <v>3120</v>
      </c>
      <c r="C35" s="65">
        <v>1</v>
      </c>
      <c r="D35" s="35" t="s">
        <v>3080</v>
      </c>
      <c r="E35" s="29" t="s">
        <v>3119</v>
      </c>
      <c r="F35" s="35">
        <v>66.67</v>
      </c>
      <c r="G35" s="40"/>
      <c r="H35" s="35">
        <f t="shared" ref="H35:H67" si="2">F35-(F35*G35)</f>
        <v>66.67</v>
      </c>
      <c r="I35" s="27"/>
      <c r="J35" s="23"/>
      <c r="K35" s="23"/>
      <c r="L35" s="28"/>
      <c r="M35" s="58"/>
      <c r="N35" s="52" t="s">
        <v>75</v>
      </c>
      <c r="O35" s="55" t="s">
        <v>3059</v>
      </c>
      <c r="P35" s="14" t="s">
        <v>1274</v>
      </c>
      <c r="Q35" s="14" t="s">
        <v>1275</v>
      </c>
      <c r="R35" s="25" t="s">
        <v>3119</v>
      </c>
      <c r="S35" s="64" t="s">
        <v>3120</v>
      </c>
      <c r="T35" s="65">
        <v>1</v>
      </c>
      <c r="U35" s="35" t="s">
        <v>3080</v>
      </c>
      <c r="V35" s="29" t="s">
        <v>3119</v>
      </c>
      <c r="W35" s="35">
        <v>66.67</v>
      </c>
      <c r="X35" s="40"/>
      <c r="Y35" s="35">
        <f t="shared" si="0"/>
        <v>66.67</v>
      </c>
      <c r="Z35" s="27"/>
      <c r="AA35" s="23"/>
      <c r="AB35" s="23"/>
      <c r="AC35" s="28"/>
      <c r="AD35" s="58"/>
      <c r="AE35" s="52" t="s">
        <v>75</v>
      </c>
      <c r="AF35" s="55" t="s">
        <v>3059</v>
      </c>
      <c r="AG35" s="14" t="s">
        <v>1274</v>
      </c>
      <c r="AH35" s="14" t="s">
        <v>1275</v>
      </c>
    </row>
    <row r="36" spans="1:34" s="1" customFormat="1">
      <c r="A36" s="25" t="s">
        <v>3121</v>
      </c>
      <c r="B36" s="64" t="s">
        <v>3122</v>
      </c>
      <c r="C36" s="65">
        <v>1</v>
      </c>
      <c r="D36" s="35" t="s">
        <v>3080</v>
      </c>
      <c r="E36" s="29" t="s">
        <v>3121</v>
      </c>
      <c r="F36" s="35">
        <v>53.33</v>
      </c>
      <c r="G36" s="40"/>
      <c r="H36" s="35">
        <f t="shared" si="2"/>
        <v>53.33</v>
      </c>
      <c r="I36" s="27"/>
      <c r="J36" s="23"/>
      <c r="K36" s="23"/>
      <c r="L36" s="28"/>
      <c r="M36" s="58"/>
      <c r="N36" s="52" t="s">
        <v>75</v>
      </c>
      <c r="O36" s="55" t="s">
        <v>3059</v>
      </c>
      <c r="P36" s="14" t="s">
        <v>1274</v>
      </c>
      <c r="Q36" s="14" t="s">
        <v>1275</v>
      </c>
      <c r="R36" s="25" t="s">
        <v>3121</v>
      </c>
      <c r="S36" s="64" t="s">
        <v>3122</v>
      </c>
      <c r="T36" s="65">
        <v>1</v>
      </c>
      <c r="U36" s="35" t="s">
        <v>3080</v>
      </c>
      <c r="V36" s="29" t="s">
        <v>3121</v>
      </c>
      <c r="W36" s="35">
        <v>53.33</v>
      </c>
      <c r="X36" s="40"/>
      <c r="Y36" s="35">
        <f t="shared" si="0"/>
        <v>53.33</v>
      </c>
      <c r="Z36" s="27"/>
      <c r="AA36" s="23"/>
      <c r="AB36" s="23"/>
      <c r="AC36" s="28"/>
      <c r="AD36" s="58"/>
      <c r="AE36" s="52" t="s">
        <v>75</v>
      </c>
      <c r="AF36" s="55" t="s">
        <v>3059</v>
      </c>
      <c r="AG36" s="14" t="s">
        <v>1274</v>
      </c>
      <c r="AH36" s="14" t="s">
        <v>1275</v>
      </c>
    </row>
    <row r="37" spans="1:34" s="1" customFormat="1">
      <c r="A37" s="25" t="s">
        <v>3123</v>
      </c>
      <c r="B37" s="64" t="s">
        <v>3124</v>
      </c>
      <c r="C37" s="65">
        <v>1</v>
      </c>
      <c r="D37" s="35" t="s">
        <v>3080</v>
      </c>
      <c r="E37" s="29" t="s">
        <v>3123</v>
      </c>
      <c r="F37" s="35">
        <v>49.33</v>
      </c>
      <c r="G37" s="40"/>
      <c r="H37" s="35">
        <f t="shared" si="2"/>
        <v>49.33</v>
      </c>
      <c r="I37" s="27"/>
      <c r="J37" s="23"/>
      <c r="K37" s="23"/>
      <c r="L37" s="28"/>
      <c r="M37" s="58"/>
      <c r="N37" s="52" t="s">
        <v>75</v>
      </c>
      <c r="O37" s="55" t="s">
        <v>3059</v>
      </c>
      <c r="P37" s="14" t="s">
        <v>1274</v>
      </c>
      <c r="Q37" s="14" t="s">
        <v>1275</v>
      </c>
      <c r="R37" s="25" t="s">
        <v>3123</v>
      </c>
      <c r="S37" s="64" t="s">
        <v>3124</v>
      </c>
      <c r="T37" s="65">
        <v>1</v>
      </c>
      <c r="U37" s="35" t="s">
        <v>3080</v>
      </c>
      <c r="V37" s="29" t="s">
        <v>3123</v>
      </c>
      <c r="W37" s="35">
        <v>49.33</v>
      </c>
      <c r="X37" s="40"/>
      <c r="Y37" s="35">
        <f t="shared" si="0"/>
        <v>49.33</v>
      </c>
      <c r="Z37" s="27"/>
      <c r="AA37" s="23"/>
      <c r="AB37" s="23"/>
      <c r="AC37" s="28"/>
      <c r="AD37" s="58"/>
      <c r="AE37" s="52" t="s">
        <v>75</v>
      </c>
      <c r="AF37" s="55" t="s">
        <v>3059</v>
      </c>
      <c r="AG37" s="14" t="s">
        <v>1274</v>
      </c>
      <c r="AH37" s="14" t="s">
        <v>1275</v>
      </c>
    </row>
    <row r="38" spans="1:34" s="1" customFormat="1">
      <c r="A38" s="25" t="s">
        <v>3125</v>
      </c>
      <c r="B38" s="64" t="s">
        <v>3126</v>
      </c>
      <c r="C38" s="65">
        <v>1</v>
      </c>
      <c r="D38" s="35" t="s">
        <v>3080</v>
      </c>
      <c r="E38" s="29" t="s">
        <v>3125</v>
      </c>
      <c r="F38" s="35">
        <v>46.67</v>
      </c>
      <c r="G38" s="40"/>
      <c r="H38" s="35">
        <f t="shared" si="2"/>
        <v>46.67</v>
      </c>
      <c r="I38" s="27"/>
      <c r="J38" s="23"/>
      <c r="K38" s="23"/>
      <c r="L38" s="28"/>
      <c r="M38" s="58"/>
      <c r="N38" s="52" t="s">
        <v>75</v>
      </c>
      <c r="O38" s="55" t="s">
        <v>3059</v>
      </c>
      <c r="P38" s="14" t="s">
        <v>1274</v>
      </c>
      <c r="Q38" s="14" t="s">
        <v>1275</v>
      </c>
      <c r="R38" s="25" t="s">
        <v>3125</v>
      </c>
      <c r="S38" s="64" t="s">
        <v>3126</v>
      </c>
      <c r="T38" s="65">
        <v>1</v>
      </c>
      <c r="U38" s="35" t="s">
        <v>3080</v>
      </c>
      <c r="V38" s="29" t="s">
        <v>3125</v>
      </c>
      <c r="W38" s="35">
        <v>46.67</v>
      </c>
      <c r="X38" s="40"/>
      <c r="Y38" s="35">
        <f t="shared" si="0"/>
        <v>46.67</v>
      </c>
      <c r="Z38" s="27"/>
      <c r="AA38" s="23"/>
      <c r="AB38" s="23"/>
      <c r="AC38" s="28"/>
      <c r="AD38" s="58"/>
      <c r="AE38" s="52" t="s">
        <v>75</v>
      </c>
      <c r="AF38" s="55" t="s">
        <v>3059</v>
      </c>
      <c r="AG38" s="14" t="s">
        <v>1274</v>
      </c>
      <c r="AH38" s="14" t="s">
        <v>1275</v>
      </c>
    </row>
    <row r="39" spans="1:34" s="1" customFormat="1">
      <c r="A39" s="25" t="s">
        <v>3127</v>
      </c>
      <c r="B39" s="64" t="s">
        <v>3128</v>
      </c>
      <c r="C39" s="65">
        <v>1</v>
      </c>
      <c r="D39" s="35" t="s">
        <v>3080</v>
      </c>
      <c r="E39" s="29" t="s">
        <v>3127</v>
      </c>
      <c r="F39" s="35">
        <v>4201</v>
      </c>
      <c r="G39" s="40"/>
      <c r="H39" s="35">
        <f t="shared" si="2"/>
        <v>4201</v>
      </c>
      <c r="I39" s="27"/>
      <c r="J39" s="23"/>
      <c r="K39" s="23"/>
      <c r="L39" s="28"/>
      <c r="M39" s="58"/>
      <c r="N39" s="52" t="s">
        <v>75</v>
      </c>
      <c r="O39" s="55" t="s">
        <v>3059</v>
      </c>
      <c r="P39" s="14" t="s">
        <v>1274</v>
      </c>
      <c r="Q39" s="14" t="s">
        <v>1275</v>
      </c>
      <c r="R39" s="25" t="s">
        <v>3127</v>
      </c>
      <c r="S39" s="64" t="s">
        <v>3128</v>
      </c>
      <c r="T39" s="65">
        <v>1</v>
      </c>
      <c r="U39" s="35" t="s">
        <v>3080</v>
      </c>
      <c r="V39" s="29" t="s">
        <v>3127</v>
      </c>
      <c r="W39" s="35">
        <v>4201</v>
      </c>
      <c r="X39" s="40"/>
      <c r="Y39" s="35">
        <f t="shared" si="0"/>
        <v>4201</v>
      </c>
      <c r="Z39" s="27"/>
      <c r="AA39" s="23"/>
      <c r="AB39" s="23"/>
      <c r="AC39" s="28"/>
      <c r="AD39" s="58"/>
      <c r="AE39" s="52" t="s">
        <v>75</v>
      </c>
      <c r="AF39" s="55" t="s">
        <v>3059</v>
      </c>
      <c r="AG39" s="14" t="s">
        <v>1274</v>
      </c>
      <c r="AH39" s="14" t="s">
        <v>1275</v>
      </c>
    </row>
    <row r="40" spans="1:34" s="1" customFormat="1">
      <c r="A40" s="25" t="s">
        <v>3129</v>
      </c>
      <c r="B40" s="64" t="s">
        <v>3130</v>
      </c>
      <c r="C40" s="65">
        <v>1</v>
      </c>
      <c r="D40" s="35" t="s">
        <v>3080</v>
      </c>
      <c r="E40" s="29" t="s">
        <v>3129</v>
      </c>
      <c r="F40" s="35">
        <v>11698</v>
      </c>
      <c r="G40" s="40"/>
      <c r="H40" s="35">
        <f t="shared" si="2"/>
        <v>11698</v>
      </c>
      <c r="I40" s="27"/>
      <c r="J40" s="23"/>
      <c r="K40" s="23"/>
      <c r="L40" s="28"/>
      <c r="M40" s="58"/>
      <c r="N40" s="52" t="s">
        <v>75</v>
      </c>
      <c r="O40" s="55" t="s">
        <v>3059</v>
      </c>
      <c r="P40" s="14" t="s">
        <v>1274</v>
      </c>
      <c r="Q40" s="14" t="s">
        <v>1275</v>
      </c>
      <c r="R40" s="25" t="s">
        <v>3129</v>
      </c>
      <c r="S40" s="64" t="s">
        <v>3130</v>
      </c>
      <c r="T40" s="65">
        <v>1</v>
      </c>
      <c r="U40" s="35" t="s">
        <v>3080</v>
      </c>
      <c r="V40" s="29" t="s">
        <v>3129</v>
      </c>
      <c r="W40" s="35">
        <v>11698</v>
      </c>
      <c r="X40" s="40"/>
      <c r="Y40" s="35">
        <f t="shared" si="0"/>
        <v>11698</v>
      </c>
      <c r="Z40" s="27"/>
      <c r="AA40" s="23"/>
      <c r="AB40" s="23"/>
      <c r="AC40" s="28"/>
      <c r="AD40" s="58"/>
      <c r="AE40" s="52" t="s">
        <v>75</v>
      </c>
      <c r="AF40" s="55" t="s">
        <v>3059</v>
      </c>
      <c r="AG40" s="14" t="s">
        <v>1274</v>
      </c>
      <c r="AH40" s="14" t="s">
        <v>1275</v>
      </c>
    </row>
    <row r="41" spans="1:34" s="1" customFormat="1">
      <c r="A41" s="25" t="s">
        <v>3131</v>
      </c>
      <c r="B41" s="64" t="s">
        <v>3132</v>
      </c>
      <c r="C41" s="65">
        <v>1</v>
      </c>
      <c r="D41" s="35" t="s">
        <v>3080</v>
      </c>
      <c r="E41" s="29" t="s">
        <v>3131</v>
      </c>
      <c r="F41" s="35">
        <v>26.67</v>
      </c>
      <c r="G41" s="40"/>
      <c r="H41" s="35">
        <f t="shared" si="2"/>
        <v>26.67</v>
      </c>
      <c r="I41" s="27"/>
      <c r="J41" s="23"/>
      <c r="K41" s="23"/>
      <c r="L41" s="28"/>
      <c r="M41" s="58"/>
      <c r="N41" s="52" t="s">
        <v>75</v>
      </c>
      <c r="O41" s="55" t="s">
        <v>3059</v>
      </c>
      <c r="P41" s="14" t="s">
        <v>1274</v>
      </c>
      <c r="Q41" s="14" t="s">
        <v>1275</v>
      </c>
      <c r="R41" s="25" t="s">
        <v>3131</v>
      </c>
      <c r="S41" s="64" t="s">
        <v>3132</v>
      </c>
      <c r="T41" s="65">
        <v>1</v>
      </c>
      <c r="U41" s="35" t="s">
        <v>3080</v>
      </c>
      <c r="V41" s="29" t="s">
        <v>3131</v>
      </c>
      <c r="W41" s="35">
        <v>26.67</v>
      </c>
      <c r="X41" s="40"/>
      <c r="Y41" s="35">
        <f t="shared" si="0"/>
        <v>26.67</v>
      </c>
      <c r="Z41" s="27"/>
      <c r="AA41" s="23"/>
      <c r="AB41" s="23"/>
      <c r="AC41" s="28"/>
      <c r="AD41" s="58"/>
      <c r="AE41" s="52" t="s">
        <v>75</v>
      </c>
      <c r="AF41" s="55" t="s">
        <v>3059</v>
      </c>
      <c r="AG41" s="14" t="s">
        <v>1274</v>
      </c>
      <c r="AH41" s="14" t="s">
        <v>1275</v>
      </c>
    </row>
    <row r="42" spans="1:34" s="1" customFormat="1">
      <c r="A42" s="25" t="s">
        <v>3133</v>
      </c>
      <c r="B42" s="64" t="s">
        <v>3134</v>
      </c>
      <c r="C42" s="65">
        <v>1</v>
      </c>
      <c r="D42" s="35" t="s">
        <v>3080</v>
      </c>
      <c r="E42" s="29" t="s">
        <v>3133</v>
      </c>
      <c r="F42" s="35">
        <v>33.33</v>
      </c>
      <c r="G42" s="40"/>
      <c r="H42" s="35">
        <f t="shared" si="2"/>
        <v>33.33</v>
      </c>
      <c r="I42" s="27"/>
      <c r="J42" s="23"/>
      <c r="K42" s="23"/>
      <c r="L42" s="28"/>
      <c r="M42" s="58"/>
      <c r="N42" s="52" t="s">
        <v>75</v>
      </c>
      <c r="O42" s="55" t="s">
        <v>3059</v>
      </c>
      <c r="P42" s="14" t="s">
        <v>1274</v>
      </c>
      <c r="Q42" s="14" t="s">
        <v>1275</v>
      </c>
      <c r="R42" s="25" t="s">
        <v>3133</v>
      </c>
      <c r="S42" s="64" t="s">
        <v>3134</v>
      </c>
      <c r="T42" s="65">
        <v>1</v>
      </c>
      <c r="U42" s="35" t="s">
        <v>3080</v>
      </c>
      <c r="V42" s="29" t="s">
        <v>3133</v>
      </c>
      <c r="W42" s="35">
        <v>33.33</v>
      </c>
      <c r="X42" s="40"/>
      <c r="Y42" s="35">
        <f t="shared" si="0"/>
        <v>33.33</v>
      </c>
      <c r="Z42" s="27"/>
      <c r="AA42" s="23"/>
      <c r="AB42" s="23"/>
      <c r="AC42" s="28"/>
      <c r="AD42" s="58"/>
      <c r="AE42" s="52" t="s">
        <v>75</v>
      </c>
      <c r="AF42" s="55" t="s">
        <v>3059</v>
      </c>
      <c r="AG42" s="14" t="s">
        <v>1274</v>
      </c>
      <c r="AH42" s="14" t="s">
        <v>1275</v>
      </c>
    </row>
    <row r="43" spans="1:34" s="1" customFormat="1">
      <c r="A43" s="25" t="s">
        <v>3135</v>
      </c>
      <c r="B43" s="64" t="s">
        <v>3136</v>
      </c>
      <c r="C43" s="65">
        <v>1</v>
      </c>
      <c r="D43" s="35" t="s">
        <v>3080</v>
      </c>
      <c r="E43" s="29" t="s">
        <v>3135</v>
      </c>
      <c r="F43" s="35">
        <v>26.67</v>
      </c>
      <c r="G43" s="40"/>
      <c r="H43" s="35">
        <f t="shared" si="2"/>
        <v>26.67</v>
      </c>
      <c r="I43" s="27"/>
      <c r="J43" s="23"/>
      <c r="K43" s="23"/>
      <c r="L43" s="28"/>
      <c r="M43" s="58"/>
      <c r="N43" s="52" t="s">
        <v>75</v>
      </c>
      <c r="O43" s="55" t="s">
        <v>3059</v>
      </c>
      <c r="P43" s="14" t="s">
        <v>1274</v>
      </c>
      <c r="Q43" s="14" t="s">
        <v>1275</v>
      </c>
      <c r="R43" s="25" t="s">
        <v>3135</v>
      </c>
      <c r="S43" s="64" t="s">
        <v>3136</v>
      </c>
      <c r="T43" s="65">
        <v>1</v>
      </c>
      <c r="U43" s="35" t="s">
        <v>3080</v>
      </c>
      <c r="V43" s="29" t="s">
        <v>3135</v>
      </c>
      <c r="W43" s="35">
        <v>26.67</v>
      </c>
      <c r="X43" s="40"/>
      <c r="Y43" s="35">
        <f t="shared" si="0"/>
        <v>26.67</v>
      </c>
      <c r="Z43" s="27"/>
      <c r="AA43" s="23"/>
      <c r="AB43" s="23"/>
      <c r="AC43" s="28"/>
      <c r="AD43" s="58"/>
      <c r="AE43" s="52" t="s">
        <v>75</v>
      </c>
      <c r="AF43" s="55" t="s">
        <v>3059</v>
      </c>
      <c r="AG43" s="14" t="s">
        <v>1274</v>
      </c>
      <c r="AH43" s="14" t="s">
        <v>1275</v>
      </c>
    </row>
    <row r="44" spans="1:34" s="1" customFormat="1">
      <c r="A44" s="25" t="s">
        <v>3137</v>
      </c>
      <c r="B44" s="64" t="s">
        <v>3138</v>
      </c>
      <c r="C44" s="65">
        <v>1</v>
      </c>
      <c r="D44" s="35" t="s">
        <v>3080</v>
      </c>
      <c r="E44" s="29" t="s">
        <v>3137</v>
      </c>
      <c r="F44" s="35">
        <v>213.33</v>
      </c>
      <c r="G44" s="40"/>
      <c r="H44" s="35">
        <f t="shared" si="2"/>
        <v>213.33</v>
      </c>
      <c r="I44" s="27"/>
      <c r="J44" s="23"/>
      <c r="K44" s="23"/>
      <c r="L44" s="28"/>
      <c r="M44" s="58"/>
      <c r="N44" s="52" t="s">
        <v>75</v>
      </c>
      <c r="O44" s="55" t="s">
        <v>3059</v>
      </c>
      <c r="P44" s="14" t="s">
        <v>1274</v>
      </c>
      <c r="Q44" s="14" t="s">
        <v>1275</v>
      </c>
      <c r="R44" s="25" t="s">
        <v>3137</v>
      </c>
      <c r="S44" s="64" t="s">
        <v>3138</v>
      </c>
      <c r="T44" s="65">
        <v>1</v>
      </c>
      <c r="U44" s="35" t="s">
        <v>3080</v>
      </c>
      <c r="V44" s="29" t="s">
        <v>3137</v>
      </c>
      <c r="W44" s="35">
        <v>213.33</v>
      </c>
      <c r="X44" s="40"/>
      <c r="Y44" s="35">
        <f t="shared" si="0"/>
        <v>213.33</v>
      </c>
      <c r="Z44" s="27"/>
      <c r="AA44" s="23"/>
      <c r="AB44" s="23"/>
      <c r="AC44" s="28"/>
      <c r="AD44" s="58"/>
      <c r="AE44" s="52" t="s">
        <v>75</v>
      </c>
      <c r="AF44" s="55" t="s">
        <v>3059</v>
      </c>
      <c r="AG44" s="14" t="s">
        <v>1274</v>
      </c>
      <c r="AH44" s="14" t="s">
        <v>1275</v>
      </c>
    </row>
    <row r="45" spans="1:34" s="1" customFormat="1">
      <c r="A45" s="25" t="s">
        <v>3139</v>
      </c>
      <c r="B45" s="64" t="s">
        <v>3140</v>
      </c>
      <c r="C45" s="65">
        <v>1</v>
      </c>
      <c r="D45" s="35" t="s">
        <v>3080</v>
      </c>
      <c r="E45" s="29" t="s">
        <v>3139</v>
      </c>
      <c r="F45" s="35">
        <v>293.33</v>
      </c>
      <c r="G45" s="40"/>
      <c r="H45" s="35">
        <f t="shared" si="2"/>
        <v>293.33</v>
      </c>
      <c r="I45" s="27"/>
      <c r="J45" s="23"/>
      <c r="K45" s="23"/>
      <c r="L45" s="28"/>
      <c r="M45" s="58"/>
      <c r="N45" s="52" t="s">
        <v>75</v>
      </c>
      <c r="O45" s="55" t="s">
        <v>3059</v>
      </c>
      <c r="P45" s="14" t="s">
        <v>1274</v>
      </c>
      <c r="Q45" s="14" t="s">
        <v>1275</v>
      </c>
      <c r="R45" s="25" t="s">
        <v>3139</v>
      </c>
      <c r="S45" s="64" t="s">
        <v>3140</v>
      </c>
      <c r="T45" s="65">
        <v>1</v>
      </c>
      <c r="U45" s="35" t="s">
        <v>3080</v>
      </c>
      <c r="V45" s="29" t="s">
        <v>3139</v>
      </c>
      <c r="W45" s="35">
        <v>293.33</v>
      </c>
      <c r="X45" s="40"/>
      <c r="Y45" s="35">
        <f t="shared" si="0"/>
        <v>293.33</v>
      </c>
      <c r="Z45" s="27"/>
      <c r="AA45" s="23"/>
      <c r="AB45" s="23"/>
      <c r="AC45" s="28"/>
      <c r="AD45" s="58"/>
      <c r="AE45" s="52" t="s">
        <v>75</v>
      </c>
      <c r="AF45" s="55" t="s">
        <v>3059</v>
      </c>
      <c r="AG45" s="14" t="s">
        <v>1274</v>
      </c>
      <c r="AH45" s="14" t="s">
        <v>1275</v>
      </c>
    </row>
    <row r="46" spans="1:34" s="1" customFormat="1">
      <c r="A46" s="25" t="s">
        <v>3141</v>
      </c>
      <c r="B46" s="64" t="s">
        <v>3142</v>
      </c>
      <c r="C46" s="65">
        <v>1</v>
      </c>
      <c r="D46" s="35" t="s">
        <v>3080</v>
      </c>
      <c r="E46" s="29" t="s">
        <v>3141</v>
      </c>
      <c r="F46" s="35">
        <v>426.67</v>
      </c>
      <c r="G46" s="40"/>
      <c r="H46" s="35">
        <f t="shared" si="2"/>
        <v>426.67</v>
      </c>
      <c r="I46" s="27"/>
      <c r="J46" s="23"/>
      <c r="K46" s="23"/>
      <c r="L46" s="28"/>
      <c r="M46" s="58"/>
      <c r="N46" s="52" t="s">
        <v>75</v>
      </c>
      <c r="O46" s="55" t="s">
        <v>3059</v>
      </c>
      <c r="P46" s="14" t="s">
        <v>1274</v>
      </c>
      <c r="Q46" s="14" t="s">
        <v>1275</v>
      </c>
      <c r="R46" s="25" t="s">
        <v>3141</v>
      </c>
      <c r="S46" s="64" t="s">
        <v>3142</v>
      </c>
      <c r="T46" s="65">
        <v>1</v>
      </c>
      <c r="U46" s="35" t="s">
        <v>3080</v>
      </c>
      <c r="V46" s="29" t="s">
        <v>3141</v>
      </c>
      <c r="W46" s="35">
        <v>426.67</v>
      </c>
      <c r="X46" s="40"/>
      <c r="Y46" s="35">
        <f t="shared" si="0"/>
        <v>426.67</v>
      </c>
      <c r="Z46" s="27"/>
      <c r="AA46" s="23"/>
      <c r="AB46" s="23"/>
      <c r="AC46" s="28"/>
      <c r="AD46" s="58"/>
      <c r="AE46" s="52" t="s">
        <v>75</v>
      </c>
      <c r="AF46" s="55" t="s">
        <v>3059</v>
      </c>
      <c r="AG46" s="14" t="s">
        <v>1274</v>
      </c>
      <c r="AH46" s="14" t="s">
        <v>1275</v>
      </c>
    </row>
    <row r="47" spans="1:34" s="1" customFormat="1">
      <c r="A47" s="25" t="s">
        <v>3143</v>
      </c>
      <c r="B47" s="64" t="s">
        <v>3144</v>
      </c>
      <c r="C47" s="65">
        <v>1</v>
      </c>
      <c r="D47" s="35" t="s">
        <v>3080</v>
      </c>
      <c r="E47" s="29" t="s">
        <v>3143</v>
      </c>
      <c r="F47" s="35">
        <v>226.67</v>
      </c>
      <c r="G47" s="40"/>
      <c r="H47" s="35">
        <f t="shared" si="2"/>
        <v>226.67</v>
      </c>
      <c r="I47" s="27"/>
      <c r="J47" s="23"/>
      <c r="K47" s="23"/>
      <c r="L47" s="28"/>
      <c r="M47" s="58"/>
      <c r="N47" s="52" t="s">
        <v>75</v>
      </c>
      <c r="O47" s="55" t="s">
        <v>3059</v>
      </c>
      <c r="P47" s="14" t="s">
        <v>1274</v>
      </c>
      <c r="Q47" s="14" t="s">
        <v>1275</v>
      </c>
      <c r="R47" s="25" t="s">
        <v>3143</v>
      </c>
      <c r="S47" s="64" t="s">
        <v>3144</v>
      </c>
      <c r="T47" s="65">
        <v>1</v>
      </c>
      <c r="U47" s="35" t="s">
        <v>3080</v>
      </c>
      <c r="V47" s="29" t="s">
        <v>3143</v>
      </c>
      <c r="W47" s="35">
        <v>226.67</v>
      </c>
      <c r="X47" s="40"/>
      <c r="Y47" s="35">
        <f t="shared" si="0"/>
        <v>226.67</v>
      </c>
      <c r="Z47" s="27"/>
      <c r="AA47" s="23"/>
      <c r="AB47" s="23"/>
      <c r="AC47" s="28"/>
      <c r="AD47" s="58"/>
      <c r="AE47" s="52" t="s">
        <v>75</v>
      </c>
      <c r="AF47" s="55" t="s">
        <v>3059</v>
      </c>
      <c r="AG47" s="14" t="s">
        <v>1274</v>
      </c>
      <c r="AH47" s="14" t="s">
        <v>1275</v>
      </c>
    </row>
    <row r="48" spans="1:34" s="1" customFormat="1">
      <c r="A48" s="25" t="s">
        <v>3145</v>
      </c>
      <c r="B48" s="64" t="s">
        <v>3146</v>
      </c>
      <c r="C48" s="65">
        <v>1</v>
      </c>
      <c r="D48" s="35" t="s">
        <v>3080</v>
      </c>
      <c r="E48" s="29" t="s">
        <v>3145</v>
      </c>
      <c r="F48" s="35">
        <v>306.67</v>
      </c>
      <c r="G48" s="40"/>
      <c r="H48" s="35">
        <f t="shared" si="2"/>
        <v>306.67</v>
      </c>
      <c r="I48" s="27"/>
      <c r="J48" s="23"/>
      <c r="K48" s="23"/>
      <c r="L48" s="28"/>
      <c r="M48" s="58"/>
      <c r="N48" s="52" t="s">
        <v>75</v>
      </c>
      <c r="O48" s="55" t="s">
        <v>3059</v>
      </c>
      <c r="P48" s="14" t="s">
        <v>1274</v>
      </c>
      <c r="Q48" s="14" t="s">
        <v>1275</v>
      </c>
      <c r="R48" s="25" t="s">
        <v>3145</v>
      </c>
      <c r="S48" s="64" t="s">
        <v>3146</v>
      </c>
      <c r="T48" s="65">
        <v>1</v>
      </c>
      <c r="U48" s="35" t="s">
        <v>3080</v>
      </c>
      <c r="V48" s="29" t="s">
        <v>3145</v>
      </c>
      <c r="W48" s="35">
        <v>306.67</v>
      </c>
      <c r="X48" s="40"/>
      <c r="Y48" s="35">
        <f t="shared" si="0"/>
        <v>306.67</v>
      </c>
      <c r="Z48" s="27"/>
      <c r="AA48" s="23"/>
      <c r="AB48" s="23"/>
      <c r="AC48" s="28"/>
      <c r="AD48" s="58"/>
      <c r="AE48" s="52" t="s">
        <v>75</v>
      </c>
      <c r="AF48" s="55" t="s">
        <v>3059</v>
      </c>
      <c r="AG48" s="14" t="s">
        <v>1274</v>
      </c>
      <c r="AH48" s="14" t="s">
        <v>1275</v>
      </c>
    </row>
    <row r="49" spans="1:34" s="1" customFormat="1">
      <c r="A49" s="25" t="s">
        <v>3147</v>
      </c>
      <c r="B49" s="64" t="s">
        <v>3148</v>
      </c>
      <c r="C49" s="65">
        <v>1</v>
      </c>
      <c r="D49" s="35" t="s">
        <v>3080</v>
      </c>
      <c r="E49" s="29" t="s">
        <v>3147</v>
      </c>
      <c r="F49" s="35">
        <v>453.33</v>
      </c>
      <c r="G49" s="40"/>
      <c r="H49" s="35">
        <f t="shared" si="2"/>
        <v>453.33</v>
      </c>
      <c r="I49" s="27"/>
      <c r="J49" s="23"/>
      <c r="K49" s="23"/>
      <c r="L49" s="28"/>
      <c r="M49" s="58"/>
      <c r="N49" s="52" t="s">
        <v>75</v>
      </c>
      <c r="O49" s="55" t="s">
        <v>3059</v>
      </c>
      <c r="P49" s="14" t="s">
        <v>1274</v>
      </c>
      <c r="Q49" s="14" t="s">
        <v>1275</v>
      </c>
      <c r="R49" s="25" t="s">
        <v>3147</v>
      </c>
      <c r="S49" s="64" t="s">
        <v>3148</v>
      </c>
      <c r="T49" s="65">
        <v>1</v>
      </c>
      <c r="U49" s="35" t="s">
        <v>3080</v>
      </c>
      <c r="V49" s="29" t="s">
        <v>3147</v>
      </c>
      <c r="W49" s="35">
        <v>453.33</v>
      </c>
      <c r="X49" s="40"/>
      <c r="Y49" s="35">
        <f t="shared" si="0"/>
        <v>453.33</v>
      </c>
      <c r="Z49" s="27"/>
      <c r="AA49" s="23"/>
      <c r="AB49" s="23"/>
      <c r="AC49" s="28"/>
      <c r="AD49" s="58"/>
      <c r="AE49" s="52" t="s">
        <v>75</v>
      </c>
      <c r="AF49" s="55" t="s">
        <v>3059</v>
      </c>
      <c r="AG49" s="14" t="s">
        <v>1274</v>
      </c>
      <c r="AH49" s="14" t="s">
        <v>1275</v>
      </c>
    </row>
    <row r="50" spans="1:34" s="1" customFormat="1">
      <c r="A50" s="25" t="s">
        <v>3149</v>
      </c>
      <c r="B50" s="64" t="s">
        <v>3150</v>
      </c>
      <c r="C50" s="65">
        <v>1</v>
      </c>
      <c r="D50" s="35" t="s">
        <v>3080</v>
      </c>
      <c r="E50" s="29" t="s">
        <v>3149</v>
      </c>
      <c r="F50" s="35">
        <v>186.67</v>
      </c>
      <c r="G50" s="40"/>
      <c r="H50" s="35">
        <f t="shared" si="2"/>
        <v>186.67</v>
      </c>
      <c r="I50" s="27"/>
      <c r="J50" s="23"/>
      <c r="K50" s="23"/>
      <c r="L50" s="28"/>
      <c r="M50" s="58"/>
      <c r="N50" s="52" t="s">
        <v>75</v>
      </c>
      <c r="O50" s="55" t="s">
        <v>3059</v>
      </c>
      <c r="P50" s="14" t="s">
        <v>1274</v>
      </c>
      <c r="Q50" s="14" t="s">
        <v>1275</v>
      </c>
      <c r="R50" s="25" t="s">
        <v>3149</v>
      </c>
      <c r="S50" s="64" t="s">
        <v>3150</v>
      </c>
      <c r="T50" s="65">
        <v>1</v>
      </c>
      <c r="U50" s="35" t="s">
        <v>3080</v>
      </c>
      <c r="V50" s="29" t="s">
        <v>3149</v>
      </c>
      <c r="W50" s="35">
        <v>186.67</v>
      </c>
      <c r="X50" s="40"/>
      <c r="Y50" s="35">
        <f t="shared" si="0"/>
        <v>186.67</v>
      </c>
      <c r="Z50" s="27"/>
      <c r="AA50" s="23"/>
      <c r="AB50" s="23"/>
      <c r="AC50" s="28"/>
      <c r="AD50" s="58"/>
      <c r="AE50" s="52" t="s">
        <v>75</v>
      </c>
      <c r="AF50" s="55" t="s">
        <v>3059</v>
      </c>
      <c r="AG50" s="14" t="s">
        <v>1274</v>
      </c>
      <c r="AH50" s="14" t="s">
        <v>1275</v>
      </c>
    </row>
    <row r="51" spans="1:34" s="1" customFormat="1">
      <c r="A51" s="25" t="s">
        <v>3151</v>
      </c>
      <c r="B51" s="64" t="s">
        <v>3152</v>
      </c>
      <c r="C51" s="65">
        <v>1</v>
      </c>
      <c r="D51" s="35" t="s">
        <v>3080</v>
      </c>
      <c r="E51" s="29" t="s">
        <v>3151</v>
      </c>
      <c r="F51" s="35">
        <v>273.33</v>
      </c>
      <c r="G51" s="40"/>
      <c r="H51" s="35">
        <f t="shared" si="2"/>
        <v>273.33</v>
      </c>
      <c r="I51" s="27"/>
      <c r="J51" s="23"/>
      <c r="K51" s="23"/>
      <c r="L51" s="28"/>
      <c r="M51" s="58"/>
      <c r="N51" s="52" t="s">
        <v>75</v>
      </c>
      <c r="O51" s="55" t="s">
        <v>3059</v>
      </c>
      <c r="P51" s="14" t="s">
        <v>1274</v>
      </c>
      <c r="Q51" s="14" t="s">
        <v>1275</v>
      </c>
      <c r="R51" s="25" t="s">
        <v>3151</v>
      </c>
      <c r="S51" s="64" t="s">
        <v>3152</v>
      </c>
      <c r="T51" s="65">
        <v>1</v>
      </c>
      <c r="U51" s="35" t="s">
        <v>3080</v>
      </c>
      <c r="V51" s="29" t="s">
        <v>3151</v>
      </c>
      <c r="W51" s="35">
        <v>273.33</v>
      </c>
      <c r="X51" s="40"/>
      <c r="Y51" s="35">
        <f t="shared" si="0"/>
        <v>273.33</v>
      </c>
      <c r="Z51" s="27"/>
      <c r="AA51" s="23"/>
      <c r="AB51" s="23"/>
      <c r="AC51" s="28"/>
      <c r="AD51" s="58"/>
      <c r="AE51" s="52" t="s">
        <v>75</v>
      </c>
      <c r="AF51" s="55" t="s">
        <v>3059</v>
      </c>
      <c r="AG51" s="14" t="s">
        <v>1274</v>
      </c>
      <c r="AH51" s="14" t="s">
        <v>1275</v>
      </c>
    </row>
    <row r="52" spans="1:34" s="1" customFormat="1">
      <c r="A52" s="25" t="s">
        <v>3153</v>
      </c>
      <c r="B52" s="64" t="s">
        <v>3154</v>
      </c>
      <c r="C52" s="65">
        <v>1</v>
      </c>
      <c r="D52" s="35" t="s">
        <v>3080</v>
      </c>
      <c r="E52" s="29" t="s">
        <v>3153</v>
      </c>
      <c r="F52" s="35">
        <v>400</v>
      </c>
      <c r="G52" s="40"/>
      <c r="H52" s="35">
        <f t="shared" si="2"/>
        <v>400</v>
      </c>
      <c r="I52" s="27"/>
      <c r="J52" s="23"/>
      <c r="K52" s="23"/>
      <c r="L52" s="28"/>
      <c r="M52" s="58"/>
      <c r="N52" s="52" t="s">
        <v>75</v>
      </c>
      <c r="O52" s="55" t="s">
        <v>3059</v>
      </c>
      <c r="P52" s="14" t="s">
        <v>1274</v>
      </c>
      <c r="Q52" s="14" t="s">
        <v>1275</v>
      </c>
      <c r="R52" s="25" t="s">
        <v>3153</v>
      </c>
      <c r="S52" s="64" t="s">
        <v>3154</v>
      </c>
      <c r="T52" s="65">
        <v>1</v>
      </c>
      <c r="U52" s="35" t="s">
        <v>3080</v>
      </c>
      <c r="V52" s="29" t="s">
        <v>3153</v>
      </c>
      <c r="W52" s="35">
        <v>400</v>
      </c>
      <c r="X52" s="40"/>
      <c r="Y52" s="35">
        <f t="shared" si="0"/>
        <v>400</v>
      </c>
      <c r="Z52" s="27"/>
      <c r="AA52" s="23"/>
      <c r="AB52" s="23"/>
      <c r="AC52" s="28"/>
      <c r="AD52" s="58"/>
      <c r="AE52" s="52" t="s">
        <v>75</v>
      </c>
      <c r="AF52" s="55" t="s">
        <v>3059</v>
      </c>
      <c r="AG52" s="14" t="s">
        <v>1274</v>
      </c>
      <c r="AH52" s="14" t="s">
        <v>1275</v>
      </c>
    </row>
    <row r="53" spans="1:34" s="1" customFormat="1">
      <c r="A53" s="113" t="s">
        <v>3155</v>
      </c>
      <c r="B53" s="273" t="s">
        <v>3156</v>
      </c>
      <c r="C53" s="292">
        <v>1</v>
      </c>
      <c r="D53" s="293" t="s">
        <v>82</v>
      </c>
      <c r="E53" s="115" t="s">
        <v>3155</v>
      </c>
      <c r="F53" s="116">
        <v>782.67</v>
      </c>
      <c r="G53" s="418"/>
      <c r="H53" s="116">
        <f t="shared" si="2"/>
        <v>782.67</v>
      </c>
      <c r="I53" s="27"/>
      <c r="J53" s="23"/>
      <c r="K53" s="23"/>
      <c r="L53" s="28"/>
      <c r="M53" s="58"/>
      <c r="N53" s="52" t="s">
        <v>75</v>
      </c>
      <c r="O53" s="55" t="s">
        <v>3059</v>
      </c>
      <c r="P53" s="14" t="s">
        <v>1274</v>
      </c>
      <c r="Q53" s="14" t="s">
        <v>1275</v>
      </c>
      <c r="R53" s="113" t="s">
        <v>3155</v>
      </c>
      <c r="S53" s="273" t="s">
        <v>3156</v>
      </c>
      <c r="T53" s="292">
        <v>1</v>
      </c>
      <c r="U53" s="293" t="s">
        <v>82</v>
      </c>
      <c r="V53" s="115" t="s">
        <v>3155</v>
      </c>
      <c r="W53" s="116">
        <v>782.67</v>
      </c>
      <c r="X53" s="418"/>
      <c r="Y53" s="116">
        <f t="shared" si="0"/>
        <v>782.67</v>
      </c>
      <c r="Z53" s="27"/>
      <c r="AA53" s="23"/>
      <c r="AB53" s="23"/>
      <c r="AC53" s="28"/>
      <c r="AD53" s="58"/>
      <c r="AE53" s="52" t="s">
        <v>75</v>
      </c>
      <c r="AF53" s="55" t="s">
        <v>3059</v>
      </c>
      <c r="AG53" s="14" t="s">
        <v>1274</v>
      </c>
      <c r="AH53" s="14" t="s">
        <v>1275</v>
      </c>
    </row>
    <row r="54" spans="1:34" s="1" customFormat="1">
      <c r="A54" s="113" t="s">
        <v>3157</v>
      </c>
      <c r="B54" s="273" t="s">
        <v>3158</v>
      </c>
      <c r="C54" s="292">
        <v>1</v>
      </c>
      <c r="D54" s="293" t="s">
        <v>82</v>
      </c>
      <c r="E54" s="115" t="s">
        <v>3157</v>
      </c>
      <c r="F54" s="116">
        <v>86.67</v>
      </c>
      <c r="G54" s="418"/>
      <c r="H54" s="116">
        <f t="shared" si="2"/>
        <v>86.67</v>
      </c>
      <c r="I54" s="27"/>
      <c r="J54" s="23"/>
      <c r="K54" s="23"/>
      <c r="L54" s="28"/>
      <c r="M54" s="58"/>
      <c r="N54" s="52" t="s">
        <v>75</v>
      </c>
      <c r="O54" s="55" t="s">
        <v>3059</v>
      </c>
      <c r="P54" s="14" t="s">
        <v>1274</v>
      </c>
      <c r="Q54" s="14" t="s">
        <v>1275</v>
      </c>
      <c r="R54" s="113" t="s">
        <v>3157</v>
      </c>
      <c r="S54" s="273" t="s">
        <v>3158</v>
      </c>
      <c r="T54" s="292">
        <v>1</v>
      </c>
      <c r="U54" s="293" t="s">
        <v>82</v>
      </c>
      <c r="V54" s="115" t="s">
        <v>3157</v>
      </c>
      <c r="W54" s="116">
        <v>86.67</v>
      </c>
      <c r="X54" s="418"/>
      <c r="Y54" s="116">
        <f t="shared" si="0"/>
        <v>86.67</v>
      </c>
      <c r="Z54" s="27"/>
      <c r="AA54" s="23"/>
      <c r="AB54" s="23"/>
      <c r="AC54" s="28"/>
      <c r="AD54" s="58"/>
      <c r="AE54" s="52" t="s">
        <v>75</v>
      </c>
      <c r="AF54" s="55" t="s">
        <v>3059</v>
      </c>
      <c r="AG54" s="14" t="s">
        <v>1274</v>
      </c>
      <c r="AH54" s="14" t="s">
        <v>1275</v>
      </c>
    </row>
    <row r="55" spans="1:34" s="1" customFormat="1">
      <c r="A55" s="113" t="s">
        <v>3159</v>
      </c>
      <c r="B55" s="273" t="s">
        <v>3160</v>
      </c>
      <c r="C55" s="292">
        <v>1</v>
      </c>
      <c r="D55" s="293" t="s">
        <v>82</v>
      </c>
      <c r="E55" s="115" t="s">
        <v>3159</v>
      </c>
      <c r="F55" s="116">
        <v>326.67</v>
      </c>
      <c r="G55" s="418"/>
      <c r="H55" s="116">
        <f t="shared" si="2"/>
        <v>326.67</v>
      </c>
      <c r="I55" s="27"/>
      <c r="J55" s="23"/>
      <c r="K55" s="23"/>
      <c r="L55" s="28"/>
      <c r="M55" s="58"/>
      <c r="N55" s="52" t="s">
        <v>75</v>
      </c>
      <c r="O55" s="55" t="s">
        <v>3059</v>
      </c>
      <c r="P55" s="14" t="s">
        <v>1274</v>
      </c>
      <c r="Q55" s="14" t="s">
        <v>1275</v>
      </c>
      <c r="R55" s="113" t="s">
        <v>3159</v>
      </c>
      <c r="S55" s="273" t="s">
        <v>3160</v>
      </c>
      <c r="T55" s="292">
        <v>1</v>
      </c>
      <c r="U55" s="293" t="s">
        <v>82</v>
      </c>
      <c r="V55" s="115" t="s">
        <v>3159</v>
      </c>
      <c r="W55" s="116">
        <v>326.67</v>
      </c>
      <c r="X55" s="418"/>
      <c r="Y55" s="116">
        <f t="shared" si="0"/>
        <v>326.67</v>
      </c>
      <c r="Z55" s="27"/>
      <c r="AA55" s="23"/>
      <c r="AB55" s="23"/>
      <c r="AC55" s="28"/>
      <c r="AD55" s="58"/>
      <c r="AE55" s="52" t="s">
        <v>75</v>
      </c>
      <c r="AF55" s="55" t="s">
        <v>3059</v>
      </c>
      <c r="AG55" s="14" t="s">
        <v>1274</v>
      </c>
      <c r="AH55" s="14" t="s">
        <v>1275</v>
      </c>
    </row>
    <row r="56" spans="1:34" s="1" customFormat="1">
      <c r="A56" s="113" t="s">
        <v>3161</v>
      </c>
      <c r="B56" s="273" t="s">
        <v>3162</v>
      </c>
      <c r="C56" s="292">
        <v>1</v>
      </c>
      <c r="D56" s="293" t="s">
        <v>82</v>
      </c>
      <c r="E56" s="300" t="s">
        <v>3161</v>
      </c>
      <c r="F56" s="226">
        <v>649.33000000000004</v>
      </c>
      <c r="G56" s="418"/>
      <c r="H56" s="116">
        <f t="shared" si="2"/>
        <v>649.33000000000004</v>
      </c>
      <c r="I56" s="27"/>
      <c r="J56" s="23"/>
      <c r="K56" s="23"/>
      <c r="L56" s="28"/>
      <c r="M56" s="58"/>
      <c r="N56" s="52" t="s">
        <v>75</v>
      </c>
      <c r="O56" s="55" t="s">
        <v>3059</v>
      </c>
      <c r="P56" s="14" t="s">
        <v>1274</v>
      </c>
      <c r="Q56" s="14" t="s">
        <v>1275</v>
      </c>
      <c r="R56" s="113" t="s">
        <v>3161</v>
      </c>
      <c r="S56" s="273" t="s">
        <v>3162</v>
      </c>
      <c r="T56" s="292">
        <v>1</v>
      </c>
      <c r="U56" s="293" t="s">
        <v>82</v>
      </c>
      <c r="V56" s="300" t="s">
        <v>3161</v>
      </c>
      <c r="W56" s="226">
        <v>649.33000000000004</v>
      </c>
      <c r="X56" s="418"/>
      <c r="Y56" s="116">
        <f t="shared" si="0"/>
        <v>649.33000000000004</v>
      </c>
      <c r="Z56" s="27"/>
      <c r="AA56" s="23"/>
      <c r="AB56" s="23"/>
      <c r="AC56" s="28"/>
      <c r="AD56" s="58"/>
      <c r="AE56" s="52" t="s">
        <v>75</v>
      </c>
      <c r="AF56" s="55" t="s">
        <v>3059</v>
      </c>
      <c r="AG56" s="14" t="s">
        <v>1274</v>
      </c>
      <c r="AH56" s="14" t="s">
        <v>1275</v>
      </c>
    </row>
    <row r="57" spans="1:34" s="1" customFormat="1">
      <c r="A57" s="113" t="s">
        <v>3163</v>
      </c>
      <c r="B57" s="273" t="s">
        <v>3164</v>
      </c>
      <c r="C57" s="292">
        <v>1</v>
      </c>
      <c r="D57" s="293" t="s">
        <v>82</v>
      </c>
      <c r="E57" s="115" t="s">
        <v>3163</v>
      </c>
      <c r="F57" s="116">
        <v>173.33</v>
      </c>
      <c r="G57" s="418"/>
      <c r="H57" s="116">
        <f t="shared" si="2"/>
        <v>173.33</v>
      </c>
      <c r="I57" s="27"/>
      <c r="J57" s="23"/>
      <c r="K57" s="23"/>
      <c r="L57" s="28"/>
      <c r="M57" s="58"/>
      <c r="N57" s="52" t="s">
        <v>75</v>
      </c>
      <c r="O57" s="55" t="s">
        <v>3059</v>
      </c>
      <c r="P57" s="14" t="s">
        <v>1274</v>
      </c>
      <c r="Q57" s="14" t="s">
        <v>1275</v>
      </c>
      <c r="R57" s="113" t="s">
        <v>3163</v>
      </c>
      <c r="S57" s="273" t="s">
        <v>3164</v>
      </c>
      <c r="T57" s="292">
        <v>1</v>
      </c>
      <c r="U57" s="293" t="s">
        <v>82</v>
      </c>
      <c r="V57" s="115" t="s">
        <v>3163</v>
      </c>
      <c r="W57" s="116">
        <v>173.33</v>
      </c>
      <c r="X57" s="418"/>
      <c r="Y57" s="116">
        <f t="shared" si="0"/>
        <v>173.33</v>
      </c>
      <c r="Z57" s="27"/>
      <c r="AA57" s="23"/>
      <c r="AB57" s="23"/>
      <c r="AC57" s="28"/>
      <c r="AD57" s="58"/>
      <c r="AE57" s="52" t="s">
        <v>75</v>
      </c>
      <c r="AF57" s="55" t="s">
        <v>3059</v>
      </c>
      <c r="AG57" s="14" t="s">
        <v>1274</v>
      </c>
      <c r="AH57" s="14" t="s">
        <v>1275</v>
      </c>
    </row>
    <row r="58" spans="1:34" s="1" customFormat="1" ht="14.25">
      <c r="A58" s="113" t="s">
        <v>3165</v>
      </c>
      <c r="B58" s="419" t="s">
        <v>3166</v>
      </c>
      <c r="C58" s="420">
        <v>1</v>
      </c>
      <c r="D58" s="421" t="s">
        <v>82</v>
      </c>
      <c r="E58" s="421" t="s">
        <v>3165</v>
      </c>
      <c r="F58" s="116">
        <v>391.3</v>
      </c>
      <c r="G58" s="422"/>
      <c r="H58" s="226">
        <f t="shared" ref="H58" si="3">F58-(F58*G58)</f>
        <v>391.3</v>
      </c>
      <c r="I58" s="27"/>
      <c r="J58" s="23"/>
      <c r="K58" s="23"/>
      <c r="L58" s="28"/>
      <c r="M58" s="58"/>
      <c r="N58" s="52" t="s">
        <v>75</v>
      </c>
      <c r="O58" s="55" t="s">
        <v>3059</v>
      </c>
      <c r="P58" s="14" t="s">
        <v>1274</v>
      </c>
      <c r="Q58" s="14" t="s">
        <v>1275</v>
      </c>
      <c r="R58" s="113" t="s">
        <v>3165</v>
      </c>
      <c r="S58" s="419" t="s">
        <v>3166</v>
      </c>
      <c r="T58" s="420">
        <v>1</v>
      </c>
      <c r="U58" s="421" t="s">
        <v>82</v>
      </c>
      <c r="V58" s="421" t="s">
        <v>3165</v>
      </c>
      <c r="W58" s="116">
        <v>391.3</v>
      </c>
      <c r="X58" s="422"/>
      <c r="Y58" s="226">
        <f t="shared" si="0"/>
        <v>391.3</v>
      </c>
      <c r="Z58" s="27"/>
      <c r="AA58" s="23"/>
      <c r="AB58" s="23"/>
      <c r="AC58" s="28"/>
      <c r="AD58" s="58"/>
      <c r="AE58" s="52" t="s">
        <v>75</v>
      </c>
      <c r="AF58" s="55" t="s">
        <v>3059</v>
      </c>
      <c r="AG58" s="14" t="s">
        <v>1274</v>
      </c>
      <c r="AH58" s="14" t="s">
        <v>1275</v>
      </c>
    </row>
    <row r="59" spans="1:34" s="1" customFormat="1">
      <c r="A59" s="25" t="s">
        <v>3167</v>
      </c>
      <c r="B59" s="64" t="s">
        <v>3168</v>
      </c>
      <c r="C59" s="65">
        <v>1</v>
      </c>
      <c r="D59" s="35" t="s">
        <v>3080</v>
      </c>
      <c r="E59" s="29" t="s">
        <v>3167</v>
      </c>
      <c r="F59" s="35">
        <v>733.33</v>
      </c>
      <c r="G59" s="40"/>
      <c r="H59" s="35">
        <f t="shared" si="2"/>
        <v>733.33</v>
      </c>
      <c r="I59" s="27"/>
      <c r="J59" s="23"/>
      <c r="K59" s="23"/>
      <c r="L59" s="28"/>
      <c r="M59" s="58"/>
      <c r="N59" s="52" t="s">
        <v>75</v>
      </c>
      <c r="O59" s="55" t="s">
        <v>3059</v>
      </c>
      <c r="P59" s="14" t="s">
        <v>1274</v>
      </c>
      <c r="Q59" s="14" t="s">
        <v>1275</v>
      </c>
      <c r="R59" s="25" t="s">
        <v>3167</v>
      </c>
      <c r="S59" s="64" t="s">
        <v>3168</v>
      </c>
      <c r="T59" s="65">
        <v>1</v>
      </c>
      <c r="U59" s="35" t="s">
        <v>3080</v>
      </c>
      <c r="V59" s="29" t="s">
        <v>3167</v>
      </c>
      <c r="W59" s="35">
        <v>733.33</v>
      </c>
      <c r="X59" s="40"/>
      <c r="Y59" s="35">
        <f t="shared" si="0"/>
        <v>733.33</v>
      </c>
      <c r="Z59" s="27"/>
      <c r="AA59" s="23"/>
      <c r="AB59" s="23"/>
      <c r="AC59" s="28"/>
      <c r="AD59" s="58"/>
      <c r="AE59" s="52" t="s">
        <v>75</v>
      </c>
      <c r="AF59" s="55" t="s">
        <v>3059</v>
      </c>
      <c r="AG59" s="14" t="s">
        <v>1274</v>
      </c>
      <c r="AH59" s="14" t="s">
        <v>1275</v>
      </c>
    </row>
    <row r="60" spans="1:34" s="1" customFormat="1">
      <c r="A60" s="25" t="s">
        <v>3169</v>
      </c>
      <c r="B60" s="64" t="s">
        <v>3170</v>
      </c>
      <c r="C60" s="65">
        <v>1</v>
      </c>
      <c r="D60" s="35" t="s">
        <v>3080</v>
      </c>
      <c r="E60" s="29" t="s">
        <v>3169</v>
      </c>
      <c r="F60" s="35">
        <v>466.67</v>
      </c>
      <c r="G60" s="40"/>
      <c r="H60" s="35">
        <f t="shared" si="2"/>
        <v>466.67</v>
      </c>
      <c r="I60" s="27"/>
      <c r="J60" s="23"/>
      <c r="K60" s="23"/>
      <c r="L60" s="28"/>
      <c r="M60" s="58"/>
      <c r="N60" s="52" t="s">
        <v>75</v>
      </c>
      <c r="O60" s="55" t="s">
        <v>3059</v>
      </c>
      <c r="P60" s="14" t="s">
        <v>1274</v>
      </c>
      <c r="Q60" s="14" t="s">
        <v>1275</v>
      </c>
      <c r="R60" s="25" t="s">
        <v>3169</v>
      </c>
      <c r="S60" s="64" t="s">
        <v>3170</v>
      </c>
      <c r="T60" s="65">
        <v>1</v>
      </c>
      <c r="U60" s="35" t="s">
        <v>3080</v>
      </c>
      <c r="V60" s="29" t="s">
        <v>3169</v>
      </c>
      <c r="W60" s="35">
        <v>466.67</v>
      </c>
      <c r="X60" s="40"/>
      <c r="Y60" s="35">
        <f t="shared" si="0"/>
        <v>466.67</v>
      </c>
      <c r="Z60" s="27"/>
      <c r="AA60" s="23"/>
      <c r="AB60" s="23"/>
      <c r="AC60" s="28"/>
      <c r="AD60" s="58"/>
      <c r="AE60" s="52" t="s">
        <v>75</v>
      </c>
      <c r="AF60" s="55" t="s">
        <v>3059</v>
      </c>
      <c r="AG60" s="14" t="s">
        <v>1274</v>
      </c>
      <c r="AH60" s="14" t="s">
        <v>1275</v>
      </c>
    </row>
    <row r="61" spans="1:34" s="1" customFormat="1">
      <c r="A61" s="25" t="s">
        <v>3171</v>
      </c>
      <c r="B61" s="64" t="s">
        <v>3172</v>
      </c>
      <c r="C61" s="65">
        <v>1</v>
      </c>
      <c r="D61" s="35" t="s">
        <v>82</v>
      </c>
      <c r="E61" s="29" t="s">
        <v>3171</v>
      </c>
      <c r="F61" s="35">
        <v>11072</v>
      </c>
      <c r="G61" s="40"/>
      <c r="H61" s="35">
        <f t="shared" si="2"/>
        <v>11072</v>
      </c>
      <c r="I61" s="27"/>
      <c r="J61" s="23"/>
      <c r="K61" s="23"/>
      <c r="L61" s="28"/>
      <c r="M61" s="58"/>
      <c r="N61" s="52" t="s">
        <v>75</v>
      </c>
      <c r="O61" s="55" t="s">
        <v>3059</v>
      </c>
      <c r="P61" s="14" t="s">
        <v>1274</v>
      </c>
      <c r="Q61" s="14" t="s">
        <v>1275</v>
      </c>
      <c r="R61" s="25" t="s">
        <v>3171</v>
      </c>
      <c r="S61" s="64" t="s">
        <v>3172</v>
      </c>
      <c r="T61" s="65">
        <v>1</v>
      </c>
      <c r="U61" s="35" t="s">
        <v>82</v>
      </c>
      <c r="V61" s="29" t="s">
        <v>3171</v>
      </c>
      <c r="W61" s="35">
        <v>11810.4</v>
      </c>
      <c r="X61" s="40"/>
      <c r="Y61" s="35">
        <f t="shared" si="0"/>
        <v>11810.4</v>
      </c>
      <c r="Z61" s="27"/>
      <c r="AA61" s="23"/>
      <c r="AB61" s="23"/>
      <c r="AC61" s="28"/>
      <c r="AD61" s="58"/>
      <c r="AE61" s="52" t="s">
        <v>75</v>
      </c>
      <c r="AF61" s="55" t="s">
        <v>3059</v>
      </c>
      <c r="AG61" s="14" t="s">
        <v>1274</v>
      </c>
      <c r="AH61" s="14" t="s">
        <v>1275</v>
      </c>
    </row>
    <row r="62" spans="1:34" s="1" customFormat="1">
      <c r="A62" s="25" t="s">
        <v>3173</v>
      </c>
      <c r="B62" s="64" t="s">
        <v>3174</v>
      </c>
      <c r="C62" s="65">
        <v>1</v>
      </c>
      <c r="D62" s="35" t="s">
        <v>3175</v>
      </c>
      <c r="E62" s="29" t="s">
        <v>3173</v>
      </c>
      <c r="F62" s="35">
        <v>6.67</v>
      </c>
      <c r="G62" s="40"/>
      <c r="H62" s="35">
        <f t="shared" si="2"/>
        <v>6.67</v>
      </c>
      <c r="I62" s="27"/>
      <c r="J62" s="23"/>
      <c r="K62" s="23"/>
      <c r="L62" s="28"/>
      <c r="M62" s="58"/>
      <c r="N62" s="52" t="s">
        <v>75</v>
      </c>
      <c r="O62" s="55" t="s">
        <v>3059</v>
      </c>
      <c r="P62" s="14" t="s">
        <v>1274</v>
      </c>
      <c r="Q62" s="14" t="s">
        <v>1275</v>
      </c>
      <c r="R62" s="25" t="s">
        <v>3173</v>
      </c>
      <c r="S62" s="64" t="s">
        <v>3174</v>
      </c>
      <c r="T62" s="65">
        <v>1</v>
      </c>
      <c r="U62" s="35" t="s">
        <v>3175</v>
      </c>
      <c r="V62" s="29" t="s">
        <v>3173</v>
      </c>
      <c r="W62" s="35">
        <v>6.67</v>
      </c>
      <c r="X62" s="40"/>
      <c r="Y62" s="35">
        <f t="shared" si="0"/>
        <v>6.67</v>
      </c>
      <c r="Z62" s="27"/>
      <c r="AA62" s="23"/>
      <c r="AB62" s="23"/>
      <c r="AC62" s="28"/>
      <c r="AD62" s="58"/>
      <c r="AE62" s="52" t="s">
        <v>75</v>
      </c>
      <c r="AF62" s="55" t="s">
        <v>3059</v>
      </c>
      <c r="AG62" s="14" t="s">
        <v>1274</v>
      </c>
      <c r="AH62" s="14" t="s">
        <v>1275</v>
      </c>
    </row>
    <row r="63" spans="1:34" s="1" customFormat="1">
      <c r="A63" s="25" t="s">
        <v>3176</v>
      </c>
      <c r="B63" s="64" t="s">
        <v>3177</v>
      </c>
      <c r="C63" s="65">
        <v>1</v>
      </c>
      <c r="D63" s="35" t="s">
        <v>3175</v>
      </c>
      <c r="E63" s="29" t="s">
        <v>3176</v>
      </c>
      <c r="F63" s="35">
        <v>440</v>
      </c>
      <c r="G63" s="40"/>
      <c r="H63" s="35">
        <f t="shared" si="2"/>
        <v>440</v>
      </c>
      <c r="I63" s="27"/>
      <c r="J63" s="23"/>
      <c r="K63" s="23"/>
      <c r="L63" s="28"/>
      <c r="M63" s="58"/>
      <c r="N63" s="52" t="s">
        <v>75</v>
      </c>
      <c r="O63" s="55" t="s">
        <v>3059</v>
      </c>
      <c r="P63" s="14" t="s">
        <v>1274</v>
      </c>
      <c r="Q63" s="14" t="s">
        <v>1275</v>
      </c>
      <c r="R63" s="25" t="s">
        <v>3176</v>
      </c>
      <c r="S63" s="64" t="s">
        <v>3177</v>
      </c>
      <c r="T63" s="65">
        <v>1</v>
      </c>
      <c r="U63" s="35" t="s">
        <v>3175</v>
      </c>
      <c r="V63" s="29" t="s">
        <v>3176</v>
      </c>
      <c r="W63" s="35">
        <v>440</v>
      </c>
      <c r="X63" s="40"/>
      <c r="Y63" s="35">
        <f t="shared" si="0"/>
        <v>440</v>
      </c>
      <c r="Z63" s="27"/>
      <c r="AA63" s="23"/>
      <c r="AB63" s="23"/>
      <c r="AC63" s="28"/>
      <c r="AD63" s="58"/>
      <c r="AE63" s="52" t="s">
        <v>75</v>
      </c>
      <c r="AF63" s="55" t="s">
        <v>3059</v>
      </c>
      <c r="AG63" s="14" t="s">
        <v>1274</v>
      </c>
      <c r="AH63" s="14" t="s">
        <v>1275</v>
      </c>
    </row>
    <row r="64" spans="1:34" s="1" customFormat="1">
      <c r="A64" s="25" t="s">
        <v>3178</v>
      </c>
      <c r="B64" s="64" t="s">
        <v>3179</v>
      </c>
      <c r="C64" s="65">
        <v>1</v>
      </c>
      <c r="D64" s="35" t="s">
        <v>3175</v>
      </c>
      <c r="E64" s="29" t="s">
        <v>3178</v>
      </c>
      <c r="F64" s="35">
        <v>600</v>
      </c>
      <c r="G64" s="40"/>
      <c r="H64" s="35">
        <f t="shared" si="2"/>
        <v>600</v>
      </c>
      <c r="I64" s="27"/>
      <c r="J64" s="23"/>
      <c r="K64" s="23"/>
      <c r="L64" s="28"/>
      <c r="M64" s="58"/>
      <c r="N64" s="52" t="s">
        <v>75</v>
      </c>
      <c r="O64" s="55" t="s">
        <v>3059</v>
      </c>
      <c r="P64" s="14" t="s">
        <v>1274</v>
      </c>
      <c r="Q64" s="14" t="s">
        <v>1275</v>
      </c>
      <c r="R64" s="25" t="s">
        <v>3178</v>
      </c>
      <c r="S64" s="64" t="s">
        <v>3179</v>
      </c>
      <c r="T64" s="65">
        <v>1</v>
      </c>
      <c r="U64" s="35" t="s">
        <v>3175</v>
      </c>
      <c r="V64" s="29" t="s">
        <v>3178</v>
      </c>
      <c r="W64" s="35">
        <v>600</v>
      </c>
      <c r="X64" s="40"/>
      <c r="Y64" s="35">
        <f t="shared" si="0"/>
        <v>600</v>
      </c>
      <c r="Z64" s="27"/>
      <c r="AA64" s="23"/>
      <c r="AB64" s="23"/>
      <c r="AC64" s="28"/>
      <c r="AD64" s="58"/>
      <c r="AE64" s="52" t="s">
        <v>75</v>
      </c>
      <c r="AF64" s="55" t="s">
        <v>3059</v>
      </c>
      <c r="AG64" s="14" t="s">
        <v>1274</v>
      </c>
      <c r="AH64" s="14" t="s">
        <v>1275</v>
      </c>
    </row>
    <row r="65" spans="1:34" s="1" customFormat="1">
      <c r="A65" s="25" t="s">
        <v>3180</v>
      </c>
      <c r="B65" s="64" t="s">
        <v>3181</v>
      </c>
      <c r="C65" s="65">
        <v>1</v>
      </c>
      <c r="D65" s="35" t="s">
        <v>3175</v>
      </c>
      <c r="E65" s="29" t="s">
        <v>3180</v>
      </c>
      <c r="F65" s="35">
        <v>520</v>
      </c>
      <c r="G65" s="40"/>
      <c r="H65" s="35">
        <f t="shared" si="2"/>
        <v>520</v>
      </c>
      <c r="I65" s="27"/>
      <c r="J65" s="23"/>
      <c r="K65" s="23"/>
      <c r="L65" s="28"/>
      <c r="M65" s="58"/>
      <c r="N65" s="52" t="s">
        <v>75</v>
      </c>
      <c r="O65" s="55" t="s">
        <v>3059</v>
      </c>
      <c r="P65" s="14" t="s">
        <v>1274</v>
      </c>
      <c r="Q65" s="14" t="s">
        <v>1275</v>
      </c>
      <c r="R65" s="25" t="s">
        <v>3180</v>
      </c>
      <c r="S65" s="64" t="s">
        <v>3181</v>
      </c>
      <c r="T65" s="65">
        <v>1</v>
      </c>
      <c r="U65" s="35" t="s">
        <v>3175</v>
      </c>
      <c r="V65" s="29" t="s">
        <v>3180</v>
      </c>
      <c r="W65" s="35">
        <v>520</v>
      </c>
      <c r="X65" s="40"/>
      <c r="Y65" s="35">
        <f t="shared" si="0"/>
        <v>520</v>
      </c>
      <c r="Z65" s="27"/>
      <c r="AA65" s="23"/>
      <c r="AB65" s="23"/>
      <c r="AC65" s="28"/>
      <c r="AD65" s="58"/>
      <c r="AE65" s="52" t="s">
        <v>75</v>
      </c>
      <c r="AF65" s="55" t="s">
        <v>3059</v>
      </c>
      <c r="AG65" s="14" t="s">
        <v>1274</v>
      </c>
      <c r="AH65" s="14" t="s">
        <v>1275</v>
      </c>
    </row>
    <row r="66" spans="1:34" s="1" customFormat="1">
      <c r="A66" s="25" t="s">
        <v>3182</v>
      </c>
      <c r="B66" s="64" t="s">
        <v>3183</v>
      </c>
      <c r="C66" s="65">
        <v>1</v>
      </c>
      <c r="D66" s="35" t="s">
        <v>3175</v>
      </c>
      <c r="E66" s="29" t="s">
        <v>3182</v>
      </c>
      <c r="F66" s="35">
        <v>1106.67</v>
      </c>
      <c r="G66" s="40"/>
      <c r="H66" s="35">
        <f t="shared" si="2"/>
        <v>1106.67</v>
      </c>
      <c r="I66" s="27"/>
      <c r="J66" s="23"/>
      <c r="K66" s="23"/>
      <c r="L66" s="28"/>
      <c r="M66" s="58"/>
      <c r="N66" s="52" t="s">
        <v>75</v>
      </c>
      <c r="O66" s="55" t="s">
        <v>3059</v>
      </c>
      <c r="P66" s="14" t="s">
        <v>1274</v>
      </c>
      <c r="Q66" s="14" t="s">
        <v>1275</v>
      </c>
      <c r="R66" s="25" t="s">
        <v>3182</v>
      </c>
      <c r="S66" s="64" t="s">
        <v>3183</v>
      </c>
      <c r="T66" s="65">
        <v>1</v>
      </c>
      <c r="U66" s="35" t="s">
        <v>3175</v>
      </c>
      <c r="V66" s="29" t="s">
        <v>3182</v>
      </c>
      <c r="W66" s="35">
        <v>1106.67</v>
      </c>
      <c r="X66" s="40"/>
      <c r="Y66" s="35">
        <f t="shared" si="0"/>
        <v>1106.67</v>
      </c>
      <c r="Z66" s="27"/>
      <c r="AA66" s="23"/>
      <c r="AB66" s="23"/>
      <c r="AC66" s="28"/>
      <c r="AD66" s="58"/>
      <c r="AE66" s="52" t="s">
        <v>75</v>
      </c>
      <c r="AF66" s="55" t="s">
        <v>3059</v>
      </c>
      <c r="AG66" s="14" t="s">
        <v>1274</v>
      </c>
      <c r="AH66" s="14" t="s">
        <v>1275</v>
      </c>
    </row>
    <row r="67" spans="1:34" s="1" customFormat="1">
      <c r="A67" s="25" t="s">
        <v>3184</v>
      </c>
      <c r="B67" s="64" t="s">
        <v>3185</v>
      </c>
      <c r="C67" s="65">
        <v>1</v>
      </c>
      <c r="D67" s="35" t="s">
        <v>3175</v>
      </c>
      <c r="E67" s="29" t="s">
        <v>3184</v>
      </c>
      <c r="F67" s="35">
        <v>333.33</v>
      </c>
      <c r="G67" s="40"/>
      <c r="H67" s="35">
        <f t="shared" si="2"/>
        <v>333.33</v>
      </c>
      <c r="I67" s="27"/>
      <c r="J67" s="23"/>
      <c r="K67" s="23"/>
      <c r="L67" s="28"/>
      <c r="M67" s="58"/>
      <c r="N67" s="52" t="s">
        <v>75</v>
      </c>
      <c r="O67" s="55" t="s">
        <v>3059</v>
      </c>
      <c r="P67" s="14" t="s">
        <v>1274</v>
      </c>
      <c r="Q67" s="14" t="s">
        <v>1275</v>
      </c>
      <c r="R67" s="25" t="s">
        <v>3184</v>
      </c>
      <c r="S67" s="64" t="s">
        <v>3185</v>
      </c>
      <c r="T67" s="65">
        <v>1</v>
      </c>
      <c r="U67" s="35" t="s">
        <v>3175</v>
      </c>
      <c r="V67" s="29" t="s">
        <v>3184</v>
      </c>
      <c r="W67" s="35">
        <v>333.33</v>
      </c>
      <c r="X67" s="40"/>
      <c r="Y67" s="35">
        <f t="shared" si="0"/>
        <v>333.33</v>
      </c>
      <c r="Z67" s="27"/>
      <c r="AA67" s="23"/>
      <c r="AB67" s="23"/>
      <c r="AC67" s="28"/>
      <c r="AD67" s="58"/>
      <c r="AE67" s="52" t="s">
        <v>75</v>
      </c>
      <c r="AF67" s="55" t="s">
        <v>3059</v>
      </c>
      <c r="AG67" s="14" t="s">
        <v>1274</v>
      </c>
      <c r="AH67" s="14" t="s">
        <v>1275</v>
      </c>
    </row>
    <row r="68" spans="1:34" s="1" customFormat="1">
      <c r="A68" s="25" t="s">
        <v>3186</v>
      </c>
      <c r="B68" s="64" t="s">
        <v>3187</v>
      </c>
      <c r="C68" s="65">
        <v>1</v>
      </c>
      <c r="D68" s="35" t="s">
        <v>3175</v>
      </c>
      <c r="E68" s="29" t="s">
        <v>3186</v>
      </c>
      <c r="F68" s="35">
        <v>326.67</v>
      </c>
      <c r="G68" s="40"/>
      <c r="H68" s="35">
        <f t="shared" ref="H68:H83" si="4">F68-(F68*G68)</f>
        <v>326.67</v>
      </c>
      <c r="I68" s="27"/>
      <c r="J68" s="23"/>
      <c r="K68" s="23"/>
      <c r="L68" s="28"/>
      <c r="M68" s="58"/>
      <c r="N68" s="52" t="s">
        <v>75</v>
      </c>
      <c r="O68" s="55" t="s">
        <v>3059</v>
      </c>
      <c r="P68" s="14" t="s">
        <v>1274</v>
      </c>
      <c r="Q68" s="14" t="s">
        <v>1275</v>
      </c>
      <c r="R68" s="25" t="s">
        <v>3186</v>
      </c>
      <c r="S68" s="64" t="s">
        <v>3187</v>
      </c>
      <c r="T68" s="65">
        <v>1</v>
      </c>
      <c r="U68" s="35" t="s">
        <v>3175</v>
      </c>
      <c r="V68" s="29" t="s">
        <v>3186</v>
      </c>
      <c r="W68" s="35">
        <v>326.67</v>
      </c>
      <c r="X68" s="40"/>
      <c r="Y68" s="35">
        <f t="shared" si="0"/>
        <v>326.67</v>
      </c>
      <c r="Z68" s="27"/>
      <c r="AA68" s="23"/>
      <c r="AB68" s="23"/>
      <c r="AC68" s="28"/>
      <c r="AD68" s="58"/>
      <c r="AE68" s="52" t="s">
        <v>75</v>
      </c>
      <c r="AF68" s="55" t="s">
        <v>3059</v>
      </c>
      <c r="AG68" s="14" t="s">
        <v>1274</v>
      </c>
      <c r="AH68" s="14" t="s">
        <v>1275</v>
      </c>
    </row>
    <row r="69" spans="1:34" s="1" customFormat="1">
      <c r="A69" s="25" t="s">
        <v>3188</v>
      </c>
      <c r="B69" s="64" t="s">
        <v>3189</v>
      </c>
      <c r="C69" s="65">
        <v>1</v>
      </c>
      <c r="D69" s="35" t="s">
        <v>3175</v>
      </c>
      <c r="E69" s="29" t="s">
        <v>3188</v>
      </c>
      <c r="F69" s="35">
        <v>126.67</v>
      </c>
      <c r="G69" s="40"/>
      <c r="H69" s="35">
        <f t="shared" si="4"/>
        <v>126.67</v>
      </c>
      <c r="I69" s="27"/>
      <c r="J69" s="23"/>
      <c r="K69" s="23"/>
      <c r="L69" s="28"/>
      <c r="M69" s="58"/>
      <c r="N69" s="52" t="s">
        <v>75</v>
      </c>
      <c r="O69" s="55" t="s">
        <v>3059</v>
      </c>
      <c r="P69" s="14" t="s">
        <v>1274</v>
      </c>
      <c r="Q69" s="14" t="s">
        <v>1275</v>
      </c>
      <c r="R69" s="25" t="s">
        <v>3188</v>
      </c>
      <c r="S69" s="64" t="s">
        <v>3189</v>
      </c>
      <c r="T69" s="65">
        <v>1</v>
      </c>
      <c r="U69" s="35" t="s">
        <v>3175</v>
      </c>
      <c r="V69" s="29" t="s">
        <v>3188</v>
      </c>
      <c r="W69" s="35">
        <v>126.67</v>
      </c>
      <c r="X69" s="40"/>
      <c r="Y69" s="35">
        <f t="shared" si="0"/>
        <v>126.67</v>
      </c>
      <c r="Z69" s="27"/>
      <c r="AA69" s="23"/>
      <c r="AB69" s="23"/>
      <c r="AC69" s="28"/>
      <c r="AD69" s="58"/>
      <c r="AE69" s="52" t="s">
        <v>75</v>
      </c>
      <c r="AF69" s="55" t="s">
        <v>3059</v>
      </c>
      <c r="AG69" s="14" t="s">
        <v>1274</v>
      </c>
      <c r="AH69" s="14" t="s">
        <v>1275</v>
      </c>
    </row>
    <row r="70" spans="1:34" s="1" customFormat="1">
      <c r="A70" s="25" t="s">
        <v>3190</v>
      </c>
      <c r="B70" s="64" t="s">
        <v>3191</v>
      </c>
      <c r="C70" s="65">
        <v>1</v>
      </c>
      <c r="D70" s="35" t="s">
        <v>3175</v>
      </c>
      <c r="E70" s="29" t="s">
        <v>3190</v>
      </c>
      <c r="F70" s="35">
        <v>126.67</v>
      </c>
      <c r="G70" s="40"/>
      <c r="H70" s="35">
        <f t="shared" si="4"/>
        <v>126.67</v>
      </c>
      <c r="I70" s="27"/>
      <c r="J70" s="23"/>
      <c r="K70" s="23"/>
      <c r="L70" s="28"/>
      <c r="M70" s="58"/>
      <c r="N70" s="52" t="s">
        <v>75</v>
      </c>
      <c r="O70" s="55" t="s">
        <v>3059</v>
      </c>
      <c r="P70" s="14" t="s">
        <v>1274</v>
      </c>
      <c r="Q70" s="14" t="s">
        <v>1275</v>
      </c>
      <c r="R70" s="25" t="s">
        <v>3190</v>
      </c>
      <c r="S70" s="64" t="s">
        <v>3191</v>
      </c>
      <c r="T70" s="65">
        <v>1</v>
      </c>
      <c r="U70" s="35" t="s">
        <v>3175</v>
      </c>
      <c r="V70" s="29" t="s">
        <v>3190</v>
      </c>
      <c r="W70" s="35">
        <v>126.67</v>
      </c>
      <c r="X70" s="40"/>
      <c r="Y70" s="35">
        <f t="shared" si="0"/>
        <v>126.67</v>
      </c>
      <c r="Z70" s="27"/>
      <c r="AA70" s="23"/>
      <c r="AB70" s="23"/>
      <c r="AC70" s="28"/>
      <c r="AD70" s="58"/>
      <c r="AE70" s="52" t="s">
        <v>75</v>
      </c>
      <c r="AF70" s="55" t="s">
        <v>3059</v>
      </c>
      <c r="AG70" s="14" t="s">
        <v>1274</v>
      </c>
      <c r="AH70" s="14" t="s">
        <v>1275</v>
      </c>
    </row>
    <row r="71" spans="1:34" s="1" customFormat="1">
      <c r="A71" s="25" t="s">
        <v>3192</v>
      </c>
      <c r="B71" s="64" t="s">
        <v>3193</v>
      </c>
      <c r="C71" s="65">
        <v>1</v>
      </c>
      <c r="D71" s="35" t="s">
        <v>3175</v>
      </c>
      <c r="E71" s="29" t="s">
        <v>3192</v>
      </c>
      <c r="F71" s="35">
        <v>126.67</v>
      </c>
      <c r="G71" s="40"/>
      <c r="H71" s="35">
        <f t="shared" si="4"/>
        <v>126.67</v>
      </c>
      <c r="I71" s="27"/>
      <c r="J71" s="23"/>
      <c r="K71" s="23"/>
      <c r="L71" s="28"/>
      <c r="M71" s="58"/>
      <c r="N71" s="52" t="s">
        <v>75</v>
      </c>
      <c r="O71" s="55" t="s">
        <v>3059</v>
      </c>
      <c r="P71" s="14" t="s">
        <v>1274</v>
      </c>
      <c r="Q71" s="14" t="s">
        <v>1275</v>
      </c>
      <c r="R71" s="25" t="s">
        <v>3192</v>
      </c>
      <c r="S71" s="64" t="s">
        <v>3193</v>
      </c>
      <c r="T71" s="65">
        <v>1</v>
      </c>
      <c r="U71" s="35" t="s">
        <v>3175</v>
      </c>
      <c r="V71" s="29" t="s">
        <v>3192</v>
      </c>
      <c r="W71" s="35">
        <v>126.67</v>
      </c>
      <c r="X71" s="40"/>
      <c r="Y71" s="35">
        <f t="shared" ref="Y71:Y83" si="5">W71-(W71*X71)</f>
        <v>126.67</v>
      </c>
      <c r="Z71" s="27"/>
      <c r="AA71" s="23"/>
      <c r="AB71" s="23"/>
      <c r="AC71" s="28"/>
      <c r="AD71" s="58"/>
      <c r="AE71" s="52" t="s">
        <v>75</v>
      </c>
      <c r="AF71" s="55" t="s">
        <v>3059</v>
      </c>
      <c r="AG71" s="14" t="s">
        <v>1274</v>
      </c>
      <c r="AH71" s="14" t="s">
        <v>1275</v>
      </c>
    </row>
    <row r="72" spans="1:34" s="1" customFormat="1">
      <c r="A72" s="25" t="s">
        <v>3194</v>
      </c>
      <c r="B72" s="64" t="s">
        <v>3195</v>
      </c>
      <c r="C72" s="65">
        <v>1</v>
      </c>
      <c r="D72" s="35" t="s">
        <v>3175</v>
      </c>
      <c r="E72" s="29" t="s">
        <v>3194</v>
      </c>
      <c r="F72" s="35">
        <v>3</v>
      </c>
      <c r="G72" s="40"/>
      <c r="H72" s="35">
        <f t="shared" si="4"/>
        <v>3</v>
      </c>
      <c r="I72" s="27"/>
      <c r="J72" s="23"/>
      <c r="K72" s="23"/>
      <c r="L72" s="28"/>
      <c r="M72" s="58"/>
      <c r="N72" s="52" t="s">
        <v>75</v>
      </c>
      <c r="O72" s="55" t="s">
        <v>3059</v>
      </c>
      <c r="P72" s="14" t="s">
        <v>1274</v>
      </c>
      <c r="Q72" s="14" t="s">
        <v>1275</v>
      </c>
      <c r="R72" s="25" t="s">
        <v>3194</v>
      </c>
      <c r="S72" s="64" t="s">
        <v>3195</v>
      </c>
      <c r="T72" s="65">
        <v>1</v>
      </c>
      <c r="U72" s="35" t="s">
        <v>3175</v>
      </c>
      <c r="V72" s="29" t="s">
        <v>3194</v>
      </c>
      <c r="W72" s="35">
        <v>3</v>
      </c>
      <c r="X72" s="40"/>
      <c r="Y72" s="35">
        <f t="shared" si="5"/>
        <v>3</v>
      </c>
      <c r="Z72" s="27"/>
      <c r="AA72" s="23"/>
      <c r="AB72" s="23"/>
      <c r="AC72" s="28"/>
      <c r="AD72" s="58"/>
      <c r="AE72" s="52" t="s">
        <v>75</v>
      </c>
      <c r="AF72" s="55" t="s">
        <v>3059</v>
      </c>
      <c r="AG72" s="14" t="s">
        <v>1274</v>
      </c>
      <c r="AH72" s="14" t="s">
        <v>1275</v>
      </c>
    </row>
    <row r="73" spans="1:34" s="1" customFormat="1">
      <c r="A73" s="25" t="s">
        <v>3196</v>
      </c>
      <c r="B73" s="64" t="s">
        <v>3197</v>
      </c>
      <c r="C73" s="65">
        <v>1</v>
      </c>
      <c r="D73" s="35" t="s">
        <v>3175</v>
      </c>
      <c r="E73" s="29" t="s">
        <v>3196</v>
      </c>
      <c r="F73" s="35">
        <v>600</v>
      </c>
      <c r="G73" s="40"/>
      <c r="H73" s="35">
        <f t="shared" si="4"/>
        <v>600</v>
      </c>
      <c r="I73" s="27"/>
      <c r="J73" s="23"/>
      <c r="K73" s="23"/>
      <c r="L73" s="28"/>
      <c r="M73" s="58"/>
      <c r="N73" s="52" t="s">
        <v>75</v>
      </c>
      <c r="O73" s="55" t="s">
        <v>3059</v>
      </c>
      <c r="P73" s="14" t="s">
        <v>1274</v>
      </c>
      <c r="Q73" s="14" t="s">
        <v>1275</v>
      </c>
      <c r="R73" s="25" t="s">
        <v>3196</v>
      </c>
      <c r="S73" s="64" t="s">
        <v>3197</v>
      </c>
      <c r="T73" s="65">
        <v>1</v>
      </c>
      <c r="U73" s="35" t="s">
        <v>3175</v>
      </c>
      <c r="V73" s="29" t="s">
        <v>3196</v>
      </c>
      <c r="W73" s="35">
        <v>600</v>
      </c>
      <c r="X73" s="40"/>
      <c r="Y73" s="35">
        <f t="shared" si="5"/>
        <v>600</v>
      </c>
      <c r="Z73" s="27"/>
      <c r="AA73" s="23"/>
      <c r="AB73" s="23"/>
      <c r="AC73" s="28"/>
      <c r="AD73" s="58"/>
      <c r="AE73" s="52" t="s">
        <v>75</v>
      </c>
      <c r="AF73" s="55" t="s">
        <v>3059</v>
      </c>
      <c r="AG73" s="14" t="s">
        <v>1274</v>
      </c>
      <c r="AH73" s="14" t="s">
        <v>1275</v>
      </c>
    </row>
    <row r="74" spans="1:34" s="1" customFormat="1">
      <c r="A74" s="25" t="s">
        <v>3198</v>
      </c>
      <c r="B74" s="64" t="s">
        <v>3199</v>
      </c>
      <c r="C74" s="65">
        <v>1</v>
      </c>
      <c r="D74" s="35" t="s">
        <v>3175</v>
      </c>
      <c r="E74" s="29" t="s">
        <v>3198</v>
      </c>
      <c r="F74" s="35">
        <v>2666.67</v>
      </c>
      <c r="G74" s="40"/>
      <c r="H74" s="35">
        <f t="shared" si="4"/>
        <v>2666.67</v>
      </c>
      <c r="I74" s="27"/>
      <c r="J74" s="23"/>
      <c r="K74" s="23"/>
      <c r="L74" s="28"/>
      <c r="M74" s="58"/>
      <c r="N74" s="52" t="s">
        <v>75</v>
      </c>
      <c r="O74" s="55" t="s">
        <v>3059</v>
      </c>
      <c r="P74" s="14" t="s">
        <v>1274</v>
      </c>
      <c r="Q74" s="14" t="s">
        <v>1275</v>
      </c>
      <c r="R74" s="25" t="s">
        <v>3198</v>
      </c>
      <c r="S74" s="64" t="s">
        <v>3199</v>
      </c>
      <c r="T74" s="65">
        <v>1</v>
      </c>
      <c r="U74" s="35" t="s">
        <v>3175</v>
      </c>
      <c r="V74" s="29" t="s">
        <v>3198</v>
      </c>
      <c r="W74" s="35">
        <v>2666.67</v>
      </c>
      <c r="X74" s="40"/>
      <c r="Y74" s="35">
        <f t="shared" si="5"/>
        <v>2666.67</v>
      </c>
      <c r="Z74" s="27"/>
      <c r="AA74" s="23"/>
      <c r="AB74" s="23"/>
      <c r="AC74" s="28"/>
      <c r="AD74" s="58"/>
      <c r="AE74" s="52" t="s">
        <v>75</v>
      </c>
      <c r="AF74" s="55" t="s">
        <v>3059</v>
      </c>
      <c r="AG74" s="14" t="s">
        <v>1274</v>
      </c>
      <c r="AH74" s="14" t="s">
        <v>1275</v>
      </c>
    </row>
    <row r="75" spans="1:34" s="1" customFormat="1">
      <c r="A75" s="25" t="s">
        <v>3200</v>
      </c>
      <c r="B75" s="64" t="s">
        <v>3201</v>
      </c>
      <c r="C75" s="65">
        <v>1</v>
      </c>
      <c r="D75" s="35" t="s">
        <v>3175</v>
      </c>
      <c r="E75" s="29" t="s">
        <v>3200</v>
      </c>
      <c r="F75" s="35">
        <v>4000</v>
      </c>
      <c r="G75" s="40"/>
      <c r="H75" s="35">
        <f t="shared" si="4"/>
        <v>4000</v>
      </c>
      <c r="I75" s="27"/>
      <c r="J75" s="23"/>
      <c r="K75" s="23"/>
      <c r="L75" s="28"/>
      <c r="M75" s="58"/>
      <c r="N75" s="52" t="s">
        <v>75</v>
      </c>
      <c r="O75" s="55" t="s">
        <v>3059</v>
      </c>
      <c r="P75" s="14" t="s">
        <v>1274</v>
      </c>
      <c r="Q75" s="14" t="s">
        <v>1275</v>
      </c>
      <c r="R75" s="25" t="s">
        <v>3200</v>
      </c>
      <c r="S75" s="64" t="s">
        <v>3201</v>
      </c>
      <c r="T75" s="65">
        <v>1</v>
      </c>
      <c r="U75" s="35" t="s">
        <v>3175</v>
      </c>
      <c r="V75" s="29" t="s">
        <v>3200</v>
      </c>
      <c r="W75" s="35">
        <v>4000</v>
      </c>
      <c r="X75" s="40"/>
      <c r="Y75" s="35">
        <f t="shared" si="5"/>
        <v>4000</v>
      </c>
      <c r="Z75" s="27"/>
      <c r="AA75" s="23"/>
      <c r="AB75" s="23"/>
      <c r="AC75" s="28"/>
      <c r="AD75" s="58"/>
      <c r="AE75" s="52" t="s">
        <v>75</v>
      </c>
      <c r="AF75" s="55" t="s">
        <v>3059</v>
      </c>
      <c r="AG75" s="14" t="s">
        <v>1274</v>
      </c>
      <c r="AH75" s="14" t="s">
        <v>1275</v>
      </c>
    </row>
    <row r="76" spans="1:34" s="1" customFormat="1">
      <c r="A76" s="25" t="s">
        <v>3202</v>
      </c>
      <c r="B76" s="64" t="s">
        <v>3203</v>
      </c>
      <c r="C76" s="65">
        <v>1</v>
      </c>
      <c r="D76" s="35" t="s">
        <v>3175</v>
      </c>
      <c r="E76" s="29" t="s">
        <v>3202</v>
      </c>
      <c r="F76" s="35">
        <v>5866.67</v>
      </c>
      <c r="G76" s="40"/>
      <c r="H76" s="35">
        <f t="shared" si="4"/>
        <v>5866.67</v>
      </c>
      <c r="I76" s="27"/>
      <c r="J76" s="23"/>
      <c r="K76" s="23"/>
      <c r="L76" s="28"/>
      <c r="M76" s="58"/>
      <c r="N76" s="52" t="s">
        <v>75</v>
      </c>
      <c r="O76" s="55" t="s">
        <v>3059</v>
      </c>
      <c r="P76" s="14" t="s">
        <v>1274</v>
      </c>
      <c r="Q76" s="14" t="s">
        <v>1275</v>
      </c>
      <c r="R76" s="25" t="s">
        <v>3202</v>
      </c>
      <c r="S76" s="64" t="s">
        <v>3203</v>
      </c>
      <c r="T76" s="65">
        <v>1</v>
      </c>
      <c r="U76" s="35" t="s">
        <v>3175</v>
      </c>
      <c r="V76" s="29" t="s">
        <v>3202</v>
      </c>
      <c r="W76" s="35">
        <v>5866.67</v>
      </c>
      <c r="X76" s="40"/>
      <c r="Y76" s="35">
        <f t="shared" si="5"/>
        <v>5866.67</v>
      </c>
      <c r="Z76" s="27"/>
      <c r="AA76" s="23"/>
      <c r="AB76" s="23"/>
      <c r="AC76" s="28"/>
      <c r="AD76" s="58"/>
      <c r="AE76" s="52" t="s">
        <v>75</v>
      </c>
      <c r="AF76" s="55" t="s">
        <v>3059</v>
      </c>
      <c r="AG76" s="14" t="s">
        <v>1274</v>
      </c>
      <c r="AH76" s="14" t="s">
        <v>1275</v>
      </c>
    </row>
    <row r="77" spans="1:34" s="1" customFormat="1">
      <c r="A77" s="25" t="s">
        <v>3204</v>
      </c>
      <c r="B77" s="64" t="s">
        <v>3205</v>
      </c>
      <c r="C77" s="65">
        <v>1</v>
      </c>
      <c r="D77" s="35" t="s">
        <v>82</v>
      </c>
      <c r="E77" s="29" t="s">
        <v>3204</v>
      </c>
      <c r="F77" s="35">
        <v>6666.67</v>
      </c>
      <c r="G77" s="40"/>
      <c r="H77" s="35">
        <f t="shared" si="4"/>
        <v>6666.67</v>
      </c>
      <c r="I77" s="27"/>
      <c r="J77" s="23"/>
      <c r="K77" s="23"/>
      <c r="L77" s="28"/>
      <c r="M77" s="58"/>
      <c r="N77" s="52" t="s">
        <v>75</v>
      </c>
      <c r="O77" s="55" t="s">
        <v>3059</v>
      </c>
      <c r="P77" s="14" t="s">
        <v>1274</v>
      </c>
      <c r="Q77" s="14" t="s">
        <v>1275</v>
      </c>
      <c r="R77" s="25" t="s">
        <v>3204</v>
      </c>
      <c r="S77" s="64" t="s">
        <v>3205</v>
      </c>
      <c r="T77" s="65">
        <v>1</v>
      </c>
      <c r="U77" s="35" t="s">
        <v>82</v>
      </c>
      <c r="V77" s="29" t="s">
        <v>3204</v>
      </c>
      <c r="W77" s="35">
        <v>6666.67</v>
      </c>
      <c r="X77" s="40"/>
      <c r="Y77" s="35">
        <f t="shared" si="5"/>
        <v>6666.67</v>
      </c>
      <c r="Z77" s="27"/>
      <c r="AA77" s="23"/>
      <c r="AB77" s="23"/>
      <c r="AC77" s="28"/>
      <c r="AD77" s="58"/>
      <c r="AE77" s="52" t="s">
        <v>75</v>
      </c>
      <c r="AF77" s="55" t="s">
        <v>3059</v>
      </c>
      <c r="AG77" s="14" t="s">
        <v>1274</v>
      </c>
      <c r="AH77" s="14" t="s">
        <v>1275</v>
      </c>
    </row>
    <row r="78" spans="1:34" s="1" customFormat="1">
      <c r="A78" s="25" t="s">
        <v>3206</v>
      </c>
      <c r="B78" s="64" t="s">
        <v>3207</v>
      </c>
      <c r="C78" s="65">
        <v>1</v>
      </c>
      <c r="D78" s="35" t="s">
        <v>82</v>
      </c>
      <c r="E78" s="29" t="s">
        <v>3206</v>
      </c>
      <c r="F78" s="35">
        <v>10666.67</v>
      </c>
      <c r="G78" s="40"/>
      <c r="H78" s="35">
        <f t="shared" si="4"/>
        <v>10666.67</v>
      </c>
      <c r="I78" s="27"/>
      <c r="J78" s="23"/>
      <c r="K78" s="23"/>
      <c r="L78" s="28"/>
      <c r="M78" s="58"/>
      <c r="N78" s="52" t="s">
        <v>75</v>
      </c>
      <c r="O78" s="55" t="s">
        <v>3059</v>
      </c>
      <c r="P78" s="14" t="s">
        <v>1274</v>
      </c>
      <c r="Q78" s="14" t="s">
        <v>1275</v>
      </c>
      <c r="R78" s="25" t="s">
        <v>3206</v>
      </c>
      <c r="S78" s="64" t="s">
        <v>3207</v>
      </c>
      <c r="T78" s="65">
        <v>1</v>
      </c>
      <c r="U78" s="35" t="s">
        <v>82</v>
      </c>
      <c r="V78" s="29" t="s">
        <v>3206</v>
      </c>
      <c r="W78" s="35">
        <v>10666.67</v>
      </c>
      <c r="X78" s="40"/>
      <c r="Y78" s="35">
        <f t="shared" si="5"/>
        <v>10666.67</v>
      </c>
      <c r="Z78" s="27"/>
      <c r="AA78" s="23"/>
      <c r="AB78" s="23"/>
      <c r="AC78" s="28"/>
      <c r="AD78" s="58"/>
      <c r="AE78" s="52" t="s">
        <v>75</v>
      </c>
      <c r="AF78" s="55" t="s">
        <v>3059</v>
      </c>
      <c r="AG78" s="14" t="s">
        <v>1274</v>
      </c>
      <c r="AH78" s="14" t="s">
        <v>1275</v>
      </c>
    </row>
    <row r="79" spans="1:34" s="1" customFormat="1">
      <c r="A79" s="25" t="s">
        <v>3208</v>
      </c>
      <c r="B79" s="64" t="s">
        <v>3209</v>
      </c>
      <c r="C79" s="65">
        <v>1</v>
      </c>
      <c r="D79" s="35" t="s">
        <v>82</v>
      </c>
      <c r="E79" s="29" t="s">
        <v>3208</v>
      </c>
      <c r="F79" s="35">
        <v>16000</v>
      </c>
      <c r="G79" s="40"/>
      <c r="H79" s="35">
        <f t="shared" si="4"/>
        <v>16000</v>
      </c>
      <c r="I79" s="27"/>
      <c r="J79" s="23"/>
      <c r="K79" s="23"/>
      <c r="L79" s="28"/>
      <c r="M79" s="58"/>
      <c r="N79" s="52" t="s">
        <v>75</v>
      </c>
      <c r="O79" s="55" t="s">
        <v>3059</v>
      </c>
      <c r="P79" s="14" t="s">
        <v>1274</v>
      </c>
      <c r="Q79" s="14" t="s">
        <v>1275</v>
      </c>
      <c r="R79" s="25" t="s">
        <v>3208</v>
      </c>
      <c r="S79" s="64" t="s">
        <v>3209</v>
      </c>
      <c r="T79" s="65">
        <v>1</v>
      </c>
      <c r="U79" s="35" t="s">
        <v>82</v>
      </c>
      <c r="V79" s="29" t="s">
        <v>3208</v>
      </c>
      <c r="W79" s="35">
        <v>16000</v>
      </c>
      <c r="X79" s="40"/>
      <c r="Y79" s="35">
        <f t="shared" si="5"/>
        <v>16000</v>
      </c>
      <c r="Z79" s="27"/>
      <c r="AA79" s="23"/>
      <c r="AB79" s="23"/>
      <c r="AC79" s="28"/>
      <c r="AD79" s="58"/>
      <c r="AE79" s="52" t="s">
        <v>75</v>
      </c>
      <c r="AF79" s="55" t="s">
        <v>3059</v>
      </c>
      <c r="AG79" s="14" t="s">
        <v>1274</v>
      </c>
      <c r="AH79" s="14" t="s">
        <v>1275</v>
      </c>
    </row>
    <row r="80" spans="1:34" s="1" customFormat="1">
      <c r="A80" s="25" t="s">
        <v>3210</v>
      </c>
      <c r="B80" s="64" t="s">
        <v>3211</v>
      </c>
      <c r="C80" s="65">
        <v>1</v>
      </c>
      <c r="D80" s="35" t="s">
        <v>82</v>
      </c>
      <c r="E80" s="29" t="s">
        <v>3210</v>
      </c>
      <c r="F80" s="35">
        <v>20000</v>
      </c>
      <c r="G80" s="40"/>
      <c r="H80" s="35">
        <f t="shared" si="4"/>
        <v>20000</v>
      </c>
      <c r="I80" s="27"/>
      <c r="J80" s="23"/>
      <c r="K80" s="23"/>
      <c r="L80" s="28"/>
      <c r="M80" s="58"/>
      <c r="N80" s="52" t="s">
        <v>75</v>
      </c>
      <c r="O80" s="55" t="s">
        <v>3059</v>
      </c>
      <c r="P80" s="14" t="s">
        <v>1274</v>
      </c>
      <c r="Q80" s="14" t="s">
        <v>1275</v>
      </c>
      <c r="R80" s="25" t="s">
        <v>3210</v>
      </c>
      <c r="S80" s="64" t="s">
        <v>3211</v>
      </c>
      <c r="T80" s="65">
        <v>1</v>
      </c>
      <c r="U80" s="35" t="s">
        <v>82</v>
      </c>
      <c r="V80" s="29" t="s">
        <v>3210</v>
      </c>
      <c r="W80" s="35">
        <v>20000</v>
      </c>
      <c r="X80" s="40"/>
      <c r="Y80" s="35">
        <f t="shared" si="5"/>
        <v>20000</v>
      </c>
      <c r="Z80" s="27"/>
      <c r="AA80" s="23"/>
      <c r="AB80" s="23"/>
      <c r="AC80" s="28"/>
      <c r="AD80" s="58"/>
      <c r="AE80" s="52" t="s">
        <v>75</v>
      </c>
      <c r="AF80" s="55" t="s">
        <v>3059</v>
      </c>
      <c r="AG80" s="14" t="s">
        <v>1274</v>
      </c>
      <c r="AH80" s="14" t="s">
        <v>1275</v>
      </c>
    </row>
    <row r="81" spans="1:34" s="1" customFormat="1">
      <c r="A81" s="25" t="s">
        <v>3212</v>
      </c>
      <c r="B81" s="64" t="s">
        <v>3213</v>
      </c>
      <c r="C81" s="65">
        <v>1</v>
      </c>
      <c r="D81" s="35" t="s">
        <v>82</v>
      </c>
      <c r="E81" s="29" t="s">
        <v>3212</v>
      </c>
      <c r="F81" s="35">
        <v>26666.67</v>
      </c>
      <c r="G81" s="40"/>
      <c r="H81" s="35">
        <f t="shared" si="4"/>
        <v>26666.67</v>
      </c>
      <c r="I81" s="27"/>
      <c r="J81" s="23"/>
      <c r="K81" s="23"/>
      <c r="L81" s="28"/>
      <c r="M81" s="58"/>
      <c r="N81" s="52" t="s">
        <v>75</v>
      </c>
      <c r="O81" s="55" t="s">
        <v>3059</v>
      </c>
      <c r="P81" s="14" t="s">
        <v>1274</v>
      </c>
      <c r="Q81" s="14" t="s">
        <v>1275</v>
      </c>
      <c r="R81" s="25" t="s">
        <v>3212</v>
      </c>
      <c r="S81" s="64" t="s">
        <v>3213</v>
      </c>
      <c r="T81" s="65">
        <v>1</v>
      </c>
      <c r="U81" s="35" t="s">
        <v>82</v>
      </c>
      <c r="V81" s="29" t="s">
        <v>3212</v>
      </c>
      <c r="W81" s="35">
        <v>26666.67</v>
      </c>
      <c r="X81" s="40"/>
      <c r="Y81" s="35">
        <f t="shared" si="5"/>
        <v>26666.67</v>
      </c>
      <c r="Z81" s="27"/>
      <c r="AA81" s="23"/>
      <c r="AB81" s="23"/>
      <c r="AC81" s="28"/>
      <c r="AD81" s="58"/>
      <c r="AE81" s="52" t="s">
        <v>75</v>
      </c>
      <c r="AF81" s="55" t="s">
        <v>3059</v>
      </c>
      <c r="AG81" s="14" t="s">
        <v>1274</v>
      </c>
      <c r="AH81" s="14" t="s">
        <v>1275</v>
      </c>
    </row>
    <row r="82" spans="1:34" s="1" customFormat="1">
      <c r="A82" s="25" t="s">
        <v>3214</v>
      </c>
      <c r="B82" s="64" t="s">
        <v>3215</v>
      </c>
      <c r="C82" s="65">
        <v>1</v>
      </c>
      <c r="D82" s="35" t="s">
        <v>82</v>
      </c>
      <c r="E82" s="29" t="s">
        <v>3214</v>
      </c>
      <c r="F82" s="35">
        <v>1600</v>
      </c>
      <c r="G82" s="40"/>
      <c r="H82" s="35">
        <f t="shared" si="4"/>
        <v>1600</v>
      </c>
      <c r="I82" s="27"/>
      <c r="J82" s="23"/>
      <c r="K82" s="23"/>
      <c r="L82" s="28"/>
      <c r="M82" s="58"/>
      <c r="N82" s="52" t="s">
        <v>75</v>
      </c>
      <c r="O82" s="55" t="s">
        <v>3059</v>
      </c>
      <c r="P82" s="14" t="s">
        <v>1274</v>
      </c>
      <c r="Q82" s="14" t="s">
        <v>1275</v>
      </c>
      <c r="R82" s="25" t="s">
        <v>3214</v>
      </c>
      <c r="S82" s="64" t="s">
        <v>3215</v>
      </c>
      <c r="T82" s="65">
        <v>1</v>
      </c>
      <c r="U82" s="35" t="s">
        <v>82</v>
      </c>
      <c r="V82" s="29" t="s">
        <v>3214</v>
      </c>
      <c r="W82" s="35">
        <v>1600</v>
      </c>
      <c r="X82" s="40"/>
      <c r="Y82" s="35">
        <f t="shared" si="5"/>
        <v>1600</v>
      </c>
      <c r="Z82" s="27"/>
      <c r="AA82" s="23"/>
      <c r="AB82" s="23"/>
      <c r="AC82" s="28"/>
      <c r="AD82" s="58"/>
      <c r="AE82" s="52" t="s">
        <v>75</v>
      </c>
      <c r="AF82" s="55" t="s">
        <v>3059</v>
      </c>
      <c r="AG82" s="14" t="s">
        <v>1274</v>
      </c>
      <c r="AH82" s="14" t="s">
        <v>1275</v>
      </c>
    </row>
    <row r="83" spans="1:34" s="1" customFormat="1">
      <c r="A83" s="25" t="s">
        <v>3216</v>
      </c>
      <c r="B83" s="64" t="s">
        <v>3217</v>
      </c>
      <c r="C83" s="65">
        <v>1</v>
      </c>
      <c r="D83" s="35" t="s">
        <v>82</v>
      </c>
      <c r="E83" s="29" t="s">
        <v>3216</v>
      </c>
      <c r="F83" s="35">
        <v>3866.67</v>
      </c>
      <c r="G83" s="40"/>
      <c r="H83" s="35">
        <f t="shared" si="4"/>
        <v>3866.67</v>
      </c>
      <c r="I83" s="27"/>
      <c r="J83" s="23"/>
      <c r="K83" s="23"/>
      <c r="L83" s="28"/>
      <c r="M83" s="58"/>
      <c r="N83" s="52" t="s">
        <v>75</v>
      </c>
      <c r="O83" s="55" t="s">
        <v>3059</v>
      </c>
      <c r="P83" s="14" t="s">
        <v>1274</v>
      </c>
      <c r="Q83" s="14" t="s">
        <v>1275</v>
      </c>
      <c r="R83" s="25" t="s">
        <v>3216</v>
      </c>
      <c r="S83" s="64" t="s">
        <v>3217</v>
      </c>
      <c r="T83" s="65">
        <v>1</v>
      </c>
      <c r="U83" s="35" t="s">
        <v>82</v>
      </c>
      <c r="V83" s="29" t="s">
        <v>3216</v>
      </c>
      <c r="W83" s="35">
        <v>3866.67</v>
      </c>
      <c r="X83" s="40"/>
      <c r="Y83" s="35">
        <f t="shared" si="5"/>
        <v>3866.67</v>
      </c>
      <c r="Z83" s="27"/>
      <c r="AA83" s="23"/>
      <c r="AB83" s="23"/>
      <c r="AC83" s="28"/>
      <c r="AD83" s="58"/>
      <c r="AE83" s="52" t="s">
        <v>75</v>
      </c>
      <c r="AF83" s="55" t="s">
        <v>3059</v>
      </c>
      <c r="AG83" s="14" t="s">
        <v>1274</v>
      </c>
      <c r="AH83" s="14" t="s">
        <v>1275</v>
      </c>
    </row>
    <row r="84" spans="1:34" s="1" customFormat="1" ht="27" customHeight="1">
      <c r="A84" s="161" t="s">
        <v>3218</v>
      </c>
      <c r="C84" s="65"/>
      <c r="D84" s="35"/>
      <c r="E84" s="27"/>
      <c r="F84" s="27"/>
      <c r="G84" s="40"/>
      <c r="H84" s="27"/>
      <c r="I84" s="27"/>
      <c r="J84" s="23"/>
      <c r="K84" s="23"/>
      <c r="L84" s="28"/>
      <c r="M84" s="58"/>
      <c r="N84" s="51"/>
      <c r="O84" s="23"/>
      <c r="P84" s="14"/>
      <c r="Q84" s="14"/>
      <c r="R84" s="161" t="s">
        <v>3218</v>
      </c>
      <c r="T84" s="65"/>
      <c r="U84" s="35"/>
      <c r="V84" s="27"/>
      <c r="W84" s="27"/>
      <c r="X84" s="40"/>
      <c r="Y84" s="27"/>
      <c r="Z84" s="27"/>
      <c r="AA84" s="23"/>
      <c r="AB84" s="23"/>
      <c r="AC84" s="28"/>
      <c r="AD84" s="58"/>
      <c r="AE84" s="51"/>
      <c r="AF84" s="23"/>
      <c r="AG84" s="14"/>
      <c r="AH84" s="14"/>
    </row>
    <row r="85" spans="1:34" s="1" customFormat="1">
      <c r="A85" s="25" t="s">
        <v>3219</v>
      </c>
      <c r="B85" s="64" t="s">
        <v>3220</v>
      </c>
      <c r="C85" s="65">
        <v>1</v>
      </c>
      <c r="D85" s="35" t="s">
        <v>75</v>
      </c>
      <c r="E85" s="29" t="s">
        <v>3219</v>
      </c>
      <c r="F85" s="69">
        <v>17665.830000000002</v>
      </c>
      <c r="G85" s="22">
        <f t="shared" ref="G85:G96" si="6">rv_30</f>
        <v>0.3</v>
      </c>
      <c r="H85" s="69">
        <f t="shared" ref="H85:H96" si="7">F85-(F85*G85)</f>
        <v>12366.081000000002</v>
      </c>
      <c r="I85" s="27"/>
      <c r="J85" s="23"/>
      <c r="K85" s="23"/>
      <c r="L85" s="28"/>
      <c r="M85" s="63">
        <v>0</v>
      </c>
      <c r="N85" s="52" t="s">
        <v>75</v>
      </c>
      <c r="O85" s="55" t="s">
        <v>3221</v>
      </c>
      <c r="P85" s="14" t="s">
        <v>1274</v>
      </c>
      <c r="Q85" s="14" t="s">
        <v>1275</v>
      </c>
      <c r="R85" s="25" t="s">
        <v>3219</v>
      </c>
      <c r="S85" s="64" t="s">
        <v>3220</v>
      </c>
      <c r="T85" s="65">
        <v>1</v>
      </c>
      <c r="U85" s="35" t="s">
        <v>75</v>
      </c>
      <c r="V85" s="29" t="s">
        <v>3219</v>
      </c>
      <c r="W85" s="69">
        <v>17665.830000000002</v>
      </c>
      <c r="X85" s="22">
        <f t="shared" ref="X85:X96" si="8">rv_30</f>
        <v>0.3</v>
      </c>
      <c r="Y85" s="69">
        <f t="shared" ref="Y85:Y96" si="9">W85-(W85*X85)</f>
        <v>12366.081000000002</v>
      </c>
      <c r="Z85" s="27"/>
      <c r="AA85" s="23"/>
      <c r="AB85" s="23"/>
      <c r="AC85" s="28"/>
      <c r="AD85" s="63">
        <v>0</v>
      </c>
      <c r="AE85" s="52" t="s">
        <v>75</v>
      </c>
      <c r="AF85" s="55" t="s">
        <v>3221</v>
      </c>
      <c r="AG85" s="14" t="s">
        <v>1274</v>
      </c>
      <c r="AH85" s="14" t="s">
        <v>1275</v>
      </c>
    </row>
    <row r="86" spans="1:34" s="1" customFormat="1">
      <c r="A86" s="25" t="s">
        <v>3222</v>
      </c>
      <c r="B86" s="64" t="s">
        <v>3223</v>
      </c>
      <c r="C86" s="65">
        <v>1</v>
      </c>
      <c r="D86" s="35" t="s">
        <v>75</v>
      </c>
      <c r="E86" s="29" t="s">
        <v>3222</v>
      </c>
      <c r="F86" s="69">
        <v>35331.67</v>
      </c>
      <c r="G86" s="22">
        <f t="shared" si="6"/>
        <v>0.3</v>
      </c>
      <c r="H86" s="69">
        <f t="shared" si="7"/>
        <v>24732.169000000002</v>
      </c>
      <c r="I86" s="27"/>
      <c r="J86" s="23"/>
      <c r="K86" s="23"/>
      <c r="L86" s="28"/>
      <c r="M86" s="63">
        <v>0</v>
      </c>
      <c r="N86" s="52" t="s">
        <v>75</v>
      </c>
      <c r="O86" s="55" t="s">
        <v>1106</v>
      </c>
      <c r="P86" s="14" t="s">
        <v>1274</v>
      </c>
      <c r="Q86" s="14" t="s">
        <v>1275</v>
      </c>
      <c r="R86" s="25" t="s">
        <v>3222</v>
      </c>
      <c r="S86" s="64" t="s">
        <v>3223</v>
      </c>
      <c r="T86" s="65">
        <v>1</v>
      </c>
      <c r="U86" s="35" t="s">
        <v>75</v>
      </c>
      <c r="V86" s="29" t="s">
        <v>3222</v>
      </c>
      <c r="W86" s="69">
        <v>35331.67</v>
      </c>
      <c r="X86" s="22">
        <f t="shared" si="8"/>
        <v>0.3</v>
      </c>
      <c r="Y86" s="69">
        <f t="shared" si="9"/>
        <v>24732.169000000002</v>
      </c>
      <c r="Z86" s="27"/>
      <c r="AA86" s="23"/>
      <c r="AB86" s="23"/>
      <c r="AC86" s="28"/>
      <c r="AD86" s="63">
        <v>0</v>
      </c>
      <c r="AE86" s="52" t="s">
        <v>75</v>
      </c>
      <c r="AF86" s="55" t="s">
        <v>1106</v>
      </c>
      <c r="AG86" s="14" t="s">
        <v>1274</v>
      </c>
      <c r="AH86" s="14" t="s">
        <v>1275</v>
      </c>
    </row>
    <row r="87" spans="1:34" s="1" customFormat="1">
      <c r="A87" s="25" t="s">
        <v>3224</v>
      </c>
      <c r="B87" s="64" t="s">
        <v>3225</v>
      </c>
      <c r="C87" s="65">
        <v>1</v>
      </c>
      <c r="D87" s="35" t="s">
        <v>75</v>
      </c>
      <c r="E87" s="29" t="s">
        <v>3224</v>
      </c>
      <c r="F87" s="69">
        <v>52997.5</v>
      </c>
      <c r="G87" s="22">
        <f t="shared" si="6"/>
        <v>0.3</v>
      </c>
      <c r="H87" s="69">
        <f t="shared" si="7"/>
        <v>37098.25</v>
      </c>
      <c r="I87" s="27"/>
      <c r="J87" s="23"/>
      <c r="K87" s="23"/>
      <c r="L87" s="28"/>
      <c r="M87" s="63">
        <v>0</v>
      </c>
      <c r="N87" s="52" t="s">
        <v>75</v>
      </c>
      <c r="O87" s="55" t="s">
        <v>1106</v>
      </c>
      <c r="P87" s="14" t="s">
        <v>1274</v>
      </c>
      <c r="Q87" s="14" t="s">
        <v>1275</v>
      </c>
      <c r="R87" s="25" t="s">
        <v>3224</v>
      </c>
      <c r="S87" s="64" t="s">
        <v>3225</v>
      </c>
      <c r="T87" s="65">
        <v>1</v>
      </c>
      <c r="U87" s="35" t="s">
        <v>75</v>
      </c>
      <c r="V87" s="29" t="s">
        <v>3224</v>
      </c>
      <c r="W87" s="69">
        <v>52997.5</v>
      </c>
      <c r="X87" s="22">
        <f t="shared" si="8"/>
        <v>0.3</v>
      </c>
      <c r="Y87" s="69">
        <f t="shared" si="9"/>
        <v>37098.25</v>
      </c>
      <c r="Z87" s="27"/>
      <c r="AA87" s="23"/>
      <c r="AB87" s="23"/>
      <c r="AC87" s="28"/>
      <c r="AD87" s="63">
        <v>0</v>
      </c>
      <c r="AE87" s="52" t="s">
        <v>75</v>
      </c>
      <c r="AF87" s="55" t="s">
        <v>1106</v>
      </c>
      <c r="AG87" s="14" t="s">
        <v>1274</v>
      </c>
      <c r="AH87" s="14" t="s">
        <v>1275</v>
      </c>
    </row>
    <row r="88" spans="1:34" s="1" customFormat="1">
      <c r="A88" s="25" t="s">
        <v>3226</v>
      </c>
      <c r="B88" s="64" t="s">
        <v>3227</v>
      </c>
      <c r="C88" s="65">
        <v>1</v>
      </c>
      <c r="D88" s="35" t="s">
        <v>75</v>
      </c>
      <c r="E88" s="29" t="s">
        <v>3226</v>
      </c>
      <c r="F88" s="69">
        <v>5332.5</v>
      </c>
      <c r="G88" s="22">
        <f t="shared" si="6"/>
        <v>0.3</v>
      </c>
      <c r="H88" s="69">
        <f t="shared" si="7"/>
        <v>3732.75</v>
      </c>
      <c r="I88" s="27"/>
      <c r="J88" s="23"/>
      <c r="K88" s="23"/>
      <c r="L88" s="28"/>
      <c r="M88" s="63">
        <v>0</v>
      </c>
      <c r="N88" s="52" t="s">
        <v>75</v>
      </c>
      <c r="O88" s="55" t="s">
        <v>1106</v>
      </c>
      <c r="P88" s="14" t="s">
        <v>1274</v>
      </c>
      <c r="Q88" s="14" t="s">
        <v>1275</v>
      </c>
      <c r="R88" s="25" t="s">
        <v>3226</v>
      </c>
      <c r="S88" s="64" t="s">
        <v>3227</v>
      </c>
      <c r="T88" s="65">
        <v>1</v>
      </c>
      <c r="U88" s="35" t="s">
        <v>75</v>
      </c>
      <c r="V88" s="29" t="s">
        <v>3226</v>
      </c>
      <c r="W88" s="69">
        <v>5332.5</v>
      </c>
      <c r="X88" s="22">
        <f t="shared" si="8"/>
        <v>0.3</v>
      </c>
      <c r="Y88" s="69">
        <f t="shared" si="9"/>
        <v>3732.75</v>
      </c>
      <c r="Z88" s="27"/>
      <c r="AA88" s="23"/>
      <c r="AB88" s="23"/>
      <c r="AC88" s="28"/>
      <c r="AD88" s="63">
        <v>0</v>
      </c>
      <c r="AE88" s="52" t="s">
        <v>75</v>
      </c>
      <c r="AF88" s="55" t="s">
        <v>1106</v>
      </c>
      <c r="AG88" s="14" t="s">
        <v>1274</v>
      </c>
      <c r="AH88" s="14" t="s">
        <v>1275</v>
      </c>
    </row>
    <row r="89" spans="1:34" s="1" customFormat="1">
      <c r="A89" s="25" t="s">
        <v>3228</v>
      </c>
      <c r="B89" s="64" t="s">
        <v>3229</v>
      </c>
      <c r="C89" s="65">
        <v>1</v>
      </c>
      <c r="D89" s="35" t="s">
        <v>75</v>
      </c>
      <c r="E89" s="29" t="s">
        <v>3228</v>
      </c>
      <c r="F89" s="69">
        <v>10665</v>
      </c>
      <c r="G89" s="22">
        <f t="shared" si="6"/>
        <v>0.3</v>
      </c>
      <c r="H89" s="69">
        <f t="shared" si="7"/>
        <v>7465.5</v>
      </c>
      <c r="I89" s="27"/>
      <c r="J89" s="23"/>
      <c r="K89" s="23"/>
      <c r="L89" s="28"/>
      <c r="M89" s="63">
        <v>0</v>
      </c>
      <c r="N89" s="52" t="s">
        <v>75</v>
      </c>
      <c r="O89" s="55" t="s">
        <v>1106</v>
      </c>
      <c r="P89" s="14" t="s">
        <v>1274</v>
      </c>
      <c r="Q89" s="14" t="s">
        <v>1275</v>
      </c>
      <c r="R89" s="25" t="s">
        <v>3228</v>
      </c>
      <c r="S89" s="64" t="s">
        <v>3229</v>
      </c>
      <c r="T89" s="65">
        <v>1</v>
      </c>
      <c r="U89" s="35" t="s">
        <v>75</v>
      </c>
      <c r="V89" s="29" t="s">
        <v>3228</v>
      </c>
      <c r="W89" s="69">
        <v>10665</v>
      </c>
      <c r="X89" s="22">
        <f t="shared" si="8"/>
        <v>0.3</v>
      </c>
      <c r="Y89" s="69">
        <f t="shared" si="9"/>
        <v>7465.5</v>
      </c>
      <c r="Z89" s="27"/>
      <c r="AA89" s="23"/>
      <c r="AB89" s="23"/>
      <c r="AC89" s="28"/>
      <c r="AD89" s="63">
        <v>0</v>
      </c>
      <c r="AE89" s="52" t="s">
        <v>75</v>
      </c>
      <c r="AF89" s="55" t="s">
        <v>1106</v>
      </c>
      <c r="AG89" s="14" t="s">
        <v>1274</v>
      </c>
      <c r="AH89" s="14" t="s">
        <v>1275</v>
      </c>
    </row>
    <row r="90" spans="1:34" s="1" customFormat="1">
      <c r="A90" s="25" t="s">
        <v>3230</v>
      </c>
      <c r="B90" s="64" t="s">
        <v>3231</v>
      </c>
      <c r="C90" s="65">
        <v>1</v>
      </c>
      <c r="D90" s="35" t="s">
        <v>75</v>
      </c>
      <c r="E90" s="29" t="s">
        <v>3230</v>
      </c>
      <c r="F90" s="69">
        <v>15997.5</v>
      </c>
      <c r="G90" s="22">
        <f t="shared" si="6"/>
        <v>0.3</v>
      </c>
      <c r="H90" s="69">
        <f t="shared" si="7"/>
        <v>11198.25</v>
      </c>
      <c r="I90" s="27"/>
      <c r="J90" s="23"/>
      <c r="K90" s="23"/>
      <c r="L90" s="28"/>
      <c r="M90" s="63">
        <v>0</v>
      </c>
      <c r="N90" s="52" t="s">
        <v>75</v>
      </c>
      <c r="O90" s="55" t="s">
        <v>1106</v>
      </c>
      <c r="P90" s="14" t="s">
        <v>1274</v>
      </c>
      <c r="Q90" s="14" t="s">
        <v>1275</v>
      </c>
      <c r="R90" s="25" t="s">
        <v>3230</v>
      </c>
      <c r="S90" s="64" t="s">
        <v>3231</v>
      </c>
      <c r="T90" s="65">
        <v>1</v>
      </c>
      <c r="U90" s="35" t="s">
        <v>75</v>
      </c>
      <c r="V90" s="29" t="s">
        <v>3230</v>
      </c>
      <c r="W90" s="69">
        <v>15997.5</v>
      </c>
      <c r="X90" s="22">
        <f t="shared" si="8"/>
        <v>0.3</v>
      </c>
      <c r="Y90" s="69">
        <f t="shared" si="9"/>
        <v>11198.25</v>
      </c>
      <c r="Z90" s="27"/>
      <c r="AA90" s="23"/>
      <c r="AB90" s="23"/>
      <c r="AC90" s="28"/>
      <c r="AD90" s="63">
        <v>0</v>
      </c>
      <c r="AE90" s="52" t="s">
        <v>75</v>
      </c>
      <c r="AF90" s="55" t="s">
        <v>1106</v>
      </c>
      <c r="AG90" s="14" t="s">
        <v>1274</v>
      </c>
      <c r="AH90" s="14" t="s">
        <v>1275</v>
      </c>
    </row>
    <row r="91" spans="1:34" s="1" customFormat="1">
      <c r="A91" s="25" t="s">
        <v>3232</v>
      </c>
      <c r="B91" s="64" t="s">
        <v>3233</v>
      </c>
      <c r="C91" s="65">
        <v>1</v>
      </c>
      <c r="D91" s="35" t="s">
        <v>75</v>
      </c>
      <c r="E91" s="29" t="s">
        <v>3232</v>
      </c>
      <c r="F91" s="69">
        <v>44165.83</v>
      </c>
      <c r="G91" s="22">
        <f t="shared" si="6"/>
        <v>0.3</v>
      </c>
      <c r="H91" s="69">
        <f t="shared" si="7"/>
        <v>30916.081000000002</v>
      </c>
      <c r="I91" s="27"/>
      <c r="J91" s="23"/>
      <c r="K91" s="23"/>
      <c r="L91" s="28"/>
      <c r="M91" s="63">
        <v>0</v>
      </c>
      <c r="N91" s="52" t="s">
        <v>75</v>
      </c>
      <c r="O91" s="55" t="s">
        <v>1106</v>
      </c>
      <c r="P91" s="14" t="s">
        <v>1274</v>
      </c>
      <c r="Q91" s="14" t="s">
        <v>1275</v>
      </c>
      <c r="R91" s="25" t="s">
        <v>3232</v>
      </c>
      <c r="S91" s="64" t="s">
        <v>3233</v>
      </c>
      <c r="T91" s="65">
        <v>1</v>
      </c>
      <c r="U91" s="35" t="s">
        <v>75</v>
      </c>
      <c r="V91" s="29" t="s">
        <v>3232</v>
      </c>
      <c r="W91" s="69">
        <v>44165.83</v>
      </c>
      <c r="X91" s="22">
        <f t="shared" si="8"/>
        <v>0.3</v>
      </c>
      <c r="Y91" s="69">
        <f t="shared" si="9"/>
        <v>30916.081000000002</v>
      </c>
      <c r="Z91" s="27"/>
      <c r="AA91" s="23"/>
      <c r="AB91" s="23"/>
      <c r="AC91" s="28"/>
      <c r="AD91" s="63">
        <v>0</v>
      </c>
      <c r="AE91" s="52" t="s">
        <v>75</v>
      </c>
      <c r="AF91" s="55" t="s">
        <v>1106</v>
      </c>
      <c r="AG91" s="14" t="s">
        <v>1274</v>
      </c>
      <c r="AH91" s="14" t="s">
        <v>1275</v>
      </c>
    </row>
    <row r="92" spans="1:34" s="1" customFormat="1">
      <c r="A92" s="25" t="s">
        <v>3234</v>
      </c>
      <c r="B92" s="64" t="s">
        <v>3235</v>
      </c>
      <c r="C92" s="65">
        <v>1</v>
      </c>
      <c r="D92" s="35" t="s">
        <v>75</v>
      </c>
      <c r="E92" s="29" t="s">
        <v>3234</v>
      </c>
      <c r="F92" s="69">
        <v>88331.67</v>
      </c>
      <c r="G92" s="22">
        <f t="shared" si="6"/>
        <v>0.3</v>
      </c>
      <c r="H92" s="69">
        <f t="shared" si="7"/>
        <v>61832.168999999994</v>
      </c>
      <c r="I92" s="27"/>
      <c r="J92" s="23"/>
      <c r="K92" s="23"/>
      <c r="L92" s="28"/>
      <c r="M92" s="63">
        <v>0</v>
      </c>
      <c r="N92" s="52" t="s">
        <v>75</v>
      </c>
      <c r="O92" s="55" t="s">
        <v>1106</v>
      </c>
      <c r="P92" s="14" t="s">
        <v>1274</v>
      </c>
      <c r="Q92" s="14" t="s">
        <v>1275</v>
      </c>
      <c r="R92" s="25" t="s">
        <v>3234</v>
      </c>
      <c r="S92" s="64" t="s">
        <v>3235</v>
      </c>
      <c r="T92" s="65">
        <v>1</v>
      </c>
      <c r="U92" s="35" t="s">
        <v>75</v>
      </c>
      <c r="V92" s="29" t="s">
        <v>3234</v>
      </c>
      <c r="W92" s="69">
        <v>88331.67</v>
      </c>
      <c r="X92" s="22">
        <f t="shared" si="8"/>
        <v>0.3</v>
      </c>
      <c r="Y92" s="69">
        <f t="shared" si="9"/>
        <v>61832.168999999994</v>
      </c>
      <c r="Z92" s="27"/>
      <c r="AA92" s="23"/>
      <c r="AB92" s="23"/>
      <c r="AC92" s="28"/>
      <c r="AD92" s="63">
        <v>0</v>
      </c>
      <c r="AE92" s="52" t="s">
        <v>75</v>
      </c>
      <c r="AF92" s="55" t="s">
        <v>1106</v>
      </c>
      <c r="AG92" s="14" t="s">
        <v>1274</v>
      </c>
      <c r="AH92" s="14" t="s">
        <v>1275</v>
      </c>
    </row>
    <row r="93" spans="1:34" s="1" customFormat="1">
      <c r="A93" s="25" t="s">
        <v>3236</v>
      </c>
      <c r="B93" s="64" t="s">
        <v>3237</v>
      </c>
      <c r="C93" s="65">
        <v>1</v>
      </c>
      <c r="D93" s="35" t="s">
        <v>75</v>
      </c>
      <c r="E93" s="29" t="s">
        <v>3236</v>
      </c>
      <c r="F93" s="69">
        <v>132497.5</v>
      </c>
      <c r="G93" s="22">
        <f t="shared" si="6"/>
        <v>0.3</v>
      </c>
      <c r="H93" s="69">
        <f t="shared" si="7"/>
        <v>92748.25</v>
      </c>
      <c r="I93" s="27"/>
      <c r="J93" s="23"/>
      <c r="K93" s="23"/>
      <c r="L93" s="28"/>
      <c r="M93" s="63">
        <v>0</v>
      </c>
      <c r="N93" s="52" t="s">
        <v>75</v>
      </c>
      <c r="O93" s="55" t="s">
        <v>1106</v>
      </c>
      <c r="P93" s="14" t="s">
        <v>1274</v>
      </c>
      <c r="Q93" s="14" t="s">
        <v>1275</v>
      </c>
      <c r="R93" s="25" t="s">
        <v>3236</v>
      </c>
      <c r="S93" s="64" t="s">
        <v>3237</v>
      </c>
      <c r="T93" s="65">
        <v>1</v>
      </c>
      <c r="U93" s="35" t="s">
        <v>75</v>
      </c>
      <c r="V93" s="29" t="s">
        <v>3236</v>
      </c>
      <c r="W93" s="69">
        <v>132497.5</v>
      </c>
      <c r="X93" s="22">
        <f t="shared" si="8"/>
        <v>0.3</v>
      </c>
      <c r="Y93" s="69">
        <f t="shared" si="9"/>
        <v>92748.25</v>
      </c>
      <c r="Z93" s="27"/>
      <c r="AA93" s="23"/>
      <c r="AB93" s="23"/>
      <c r="AC93" s="28"/>
      <c r="AD93" s="63">
        <v>0</v>
      </c>
      <c r="AE93" s="52" t="s">
        <v>75</v>
      </c>
      <c r="AF93" s="55" t="s">
        <v>1106</v>
      </c>
      <c r="AG93" s="14" t="s">
        <v>1274</v>
      </c>
      <c r="AH93" s="14" t="s">
        <v>1275</v>
      </c>
    </row>
    <row r="94" spans="1:34" s="1" customFormat="1">
      <c r="A94" s="25" t="s">
        <v>3238</v>
      </c>
      <c r="B94" s="64" t="s">
        <v>3239</v>
      </c>
      <c r="C94" s="65">
        <v>1</v>
      </c>
      <c r="D94" s="35" t="s">
        <v>75</v>
      </c>
      <c r="E94" s="29" t="s">
        <v>3238</v>
      </c>
      <c r="F94" s="69">
        <v>440.83</v>
      </c>
      <c r="G94" s="22">
        <f t="shared" si="6"/>
        <v>0.3</v>
      </c>
      <c r="H94" s="69">
        <f t="shared" si="7"/>
        <v>308.58100000000002</v>
      </c>
      <c r="I94" s="27"/>
      <c r="J94" s="23"/>
      <c r="K94" s="23"/>
      <c r="L94" s="28"/>
      <c r="M94" s="63">
        <v>0</v>
      </c>
      <c r="N94" s="52" t="s">
        <v>75</v>
      </c>
      <c r="O94" s="55" t="s">
        <v>1106</v>
      </c>
      <c r="P94" s="14" t="s">
        <v>1274</v>
      </c>
      <c r="Q94" s="14" t="s">
        <v>1275</v>
      </c>
      <c r="R94" s="25" t="s">
        <v>3238</v>
      </c>
      <c r="S94" s="64" t="s">
        <v>3239</v>
      </c>
      <c r="T94" s="65">
        <v>1</v>
      </c>
      <c r="U94" s="35" t="s">
        <v>75</v>
      </c>
      <c r="V94" s="29" t="s">
        <v>3238</v>
      </c>
      <c r="W94" s="69">
        <v>440.83</v>
      </c>
      <c r="X94" s="22">
        <f t="shared" si="8"/>
        <v>0.3</v>
      </c>
      <c r="Y94" s="69">
        <f t="shared" si="9"/>
        <v>308.58100000000002</v>
      </c>
      <c r="Z94" s="27"/>
      <c r="AA94" s="23"/>
      <c r="AB94" s="23"/>
      <c r="AC94" s="28"/>
      <c r="AD94" s="63">
        <v>0</v>
      </c>
      <c r="AE94" s="52" t="s">
        <v>75</v>
      </c>
      <c r="AF94" s="55" t="s">
        <v>1106</v>
      </c>
      <c r="AG94" s="14" t="s">
        <v>1274</v>
      </c>
      <c r="AH94" s="14" t="s">
        <v>1275</v>
      </c>
    </row>
    <row r="95" spans="1:34" s="1" customFormat="1">
      <c r="A95" s="25" t="s">
        <v>3240</v>
      </c>
      <c r="B95" s="64" t="s">
        <v>3241</v>
      </c>
      <c r="C95" s="65">
        <v>1</v>
      </c>
      <c r="D95" s="35" t="s">
        <v>75</v>
      </c>
      <c r="E95" s="29" t="s">
        <v>3240</v>
      </c>
      <c r="F95" s="69">
        <v>881.67</v>
      </c>
      <c r="G95" s="22">
        <f t="shared" si="6"/>
        <v>0.3</v>
      </c>
      <c r="H95" s="69">
        <f t="shared" si="7"/>
        <v>617.16899999999998</v>
      </c>
      <c r="I95" s="27"/>
      <c r="J95" s="23"/>
      <c r="K95" s="23"/>
      <c r="L95" s="28"/>
      <c r="M95" s="63">
        <v>0</v>
      </c>
      <c r="N95" s="52" t="s">
        <v>75</v>
      </c>
      <c r="O95" s="55" t="s">
        <v>1106</v>
      </c>
      <c r="P95" s="14" t="s">
        <v>1274</v>
      </c>
      <c r="Q95" s="14" t="s">
        <v>1275</v>
      </c>
      <c r="R95" s="25" t="s">
        <v>3240</v>
      </c>
      <c r="S95" s="64" t="s">
        <v>3241</v>
      </c>
      <c r="T95" s="65">
        <v>1</v>
      </c>
      <c r="U95" s="35" t="s">
        <v>75</v>
      </c>
      <c r="V95" s="29" t="s">
        <v>3240</v>
      </c>
      <c r="W95" s="69">
        <v>881.67</v>
      </c>
      <c r="X95" s="22">
        <f t="shared" si="8"/>
        <v>0.3</v>
      </c>
      <c r="Y95" s="69">
        <f t="shared" si="9"/>
        <v>617.16899999999998</v>
      </c>
      <c r="Z95" s="27"/>
      <c r="AA95" s="23"/>
      <c r="AB95" s="23"/>
      <c r="AC95" s="28"/>
      <c r="AD95" s="63">
        <v>0</v>
      </c>
      <c r="AE95" s="52" t="s">
        <v>75</v>
      </c>
      <c r="AF95" s="55" t="s">
        <v>1106</v>
      </c>
      <c r="AG95" s="14" t="s">
        <v>1274</v>
      </c>
      <c r="AH95" s="14" t="s">
        <v>1275</v>
      </c>
    </row>
    <row r="96" spans="1:34" s="1" customFormat="1">
      <c r="A96" s="25" t="s">
        <v>3242</v>
      </c>
      <c r="B96" s="64" t="s">
        <v>3243</v>
      </c>
      <c r="C96" s="65">
        <v>1</v>
      </c>
      <c r="D96" s="35" t="s">
        <v>75</v>
      </c>
      <c r="E96" s="29" t="s">
        <v>3242</v>
      </c>
      <c r="F96" s="69">
        <v>1322.5</v>
      </c>
      <c r="G96" s="22">
        <f t="shared" si="6"/>
        <v>0.3</v>
      </c>
      <c r="H96" s="69">
        <f t="shared" si="7"/>
        <v>925.75</v>
      </c>
      <c r="I96" s="27"/>
      <c r="J96" s="23"/>
      <c r="K96" s="23"/>
      <c r="L96" s="28"/>
      <c r="M96" s="63">
        <v>0</v>
      </c>
      <c r="N96" s="52" t="s">
        <v>75</v>
      </c>
      <c r="O96" s="55" t="s">
        <v>1106</v>
      </c>
      <c r="P96" s="14" t="s">
        <v>1274</v>
      </c>
      <c r="Q96" s="14" t="s">
        <v>1275</v>
      </c>
      <c r="R96" s="25" t="s">
        <v>3242</v>
      </c>
      <c r="S96" s="64" t="s">
        <v>3243</v>
      </c>
      <c r="T96" s="65">
        <v>1</v>
      </c>
      <c r="U96" s="35" t="s">
        <v>75</v>
      </c>
      <c r="V96" s="29" t="s">
        <v>3242</v>
      </c>
      <c r="W96" s="69">
        <v>1322.5</v>
      </c>
      <c r="X96" s="22">
        <f t="shared" si="8"/>
        <v>0.3</v>
      </c>
      <c r="Y96" s="69">
        <f t="shared" si="9"/>
        <v>925.75</v>
      </c>
      <c r="Z96" s="27"/>
      <c r="AA96" s="23"/>
      <c r="AB96" s="23"/>
      <c r="AC96" s="28"/>
      <c r="AD96" s="63">
        <v>0</v>
      </c>
      <c r="AE96" s="52" t="s">
        <v>75</v>
      </c>
      <c r="AF96" s="55" t="s">
        <v>1106</v>
      </c>
      <c r="AG96" s="14" t="s">
        <v>1274</v>
      </c>
      <c r="AH96" s="14" t="s">
        <v>1275</v>
      </c>
    </row>
    <row r="97" spans="1:34" s="1" customFormat="1">
      <c r="A97" s="25"/>
      <c r="B97" s="64"/>
      <c r="C97" s="65"/>
      <c r="D97" s="35"/>
      <c r="E97" s="29"/>
      <c r="F97" s="69"/>
      <c r="G97" s="22"/>
      <c r="H97" s="69"/>
      <c r="I97" s="27"/>
      <c r="J97" s="23"/>
      <c r="K97" s="23"/>
      <c r="L97" s="28"/>
      <c r="M97" s="63"/>
      <c r="N97" s="52"/>
      <c r="O97" s="55"/>
      <c r="P97" s="14"/>
      <c r="Q97" s="14"/>
      <c r="R97" s="25" t="s">
        <v>3244</v>
      </c>
      <c r="S97" s="64" t="s">
        <v>3245</v>
      </c>
      <c r="T97" s="65">
        <v>1</v>
      </c>
      <c r="U97" s="35" t="s">
        <v>75</v>
      </c>
      <c r="V97" s="29" t="s">
        <v>3244</v>
      </c>
      <c r="W97" s="69" t="s">
        <v>3246</v>
      </c>
      <c r="X97" s="66">
        <v>0</v>
      </c>
      <c r="Y97" s="69">
        <v>11072</v>
      </c>
      <c r="Z97" s="27"/>
      <c r="AA97" s="23"/>
      <c r="AB97" s="23"/>
      <c r="AC97" s="28"/>
      <c r="AD97" s="63">
        <v>0</v>
      </c>
      <c r="AE97" s="52" t="s">
        <v>75</v>
      </c>
      <c r="AF97" s="55"/>
      <c r="AG97" s="14" t="s">
        <v>1274</v>
      </c>
      <c r="AH97" s="14" t="s">
        <v>1275</v>
      </c>
    </row>
  </sheetData>
  <mergeCells count="8">
    <mergeCell ref="AE3:AE4"/>
    <mergeCell ref="AG3:AG4"/>
    <mergeCell ref="AH3:AH4"/>
    <mergeCell ref="A3:H3"/>
    <mergeCell ref="N3:N4"/>
    <mergeCell ref="P3:P4"/>
    <mergeCell ref="Q3:Q4"/>
    <mergeCell ref="R3:Y3"/>
  </mergeCells>
  <dataValidations count="1">
    <dataValidation type="list" allowBlank="1" showInputMessage="1" showErrorMessage="1" sqref="AE6:AE83 N6:N83 AE85:AE97 N85:N97">
      <formula1>"APPLE,AUDIOVISUEL,END USER COMPUTING,GOOGLE,INFRA,MICROSOFT,MOBIL'IT,PRINTING &amp; SCANNING"</formula1>
    </dataValidation>
  </dataValidations>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7B3FF"/>
  </sheetPr>
  <dimension ref="A1:V70"/>
  <sheetViews>
    <sheetView zoomScale="90" zoomScaleNormal="90" workbookViewId="0">
      <selection activeCell="A2" sqref="A2"/>
    </sheetView>
  </sheetViews>
  <sheetFormatPr baseColWidth="10" defaultColWidth="10.7109375" defaultRowHeight="15.75"/>
  <cols>
    <col min="1" max="1" width="39.42578125" style="354" customWidth="1"/>
    <col min="2" max="2" width="25.85546875" style="354" customWidth="1"/>
    <col min="3" max="3" width="22.7109375" style="354" bestFit="1" customWidth="1"/>
    <col min="4" max="4" width="13.5703125" style="354" customWidth="1"/>
    <col min="5" max="11" width="10.7109375" style="354"/>
    <col min="12" max="12" width="10.7109375" style="353"/>
    <col min="13" max="13" width="10.7109375" style="337"/>
    <col min="14" max="14" width="34.5703125" style="337" customWidth="1"/>
    <col min="15" max="16384" width="10.7109375" style="337"/>
  </cols>
  <sheetData>
    <row r="1" spans="1:22" s="338" customFormat="1" ht="24" customHeight="1">
      <c r="A1" s="352" t="s">
        <v>47</v>
      </c>
      <c r="B1" s="362"/>
      <c r="C1" s="351"/>
      <c r="D1" s="350"/>
      <c r="E1" s="349"/>
      <c r="F1" s="341"/>
      <c r="G1" s="342"/>
      <c r="H1" s="341"/>
      <c r="I1" s="348"/>
      <c r="J1" s="340"/>
      <c r="K1" s="340"/>
      <c r="L1" s="340"/>
      <c r="M1" s="339"/>
      <c r="N1" s="340"/>
      <c r="O1" s="340"/>
      <c r="P1" s="340"/>
      <c r="Q1" s="340"/>
      <c r="R1" s="361"/>
      <c r="S1" s="340"/>
      <c r="T1" s="360"/>
      <c r="U1" s="360"/>
      <c r="V1" s="360"/>
    </row>
    <row r="2" spans="1:22" ht="18.75">
      <c r="C2" s="697" t="s">
        <v>1612</v>
      </c>
      <c r="D2" s="698"/>
      <c r="E2" s="698"/>
      <c r="F2" s="698"/>
    </row>
    <row r="4" spans="1:22" ht="27" customHeight="1">
      <c r="A4" s="695" t="s">
        <v>3247</v>
      </c>
      <c r="B4" s="695"/>
      <c r="C4" s="695"/>
      <c r="D4" s="695"/>
      <c r="E4" s="695"/>
      <c r="F4" s="696"/>
      <c r="G4" s="696"/>
      <c r="H4" s="696"/>
      <c r="I4" s="696"/>
      <c r="J4" s="696"/>
      <c r="K4" s="696"/>
    </row>
    <row r="7" spans="1:22" ht="30.95" customHeight="1">
      <c r="A7" s="359"/>
      <c r="B7" s="359"/>
      <c r="D7" s="689" t="s">
        <v>3248</v>
      </c>
      <c r="E7" s="690"/>
      <c r="F7" s="690"/>
      <c r="G7" s="691"/>
      <c r="H7" s="692" t="s">
        <v>3249</v>
      </c>
      <c r="I7" s="693"/>
      <c r="J7" s="693"/>
      <c r="K7" s="694"/>
      <c r="L7" s="359"/>
      <c r="M7" s="358"/>
    </row>
    <row r="8" spans="1:22" ht="24.95" customHeight="1">
      <c r="C8" s="356" t="s">
        <v>3250</v>
      </c>
      <c r="D8" s="347">
        <v>0.19798724728773931</v>
      </c>
      <c r="E8" s="347">
        <v>0.10129995617787386</v>
      </c>
      <c r="F8" s="347">
        <v>7.2661949177791341E-2</v>
      </c>
      <c r="G8" s="347">
        <v>6.2247382698771343E-2</v>
      </c>
      <c r="H8" s="347">
        <v>0.309</v>
      </c>
      <c r="I8" s="347">
        <v>0.309</v>
      </c>
      <c r="J8" s="347">
        <v>0.26399999999999996</v>
      </c>
      <c r="K8" s="347">
        <v>0.1515</v>
      </c>
    </row>
    <row r="9" spans="1:22" ht="39.950000000000003" customHeight="1">
      <c r="A9" s="357" t="s">
        <v>3251</v>
      </c>
      <c r="B9" s="356" t="s">
        <v>3252</v>
      </c>
      <c r="C9" s="355" t="s">
        <v>3253</v>
      </c>
      <c r="D9" s="346" t="s">
        <v>3254</v>
      </c>
      <c r="E9" s="345" t="s">
        <v>3255</v>
      </c>
      <c r="F9" s="344" t="s">
        <v>3256</v>
      </c>
      <c r="G9" s="343" t="s">
        <v>3257</v>
      </c>
      <c r="H9" s="346" t="s">
        <v>3254</v>
      </c>
      <c r="I9" s="345" t="s">
        <v>3255</v>
      </c>
      <c r="J9" s="344" t="s">
        <v>3256</v>
      </c>
      <c r="K9" s="343" t="s">
        <v>3257</v>
      </c>
    </row>
    <row r="10" spans="1:22" ht="27" customHeight="1">
      <c r="A10" s="462" t="s">
        <v>3258</v>
      </c>
      <c r="B10" s="356" t="s">
        <v>73</v>
      </c>
      <c r="C10" s="465">
        <v>820</v>
      </c>
      <c r="D10" s="465">
        <f>D$8*$C10</f>
        <v>162.34954277594625</v>
      </c>
      <c r="E10" s="465">
        <f t="shared" ref="D10:K55" si="0">E$8*$C10</f>
        <v>83.065964065856576</v>
      </c>
      <c r="F10" s="465">
        <f t="shared" si="0"/>
        <v>59.5827983257889</v>
      </c>
      <c r="G10" s="465">
        <f>G$8*$C10</f>
        <v>51.042853812992504</v>
      </c>
      <c r="H10" s="465">
        <f t="shared" si="0"/>
        <v>253.38</v>
      </c>
      <c r="I10" s="465">
        <f t="shared" si="0"/>
        <v>253.38</v>
      </c>
      <c r="J10" s="465">
        <f t="shared" si="0"/>
        <v>216.47999999999996</v>
      </c>
      <c r="K10" s="465">
        <f t="shared" si="0"/>
        <v>124.22999999999999</v>
      </c>
    </row>
    <row r="11" spans="1:22" ht="27" customHeight="1">
      <c r="A11" s="463"/>
      <c r="B11" s="466" t="s">
        <v>3259</v>
      </c>
      <c r="C11" s="467"/>
      <c r="D11" s="467">
        <v>29.140454243230806</v>
      </c>
      <c r="E11" s="467"/>
      <c r="F11" s="467"/>
      <c r="G11" s="467"/>
      <c r="H11" s="467" t="s">
        <v>77</v>
      </c>
      <c r="I11" s="467" t="s">
        <v>77</v>
      </c>
      <c r="J11" s="467" t="s">
        <v>77</v>
      </c>
      <c r="K11" s="467" t="s">
        <v>77</v>
      </c>
    </row>
    <row r="12" spans="1:22" ht="27" customHeight="1">
      <c r="A12" s="463"/>
      <c r="B12" s="466" t="s">
        <v>3260</v>
      </c>
      <c r="C12" s="467"/>
      <c r="D12" s="467"/>
      <c r="E12" s="467">
        <v>14.570227121615403</v>
      </c>
      <c r="F12" s="467"/>
      <c r="G12" s="467"/>
      <c r="H12" s="467" t="s">
        <v>77</v>
      </c>
      <c r="I12" s="467" t="s">
        <v>77</v>
      </c>
      <c r="J12" s="467" t="s">
        <v>77</v>
      </c>
      <c r="K12" s="467" t="s">
        <v>77</v>
      </c>
    </row>
    <row r="13" spans="1:22" ht="27" customHeight="1">
      <c r="A13" s="463"/>
      <c r="B13" s="466" t="s">
        <v>3261</v>
      </c>
      <c r="C13" s="467"/>
      <c r="D13" s="467"/>
      <c r="E13" s="467"/>
      <c r="F13" s="467">
        <v>10.691444783321872</v>
      </c>
      <c r="G13" s="467"/>
      <c r="H13" s="467" t="s">
        <v>77</v>
      </c>
      <c r="I13" s="467" t="s">
        <v>77</v>
      </c>
      <c r="J13" s="467" t="s">
        <v>77</v>
      </c>
      <c r="K13" s="467" t="s">
        <v>77</v>
      </c>
    </row>
    <row r="14" spans="1:22" ht="27" customHeight="1">
      <c r="A14" s="464"/>
      <c r="B14" s="466" t="s">
        <v>3262</v>
      </c>
      <c r="C14" s="467"/>
      <c r="D14" s="467"/>
      <c r="E14" s="467"/>
      <c r="F14" s="467"/>
      <c r="G14" s="467">
        <v>8.7424117546694049</v>
      </c>
      <c r="H14" s="467" t="s">
        <v>77</v>
      </c>
      <c r="I14" s="467" t="s">
        <v>77</v>
      </c>
      <c r="J14" s="467" t="s">
        <v>77</v>
      </c>
      <c r="K14" s="467" t="s">
        <v>77</v>
      </c>
    </row>
    <row r="15" spans="1:22" ht="27.95" customHeight="1">
      <c r="A15" s="462" t="s">
        <v>3263</v>
      </c>
      <c r="B15" s="356" t="s">
        <v>227</v>
      </c>
      <c r="C15" s="465">
        <v>1039.73</v>
      </c>
      <c r="D15" s="465">
        <f t="shared" si="0"/>
        <v>205.85328062248121</v>
      </c>
      <c r="E15" s="465">
        <f t="shared" si="0"/>
        <v>105.32460343682079</v>
      </c>
      <c r="F15" s="465">
        <f t="shared" si="0"/>
        <v>75.548808418624986</v>
      </c>
      <c r="G15" s="465">
        <f t="shared" si="0"/>
        <v>64.720471213393523</v>
      </c>
      <c r="H15" s="465">
        <f t="shared" si="0"/>
        <v>321.27656999999999</v>
      </c>
      <c r="I15" s="465">
        <f t="shared" si="0"/>
        <v>321.27656999999999</v>
      </c>
      <c r="J15" s="465">
        <f t="shared" si="0"/>
        <v>274.48871999999994</v>
      </c>
      <c r="K15" s="465">
        <f t="shared" si="0"/>
        <v>157.51909499999999</v>
      </c>
    </row>
    <row r="16" spans="1:22" ht="27.95" customHeight="1">
      <c r="A16" s="463"/>
      <c r="B16" s="466" t="s">
        <v>3264</v>
      </c>
      <c r="C16" s="467"/>
      <c r="D16" s="467">
        <v>34.206562709226404</v>
      </c>
      <c r="E16" s="467"/>
      <c r="F16" s="467"/>
      <c r="G16" s="467"/>
      <c r="H16" s="467" t="s">
        <v>77</v>
      </c>
      <c r="I16" s="467" t="s">
        <v>77</v>
      </c>
      <c r="J16" s="467" t="s">
        <v>77</v>
      </c>
      <c r="K16" s="467" t="s">
        <v>77</v>
      </c>
    </row>
    <row r="17" spans="1:11" ht="27.95" customHeight="1">
      <c r="A17" s="463"/>
      <c r="B17" s="466" t="s">
        <v>3265</v>
      </c>
      <c r="C17" s="467"/>
      <c r="D17" s="467"/>
      <c r="E17" s="467">
        <v>17.103281354613202</v>
      </c>
      <c r="F17" s="467"/>
      <c r="G17" s="467"/>
      <c r="H17" s="467" t="s">
        <v>77</v>
      </c>
      <c r="I17" s="467" t="s">
        <v>77</v>
      </c>
      <c r="J17" s="467" t="s">
        <v>77</v>
      </c>
      <c r="K17" s="467" t="s">
        <v>77</v>
      </c>
    </row>
    <row r="18" spans="1:11" ht="27.95" customHeight="1">
      <c r="A18" s="463"/>
      <c r="B18" s="466" t="s">
        <v>3266</v>
      </c>
      <c r="C18" s="467"/>
      <c r="D18" s="467"/>
      <c r="E18" s="467"/>
      <c r="F18" s="467">
        <v>12.734600726196661</v>
      </c>
      <c r="G18" s="467"/>
      <c r="H18" s="467" t="s">
        <v>77</v>
      </c>
      <c r="I18" s="467" t="s">
        <v>77</v>
      </c>
      <c r="J18" s="467" t="s">
        <v>77</v>
      </c>
      <c r="K18" s="467" t="s">
        <v>77</v>
      </c>
    </row>
    <row r="19" spans="1:11" ht="27.95" customHeight="1">
      <c r="A19" s="464"/>
      <c r="B19" s="466" t="s">
        <v>3267</v>
      </c>
      <c r="C19" s="467"/>
      <c r="D19" s="467"/>
      <c r="E19" s="467"/>
      <c r="F19" s="467"/>
      <c r="G19" s="467">
        <v>10.262382035318165</v>
      </c>
      <c r="H19" s="467" t="s">
        <v>77</v>
      </c>
      <c r="I19" s="467" t="s">
        <v>77</v>
      </c>
      <c r="J19" s="467" t="s">
        <v>77</v>
      </c>
      <c r="K19" s="467" t="s">
        <v>77</v>
      </c>
    </row>
    <row r="20" spans="1:11" ht="27.95" customHeight="1">
      <c r="A20" s="462" t="s">
        <v>3268</v>
      </c>
      <c r="B20" s="356" t="s">
        <v>343</v>
      </c>
      <c r="C20" s="465">
        <v>1589.07</v>
      </c>
      <c r="D20" s="465">
        <f t="shared" si="0"/>
        <v>314.6155950475279</v>
      </c>
      <c r="E20" s="465">
        <f t="shared" si="0"/>
        <v>160.97272136357401</v>
      </c>
      <c r="F20" s="465">
        <f t="shared" si="0"/>
        <v>115.46492357995288</v>
      </c>
      <c r="G20" s="465">
        <f t="shared" si="0"/>
        <v>98.915448425136574</v>
      </c>
      <c r="H20" s="465">
        <f t="shared" si="0"/>
        <v>491.02262999999999</v>
      </c>
      <c r="I20" s="465">
        <f t="shared" si="0"/>
        <v>491.02262999999999</v>
      </c>
      <c r="J20" s="465">
        <f t="shared" si="0"/>
        <v>419.51447999999993</v>
      </c>
      <c r="K20" s="465">
        <f t="shared" si="0"/>
        <v>240.74410499999999</v>
      </c>
    </row>
    <row r="21" spans="1:11" ht="27.95" customHeight="1">
      <c r="A21" s="463"/>
      <c r="B21" s="466" t="s">
        <v>3269</v>
      </c>
      <c r="C21" s="467"/>
      <c r="D21" s="467">
        <v>75.291903471520243</v>
      </c>
      <c r="E21" s="467"/>
      <c r="F21" s="467"/>
      <c r="G21" s="467"/>
      <c r="H21" s="467" t="s">
        <v>77</v>
      </c>
      <c r="I21" s="467" t="s">
        <v>77</v>
      </c>
      <c r="J21" s="467" t="s">
        <v>77</v>
      </c>
      <c r="K21" s="467" t="s">
        <v>77</v>
      </c>
    </row>
    <row r="22" spans="1:11" ht="27.95" customHeight="1">
      <c r="A22" s="463"/>
      <c r="B22" s="466" t="s">
        <v>3270</v>
      </c>
      <c r="C22" s="467"/>
      <c r="D22" s="467"/>
      <c r="E22" s="467">
        <v>37.645951735760121</v>
      </c>
      <c r="F22" s="467"/>
      <c r="G22" s="467"/>
      <c r="H22" s="467" t="s">
        <v>77</v>
      </c>
      <c r="I22" s="467" t="s">
        <v>77</v>
      </c>
      <c r="J22" s="467" t="s">
        <v>77</v>
      </c>
      <c r="K22" s="467" t="s">
        <v>77</v>
      </c>
    </row>
    <row r="23" spans="1:11" ht="27.95" customHeight="1">
      <c r="A23" s="463"/>
      <c r="B23" s="466" t="s">
        <v>3271</v>
      </c>
      <c r="C23" s="467"/>
      <c r="D23" s="467"/>
      <c r="E23" s="467"/>
      <c r="F23" s="467">
        <v>27.624386620001019</v>
      </c>
      <c r="G23" s="467"/>
      <c r="H23" s="467" t="s">
        <v>77</v>
      </c>
      <c r="I23" s="467" t="s">
        <v>77</v>
      </c>
      <c r="J23" s="467" t="s">
        <v>77</v>
      </c>
      <c r="K23" s="467" t="s">
        <v>77</v>
      </c>
    </row>
    <row r="24" spans="1:11" ht="27.95" customHeight="1">
      <c r="A24" s="464"/>
      <c r="B24" s="466" t="s">
        <v>3272</v>
      </c>
      <c r="C24" s="467"/>
      <c r="D24" s="467"/>
      <c r="E24" s="467"/>
      <c r="F24" s="467"/>
      <c r="G24" s="467">
        <v>22.587433300605994</v>
      </c>
      <c r="H24" s="467" t="s">
        <v>77</v>
      </c>
      <c r="I24" s="467" t="s">
        <v>77</v>
      </c>
      <c r="J24" s="467" t="s">
        <v>77</v>
      </c>
      <c r="K24" s="467" t="s">
        <v>77</v>
      </c>
    </row>
    <row r="25" spans="1:11" ht="29.1" customHeight="1">
      <c r="A25" s="462" t="s">
        <v>3273</v>
      </c>
      <c r="B25" s="356" t="s">
        <v>500</v>
      </c>
      <c r="C25" s="465">
        <v>1946.3</v>
      </c>
      <c r="D25" s="465">
        <f t="shared" si="0"/>
        <v>385.34257939612701</v>
      </c>
      <c r="E25" s="465">
        <f t="shared" si="0"/>
        <v>197.1601047089959</v>
      </c>
      <c r="F25" s="465">
        <f t="shared" si="0"/>
        <v>141.42195168473529</v>
      </c>
      <c r="G25" s="465">
        <f t="shared" si="0"/>
        <v>121.15208094661867</v>
      </c>
      <c r="H25" s="465">
        <f t="shared" si="0"/>
        <v>601.4067</v>
      </c>
      <c r="I25" s="465">
        <f t="shared" si="0"/>
        <v>601.4067</v>
      </c>
      <c r="J25" s="465">
        <f t="shared" si="0"/>
        <v>513.82319999999993</v>
      </c>
      <c r="K25" s="465">
        <f t="shared" si="0"/>
        <v>294.86444999999998</v>
      </c>
    </row>
    <row r="26" spans="1:11" ht="29.1" customHeight="1">
      <c r="A26" s="463"/>
      <c r="B26" s="466" t="s">
        <v>3274</v>
      </c>
      <c r="C26" s="467"/>
      <c r="D26" s="467">
        <v>81.038451736918191</v>
      </c>
      <c r="E26" s="467"/>
      <c r="F26" s="467"/>
      <c r="G26" s="467"/>
      <c r="H26" s="467" t="s">
        <v>77</v>
      </c>
      <c r="I26" s="467" t="s">
        <v>77</v>
      </c>
      <c r="J26" s="467" t="s">
        <v>77</v>
      </c>
      <c r="K26" s="467" t="s">
        <v>77</v>
      </c>
    </row>
    <row r="27" spans="1:11" ht="29.1" customHeight="1">
      <c r="A27" s="463"/>
      <c r="B27" s="466" t="s">
        <v>3275</v>
      </c>
      <c r="C27" s="467"/>
      <c r="D27" s="467"/>
      <c r="E27" s="467">
        <v>40.519225868459095</v>
      </c>
      <c r="F27" s="467"/>
      <c r="G27" s="467"/>
      <c r="H27" s="467" t="s">
        <v>77</v>
      </c>
      <c r="I27" s="467" t="s">
        <v>77</v>
      </c>
      <c r="J27" s="467" t="s">
        <v>77</v>
      </c>
      <c r="K27" s="467" t="s">
        <v>77</v>
      </c>
    </row>
    <row r="28" spans="1:11" ht="29.1" customHeight="1">
      <c r="A28" s="463"/>
      <c r="B28" s="466" t="s">
        <v>3276</v>
      </c>
      <c r="C28" s="467"/>
      <c r="D28" s="467"/>
      <c r="E28" s="467"/>
      <c r="F28" s="467">
        <v>29.732739898581031</v>
      </c>
      <c r="G28" s="467"/>
      <c r="H28" s="467" t="s">
        <v>77</v>
      </c>
      <c r="I28" s="467" t="s">
        <v>77</v>
      </c>
      <c r="J28" s="467" t="s">
        <v>77</v>
      </c>
      <c r="K28" s="467" t="s">
        <v>77</v>
      </c>
    </row>
    <row r="29" spans="1:11" ht="29.1" customHeight="1">
      <c r="A29" s="464"/>
      <c r="B29" s="466" t="s">
        <v>3277</v>
      </c>
      <c r="C29" s="467"/>
      <c r="D29" s="467"/>
      <c r="E29" s="467"/>
      <c r="F29" s="467"/>
      <c r="G29" s="467">
        <v>24.311260039375295</v>
      </c>
      <c r="H29" s="467" t="s">
        <v>77</v>
      </c>
      <c r="I29" s="467" t="s">
        <v>77</v>
      </c>
      <c r="J29" s="467" t="s">
        <v>77</v>
      </c>
      <c r="K29" s="467" t="s">
        <v>77</v>
      </c>
    </row>
    <row r="30" spans="1:11" ht="27.95" customHeight="1">
      <c r="A30" s="462" t="s">
        <v>3278</v>
      </c>
      <c r="B30" s="356" t="s">
        <v>685</v>
      </c>
      <c r="C30" s="465">
        <v>600.47</v>
      </c>
      <c r="D30" s="465">
        <f t="shared" si="0"/>
        <v>118.88540237886883</v>
      </c>
      <c r="E30" s="465">
        <f t="shared" si="0"/>
        <v>60.827584686127921</v>
      </c>
      <c r="F30" s="465">
        <f t="shared" si="0"/>
        <v>43.631320622788365</v>
      </c>
      <c r="G30" s="465">
        <f t="shared" si="0"/>
        <v>37.377685889131229</v>
      </c>
      <c r="H30" s="465">
        <f t="shared" si="0"/>
        <v>185.54523</v>
      </c>
      <c r="I30" s="465">
        <f t="shared" si="0"/>
        <v>185.54523</v>
      </c>
      <c r="J30" s="465">
        <f t="shared" si="0"/>
        <v>158.52407999999997</v>
      </c>
      <c r="K30" s="465">
        <f t="shared" si="0"/>
        <v>90.971204999999998</v>
      </c>
    </row>
    <row r="31" spans="1:11" ht="27.95" customHeight="1">
      <c r="A31" s="463"/>
      <c r="B31" s="466" t="s">
        <v>3279</v>
      </c>
      <c r="C31" s="467"/>
      <c r="D31" s="467">
        <v>36.402151859524658</v>
      </c>
      <c r="E31" s="467"/>
      <c r="F31" s="467"/>
      <c r="G31" s="467"/>
      <c r="H31" s="467" t="s">
        <v>77</v>
      </c>
      <c r="I31" s="467" t="s">
        <v>77</v>
      </c>
      <c r="J31" s="467" t="s">
        <v>77</v>
      </c>
      <c r="K31" s="467" t="s">
        <v>77</v>
      </c>
    </row>
    <row r="32" spans="1:11" ht="27.95" customHeight="1">
      <c r="A32" s="463"/>
      <c r="B32" s="466" t="s">
        <v>3280</v>
      </c>
      <c r="C32" s="467"/>
      <c r="D32" s="467"/>
      <c r="E32" s="467">
        <v>18.201075929762329</v>
      </c>
      <c r="F32" s="467"/>
      <c r="G32" s="467"/>
      <c r="H32" s="467" t="s">
        <v>77</v>
      </c>
      <c r="I32" s="467" t="s">
        <v>77</v>
      </c>
      <c r="J32" s="467" t="s">
        <v>77</v>
      </c>
      <c r="K32" s="467" t="s">
        <v>77</v>
      </c>
    </row>
    <row r="33" spans="1:11" ht="27.95" customHeight="1">
      <c r="A33" s="463"/>
      <c r="B33" s="466" t="s">
        <v>3281</v>
      </c>
      <c r="C33" s="467"/>
      <c r="D33" s="467"/>
      <c r="E33" s="467"/>
      <c r="F33" s="467">
        <v>13.356271096230921</v>
      </c>
      <c r="G33" s="467"/>
      <c r="H33" s="467" t="s">
        <v>77</v>
      </c>
      <c r="I33" s="467" t="s">
        <v>77</v>
      </c>
      <c r="J33" s="467" t="s">
        <v>77</v>
      </c>
      <c r="K33" s="467" t="s">
        <v>77</v>
      </c>
    </row>
    <row r="34" spans="1:11" ht="27.95" customHeight="1">
      <c r="A34" s="464"/>
      <c r="B34" s="466" t="s">
        <v>3282</v>
      </c>
      <c r="C34" s="467"/>
      <c r="D34" s="467"/>
      <c r="E34" s="467"/>
      <c r="F34" s="467"/>
      <c r="G34" s="467">
        <v>10.92078329870748</v>
      </c>
      <c r="H34" s="467" t="s">
        <v>77</v>
      </c>
      <c r="I34" s="467" t="s">
        <v>77</v>
      </c>
      <c r="J34" s="467" t="s">
        <v>77</v>
      </c>
      <c r="K34" s="467" t="s">
        <v>77</v>
      </c>
    </row>
    <row r="35" spans="1:11" ht="27.95" customHeight="1">
      <c r="A35" s="468" t="s">
        <v>3283</v>
      </c>
      <c r="B35" s="357" t="s">
        <v>823</v>
      </c>
      <c r="C35" s="469">
        <v>1042.74</v>
      </c>
      <c r="D35" s="469">
        <f t="shared" si="0"/>
        <v>206.44922223681729</v>
      </c>
      <c r="E35" s="469">
        <f t="shared" si="0"/>
        <v>105.62951630491619</v>
      </c>
      <c r="F35" s="469">
        <f t="shared" si="0"/>
        <v>75.767520885650143</v>
      </c>
      <c r="G35" s="469">
        <f t="shared" si="0"/>
        <v>64.907835835316831</v>
      </c>
      <c r="H35" s="469">
        <f t="shared" si="0"/>
        <v>322.20666</v>
      </c>
      <c r="I35" s="469">
        <f t="shared" si="0"/>
        <v>322.20666</v>
      </c>
      <c r="J35" s="469">
        <f t="shared" si="0"/>
        <v>275.28335999999996</v>
      </c>
      <c r="K35" s="469">
        <f t="shared" si="0"/>
        <v>157.97511</v>
      </c>
    </row>
    <row r="36" spans="1:11" ht="27.95" customHeight="1">
      <c r="A36" s="470"/>
      <c r="B36" s="471" t="s">
        <v>3284</v>
      </c>
      <c r="C36" s="467"/>
      <c r="D36" s="467">
        <v>37.300222202055693</v>
      </c>
      <c r="E36" s="467"/>
      <c r="F36" s="467"/>
      <c r="G36" s="467"/>
      <c r="H36" s="467" t="s">
        <v>77</v>
      </c>
      <c r="I36" s="467" t="s">
        <v>77</v>
      </c>
      <c r="J36" s="467" t="s">
        <v>77</v>
      </c>
      <c r="K36" s="467" t="s">
        <v>77</v>
      </c>
    </row>
    <row r="37" spans="1:11" ht="27.95" customHeight="1">
      <c r="A37" s="470"/>
      <c r="B37" s="471" t="s">
        <v>3285</v>
      </c>
      <c r="C37" s="467"/>
      <c r="D37" s="467"/>
      <c r="E37" s="467">
        <v>18.650111101027846</v>
      </c>
      <c r="F37" s="467"/>
      <c r="G37" s="467"/>
      <c r="H37" s="467" t="s">
        <v>77</v>
      </c>
      <c r="I37" s="467" t="s">
        <v>77</v>
      </c>
      <c r="J37" s="467" t="s">
        <v>77</v>
      </c>
      <c r="K37" s="467" t="s">
        <v>77</v>
      </c>
    </row>
    <row r="38" spans="1:11" ht="27.95" customHeight="1">
      <c r="A38" s="470"/>
      <c r="B38" s="471" t="s">
        <v>3286</v>
      </c>
      <c r="C38" s="467"/>
      <c r="D38" s="467"/>
      <c r="E38" s="467"/>
      <c r="F38" s="467">
        <v>13.685930864092517</v>
      </c>
      <c r="G38" s="467"/>
      <c r="H38" s="467" t="s">
        <v>77</v>
      </c>
      <c r="I38" s="467" t="s">
        <v>77</v>
      </c>
      <c r="J38" s="467" t="s">
        <v>77</v>
      </c>
      <c r="K38" s="467" t="s">
        <v>77</v>
      </c>
    </row>
    <row r="39" spans="1:11" ht="27.95" customHeight="1">
      <c r="A39" s="472"/>
      <c r="B39" s="471" t="s">
        <v>3287</v>
      </c>
      <c r="C39" s="467"/>
      <c r="D39" s="467"/>
      <c r="E39" s="467"/>
      <c r="F39" s="467"/>
      <c r="G39" s="467">
        <v>11.190066660616708</v>
      </c>
      <c r="H39" s="467" t="s">
        <v>77</v>
      </c>
      <c r="I39" s="467" t="s">
        <v>77</v>
      </c>
      <c r="J39" s="467" t="s">
        <v>77</v>
      </c>
      <c r="K39" s="467" t="s">
        <v>77</v>
      </c>
    </row>
    <row r="40" spans="1:11" ht="29.1" customHeight="1">
      <c r="A40" s="462" t="s">
        <v>3288</v>
      </c>
      <c r="B40" s="356" t="s">
        <v>1109</v>
      </c>
      <c r="C40" s="465">
        <v>4572.32</v>
      </c>
      <c r="D40" s="465">
        <f t="shared" si="0"/>
        <v>905.26105051867614</v>
      </c>
      <c r="E40" s="465">
        <f t="shared" si="0"/>
        <v>463.17581563121621</v>
      </c>
      <c r="F40" s="465">
        <f t="shared" si="0"/>
        <v>332.23368346459887</v>
      </c>
      <c r="G40" s="465">
        <f t="shared" si="0"/>
        <v>284.61495286124619</v>
      </c>
      <c r="H40" s="465">
        <f t="shared" si="0"/>
        <v>1412.8468799999998</v>
      </c>
      <c r="I40" s="465">
        <f t="shared" si="0"/>
        <v>1412.8468799999998</v>
      </c>
      <c r="J40" s="465">
        <f t="shared" si="0"/>
        <v>1207.0924799999998</v>
      </c>
      <c r="K40" s="465">
        <f t="shared" si="0"/>
        <v>692.70647999999994</v>
      </c>
    </row>
    <row r="41" spans="1:11" ht="29.1" customHeight="1">
      <c r="A41" s="463"/>
      <c r="B41" s="466" t="s">
        <v>3289</v>
      </c>
      <c r="C41" s="467"/>
      <c r="D41" s="467">
        <v>209.07132670462425</v>
      </c>
      <c r="E41" s="467"/>
      <c r="F41" s="467"/>
      <c r="G41" s="467"/>
      <c r="H41" s="467" t="s">
        <v>77</v>
      </c>
      <c r="I41" s="467" t="s">
        <v>77</v>
      </c>
      <c r="J41" s="467" t="s">
        <v>77</v>
      </c>
      <c r="K41" s="467" t="s">
        <v>77</v>
      </c>
    </row>
    <row r="42" spans="1:11" ht="29.1" customHeight="1">
      <c r="A42" s="463"/>
      <c r="B42" s="466" t="s">
        <v>3290</v>
      </c>
      <c r="C42" s="467"/>
      <c r="D42" s="467"/>
      <c r="E42" s="467">
        <v>104.53566335231213</v>
      </c>
      <c r="F42" s="467"/>
      <c r="G42" s="467"/>
      <c r="H42" s="467" t="s">
        <v>77</v>
      </c>
      <c r="I42" s="467" t="s">
        <v>77</v>
      </c>
      <c r="J42" s="467" t="s">
        <v>77</v>
      </c>
      <c r="K42" s="467" t="s">
        <v>77</v>
      </c>
    </row>
    <row r="43" spans="1:11" ht="29.1" customHeight="1">
      <c r="A43" s="463"/>
      <c r="B43" s="466" t="s">
        <v>3291</v>
      </c>
      <c r="C43" s="467"/>
      <c r="D43" s="467"/>
      <c r="E43" s="467"/>
      <c r="F43" s="467">
        <v>76.707879410357521</v>
      </c>
      <c r="G43" s="467"/>
      <c r="H43" s="467" t="s">
        <v>77</v>
      </c>
      <c r="I43" s="467" t="s">
        <v>77</v>
      </c>
      <c r="J43" s="467" t="s">
        <v>77</v>
      </c>
      <c r="K43" s="467" t="s">
        <v>77</v>
      </c>
    </row>
    <row r="44" spans="1:11" ht="29.1" customHeight="1">
      <c r="A44" s="464"/>
      <c r="B44" s="466" t="s">
        <v>3292</v>
      </c>
      <c r="C44" s="467"/>
      <c r="D44" s="467"/>
      <c r="E44" s="467"/>
      <c r="F44" s="467"/>
      <c r="G44" s="467">
        <v>62.720984788837043</v>
      </c>
      <c r="H44" s="467" t="s">
        <v>77</v>
      </c>
      <c r="I44" s="467" t="s">
        <v>77</v>
      </c>
      <c r="J44" s="467" t="s">
        <v>77</v>
      </c>
      <c r="K44" s="467" t="s">
        <v>77</v>
      </c>
    </row>
    <row r="45" spans="1:11" ht="24" customHeight="1">
      <c r="A45" s="462" t="s">
        <v>3293</v>
      </c>
      <c r="B45" s="358" t="s">
        <v>1347</v>
      </c>
      <c r="C45" s="465">
        <v>428.27373</v>
      </c>
      <c r="D45" s="465">
        <f t="shared" si="0"/>
        <v>84.792736888352493</v>
      </c>
      <c r="E45" s="465">
        <f t="shared" si="0"/>
        <v>43.384110081134587</v>
      </c>
      <c r="F45" s="465">
        <f t="shared" si="0"/>
        <v>31.11920400344313</v>
      </c>
      <c r="G45" s="465">
        <f t="shared" si="0"/>
        <v>26.658918771140268</v>
      </c>
      <c r="H45" s="465">
        <f t="shared" si="0"/>
        <v>132.33658256999999</v>
      </c>
      <c r="I45" s="465">
        <f t="shared" si="0"/>
        <v>132.33658256999999</v>
      </c>
      <c r="J45" s="465">
        <f t="shared" si="0"/>
        <v>113.06426471999998</v>
      </c>
      <c r="K45" s="465">
        <f t="shared" si="0"/>
        <v>64.883470094999993</v>
      </c>
    </row>
    <row r="46" spans="1:11" ht="24" customHeight="1">
      <c r="A46" s="463"/>
      <c r="B46" s="466" t="s">
        <v>3294</v>
      </c>
      <c r="C46" s="467"/>
      <c r="D46" s="467">
        <v>20.041293686850455</v>
      </c>
      <c r="E46" s="467"/>
      <c r="F46" s="467"/>
      <c r="G46" s="467"/>
      <c r="H46" s="467" t="s">
        <v>77</v>
      </c>
      <c r="I46" s="467" t="s">
        <v>77</v>
      </c>
      <c r="J46" s="467" t="s">
        <v>77</v>
      </c>
      <c r="K46" s="467" t="s">
        <v>77</v>
      </c>
    </row>
    <row r="47" spans="1:11" ht="24" customHeight="1">
      <c r="A47" s="463"/>
      <c r="B47" s="466" t="s">
        <v>3295</v>
      </c>
      <c r="C47" s="467"/>
      <c r="D47" s="467"/>
      <c r="E47" s="467">
        <v>10.020646843425228</v>
      </c>
      <c r="F47" s="467"/>
      <c r="G47" s="467"/>
      <c r="H47" s="467" t="s">
        <v>77</v>
      </c>
      <c r="I47" s="467" t="s">
        <v>77</v>
      </c>
      <c r="J47" s="467" t="s">
        <v>77</v>
      </c>
      <c r="K47" s="467" t="s">
        <v>77</v>
      </c>
    </row>
    <row r="48" spans="1:11" ht="24" customHeight="1">
      <c r="A48" s="463"/>
      <c r="B48" s="466" t="s">
        <v>3296</v>
      </c>
      <c r="C48" s="467"/>
      <c r="D48" s="467"/>
      <c r="E48" s="467"/>
      <c r="F48" s="467">
        <v>7.3535248496814871</v>
      </c>
      <c r="G48" s="467"/>
      <c r="H48" s="467" t="s">
        <v>77</v>
      </c>
      <c r="I48" s="467" t="s">
        <v>77</v>
      </c>
      <c r="J48" s="467" t="s">
        <v>77</v>
      </c>
      <c r="K48" s="467" t="s">
        <v>77</v>
      </c>
    </row>
    <row r="49" spans="1:11" ht="24" customHeight="1">
      <c r="A49" s="464"/>
      <c r="B49" s="466" t="s">
        <v>3297</v>
      </c>
      <c r="C49" s="467"/>
      <c r="D49" s="467"/>
      <c r="E49" s="467"/>
      <c r="F49" s="467"/>
      <c r="G49" s="467">
        <v>6.0123881060551367</v>
      </c>
      <c r="H49" s="467" t="s">
        <v>77</v>
      </c>
      <c r="I49" s="467" t="s">
        <v>77</v>
      </c>
      <c r="J49" s="467" t="s">
        <v>77</v>
      </c>
      <c r="K49" s="467" t="s">
        <v>77</v>
      </c>
    </row>
    <row r="50" spans="1:11" ht="24" customHeight="1">
      <c r="A50" s="462" t="s">
        <v>3298</v>
      </c>
      <c r="B50" s="473" t="s">
        <v>1378</v>
      </c>
      <c r="C50" s="465">
        <v>301.7</v>
      </c>
      <c r="D50" s="465">
        <f t="shared" si="0"/>
        <v>59.732752506710945</v>
      </c>
      <c r="E50" s="465">
        <f t="shared" si="0"/>
        <v>30.562196778864543</v>
      </c>
      <c r="F50" s="465">
        <f t="shared" si="0"/>
        <v>21.922110066939645</v>
      </c>
      <c r="G50" s="465">
        <f t="shared" si="0"/>
        <v>18.780035360219312</v>
      </c>
      <c r="H50" s="465">
        <f t="shared" si="0"/>
        <v>93.22529999999999</v>
      </c>
      <c r="I50" s="465">
        <f t="shared" si="0"/>
        <v>93.22529999999999</v>
      </c>
      <c r="J50" s="465">
        <f t="shared" si="0"/>
        <v>79.64879999999998</v>
      </c>
      <c r="K50" s="465">
        <f t="shared" si="0"/>
        <v>45.707549999999998</v>
      </c>
    </row>
    <row r="51" spans="1:11" ht="24" customHeight="1">
      <c r="A51" s="463"/>
      <c r="B51" s="466" t="s">
        <v>3299</v>
      </c>
      <c r="C51" s="467"/>
      <c r="D51" s="467">
        <v>20.041293686850455</v>
      </c>
      <c r="E51" s="467"/>
      <c r="F51" s="467"/>
      <c r="G51" s="467"/>
      <c r="H51" s="467" t="s">
        <v>77</v>
      </c>
      <c r="I51" s="467" t="s">
        <v>77</v>
      </c>
      <c r="J51" s="467" t="s">
        <v>77</v>
      </c>
      <c r="K51" s="467" t="s">
        <v>77</v>
      </c>
    </row>
    <row r="52" spans="1:11" ht="24" customHeight="1">
      <c r="A52" s="463"/>
      <c r="B52" s="466" t="s">
        <v>3300</v>
      </c>
      <c r="C52" s="467"/>
      <c r="D52" s="467"/>
      <c r="E52" s="467">
        <v>10.020646843425228</v>
      </c>
      <c r="F52" s="467"/>
      <c r="G52" s="467"/>
      <c r="H52" s="467" t="s">
        <v>77</v>
      </c>
      <c r="I52" s="467" t="s">
        <v>77</v>
      </c>
      <c r="J52" s="467" t="s">
        <v>77</v>
      </c>
      <c r="K52" s="467" t="s">
        <v>77</v>
      </c>
    </row>
    <row r="53" spans="1:11" ht="24" customHeight="1">
      <c r="A53" s="463"/>
      <c r="B53" s="466" t="s">
        <v>3301</v>
      </c>
      <c r="C53" s="467"/>
      <c r="D53" s="467"/>
      <c r="E53" s="467"/>
      <c r="F53" s="467">
        <v>7.3535248496814871</v>
      </c>
      <c r="G53" s="467"/>
      <c r="H53" s="467" t="s">
        <v>77</v>
      </c>
      <c r="I53" s="467" t="s">
        <v>77</v>
      </c>
      <c r="J53" s="467" t="s">
        <v>77</v>
      </c>
      <c r="K53" s="467" t="s">
        <v>77</v>
      </c>
    </row>
    <row r="54" spans="1:11" ht="24" customHeight="1">
      <c r="A54" s="464"/>
      <c r="B54" s="466" t="s">
        <v>3297</v>
      </c>
      <c r="C54" s="467"/>
      <c r="D54" s="467"/>
      <c r="E54" s="467"/>
      <c r="F54" s="467"/>
      <c r="G54" s="467">
        <v>6.0123881060551367</v>
      </c>
      <c r="H54" s="467" t="s">
        <v>77</v>
      </c>
      <c r="I54" s="467" t="s">
        <v>77</v>
      </c>
      <c r="J54" s="467" t="s">
        <v>77</v>
      </c>
      <c r="K54" s="467" t="s">
        <v>77</v>
      </c>
    </row>
    <row r="55" spans="1:11" ht="24" customHeight="1">
      <c r="A55" s="462" t="s">
        <v>3302</v>
      </c>
      <c r="B55" s="357" t="s">
        <v>1519</v>
      </c>
      <c r="C55" s="469">
        <v>679.65</v>
      </c>
      <c r="D55" s="469">
        <f t="shared" si="0"/>
        <v>134.56203261911202</v>
      </c>
      <c r="E55" s="469">
        <f t="shared" si="0"/>
        <v>68.848515216291972</v>
      </c>
      <c r="F55" s="469">
        <f t="shared" si="0"/>
        <v>49.384693758685884</v>
      </c>
      <c r="G55" s="469">
        <f t="shared" si="0"/>
        <v>42.30643365121994</v>
      </c>
      <c r="H55" s="469">
        <f t="shared" si="0"/>
        <v>210.01184999999998</v>
      </c>
      <c r="I55" s="469">
        <f t="shared" si="0"/>
        <v>210.01184999999998</v>
      </c>
      <c r="J55" s="469">
        <f t="shared" si="0"/>
        <v>179.42759999999996</v>
      </c>
      <c r="K55" s="469">
        <f t="shared" si="0"/>
        <v>102.96697499999999</v>
      </c>
    </row>
    <row r="56" spans="1:11" ht="21.95" customHeight="1">
      <c r="A56" s="463"/>
      <c r="B56" s="466" t="s">
        <v>3303</v>
      </c>
      <c r="C56" s="467"/>
      <c r="D56" s="467">
        <v>20.041293686850455</v>
      </c>
      <c r="E56" s="467"/>
      <c r="F56" s="467"/>
      <c r="G56" s="467"/>
      <c r="H56" s="467" t="s">
        <v>77</v>
      </c>
      <c r="I56" s="467" t="s">
        <v>77</v>
      </c>
      <c r="J56" s="467" t="s">
        <v>77</v>
      </c>
      <c r="K56" s="467" t="s">
        <v>77</v>
      </c>
    </row>
    <row r="57" spans="1:11" ht="23.1" customHeight="1">
      <c r="A57" s="463"/>
      <c r="B57" s="466" t="s">
        <v>3304</v>
      </c>
      <c r="C57" s="467"/>
      <c r="D57" s="467"/>
      <c r="E57" s="467">
        <v>10.020646843425228</v>
      </c>
      <c r="F57" s="467"/>
      <c r="G57" s="467"/>
      <c r="H57" s="467" t="s">
        <v>77</v>
      </c>
      <c r="I57" s="467" t="s">
        <v>77</v>
      </c>
      <c r="J57" s="467" t="s">
        <v>77</v>
      </c>
      <c r="K57" s="467" t="s">
        <v>77</v>
      </c>
    </row>
    <row r="58" spans="1:11" ht="21.95" customHeight="1">
      <c r="A58" s="463"/>
      <c r="B58" s="466" t="s">
        <v>3305</v>
      </c>
      <c r="C58" s="467"/>
      <c r="D58" s="467"/>
      <c r="E58" s="467"/>
      <c r="F58" s="467">
        <v>7.3535248496814871</v>
      </c>
      <c r="G58" s="467"/>
      <c r="H58" s="467" t="s">
        <v>77</v>
      </c>
      <c r="I58" s="467" t="s">
        <v>77</v>
      </c>
      <c r="J58" s="467" t="s">
        <v>77</v>
      </c>
      <c r="K58" s="467" t="s">
        <v>77</v>
      </c>
    </row>
    <row r="59" spans="1:11" ht="21.95" customHeight="1">
      <c r="A59" s="464"/>
      <c r="B59" s="466" t="s">
        <v>3306</v>
      </c>
      <c r="C59" s="467"/>
      <c r="D59" s="467"/>
      <c r="E59" s="467"/>
      <c r="F59" s="467"/>
      <c r="G59" s="467">
        <v>6.0123881060551367</v>
      </c>
      <c r="H59" s="467" t="s">
        <v>77</v>
      </c>
      <c r="I59" s="467" t="s">
        <v>77</v>
      </c>
      <c r="J59" s="467" t="s">
        <v>77</v>
      </c>
      <c r="K59" s="467" t="s">
        <v>77</v>
      </c>
    </row>
    <row r="60" spans="1:11" ht="21.95" customHeight="1">
      <c r="A60" s="462" t="s">
        <v>3307</v>
      </c>
      <c r="B60" s="357" t="s">
        <v>1282</v>
      </c>
      <c r="C60" s="469">
        <v>1674.81</v>
      </c>
      <c r="D60" s="469">
        <f t="shared" ref="D60:K60" si="1">D$8*$C60</f>
        <v>331.59102162997868</v>
      </c>
      <c r="E60" s="469">
        <f t="shared" si="1"/>
        <v>169.65817960626492</v>
      </c>
      <c r="F60" s="469">
        <f t="shared" si="1"/>
        <v>121.69495910245671</v>
      </c>
      <c r="G60" s="469">
        <f t="shared" si="1"/>
        <v>104.25253901772923</v>
      </c>
      <c r="H60" s="469">
        <f t="shared" si="1"/>
        <v>517.51629000000003</v>
      </c>
      <c r="I60" s="469">
        <f t="shared" si="1"/>
        <v>517.51629000000003</v>
      </c>
      <c r="J60" s="469">
        <f t="shared" si="1"/>
        <v>442.14983999999993</v>
      </c>
      <c r="K60" s="469">
        <f t="shared" si="1"/>
        <v>253.73371499999999</v>
      </c>
    </row>
    <row r="61" spans="1:11" ht="21.95" customHeight="1">
      <c r="A61" s="474"/>
      <c r="B61" s="466" t="s">
        <v>3308</v>
      </c>
      <c r="C61" s="467"/>
      <c r="D61" s="467">
        <v>89.757447547073753</v>
      </c>
      <c r="E61" s="467"/>
      <c r="F61" s="467"/>
      <c r="G61" s="467"/>
      <c r="H61" s="467" t="s">
        <v>77</v>
      </c>
      <c r="I61" s="467" t="s">
        <v>77</v>
      </c>
      <c r="J61" s="467" t="s">
        <v>77</v>
      </c>
      <c r="K61" s="467" t="s">
        <v>77</v>
      </c>
    </row>
    <row r="62" spans="1:11" ht="21.95" customHeight="1">
      <c r="A62" s="474"/>
      <c r="B62" s="466" t="s">
        <v>3309</v>
      </c>
      <c r="C62" s="467"/>
      <c r="D62" s="467"/>
      <c r="E62" s="467">
        <v>44.878723773536876</v>
      </c>
      <c r="F62" s="467"/>
      <c r="G62" s="467"/>
      <c r="H62" s="467" t="s">
        <v>77</v>
      </c>
      <c r="I62" s="467" t="s">
        <v>77</v>
      </c>
      <c r="J62" s="467" t="s">
        <v>77</v>
      </c>
      <c r="K62" s="467" t="s">
        <v>77</v>
      </c>
    </row>
    <row r="63" spans="1:11" ht="21.95" customHeight="1">
      <c r="A63" s="474"/>
      <c r="B63" s="466" t="s">
        <v>3310</v>
      </c>
      <c r="C63" s="467"/>
      <c r="D63" s="467"/>
      <c r="E63" s="467"/>
      <c r="F63" s="467">
        <v>32.93200070980609</v>
      </c>
      <c r="G63" s="467"/>
      <c r="H63" s="467" t="s">
        <v>77</v>
      </c>
      <c r="I63" s="467" t="s">
        <v>77</v>
      </c>
      <c r="J63" s="467" t="s">
        <v>77</v>
      </c>
      <c r="K63" s="467" t="s">
        <v>77</v>
      </c>
    </row>
    <row r="64" spans="1:11" ht="21.95" customHeight="1">
      <c r="A64" s="475"/>
      <c r="B64" s="466" t="s">
        <v>3311</v>
      </c>
      <c r="C64" s="467"/>
      <c r="D64" s="467"/>
      <c r="E64" s="467"/>
      <c r="F64" s="467"/>
      <c r="G64" s="467">
        <v>26.926958782421963</v>
      </c>
      <c r="H64" s="467" t="s">
        <v>77</v>
      </c>
      <c r="I64" s="467" t="s">
        <v>77</v>
      </c>
      <c r="J64" s="467" t="s">
        <v>77</v>
      </c>
      <c r="K64" s="467" t="s">
        <v>77</v>
      </c>
    </row>
    <row r="65" spans="1:11" ht="21.95" customHeight="1"/>
    <row r="66" spans="1:11" ht="21.95" customHeight="1">
      <c r="A66" s="476" t="s">
        <v>3312</v>
      </c>
    </row>
    <row r="67" spans="1:11" ht="20.100000000000001" customHeight="1" thickBot="1"/>
    <row r="68" spans="1:11" ht="17.25" thickTop="1" thickBot="1">
      <c r="A68" s="477" t="s">
        <v>3313</v>
      </c>
      <c r="B68" s="478"/>
      <c r="C68" s="479" t="s">
        <v>3314</v>
      </c>
    </row>
    <row r="69" spans="1:11" ht="56.45" customHeight="1" thickTop="1" thickBot="1">
      <c r="A69" s="687" t="s">
        <v>3315</v>
      </c>
      <c r="B69" s="688"/>
      <c r="C69" s="480">
        <v>4.95</v>
      </c>
      <c r="D69" s="459"/>
      <c r="E69" s="459"/>
      <c r="F69" s="459"/>
      <c r="G69" s="459"/>
      <c r="H69" s="459"/>
      <c r="I69" s="459"/>
      <c r="J69" s="459"/>
      <c r="K69" s="459"/>
    </row>
    <row r="70" spans="1:11" ht="16.5" thickTop="1"/>
  </sheetData>
  <mergeCells count="5">
    <mergeCell ref="A69:B69"/>
    <mergeCell ref="D7:G7"/>
    <mergeCell ref="H7:K7"/>
    <mergeCell ref="A4:K4"/>
    <mergeCell ref="C2:F2"/>
  </mergeCells>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theme="4"/>
  </sheetPr>
  <dimension ref="A1:R84"/>
  <sheetViews>
    <sheetView zoomScaleNormal="100" workbookViewId="0">
      <selection activeCell="A3" sqref="A3:H3"/>
    </sheetView>
  </sheetViews>
  <sheetFormatPr baseColWidth="10" defaultColWidth="10.7109375" defaultRowHeight="12.75"/>
  <cols>
    <col min="1" max="1" width="29" style="337" customWidth="1"/>
    <col min="2" max="2" width="45.42578125" style="337" customWidth="1"/>
    <col min="3" max="3" width="10.7109375" style="337"/>
    <col min="4" max="4" width="13.5703125" style="337" customWidth="1"/>
    <col min="5" max="5" width="24.140625" style="337" customWidth="1"/>
    <col min="6" max="8" width="10.7109375" style="337"/>
    <col min="9" max="9" width="11.5703125" style="337" customWidth="1"/>
    <col min="10" max="10" width="10.5703125" style="337" customWidth="1"/>
    <col min="11" max="11" width="9.5703125" style="337" customWidth="1"/>
    <col min="12" max="12" width="10.7109375" style="337" customWidth="1"/>
    <col min="13" max="13" width="7.42578125" style="337" customWidth="1"/>
    <col min="14" max="14" width="10.7109375" style="337"/>
    <col min="15" max="15" width="32.7109375" style="337" customWidth="1"/>
    <col min="16" max="16384" width="10.7109375" style="337"/>
  </cols>
  <sheetData>
    <row r="1" spans="1:18" s="338" customFormat="1" ht="24" customHeight="1">
      <c r="A1" s="352" t="s">
        <v>47</v>
      </c>
      <c r="B1" s="530"/>
      <c r="C1" s="351"/>
      <c r="D1" s="350"/>
      <c r="E1" s="349"/>
      <c r="F1" s="341"/>
      <c r="G1" s="342"/>
      <c r="H1" s="341"/>
      <c r="I1" s="348"/>
      <c r="J1" s="340"/>
      <c r="K1" s="340"/>
      <c r="L1" s="340"/>
      <c r="M1" s="339"/>
      <c r="N1" s="361"/>
      <c r="O1" s="340"/>
      <c r="P1" s="360"/>
      <c r="Q1" s="360"/>
    </row>
    <row r="2" spans="1:18" s="338" customFormat="1" ht="18.75">
      <c r="A2" s="529"/>
      <c r="B2" s="537" t="s">
        <v>1612</v>
      </c>
      <c r="C2" s="528"/>
      <c r="D2" s="527"/>
      <c r="E2" s="526"/>
      <c r="F2" s="524"/>
      <c r="G2" s="525"/>
      <c r="H2" s="524"/>
      <c r="I2" s="524"/>
      <c r="J2" s="523"/>
      <c r="K2" s="523"/>
      <c r="L2" s="551"/>
      <c r="M2" s="550"/>
      <c r="N2" s="361"/>
      <c r="O2" s="340"/>
      <c r="P2" s="340"/>
      <c r="Q2" s="340"/>
    </row>
    <row r="3" spans="1:18" s="338" customFormat="1" ht="30" customHeight="1">
      <c r="A3" s="699" t="s">
        <v>3419</v>
      </c>
      <c r="B3" s="700"/>
      <c r="C3" s="700"/>
      <c r="D3" s="700"/>
      <c r="E3" s="700"/>
      <c r="F3" s="700"/>
      <c r="G3" s="700"/>
      <c r="H3" s="700"/>
      <c r="I3" s="536"/>
      <c r="J3" s="522"/>
      <c r="K3" s="522"/>
      <c r="L3" s="549"/>
      <c r="M3" s="548"/>
      <c r="N3" s="701" t="s">
        <v>53</v>
      </c>
      <c r="O3" s="521" t="s">
        <v>54</v>
      </c>
      <c r="P3" s="703" t="s">
        <v>55</v>
      </c>
      <c r="Q3" s="705" t="s">
        <v>56</v>
      </c>
      <c r="R3" s="554"/>
    </row>
    <row r="4" spans="1:18" s="338" customFormat="1" ht="48" customHeight="1">
      <c r="A4" s="520" t="s">
        <v>59</v>
      </c>
      <c r="B4" s="519" t="s">
        <v>3316</v>
      </c>
      <c r="C4" s="518" t="s">
        <v>61</v>
      </c>
      <c r="D4" s="517" t="s">
        <v>62</v>
      </c>
      <c r="E4" s="517" t="s">
        <v>63</v>
      </c>
      <c r="F4" s="515" t="s">
        <v>64</v>
      </c>
      <c r="G4" s="516" t="s">
        <v>65</v>
      </c>
      <c r="H4" s="515" t="s">
        <v>66</v>
      </c>
      <c r="I4" s="535" t="s">
        <v>67</v>
      </c>
      <c r="J4" s="514" t="s">
        <v>68</v>
      </c>
      <c r="K4" s="514" t="s">
        <v>69</v>
      </c>
      <c r="L4" s="547" t="s">
        <v>70</v>
      </c>
      <c r="M4" s="546" t="s">
        <v>71</v>
      </c>
      <c r="N4" s="702"/>
      <c r="O4" s="513" t="s">
        <v>72</v>
      </c>
      <c r="P4" s="704"/>
      <c r="Q4" s="706"/>
      <c r="R4" s="554"/>
    </row>
    <row r="6" spans="1:18" s="338" customFormat="1" ht="60.95" customHeight="1">
      <c r="A6" s="532" t="s">
        <v>3056</v>
      </c>
      <c r="C6" s="384"/>
      <c r="D6" s="385"/>
      <c r="E6" s="341"/>
      <c r="F6" s="341"/>
      <c r="G6" s="342"/>
      <c r="H6" s="385"/>
      <c r="I6" s="341"/>
      <c r="J6" s="340"/>
      <c r="K6" s="340"/>
      <c r="L6" s="531"/>
      <c r="M6" s="501"/>
      <c r="N6" s="495"/>
      <c r="O6" s="488"/>
      <c r="P6" s="496" t="s">
        <v>1274</v>
      </c>
      <c r="Q6" s="496" t="s">
        <v>1275</v>
      </c>
    </row>
    <row r="7" spans="1:18" s="338" customFormat="1" hidden="1">
      <c r="A7" s="506"/>
      <c r="B7" s="383"/>
      <c r="C7" s="384"/>
      <c r="D7" s="485"/>
      <c r="E7" s="386"/>
      <c r="F7" s="385"/>
      <c r="G7" s="342"/>
      <c r="H7" s="385"/>
      <c r="I7" s="341"/>
      <c r="J7" s="340"/>
      <c r="K7" s="340"/>
      <c r="L7" s="531"/>
      <c r="M7" s="501"/>
      <c r="N7" s="495"/>
      <c r="O7" s="488"/>
      <c r="P7" s="496"/>
      <c r="Q7" s="496"/>
    </row>
    <row r="8" spans="1:18" s="338" customFormat="1" hidden="1">
      <c r="A8" s="505" t="s">
        <v>3060</v>
      </c>
      <c r="B8" s="383" t="s">
        <v>3061</v>
      </c>
      <c r="C8" s="384">
        <v>1</v>
      </c>
      <c r="D8" s="485" t="s">
        <v>82</v>
      </c>
      <c r="E8" s="545" t="s">
        <v>3060</v>
      </c>
      <c r="F8" s="385">
        <v>5</v>
      </c>
      <c r="G8" s="342"/>
      <c r="H8" s="385">
        <f t="shared" ref="H8:H21" si="0">F8-(F8*G8)</f>
        <v>5</v>
      </c>
      <c r="I8" s="341"/>
      <c r="J8" s="340"/>
      <c r="K8" s="340"/>
      <c r="L8" s="531"/>
      <c r="M8" s="501"/>
      <c r="N8" s="495" t="s">
        <v>75</v>
      </c>
      <c r="O8" s="488" t="s">
        <v>3059</v>
      </c>
      <c r="P8" s="496" t="s">
        <v>1274</v>
      </c>
      <c r="Q8" s="496" t="s">
        <v>1275</v>
      </c>
    </row>
    <row r="9" spans="1:18" s="338" customFormat="1" hidden="1">
      <c r="A9" s="505" t="s">
        <v>3063</v>
      </c>
      <c r="B9" s="383" t="s">
        <v>3064</v>
      </c>
      <c r="C9" s="384">
        <v>1</v>
      </c>
      <c r="D9" s="485" t="s">
        <v>82</v>
      </c>
      <c r="E9" s="545" t="s">
        <v>3063</v>
      </c>
      <c r="F9" s="385">
        <v>8</v>
      </c>
      <c r="G9" s="342"/>
      <c r="H9" s="385">
        <f t="shared" si="0"/>
        <v>8</v>
      </c>
      <c r="I9" s="341"/>
      <c r="J9" s="340"/>
      <c r="K9" s="340"/>
      <c r="L9" s="531"/>
      <c r="M9" s="501"/>
      <c r="N9" s="495" t="s">
        <v>75</v>
      </c>
      <c r="O9" s="488" t="s">
        <v>3059</v>
      </c>
      <c r="P9" s="496" t="s">
        <v>1274</v>
      </c>
      <c r="Q9" s="496" t="s">
        <v>1275</v>
      </c>
    </row>
    <row r="10" spans="1:18" s="338" customFormat="1" hidden="1">
      <c r="A10" s="506" t="s">
        <v>3066</v>
      </c>
      <c r="B10" s="383" t="s">
        <v>3067</v>
      </c>
      <c r="C10" s="384">
        <v>1</v>
      </c>
      <c r="D10" s="385" t="s">
        <v>82</v>
      </c>
      <c r="E10" s="504" t="s">
        <v>3066</v>
      </c>
      <c r="F10" s="385">
        <v>8</v>
      </c>
      <c r="G10" s="342"/>
      <c r="H10" s="385">
        <f t="shared" si="0"/>
        <v>8</v>
      </c>
      <c r="I10" s="341"/>
      <c r="J10" s="340"/>
      <c r="K10" s="340"/>
      <c r="L10" s="531"/>
      <c r="M10" s="501"/>
      <c r="N10" s="495" t="s">
        <v>75</v>
      </c>
      <c r="O10" s="488" t="s">
        <v>3059</v>
      </c>
      <c r="P10" s="496" t="s">
        <v>1274</v>
      </c>
      <c r="Q10" s="496" t="s">
        <v>1275</v>
      </c>
    </row>
    <row r="11" spans="1:18" s="338" customFormat="1" hidden="1">
      <c r="A11" s="506" t="s">
        <v>3068</v>
      </c>
      <c r="B11" s="383" t="s">
        <v>3069</v>
      </c>
      <c r="C11" s="384">
        <v>1</v>
      </c>
      <c r="D11" s="385" t="s">
        <v>82</v>
      </c>
      <c r="E11" s="504" t="s">
        <v>3068</v>
      </c>
      <c r="F11" s="385">
        <v>8</v>
      </c>
      <c r="G11" s="342"/>
      <c r="H11" s="385">
        <f t="shared" si="0"/>
        <v>8</v>
      </c>
      <c r="I11" s="341"/>
      <c r="J11" s="340"/>
      <c r="K11" s="340"/>
      <c r="L11" s="531"/>
      <c r="M11" s="501"/>
      <c r="N11" s="495" t="s">
        <v>75</v>
      </c>
      <c r="O11" s="488" t="s">
        <v>3059</v>
      </c>
      <c r="P11" s="496" t="s">
        <v>1274</v>
      </c>
      <c r="Q11" s="496" t="s">
        <v>1275</v>
      </c>
    </row>
    <row r="12" spans="1:18" s="338" customFormat="1" hidden="1">
      <c r="A12" s="506" t="s">
        <v>3070</v>
      </c>
      <c r="B12" s="383" t="s">
        <v>3071</v>
      </c>
      <c r="C12" s="384">
        <v>1</v>
      </c>
      <c r="D12" s="385" t="s">
        <v>82</v>
      </c>
      <c r="E12" s="504" t="s">
        <v>3070</v>
      </c>
      <c r="F12" s="385">
        <v>15</v>
      </c>
      <c r="G12" s="342"/>
      <c r="H12" s="385">
        <f t="shared" si="0"/>
        <v>15</v>
      </c>
      <c r="I12" s="341"/>
      <c r="J12" s="340"/>
      <c r="K12" s="340"/>
      <c r="L12" s="531"/>
      <c r="M12" s="501"/>
      <c r="N12" s="495" t="s">
        <v>75</v>
      </c>
      <c r="O12" s="488" t="s">
        <v>3059</v>
      </c>
      <c r="P12" s="496" t="s">
        <v>1274</v>
      </c>
      <c r="Q12" s="496" t="s">
        <v>1275</v>
      </c>
    </row>
    <row r="13" spans="1:18" s="338" customFormat="1" hidden="1">
      <c r="A13" s="505" t="s">
        <v>3072</v>
      </c>
      <c r="B13" s="383" t="s">
        <v>3073</v>
      </c>
      <c r="C13" s="384">
        <v>1</v>
      </c>
      <c r="D13" s="385" t="s">
        <v>82</v>
      </c>
      <c r="E13" s="510" t="s">
        <v>3072</v>
      </c>
      <c r="F13" s="385">
        <v>5</v>
      </c>
      <c r="G13" s="342"/>
      <c r="H13" s="385">
        <f t="shared" si="0"/>
        <v>5</v>
      </c>
      <c r="I13" s="341"/>
      <c r="J13" s="340"/>
      <c r="K13" s="340"/>
      <c r="L13" s="531"/>
      <c r="M13" s="501"/>
      <c r="N13" s="495" t="s">
        <v>75</v>
      </c>
      <c r="O13" s="488" t="s">
        <v>3059</v>
      </c>
      <c r="P13" s="496" t="s">
        <v>1274</v>
      </c>
      <c r="Q13" s="496" t="s">
        <v>1275</v>
      </c>
    </row>
    <row r="14" spans="1:18" s="338" customFormat="1" hidden="1">
      <c r="A14" s="544" t="s">
        <v>3075</v>
      </c>
      <c r="B14" s="383" t="s">
        <v>3076</v>
      </c>
      <c r="C14" s="384">
        <v>1</v>
      </c>
      <c r="D14" s="385" t="s">
        <v>3077</v>
      </c>
      <c r="E14" s="504" t="s">
        <v>3075</v>
      </c>
      <c r="F14" s="385">
        <v>16</v>
      </c>
      <c r="G14" s="342"/>
      <c r="H14" s="385">
        <f t="shared" si="0"/>
        <v>16</v>
      </c>
      <c r="I14" s="341"/>
      <c r="J14" s="340"/>
      <c r="K14" s="340"/>
      <c r="L14" s="531"/>
      <c r="M14" s="501"/>
      <c r="N14" s="495" t="s">
        <v>75</v>
      </c>
      <c r="O14" s="488" t="s">
        <v>3059</v>
      </c>
      <c r="P14" s="496" t="s">
        <v>1274</v>
      </c>
      <c r="Q14" s="496" t="s">
        <v>1275</v>
      </c>
    </row>
    <row r="15" spans="1:18" s="338" customFormat="1">
      <c r="A15" s="506" t="s">
        <v>3425</v>
      </c>
      <c r="B15" s="383" t="s">
        <v>3079</v>
      </c>
      <c r="C15" s="384">
        <v>1</v>
      </c>
      <c r="D15" s="385" t="s">
        <v>3333</v>
      </c>
      <c r="E15" s="504" t="s">
        <v>3425</v>
      </c>
      <c r="F15" s="385">
        <v>125</v>
      </c>
      <c r="G15" s="342"/>
      <c r="H15" s="385">
        <f t="shared" si="0"/>
        <v>125</v>
      </c>
      <c r="I15" s="341"/>
      <c r="J15" s="340"/>
      <c r="K15" s="340"/>
      <c r="L15" s="531"/>
      <c r="M15" s="501"/>
      <c r="N15" s="495" t="s">
        <v>75</v>
      </c>
      <c r="O15" s="488" t="s">
        <v>3059</v>
      </c>
      <c r="P15" s="496" t="s">
        <v>1274</v>
      </c>
      <c r="Q15" s="496" t="s">
        <v>1275</v>
      </c>
    </row>
    <row r="16" spans="1:18" s="338" customFormat="1">
      <c r="A16" s="506" t="s">
        <v>3426</v>
      </c>
      <c r="B16" s="383" t="s">
        <v>3082</v>
      </c>
      <c r="C16" s="384">
        <v>1</v>
      </c>
      <c r="D16" s="385" t="s">
        <v>3333</v>
      </c>
      <c r="E16" s="504" t="s">
        <v>3426</v>
      </c>
      <c r="F16" s="385">
        <v>265</v>
      </c>
      <c r="G16" s="342"/>
      <c r="H16" s="385">
        <f t="shared" si="0"/>
        <v>265</v>
      </c>
      <c r="I16" s="341"/>
      <c r="J16" s="340"/>
      <c r="K16" s="340"/>
      <c r="L16" s="531"/>
      <c r="M16" s="501"/>
      <c r="N16" s="495" t="s">
        <v>75</v>
      </c>
      <c r="O16" s="488" t="s">
        <v>3059</v>
      </c>
      <c r="P16" s="496" t="s">
        <v>1274</v>
      </c>
      <c r="Q16" s="496" t="s">
        <v>1275</v>
      </c>
    </row>
    <row r="17" spans="1:17" s="338" customFormat="1">
      <c r="A17" s="506" t="s">
        <v>3427</v>
      </c>
      <c r="B17" s="383" t="s">
        <v>3084</v>
      </c>
      <c r="C17" s="384">
        <v>1</v>
      </c>
      <c r="D17" s="385" t="s">
        <v>3333</v>
      </c>
      <c r="E17" s="504" t="s">
        <v>3427</v>
      </c>
      <c r="F17" s="385">
        <v>565</v>
      </c>
      <c r="G17" s="342"/>
      <c r="H17" s="385">
        <f t="shared" si="0"/>
        <v>565</v>
      </c>
      <c r="I17" s="341"/>
      <c r="J17" s="340"/>
      <c r="K17" s="340"/>
      <c r="L17" s="531"/>
      <c r="M17" s="501"/>
      <c r="N17" s="495" t="s">
        <v>75</v>
      </c>
      <c r="O17" s="488" t="s">
        <v>3059</v>
      </c>
      <c r="P17" s="496" t="s">
        <v>1274</v>
      </c>
      <c r="Q17" s="496" t="s">
        <v>1275</v>
      </c>
    </row>
    <row r="18" spans="1:17" s="338" customFormat="1">
      <c r="A18" s="506" t="s">
        <v>3428</v>
      </c>
      <c r="B18" s="383" t="s">
        <v>3086</v>
      </c>
      <c r="C18" s="384">
        <v>1</v>
      </c>
      <c r="D18" s="385" t="s">
        <v>3333</v>
      </c>
      <c r="E18" s="504" t="s">
        <v>3462</v>
      </c>
      <c r="F18" s="385">
        <v>655</v>
      </c>
      <c r="G18" s="342"/>
      <c r="H18" s="385">
        <f t="shared" si="0"/>
        <v>655</v>
      </c>
      <c r="I18" s="341"/>
      <c r="J18" s="340"/>
      <c r="K18" s="340"/>
      <c r="L18" s="531"/>
      <c r="M18" s="501"/>
      <c r="N18" s="495" t="s">
        <v>75</v>
      </c>
      <c r="O18" s="488" t="s">
        <v>3059</v>
      </c>
      <c r="P18" s="496" t="s">
        <v>1274</v>
      </c>
      <c r="Q18" s="496" t="s">
        <v>1275</v>
      </c>
    </row>
    <row r="19" spans="1:17" s="338" customFormat="1">
      <c r="A19" s="506" t="s">
        <v>3429</v>
      </c>
      <c r="B19" s="383" t="s">
        <v>3088</v>
      </c>
      <c r="C19" s="384">
        <v>1</v>
      </c>
      <c r="D19" s="385" t="s">
        <v>3333</v>
      </c>
      <c r="E19" s="504" t="s">
        <v>3429</v>
      </c>
      <c r="F19" s="385">
        <v>150</v>
      </c>
      <c r="G19" s="342"/>
      <c r="H19" s="385">
        <f t="shared" si="0"/>
        <v>150</v>
      </c>
      <c r="I19" s="341"/>
      <c r="J19" s="340"/>
      <c r="K19" s="340"/>
      <c r="L19" s="531"/>
      <c r="M19" s="501"/>
      <c r="N19" s="495" t="s">
        <v>75</v>
      </c>
      <c r="O19" s="488" t="s">
        <v>3059</v>
      </c>
      <c r="P19" s="496" t="s">
        <v>1274</v>
      </c>
      <c r="Q19" s="496" t="s">
        <v>1275</v>
      </c>
    </row>
    <row r="20" spans="1:17" s="338" customFormat="1">
      <c r="A20" s="506" t="s">
        <v>3430</v>
      </c>
      <c r="B20" s="383" t="s">
        <v>3090</v>
      </c>
      <c r="C20" s="384">
        <v>1</v>
      </c>
      <c r="D20" s="385" t="s">
        <v>3333</v>
      </c>
      <c r="E20" s="504" t="s">
        <v>3430</v>
      </c>
      <c r="F20" s="385">
        <v>520</v>
      </c>
      <c r="G20" s="342"/>
      <c r="H20" s="385">
        <f t="shared" si="0"/>
        <v>520</v>
      </c>
      <c r="I20" s="341"/>
      <c r="J20" s="340"/>
      <c r="K20" s="340"/>
      <c r="L20" s="531"/>
      <c r="M20" s="501"/>
      <c r="N20" s="495" t="s">
        <v>75</v>
      </c>
      <c r="O20" s="488" t="s">
        <v>3059</v>
      </c>
      <c r="P20" s="496" t="s">
        <v>1274</v>
      </c>
      <c r="Q20" s="496" t="s">
        <v>1275</v>
      </c>
    </row>
    <row r="21" spans="1:17" s="338" customFormat="1">
      <c r="A21" s="506" t="s">
        <v>3431</v>
      </c>
      <c r="B21" s="383" t="s">
        <v>3092</v>
      </c>
      <c r="C21" s="384">
        <v>1</v>
      </c>
      <c r="D21" s="385" t="s">
        <v>3333</v>
      </c>
      <c r="E21" s="504" t="s">
        <v>3431</v>
      </c>
      <c r="F21" s="385">
        <v>1170</v>
      </c>
      <c r="G21" s="342"/>
      <c r="H21" s="385">
        <f t="shared" si="0"/>
        <v>1170</v>
      </c>
      <c r="I21" s="341"/>
      <c r="J21" s="340"/>
      <c r="K21" s="340"/>
      <c r="L21" s="531"/>
      <c r="M21" s="501"/>
      <c r="N21" s="495" t="s">
        <v>75</v>
      </c>
      <c r="O21" s="488" t="s">
        <v>3059</v>
      </c>
      <c r="P21" s="496" t="s">
        <v>1274</v>
      </c>
      <c r="Q21" s="496" t="s">
        <v>1275</v>
      </c>
    </row>
    <row r="22" spans="1:17" s="338" customFormat="1">
      <c r="A22" s="506" t="s">
        <v>3432</v>
      </c>
      <c r="B22" s="383" t="s">
        <v>3094</v>
      </c>
      <c r="C22" s="384">
        <v>1</v>
      </c>
      <c r="D22" s="385" t="s">
        <v>3333</v>
      </c>
      <c r="E22" s="504" t="s">
        <v>3432</v>
      </c>
      <c r="F22" s="385">
        <v>1300</v>
      </c>
      <c r="G22" s="342"/>
      <c r="H22" s="385">
        <v>1350</v>
      </c>
      <c r="I22" s="341"/>
      <c r="J22" s="340"/>
      <c r="K22" s="340"/>
      <c r="L22" s="531"/>
      <c r="M22" s="501"/>
      <c r="N22" s="495" t="s">
        <v>75</v>
      </c>
      <c r="O22" s="488" t="s">
        <v>3059</v>
      </c>
      <c r="P22" s="496" t="s">
        <v>1274</v>
      </c>
      <c r="Q22" s="496" t="s">
        <v>1275</v>
      </c>
    </row>
    <row r="23" spans="1:17" s="338" customFormat="1">
      <c r="A23" s="506" t="s">
        <v>3433</v>
      </c>
      <c r="B23" s="383" t="s">
        <v>3096</v>
      </c>
      <c r="C23" s="384">
        <v>1</v>
      </c>
      <c r="D23" s="385" t="s">
        <v>3333</v>
      </c>
      <c r="E23" s="504" t="s">
        <v>3433</v>
      </c>
      <c r="F23" s="385">
        <v>246.67</v>
      </c>
      <c r="G23" s="342"/>
      <c r="H23" s="385">
        <v>65</v>
      </c>
      <c r="I23" s="341"/>
      <c r="J23" s="340"/>
      <c r="K23" s="340"/>
      <c r="L23" s="531"/>
      <c r="M23" s="501"/>
      <c r="N23" s="495" t="s">
        <v>75</v>
      </c>
      <c r="O23" s="488" t="s">
        <v>3059</v>
      </c>
      <c r="P23" s="496" t="s">
        <v>1274</v>
      </c>
      <c r="Q23" s="496" t="s">
        <v>1275</v>
      </c>
    </row>
    <row r="24" spans="1:17" s="338" customFormat="1">
      <c r="A24" s="506" t="s">
        <v>3434</v>
      </c>
      <c r="B24" s="383" t="s">
        <v>3098</v>
      </c>
      <c r="C24" s="384">
        <v>1</v>
      </c>
      <c r="D24" s="385" t="s">
        <v>3333</v>
      </c>
      <c r="E24" s="504" t="s">
        <v>3434</v>
      </c>
      <c r="F24" s="385">
        <v>153.33000000000001</v>
      </c>
      <c r="G24" s="342"/>
      <c r="H24" s="385">
        <v>150</v>
      </c>
      <c r="I24" s="341"/>
      <c r="J24" s="340"/>
      <c r="K24" s="340"/>
      <c r="L24" s="531"/>
      <c r="M24" s="501"/>
      <c r="N24" s="495" t="s">
        <v>75</v>
      </c>
      <c r="O24" s="488" t="s">
        <v>3059</v>
      </c>
      <c r="P24" s="496" t="s">
        <v>1274</v>
      </c>
      <c r="Q24" s="496" t="s">
        <v>1275</v>
      </c>
    </row>
    <row r="25" spans="1:17" s="338" customFormat="1">
      <c r="A25" s="506" t="s">
        <v>3435</v>
      </c>
      <c r="B25" s="383" t="s">
        <v>3100</v>
      </c>
      <c r="C25" s="384">
        <v>1</v>
      </c>
      <c r="D25" s="385" t="s">
        <v>3333</v>
      </c>
      <c r="E25" s="504" t="s">
        <v>3435</v>
      </c>
      <c r="F25" s="385">
        <v>133.33000000000001</v>
      </c>
      <c r="G25" s="342"/>
      <c r="H25" s="385">
        <v>310</v>
      </c>
      <c r="I25" s="341"/>
      <c r="J25" s="340"/>
      <c r="K25" s="340"/>
      <c r="L25" s="531"/>
      <c r="M25" s="501"/>
      <c r="N25" s="495" t="s">
        <v>75</v>
      </c>
      <c r="O25" s="488" t="s">
        <v>3059</v>
      </c>
      <c r="P25" s="496" t="s">
        <v>1274</v>
      </c>
      <c r="Q25" s="496" t="s">
        <v>1275</v>
      </c>
    </row>
    <row r="26" spans="1:17" s="338" customFormat="1">
      <c r="A26" s="506" t="s">
        <v>3436</v>
      </c>
      <c r="B26" s="383" t="s">
        <v>3102</v>
      </c>
      <c r="C26" s="384">
        <v>1</v>
      </c>
      <c r="D26" s="385" t="s">
        <v>3333</v>
      </c>
      <c r="E26" s="504" t="s">
        <v>3436</v>
      </c>
      <c r="F26" s="385">
        <v>112</v>
      </c>
      <c r="G26" s="342"/>
      <c r="H26" s="385">
        <v>380</v>
      </c>
      <c r="I26" s="341"/>
      <c r="J26" s="340"/>
      <c r="K26" s="340"/>
      <c r="L26" s="531"/>
      <c r="M26" s="501"/>
      <c r="N26" s="495" t="s">
        <v>75</v>
      </c>
      <c r="O26" s="488" t="s">
        <v>3059</v>
      </c>
      <c r="P26" s="496" t="s">
        <v>1274</v>
      </c>
      <c r="Q26" s="496" t="s">
        <v>1275</v>
      </c>
    </row>
    <row r="27" spans="1:17" s="338" customFormat="1">
      <c r="A27" s="506" t="s">
        <v>3437</v>
      </c>
      <c r="B27" s="383" t="s">
        <v>3104</v>
      </c>
      <c r="C27" s="384">
        <v>1</v>
      </c>
      <c r="D27" s="385" t="s">
        <v>3333</v>
      </c>
      <c r="E27" s="504" t="s">
        <v>3437</v>
      </c>
      <c r="F27" s="385">
        <v>93.33</v>
      </c>
      <c r="G27" s="342"/>
      <c r="H27" s="385">
        <v>95</v>
      </c>
      <c r="I27" s="341"/>
      <c r="J27" s="340"/>
      <c r="K27" s="340"/>
      <c r="L27" s="531"/>
      <c r="M27" s="501"/>
      <c r="N27" s="495" t="s">
        <v>75</v>
      </c>
      <c r="O27" s="488" t="s">
        <v>3059</v>
      </c>
      <c r="P27" s="496" t="s">
        <v>1274</v>
      </c>
      <c r="Q27" s="496" t="s">
        <v>1275</v>
      </c>
    </row>
    <row r="28" spans="1:17" s="338" customFormat="1">
      <c r="A28" s="506" t="s">
        <v>3438</v>
      </c>
      <c r="B28" s="383" t="s">
        <v>3106</v>
      </c>
      <c r="C28" s="384">
        <v>1</v>
      </c>
      <c r="D28" s="385" t="s">
        <v>3333</v>
      </c>
      <c r="E28" s="504" t="s">
        <v>3438</v>
      </c>
      <c r="F28" s="385">
        <v>86.67</v>
      </c>
      <c r="G28" s="342"/>
      <c r="H28" s="385">
        <v>345</v>
      </c>
      <c r="I28" s="341"/>
      <c r="J28" s="340"/>
      <c r="K28" s="340"/>
      <c r="L28" s="531"/>
      <c r="M28" s="501"/>
      <c r="N28" s="495" t="s">
        <v>75</v>
      </c>
      <c r="O28" s="488" t="s">
        <v>3059</v>
      </c>
      <c r="P28" s="496" t="s">
        <v>1274</v>
      </c>
      <c r="Q28" s="496" t="s">
        <v>1275</v>
      </c>
    </row>
    <row r="29" spans="1:17" s="338" customFormat="1">
      <c r="A29" s="506" t="s">
        <v>3439</v>
      </c>
      <c r="B29" s="383" t="s">
        <v>3108</v>
      </c>
      <c r="C29" s="384">
        <v>1</v>
      </c>
      <c r="D29" s="385" t="s">
        <v>3333</v>
      </c>
      <c r="E29" s="504" t="s">
        <v>3439</v>
      </c>
      <c r="F29" s="385">
        <v>73.33</v>
      </c>
      <c r="G29" s="342"/>
      <c r="H29" s="385">
        <v>750</v>
      </c>
      <c r="I29" s="341"/>
      <c r="J29" s="340"/>
      <c r="K29" s="340"/>
      <c r="L29" s="531"/>
      <c r="M29" s="501"/>
      <c r="N29" s="495" t="s">
        <v>75</v>
      </c>
      <c r="O29" s="488" t="s">
        <v>3059</v>
      </c>
      <c r="P29" s="496" t="s">
        <v>1274</v>
      </c>
      <c r="Q29" s="496" t="s">
        <v>1275</v>
      </c>
    </row>
    <row r="30" spans="1:17" s="338" customFormat="1">
      <c r="A30" s="506" t="s">
        <v>3440</v>
      </c>
      <c r="B30" s="383" t="s">
        <v>3110</v>
      </c>
      <c r="C30" s="384">
        <v>1</v>
      </c>
      <c r="D30" s="385" t="s">
        <v>3333</v>
      </c>
      <c r="E30" s="504" t="s">
        <v>3440</v>
      </c>
      <c r="F30" s="385">
        <v>60</v>
      </c>
      <c r="G30" s="342"/>
      <c r="H30" s="385">
        <v>880</v>
      </c>
      <c r="I30" s="341"/>
      <c r="J30" s="340"/>
      <c r="K30" s="340"/>
      <c r="L30" s="531"/>
      <c r="M30" s="501"/>
      <c r="N30" s="495" t="s">
        <v>75</v>
      </c>
      <c r="O30" s="488" t="s">
        <v>3059</v>
      </c>
      <c r="P30" s="496" t="s">
        <v>1274</v>
      </c>
      <c r="Q30" s="496" t="s">
        <v>1275</v>
      </c>
    </row>
    <row r="31" spans="1:17" s="338" customFormat="1">
      <c r="A31" s="506" t="s">
        <v>3441</v>
      </c>
      <c r="B31" s="383" t="s">
        <v>3334</v>
      </c>
      <c r="C31" s="384">
        <v>1</v>
      </c>
      <c r="D31" s="385" t="s">
        <v>3333</v>
      </c>
      <c r="E31" s="504" t="s">
        <v>3441</v>
      </c>
      <c r="F31" s="385">
        <v>13.33</v>
      </c>
      <c r="G31" s="342"/>
      <c r="H31" s="385">
        <v>65</v>
      </c>
      <c r="I31" s="341"/>
      <c r="J31" s="340"/>
      <c r="K31" s="340"/>
      <c r="L31" s="531"/>
      <c r="M31" s="501"/>
      <c r="N31" s="495" t="s">
        <v>75</v>
      </c>
      <c r="O31" s="488" t="s">
        <v>3059</v>
      </c>
      <c r="P31" s="496" t="s">
        <v>1274</v>
      </c>
      <c r="Q31" s="496" t="s">
        <v>1275</v>
      </c>
    </row>
    <row r="32" spans="1:17" s="338" customFormat="1">
      <c r="A32" s="506" t="s">
        <v>3442</v>
      </c>
      <c r="B32" s="383" t="s">
        <v>3335</v>
      </c>
      <c r="C32" s="384">
        <v>1</v>
      </c>
      <c r="D32" s="385" t="s">
        <v>3333</v>
      </c>
      <c r="E32" s="504" t="s">
        <v>3442</v>
      </c>
      <c r="F32" s="385">
        <v>50</v>
      </c>
      <c r="G32" s="342"/>
      <c r="H32" s="385">
        <f>F32-(F32*G32)</f>
        <v>50</v>
      </c>
      <c r="I32" s="341"/>
      <c r="J32" s="340"/>
      <c r="K32" s="340"/>
      <c r="L32" s="531"/>
      <c r="M32" s="501"/>
      <c r="N32" s="495" t="s">
        <v>75</v>
      </c>
      <c r="O32" s="488" t="s">
        <v>3059</v>
      </c>
      <c r="P32" s="496" t="s">
        <v>1274</v>
      </c>
      <c r="Q32" s="496" t="s">
        <v>1275</v>
      </c>
    </row>
    <row r="33" spans="1:17" s="338" customFormat="1">
      <c r="A33" s="506" t="s">
        <v>3443</v>
      </c>
      <c r="B33" s="383" t="s">
        <v>3336</v>
      </c>
      <c r="C33" s="384">
        <v>1</v>
      </c>
      <c r="D33" s="385" t="s">
        <v>3333</v>
      </c>
      <c r="E33" s="504" t="s">
        <v>3443</v>
      </c>
      <c r="F33" s="385">
        <v>50</v>
      </c>
      <c r="G33" s="342"/>
      <c r="H33" s="385">
        <f>F33-(F33*G33)</f>
        <v>50</v>
      </c>
      <c r="I33" s="341"/>
      <c r="J33" s="340"/>
      <c r="K33" s="340"/>
      <c r="L33" s="531"/>
      <c r="M33" s="501"/>
      <c r="N33" s="495" t="s">
        <v>75</v>
      </c>
      <c r="O33" s="488" t="s">
        <v>3059</v>
      </c>
      <c r="P33" s="496" t="s">
        <v>1274</v>
      </c>
      <c r="Q33" s="496" t="s">
        <v>1275</v>
      </c>
    </row>
    <row r="34" spans="1:17" s="338" customFormat="1">
      <c r="A34" s="506" t="s">
        <v>3444</v>
      </c>
      <c r="B34" s="383" t="s">
        <v>3337</v>
      </c>
      <c r="C34" s="384">
        <v>1</v>
      </c>
      <c r="D34" s="385" t="s">
        <v>3333</v>
      </c>
      <c r="E34" s="504" t="s">
        <v>3444</v>
      </c>
      <c r="F34" s="385">
        <v>78</v>
      </c>
      <c r="G34" s="342"/>
      <c r="H34" s="385">
        <v>78</v>
      </c>
      <c r="I34" s="341"/>
      <c r="J34" s="340"/>
      <c r="K34" s="340"/>
      <c r="L34" s="531"/>
      <c r="M34" s="501"/>
      <c r="N34" s="495" t="s">
        <v>75</v>
      </c>
      <c r="O34" s="488" t="s">
        <v>3059</v>
      </c>
      <c r="P34" s="496" t="s">
        <v>1274</v>
      </c>
      <c r="Q34" s="496" t="s">
        <v>1275</v>
      </c>
    </row>
    <row r="35" spans="1:17" s="338" customFormat="1">
      <c r="A35" s="506" t="s">
        <v>3445</v>
      </c>
      <c r="B35" s="383" t="s">
        <v>3338</v>
      </c>
      <c r="C35" s="384">
        <v>1</v>
      </c>
      <c r="D35" s="385" t="s">
        <v>3333</v>
      </c>
      <c r="E35" s="504" t="s">
        <v>3445</v>
      </c>
      <c r="F35" s="385">
        <v>115</v>
      </c>
      <c r="G35" s="342"/>
      <c r="H35" s="385">
        <f>F35-(F35*G35)</f>
        <v>115</v>
      </c>
      <c r="I35" s="341"/>
      <c r="J35" s="340"/>
      <c r="K35" s="340"/>
      <c r="L35" s="531"/>
      <c r="M35" s="501"/>
      <c r="N35" s="495" t="s">
        <v>75</v>
      </c>
      <c r="O35" s="488" t="s">
        <v>3059</v>
      </c>
      <c r="P35" s="496" t="s">
        <v>1274</v>
      </c>
      <c r="Q35" s="496" t="s">
        <v>1275</v>
      </c>
    </row>
    <row r="36" spans="1:17" s="338" customFormat="1">
      <c r="A36" s="506" t="s">
        <v>3446</v>
      </c>
      <c r="B36" s="383" t="s">
        <v>3339</v>
      </c>
      <c r="C36" s="384">
        <v>1</v>
      </c>
      <c r="D36" s="385" t="s">
        <v>3333</v>
      </c>
      <c r="E36" s="504" t="s">
        <v>3446</v>
      </c>
      <c r="F36" s="385">
        <v>49.33</v>
      </c>
      <c r="G36" s="342"/>
      <c r="H36" s="385">
        <v>150</v>
      </c>
      <c r="I36" s="341"/>
      <c r="J36" s="340"/>
      <c r="K36" s="340"/>
      <c r="L36" s="531"/>
      <c r="M36" s="501"/>
      <c r="N36" s="495" t="s">
        <v>75</v>
      </c>
      <c r="O36" s="488" t="s">
        <v>3059</v>
      </c>
      <c r="P36" s="496" t="s">
        <v>1274</v>
      </c>
      <c r="Q36" s="496" t="s">
        <v>1275</v>
      </c>
    </row>
    <row r="37" spans="1:17" s="338" customFormat="1">
      <c r="A37" s="506" t="s">
        <v>3447</v>
      </c>
      <c r="B37" s="383" t="s">
        <v>3340</v>
      </c>
      <c r="C37" s="384">
        <v>1</v>
      </c>
      <c r="D37" s="385" t="s">
        <v>3333</v>
      </c>
      <c r="E37" s="504" t="s">
        <v>3447</v>
      </c>
      <c r="F37" s="385">
        <v>215</v>
      </c>
      <c r="G37" s="342"/>
      <c r="H37" s="385">
        <f t="shared" ref="H37:H70" si="1">F37-(F37*G37)</f>
        <v>215</v>
      </c>
      <c r="I37" s="341"/>
      <c r="J37" s="340"/>
      <c r="K37" s="340"/>
      <c r="L37" s="531"/>
      <c r="M37" s="501"/>
      <c r="N37" s="495" t="s">
        <v>75</v>
      </c>
      <c r="O37" s="488" t="s">
        <v>3059</v>
      </c>
      <c r="P37" s="496" t="s">
        <v>1274</v>
      </c>
      <c r="Q37" s="496" t="s">
        <v>1275</v>
      </c>
    </row>
    <row r="38" spans="1:17" s="338" customFormat="1">
      <c r="A38" s="506" t="s">
        <v>3448</v>
      </c>
      <c r="B38" s="383" t="s">
        <v>3132</v>
      </c>
      <c r="C38" s="384">
        <v>1</v>
      </c>
      <c r="D38" s="385" t="s">
        <v>3333</v>
      </c>
      <c r="E38" s="504" t="s">
        <v>3448</v>
      </c>
      <c r="F38" s="385">
        <v>85</v>
      </c>
      <c r="G38" s="342"/>
      <c r="H38" s="385">
        <f t="shared" si="1"/>
        <v>85</v>
      </c>
      <c r="I38" s="341"/>
      <c r="J38" s="340"/>
      <c r="K38" s="340"/>
      <c r="L38" s="531"/>
      <c r="M38" s="501"/>
      <c r="N38" s="495" t="s">
        <v>75</v>
      </c>
      <c r="O38" s="488" t="s">
        <v>3059</v>
      </c>
      <c r="P38" s="496" t="s">
        <v>1274</v>
      </c>
      <c r="Q38" s="496" t="s">
        <v>1275</v>
      </c>
    </row>
    <row r="39" spans="1:17" s="338" customFormat="1">
      <c r="A39" s="506" t="s">
        <v>3449</v>
      </c>
      <c r="B39" s="383" t="s">
        <v>3134</v>
      </c>
      <c r="C39" s="384">
        <v>1</v>
      </c>
      <c r="D39" s="385" t="s">
        <v>3333</v>
      </c>
      <c r="E39" s="504" t="s">
        <v>3449</v>
      </c>
      <c r="F39" s="385">
        <v>95</v>
      </c>
      <c r="G39" s="342"/>
      <c r="H39" s="385">
        <f t="shared" si="1"/>
        <v>95</v>
      </c>
      <c r="I39" s="341"/>
      <c r="J39" s="340"/>
      <c r="K39" s="340"/>
      <c r="L39" s="531"/>
      <c r="M39" s="501"/>
      <c r="N39" s="495" t="s">
        <v>75</v>
      </c>
      <c r="O39" s="488" t="s">
        <v>3059</v>
      </c>
      <c r="P39" s="496" t="s">
        <v>1274</v>
      </c>
      <c r="Q39" s="496" t="s">
        <v>1275</v>
      </c>
    </row>
    <row r="40" spans="1:17" s="338" customFormat="1">
      <c r="A40" s="512" t="s">
        <v>3450</v>
      </c>
      <c r="B40" s="543" t="s">
        <v>3341</v>
      </c>
      <c r="C40" s="384">
        <v>1</v>
      </c>
      <c r="D40" s="385" t="s">
        <v>3333</v>
      </c>
      <c r="E40" s="511" t="s">
        <v>3450</v>
      </c>
      <c r="F40" s="385"/>
      <c r="G40" s="342"/>
      <c r="H40" s="385">
        <f t="shared" si="1"/>
        <v>0</v>
      </c>
      <c r="I40" s="341"/>
      <c r="J40" s="340"/>
      <c r="K40" s="340"/>
      <c r="L40" s="531"/>
      <c r="M40" s="501"/>
      <c r="N40" s="495" t="s">
        <v>75</v>
      </c>
      <c r="O40" s="488" t="s">
        <v>3059</v>
      </c>
      <c r="P40" s="496" t="s">
        <v>1274</v>
      </c>
      <c r="Q40" s="496" t="s">
        <v>1275</v>
      </c>
    </row>
    <row r="41" spans="1:17" s="338" customFormat="1">
      <c r="A41" s="506" t="s">
        <v>3451</v>
      </c>
      <c r="B41" s="383" t="s">
        <v>3138</v>
      </c>
      <c r="C41" s="384">
        <v>1</v>
      </c>
      <c r="D41" s="385" t="s">
        <v>3333</v>
      </c>
      <c r="E41" s="504" t="s">
        <v>3451</v>
      </c>
      <c r="F41" s="385">
        <v>210</v>
      </c>
      <c r="G41" s="342"/>
      <c r="H41" s="385">
        <f t="shared" si="1"/>
        <v>210</v>
      </c>
      <c r="I41" s="341"/>
      <c r="J41" s="340"/>
      <c r="K41" s="340"/>
      <c r="L41" s="531"/>
      <c r="M41" s="501"/>
      <c r="N41" s="495" t="s">
        <v>75</v>
      </c>
      <c r="O41" s="488" t="s">
        <v>3059</v>
      </c>
      <c r="P41" s="496" t="s">
        <v>1274</v>
      </c>
      <c r="Q41" s="496" t="s">
        <v>1275</v>
      </c>
    </row>
    <row r="42" spans="1:17" s="338" customFormat="1">
      <c r="A42" s="506" t="s">
        <v>3452</v>
      </c>
      <c r="B42" s="383" t="s">
        <v>3140</v>
      </c>
      <c r="C42" s="384">
        <v>1</v>
      </c>
      <c r="D42" s="385" t="s">
        <v>3333</v>
      </c>
      <c r="E42" s="504" t="s">
        <v>3452</v>
      </c>
      <c r="F42" s="385">
        <v>420</v>
      </c>
      <c r="G42" s="342"/>
      <c r="H42" s="385">
        <f t="shared" si="1"/>
        <v>420</v>
      </c>
      <c r="I42" s="341"/>
      <c r="J42" s="340"/>
      <c r="K42" s="340"/>
      <c r="L42" s="531"/>
      <c r="M42" s="501"/>
      <c r="N42" s="495" t="s">
        <v>75</v>
      </c>
      <c r="O42" s="488" t="s">
        <v>3059</v>
      </c>
      <c r="P42" s="496" t="s">
        <v>1274</v>
      </c>
      <c r="Q42" s="496" t="s">
        <v>1275</v>
      </c>
    </row>
    <row r="43" spans="1:17" s="338" customFormat="1">
      <c r="A43" s="506" t="s">
        <v>3453</v>
      </c>
      <c r="B43" s="383" t="s">
        <v>3142</v>
      </c>
      <c r="C43" s="384">
        <v>1</v>
      </c>
      <c r="D43" s="385" t="s">
        <v>3333</v>
      </c>
      <c r="E43" s="504" t="s">
        <v>3453</v>
      </c>
      <c r="F43" s="385">
        <v>735</v>
      </c>
      <c r="G43" s="342"/>
      <c r="H43" s="385">
        <f t="shared" si="1"/>
        <v>735</v>
      </c>
      <c r="I43" s="341"/>
      <c r="J43" s="340"/>
      <c r="K43" s="340"/>
      <c r="L43" s="531"/>
      <c r="M43" s="501"/>
      <c r="N43" s="495" t="s">
        <v>75</v>
      </c>
      <c r="O43" s="488" t="s">
        <v>3059</v>
      </c>
      <c r="P43" s="496" t="s">
        <v>1274</v>
      </c>
      <c r="Q43" s="496" t="s">
        <v>1275</v>
      </c>
    </row>
    <row r="44" spans="1:17" s="338" customFormat="1">
      <c r="A44" s="506" t="s">
        <v>3454</v>
      </c>
      <c r="B44" s="383" t="s">
        <v>3144</v>
      </c>
      <c r="C44" s="384">
        <v>1</v>
      </c>
      <c r="D44" s="385" t="s">
        <v>3333</v>
      </c>
      <c r="E44" s="504" t="s">
        <v>3454</v>
      </c>
      <c r="F44" s="385">
        <v>210</v>
      </c>
      <c r="G44" s="342"/>
      <c r="H44" s="385">
        <f t="shared" si="1"/>
        <v>210</v>
      </c>
      <c r="I44" s="341"/>
      <c r="J44" s="340"/>
      <c r="K44" s="340"/>
      <c r="L44" s="531"/>
      <c r="M44" s="501"/>
      <c r="N44" s="495" t="s">
        <v>75</v>
      </c>
      <c r="O44" s="488" t="s">
        <v>3059</v>
      </c>
      <c r="P44" s="496" t="s">
        <v>1274</v>
      </c>
      <c r="Q44" s="496" t="s">
        <v>1275</v>
      </c>
    </row>
    <row r="45" spans="1:17" s="338" customFormat="1">
      <c r="A45" s="506" t="s">
        <v>3455</v>
      </c>
      <c r="B45" s="383" t="s">
        <v>3146</v>
      </c>
      <c r="C45" s="384">
        <v>1</v>
      </c>
      <c r="D45" s="385" t="s">
        <v>3333</v>
      </c>
      <c r="E45" s="504" t="s">
        <v>3455</v>
      </c>
      <c r="F45" s="385">
        <v>420</v>
      </c>
      <c r="G45" s="342"/>
      <c r="H45" s="385">
        <f t="shared" si="1"/>
        <v>420</v>
      </c>
      <c r="I45" s="341"/>
      <c r="J45" s="340"/>
      <c r="K45" s="340"/>
      <c r="L45" s="531"/>
      <c r="M45" s="501"/>
      <c r="N45" s="495" t="s">
        <v>75</v>
      </c>
      <c r="O45" s="488" t="s">
        <v>3059</v>
      </c>
      <c r="P45" s="496" t="s">
        <v>1274</v>
      </c>
      <c r="Q45" s="496" t="s">
        <v>1275</v>
      </c>
    </row>
    <row r="46" spans="1:17" s="338" customFormat="1">
      <c r="A46" s="506" t="s">
        <v>3456</v>
      </c>
      <c r="B46" s="383" t="s">
        <v>3148</v>
      </c>
      <c r="C46" s="384">
        <v>1</v>
      </c>
      <c r="D46" s="385" t="s">
        <v>3333</v>
      </c>
      <c r="E46" s="504" t="s">
        <v>3456</v>
      </c>
      <c r="F46" s="385">
        <v>735</v>
      </c>
      <c r="G46" s="342"/>
      <c r="H46" s="385">
        <f t="shared" si="1"/>
        <v>735</v>
      </c>
      <c r="I46" s="341"/>
      <c r="J46" s="340"/>
      <c r="K46" s="340"/>
      <c r="L46" s="531"/>
      <c r="M46" s="501"/>
      <c r="N46" s="495" t="s">
        <v>75</v>
      </c>
      <c r="O46" s="488" t="s">
        <v>3059</v>
      </c>
      <c r="P46" s="496" t="s">
        <v>1274</v>
      </c>
      <c r="Q46" s="496" t="s">
        <v>1275</v>
      </c>
    </row>
    <row r="47" spans="1:17" s="338" customFormat="1">
      <c r="A47" s="506" t="s">
        <v>3457</v>
      </c>
      <c r="B47" s="383" t="s">
        <v>3150</v>
      </c>
      <c r="C47" s="384">
        <v>1</v>
      </c>
      <c r="D47" s="385" t="s">
        <v>3333</v>
      </c>
      <c r="E47" s="504" t="s">
        <v>3457</v>
      </c>
      <c r="F47" s="385">
        <v>210</v>
      </c>
      <c r="G47" s="342"/>
      <c r="H47" s="385">
        <f t="shared" si="1"/>
        <v>210</v>
      </c>
      <c r="I47" s="341"/>
      <c r="J47" s="340"/>
      <c r="K47" s="340"/>
      <c r="L47" s="531"/>
      <c r="M47" s="501"/>
      <c r="N47" s="495" t="s">
        <v>75</v>
      </c>
      <c r="O47" s="488" t="s">
        <v>3059</v>
      </c>
      <c r="P47" s="496" t="s">
        <v>1274</v>
      </c>
      <c r="Q47" s="496" t="s">
        <v>1275</v>
      </c>
    </row>
    <row r="48" spans="1:17" s="338" customFormat="1">
      <c r="A48" s="506" t="s">
        <v>3458</v>
      </c>
      <c r="B48" s="383" t="s">
        <v>3152</v>
      </c>
      <c r="C48" s="384">
        <v>1</v>
      </c>
      <c r="D48" s="385" t="s">
        <v>3333</v>
      </c>
      <c r="E48" s="504" t="s">
        <v>3458</v>
      </c>
      <c r="F48" s="385">
        <v>420</v>
      </c>
      <c r="G48" s="342"/>
      <c r="H48" s="385">
        <f t="shared" si="1"/>
        <v>420</v>
      </c>
      <c r="I48" s="341"/>
      <c r="J48" s="340"/>
      <c r="K48" s="340"/>
      <c r="L48" s="531"/>
      <c r="M48" s="501"/>
      <c r="N48" s="495" t="s">
        <v>75</v>
      </c>
      <c r="O48" s="488" t="s">
        <v>3059</v>
      </c>
      <c r="P48" s="496" t="s">
        <v>1274</v>
      </c>
      <c r="Q48" s="496" t="s">
        <v>1275</v>
      </c>
    </row>
    <row r="49" spans="1:17" s="338" customFormat="1">
      <c r="A49" s="506" t="s">
        <v>3459</v>
      </c>
      <c r="B49" s="383" t="s">
        <v>3154</v>
      </c>
      <c r="C49" s="384">
        <v>1</v>
      </c>
      <c r="D49" s="385" t="s">
        <v>3333</v>
      </c>
      <c r="E49" s="504" t="s">
        <v>3459</v>
      </c>
      <c r="F49" s="385">
        <v>735</v>
      </c>
      <c r="G49" s="342"/>
      <c r="H49" s="385">
        <f t="shared" si="1"/>
        <v>735</v>
      </c>
      <c r="I49" s="341"/>
      <c r="J49" s="340"/>
      <c r="K49" s="340"/>
      <c r="L49" s="531"/>
      <c r="M49" s="501"/>
      <c r="N49" s="495" t="s">
        <v>75</v>
      </c>
      <c r="O49" s="488" t="s">
        <v>3059</v>
      </c>
      <c r="P49" s="496" t="s">
        <v>1274</v>
      </c>
      <c r="Q49" s="496" t="s">
        <v>1275</v>
      </c>
    </row>
    <row r="50" spans="1:17" s="338" customFormat="1" hidden="1">
      <c r="A50" s="503" t="s">
        <v>3155</v>
      </c>
      <c r="B50" s="502" t="s">
        <v>3156</v>
      </c>
      <c r="C50" s="500">
        <v>1</v>
      </c>
      <c r="D50" s="499" t="s">
        <v>82</v>
      </c>
      <c r="E50" s="508" t="s">
        <v>3155</v>
      </c>
      <c r="F50" s="507">
        <v>782.67</v>
      </c>
      <c r="G50" s="542"/>
      <c r="H50" s="507">
        <f t="shared" si="1"/>
        <v>782.67</v>
      </c>
      <c r="I50" s="341"/>
      <c r="J50" s="340"/>
      <c r="K50" s="340"/>
      <c r="L50" s="531"/>
      <c r="M50" s="501"/>
      <c r="N50" s="495" t="s">
        <v>75</v>
      </c>
      <c r="O50" s="488" t="s">
        <v>3059</v>
      </c>
      <c r="P50" s="496" t="s">
        <v>1274</v>
      </c>
      <c r="Q50" s="496" t="s">
        <v>1275</v>
      </c>
    </row>
    <row r="51" spans="1:17" s="338" customFormat="1" hidden="1">
      <c r="A51" s="503" t="s">
        <v>3157</v>
      </c>
      <c r="B51" s="502" t="s">
        <v>3158</v>
      </c>
      <c r="C51" s="500">
        <v>1</v>
      </c>
      <c r="D51" s="499" t="s">
        <v>82</v>
      </c>
      <c r="E51" s="508" t="s">
        <v>3157</v>
      </c>
      <c r="F51" s="507">
        <v>86.67</v>
      </c>
      <c r="G51" s="542"/>
      <c r="H51" s="507">
        <f t="shared" si="1"/>
        <v>86.67</v>
      </c>
      <c r="I51" s="341"/>
      <c r="J51" s="340"/>
      <c r="K51" s="340"/>
      <c r="L51" s="531"/>
      <c r="M51" s="501"/>
      <c r="N51" s="495" t="s">
        <v>75</v>
      </c>
      <c r="O51" s="488" t="s">
        <v>3059</v>
      </c>
      <c r="P51" s="496" t="s">
        <v>1274</v>
      </c>
      <c r="Q51" s="496" t="s">
        <v>1275</v>
      </c>
    </row>
    <row r="52" spans="1:17" s="338" customFormat="1" hidden="1">
      <c r="A52" s="503" t="s">
        <v>3159</v>
      </c>
      <c r="B52" s="502" t="s">
        <v>3160</v>
      </c>
      <c r="C52" s="500">
        <v>1</v>
      </c>
      <c r="D52" s="499" t="s">
        <v>82</v>
      </c>
      <c r="E52" s="508" t="s">
        <v>3159</v>
      </c>
      <c r="F52" s="507">
        <v>326.67</v>
      </c>
      <c r="G52" s="542"/>
      <c r="H52" s="507">
        <f t="shared" si="1"/>
        <v>326.67</v>
      </c>
      <c r="I52" s="341"/>
      <c r="J52" s="340"/>
      <c r="K52" s="340"/>
      <c r="L52" s="531"/>
      <c r="M52" s="501"/>
      <c r="N52" s="495" t="s">
        <v>75</v>
      </c>
      <c r="O52" s="488" t="s">
        <v>3059</v>
      </c>
      <c r="P52" s="496" t="s">
        <v>1274</v>
      </c>
      <c r="Q52" s="496" t="s">
        <v>1275</v>
      </c>
    </row>
    <row r="53" spans="1:17" s="338" customFormat="1" hidden="1">
      <c r="A53" s="503" t="s">
        <v>3161</v>
      </c>
      <c r="B53" s="502" t="s">
        <v>3162</v>
      </c>
      <c r="C53" s="500">
        <v>1</v>
      </c>
      <c r="D53" s="499" t="s">
        <v>82</v>
      </c>
      <c r="E53" s="498" t="s">
        <v>3161</v>
      </c>
      <c r="F53" s="497">
        <v>649.33000000000004</v>
      </c>
      <c r="G53" s="542"/>
      <c r="H53" s="507">
        <f t="shared" si="1"/>
        <v>649.33000000000004</v>
      </c>
      <c r="I53" s="341"/>
      <c r="J53" s="340"/>
      <c r="K53" s="340"/>
      <c r="L53" s="531"/>
      <c r="M53" s="501"/>
      <c r="N53" s="495" t="s">
        <v>75</v>
      </c>
      <c r="O53" s="488" t="s">
        <v>3059</v>
      </c>
      <c r="P53" s="496" t="s">
        <v>1274</v>
      </c>
      <c r="Q53" s="496" t="s">
        <v>1275</v>
      </c>
    </row>
    <row r="54" spans="1:17" s="338" customFormat="1" hidden="1">
      <c r="A54" s="503" t="s">
        <v>3163</v>
      </c>
      <c r="B54" s="502" t="s">
        <v>3164</v>
      </c>
      <c r="C54" s="500">
        <v>1</v>
      </c>
      <c r="D54" s="499" t="s">
        <v>82</v>
      </c>
      <c r="E54" s="508" t="s">
        <v>3163</v>
      </c>
      <c r="F54" s="507">
        <v>173.33</v>
      </c>
      <c r="G54" s="542"/>
      <c r="H54" s="507">
        <f t="shared" si="1"/>
        <v>173.33</v>
      </c>
      <c r="I54" s="341"/>
      <c r="J54" s="340"/>
      <c r="K54" s="340"/>
      <c r="L54" s="531"/>
      <c r="M54" s="501"/>
      <c r="N54" s="495" t="s">
        <v>75</v>
      </c>
      <c r="O54" s="488" t="s">
        <v>3059</v>
      </c>
      <c r="P54" s="496" t="s">
        <v>1274</v>
      </c>
      <c r="Q54" s="496" t="s">
        <v>1275</v>
      </c>
    </row>
    <row r="55" spans="1:17" s="338" customFormat="1" ht="14.25" hidden="1">
      <c r="A55" s="503" t="s">
        <v>3165</v>
      </c>
      <c r="B55" s="541" t="s">
        <v>3166</v>
      </c>
      <c r="C55" s="540">
        <v>1</v>
      </c>
      <c r="D55" s="539" t="s">
        <v>82</v>
      </c>
      <c r="E55" s="539" t="s">
        <v>3165</v>
      </c>
      <c r="F55" s="507">
        <v>391.3</v>
      </c>
      <c r="G55" s="538"/>
      <c r="H55" s="497">
        <f t="shared" si="1"/>
        <v>391.3</v>
      </c>
      <c r="I55" s="341"/>
      <c r="J55" s="340"/>
      <c r="K55" s="340"/>
      <c r="L55" s="531"/>
      <c r="M55" s="501"/>
      <c r="N55" s="495" t="s">
        <v>75</v>
      </c>
      <c r="O55" s="488" t="s">
        <v>3059</v>
      </c>
      <c r="P55" s="496" t="s">
        <v>1274</v>
      </c>
      <c r="Q55" s="496" t="s">
        <v>1275</v>
      </c>
    </row>
    <row r="56" spans="1:17" s="338" customFormat="1">
      <c r="A56" s="506" t="s">
        <v>3460</v>
      </c>
      <c r="B56" s="383" t="s">
        <v>3168</v>
      </c>
      <c r="C56" s="384">
        <v>1</v>
      </c>
      <c r="D56" s="385" t="s">
        <v>3333</v>
      </c>
      <c r="E56" s="504" t="s">
        <v>3460</v>
      </c>
      <c r="F56" s="385">
        <v>1035</v>
      </c>
      <c r="G56" s="342"/>
      <c r="H56" s="385">
        <f t="shared" si="1"/>
        <v>1035</v>
      </c>
      <c r="I56" s="341"/>
      <c r="J56" s="340"/>
      <c r="K56" s="340"/>
      <c r="L56" s="531"/>
      <c r="M56" s="501"/>
      <c r="N56" s="495" t="s">
        <v>75</v>
      </c>
      <c r="O56" s="488" t="s">
        <v>3059</v>
      </c>
      <c r="P56" s="496" t="s">
        <v>1274</v>
      </c>
      <c r="Q56" s="496" t="s">
        <v>1275</v>
      </c>
    </row>
    <row r="57" spans="1:17" s="338" customFormat="1">
      <c r="A57" s="506" t="s">
        <v>3461</v>
      </c>
      <c r="B57" s="383" t="s">
        <v>3170</v>
      </c>
      <c r="C57" s="384">
        <v>1</v>
      </c>
      <c r="D57" s="385" t="s">
        <v>3333</v>
      </c>
      <c r="E57" s="504" t="s">
        <v>3461</v>
      </c>
      <c r="F57" s="385">
        <v>1075</v>
      </c>
      <c r="G57" s="342"/>
      <c r="H57" s="385">
        <f t="shared" si="1"/>
        <v>1075</v>
      </c>
      <c r="I57" s="341"/>
      <c r="J57" s="340"/>
      <c r="K57" s="340"/>
      <c r="L57" s="531"/>
      <c r="M57" s="501"/>
      <c r="N57" s="495" t="s">
        <v>75</v>
      </c>
      <c r="O57" s="488" t="s">
        <v>3059</v>
      </c>
      <c r="P57" s="496" t="s">
        <v>1274</v>
      </c>
      <c r="Q57" s="496" t="s">
        <v>1275</v>
      </c>
    </row>
    <row r="58" spans="1:17" s="338" customFormat="1">
      <c r="A58" s="506" t="s">
        <v>3173</v>
      </c>
      <c r="B58" s="383" t="s">
        <v>3174</v>
      </c>
      <c r="C58" s="384">
        <v>1</v>
      </c>
      <c r="D58" s="385" t="s">
        <v>3333</v>
      </c>
      <c r="E58" s="504" t="s">
        <v>3173</v>
      </c>
      <c r="F58" s="385">
        <v>10</v>
      </c>
      <c r="G58" s="342"/>
      <c r="H58" s="385">
        <f t="shared" si="1"/>
        <v>10</v>
      </c>
      <c r="I58" s="341"/>
      <c r="J58" s="340"/>
      <c r="K58" s="340"/>
      <c r="L58" s="531"/>
      <c r="M58" s="501"/>
      <c r="N58" s="495" t="s">
        <v>75</v>
      </c>
      <c r="O58" s="488" t="s">
        <v>3059</v>
      </c>
      <c r="P58" s="496" t="s">
        <v>1274</v>
      </c>
      <c r="Q58" s="496" t="s">
        <v>1275</v>
      </c>
    </row>
    <row r="59" spans="1:17" s="338" customFormat="1">
      <c r="A59" s="506" t="s">
        <v>3176</v>
      </c>
      <c r="B59" s="383" t="s">
        <v>3177</v>
      </c>
      <c r="C59" s="384">
        <v>1</v>
      </c>
      <c r="D59" s="385" t="s">
        <v>3333</v>
      </c>
      <c r="E59" s="504" t="s">
        <v>3176</v>
      </c>
      <c r="F59" s="385">
        <v>440</v>
      </c>
      <c r="G59" s="342"/>
      <c r="H59" s="385">
        <f t="shared" si="1"/>
        <v>440</v>
      </c>
      <c r="I59" s="341"/>
      <c r="J59" s="340"/>
      <c r="K59" s="340"/>
      <c r="L59" s="531"/>
      <c r="M59" s="501"/>
      <c r="N59" s="495" t="s">
        <v>75</v>
      </c>
      <c r="O59" s="488" t="s">
        <v>3059</v>
      </c>
      <c r="P59" s="496" t="s">
        <v>1274</v>
      </c>
      <c r="Q59" s="496" t="s">
        <v>1275</v>
      </c>
    </row>
    <row r="60" spans="1:17" s="338" customFormat="1">
      <c r="A60" s="506" t="s">
        <v>3178</v>
      </c>
      <c r="B60" s="383" t="s">
        <v>3179</v>
      </c>
      <c r="C60" s="384">
        <v>1</v>
      </c>
      <c r="D60" s="385" t="s">
        <v>3333</v>
      </c>
      <c r="E60" s="504" t="s">
        <v>3178</v>
      </c>
      <c r="F60" s="385">
        <v>600</v>
      </c>
      <c r="G60" s="342"/>
      <c r="H60" s="385">
        <f t="shared" si="1"/>
        <v>600</v>
      </c>
      <c r="I60" s="341"/>
      <c r="J60" s="340"/>
      <c r="K60" s="340"/>
      <c r="L60" s="531"/>
      <c r="M60" s="501"/>
      <c r="N60" s="495" t="s">
        <v>75</v>
      </c>
      <c r="O60" s="488" t="s">
        <v>3059</v>
      </c>
      <c r="P60" s="496" t="s">
        <v>1274</v>
      </c>
      <c r="Q60" s="496" t="s">
        <v>1275</v>
      </c>
    </row>
    <row r="61" spans="1:17" s="338" customFormat="1">
      <c r="A61" s="506" t="s">
        <v>3180</v>
      </c>
      <c r="B61" s="383" t="s">
        <v>3181</v>
      </c>
      <c r="C61" s="384">
        <v>1</v>
      </c>
      <c r="D61" s="385" t="s">
        <v>3333</v>
      </c>
      <c r="E61" s="504" t="s">
        <v>3180</v>
      </c>
      <c r="F61" s="385">
        <v>520</v>
      </c>
      <c r="G61" s="342"/>
      <c r="H61" s="385">
        <f t="shared" si="1"/>
        <v>520</v>
      </c>
      <c r="I61" s="341"/>
      <c r="J61" s="340"/>
      <c r="K61" s="340"/>
      <c r="L61" s="531"/>
      <c r="M61" s="501"/>
      <c r="N61" s="495" t="s">
        <v>75</v>
      </c>
      <c r="O61" s="488" t="s">
        <v>3059</v>
      </c>
      <c r="P61" s="496" t="s">
        <v>1274</v>
      </c>
      <c r="Q61" s="496" t="s">
        <v>1275</v>
      </c>
    </row>
    <row r="62" spans="1:17" s="338" customFormat="1">
      <c r="A62" s="506" t="s">
        <v>3182</v>
      </c>
      <c r="B62" s="383" t="s">
        <v>3183</v>
      </c>
      <c r="C62" s="384">
        <v>1</v>
      </c>
      <c r="D62" s="385" t="s">
        <v>3333</v>
      </c>
      <c r="E62" s="504" t="s">
        <v>3182</v>
      </c>
      <c r="F62" s="385">
        <v>1106.67</v>
      </c>
      <c r="G62" s="342"/>
      <c r="H62" s="385">
        <f t="shared" si="1"/>
        <v>1106.67</v>
      </c>
      <c r="I62" s="341"/>
      <c r="J62" s="340"/>
      <c r="K62" s="340"/>
      <c r="L62" s="531"/>
      <c r="M62" s="501"/>
      <c r="N62" s="495" t="s">
        <v>75</v>
      </c>
      <c r="O62" s="488" t="s">
        <v>3059</v>
      </c>
      <c r="P62" s="496" t="s">
        <v>1274</v>
      </c>
      <c r="Q62" s="496" t="s">
        <v>1275</v>
      </c>
    </row>
    <row r="63" spans="1:17" s="338" customFormat="1">
      <c r="A63" s="512" t="s">
        <v>3184</v>
      </c>
      <c r="B63" s="543" t="s">
        <v>3342</v>
      </c>
      <c r="C63" s="384">
        <v>1</v>
      </c>
      <c r="D63" s="385" t="s">
        <v>3333</v>
      </c>
      <c r="E63" s="504" t="s">
        <v>3184</v>
      </c>
      <c r="F63" s="385"/>
      <c r="G63" s="342"/>
      <c r="H63" s="385">
        <f t="shared" si="1"/>
        <v>0</v>
      </c>
      <c r="I63" s="341"/>
      <c r="J63" s="340"/>
      <c r="K63" s="340"/>
      <c r="L63" s="531"/>
      <c r="M63" s="501"/>
      <c r="N63" s="495" t="s">
        <v>75</v>
      </c>
      <c r="O63" s="488" t="s">
        <v>3059</v>
      </c>
      <c r="P63" s="496" t="s">
        <v>1274</v>
      </c>
      <c r="Q63" s="496" t="s">
        <v>1275</v>
      </c>
    </row>
    <row r="64" spans="1:17" s="338" customFormat="1">
      <c r="A64" s="506" t="s">
        <v>3204</v>
      </c>
      <c r="B64" s="383" t="s">
        <v>3205</v>
      </c>
      <c r="C64" s="384">
        <v>1</v>
      </c>
      <c r="D64" s="385" t="s">
        <v>82</v>
      </c>
      <c r="E64" s="504" t="s">
        <v>3204</v>
      </c>
      <c r="F64" s="385">
        <v>6666.67</v>
      </c>
      <c r="G64" s="342"/>
      <c r="H64" s="385">
        <f t="shared" si="1"/>
        <v>6666.67</v>
      </c>
      <c r="I64" s="341"/>
      <c r="J64" s="340"/>
      <c r="K64" s="340"/>
      <c r="L64" s="531"/>
      <c r="M64" s="501"/>
      <c r="N64" s="495" t="s">
        <v>75</v>
      </c>
      <c r="O64" s="488" t="s">
        <v>3059</v>
      </c>
      <c r="P64" s="496" t="s">
        <v>1274</v>
      </c>
      <c r="Q64" s="496" t="s">
        <v>1275</v>
      </c>
    </row>
    <row r="65" spans="1:17" s="338" customFormat="1">
      <c r="A65" s="506" t="s">
        <v>3206</v>
      </c>
      <c r="B65" s="383" t="s">
        <v>3207</v>
      </c>
      <c r="C65" s="384">
        <v>1</v>
      </c>
      <c r="D65" s="385" t="s">
        <v>82</v>
      </c>
      <c r="E65" s="504" t="s">
        <v>3206</v>
      </c>
      <c r="F65" s="385">
        <v>10666.67</v>
      </c>
      <c r="G65" s="342"/>
      <c r="H65" s="385">
        <f t="shared" si="1"/>
        <v>10666.67</v>
      </c>
      <c r="I65" s="341"/>
      <c r="J65" s="340"/>
      <c r="K65" s="340"/>
      <c r="L65" s="531"/>
      <c r="M65" s="501"/>
      <c r="N65" s="495" t="s">
        <v>75</v>
      </c>
      <c r="O65" s="488" t="s">
        <v>3059</v>
      </c>
      <c r="P65" s="496" t="s">
        <v>1274</v>
      </c>
      <c r="Q65" s="496" t="s">
        <v>1275</v>
      </c>
    </row>
    <row r="66" spans="1:17" s="338" customFormat="1">
      <c r="A66" s="506" t="s">
        <v>3208</v>
      </c>
      <c r="B66" s="383" t="s">
        <v>3209</v>
      </c>
      <c r="C66" s="384">
        <v>1</v>
      </c>
      <c r="D66" s="385" t="s">
        <v>82</v>
      </c>
      <c r="E66" s="504" t="s">
        <v>3208</v>
      </c>
      <c r="F66" s="385">
        <v>16000</v>
      </c>
      <c r="G66" s="342"/>
      <c r="H66" s="385">
        <f t="shared" si="1"/>
        <v>16000</v>
      </c>
      <c r="I66" s="341"/>
      <c r="J66" s="340"/>
      <c r="K66" s="340"/>
      <c r="L66" s="531"/>
      <c r="M66" s="501"/>
      <c r="N66" s="495" t="s">
        <v>75</v>
      </c>
      <c r="O66" s="488" t="s">
        <v>3059</v>
      </c>
      <c r="P66" s="496" t="s">
        <v>1274</v>
      </c>
      <c r="Q66" s="496" t="s">
        <v>1275</v>
      </c>
    </row>
    <row r="67" spans="1:17" s="338" customFormat="1">
      <c r="A67" s="506" t="s">
        <v>3210</v>
      </c>
      <c r="B67" s="383" t="s">
        <v>3211</v>
      </c>
      <c r="C67" s="384">
        <v>1</v>
      </c>
      <c r="D67" s="385" t="s">
        <v>82</v>
      </c>
      <c r="E67" s="504" t="s">
        <v>3210</v>
      </c>
      <c r="F67" s="385">
        <v>20000</v>
      </c>
      <c r="G67" s="342"/>
      <c r="H67" s="385">
        <f t="shared" si="1"/>
        <v>20000</v>
      </c>
      <c r="I67" s="341"/>
      <c r="J67" s="340"/>
      <c r="K67" s="340"/>
      <c r="L67" s="531"/>
      <c r="M67" s="501"/>
      <c r="N67" s="495" t="s">
        <v>75</v>
      </c>
      <c r="O67" s="488" t="s">
        <v>3059</v>
      </c>
      <c r="P67" s="496" t="s">
        <v>1274</v>
      </c>
      <c r="Q67" s="496" t="s">
        <v>1275</v>
      </c>
    </row>
    <row r="68" spans="1:17" s="338" customFormat="1">
      <c r="A68" s="506" t="s">
        <v>3212</v>
      </c>
      <c r="B68" s="383" t="s">
        <v>3213</v>
      </c>
      <c r="C68" s="384">
        <v>1</v>
      </c>
      <c r="D68" s="385" t="s">
        <v>82</v>
      </c>
      <c r="E68" s="504" t="s">
        <v>3212</v>
      </c>
      <c r="F68" s="385">
        <v>26666.67</v>
      </c>
      <c r="G68" s="342"/>
      <c r="H68" s="385">
        <f t="shared" si="1"/>
        <v>26666.67</v>
      </c>
      <c r="I68" s="341"/>
      <c r="J68" s="340"/>
      <c r="K68" s="340"/>
      <c r="L68" s="531"/>
      <c r="M68" s="501"/>
      <c r="N68" s="495" t="s">
        <v>75</v>
      </c>
      <c r="O68" s="488" t="s">
        <v>3059</v>
      </c>
      <c r="P68" s="496" t="s">
        <v>1274</v>
      </c>
      <c r="Q68" s="496" t="s">
        <v>1275</v>
      </c>
    </row>
    <row r="69" spans="1:17" s="338" customFormat="1">
      <c r="A69" s="506" t="s">
        <v>3214</v>
      </c>
      <c r="B69" s="383" t="s">
        <v>3215</v>
      </c>
      <c r="C69" s="384">
        <v>1</v>
      </c>
      <c r="D69" s="385" t="s">
        <v>82</v>
      </c>
      <c r="E69" s="504" t="s">
        <v>3214</v>
      </c>
      <c r="F69" s="385">
        <v>1600</v>
      </c>
      <c r="G69" s="342"/>
      <c r="H69" s="385">
        <f t="shared" si="1"/>
        <v>1600</v>
      </c>
      <c r="I69" s="341"/>
      <c r="J69" s="340"/>
      <c r="K69" s="340"/>
      <c r="L69" s="531"/>
      <c r="M69" s="501"/>
      <c r="N69" s="495" t="s">
        <v>75</v>
      </c>
      <c r="O69" s="488" t="s">
        <v>3059</v>
      </c>
      <c r="P69" s="496" t="s">
        <v>1274</v>
      </c>
      <c r="Q69" s="496" t="s">
        <v>1275</v>
      </c>
    </row>
    <row r="70" spans="1:17" s="338" customFormat="1">
      <c r="A70" s="506" t="s">
        <v>3216</v>
      </c>
      <c r="B70" s="383" t="s">
        <v>3217</v>
      </c>
      <c r="C70" s="384">
        <v>1</v>
      </c>
      <c r="D70" s="385" t="s">
        <v>82</v>
      </c>
      <c r="E70" s="504" t="s">
        <v>3216</v>
      </c>
      <c r="F70" s="385">
        <v>3866.67</v>
      </c>
      <c r="G70" s="342"/>
      <c r="H70" s="385">
        <f t="shared" si="1"/>
        <v>3866.67</v>
      </c>
      <c r="I70" s="341"/>
      <c r="J70" s="340"/>
      <c r="K70" s="340"/>
      <c r="L70" s="531"/>
      <c r="M70" s="501"/>
      <c r="N70" s="495" t="s">
        <v>75</v>
      </c>
      <c r="O70" s="488" t="s">
        <v>3059</v>
      </c>
      <c r="P70" s="496" t="s">
        <v>1274</v>
      </c>
      <c r="Q70" s="496" t="s">
        <v>1275</v>
      </c>
    </row>
    <row r="71" spans="1:17" s="338" customFormat="1" ht="27" hidden="1" customHeight="1">
      <c r="A71" s="532" t="s">
        <v>3218</v>
      </c>
      <c r="C71" s="384"/>
      <c r="D71" s="385"/>
      <c r="E71" s="341"/>
      <c r="F71" s="341"/>
      <c r="G71" s="342"/>
      <c r="H71" s="341"/>
      <c r="I71" s="341"/>
      <c r="J71" s="340"/>
      <c r="K71" s="340"/>
      <c r="L71" s="531"/>
      <c r="M71" s="501"/>
      <c r="N71" s="361"/>
      <c r="O71" s="340"/>
      <c r="P71" s="496"/>
      <c r="Q71" s="496"/>
    </row>
    <row r="72" spans="1:17" s="338" customFormat="1" hidden="1">
      <c r="A72" s="506" t="s">
        <v>3219</v>
      </c>
      <c r="B72" s="383" t="s">
        <v>3220</v>
      </c>
      <c r="C72" s="384">
        <v>1</v>
      </c>
      <c r="D72" s="385" t="s">
        <v>75</v>
      </c>
      <c r="E72" s="504" t="s">
        <v>3219</v>
      </c>
      <c r="F72" s="387">
        <v>17665.830000000002</v>
      </c>
      <c r="G72" s="388">
        <f t="shared" ref="G72:G83" si="2">rv_30</f>
        <v>0.3</v>
      </c>
      <c r="H72" s="387">
        <f t="shared" ref="H72:H83" si="3">F72-(F72*G72)</f>
        <v>12366.081000000002</v>
      </c>
      <c r="I72" s="341"/>
      <c r="J72" s="340"/>
      <c r="K72" s="340"/>
      <c r="L72" s="531"/>
      <c r="M72" s="339">
        <v>0</v>
      </c>
      <c r="N72" s="495" t="s">
        <v>75</v>
      </c>
      <c r="O72" s="488" t="s">
        <v>3221</v>
      </c>
      <c r="P72" s="496" t="s">
        <v>1274</v>
      </c>
      <c r="Q72" s="496" t="s">
        <v>1275</v>
      </c>
    </row>
    <row r="73" spans="1:17" s="338" customFormat="1" hidden="1">
      <c r="A73" s="506" t="s">
        <v>3222</v>
      </c>
      <c r="B73" s="383" t="s">
        <v>3223</v>
      </c>
      <c r="C73" s="384">
        <v>1</v>
      </c>
      <c r="D73" s="385" t="s">
        <v>75</v>
      </c>
      <c r="E73" s="504" t="s">
        <v>3222</v>
      </c>
      <c r="F73" s="387">
        <v>35331.67</v>
      </c>
      <c r="G73" s="388">
        <f t="shared" si="2"/>
        <v>0.3</v>
      </c>
      <c r="H73" s="387">
        <f t="shared" si="3"/>
        <v>24732.169000000002</v>
      </c>
      <c r="I73" s="341"/>
      <c r="J73" s="340"/>
      <c r="K73" s="340"/>
      <c r="L73" s="531"/>
      <c r="M73" s="339">
        <v>0</v>
      </c>
      <c r="N73" s="495" t="s">
        <v>75</v>
      </c>
      <c r="O73" s="488" t="s">
        <v>1106</v>
      </c>
      <c r="P73" s="496" t="s">
        <v>1274</v>
      </c>
      <c r="Q73" s="496" t="s">
        <v>1275</v>
      </c>
    </row>
    <row r="74" spans="1:17" s="338" customFormat="1" hidden="1">
      <c r="A74" s="506" t="s">
        <v>3224</v>
      </c>
      <c r="B74" s="383" t="s">
        <v>3225</v>
      </c>
      <c r="C74" s="384">
        <v>1</v>
      </c>
      <c r="D74" s="385" t="s">
        <v>75</v>
      </c>
      <c r="E74" s="504" t="s">
        <v>3224</v>
      </c>
      <c r="F74" s="387">
        <v>52997.5</v>
      </c>
      <c r="G74" s="388">
        <f t="shared" si="2"/>
        <v>0.3</v>
      </c>
      <c r="H74" s="387">
        <f t="shared" si="3"/>
        <v>37098.25</v>
      </c>
      <c r="I74" s="341"/>
      <c r="J74" s="340"/>
      <c r="K74" s="340"/>
      <c r="L74" s="531"/>
      <c r="M74" s="339">
        <v>0</v>
      </c>
      <c r="N74" s="495" t="s">
        <v>75</v>
      </c>
      <c r="O74" s="488" t="s">
        <v>1106</v>
      </c>
      <c r="P74" s="496" t="s">
        <v>1274</v>
      </c>
      <c r="Q74" s="496" t="s">
        <v>1275</v>
      </c>
    </row>
    <row r="75" spans="1:17" s="338" customFormat="1" hidden="1">
      <c r="A75" s="506" t="s">
        <v>3226</v>
      </c>
      <c r="B75" s="383" t="s">
        <v>3227</v>
      </c>
      <c r="C75" s="384">
        <v>1</v>
      </c>
      <c r="D75" s="385" t="s">
        <v>75</v>
      </c>
      <c r="E75" s="504" t="s">
        <v>3226</v>
      </c>
      <c r="F75" s="387">
        <v>5332.5</v>
      </c>
      <c r="G75" s="388">
        <f t="shared" si="2"/>
        <v>0.3</v>
      </c>
      <c r="H75" s="387">
        <f t="shared" si="3"/>
        <v>3732.75</v>
      </c>
      <c r="I75" s="341"/>
      <c r="J75" s="340"/>
      <c r="K75" s="340"/>
      <c r="L75" s="531"/>
      <c r="M75" s="339">
        <v>0</v>
      </c>
      <c r="N75" s="495" t="s">
        <v>75</v>
      </c>
      <c r="O75" s="488" t="s">
        <v>1106</v>
      </c>
      <c r="P75" s="496" t="s">
        <v>1274</v>
      </c>
      <c r="Q75" s="496" t="s">
        <v>1275</v>
      </c>
    </row>
    <row r="76" spans="1:17" s="338" customFormat="1" hidden="1">
      <c r="A76" s="506" t="s">
        <v>3228</v>
      </c>
      <c r="B76" s="383" t="s">
        <v>3229</v>
      </c>
      <c r="C76" s="384">
        <v>1</v>
      </c>
      <c r="D76" s="385" t="s">
        <v>75</v>
      </c>
      <c r="E76" s="504" t="s">
        <v>3228</v>
      </c>
      <c r="F76" s="387">
        <v>10665</v>
      </c>
      <c r="G76" s="388">
        <f t="shared" si="2"/>
        <v>0.3</v>
      </c>
      <c r="H76" s="387">
        <f t="shared" si="3"/>
        <v>7465.5</v>
      </c>
      <c r="I76" s="341"/>
      <c r="J76" s="340"/>
      <c r="K76" s="340"/>
      <c r="L76" s="531"/>
      <c r="M76" s="339">
        <v>0</v>
      </c>
      <c r="N76" s="495" t="s">
        <v>75</v>
      </c>
      <c r="O76" s="488" t="s">
        <v>1106</v>
      </c>
      <c r="P76" s="496" t="s">
        <v>1274</v>
      </c>
      <c r="Q76" s="496" t="s">
        <v>1275</v>
      </c>
    </row>
    <row r="77" spans="1:17" s="338" customFormat="1" hidden="1">
      <c r="A77" s="506" t="s">
        <v>3230</v>
      </c>
      <c r="B77" s="383" t="s">
        <v>3231</v>
      </c>
      <c r="C77" s="384">
        <v>1</v>
      </c>
      <c r="D77" s="385" t="s">
        <v>75</v>
      </c>
      <c r="E77" s="504" t="s">
        <v>3230</v>
      </c>
      <c r="F77" s="387">
        <v>15997.5</v>
      </c>
      <c r="G77" s="388">
        <f t="shared" si="2"/>
        <v>0.3</v>
      </c>
      <c r="H77" s="387">
        <f t="shared" si="3"/>
        <v>11198.25</v>
      </c>
      <c r="I77" s="341"/>
      <c r="J77" s="340"/>
      <c r="K77" s="340"/>
      <c r="L77" s="531"/>
      <c r="M77" s="339">
        <v>0</v>
      </c>
      <c r="N77" s="495" t="s">
        <v>75</v>
      </c>
      <c r="O77" s="488" t="s">
        <v>1106</v>
      </c>
      <c r="P77" s="496" t="s">
        <v>1274</v>
      </c>
      <c r="Q77" s="496" t="s">
        <v>1275</v>
      </c>
    </row>
    <row r="78" spans="1:17" s="338" customFormat="1" hidden="1">
      <c r="A78" s="506" t="s">
        <v>3232</v>
      </c>
      <c r="B78" s="383" t="s">
        <v>3233</v>
      </c>
      <c r="C78" s="384">
        <v>1</v>
      </c>
      <c r="D78" s="385" t="s">
        <v>75</v>
      </c>
      <c r="E78" s="504" t="s">
        <v>3232</v>
      </c>
      <c r="F78" s="387">
        <v>44165.83</v>
      </c>
      <c r="G78" s="388">
        <f t="shared" si="2"/>
        <v>0.3</v>
      </c>
      <c r="H78" s="387">
        <f t="shared" si="3"/>
        <v>30916.081000000002</v>
      </c>
      <c r="I78" s="341"/>
      <c r="J78" s="340"/>
      <c r="K78" s="340"/>
      <c r="L78" s="531"/>
      <c r="M78" s="339">
        <v>0</v>
      </c>
      <c r="N78" s="495" t="s">
        <v>75</v>
      </c>
      <c r="O78" s="488" t="s">
        <v>1106</v>
      </c>
      <c r="P78" s="496" t="s">
        <v>1274</v>
      </c>
      <c r="Q78" s="496" t="s">
        <v>1275</v>
      </c>
    </row>
    <row r="79" spans="1:17" s="338" customFormat="1" hidden="1">
      <c r="A79" s="506" t="s">
        <v>3234</v>
      </c>
      <c r="B79" s="383" t="s">
        <v>3235</v>
      </c>
      <c r="C79" s="384">
        <v>1</v>
      </c>
      <c r="D79" s="385" t="s">
        <v>75</v>
      </c>
      <c r="E79" s="504" t="s">
        <v>3234</v>
      </c>
      <c r="F79" s="387">
        <v>88331.67</v>
      </c>
      <c r="G79" s="388">
        <f t="shared" si="2"/>
        <v>0.3</v>
      </c>
      <c r="H79" s="387">
        <f t="shared" si="3"/>
        <v>61832.168999999994</v>
      </c>
      <c r="I79" s="341"/>
      <c r="J79" s="340"/>
      <c r="K79" s="340"/>
      <c r="L79" s="531"/>
      <c r="M79" s="339">
        <v>0</v>
      </c>
      <c r="N79" s="495" t="s">
        <v>75</v>
      </c>
      <c r="O79" s="488" t="s">
        <v>1106</v>
      </c>
      <c r="P79" s="496" t="s">
        <v>1274</v>
      </c>
      <c r="Q79" s="496" t="s">
        <v>1275</v>
      </c>
    </row>
    <row r="80" spans="1:17" s="338" customFormat="1" hidden="1">
      <c r="A80" s="506" t="s">
        <v>3236</v>
      </c>
      <c r="B80" s="383" t="s">
        <v>3237</v>
      </c>
      <c r="C80" s="384">
        <v>1</v>
      </c>
      <c r="D80" s="385" t="s">
        <v>75</v>
      </c>
      <c r="E80" s="504" t="s">
        <v>3236</v>
      </c>
      <c r="F80" s="387">
        <v>132497.5</v>
      </c>
      <c r="G80" s="388">
        <f t="shared" si="2"/>
        <v>0.3</v>
      </c>
      <c r="H80" s="387">
        <f t="shared" si="3"/>
        <v>92748.25</v>
      </c>
      <c r="I80" s="341"/>
      <c r="J80" s="340"/>
      <c r="K80" s="340"/>
      <c r="L80" s="531"/>
      <c r="M80" s="339">
        <v>0</v>
      </c>
      <c r="N80" s="495" t="s">
        <v>75</v>
      </c>
      <c r="O80" s="488" t="s">
        <v>1106</v>
      </c>
      <c r="P80" s="496" t="s">
        <v>1274</v>
      </c>
      <c r="Q80" s="496" t="s">
        <v>1275</v>
      </c>
    </row>
    <row r="81" spans="1:17" s="338" customFormat="1" hidden="1">
      <c r="A81" s="506" t="s">
        <v>3238</v>
      </c>
      <c r="B81" s="383" t="s">
        <v>3239</v>
      </c>
      <c r="C81" s="384">
        <v>1</v>
      </c>
      <c r="D81" s="385" t="s">
        <v>75</v>
      </c>
      <c r="E81" s="504" t="s">
        <v>3238</v>
      </c>
      <c r="F81" s="387">
        <v>440.83</v>
      </c>
      <c r="G81" s="388">
        <f t="shared" si="2"/>
        <v>0.3</v>
      </c>
      <c r="H81" s="387">
        <f t="shared" si="3"/>
        <v>308.58100000000002</v>
      </c>
      <c r="I81" s="341"/>
      <c r="J81" s="340"/>
      <c r="K81" s="340"/>
      <c r="L81" s="531"/>
      <c r="M81" s="339">
        <v>0</v>
      </c>
      <c r="N81" s="495" t="s">
        <v>75</v>
      </c>
      <c r="O81" s="488" t="s">
        <v>1106</v>
      </c>
      <c r="P81" s="496" t="s">
        <v>1274</v>
      </c>
      <c r="Q81" s="496" t="s">
        <v>1275</v>
      </c>
    </row>
    <row r="82" spans="1:17" s="338" customFormat="1" hidden="1">
      <c r="A82" s="506" t="s">
        <v>3240</v>
      </c>
      <c r="B82" s="383" t="s">
        <v>3241</v>
      </c>
      <c r="C82" s="384">
        <v>1</v>
      </c>
      <c r="D82" s="385" t="s">
        <v>75</v>
      </c>
      <c r="E82" s="504" t="s">
        <v>3240</v>
      </c>
      <c r="F82" s="387">
        <v>881.67</v>
      </c>
      <c r="G82" s="388">
        <f t="shared" si="2"/>
        <v>0.3</v>
      </c>
      <c r="H82" s="387">
        <f t="shared" si="3"/>
        <v>617.16899999999998</v>
      </c>
      <c r="I82" s="341"/>
      <c r="J82" s="340"/>
      <c r="K82" s="340"/>
      <c r="L82" s="531"/>
      <c r="M82" s="339">
        <v>0</v>
      </c>
      <c r="N82" s="495" t="s">
        <v>75</v>
      </c>
      <c r="O82" s="488" t="s">
        <v>1106</v>
      </c>
      <c r="P82" s="496" t="s">
        <v>1274</v>
      </c>
      <c r="Q82" s="496" t="s">
        <v>1275</v>
      </c>
    </row>
    <row r="83" spans="1:17" s="338" customFormat="1" hidden="1">
      <c r="A83" s="506" t="s">
        <v>3242</v>
      </c>
      <c r="B83" s="383" t="s">
        <v>3243</v>
      </c>
      <c r="C83" s="384">
        <v>1</v>
      </c>
      <c r="D83" s="385" t="s">
        <v>75</v>
      </c>
      <c r="E83" s="504" t="s">
        <v>3242</v>
      </c>
      <c r="F83" s="387">
        <v>1322.5</v>
      </c>
      <c r="G83" s="388">
        <f t="shared" si="2"/>
        <v>0.3</v>
      </c>
      <c r="H83" s="387">
        <f t="shared" si="3"/>
        <v>925.75</v>
      </c>
      <c r="I83" s="341"/>
      <c r="J83" s="340"/>
      <c r="K83" s="340"/>
      <c r="L83" s="531"/>
      <c r="M83" s="339">
        <v>0</v>
      </c>
      <c r="N83" s="495" t="s">
        <v>75</v>
      </c>
      <c r="O83" s="488" t="s">
        <v>1106</v>
      </c>
      <c r="P83" s="496" t="s">
        <v>1274</v>
      </c>
      <c r="Q83" s="496" t="s">
        <v>1275</v>
      </c>
    </row>
    <row r="84" spans="1:17" s="338" customFormat="1">
      <c r="A84" s="506"/>
      <c r="B84" s="383"/>
      <c r="C84" s="384"/>
      <c r="D84" s="385"/>
      <c r="E84" s="504"/>
      <c r="F84" s="387"/>
      <c r="G84" s="388"/>
      <c r="H84" s="387"/>
      <c r="I84" s="341"/>
      <c r="J84" s="340"/>
      <c r="K84" s="340"/>
      <c r="L84" s="531"/>
      <c r="M84" s="339"/>
      <c r="N84" s="495"/>
      <c r="O84" s="488"/>
      <c r="P84" s="496"/>
      <c r="Q84" s="496"/>
    </row>
  </sheetData>
  <autoFilter ref="A6:H83">
    <filterColumn colId="0">
      <filters>
        <filter val="ABT-CDP-BUG-SITE-1J"/>
        <filter val="ABT-CEG-1J"/>
        <filter val="ABT-CLEAN-BUG-SITE"/>
        <filter val="ABT-COR-BUG-SITE-1J"/>
        <filter val="ABT-D3BOX-PAPREC-GF"/>
        <filter val="ABT-D3BOX-PAPREC-PF"/>
        <filter val="ABT-DEEE-PAPREC"/>
        <filter val="ABT-DESTROY-BUG-DD"/>
        <filter val="ABT-DESTROY-BUG-SITE"/>
        <filter val="ABT-DESTROY-PAPREC-ZONE1-SITE"/>
        <filter val="ABT-DESTROY-PAPREC-ZONE2-SITE"/>
        <filter val="ABT-DESTROY-PAPREC-ZONE3-SITE"/>
        <filter val="ABT-EXP-BUG-MAC"/>
        <filter val="ABT-FORM-APF"/>
        <filter val="ABT-INST-BUG-AV-TR&gt;10"/>
        <filter val="ABT-INST-BUG-AV-TR1"/>
        <filter val="ABT-INST-BUG-AV-TR2-5"/>
        <filter val="ABT-INST-BUG-AV-TR6-9"/>
        <filter val="ABT-INST-BUG-BA-TR&gt;10"/>
        <filter val="ABT-INST-BUG-BA-TR1"/>
        <filter val="ABT-INST-BUG-BA-TR2-6"/>
        <filter val="ABT-INST-BUG-BA-TR6-9"/>
        <filter val="ABT-INST-BUG-LOG-NIV1-TR1"/>
        <filter val="ABT-INST-BUG-LOG-NIV1-TR2-5"/>
        <filter val="ABT-INST-BUG-LOG-NIV1-TR6-9"/>
        <filter val="ABT-RECYC-GREEN-TR1 à 1999"/>
        <filter val="ABT-RECYC-GREEN-TR10000 à 14999"/>
        <filter val="ABT-RECYC-GREEN-TR150000 à 20000"/>
        <filter val="ABT-RECYC-GREEN-TR2000 à 4999"/>
        <filter val="ABT-RECYC-GREEN-TR5000 à 9999"/>
        <filter val="ABT-RECYC-PAPREC&lt;3m3"/>
        <filter val="ABT-RECYC-PAPREC&lt;4-7m3"/>
        <filter val="ABT-RECYC-PAPREC&lt;8-15m3"/>
        <filter val="ABT-RECYC-PAPREC-1POSTE"/>
        <filter val="ABT-RECYC-PAPREC-BOX"/>
        <filter val="ABT-RECYC-PAPREC-LUMIBOX"/>
        <filter val="ABT-RECYC-PAPREC-VRAC"/>
        <filter val="ABT-REP-BUG-MAC"/>
        <filter val="ABT-REP-BUG-MAC-BL"/>
        <filter val="ABT-REPORT-PAPREC"/>
        <filter val="ABT-SAVE-BUG"/>
        <filter val="ABT-SAVE-CARBONITE-1Y"/>
        <filter val="ABT-SAVE-CARBONITE-3Y"/>
        <filter val="ABT-TAM-PCARE"/>
        <filter val="ABT-TCO-BUG-IPADOS-1/2J"/>
        <filter val="ABT-TCO-BUG-IPADOS-1J"/>
        <filter val="ABT-TCO-BUG-IPADOS-2H"/>
        <filter val="ABT-TCO-BUG-MACOS-1/2J"/>
        <filter val="ABT-TCO-BUG-MACOS-1J"/>
        <filter val="ABT-TCO-BUG-MACOS-2H"/>
        <filter val="ABT-TECH-BUG-SITE-1/2J"/>
        <filter val="ABT-TECH-BUG-SITE-1J"/>
        <filter val="ABT-TECH-BUG-SITE-2H"/>
        <filter val="ABT-TRACK-PAPREC"/>
        <filter val="ABT-TRANSFER-BUG-TR&gt;10"/>
        <filter val="ABT-TRANSFER-BUG-TR1"/>
        <filter val="ABT-TRANSFER-BUG-TR2-5"/>
        <filter val="ABT-TRANSFER-BUG-TR6-9"/>
        <filter val="MI5-BUG-LOG-NIV1-TR&gt;10"/>
        <filter val="MI5-BUG-LOG-NIV2-TR&gt;10"/>
        <filter val="MI5-BUG-LOG-NIV2-TR1"/>
        <filter val="MI5-BUG-LOG-NIV2-TR2-5"/>
        <filter val="MI5-BUG-LOG-NIV2-TR6-9"/>
      </filters>
    </filterColumn>
  </autoFilter>
  <mergeCells count="4">
    <mergeCell ref="A3:H3"/>
    <mergeCell ref="N3:N4"/>
    <mergeCell ref="P3:P4"/>
    <mergeCell ref="Q3:Q4"/>
  </mergeCells>
  <dataValidations count="1">
    <dataValidation type="list" allowBlank="1" showInputMessage="1" showErrorMessage="1" sqref="N72:N84 N6:N70">
      <formula1>"APPLE,AUDIOVISUEL,END USER COMPUTING,GOOGLE,INFRA,MICROSOFT,MOBIL'IT,PRINTING &amp; SCANNING"</formula1>
    </dataValidation>
  </dataValidations>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2:F81"/>
  <sheetViews>
    <sheetView showRuler="0" zoomScale="115" zoomScaleNormal="115" zoomScalePageLayoutView="115" workbookViewId="0">
      <selection activeCell="A5" sqref="A5"/>
    </sheetView>
  </sheetViews>
  <sheetFormatPr baseColWidth="10" defaultColWidth="10.7109375" defaultRowHeight="12.75"/>
  <cols>
    <col min="1" max="1" width="51.85546875" style="1" bestFit="1" customWidth="1"/>
    <col min="2" max="2" width="50" style="1" bestFit="1" customWidth="1"/>
    <col min="3" max="3" width="54.5703125" style="1" customWidth="1"/>
    <col min="4" max="4" width="51.85546875" style="1" bestFit="1" customWidth="1"/>
    <col min="5" max="6" width="35" style="1" customWidth="1"/>
    <col min="7" max="16384" width="10.7109375" style="1"/>
  </cols>
  <sheetData>
    <row r="2" spans="1:6" ht="31.5">
      <c r="A2" s="19" t="s">
        <v>3343</v>
      </c>
      <c r="B2" s="2"/>
      <c r="C2" s="2"/>
      <c r="D2" s="2"/>
    </row>
    <row r="3" spans="1:6" ht="8.1" customHeight="1">
      <c r="A3" s="18"/>
    </row>
    <row r="4" spans="1:6" ht="28.5">
      <c r="A4" s="20" t="s">
        <v>3344</v>
      </c>
      <c r="B4" s="9"/>
      <c r="C4" s="9"/>
      <c r="D4" s="9"/>
      <c r="E4" s="21"/>
      <c r="F4" s="21"/>
    </row>
    <row r="5" spans="1:6" ht="20.100000000000001" customHeight="1">
      <c r="A5" s="7"/>
      <c r="B5" s="78" t="s">
        <v>3345</v>
      </c>
      <c r="C5" s="78" t="s">
        <v>3346</v>
      </c>
      <c r="D5" s="21"/>
    </row>
    <row r="6" spans="1:6" ht="18.95" customHeight="1">
      <c r="A6" s="8"/>
      <c r="B6" s="59">
        <v>0.17599999999999999</v>
      </c>
      <c r="C6" s="59">
        <v>0.17599999999999999</v>
      </c>
    </row>
    <row r="7" spans="1:6" ht="18" customHeight="1">
      <c r="A7" s="4"/>
    </row>
    <row r="8" spans="1:6" ht="20.100000000000001" customHeight="1">
      <c r="A8" s="7"/>
      <c r="B8" s="78" t="s">
        <v>3347</v>
      </c>
      <c r="C8" s="78" t="s">
        <v>3348</v>
      </c>
    </row>
    <row r="9" spans="1:6" ht="18.75">
      <c r="A9" s="8"/>
      <c r="B9" s="59">
        <v>0.17599999999999999</v>
      </c>
      <c r="C9" s="59">
        <v>0.17599999999999999</v>
      </c>
    </row>
    <row r="10" spans="1:6" ht="18" customHeight="1">
      <c r="A10" s="4"/>
      <c r="B10" s="4"/>
      <c r="C10" s="4"/>
    </row>
    <row r="11" spans="1:6" ht="20.100000000000001" customHeight="1">
      <c r="A11" s="90" t="s">
        <v>3349</v>
      </c>
      <c r="B11" s="90" t="s">
        <v>3350</v>
      </c>
      <c r="C11" s="90" t="s">
        <v>3351</v>
      </c>
      <c r="D11" s="90" t="s">
        <v>3352</v>
      </c>
    </row>
    <row r="12" spans="1:6" ht="18.75">
      <c r="A12" s="59">
        <v>0.17599999999999999</v>
      </c>
      <c r="B12" s="59">
        <v>0.17599999999999999</v>
      </c>
      <c r="C12" s="59">
        <v>0.17599999999999999</v>
      </c>
      <c r="D12" s="59">
        <v>0.17599999999999999</v>
      </c>
    </row>
    <row r="13" spans="1:6" ht="9" customHeight="1">
      <c r="A13" s="4"/>
      <c r="B13" s="4"/>
      <c r="C13" s="4"/>
      <c r="D13" s="4"/>
    </row>
    <row r="14" spans="1:6" ht="20.100000000000001" customHeight="1">
      <c r="A14" s="90" t="s">
        <v>3353</v>
      </c>
      <c r="B14" s="90" t="s">
        <v>3354</v>
      </c>
      <c r="C14" s="90" t="s">
        <v>3355</v>
      </c>
      <c r="D14" s="90" t="s">
        <v>3356</v>
      </c>
    </row>
    <row r="15" spans="1:6" ht="18.75">
      <c r="A15" s="59">
        <v>0.17599999999999999</v>
      </c>
      <c r="B15" s="59">
        <v>0.17599999999999999</v>
      </c>
      <c r="C15" s="59">
        <v>0.17599999999999999</v>
      </c>
      <c r="D15" s="59">
        <v>0.17599999999999999</v>
      </c>
    </row>
    <row r="16" spans="1:6" ht="15.95" customHeight="1">
      <c r="A16" s="4"/>
      <c r="B16" s="4"/>
      <c r="C16" s="4"/>
    </row>
    <row r="17" spans="1:4" ht="23.1" customHeight="1">
      <c r="A17" s="398" t="s">
        <v>3357</v>
      </c>
      <c r="B17" s="398" t="s">
        <v>3358</v>
      </c>
      <c r="C17" s="398" t="s">
        <v>3359</v>
      </c>
      <c r="D17" s="398" t="s">
        <v>3360</v>
      </c>
    </row>
    <row r="18" spans="1:4" ht="18.95" customHeight="1">
      <c r="A18" s="67">
        <v>0.17599999999999999</v>
      </c>
      <c r="B18" s="67">
        <v>0.17599999999999999</v>
      </c>
      <c r="C18" s="400">
        <v>0.17599999999999999</v>
      </c>
      <c r="D18" s="400">
        <v>0.17599999999999999</v>
      </c>
    </row>
    <row r="19" spans="1:4" ht="15.95" customHeight="1">
      <c r="A19" s="4"/>
      <c r="B19" s="4"/>
      <c r="C19" s="4"/>
    </row>
    <row r="20" spans="1:4" ht="20.100000000000001" customHeight="1">
      <c r="A20" s="79" t="s">
        <v>3361</v>
      </c>
      <c r="B20" s="79" t="s">
        <v>3362</v>
      </c>
      <c r="C20" s="81" t="s">
        <v>3363</v>
      </c>
      <c r="D20" s="81" t="s">
        <v>3364</v>
      </c>
    </row>
    <row r="21" spans="1:4" ht="18" customHeight="1">
      <c r="A21" s="59">
        <v>0.17599999999999999</v>
      </c>
      <c r="B21" s="59">
        <v>0.17599999999999999</v>
      </c>
      <c r="C21" s="59">
        <v>0.16500000000000001</v>
      </c>
      <c r="D21" s="59">
        <v>0.16500000000000001</v>
      </c>
    </row>
    <row r="22" spans="1:4" ht="18.95" customHeight="1">
      <c r="A22" s="4"/>
      <c r="B22" s="4"/>
      <c r="C22" s="4"/>
    </row>
    <row r="23" spans="1:4" ht="20.100000000000001" customHeight="1">
      <c r="A23" s="79" t="s">
        <v>3365</v>
      </c>
      <c r="B23" s="79" t="s">
        <v>3366</v>
      </c>
      <c r="C23" s="81" t="s">
        <v>3367</v>
      </c>
      <c r="D23" s="81" t="s">
        <v>3368</v>
      </c>
    </row>
    <row r="24" spans="1:4" ht="18.75">
      <c r="A24" s="59">
        <v>0.17599999999999999</v>
      </c>
      <c r="B24" s="59">
        <v>0.17599999999999999</v>
      </c>
      <c r="C24" s="59">
        <v>0.16500000000000001</v>
      </c>
      <c r="D24" s="59">
        <v>0.16500000000000001</v>
      </c>
    </row>
    <row r="25" spans="1:4" ht="18.75">
      <c r="A25" s="59"/>
      <c r="B25" s="59"/>
      <c r="C25" s="59"/>
      <c r="D25" s="59"/>
    </row>
    <row r="26" spans="1:4" ht="18.75">
      <c r="A26" s="79" t="s">
        <v>3369</v>
      </c>
      <c r="B26" s="3"/>
      <c r="C26" s="59"/>
      <c r="D26" s="59"/>
    </row>
    <row r="27" spans="1:4" ht="18.75">
      <c r="A27" s="59">
        <v>0.17599999999999999</v>
      </c>
      <c r="B27" s="59"/>
      <c r="C27" s="59"/>
      <c r="D27" s="59"/>
    </row>
    <row r="28" spans="1:4" ht="18.75">
      <c r="A28" s="59"/>
      <c r="B28" s="59"/>
      <c r="C28" s="59"/>
      <c r="D28" s="59"/>
    </row>
    <row r="29" spans="1:4" ht="18.75">
      <c r="A29" s="79" t="s">
        <v>3369</v>
      </c>
      <c r="B29" s="59"/>
      <c r="C29" s="59"/>
      <c r="D29" s="59"/>
    </row>
    <row r="30" spans="1:4" ht="18.75">
      <c r="A30" s="59">
        <v>0.17599999999999999</v>
      </c>
      <c r="B30" s="59"/>
      <c r="C30" s="59"/>
      <c r="D30" s="59"/>
    </row>
    <row r="31" spans="1:4" ht="18" customHeight="1">
      <c r="A31" s="4"/>
      <c r="B31" s="4"/>
      <c r="C31" s="4"/>
    </row>
    <row r="32" spans="1:4" ht="20.100000000000001" customHeight="1">
      <c r="A32" s="80" t="s">
        <v>3370</v>
      </c>
      <c r="B32" s="80" t="s">
        <v>3371</v>
      </c>
      <c r="C32" s="80" t="s">
        <v>3372</v>
      </c>
      <c r="D32" s="80" t="s">
        <v>3373</v>
      </c>
    </row>
    <row r="33" spans="1:4" ht="18.75">
      <c r="A33" s="59">
        <v>0.17199999999999999</v>
      </c>
      <c r="B33" s="59">
        <v>0.17199999999999999</v>
      </c>
      <c r="C33" s="59">
        <v>0.17199999999999999</v>
      </c>
      <c r="D33" s="59">
        <v>0.17199999999999999</v>
      </c>
    </row>
    <row r="34" spans="1:4" ht="20.100000000000001" customHeight="1">
      <c r="A34" s="4"/>
      <c r="B34" s="4"/>
    </row>
    <row r="35" spans="1:4" ht="20.100000000000001" customHeight="1">
      <c r="A35" s="80" t="s">
        <v>3374</v>
      </c>
      <c r="B35" s="80" t="s">
        <v>3375</v>
      </c>
      <c r="C35" s="80" t="s">
        <v>3376</v>
      </c>
      <c r="D35" s="80" t="s">
        <v>3377</v>
      </c>
    </row>
    <row r="36" spans="1:4" ht="18.75">
      <c r="A36" s="59">
        <v>0.17199999999999999</v>
      </c>
      <c r="B36" s="59">
        <v>0.17199999999999999</v>
      </c>
      <c r="C36" s="59">
        <v>0.17199999999999999</v>
      </c>
      <c r="D36" s="59">
        <v>0.17199999999999999</v>
      </c>
    </row>
    <row r="37" spans="1:4" ht="15.95" customHeight="1">
      <c r="B37" s="4"/>
      <c r="C37" s="7"/>
      <c r="D37" s="7"/>
    </row>
    <row r="38" spans="1:4" ht="20.100000000000001" customHeight="1">
      <c r="A38" s="82" t="s">
        <v>3378</v>
      </c>
      <c r="B38" s="82" t="s">
        <v>3379</v>
      </c>
      <c r="C38" s="454" t="s">
        <v>3380</v>
      </c>
      <c r="D38" s="454" t="s">
        <v>3381</v>
      </c>
    </row>
    <row r="39" spans="1:4" ht="20.100000000000001" customHeight="1">
      <c r="A39" s="59">
        <v>0.17199999999999999</v>
      </c>
      <c r="B39" s="59">
        <v>0.17199999999999999</v>
      </c>
      <c r="C39" s="67">
        <v>0.17199999999999999</v>
      </c>
      <c r="D39" s="67">
        <v>0.17199999999999999</v>
      </c>
    </row>
    <row r="40" spans="1:4" ht="18.95" customHeight="1">
      <c r="A40" s="4"/>
      <c r="B40" s="4"/>
    </row>
    <row r="41" spans="1:4" ht="20.100000000000001" customHeight="1">
      <c r="A41" s="82" t="s">
        <v>3382</v>
      </c>
      <c r="B41" s="82" t="s">
        <v>3383</v>
      </c>
      <c r="C41" s="454" t="s">
        <v>3384</v>
      </c>
      <c r="D41" s="454" t="s">
        <v>3385</v>
      </c>
    </row>
    <row r="42" spans="1:4" ht="20.100000000000001" customHeight="1">
      <c r="A42" s="59">
        <v>0.17199999999999999</v>
      </c>
      <c r="B42" s="59">
        <v>0.17199999999999999</v>
      </c>
      <c r="C42" s="59">
        <v>0.17199999999999999</v>
      </c>
      <c r="D42" s="59">
        <v>0.17199999999999999</v>
      </c>
    </row>
    <row r="43" spans="1:4" ht="18" customHeight="1">
      <c r="B43" s="4"/>
      <c r="C43" s="4"/>
    </row>
    <row r="44" spans="1:4" ht="20.100000000000001" customHeight="1">
      <c r="A44" s="88" t="s">
        <v>3386</v>
      </c>
      <c r="B44" s="85" t="s">
        <v>3387</v>
      </c>
      <c r="C44" s="85" t="s">
        <v>3388</v>
      </c>
    </row>
    <row r="45" spans="1:4" ht="20.100000000000001" customHeight="1">
      <c r="A45" s="59">
        <v>0.1065</v>
      </c>
      <c r="B45" s="59">
        <v>0.1065</v>
      </c>
      <c r="C45" s="59">
        <v>0.1065</v>
      </c>
    </row>
    <row r="46" spans="1:4" ht="17.100000000000001" customHeight="1">
      <c r="B46" s="4"/>
      <c r="C46" s="4"/>
    </row>
    <row r="47" spans="1:4" ht="20.100000000000001" customHeight="1">
      <c r="A47" s="89" t="s">
        <v>3389</v>
      </c>
      <c r="B47" s="86" t="s">
        <v>3390</v>
      </c>
      <c r="C47" s="86" t="s">
        <v>3391</v>
      </c>
    </row>
    <row r="48" spans="1:4" ht="20.100000000000001" customHeight="1">
      <c r="A48" s="59">
        <v>0.1065</v>
      </c>
      <c r="B48" s="59">
        <v>0.1065</v>
      </c>
      <c r="C48" s="59">
        <v>0.1065</v>
      </c>
    </row>
    <row r="49" spans="1:6" ht="17.100000000000001" customHeight="1">
      <c r="B49" s="4"/>
      <c r="C49" s="4"/>
    </row>
    <row r="50" spans="1:6" ht="20.100000000000001" customHeight="1">
      <c r="A50" s="83" t="s">
        <v>3392</v>
      </c>
      <c r="B50" s="84" t="s">
        <v>3393</v>
      </c>
      <c r="C50" s="7" t="s">
        <v>3394</v>
      </c>
      <c r="D50" s="7" t="s">
        <v>3395</v>
      </c>
    </row>
    <row r="51" spans="1:6" ht="18.75">
      <c r="A51" s="8">
        <v>0.09</v>
      </c>
      <c r="B51" s="8">
        <v>0.15</v>
      </c>
      <c r="C51" s="8">
        <v>0</v>
      </c>
      <c r="D51" s="8">
        <v>0.05</v>
      </c>
    </row>
    <row r="52" spans="1:6" ht="18.75">
      <c r="A52" s="8"/>
      <c r="B52" s="8"/>
      <c r="C52" s="8"/>
      <c r="D52" s="8"/>
    </row>
    <row r="53" spans="1:6" ht="18.75">
      <c r="A53" s="8"/>
      <c r="B53" s="84" t="s">
        <v>3393</v>
      </c>
      <c r="C53" s="87" t="s">
        <v>3396</v>
      </c>
      <c r="D53" s="87" t="s">
        <v>3397</v>
      </c>
    </row>
    <row r="54" spans="1:6" ht="18.75">
      <c r="A54" s="8"/>
      <c r="B54" s="8">
        <v>0.11</v>
      </c>
      <c r="C54" s="8">
        <v>0.02</v>
      </c>
      <c r="D54" s="8">
        <v>0.02</v>
      </c>
    </row>
    <row r="55" spans="1:6" ht="18.75">
      <c r="A55" s="4"/>
      <c r="B55" s="8"/>
      <c r="C55" s="8"/>
      <c r="D55" s="8"/>
    </row>
    <row r="56" spans="1:6" ht="21.95" customHeight="1">
      <c r="A56" s="3" t="s">
        <v>3398</v>
      </c>
      <c r="B56" s="4"/>
      <c r="C56" s="4"/>
    </row>
    <row r="57" spans="1:6" ht="20.100000000000001" customHeight="1">
      <c r="A57" s="8">
        <v>0.1</v>
      </c>
      <c r="B57" s="3" t="s">
        <v>3399</v>
      </c>
      <c r="C57" s="7" t="s">
        <v>3400</v>
      </c>
      <c r="D57" s="7" t="s">
        <v>3401</v>
      </c>
    </row>
    <row r="58" spans="1:6" ht="18.75">
      <c r="A58" s="4"/>
      <c r="B58" s="8">
        <v>0.1</v>
      </c>
      <c r="C58" s="8">
        <v>0.02</v>
      </c>
      <c r="D58" s="8">
        <v>0.1</v>
      </c>
    </row>
    <row r="59" spans="1:6" ht="24.95" customHeight="1">
      <c r="A59" s="20" t="s">
        <v>3402</v>
      </c>
      <c r="B59" s="178"/>
      <c r="C59" s="178"/>
      <c r="D59" s="179"/>
      <c r="E59" s="179"/>
    </row>
    <row r="60" spans="1:6" ht="26.1" customHeight="1">
      <c r="A60" s="7" t="s">
        <v>3403</v>
      </c>
      <c r="B60" s="21"/>
      <c r="C60" s="21"/>
      <c r="D60" s="21"/>
      <c r="E60" s="21"/>
      <c r="F60" s="21"/>
    </row>
    <row r="61" spans="1:6" ht="20.100000000000001" customHeight="1">
      <c r="A61" s="4">
        <v>0.2</v>
      </c>
      <c r="B61" s="6" t="s">
        <v>3404</v>
      </c>
      <c r="C61" s="6" t="s">
        <v>3405</v>
      </c>
      <c r="D61" s="7" t="s">
        <v>3406</v>
      </c>
      <c r="E61" s="7"/>
    </row>
    <row r="62" spans="1:6" ht="18.75">
      <c r="A62" s="4"/>
      <c r="B62" s="4">
        <v>0.1</v>
      </c>
      <c r="C62" s="4">
        <v>0.3</v>
      </c>
      <c r="D62" s="4">
        <v>0.32</v>
      </c>
      <c r="E62" s="4"/>
    </row>
    <row r="63" spans="1:6" ht="17.100000000000001" customHeight="1">
      <c r="A63" s="7" t="s">
        <v>3407</v>
      </c>
      <c r="B63" s="4"/>
      <c r="C63" s="4"/>
    </row>
    <row r="64" spans="1:6" ht="20.100000000000001" customHeight="1">
      <c r="A64" s="4">
        <v>0.2</v>
      </c>
      <c r="B64" s="6" t="s">
        <v>3408</v>
      </c>
      <c r="C64" s="7" t="s">
        <v>3409</v>
      </c>
      <c r="D64" s="7" t="s">
        <v>3410</v>
      </c>
      <c r="E64" s="7" t="s">
        <v>3411</v>
      </c>
    </row>
    <row r="65" spans="1:5" ht="18.75">
      <c r="A65" s="4"/>
      <c r="B65" s="4">
        <f>rv_30</f>
        <v>0.3</v>
      </c>
      <c r="C65" s="4">
        <v>0.2</v>
      </c>
      <c r="D65" s="4">
        <v>0.2</v>
      </c>
      <c r="E65" s="8">
        <v>0.1</v>
      </c>
    </row>
    <row r="66" spans="1:5" ht="18.95" customHeight="1">
      <c r="A66" s="6" t="s">
        <v>3412</v>
      </c>
      <c r="B66" s="4"/>
      <c r="C66" s="4"/>
    </row>
    <row r="67" spans="1:5" ht="20.100000000000001" customHeight="1">
      <c r="A67" s="4">
        <v>0.03</v>
      </c>
      <c r="B67" s="6" t="s">
        <v>3413</v>
      </c>
      <c r="C67" s="6" t="s">
        <v>3414</v>
      </c>
      <c r="D67" s="7" t="s">
        <v>3415</v>
      </c>
      <c r="E67" s="7" t="s">
        <v>3416</v>
      </c>
    </row>
    <row r="68" spans="1:5" ht="18.75">
      <c r="A68" s="4"/>
      <c r="B68" s="4">
        <v>7.0000000000000007E-2</v>
      </c>
      <c r="C68" s="4">
        <v>0.2</v>
      </c>
      <c r="D68" s="67">
        <v>0.11600000000000001</v>
      </c>
      <c r="E68" s="4">
        <v>0.2</v>
      </c>
    </row>
    <row r="69" spans="1:5" ht="18.95" customHeight="1">
      <c r="B69" s="4"/>
      <c r="C69" s="4"/>
    </row>
    <row r="81" spans="2:3" ht="15.75">
      <c r="B81" s="5"/>
      <c r="C81" s="5"/>
    </row>
  </sheetData>
  <pageMargins left="0.75" right="0.75" top="1" bottom="1" header="0.5" footer="0.5"/>
  <pageSetup paperSize="9" orientation="portrait" horizontalDpi="0" verticalDpi="0"/>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Emplacement xmlns="210df9dd-0b4e-4ef9-b5fb-77d5280d969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D89A52A53F3234F85BE67209CF79A5F" ma:contentTypeVersion="22" ma:contentTypeDescription="Crée un document." ma:contentTypeScope="" ma:versionID="54c50939aa697d4f074d9d0c4e5768cf">
  <xsd:schema xmlns:xsd="http://www.w3.org/2001/XMLSchema" xmlns:xs="http://www.w3.org/2001/XMLSchema" xmlns:p="http://schemas.microsoft.com/office/2006/metadata/properties" xmlns:ns2="210df9dd-0b4e-4ef9-b5fb-77d5280d969d" xmlns:ns3="8e90354a-00cd-4c2c-933c-cac8cad32b0a" targetNamespace="http://schemas.microsoft.com/office/2006/metadata/properties" ma:root="true" ma:fieldsID="02c8d158cb1f2cc0c7c705cfa5bbe4e5" ns2:_="" ns3:_="">
    <xsd:import namespace="210df9dd-0b4e-4ef9-b5fb-77d5280d969d"/>
    <xsd:import namespace="8e90354a-00cd-4c2c-933c-cac8cad32b0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DateTaken" minOccurs="0"/>
                <xsd:element ref="ns2:MediaServiceOCR"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Emplacement" minOccurs="0"/>
                <xsd:element ref="ns2:bd9b7302-670e-4919-bf77-1ac25401d607CountryOrRegion" minOccurs="0"/>
                <xsd:element ref="ns2:bd9b7302-670e-4919-bf77-1ac25401d607State" minOccurs="0"/>
                <xsd:element ref="ns2:bd9b7302-670e-4919-bf77-1ac25401d607City" minOccurs="0"/>
                <xsd:element ref="ns2:bd9b7302-670e-4919-bf77-1ac25401d607PostalCode" minOccurs="0"/>
                <xsd:element ref="ns2:bd9b7302-670e-4919-bf77-1ac25401d607Street" minOccurs="0"/>
                <xsd:element ref="ns2:bd9b7302-670e-4919-bf77-1ac25401d607GeoLoc" minOccurs="0"/>
                <xsd:element ref="ns2:bd9b7302-670e-4919-bf77-1ac25401d607DispNam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0df9dd-0b4e-4ef9-b5fb-77d5280d96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Location" ma:index="15" nillable="true" ma:displayName="MediaServic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Emplacement" ma:index="20" nillable="true" ma:displayName="Emplacement" ma:format="Dropdown" ma:internalName="Emplacement">
      <xsd:simpleType>
        <xsd:restriction base="dms:Unknown"/>
      </xsd:simpleType>
    </xsd:element>
    <xsd:element name="bd9b7302-670e-4919-bf77-1ac25401d607CountryOrRegion" ma:index="21" nillable="true" ma:displayName="Emplacement : Pays/région" ma:internalName="CountryOrRegion" ma:readOnly="true">
      <xsd:simpleType>
        <xsd:restriction base="dms:Text"/>
      </xsd:simpleType>
    </xsd:element>
    <xsd:element name="bd9b7302-670e-4919-bf77-1ac25401d607State" ma:index="22" nillable="true" ma:displayName="Emplacement : État" ma:internalName="State" ma:readOnly="true">
      <xsd:simpleType>
        <xsd:restriction base="dms:Text"/>
      </xsd:simpleType>
    </xsd:element>
    <xsd:element name="bd9b7302-670e-4919-bf77-1ac25401d607City" ma:index="23" nillable="true" ma:displayName="Emplacement : Ville" ma:internalName="City" ma:readOnly="true">
      <xsd:simpleType>
        <xsd:restriction base="dms:Text"/>
      </xsd:simpleType>
    </xsd:element>
    <xsd:element name="bd9b7302-670e-4919-bf77-1ac25401d607PostalCode" ma:index="24" nillable="true" ma:displayName="Emplacement : Code postal" ma:internalName="PostalCode" ma:readOnly="true">
      <xsd:simpleType>
        <xsd:restriction base="dms:Text"/>
      </xsd:simpleType>
    </xsd:element>
    <xsd:element name="bd9b7302-670e-4919-bf77-1ac25401d607Street" ma:index="25" nillable="true" ma:displayName="Emplacement : Rue" ma:internalName="Street" ma:readOnly="true">
      <xsd:simpleType>
        <xsd:restriction base="dms:Text"/>
      </xsd:simpleType>
    </xsd:element>
    <xsd:element name="bd9b7302-670e-4919-bf77-1ac25401d607GeoLoc" ma:index="26" nillable="true" ma:displayName="Emplacement : Coordonnées" ma:internalName="GeoLoc" ma:readOnly="true">
      <xsd:simpleType>
        <xsd:restriction base="dms:Unknown"/>
      </xsd:simpleType>
    </xsd:element>
    <xsd:element name="bd9b7302-670e-4919-bf77-1ac25401d607DispName" ma:index="27" nillable="true" ma:displayName="Emplacement : nom" ma:internalName="DispName" ma:readOnly="true">
      <xsd:simpleType>
        <xsd:restriction base="dms:Text"/>
      </xsd:simpleType>
    </xsd:element>
    <xsd:element name="MediaLengthInSeconds" ma:index="2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e90354a-00cd-4c2c-933c-cac8cad32b0a"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FC082FA-0222-4AB4-905C-A7DC1EEBD5F7}">
  <ds:schemaRefs>
    <ds:schemaRef ds:uri="http://purl.org/dc/terms/"/>
    <ds:schemaRef ds:uri="http://schemas.microsoft.com/office/2006/metadata/properties"/>
    <ds:schemaRef ds:uri="http://schemas.microsoft.com/office/2006/documentManagement/types"/>
    <ds:schemaRef ds:uri="http://purl.org/dc/elements/1.1/"/>
    <ds:schemaRef ds:uri="http://www.w3.org/XML/1998/namespace"/>
    <ds:schemaRef ds:uri="http://schemas.microsoft.com/office/infopath/2007/PartnerControls"/>
    <ds:schemaRef ds:uri="8e90354a-00cd-4c2c-933c-cac8cad32b0a"/>
    <ds:schemaRef ds:uri="http://schemas.openxmlformats.org/package/2006/metadata/core-properties"/>
    <ds:schemaRef ds:uri="210df9dd-0b4e-4ef9-b5fb-77d5280d969d"/>
    <ds:schemaRef ds:uri="http://purl.org/dc/dcmitype/"/>
  </ds:schemaRefs>
</ds:datastoreItem>
</file>

<file path=customXml/itemProps2.xml><?xml version="1.0" encoding="utf-8"?>
<ds:datastoreItem xmlns:ds="http://schemas.openxmlformats.org/officeDocument/2006/customXml" ds:itemID="{9DF1A09F-3AA7-4413-8361-9AED901734C1}">
  <ds:schemaRefs>
    <ds:schemaRef ds:uri="http://schemas.microsoft.com/sharepoint/v3/contenttype/forms"/>
  </ds:schemaRefs>
</ds:datastoreItem>
</file>

<file path=customXml/itemProps3.xml><?xml version="1.0" encoding="utf-8"?>
<ds:datastoreItem xmlns:ds="http://schemas.openxmlformats.org/officeDocument/2006/customXml" ds:itemID="{4D2B2644-5835-4671-BF88-D1A12DECC7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10df9dd-0b4e-4ef9-b5fb-77d5280d969d"/>
    <ds:schemaRef ds:uri="8e90354a-00cd-4c2c-933c-cac8cad32b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7</vt:i4>
      </vt:variant>
      <vt:variant>
        <vt:lpstr>Plages nommées</vt:lpstr>
      </vt:variant>
      <vt:variant>
        <vt:i4>84</vt:i4>
      </vt:variant>
    </vt:vector>
  </HeadingPairs>
  <TitlesOfParts>
    <vt:vector size="91" baseType="lpstr">
      <vt:lpstr>1 - Page de garde</vt:lpstr>
      <vt:lpstr>2 - Tarif normalisé n°4 Lot 5</vt:lpstr>
      <vt:lpstr>3 - Accessoires et logiciels</vt:lpstr>
      <vt:lpstr>4 - Services</vt:lpstr>
      <vt:lpstr>5 - Location</vt:lpstr>
      <vt:lpstr>6 - Services DROM-COM</vt:lpstr>
      <vt:lpstr>Récapitulatif remises</vt:lpstr>
      <vt:lpstr>im24_5pl</vt:lpstr>
      <vt:lpstr>im27_5pl</vt:lpstr>
      <vt:lpstr>ip_5pl</vt:lpstr>
      <vt:lpstr>ipa_5pl</vt:lpstr>
      <vt:lpstr>ipm_5pl</vt:lpstr>
      <vt:lpstr>mba13_5pl</vt:lpstr>
      <vt:lpstr>mbp13_5pl</vt:lpstr>
      <vt:lpstr>mbp14_5pl</vt:lpstr>
      <vt:lpstr>mbp16_5pl</vt:lpstr>
      <vt:lpstr>mm_5pl</vt:lpstr>
      <vt:lpstr>mp_5pl</vt:lpstr>
      <vt:lpstr>mst_5pl</vt:lpstr>
      <vt:lpstr>rv_10</vt:lpstr>
      <vt:lpstr>rv_20</vt:lpstr>
      <vt:lpstr>rv_3</vt:lpstr>
      <vt:lpstr>rv_30</vt:lpstr>
      <vt:lpstr>rv_32</vt:lpstr>
      <vt:lpstr>rv_7</vt:lpstr>
      <vt:lpstr>rv_apple_acc_ipad</vt:lpstr>
      <vt:lpstr>rv_apple_acc_mac</vt:lpstr>
      <vt:lpstr>rv_apple_acc_mac_15</vt:lpstr>
      <vt:lpstr>rv_apple_acc_nocrt</vt:lpstr>
      <vt:lpstr>rv_apple_acc_nodac</vt:lpstr>
      <vt:lpstr>rv_apple_moniteur</vt:lpstr>
      <vt:lpstr>rv_applecare</vt:lpstr>
      <vt:lpstr>rv_atv</vt:lpstr>
      <vt:lpstr>rv_cvmp</vt:lpstr>
      <vt:lpstr>rv_iiyama</vt:lpstr>
      <vt:lpstr>rv_im21_eg</vt:lpstr>
      <vt:lpstr>rv_im21_eg_cto</vt:lpstr>
      <vt:lpstr>rv_im21_hg</vt:lpstr>
      <vt:lpstr>rv_im21_hg_cto</vt:lpstr>
      <vt:lpstr>rv_im27_eg</vt:lpstr>
      <vt:lpstr>rv_im27_eg_cto</vt:lpstr>
      <vt:lpstr>rv_im27_hg</vt:lpstr>
      <vt:lpstr>rv_im27_hg_cto</vt:lpstr>
      <vt:lpstr>rv_imp</vt:lpstr>
      <vt:lpstr>rv_imp_cto</vt:lpstr>
      <vt:lpstr>rv_ip97_eg</vt:lpstr>
      <vt:lpstr>rv_ip97_hg</vt:lpstr>
      <vt:lpstr>rv_ipm</vt:lpstr>
      <vt:lpstr>rv_ipp105</vt:lpstr>
      <vt:lpstr>rv_ipp11</vt:lpstr>
      <vt:lpstr>rv_ipp12</vt:lpstr>
      <vt:lpstr>rv_jamf</vt:lpstr>
      <vt:lpstr>rv_log_apple_vol</vt:lpstr>
      <vt:lpstr>rv_mba_eg</vt:lpstr>
      <vt:lpstr>rv_mba_eg_cto</vt:lpstr>
      <vt:lpstr>rv_mba_hg</vt:lpstr>
      <vt:lpstr>rv_mba_hg_cto</vt:lpstr>
      <vt:lpstr>rv_mba_mg</vt:lpstr>
      <vt:lpstr>rv_mba_mg_cto</vt:lpstr>
      <vt:lpstr>rv_mbp13_eg</vt:lpstr>
      <vt:lpstr>rv_mbp13_eg_cto</vt:lpstr>
      <vt:lpstr>rv_mbp13_hg</vt:lpstr>
      <vt:lpstr>rv_mbp13_hg_cto</vt:lpstr>
      <vt:lpstr>rv_mbp13t</vt:lpstr>
      <vt:lpstr>rv_mbp13t_cto</vt:lpstr>
      <vt:lpstr>rv_mbp14_eg</vt:lpstr>
      <vt:lpstr>rv_mbp14_eg_cto</vt:lpstr>
      <vt:lpstr>rv_mbp14_hg</vt:lpstr>
      <vt:lpstr>rv_mbp14_hg_cto</vt:lpstr>
      <vt:lpstr>rv_mbp16_eg</vt:lpstr>
      <vt:lpstr>rv_mbp16_eg_cto</vt:lpstr>
      <vt:lpstr>rv_mbp16_hg</vt:lpstr>
      <vt:lpstr>rv_mbp16_hg_cto</vt:lpstr>
      <vt:lpstr>rv_mbp16_mg</vt:lpstr>
      <vt:lpstr>rv_mbp16_mg_cto</vt:lpstr>
      <vt:lpstr>rv_mm_eg</vt:lpstr>
      <vt:lpstr>rv_mm_eg_cto</vt:lpstr>
      <vt:lpstr>rv_mm_hg</vt:lpstr>
      <vt:lpstr>rv_mm_hg_cto</vt:lpstr>
      <vt:lpstr>rv_moniteur</vt:lpstr>
      <vt:lpstr>rv_mp_eg</vt:lpstr>
      <vt:lpstr>rv_mp_eg_cto</vt:lpstr>
      <vt:lpstr>rv_ms_eg</vt:lpstr>
      <vt:lpstr>rv_ms_eg_cto</vt:lpstr>
      <vt:lpstr>rv_ms_hg</vt:lpstr>
      <vt:lpstr>rv_ms_hg_cto</vt:lpstr>
      <vt:lpstr>rv_pencil</vt:lpstr>
      <vt:lpstr>rv_pencil_2</vt:lpstr>
      <vt:lpstr>rv_philips</vt:lpstr>
      <vt:lpstr>rv_samsung</vt:lpstr>
      <vt:lpstr>rv_stockage</vt:lpstr>
    </vt:vector>
  </TitlesOfParts>
  <Manager/>
  <Company>France Systèmes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Hervé Mainguet</dc:creator>
  <cp:keywords/>
  <dc:description/>
  <cp:lastModifiedBy>Cecile Pereira-Santo</cp:lastModifiedBy>
  <cp:revision/>
  <dcterms:created xsi:type="dcterms:W3CDTF">1999-02-15T11:54:48Z</dcterms:created>
  <dcterms:modified xsi:type="dcterms:W3CDTF">2022-05-06T11:47:12Z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0x0101001D89A52A53F3234F85BE67209CF79A5F</vt:lpwstr>
  </property>
</Properties>
</file>